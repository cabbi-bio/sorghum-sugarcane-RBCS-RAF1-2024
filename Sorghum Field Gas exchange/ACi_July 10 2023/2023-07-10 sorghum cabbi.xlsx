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sorghum aci field july 10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DA166" i="1" l="1"/>
  <c r="CZ166" i="1"/>
  <c r="CY166" i="1" s="1"/>
  <c r="AZ166" i="1" s="1"/>
  <c r="CX166" i="1"/>
  <c r="BN166" i="1"/>
  <c r="BO166" i="1" s="1"/>
  <c r="BM166" i="1"/>
  <c r="BL166" i="1"/>
  <c r="BK166" i="1"/>
  <c r="BJ166" i="1"/>
  <c r="BI166" i="1"/>
  <c r="BH166" i="1"/>
  <c r="BD166" i="1"/>
  <c r="AX166" i="1"/>
  <c r="BB166" i="1" s="1"/>
  <c r="AR166" i="1"/>
  <c r="BE166" i="1" s="1"/>
  <c r="AM166" i="1"/>
  <c r="AK166" i="1"/>
  <c r="AC166" i="1"/>
  <c r="AB166" i="1"/>
  <c r="AA166" i="1"/>
  <c r="W166" i="1"/>
  <c r="T166" i="1"/>
  <c r="DA165" i="1"/>
  <c r="W165" i="1" s="1"/>
  <c r="CZ165" i="1"/>
  <c r="CX165" i="1"/>
  <c r="CY165" i="1" s="1"/>
  <c r="AZ165" i="1" s="1"/>
  <c r="BB165" i="1" s="1"/>
  <c r="BM165" i="1"/>
  <c r="BL165" i="1"/>
  <c r="BK165" i="1"/>
  <c r="BJ165" i="1"/>
  <c r="BN165" i="1" s="1"/>
  <c r="BO165" i="1" s="1"/>
  <c r="BH165" i="1"/>
  <c r="BI165" i="1" s="1"/>
  <c r="BD165" i="1"/>
  <c r="AX165" i="1"/>
  <c r="AR165" i="1"/>
  <c r="BE165" i="1" s="1"/>
  <c r="AM165" i="1"/>
  <c r="AK165" i="1" s="1"/>
  <c r="AC165" i="1"/>
  <c r="AA165" i="1" s="1"/>
  <c r="AB165" i="1"/>
  <c r="T165" i="1"/>
  <c r="R165" i="1"/>
  <c r="DA164" i="1"/>
  <c r="CZ164" i="1"/>
  <c r="CY164" i="1" s="1"/>
  <c r="AZ164" i="1" s="1"/>
  <c r="CX164" i="1"/>
  <c r="BM164" i="1"/>
  <c r="BL164" i="1"/>
  <c r="BK164" i="1"/>
  <c r="BJ164" i="1"/>
  <c r="BN164" i="1" s="1"/>
  <c r="BO164" i="1" s="1"/>
  <c r="BI164" i="1"/>
  <c r="BH164" i="1"/>
  <c r="BD164" i="1"/>
  <c r="AX164" i="1"/>
  <c r="AR164" i="1"/>
  <c r="BE164" i="1" s="1"/>
  <c r="AM164" i="1"/>
  <c r="AK164" i="1"/>
  <c r="M164" i="1" s="1"/>
  <c r="L164" i="1" s="1"/>
  <c r="AE164" i="1" s="1"/>
  <c r="AC164" i="1"/>
  <c r="AB164" i="1"/>
  <c r="AA164" i="1"/>
  <c r="W164" i="1"/>
  <c r="T164" i="1"/>
  <c r="R164" i="1"/>
  <c r="O164" i="1"/>
  <c r="DA163" i="1"/>
  <c r="CZ163" i="1"/>
  <c r="CX163" i="1"/>
  <c r="BM163" i="1"/>
  <c r="BL163" i="1"/>
  <c r="BH163" i="1"/>
  <c r="BD163" i="1"/>
  <c r="AX163" i="1"/>
  <c r="AR163" i="1"/>
  <c r="BE163" i="1" s="1"/>
  <c r="AM163" i="1"/>
  <c r="AK163" i="1" s="1"/>
  <c r="AC163" i="1"/>
  <c r="AB163" i="1"/>
  <c r="T163" i="1"/>
  <c r="M163" i="1"/>
  <c r="L163" i="1" s="1"/>
  <c r="AE163" i="1" s="1"/>
  <c r="DA162" i="1"/>
  <c r="CZ162" i="1"/>
  <c r="CX162" i="1"/>
  <c r="CY162" i="1" s="1"/>
  <c r="AZ162" i="1" s="1"/>
  <c r="BM162" i="1"/>
  <c r="BL162" i="1"/>
  <c r="BH162" i="1"/>
  <c r="BK162" i="1" s="1"/>
  <c r="BD162" i="1"/>
  <c r="AX162" i="1"/>
  <c r="BB162" i="1" s="1"/>
  <c r="AR162" i="1"/>
  <c r="BE162" i="1" s="1"/>
  <c r="AM162" i="1"/>
  <c r="AK162" i="1"/>
  <c r="AC162" i="1"/>
  <c r="AB162" i="1"/>
  <c r="AA162" i="1"/>
  <c r="T162" i="1"/>
  <c r="DA161" i="1"/>
  <c r="CZ161" i="1"/>
  <c r="CX161" i="1"/>
  <c r="CY161" i="1" s="1"/>
  <c r="AZ161" i="1" s="1"/>
  <c r="BB161" i="1" s="1"/>
  <c r="BM161" i="1"/>
  <c r="BL161" i="1"/>
  <c r="BK161" i="1"/>
  <c r="BH161" i="1"/>
  <c r="BI161" i="1" s="1"/>
  <c r="BD161" i="1"/>
  <c r="AX161" i="1"/>
  <c r="AR161" i="1"/>
  <c r="BE161" i="1" s="1"/>
  <c r="AM161" i="1"/>
  <c r="AK161" i="1" s="1"/>
  <c r="AC161" i="1"/>
  <c r="AB161" i="1"/>
  <c r="AA161" i="1" s="1"/>
  <c r="T161" i="1"/>
  <c r="R161" i="1"/>
  <c r="DA160" i="1"/>
  <c r="CZ160" i="1"/>
  <c r="CY160" i="1"/>
  <c r="CX160" i="1"/>
  <c r="BM160" i="1"/>
  <c r="BL160" i="1"/>
  <c r="BJ160" i="1"/>
  <c r="BN160" i="1" s="1"/>
  <c r="BO160" i="1" s="1"/>
  <c r="BI160" i="1"/>
  <c r="BH160" i="1"/>
  <c r="BK160" i="1" s="1"/>
  <c r="BD160" i="1"/>
  <c r="AZ160" i="1"/>
  <c r="AX160" i="1"/>
  <c r="AR160" i="1"/>
  <c r="BE160" i="1" s="1"/>
  <c r="AM160" i="1"/>
  <c r="AK160" i="1"/>
  <c r="M160" i="1" s="1"/>
  <c r="L160" i="1" s="1"/>
  <c r="AE160" i="1" s="1"/>
  <c r="AC160" i="1"/>
  <c r="AB160" i="1"/>
  <c r="AA160" i="1"/>
  <c r="W160" i="1"/>
  <c r="T160" i="1"/>
  <c r="R160" i="1"/>
  <c r="O160" i="1"/>
  <c r="DA159" i="1"/>
  <c r="CZ159" i="1"/>
  <c r="CX159" i="1"/>
  <c r="BM159" i="1"/>
  <c r="BL159" i="1"/>
  <c r="BH159" i="1"/>
  <c r="BD159" i="1"/>
  <c r="AX159" i="1"/>
  <c r="AR159" i="1"/>
  <c r="BE159" i="1" s="1"/>
  <c r="AM159" i="1"/>
  <c r="AK159" i="1" s="1"/>
  <c r="AC159" i="1"/>
  <c r="AB159" i="1"/>
  <c r="T159" i="1"/>
  <c r="M159" i="1"/>
  <c r="L159" i="1" s="1"/>
  <c r="AE159" i="1" s="1"/>
  <c r="DA158" i="1"/>
  <c r="CZ158" i="1"/>
  <c r="CX158" i="1"/>
  <c r="CY158" i="1" s="1"/>
  <c r="AZ158" i="1" s="1"/>
  <c r="BN158" i="1"/>
  <c r="BO158" i="1" s="1"/>
  <c r="BM158" i="1"/>
  <c r="BL158" i="1"/>
  <c r="BJ158" i="1"/>
  <c r="BH158" i="1"/>
  <c r="BK158" i="1" s="1"/>
  <c r="BD158" i="1"/>
  <c r="AX158" i="1"/>
  <c r="BB158" i="1" s="1"/>
  <c r="AR158" i="1"/>
  <c r="BE158" i="1" s="1"/>
  <c r="AM158" i="1"/>
  <c r="AK158" i="1"/>
  <c r="AC158" i="1"/>
  <c r="AB158" i="1"/>
  <c r="AA158" i="1"/>
  <c r="W158" i="1"/>
  <c r="T158" i="1"/>
  <c r="DA157" i="1"/>
  <c r="CZ157" i="1"/>
  <c r="CX157" i="1"/>
  <c r="CY157" i="1" s="1"/>
  <c r="AZ157" i="1" s="1"/>
  <c r="BB157" i="1" s="1"/>
  <c r="BM157" i="1"/>
  <c r="BL157" i="1"/>
  <c r="BK157" i="1"/>
  <c r="BH157" i="1"/>
  <c r="BI157" i="1" s="1"/>
  <c r="BD157" i="1"/>
  <c r="AX157" i="1"/>
  <c r="AR157" i="1"/>
  <c r="BE157" i="1" s="1"/>
  <c r="AM157" i="1"/>
  <c r="AK157" i="1" s="1"/>
  <c r="AC157" i="1"/>
  <c r="AB157" i="1"/>
  <c r="AA157" i="1" s="1"/>
  <c r="T157" i="1"/>
  <c r="R157" i="1"/>
  <c r="DA156" i="1"/>
  <c r="CZ156" i="1"/>
  <c r="CY156" i="1"/>
  <c r="CX156" i="1"/>
  <c r="BM156" i="1"/>
  <c r="BL156" i="1"/>
  <c r="BJ156" i="1"/>
  <c r="BN156" i="1" s="1"/>
  <c r="BO156" i="1" s="1"/>
  <c r="BI156" i="1"/>
  <c r="BH156" i="1"/>
  <c r="BK156" i="1" s="1"/>
  <c r="BD156" i="1"/>
  <c r="AZ156" i="1"/>
  <c r="AX156" i="1"/>
  <c r="BB156" i="1" s="1"/>
  <c r="AR156" i="1"/>
  <c r="BE156" i="1" s="1"/>
  <c r="AM156" i="1"/>
  <c r="AK156" i="1"/>
  <c r="M156" i="1" s="1"/>
  <c r="L156" i="1" s="1"/>
  <c r="AC156" i="1"/>
  <c r="AB156" i="1"/>
  <c r="AA156" i="1"/>
  <c r="W156" i="1"/>
  <c r="T156" i="1"/>
  <c r="O156" i="1"/>
  <c r="DA155" i="1"/>
  <c r="CZ155" i="1"/>
  <c r="CX155" i="1"/>
  <c r="BM155" i="1"/>
  <c r="BL155" i="1"/>
  <c r="BH155" i="1"/>
  <c r="BD155" i="1"/>
  <c r="AX155" i="1"/>
  <c r="AR155" i="1"/>
  <c r="BE155" i="1" s="1"/>
  <c r="AM155" i="1"/>
  <c r="AK155" i="1" s="1"/>
  <c r="AC155" i="1"/>
  <c r="AB155" i="1"/>
  <c r="T155" i="1"/>
  <c r="M155" i="1"/>
  <c r="L155" i="1" s="1"/>
  <c r="AE155" i="1" s="1"/>
  <c r="DA154" i="1"/>
  <c r="CZ154" i="1"/>
  <c r="CY154" i="1" s="1"/>
  <c r="AZ154" i="1" s="1"/>
  <c r="CX154" i="1"/>
  <c r="BN154" i="1"/>
  <c r="BO154" i="1" s="1"/>
  <c r="BM154" i="1"/>
  <c r="BL154" i="1"/>
  <c r="BJ154" i="1"/>
  <c r="BI154" i="1"/>
  <c r="BH154" i="1"/>
  <c r="BK154" i="1" s="1"/>
  <c r="BD154" i="1"/>
  <c r="AX154" i="1"/>
  <c r="AR154" i="1"/>
  <c r="BE154" i="1" s="1"/>
  <c r="AM154" i="1"/>
  <c r="AK154" i="1"/>
  <c r="AC154" i="1"/>
  <c r="AB154" i="1"/>
  <c r="AA154" i="1" s="1"/>
  <c r="W154" i="1"/>
  <c r="T154" i="1"/>
  <c r="DA153" i="1"/>
  <c r="CZ153" i="1"/>
  <c r="CX153" i="1"/>
  <c r="CY153" i="1" s="1"/>
  <c r="AZ153" i="1" s="1"/>
  <c r="BM153" i="1"/>
  <c r="BL153" i="1"/>
  <c r="BK153" i="1"/>
  <c r="BH153" i="1"/>
  <c r="BI153" i="1" s="1"/>
  <c r="BD153" i="1"/>
  <c r="BB153" i="1"/>
  <c r="AX153" i="1"/>
  <c r="AR153" i="1"/>
  <c r="BE153" i="1" s="1"/>
  <c r="AM153" i="1"/>
  <c r="AK153" i="1" s="1"/>
  <c r="AC153" i="1"/>
  <c r="AB153" i="1"/>
  <c r="AA153" i="1" s="1"/>
  <c r="T153" i="1"/>
  <c r="R153" i="1"/>
  <c r="DA152" i="1"/>
  <c r="CZ152" i="1"/>
  <c r="CY152" i="1"/>
  <c r="CX152" i="1"/>
  <c r="BM152" i="1"/>
  <c r="BL152" i="1"/>
  <c r="BJ152" i="1"/>
  <c r="BN152" i="1" s="1"/>
  <c r="BO152" i="1" s="1"/>
  <c r="BI152" i="1"/>
  <c r="BH152" i="1"/>
  <c r="BK152" i="1" s="1"/>
  <c r="BD152" i="1"/>
  <c r="AZ152" i="1"/>
  <c r="AX152" i="1"/>
  <c r="BB152" i="1" s="1"/>
  <c r="AR152" i="1"/>
  <c r="BE152" i="1" s="1"/>
  <c r="AM152" i="1"/>
  <c r="AL152" i="1"/>
  <c r="AK152" i="1"/>
  <c r="M152" i="1" s="1"/>
  <c r="AC152" i="1"/>
  <c r="AB152" i="1"/>
  <c r="AA152" i="1" s="1"/>
  <c r="X152" i="1"/>
  <c r="Y152" i="1" s="1"/>
  <c r="W152" i="1"/>
  <c r="T152" i="1"/>
  <c r="AF152" i="1" s="1"/>
  <c r="O152" i="1"/>
  <c r="L152" i="1"/>
  <c r="DA151" i="1"/>
  <c r="CZ151" i="1"/>
  <c r="CX151" i="1"/>
  <c r="BM151" i="1"/>
  <c r="BL151" i="1"/>
  <c r="BH151" i="1"/>
  <c r="BE151" i="1"/>
  <c r="BD151" i="1"/>
  <c r="AX151" i="1"/>
  <c r="AR151" i="1"/>
  <c r="AM151" i="1"/>
  <c r="AK151" i="1" s="1"/>
  <c r="AC151" i="1"/>
  <c r="AB151" i="1"/>
  <c r="T151" i="1"/>
  <c r="R151" i="1"/>
  <c r="N151" i="1"/>
  <c r="BA151" i="1" s="1"/>
  <c r="DA150" i="1"/>
  <c r="CZ150" i="1"/>
  <c r="CX150" i="1"/>
  <c r="W150" i="1" s="1"/>
  <c r="BM150" i="1"/>
  <c r="BL150" i="1"/>
  <c r="BH150" i="1"/>
  <c r="BK150" i="1" s="1"/>
  <c r="BD150" i="1"/>
  <c r="AX150" i="1"/>
  <c r="AR150" i="1"/>
  <c r="BE150" i="1" s="1"/>
  <c r="AM150" i="1"/>
  <c r="AK150" i="1"/>
  <c r="AC150" i="1"/>
  <c r="AB150" i="1"/>
  <c r="AA150" i="1" s="1"/>
  <c r="T150" i="1"/>
  <c r="O150" i="1"/>
  <c r="DA149" i="1"/>
  <c r="CZ149" i="1"/>
  <c r="CX149" i="1"/>
  <c r="BM149" i="1"/>
  <c r="BL149" i="1"/>
  <c r="BH149" i="1"/>
  <c r="BE149" i="1"/>
  <c r="BD149" i="1"/>
  <c r="BA149" i="1"/>
  <c r="AX149" i="1"/>
  <c r="AR149" i="1"/>
  <c r="AM149" i="1"/>
  <c r="AK149" i="1" s="1"/>
  <c r="O149" i="1" s="1"/>
  <c r="AL149" i="1"/>
  <c r="AC149" i="1"/>
  <c r="AB149" i="1"/>
  <c r="T149" i="1"/>
  <c r="R149" i="1"/>
  <c r="N149" i="1"/>
  <c r="DA148" i="1"/>
  <c r="CZ148" i="1"/>
  <c r="CY148" i="1"/>
  <c r="AZ148" i="1" s="1"/>
  <c r="BB148" i="1" s="1"/>
  <c r="CX148" i="1"/>
  <c r="BM148" i="1"/>
  <c r="BL148" i="1"/>
  <c r="BH148" i="1"/>
  <c r="BK148" i="1" s="1"/>
  <c r="BD148" i="1"/>
  <c r="AX148" i="1"/>
  <c r="AR148" i="1"/>
  <c r="BE148" i="1" s="1"/>
  <c r="AM148" i="1"/>
  <c r="AK148" i="1"/>
  <c r="AC148" i="1"/>
  <c r="AB148" i="1"/>
  <c r="AA148" i="1"/>
  <c r="W148" i="1"/>
  <c r="T148" i="1"/>
  <c r="DA147" i="1"/>
  <c r="CZ147" i="1"/>
  <c r="CX147" i="1"/>
  <c r="CY147" i="1" s="1"/>
  <c r="AZ147" i="1" s="1"/>
  <c r="BM147" i="1"/>
  <c r="BL147" i="1"/>
  <c r="BH147" i="1"/>
  <c r="BK147" i="1" s="1"/>
  <c r="BE147" i="1"/>
  <c r="BD147" i="1"/>
  <c r="AX147" i="1"/>
  <c r="BB147" i="1" s="1"/>
  <c r="AR147" i="1"/>
  <c r="AM147" i="1"/>
  <c r="AK147" i="1" s="1"/>
  <c r="AL147" i="1"/>
  <c r="AC147" i="1"/>
  <c r="AB147" i="1"/>
  <c r="T147" i="1"/>
  <c r="DA146" i="1"/>
  <c r="CZ146" i="1"/>
  <c r="CX146" i="1"/>
  <c r="CY146" i="1" s="1"/>
  <c r="AZ146" i="1" s="1"/>
  <c r="BB146" i="1" s="1"/>
  <c r="BN146" i="1"/>
  <c r="BO146" i="1" s="1"/>
  <c r="BM146" i="1"/>
  <c r="BL146" i="1"/>
  <c r="BK146" i="1"/>
  <c r="BJ146" i="1"/>
  <c r="BH146" i="1"/>
  <c r="BI146" i="1" s="1"/>
  <c r="BE146" i="1"/>
  <c r="BD146" i="1"/>
  <c r="AX146" i="1"/>
  <c r="AR146" i="1"/>
  <c r="AM146" i="1"/>
  <c r="AK146" i="1"/>
  <c r="AC146" i="1"/>
  <c r="AB146" i="1"/>
  <c r="AA146" i="1"/>
  <c r="T146" i="1"/>
  <c r="R146" i="1"/>
  <c r="DA145" i="1"/>
  <c r="W145" i="1" s="1"/>
  <c r="CZ145" i="1"/>
  <c r="CY145" i="1" s="1"/>
  <c r="AZ145" i="1" s="1"/>
  <c r="BB145" i="1" s="1"/>
  <c r="CX145" i="1"/>
  <c r="BM145" i="1"/>
  <c r="BL145" i="1"/>
  <c r="BK145" i="1"/>
  <c r="BJ145" i="1"/>
  <c r="BN145" i="1" s="1"/>
  <c r="BO145" i="1" s="1"/>
  <c r="BI145" i="1"/>
  <c r="BH145" i="1"/>
  <c r="BD145" i="1"/>
  <c r="BA145" i="1"/>
  <c r="AX145" i="1"/>
  <c r="AR145" i="1"/>
  <c r="BE145" i="1" s="1"/>
  <c r="AM145" i="1"/>
  <c r="AK145" i="1"/>
  <c r="M145" i="1" s="1"/>
  <c r="L145" i="1" s="1"/>
  <c r="AC145" i="1"/>
  <c r="AB145" i="1"/>
  <c r="AA145" i="1"/>
  <c r="T145" i="1"/>
  <c r="R145" i="1"/>
  <c r="O145" i="1"/>
  <c r="N145" i="1"/>
  <c r="DA144" i="1"/>
  <c r="CZ144" i="1"/>
  <c r="CX144" i="1"/>
  <c r="BM144" i="1"/>
  <c r="BL144" i="1"/>
  <c r="BH144" i="1"/>
  <c r="BD144" i="1"/>
  <c r="AX144" i="1"/>
  <c r="AR144" i="1"/>
  <c r="BE144" i="1" s="1"/>
  <c r="AM144" i="1"/>
  <c r="AK144" i="1" s="1"/>
  <c r="AC144" i="1"/>
  <c r="AB144" i="1"/>
  <c r="AA144" i="1" s="1"/>
  <c r="T144" i="1"/>
  <c r="DA143" i="1"/>
  <c r="CZ143" i="1"/>
  <c r="CX143" i="1"/>
  <c r="CY143" i="1" s="1"/>
  <c r="AZ143" i="1" s="1"/>
  <c r="BB143" i="1" s="1"/>
  <c r="BM143" i="1"/>
  <c r="BL143" i="1"/>
  <c r="BH143" i="1"/>
  <c r="BK143" i="1" s="1"/>
  <c r="BE143" i="1"/>
  <c r="BD143" i="1"/>
  <c r="AX143" i="1"/>
  <c r="AR143" i="1"/>
  <c r="AM143" i="1"/>
  <c r="AK143" i="1" s="1"/>
  <c r="AL143" i="1"/>
  <c r="AC143" i="1"/>
  <c r="AB143" i="1"/>
  <c r="T143" i="1"/>
  <c r="DA142" i="1"/>
  <c r="W142" i="1" s="1"/>
  <c r="CZ142" i="1"/>
  <c r="CX142" i="1"/>
  <c r="CY142" i="1" s="1"/>
  <c r="AZ142" i="1" s="1"/>
  <c r="BB142" i="1" s="1"/>
  <c r="BN142" i="1"/>
  <c r="BO142" i="1" s="1"/>
  <c r="BM142" i="1"/>
  <c r="BL142" i="1"/>
  <c r="BK142" i="1"/>
  <c r="BJ142" i="1"/>
  <c r="BH142" i="1"/>
  <c r="BI142" i="1" s="1"/>
  <c r="BE142" i="1"/>
  <c r="BD142" i="1"/>
  <c r="AX142" i="1"/>
  <c r="AR142" i="1"/>
  <c r="AM142" i="1"/>
  <c r="AK142" i="1"/>
  <c r="AC142" i="1"/>
  <c r="AB142" i="1"/>
  <c r="AA142" i="1"/>
  <c r="T142" i="1"/>
  <c r="R142" i="1"/>
  <c r="DA141" i="1"/>
  <c r="W141" i="1" s="1"/>
  <c r="CZ141" i="1"/>
  <c r="CX141" i="1"/>
  <c r="BM141" i="1"/>
  <c r="BL141" i="1"/>
  <c r="BK141" i="1"/>
  <c r="BJ141" i="1"/>
  <c r="BN141" i="1" s="1"/>
  <c r="BO141" i="1" s="1"/>
  <c r="BH141" i="1"/>
  <c r="BI141" i="1" s="1"/>
  <c r="BD141" i="1"/>
  <c r="BA141" i="1"/>
  <c r="AX141" i="1"/>
  <c r="AR141" i="1"/>
  <c r="BE141" i="1" s="1"/>
  <c r="AM141" i="1"/>
  <c r="AK141" i="1"/>
  <c r="M141" i="1" s="1"/>
  <c r="L141" i="1" s="1"/>
  <c r="AC141" i="1"/>
  <c r="AB141" i="1"/>
  <c r="AA141" i="1"/>
  <c r="T141" i="1"/>
  <c r="R141" i="1"/>
  <c r="O141" i="1"/>
  <c r="N141" i="1"/>
  <c r="DA140" i="1"/>
  <c r="CZ140" i="1"/>
  <c r="CX140" i="1"/>
  <c r="CY140" i="1" s="1"/>
  <c r="AZ140" i="1" s="1"/>
  <c r="BM140" i="1"/>
  <c r="BL140" i="1"/>
  <c r="BI140" i="1"/>
  <c r="BH140" i="1"/>
  <c r="BD140" i="1"/>
  <c r="AX140" i="1"/>
  <c r="AR140" i="1"/>
  <c r="BE140" i="1" s="1"/>
  <c r="AM140" i="1"/>
  <c r="AK140" i="1" s="1"/>
  <c r="AC140" i="1"/>
  <c r="AB140" i="1"/>
  <c r="AA140" i="1" s="1"/>
  <c r="T140" i="1"/>
  <c r="O140" i="1"/>
  <c r="DA139" i="1"/>
  <c r="CZ139" i="1"/>
  <c r="CX139" i="1"/>
  <c r="BM139" i="1"/>
  <c r="BL139" i="1"/>
  <c r="BH139" i="1"/>
  <c r="BD139" i="1"/>
  <c r="AX139" i="1"/>
  <c r="AR139" i="1"/>
  <c r="BE139" i="1" s="1"/>
  <c r="AM139" i="1"/>
  <c r="AK139" i="1" s="1"/>
  <c r="AL139" i="1"/>
  <c r="AC139" i="1"/>
  <c r="AB139" i="1"/>
  <c r="T139" i="1"/>
  <c r="N139" i="1"/>
  <c r="BA139" i="1" s="1"/>
  <c r="M139" i="1"/>
  <c r="L139" i="1" s="1"/>
  <c r="DA138" i="1"/>
  <c r="W138" i="1" s="1"/>
  <c r="CZ138" i="1"/>
  <c r="CX138" i="1"/>
  <c r="CY138" i="1" s="1"/>
  <c r="BM138" i="1"/>
  <c r="BL138" i="1"/>
  <c r="BK138" i="1"/>
  <c r="BJ138" i="1"/>
  <c r="BN138" i="1" s="1"/>
  <c r="BO138" i="1" s="1"/>
  <c r="BH138" i="1"/>
  <c r="BI138" i="1" s="1"/>
  <c r="BE138" i="1"/>
  <c r="BD138" i="1"/>
  <c r="BB138" i="1"/>
  <c r="AZ138" i="1"/>
  <c r="AX138" i="1"/>
  <c r="AR138" i="1"/>
  <c r="AM138" i="1"/>
  <c r="AL138" i="1"/>
  <c r="AK138" i="1"/>
  <c r="AC138" i="1"/>
  <c r="AB138" i="1"/>
  <c r="AA138" i="1" s="1"/>
  <c r="T138" i="1"/>
  <c r="R138" i="1"/>
  <c r="DA137" i="1"/>
  <c r="CZ137" i="1"/>
  <c r="CX137" i="1"/>
  <c r="BM137" i="1"/>
  <c r="BL137" i="1"/>
  <c r="BH137" i="1"/>
  <c r="BD137" i="1"/>
  <c r="AX137" i="1"/>
  <c r="AR137" i="1"/>
  <c r="BE137" i="1" s="1"/>
  <c r="AM137" i="1"/>
  <c r="AK137" i="1"/>
  <c r="M137" i="1" s="1"/>
  <c r="L137" i="1" s="1"/>
  <c r="AC137" i="1"/>
  <c r="AB137" i="1"/>
  <c r="AA137" i="1"/>
  <c r="T137" i="1"/>
  <c r="R137" i="1"/>
  <c r="O137" i="1"/>
  <c r="N137" i="1"/>
  <c r="BA137" i="1" s="1"/>
  <c r="DA136" i="1"/>
  <c r="CZ136" i="1"/>
  <c r="CX136" i="1"/>
  <c r="CY136" i="1" s="1"/>
  <c r="AZ136" i="1" s="1"/>
  <c r="BO136" i="1"/>
  <c r="BN136" i="1"/>
  <c r="BM136" i="1"/>
  <c r="BL136" i="1"/>
  <c r="BJ136" i="1"/>
  <c r="BI136" i="1"/>
  <c r="BH136" i="1"/>
  <c r="BK136" i="1" s="1"/>
  <c r="BD136" i="1"/>
  <c r="AX136" i="1"/>
  <c r="AR136" i="1"/>
  <c r="BE136" i="1" s="1"/>
  <c r="AM136" i="1"/>
  <c r="AK136" i="1" s="1"/>
  <c r="R136" i="1" s="1"/>
  <c r="AC136" i="1"/>
  <c r="AB136" i="1"/>
  <c r="AA136" i="1" s="1"/>
  <c r="W136" i="1"/>
  <c r="T136" i="1"/>
  <c r="O136" i="1"/>
  <c r="N136" i="1"/>
  <c r="BA136" i="1" s="1"/>
  <c r="M136" i="1"/>
  <c r="L136" i="1" s="1"/>
  <c r="DA135" i="1"/>
  <c r="CZ135" i="1"/>
  <c r="CY135" i="1"/>
  <c r="AZ135" i="1" s="1"/>
  <c r="CX135" i="1"/>
  <c r="BM135" i="1"/>
  <c r="BL135" i="1"/>
  <c r="BH135" i="1"/>
  <c r="BE135" i="1"/>
  <c r="BD135" i="1"/>
  <c r="BB135" i="1"/>
  <c r="AX135" i="1"/>
  <c r="AR135" i="1"/>
  <c r="AM135" i="1"/>
  <c r="AK135" i="1"/>
  <c r="R135" i="1" s="1"/>
  <c r="AE135" i="1"/>
  <c r="AC135" i="1"/>
  <c r="AB135" i="1"/>
  <c r="AA135" i="1" s="1"/>
  <c r="W135" i="1"/>
  <c r="T135" i="1"/>
  <c r="M135" i="1"/>
  <c r="L135" i="1" s="1"/>
  <c r="DA134" i="1"/>
  <c r="W134" i="1" s="1"/>
  <c r="CZ134" i="1"/>
  <c r="CX134" i="1"/>
  <c r="BM134" i="1"/>
  <c r="BL134" i="1"/>
  <c r="BK134" i="1"/>
  <c r="BJ134" i="1"/>
  <c r="BN134" i="1" s="1"/>
  <c r="BO134" i="1" s="1"/>
  <c r="BH134" i="1"/>
  <c r="BI134" i="1" s="1"/>
  <c r="BD134" i="1"/>
  <c r="AX134" i="1"/>
  <c r="AR134" i="1"/>
  <c r="BE134" i="1" s="1"/>
  <c r="AM134" i="1"/>
  <c r="AK134" i="1" s="1"/>
  <c r="AC134" i="1"/>
  <c r="AB134" i="1"/>
  <c r="AA134" i="1" s="1"/>
  <c r="T134" i="1"/>
  <c r="DA133" i="1"/>
  <c r="CZ133" i="1"/>
  <c r="CY133" i="1"/>
  <c r="AZ133" i="1" s="1"/>
  <c r="CX133" i="1"/>
  <c r="BO133" i="1"/>
  <c r="BN133" i="1"/>
  <c r="BM133" i="1"/>
  <c r="BL133" i="1"/>
  <c r="BJ133" i="1"/>
  <c r="BI133" i="1"/>
  <c r="BH133" i="1"/>
  <c r="BK133" i="1" s="1"/>
  <c r="BE133" i="1"/>
  <c r="BD133" i="1"/>
  <c r="AX133" i="1"/>
  <c r="AR133" i="1"/>
  <c r="AM133" i="1"/>
  <c r="AK133" i="1" s="1"/>
  <c r="AC133" i="1"/>
  <c r="AB133" i="1"/>
  <c r="AA133" i="1" s="1"/>
  <c r="W133" i="1"/>
  <c r="T133" i="1"/>
  <c r="DA132" i="1"/>
  <c r="CZ132" i="1"/>
  <c r="CX132" i="1"/>
  <c r="CY132" i="1" s="1"/>
  <c r="AZ132" i="1" s="1"/>
  <c r="BB132" i="1" s="1"/>
  <c r="BM132" i="1"/>
  <c r="BL132" i="1"/>
  <c r="BK132" i="1"/>
  <c r="BH132" i="1"/>
  <c r="BJ132" i="1" s="1"/>
  <c r="BN132" i="1" s="1"/>
  <c r="BO132" i="1" s="1"/>
  <c r="BE132" i="1"/>
  <c r="BD132" i="1"/>
  <c r="AX132" i="1"/>
  <c r="AR132" i="1"/>
  <c r="AM132" i="1"/>
  <c r="AK132" i="1"/>
  <c r="AC132" i="1"/>
  <c r="AB132" i="1"/>
  <c r="AA132" i="1"/>
  <c r="T132" i="1"/>
  <c r="DA131" i="1"/>
  <c r="W131" i="1" s="1"/>
  <c r="CZ131" i="1"/>
  <c r="CY131" i="1" s="1"/>
  <c r="AZ131" i="1" s="1"/>
  <c r="CX131" i="1"/>
  <c r="BM131" i="1"/>
  <c r="BL131" i="1"/>
  <c r="BK131" i="1"/>
  <c r="BJ131" i="1"/>
  <c r="BN131" i="1" s="1"/>
  <c r="BO131" i="1" s="1"/>
  <c r="BI131" i="1"/>
  <c r="BH131" i="1"/>
  <c r="BD131" i="1"/>
  <c r="AX131" i="1"/>
  <c r="AR131" i="1"/>
  <c r="BE131" i="1" s="1"/>
  <c r="AM131" i="1"/>
  <c r="AK131" i="1"/>
  <c r="O131" i="1" s="1"/>
  <c r="AC131" i="1"/>
  <c r="AB131" i="1"/>
  <c r="AA131" i="1"/>
  <c r="T131" i="1"/>
  <c r="DA130" i="1"/>
  <c r="CZ130" i="1"/>
  <c r="CY130" i="1"/>
  <c r="AZ130" i="1" s="1"/>
  <c r="CX130" i="1"/>
  <c r="BM130" i="1"/>
  <c r="BL130" i="1"/>
  <c r="BI130" i="1"/>
  <c r="BH130" i="1"/>
  <c r="BK130" i="1" s="1"/>
  <c r="BD130" i="1"/>
  <c r="AX130" i="1"/>
  <c r="AR130" i="1"/>
  <c r="BE130" i="1" s="1"/>
  <c r="AM130" i="1"/>
  <c r="AK130" i="1" s="1"/>
  <c r="AC130" i="1"/>
  <c r="AB130" i="1"/>
  <c r="AA130" i="1" s="1"/>
  <c r="W130" i="1"/>
  <c r="T130" i="1"/>
  <c r="DA129" i="1"/>
  <c r="CZ129" i="1"/>
  <c r="CY129" i="1"/>
  <c r="AZ129" i="1" s="1"/>
  <c r="CX129" i="1"/>
  <c r="BO129" i="1"/>
  <c r="BN129" i="1"/>
  <c r="BM129" i="1"/>
  <c r="BL129" i="1"/>
  <c r="BJ129" i="1"/>
  <c r="BI129" i="1"/>
  <c r="BH129" i="1"/>
  <c r="BK129" i="1" s="1"/>
  <c r="BE129" i="1"/>
  <c r="BD129" i="1"/>
  <c r="AX129" i="1"/>
  <c r="AR129" i="1"/>
  <c r="AM129" i="1"/>
  <c r="AK129" i="1" s="1"/>
  <c r="AC129" i="1"/>
  <c r="AB129" i="1"/>
  <c r="AA129" i="1" s="1"/>
  <c r="W129" i="1"/>
  <c r="T129" i="1"/>
  <c r="DA128" i="1"/>
  <c r="CZ128" i="1"/>
  <c r="CX128" i="1"/>
  <c r="CY128" i="1" s="1"/>
  <c r="AZ128" i="1" s="1"/>
  <c r="BB128" i="1" s="1"/>
  <c r="BM128" i="1"/>
  <c r="BL128" i="1"/>
  <c r="BK128" i="1"/>
  <c r="BJ128" i="1"/>
  <c r="BN128" i="1" s="1"/>
  <c r="BO128" i="1" s="1"/>
  <c r="BH128" i="1"/>
  <c r="BI128" i="1" s="1"/>
  <c r="BE128" i="1"/>
  <c r="BD128" i="1"/>
  <c r="AX128" i="1"/>
  <c r="AR128" i="1"/>
  <c r="AM128" i="1"/>
  <c r="AK128" i="1"/>
  <c r="AC128" i="1"/>
  <c r="AB128" i="1"/>
  <c r="AA128" i="1"/>
  <c r="T128" i="1"/>
  <c r="DA127" i="1"/>
  <c r="W127" i="1" s="1"/>
  <c r="CZ127" i="1"/>
  <c r="CX127" i="1"/>
  <c r="CY127" i="1" s="1"/>
  <c r="AZ127" i="1" s="1"/>
  <c r="BM127" i="1"/>
  <c r="BL127" i="1"/>
  <c r="BK127" i="1"/>
  <c r="BJ127" i="1"/>
  <c r="BN127" i="1" s="1"/>
  <c r="BO127" i="1" s="1"/>
  <c r="BH127" i="1"/>
  <c r="BI127" i="1" s="1"/>
  <c r="BD127" i="1"/>
  <c r="AX127" i="1"/>
  <c r="BB127" i="1" s="1"/>
  <c r="AR127" i="1"/>
  <c r="BE127" i="1" s="1"/>
  <c r="AM127" i="1"/>
  <c r="AK127" i="1"/>
  <c r="O127" i="1" s="1"/>
  <c r="AC127" i="1"/>
  <c r="AB127" i="1"/>
  <c r="AA127" i="1"/>
  <c r="T127" i="1"/>
  <c r="DA126" i="1"/>
  <c r="CZ126" i="1"/>
  <c r="CY126" i="1"/>
  <c r="AZ126" i="1" s="1"/>
  <c r="CX126" i="1"/>
  <c r="BM126" i="1"/>
  <c r="BL126" i="1"/>
  <c r="BI126" i="1"/>
  <c r="BH126" i="1"/>
  <c r="BK126" i="1" s="1"/>
  <c r="BD126" i="1"/>
  <c r="AX126" i="1"/>
  <c r="AR126" i="1"/>
  <c r="BE126" i="1" s="1"/>
  <c r="AM126" i="1"/>
  <c r="AK126" i="1" s="1"/>
  <c r="AC126" i="1"/>
  <c r="AB126" i="1"/>
  <c r="AA126" i="1" s="1"/>
  <c r="W126" i="1"/>
  <c r="T126" i="1"/>
  <c r="O126" i="1"/>
  <c r="DA125" i="1"/>
  <c r="CZ125" i="1"/>
  <c r="CY125" i="1"/>
  <c r="AZ125" i="1" s="1"/>
  <c r="CX125" i="1"/>
  <c r="BO125" i="1"/>
  <c r="BN125" i="1"/>
  <c r="BM125" i="1"/>
  <c r="BL125" i="1"/>
  <c r="BJ125" i="1"/>
  <c r="BI125" i="1"/>
  <c r="BH125" i="1"/>
  <c r="BK125" i="1" s="1"/>
  <c r="BE125" i="1"/>
  <c r="BD125" i="1"/>
  <c r="AX125" i="1"/>
  <c r="BB125" i="1" s="1"/>
  <c r="AR125" i="1"/>
  <c r="AM125" i="1"/>
  <c r="AK125" i="1" s="1"/>
  <c r="AC125" i="1"/>
  <c r="AB125" i="1"/>
  <c r="W125" i="1"/>
  <c r="T125" i="1"/>
  <c r="DA124" i="1"/>
  <c r="CZ124" i="1"/>
  <c r="CX124" i="1"/>
  <c r="CY124" i="1" s="1"/>
  <c r="AZ124" i="1" s="1"/>
  <c r="BM124" i="1"/>
  <c r="BL124" i="1"/>
  <c r="BJ124" i="1"/>
  <c r="BN124" i="1" s="1"/>
  <c r="BO124" i="1" s="1"/>
  <c r="BH124" i="1"/>
  <c r="BK124" i="1" s="1"/>
  <c r="BE124" i="1"/>
  <c r="BD124" i="1"/>
  <c r="BB124" i="1"/>
  <c r="AX124" i="1"/>
  <c r="AR124" i="1"/>
  <c r="AM124" i="1"/>
  <c r="AK124" i="1"/>
  <c r="AC124" i="1"/>
  <c r="AB124" i="1"/>
  <c r="AA124" i="1"/>
  <c r="T124" i="1"/>
  <c r="R124" i="1"/>
  <c r="DA123" i="1"/>
  <c r="CZ123" i="1"/>
  <c r="CX123" i="1"/>
  <c r="CY123" i="1" s="1"/>
  <c r="AZ123" i="1" s="1"/>
  <c r="BM123" i="1"/>
  <c r="BL123" i="1"/>
  <c r="BK123" i="1"/>
  <c r="BJ123" i="1"/>
  <c r="BN123" i="1" s="1"/>
  <c r="BO123" i="1" s="1"/>
  <c r="BH123" i="1"/>
  <c r="BI123" i="1" s="1"/>
  <c r="BD123" i="1"/>
  <c r="AX123" i="1"/>
  <c r="AR123" i="1"/>
  <c r="BE123" i="1" s="1"/>
  <c r="AM123" i="1"/>
  <c r="AK123" i="1"/>
  <c r="AC123" i="1"/>
  <c r="AB123" i="1"/>
  <c r="AA123" i="1"/>
  <c r="T123" i="1"/>
  <c r="DA122" i="1"/>
  <c r="CZ122" i="1"/>
  <c r="CX122" i="1"/>
  <c r="W122" i="1" s="1"/>
  <c r="BN122" i="1"/>
  <c r="BO122" i="1" s="1"/>
  <c r="BM122" i="1"/>
  <c r="BL122" i="1"/>
  <c r="BH122" i="1"/>
  <c r="BJ122" i="1" s="1"/>
  <c r="BD122" i="1"/>
  <c r="BA122" i="1"/>
  <c r="AX122" i="1"/>
  <c r="AR122" i="1"/>
  <c r="BE122" i="1" s="1"/>
  <c r="AM122" i="1"/>
  <c r="AK122" i="1" s="1"/>
  <c r="M122" i="1" s="1"/>
  <c r="AE122" i="1"/>
  <c r="AC122" i="1"/>
  <c r="AB122" i="1"/>
  <c r="AA122" i="1" s="1"/>
  <c r="T122" i="1"/>
  <c r="R122" i="1"/>
  <c r="O122" i="1"/>
  <c r="N122" i="1"/>
  <c r="L122" i="1"/>
  <c r="DA121" i="1"/>
  <c r="CZ121" i="1"/>
  <c r="CY121" i="1"/>
  <c r="AZ121" i="1" s="1"/>
  <c r="BB121" i="1" s="1"/>
  <c r="CX121" i="1"/>
  <c r="BN121" i="1"/>
  <c r="BO121" i="1" s="1"/>
  <c r="BM121" i="1"/>
  <c r="BL121" i="1"/>
  <c r="BJ121" i="1"/>
  <c r="BI121" i="1"/>
  <c r="BH121" i="1"/>
  <c r="BK121" i="1" s="1"/>
  <c r="BE121" i="1"/>
  <c r="BD121" i="1"/>
  <c r="AX121" i="1"/>
  <c r="AR121" i="1"/>
  <c r="AM121" i="1"/>
  <c r="AK121" i="1"/>
  <c r="N121" i="1" s="1"/>
  <c r="BA121" i="1" s="1"/>
  <c r="AC121" i="1"/>
  <c r="AB121" i="1"/>
  <c r="AA121" i="1"/>
  <c r="W121" i="1"/>
  <c r="T121" i="1"/>
  <c r="M121" i="1"/>
  <c r="L121" i="1"/>
  <c r="DA120" i="1"/>
  <c r="CZ120" i="1"/>
  <c r="CX120" i="1"/>
  <c r="BM120" i="1"/>
  <c r="BL120" i="1"/>
  <c r="BK120" i="1"/>
  <c r="BJ120" i="1"/>
  <c r="BN120" i="1" s="1"/>
  <c r="BO120" i="1" s="1"/>
  <c r="BH120" i="1"/>
  <c r="BI120" i="1" s="1"/>
  <c r="BD120" i="1"/>
  <c r="AX120" i="1"/>
  <c r="AR120" i="1"/>
  <c r="BE120" i="1" s="1"/>
  <c r="AM120" i="1"/>
  <c r="AK120" i="1" s="1"/>
  <c r="AC120" i="1"/>
  <c r="AA120" i="1" s="1"/>
  <c r="AB120" i="1"/>
  <c r="W120" i="1"/>
  <c r="T120" i="1"/>
  <c r="O120" i="1"/>
  <c r="DA119" i="1"/>
  <c r="CZ119" i="1"/>
  <c r="CX119" i="1"/>
  <c r="CY119" i="1" s="1"/>
  <c r="AZ119" i="1" s="1"/>
  <c r="BM119" i="1"/>
  <c r="BL119" i="1"/>
  <c r="BH119" i="1"/>
  <c r="BK119" i="1" s="1"/>
  <c r="BE119" i="1"/>
  <c r="BD119" i="1"/>
  <c r="AX119" i="1"/>
  <c r="AR119" i="1"/>
  <c r="AM119" i="1"/>
  <c r="AK119" i="1" s="1"/>
  <c r="AC119" i="1"/>
  <c r="AB119" i="1"/>
  <c r="AA119" i="1" s="1"/>
  <c r="T119" i="1"/>
  <c r="DA118" i="1"/>
  <c r="CZ118" i="1"/>
  <c r="CX118" i="1"/>
  <c r="CY118" i="1" s="1"/>
  <c r="AZ118" i="1" s="1"/>
  <c r="BB118" i="1" s="1"/>
  <c r="BM118" i="1"/>
  <c r="BL118" i="1"/>
  <c r="BH118" i="1"/>
  <c r="BK118" i="1" s="1"/>
  <c r="BD118" i="1"/>
  <c r="AX118" i="1"/>
  <c r="AR118" i="1"/>
  <c r="BE118" i="1" s="1"/>
  <c r="AM118" i="1"/>
  <c r="AK118" i="1"/>
  <c r="AC118" i="1"/>
  <c r="AB118" i="1"/>
  <c r="AA118" i="1"/>
  <c r="T118" i="1"/>
  <c r="DA117" i="1"/>
  <c r="W117" i="1" s="1"/>
  <c r="CZ117" i="1"/>
  <c r="CY117" i="1" s="1"/>
  <c r="AZ117" i="1" s="1"/>
  <c r="BB117" i="1" s="1"/>
  <c r="CX117" i="1"/>
  <c r="BM117" i="1"/>
  <c r="BL117" i="1"/>
  <c r="BK117" i="1"/>
  <c r="BJ117" i="1"/>
  <c r="BN117" i="1" s="1"/>
  <c r="BO117" i="1" s="1"/>
  <c r="BI117" i="1"/>
  <c r="BH117" i="1"/>
  <c r="BD117" i="1"/>
  <c r="BA117" i="1"/>
  <c r="AX117" i="1"/>
  <c r="AR117" i="1"/>
  <c r="BE117" i="1" s="1"/>
  <c r="AM117" i="1"/>
  <c r="AL117" i="1"/>
  <c r="AK117" i="1"/>
  <c r="N117" i="1" s="1"/>
  <c r="AC117" i="1"/>
  <c r="AB117" i="1"/>
  <c r="AA117" i="1" s="1"/>
  <c r="T117" i="1"/>
  <c r="R117" i="1"/>
  <c r="O117" i="1"/>
  <c r="DA116" i="1"/>
  <c r="CZ116" i="1"/>
  <c r="CY116" i="1"/>
  <c r="AZ116" i="1" s="1"/>
  <c r="CX116" i="1"/>
  <c r="BM116" i="1"/>
  <c r="BL116" i="1"/>
  <c r="BJ116" i="1"/>
  <c r="BN116" i="1" s="1"/>
  <c r="BO116" i="1" s="1"/>
  <c r="BI116" i="1"/>
  <c r="BH116" i="1"/>
  <c r="BK116" i="1" s="1"/>
  <c r="BD116" i="1"/>
  <c r="AX116" i="1"/>
  <c r="BB116" i="1" s="1"/>
  <c r="AR116" i="1"/>
  <c r="BE116" i="1" s="1"/>
  <c r="AM116" i="1"/>
  <c r="AK116" i="1" s="1"/>
  <c r="AC116" i="1"/>
  <c r="AA116" i="1" s="1"/>
  <c r="AB116" i="1"/>
  <c r="W116" i="1"/>
  <c r="T116" i="1"/>
  <c r="DA115" i="1"/>
  <c r="CZ115" i="1"/>
  <c r="CX115" i="1"/>
  <c r="CY115" i="1" s="1"/>
  <c r="AZ115" i="1" s="1"/>
  <c r="BM115" i="1"/>
  <c r="BL115" i="1"/>
  <c r="BH115" i="1"/>
  <c r="BK115" i="1" s="1"/>
  <c r="BE115" i="1"/>
  <c r="BD115" i="1"/>
  <c r="AX115" i="1"/>
  <c r="BB115" i="1" s="1"/>
  <c r="AR115" i="1"/>
  <c r="AM115" i="1"/>
  <c r="AK115" i="1" s="1"/>
  <c r="AC115" i="1"/>
  <c r="AB115" i="1"/>
  <c r="AA115" i="1" s="1"/>
  <c r="T115" i="1"/>
  <c r="M115" i="1"/>
  <c r="L115" i="1" s="1"/>
  <c r="AE115" i="1" s="1"/>
  <c r="DA114" i="1"/>
  <c r="CZ114" i="1"/>
  <c r="CX114" i="1"/>
  <c r="CY114" i="1" s="1"/>
  <c r="AZ114" i="1" s="1"/>
  <c r="BB114" i="1" s="1"/>
  <c r="BM114" i="1"/>
  <c r="BL114" i="1"/>
  <c r="BH114" i="1"/>
  <c r="BK114" i="1" s="1"/>
  <c r="BD114" i="1"/>
  <c r="AX114" i="1"/>
  <c r="AR114" i="1"/>
  <c r="BE114" i="1" s="1"/>
  <c r="AM114" i="1"/>
  <c r="AK114" i="1"/>
  <c r="AC114" i="1"/>
  <c r="AB114" i="1"/>
  <c r="AA114" i="1"/>
  <c r="T114" i="1"/>
  <c r="DA113" i="1"/>
  <c r="W113" i="1" s="1"/>
  <c r="CZ113" i="1"/>
  <c r="CY113" i="1" s="1"/>
  <c r="AZ113" i="1" s="1"/>
  <c r="BB113" i="1" s="1"/>
  <c r="CX113" i="1"/>
  <c r="BM113" i="1"/>
  <c r="BL113" i="1"/>
  <c r="BK113" i="1"/>
  <c r="BJ113" i="1"/>
  <c r="BN113" i="1" s="1"/>
  <c r="BO113" i="1" s="1"/>
  <c r="BI113" i="1"/>
  <c r="BH113" i="1"/>
  <c r="BD113" i="1"/>
  <c r="AX113" i="1"/>
  <c r="AR113" i="1"/>
  <c r="BE113" i="1" s="1"/>
  <c r="AM113" i="1"/>
  <c r="AL113" i="1"/>
  <c r="AK113" i="1"/>
  <c r="N113" i="1" s="1"/>
  <c r="BA113" i="1" s="1"/>
  <c r="BC113" i="1" s="1"/>
  <c r="AC113" i="1"/>
  <c r="AB113" i="1"/>
  <c r="AA113" i="1" s="1"/>
  <c r="T113" i="1"/>
  <c r="R113" i="1"/>
  <c r="O113" i="1"/>
  <c r="DA112" i="1"/>
  <c r="CZ112" i="1"/>
  <c r="CY112" i="1"/>
  <c r="AZ112" i="1" s="1"/>
  <c r="CX112" i="1"/>
  <c r="BM112" i="1"/>
  <c r="BL112" i="1"/>
  <c r="BJ112" i="1"/>
  <c r="BN112" i="1" s="1"/>
  <c r="BO112" i="1" s="1"/>
  <c r="BI112" i="1"/>
  <c r="BH112" i="1"/>
  <c r="BK112" i="1" s="1"/>
  <c r="BD112" i="1"/>
  <c r="AX112" i="1"/>
  <c r="BB112" i="1" s="1"/>
  <c r="AR112" i="1"/>
  <c r="BE112" i="1" s="1"/>
  <c r="AM112" i="1"/>
  <c r="AK112" i="1" s="1"/>
  <c r="AC112" i="1"/>
  <c r="AB112" i="1"/>
  <c r="AA112" i="1" s="1"/>
  <c r="W112" i="1"/>
  <c r="T112" i="1"/>
  <c r="DA111" i="1"/>
  <c r="CZ111" i="1"/>
  <c r="CX111" i="1"/>
  <c r="CY111" i="1" s="1"/>
  <c r="AZ111" i="1" s="1"/>
  <c r="BM111" i="1"/>
  <c r="BL111" i="1"/>
  <c r="BH111" i="1"/>
  <c r="BK111" i="1" s="1"/>
  <c r="BE111" i="1"/>
  <c r="BD111" i="1"/>
  <c r="AX111" i="1"/>
  <c r="BB111" i="1" s="1"/>
  <c r="AR111" i="1"/>
  <c r="AM111" i="1"/>
  <c r="AK111" i="1" s="1"/>
  <c r="AC111" i="1"/>
  <c r="AB111" i="1"/>
  <c r="T111" i="1"/>
  <c r="DA110" i="1"/>
  <c r="CZ110" i="1"/>
  <c r="CX110" i="1"/>
  <c r="CY110" i="1" s="1"/>
  <c r="AZ110" i="1" s="1"/>
  <c r="BB110" i="1" s="1"/>
  <c r="BM110" i="1"/>
  <c r="BL110" i="1"/>
  <c r="BH110" i="1"/>
  <c r="BK110" i="1" s="1"/>
  <c r="BD110" i="1"/>
  <c r="AX110" i="1"/>
  <c r="AR110" i="1"/>
  <c r="BE110" i="1" s="1"/>
  <c r="AM110" i="1"/>
  <c r="AK110" i="1"/>
  <c r="AC110" i="1"/>
  <c r="AB110" i="1"/>
  <c r="AA110" i="1"/>
  <c r="T110" i="1"/>
  <c r="DA109" i="1"/>
  <c r="W109" i="1" s="1"/>
  <c r="CZ109" i="1"/>
  <c r="CY109" i="1" s="1"/>
  <c r="AZ109" i="1" s="1"/>
  <c r="BB109" i="1" s="1"/>
  <c r="CX109" i="1"/>
  <c r="BM109" i="1"/>
  <c r="BL109" i="1"/>
  <c r="BK109" i="1"/>
  <c r="BJ109" i="1"/>
  <c r="BN109" i="1" s="1"/>
  <c r="BO109" i="1" s="1"/>
  <c r="BI109" i="1"/>
  <c r="BH109" i="1"/>
  <c r="BD109" i="1"/>
  <c r="BA109" i="1"/>
  <c r="AX109" i="1"/>
  <c r="AR109" i="1"/>
  <c r="BE109" i="1" s="1"/>
  <c r="AM109" i="1"/>
  <c r="AL109" i="1"/>
  <c r="AK109" i="1"/>
  <c r="M109" i="1" s="1"/>
  <c r="L109" i="1" s="1"/>
  <c r="AC109" i="1"/>
  <c r="AB109" i="1"/>
  <c r="AA109" i="1" s="1"/>
  <c r="T109" i="1"/>
  <c r="R109" i="1"/>
  <c r="O109" i="1"/>
  <c r="N109" i="1"/>
  <c r="DA108" i="1"/>
  <c r="CZ108" i="1"/>
  <c r="CY108" i="1"/>
  <c r="CX108" i="1"/>
  <c r="BM108" i="1"/>
  <c r="BL108" i="1"/>
  <c r="BJ108" i="1"/>
  <c r="BN108" i="1" s="1"/>
  <c r="BO108" i="1" s="1"/>
  <c r="BI108" i="1"/>
  <c r="BH108" i="1"/>
  <c r="BK108" i="1" s="1"/>
  <c r="BD108" i="1"/>
  <c r="AZ108" i="1"/>
  <c r="AX108" i="1"/>
  <c r="AR108" i="1"/>
  <c r="BE108" i="1" s="1"/>
  <c r="AM108" i="1"/>
  <c r="AK108" i="1" s="1"/>
  <c r="AC108" i="1"/>
  <c r="AB108" i="1"/>
  <c r="AA108" i="1" s="1"/>
  <c r="W108" i="1"/>
  <c r="T108" i="1"/>
  <c r="DA107" i="1"/>
  <c r="CZ107" i="1"/>
  <c r="CX107" i="1"/>
  <c r="BM107" i="1"/>
  <c r="BL107" i="1"/>
  <c r="BH107" i="1"/>
  <c r="BE107" i="1"/>
  <c r="BD107" i="1"/>
  <c r="AX107" i="1"/>
  <c r="AR107" i="1"/>
  <c r="AM107" i="1"/>
  <c r="AK107" i="1" s="1"/>
  <c r="AC107" i="1"/>
  <c r="AB107" i="1"/>
  <c r="T107" i="1"/>
  <c r="N107" i="1"/>
  <c r="BA107" i="1" s="1"/>
  <c r="M107" i="1"/>
  <c r="L107" i="1" s="1"/>
  <c r="DA106" i="1"/>
  <c r="CZ106" i="1"/>
  <c r="CX106" i="1"/>
  <c r="BM106" i="1"/>
  <c r="BL106" i="1"/>
  <c r="BH106" i="1"/>
  <c r="BD106" i="1"/>
  <c r="AX106" i="1"/>
  <c r="AR106" i="1"/>
  <c r="BE106" i="1" s="1"/>
  <c r="AM106" i="1"/>
  <c r="AK106" i="1"/>
  <c r="AC106" i="1"/>
  <c r="AB106" i="1"/>
  <c r="AA106" i="1"/>
  <c r="T106" i="1"/>
  <c r="DA105" i="1"/>
  <c r="W105" i="1" s="1"/>
  <c r="CZ105" i="1"/>
  <c r="CY105" i="1" s="1"/>
  <c r="AZ105" i="1" s="1"/>
  <c r="CX105" i="1"/>
  <c r="BN105" i="1"/>
  <c r="BO105" i="1" s="1"/>
  <c r="BM105" i="1"/>
  <c r="BL105" i="1"/>
  <c r="BK105" i="1"/>
  <c r="BJ105" i="1"/>
  <c r="BI105" i="1"/>
  <c r="BH105" i="1"/>
  <c r="BD105" i="1"/>
  <c r="BB105" i="1"/>
  <c r="BA105" i="1"/>
  <c r="AX105" i="1"/>
  <c r="AR105" i="1"/>
  <c r="BE105" i="1" s="1"/>
  <c r="AM105" i="1"/>
  <c r="AL105" i="1"/>
  <c r="AK105" i="1"/>
  <c r="M105" i="1" s="1"/>
  <c r="L105" i="1" s="1"/>
  <c r="AC105" i="1"/>
  <c r="AB105" i="1"/>
  <c r="AA105" i="1" s="1"/>
  <c r="T105" i="1"/>
  <c r="R105" i="1"/>
  <c r="O105" i="1"/>
  <c r="N105" i="1"/>
  <c r="DA104" i="1"/>
  <c r="CZ104" i="1"/>
  <c r="CY104" i="1" s="1"/>
  <c r="AZ104" i="1" s="1"/>
  <c r="BB104" i="1" s="1"/>
  <c r="CX104" i="1"/>
  <c r="BM104" i="1"/>
  <c r="BL104" i="1"/>
  <c r="BH104" i="1"/>
  <c r="BK104" i="1" s="1"/>
  <c r="BD104" i="1"/>
  <c r="AX104" i="1"/>
  <c r="AR104" i="1"/>
  <c r="BE104" i="1" s="1"/>
  <c r="AM104" i="1"/>
  <c r="AK104" i="1" s="1"/>
  <c r="R104" i="1" s="1"/>
  <c r="AC104" i="1"/>
  <c r="AB104" i="1"/>
  <c r="AA104" i="1" s="1"/>
  <c r="W104" i="1"/>
  <c r="T104" i="1"/>
  <c r="DA103" i="1"/>
  <c r="CZ103" i="1"/>
  <c r="CX103" i="1"/>
  <c r="BM103" i="1"/>
  <c r="BL103" i="1"/>
  <c r="BH103" i="1"/>
  <c r="BE103" i="1"/>
  <c r="BD103" i="1"/>
  <c r="AX103" i="1"/>
  <c r="AR103" i="1"/>
  <c r="AM103" i="1"/>
  <c r="AK103" i="1" s="1"/>
  <c r="AL103" i="1"/>
  <c r="AC103" i="1"/>
  <c r="AB103" i="1"/>
  <c r="AA103" i="1" s="1"/>
  <c r="T103" i="1"/>
  <c r="N103" i="1"/>
  <c r="BA103" i="1" s="1"/>
  <c r="M103" i="1"/>
  <c r="L103" i="1" s="1"/>
  <c r="DA102" i="1"/>
  <c r="CZ102" i="1"/>
  <c r="CX102" i="1"/>
  <c r="BN102" i="1"/>
  <c r="BO102" i="1" s="1"/>
  <c r="BM102" i="1"/>
  <c r="BL102" i="1"/>
  <c r="BK102" i="1"/>
  <c r="BJ102" i="1"/>
  <c r="BH102" i="1"/>
  <c r="BI102" i="1" s="1"/>
  <c r="BD102" i="1"/>
  <c r="AX102" i="1"/>
  <c r="AR102" i="1"/>
  <c r="BE102" i="1" s="1"/>
  <c r="AM102" i="1"/>
  <c r="AK102" i="1"/>
  <c r="AC102" i="1"/>
  <c r="AB102" i="1"/>
  <c r="AA102" i="1" s="1"/>
  <c r="T102" i="1"/>
  <c r="N102" i="1"/>
  <c r="BA102" i="1" s="1"/>
  <c r="DA101" i="1"/>
  <c r="W101" i="1" s="1"/>
  <c r="CZ101" i="1"/>
  <c r="CY101" i="1" s="1"/>
  <c r="AZ101" i="1" s="1"/>
  <c r="CX101" i="1"/>
  <c r="BM101" i="1"/>
  <c r="BL101" i="1"/>
  <c r="BJ101" i="1"/>
  <c r="BN101" i="1" s="1"/>
  <c r="BO101" i="1" s="1"/>
  <c r="BI101" i="1"/>
  <c r="BH101" i="1"/>
  <c r="BK101" i="1" s="1"/>
  <c r="BD101" i="1"/>
  <c r="AX101" i="1"/>
  <c r="BB101" i="1" s="1"/>
  <c r="AR101" i="1"/>
  <c r="BE101" i="1" s="1"/>
  <c r="AM101" i="1"/>
  <c r="AL101" i="1"/>
  <c r="AK101" i="1"/>
  <c r="R101" i="1" s="1"/>
  <c r="AC101" i="1"/>
  <c r="AB101" i="1"/>
  <c r="AA101" i="1" s="1"/>
  <c r="T101" i="1"/>
  <c r="O101" i="1"/>
  <c r="N101" i="1"/>
  <c r="BA101" i="1" s="1"/>
  <c r="M101" i="1"/>
  <c r="L101" i="1" s="1"/>
  <c r="AE101" i="1" s="1"/>
  <c r="DA100" i="1"/>
  <c r="CZ100" i="1"/>
  <c r="CX100" i="1"/>
  <c r="CY100" i="1" s="1"/>
  <c r="AZ100" i="1" s="1"/>
  <c r="BB100" i="1" s="1"/>
  <c r="BM100" i="1"/>
  <c r="BL100" i="1"/>
  <c r="BH100" i="1"/>
  <c r="BK100" i="1" s="1"/>
  <c r="BD100" i="1"/>
  <c r="AX100" i="1"/>
  <c r="AR100" i="1"/>
  <c r="BE100" i="1" s="1"/>
  <c r="AM100" i="1"/>
  <c r="AK100" i="1"/>
  <c r="AC100" i="1"/>
  <c r="AB100" i="1"/>
  <c r="AA100" i="1"/>
  <c r="T100" i="1"/>
  <c r="DA99" i="1"/>
  <c r="W99" i="1" s="1"/>
  <c r="CZ99" i="1"/>
  <c r="CX99" i="1"/>
  <c r="CY99" i="1" s="1"/>
  <c r="AZ99" i="1" s="1"/>
  <c r="BB99" i="1" s="1"/>
  <c r="BM99" i="1"/>
  <c r="BL99" i="1"/>
  <c r="BK99" i="1"/>
  <c r="BJ99" i="1"/>
  <c r="BN99" i="1" s="1"/>
  <c r="BO99" i="1" s="1"/>
  <c r="BH99" i="1"/>
  <c r="BI99" i="1" s="1"/>
  <c r="BD99" i="1"/>
  <c r="AX99" i="1"/>
  <c r="AR99" i="1"/>
  <c r="BE99" i="1" s="1"/>
  <c r="AM99" i="1"/>
  <c r="AK99" i="1" s="1"/>
  <c r="AC99" i="1"/>
  <c r="AB99" i="1"/>
  <c r="AA99" i="1" s="1"/>
  <c r="T99" i="1"/>
  <c r="DA98" i="1"/>
  <c r="CZ98" i="1"/>
  <c r="CY98" i="1"/>
  <c r="AZ98" i="1" s="1"/>
  <c r="CX98" i="1"/>
  <c r="BM98" i="1"/>
  <c r="BL98" i="1"/>
  <c r="BJ98" i="1"/>
  <c r="BN98" i="1" s="1"/>
  <c r="BO98" i="1" s="1"/>
  <c r="BI98" i="1"/>
  <c r="BH98" i="1"/>
  <c r="BK98" i="1" s="1"/>
  <c r="BD98" i="1"/>
  <c r="AX98" i="1"/>
  <c r="BB98" i="1" s="1"/>
  <c r="AR98" i="1"/>
  <c r="BE98" i="1" s="1"/>
  <c r="AM98" i="1"/>
  <c r="AK98" i="1" s="1"/>
  <c r="AC98" i="1"/>
  <c r="AB98" i="1"/>
  <c r="AA98" i="1" s="1"/>
  <c r="W98" i="1"/>
  <c r="T98" i="1"/>
  <c r="DA97" i="1"/>
  <c r="CZ97" i="1"/>
  <c r="CX97" i="1"/>
  <c r="CY97" i="1" s="1"/>
  <c r="AZ97" i="1" s="1"/>
  <c r="BM97" i="1"/>
  <c r="BL97" i="1"/>
  <c r="BH97" i="1"/>
  <c r="BK97" i="1" s="1"/>
  <c r="BE97" i="1"/>
  <c r="BD97" i="1"/>
  <c r="AX97" i="1"/>
  <c r="AR97" i="1"/>
  <c r="AM97" i="1"/>
  <c r="AK97" i="1" s="1"/>
  <c r="AC97" i="1"/>
  <c r="AB97" i="1"/>
  <c r="T97" i="1"/>
  <c r="DA96" i="1"/>
  <c r="CZ96" i="1"/>
  <c r="CX96" i="1"/>
  <c r="CY96" i="1" s="1"/>
  <c r="AZ96" i="1" s="1"/>
  <c r="BB96" i="1" s="1"/>
  <c r="BM96" i="1"/>
  <c r="BL96" i="1"/>
  <c r="BH96" i="1"/>
  <c r="BK96" i="1" s="1"/>
  <c r="BD96" i="1"/>
  <c r="AX96" i="1"/>
  <c r="AR96" i="1"/>
  <c r="BE96" i="1" s="1"/>
  <c r="AM96" i="1"/>
  <c r="AK96" i="1"/>
  <c r="AC96" i="1"/>
  <c r="AB96" i="1"/>
  <c r="AA96" i="1"/>
  <c r="W96" i="1"/>
  <c r="T96" i="1"/>
  <c r="DA95" i="1"/>
  <c r="W95" i="1" s="1"/>
  <c r="CZ95" i="1"/>
  <c r="CX95" i="1"/>
  <c r="CY95" i="1" s="1"/>
  <c r="AZ95" i="1" s="1"/>
  <c r="BB95" i="1" s="1"/>
  <c r="BM95" i="1"/>
  <c r="BL95" i="1"/>
  <c r="BK95" i="1"/>
  <c r="BJ95" i="1"/>
  <c r="BN95" i="1" s="1"/>
  <c r="BO95" i="1" s="1"/>
  <c r="BH95" i="1"/>
  <c r="BI95" i="1" s="1"/>
  <c r="BD95" i="1"/>
  <c r="AX95" i="1"/>
  <c r="AR95" i="1"/>
  <c r="BE95" i="1" s="1"/>
  <c r="AM95" i="1"/>
  <c r="AK95" i="1" s="1"/>
  <c r="AC95" i="1"/>
  <c r="AA95" i="1" s="1"/>
  <c r="AB95" i="1"/>
  <c r="T95" i="1"/>
  <c r="DA94" i="1"/>
  <c r="CZ94" i="1"/>
  <c r="CY94" i="1"/>
  <c r="AZ94" i="1" s="1"/>
  <c r="CX94" i="1"/>
  <c r="BM94" i="1"/>
  <c r="BL94" i="1"/>
  <c r="BK94" i="1"/>
  <c r="BJ94" i="1"/>
  <c r="BN94" i="1" s="1"/>
  <c r="BO94" i="1" s="1"/>
  <c r="BI94" i="1"/>
  <c r="BH94" i="1"/>
  <c r="BD94" i="1"/>
  <c r="AX94" i="1"/>
  <c r="BB94" i="1" s="1"/>
  <c r="AR94" i="1"/>
  <c r="BE94" i="1" s="1"/>
  <c r="AM94" i="1"/>
  <c r="AK94" i="1" s="1"/>
  <c r="AC94" i="1"/>
  <c r="AB94" i="1"/>
  <c r="AA94" i="1" s="1"/>
  <c r="W94" i="1"/>
  <c r="T94" i="1"/>
  <c r="DA93" i="1"/>
  <c r="CZ93" i="1"/>
  <c r="CX93" i="1"/>
  <c r="CY93" i="1" s="1"/>
  <c r="AZ93" i="1" s="1"/>
  <c r="BM93" i="1"/>
  <c r="BL93" i="1"/>
  <c r="BH93" i="1"/>
  <c r="BK93" i="1" s="1"/>
  <c r="BE93" i="1"/>
  <c r="BD93" i="1"/>
  <c r="AX93" i="1"/>
  <c r="AR93" i="1"/>
  <c r="AM93" i="1"/>
  <c r="AK93" i="1" s="1"/>
  <c r="AC93" i="1"/>
  <c r="AA93" i="1" s="1"/>
  <c r="AB93" i="1"/>
  <c r="T93" i="1"/>
  <c r="DA92" i="1"/>
  <c r="W92" i="1" s="1"/>
  <c r="CZ92" i="1"/>
  <c r="CX92" i="1"/>
  <c r="CY92" i="1" s="1"/>
  <c r="AZ92" i="1" s="1"/>
  <c r="BB92" i="1" s="1"/>
  <c r="BM92" i="1"/>
  <c r="BL92" i="1"/>
  <c r="BK92" i="1"/>
  <c r="BH92" i="1"/>
  <c r="BJ92" i="1" s="1"/>
  <c r="BN92" i="1" s="1"/>
  <c r="BO92" i="1" s="1"/>
  <c r="BD92" i="1"/>
  <c r="AX92" i="1"/>
  <c r="AR92" i="1"/>
  <c r="BE92" i="1" s="1"/>
  <c r="AM92" i="1"/>
  <c r="AK92" i="1"/>
  <c r="AC92" i="1"/>
  <c r="AB92" i="1"/>
  <c r="AA92" i="1"/>
  <c r="T92" i="1"/>
  <c r="DA91" i="1"/>
  <c r="W91" i="1" s="1"/>
  <c r="CZ91" i="1"/>
  <c r="CY91" i="1" s="1"/>
  <c r="AZ91" i="1" s="1"/>
  <c r="BB91" i="1" s="1"/>
  <c r="CX91" i="1"/>
  <c r="BM91" i="1"/>
  <c r="BL91" i="1"/>
  <c r="BK91" i="1"/>
  <c r="BJ91" i="1"/>
  <c r="BN91" i="1" s="1"/>
  <c r="BO91" i="1" s="1"/>
  <c r="BI91" i="1"/>
  <c r="BH91" i="1"/>
  <c r="BD91" i="1"/>
  <c r="AX91" i="1"/>
  <c r="AR91" i="1"/>
  <c r="BE91" i="1" s="1"/>
  <c r="AM91" i="1"/>
  <c r="AK91" i="1"/>
  <c r="N91" i="1" s="1"/>
  <c r="BA91" i="1" s="1"/>
  <c r="BC91" i="1" s="1"/>
  <c r="AC91" i="1"/>
  <c r="AB91" i="1"/>
  <c r="AA91" i="1"/>
  <c r="T91" i="1"/>
  <c r="R91" i="1"/>
  <c r="O91" i="1"/>
  <c r="DA90" i="1"/>
  <c r="CZ90" i="1"/>
  <c r="CY90" i="1"/>
  <c r="AZ90" i="1" s="1"/>
  <c r="CX90" i="1"/>
  <c r="BM90" i="1"/>
  <c r="BL90" i="1"/>
  <c r="BK90" i="1"/>
  <c r="BJ90" i="1"/>
  <c r="BN90" i="1" s="1"/>
  <c r="BO90" i="1" s="1"/>
  <c r="BI90" i="1"/>
  <c r="BH90" i="1"/>
  <c r="BD90" i="1"/>
  <c r="AX90" i="1"/>
  <c r="BB90" i="1" s="1"/>
  <c r="AR90" i="1"/>
  <c r="BE90" i="1" s="1"/>
  <c r="AM90" i="1"/>
  <c r="AK90" i="1" s="1"/>
  <c r="AC90" i="1"/>
  <c r="AB90" i="1"/>
  <c r="AA90" i="1" s="1"/>
  <c r="W90" i="1"/>
  <c r="T90" i="1"/>
  <c r="DA89" i="1"/>
  <c r="CZ89" i="1"/>
  <c r="CX89" i="1"/>
  <c r="CY89" i="1" s="1"/>
  <c r="AZ89" i="1" s="1"/>
  <c r="BM89" i="1"/>
  <c r="BL89" i="1"/>
  <c r="BH89" i="1"/>
  <c r="BK89" i="1" s="1"/>
  <c r="BE89" i="1"/>
  <c r="BD89" i="1"/>
  <c r="AX89" i="1"/>
  <c r="AR89" i="1"/>
  <c r="AM89" i="1"/>
  <c r="AK89" i="1" s="1"/>
  <c r="AC89" i="1"/>
  <c r="AB89" i="1"/>
  <c r="T89" i="1"/>
  <c r="DA88" i="1"/>
  <c r="CZ88" i="1"/>
  <c r="CX88" i="1"/>
  <c r="CY88" i="1" s="1"/>
  <c r="AZ88" i="1" s="1"/>
  <c r="BB88" i="1" s="1"/>
  <c r="BM88" i="1"/>
  <c r="BL88" i="1"/>
  <c r="BH88" i="1"/>
  <c r="BK88" i="1" s="1"/>
  <c r="BD88" i="1"/>
  <c r="AX88" i="1"/>
  <c r="AR88" i="1"/>
  <c r="BE88" i="1" s="1"/>
  <c r="AM88" i="1"/>
  <c r="AK88" i="1"/>
  <c r="AC88" i="1"/>
  <c r="AB88" i="1"/>
  <c r="AA88" i="1"/>
  <c r="T88" i="1"/>
  <c r="DA87" i="1"/>
  <c r="W87" i="1" s="1"/>
  <c r="CZ87" i="1"/>
  <c r="CX87" i="1"/>
  <c r="CY87" i="1" s="1"/>
  <c r="AZ87" i="1" s="1"/>
  <c r="BM87" i="1"/>
  <c r="BL87" i="1"/>
  <c r="BK87" i="1"/>
  <c r="BJ87" i="1"/>
  <c r="BN87" i="1" s="1"/>
  <c r="BO87" i="1" s="1"/>
  <c r="BI87" i="1"/>
  <c r="BH87" i="1"/>
  <c r="BD87" i="1"/>
  <c r="BB87" i="1"/>
  <c r="AX87" i="1"/>
  <c r="AR87" i="1"/>
  <c r="BE87" i="1" s="1"/>
  <c r="AM87" i="1"/>
  <c r="AK87" i="1"/>
  <c r="N87" i="1" s="1"/>
  <c r="BA87" i="1" s="1"/>
  <c r="BC87" i="1" s="1"/>
  <c r="AC87" i="1"/>
  <c r="AB87" i="1"/>
  <c r="AA87" i="1"/>
  <c r="T87" i="1"/>
  <c r="R87" i="1"/>
  <c r="O87" i="1"/>
  <c r="DA86" i="1"/>
  <c r="CZ86" i="1"/>
  <c r="CY86" i="1"/>
  <c r="AZ86" i="1" s="1"/>
  <c r="CX86" i="1"/>
  <c r="BM86" i="1"/>
  <c r="BL86" i="1"/>
  <c r="BK86" i="1"/>
  <c r="BJ86" i="1"/>
  <c r="BN86" i="1" s="1"/>
  <c r="BO86" i="1" s="1"/>
  <c r="BI86" i="1"/>
  <c r="BH86" i="1"/>
  <c r="BD86" i="1"/>
  <c r="AX86" i="1"/>
  <c r="AR86" i="1"/>
  <c r="BE86" i="1" s="1"/>
  <c r="AM86" i="1"/>
  <c r="AK86" i="1" s="1"/>
  <c r="AC86" i="1"/>
  <c r="AB86" i="1"/>
  <c r="AA86" i="1" s="1"/>
  <c r="W86" i="1"/>
  <c r="T86" i="1"/>
  <c r="DA85" i="1"/>
  <c r="CZ85" i="1"/>
  <c r="CX85" i="1"/>
  <c r="BM85" i="1"/>
  <c r="BL85" i="1"/>
  <c r="BH85" i="1"/>
  <c r="BD85" i="1"/>
  <c r="AX85" i="1"/>
  <c r="AR85" i="1"/>
  <c r="BE85" i="1" s="1"/>
  <c r="AM85" i="1"/>
  <c r="AK85" i="1" s="1"/>
  <c r="AC85" i="1"/>
  <c r="AB85" i="1"/>
  <c r="T85" i="1"/>
  <c r="N85" i="1"/>
  <c r="BA85" i="1" s="1"/>
  <c r="M85" i="1"/>
  <c r="L85" i="1" s="1"/>
  <c r="AE85" i="1" s="1"/>
  <c r="DA84" i="1"/>
  <c r="CZ84" i="1"/>
  <c r="CX84" i="1"/>
  <c r="CY84" i="1" s="1"/>
  <c r="AZ84" i="1" s="1"/>
  <c r="BB84" i="1" s="1"/>
  <c r="BM84" i="1"/>
  <c r="BL84" i="1"/>
  <c r="BH84" i="1"/>
  <c r="BK84" i="1" s="1"/>
  <c r="BD84" i="1"/>
  <c r="BC84" i="1"/>
  <c r="AX84" i="1"/>
  <c r="AR84" i="1"/>
  <c r="BE84" i="1" s="1"/>
  <c r="AM84" i="1"/>
  <c r="AK84" i="1"/>
  <c r="AC84" i="1"/>
  <c r="AB84" i="1"/>
  <c r="AA84" i="1"/>
  <c r="T84" i="1"/>
  <c r="R84" i="1"/>
  <c r="N84" i="1"/>
  <c r="BA84" i="1" s="1"/>
  <c r="DA83" i="1"/>
  <c r="W83" i="1" s="1"/>
  <c r="CZ83" i="1"/>
  <c r="CY83" i="1" s="1"/>
  <c r="AZ83" i="1" s="1"/>
  <c r="CX83" i="1"/>
  <c r="BM83" i="1"/>
  <c r="BL83" i="1"/>
  <c r="BK83" i="1"/>
  <c r="BJ83" i="1"/>
  <c r="BN83" i="1" s="1"/>
  <c r="BO83" i="1" s="1"/>
  <c r="BI83" i="1"/>
  <c r="BH83" i="1"/>
  <c r="BD83" i="1"/>
  <c r="AX83" i="1"/>
  <c r="BB83" i="1" s="1"/>
  <c r="AR83" i="1"/>
  <c r="BE83" i="1" s="1"/>
  <c r="AM83" i="1"/>
  <c r="AK83" i="1"/>
  <c r="M83" i="1" s="1"/>
  <c r="AC83" i="1"/>
  <c r="AB83" i="1"/>
  <c r="AA83" i="1"/>
  <c r="T83" i="1"/>
  <c r="R83" i="1"/>
  <c r="O83" i="1"/>
  <c r="N83" i="1"/>
  <c r="BA83" i="1" s="1"/>
  <c r="BC83" i="1" s="1"/>
  <c r="L83" i="1"/>
  <c r="DA82" i="1"/>
  <c r="W82" i="1" s="1"/>
  <c r="CZ82" i="1"/>
  <c r="CY82" i="1" s="1"/>
  <c r="AZ82" i="1" s="1"/>
  <c r="CX82" i="1"/>
  <c r="BO82" i="1"/>
  <c r="BN82" i="1"/>
  <c r="BM82" i="1"/>
  <c r="BL82" i="1"/>
  <c r="BK82" i="1"/>
  <c r="BJ82" i="1"/>
  <c r="BI82" i="1"/>
  <c r="BH82" i="1"/>
  <c r="BE82" i="1"/>
  <c r="BD82" i="1"/>
  <c r="BB82" i="1"/>
  <c r="AX82" i="1"/>
  <c r="AR82" i="1"/>
  <c r="AM82" i="1"/>
  <c r="AK82" i="1"/>
  <c r="O82" i="1" s="1"/>
  <c r="AC82" i="1"/>
  <c r="AB82" i="1"/>
  <c r="AA82" i="1"/>
  <c r="T82" i="1"/>
  <c r="R82" i="1"/>
  <c r="DA81" i="1"/>
  <c r="CZ81" i="1"/>
  <c r="CY81" i="1" s="1"/>
  <c r="AZ81" i="1" s="1"/>
  <c r="CX81" i="1"/>
  <c r="BM81" i="1"/>
  <c r="BL81" i="1"/>
  <c r="BK81" i="1"/>
  <c r="BJ81" i="1"/>
  <c r="BN81" i="1" s="1"/>
  <c r="BO81" i="1" s="1"/>
  <c r="BI81" i="1"/>
  <c r="BH81" i="1"/>
  <c r="BD81" i="1"/>
  <c r="AX81" i="1"/>
  <c r="AR81" i="1"/>
  <c r="BE81" i="1" s="1"/>
  <c r="AM81" i="1"/>
  <c r="AK81" i="1"/>
  <c r="N81" i="1" s="1"/>
  <c r="BA81" i="1" s="1"/>
  <c r="BC81" i="1" s="1"/>
  <c r="AC81" i="1"/>
  <c r="AB81" i="1"/>
  <c r="AA81" i="1"/>
  <c r="W81" i="1"/>
  <c r="T81" i="1"/>
  <c r="O81" i="1"/>
  <c r="DA80" i="1"/>
  <c r="CZ80" i="1"/>
  <c r="CX80" i="1"/>
  <c r="BM80" i="1"/>
  <c r="BL80" i="1"/>
  <c r="BH80" i="1"/>
  <c r="BD80" i="1"/>
  <c r="AX80" i="1"/>
  <c r="AR80" i="1"/>
  <c r="BE80" i="1" s="1"/>
  <c r="AM80" i="1"/>
  <c r="AK80" i="1" s="1"/>
  <c r="AC80" i="1"/>
  <c r="AB80" i="1"/>
  <c r="AA80" i="1" s="1"/>
  <c r="T80" i="1"/>
  <c r="N80" i="1"/>
  <c r="BA80" i="1" s="1"/>
  <c r="DA79" i="1"/>
  <c r="CZ79" i="1"/>
  <c r="CY79" i="1"/>
  <c r="AZ79" i="1" s="1"/>
  <c r="CX79" i="1"/>
  <c r="BM79" i="1"/>
  <c r="BL79" i="1"/>
  <c r="BI79" i="1"/>
  <c r="BH79" i="1"/>
  <c r="BK79" i="1" s="1"/>
  <c r="BE79" i="1"/>
  <c r="BD79" i="1"/>
  <c r="AX79" i="1"/>
  <c r="BB79" i="1" s="1"/>
  <c r="AR79" i="1"/>
  <c r="AM79" i="1"/>
  <c r="AL79" i="1"/>
  <c r="AK79" i="1"/>
  <c r="R79" i="1" s="1"/>
  <c r="AC79" i="1"/>
  <c r="AB79" i="1"/>
  <c r="AA79" i="1" s="1"/>
  <c r="W79" i="1"/>
  <c r="T79" i="1"/>
  <c r="DA78" i="1"/>
  <c r="W78" i="1" s="1"/>
  <c r="CZ78" i="1"/>
  <c r="CX78" i="1"/>
  <c r="CY78" i="1" s="1"/>
  <c r="AZ78" i="1" s="1"/>
  <c r="BB78" i="1" s="1"/>
  <c r="BO78" i="1"/>
  <c r="BN78" i="1"/>
  <c r="BM78" i="1"/>
  <c r="BL78" i="1"/>
  <c r="BK78" i="1"/>
  <c r="BJ78" i="1"/>
  <c r="BH78" i="1"/>
  <c r="BI78" i="1" s="1"/>
  <c r="BE78" i="1"/>
  <c r="BD78" i="1"/>
  <c r="AX78" i="1"/>
  <c r="AR78" i="1"/>
  <c r="AM78" i="1"/>
  <c r="AK78" i="1"/>
  <c r="O78" i="1" s="1"/>
  <c r="AC78" i="1"/>
  <c r="AB78" i="1"/>
  <c r="AA78" i="1"/>
  <c r="T78" i="1"/>
  <c r="R78" i="1"/>
  <c r="DA77" i="1"/>
  <c r="CZ77" i="1"/>
  <c r="CY77" i="1" s="1"/>
  <c r="AZ77" i="1" s="1"/>
  <c r="CX77" i="1"/>
  <c r="BM77" i="1"/>
  <c r="BL77" i="1"/>
  <c r="BK77" i="1"/>
  <c r="BJ77" i="1"/>
  <c r="BN77" i="1" s="1"/>
  <c r="BO77" i="1" s="1"/>
  <c r="BI77" i="1"/>
  <c r="BH77" i="1"/>
  <c r="BD77" i="1"/>
  <c r="AX77" i="1"/>
  <c r="AR77" i="1"/>
  <c r="BE77" i="1" s="1"/>
  <c r="AM77" i="1"/>
  <c r="AK77" i="1"/>
  <c r="N77" i="1" s="1"/>
  <c r="BA77" i="1" s="1"/>
  <c r="AC77" i="1"/>
  <c r="AB77" i="1"/>
  <c r="AA77" i="1"/>
  <c r="W77" i="1"/>
  <c r="T77" i="1"/>
  <c r="R77" i="1"/>
  <c r="O77" i="1"/>
  <c r="DA76" i="1"/>
  <c r="CZ76" i="1"/>
  <c r="CX76" i="1"/>
  <c r="BM76" i="1"/>
  <c r="BL76" i="1"/>
  <c r="BH76" i="1"/>
  <c r="BD76" i="1"/>
  <c r="AX76" i="1"/>
  <c r="AR76" i="1"/>
  <c r="BE76" i="1" s="1"/>
  <c r="AM76" i="1"/>
  <c r="AK76" i="1" s="1"/>
  <c r="AC76" i="1"/>
  <c r="AB76" i="1"/>
  <c r="AA76" i="1" s="1"/>
  <c r="T76" i="1"/>
  <c r="DA75" i="1"/>
  <c r="CZ75" i="1"/>
  <c r="CX75" i="1"/>
  <c r="CY75" i="1" s="1"/>
  <c r="AZ75" i="1" s="1"/>
  <c r="BM75" i="1"/>
  <c r="BL75" i="1"/>
  <c r="BH75" i="1"/>
  <c r="BK75" i="1" s="1"/>
  <c r="BE75" i="1"/>
  <c r="BD75" i="1"/>
  <c r="AX75" i="1"/>
  <c r="BB75" i="1" s="1"/>
  <c r="AR75" i="1"/>
  <c r="AM75" i="1"/>
  <c r="AL75" i="1"/>
  <c r="AK75" i="1"/>
  <c r="R75" i="1" s="1"/>
  <c r="AC75" i="1"/>
  <c r="AB75" i="1"/>
  <c r="AA75" i="1" s="1"/>
  <c r="W75" i="1"/>
  <c r="T75" i="1"/>
  <c r="M75" i="1"/>
  <c r="L75" i="1"/>
  <c r="DA74" i="1"/>
  <c r="W74" i="1" s="1"/>
  <c r="CZ74" i="1"/>
  <c r="CY74" i="1" s="1"/>
  <c r="AZ74" i="1" s="1"/>
  <c r="BB74" i="1" s="1"/>
  <c r="CX74" i="1"/>
  <c r="BN74" i="1"/>
  <c r="BO74" i="1" s="1"/>
  <c r="BM74" i="1"/>
  <c r="BL74" i="1"/>
  <c r="BK74" i="1"/>
  <c r="BJ74" i="1"/>
  <c r="BH74" i="1"/>
  <c r="BI74" i="1" s="1"/>
  <c r="BE74" i="1"/>
  <c r="BD74" i="1"/>
  <c r="AX74" i="1"/>
  <c r="AR74" i="1"/>
  <c r="AM74" i="1"/>
  <c r="AK74" i="1"/>
  <c r="O74" i="1" s="1"/>
  <c r="AC74" i="1"/>
  <c r="AB74" i="1"/>
  <c r="AA74" i="1"/>
  <c r="T74" i="1"/>
  <c r="R74" i="1"/>
  <c r="DA73" i="1"/>
  <c r="CZ73" i="1"/>
  <c r="CY73" i="1" s="1"/>
  <c r="CX73" i="1"/>
  <c r="BM73" i="1"/>
  <c r="BL73" i="1"/>
  <c r="BK73" i="1"/>
  <c r="BJ73" i="1"/>
  <c r="BN73" i="1" s="1"/>
  <c r="BO73" i="1" s="1"/>
  <c r="BI73" i="1"/>
  <c r="BH73" i="1"/>
  <c r="BD73" i="1"/>
  <c r="AZ73" i="1"/>
  <c r="AX73" i="1"/>
  <c r="AR73" i="1"/>
  <c r="BE73" i="1" s="1"/>
  <c r="AM73" i="1"/>
  <c r="AK73" i="1"/>
  <c r="N73" i="1" s="1"/>
  <c r="BA73" i="1" s="1"/>
  <c r="BC73" i="1" s="1"/>
  <c r="AC73" i="1"/>
  <c r="AB73" i="1"/>
  <c r="AA73" i="1"/>
  <c r="W73" i="1"/>
  <c r="T73" i="1"/>
  <c r="R73" i="1"/>
  <c r="O73" i="1"/>
  <c r="DA72" i="1"/>
  <c r="CZ72" i="1"/>
  <c r="CX72" i="1"/>
  <c r="BM72" i="1"/>
  <c r="BL72" i="1"/>
  <c r="BH72" i="1"/>
  <c r="BD72" i="1"/>
  <c r="AX72" i="1"/>
  <c r="AR72" i="1"/>
  <c r="BE72" i="1" s="1"/>
  <c r="AM72" i="1"/>
  <c r="AK72" i="1" s="1"/>
  <c r="AC72" i="1"/>
  <c r="AB72" i="1"/>
  <c r="AA72" i="1" s="1"/>
  <c r="T72" i="1"/>
  <c r="DA71" i="1"/>
  <c r="CZ71" i="1"/>
  <c r="CX71" i="1"/>
  <c r="CY71" i="1" s="1"/>
  <c r="AZ71" i="1" s="1"/>
  <c r="BM71" i="1"/>
  <c r="BL71" i="1"/>
  <c r="BH71" i="1"/>
  <c r="BK71" i="1" s="1"/>
  <c r="BE71" i="1"/>
  <c r="BD71" i="1"/>
  <c r="AX71" i="1"/>
  <c r="BB71" i="1" s="1"/>
  <c r="AR71" i="1"/>
  <c r="AM71" i="1"/>
  <c r="AK71" i="1" s="1"/>
  <c r="AL71" i="1"/>
  <c r="AC71" i="1"/>
  <c r="AB71" i="1"/>
  <c r="AA71" i="1" s="1"/>
  <c r="T71" i="1"/>
  <c r="DA70" i="1"/>
  <c r="W70" i="1" s="1"/>
  <c r="CZ70" i="1"/>
  <c r="CX70" i="1"/>
  <c r="CY70" i="1" s="1"/>
  <c r="AZ70" i="1" s="1"/>
  <c r="BN70" i="1"/>
  <c r="BO70" i="1" s="1"/>
  <c r="BM70" i="1"/>
  <c r="BL70" i="1"/>
  <c r="BK70" i="1"/>
  <c r="BJ70" i="1"/>
  <c r="BH70" i="1"/>
  <c r="BI70" i="1" s="1"/>
  <c r="BE70" i="1"/>
  <c r="BD70" i="1"/>
  <c r="BB70" i="1"/>
  <c r="AX70" i="1"/>
  <c r="AR70" i="1"/>
  <c r="AM70" i="1"/>
  <c r="AK70" i="1"/>
  <c r="O70" i="1" s="1"/>
  <c r="AC70" i="1"/>
  <c r="AB70" i="1"/>
  <c r="AA70" i="1"/>
  <c r="T70" i="1"/>
  <c r="R70" i="1"/>
  <c r="DA69" i="1"/>
  <c r="W69" i="1" s="1"/>
  <c r="CZ69" i="1"/>
  <c r="CY69" i="1" s="1"/>
  <c r="AZ69" i="1" s="1"/>
  <c r="CX69" i="1"/>
  <c r="BM69" i="1"/>
  <c r="BL69" i="1"/>
  <c r="BK69" i="1"/>
  <c r="BJ69" i="1"/>
  <c r="BN69" i="1" s="1"/>
  <c r="BO69" i="1" s="1"/>
  <c r="BI69" i="1"/>
  <c r="BH69" i="1"/>
  <c r="BD69" i="1"/>
  <c r="AX69" i="1"/>
  <c r="AR69" i="1"/>
  <c r="BE69" i="1" s="1"/>
  <c r="AM69" i="1"/>
  <c r="AK69" i="1"/>
  <c r="N69" i="1" s="1"/>
  <c r="BA69" i="1" s="1"/>
  <c r="AC69" i="1"/>
  <c r="AB69" i="1"/>
  <c r="AA69" i="1"/>
  <c r="T69" i="1"/>
  <c r="R69" i="1"/>
  <c r="O69" i="1"/>
  <c r="DA68" i="1"/>
  <c r="CZ68" i="1"/>
  <c r="CX68" i="1"/>
  <c r="BM68" i="1"/>
  <c r="BL68" i="1"/>
  <c r="BH68" i="1"/>
  <c r="BD68" i="1"/>
  <c r="AX68" i="1"/>
  <c r="AR68" i="1"/>
  <c r="BE68" i="1" s="1"/>
  <c r="AM68" i="1"/>
  <c r="AK68" i="1" s="1"/>
  <c r="AC68" i="1"/>
  <c r="AB68" i="1"/>
  <c r="AA68" i="1" s="1"/>
  <c r="T68" i="1"/>
  <c r="DA67" i="1"/>
  <c r="CZ67" i="1"/>
  <c r="CX67" i="1"/>
  <c r="CY67" i="1" s="1"/>
  <c r="AZ67" i="1" s="1"/>
  <c r="BM67" i="1"/>
  <c r="BL67" i="1"/>
  <c r="BH67" i="1"/>
  <c r="BK67" i="1" s="1"/>
  <c r="BE67" i="1"/>
  <c r="BD67" i="1"/>
  <c r="AX67" i="1"/>
  <c r="BB67" i="1" s="1"/>
  <c r="AR67" i="1"/>
  <c r="AM67" i="1"/>
  <c r="AK67" i="1" s="1"/>
  <c r="AL67" i="1"/>
  <c r="AC67" i="1"/>
  <c r="AB67" i="1"/>
  <c r="T67" i="1"/>
  <c r="M67" i="1"/>
  <c r="L67" i="1" s="1"/>
  <c r="DA66" i="1"/>
  <c r="W66" i="1" s="1"/>
  <c r="CZ66" i="1"/>
  <c r="CX66" i="1"/>
  <c r="CY66" i="1" s="1"/>
  <c r="AZ66" i="1" s="1"/>
  <c r="BB66" i="1" s="1"/>
  <c r="BN66" i="1"/>
  <c r="BO66" i="1" s="1"/>
  <c r="BM66" i="1"/>
  <c r="BL66" i="1"/>
  <c r="BK66" i="1"/>
  <c r="BJ66" i="1"/>
  <c r="BH66" i="1"/>
  <c r="BI66" i="1" s="1"/>
  <c r="BE66" i="1"/>
  <c r="BD66" i="1"/>
  <c r="AX66" i="1"/>
  <c r="AR66" i="1"/>
  <c r="AM66" i="1"/>
  <c r="AK66" i="1"/>
  <c r="AC66" i="1"/>
  <c r="AB66" i="1"/>
  <c r="AA66" i="1"/>
  <c r="T66" i="1"/>
  <c r="DA65" i="1"/>
  <c r="W65" i="1" s="1"/>
  <c r="CZ65" i="1"/>
  <c r="CY65" i="1"/>
  <c r="CX65" i="1"/>
  <c r="BM65" i="1"/>
  <c r="BL65" i="1"/>
  <c r="BK65" i="1"/>
  <c r="BJ65" i="1"/>
  <c r="BN65" i="1" s="1"/>
  <c r="BO65" i="1" s="1"/>
  <c r="BI65" i="1"/>
  <c r="BH65" i="1"/>
  <c r="BD65" i="1"/>
  <c r="BB65" i="1"/>
  <c r="BA65" i="1"/>
  <c r="BC65" i="1" s="1"/>
  <c r="AZ65" i="1"/>
  <c r="AX65" i="1"/>
  <c r="AR65" i="1"/>
  <c r="BE65" i="1" s="1"/>
  <c r="AM65" i="1"/>
  <c r="AK65" i="1"/>
  <c r="N65" i="1" s="1"/>
  <c r="AC65" i="1"/>
  <c r="AB65" i="1"/>
  <c r="AA65" i="1"/>
  <c r="T65" i="1"/>
  <c r="R65" i="1"/>
  <c r="O65" i="1"/>
  <c r="DA64" i="1"/>
  <c r="CZ64" i="1"/>
  <c r="CY64" i="1" s="1"/>
  <c r="AZ64" i="1" s="1"/>
  <c r="CX64" i="1"/>
  <c r="BM64" i="1"/>
  <c r="BL64" i="1"/>
  <c r="BH64" i="1"/>
  <c r="BD64" i="1"/>
  <c r="AX64" i="1"/>
  <c r="AR64" i="1"/>
  <c r="BE64" i="1" s="1"/>
  <c r="AM64" i="1"/>
  <c r="AK64" i="1" s="1"/>
  <c r="AE64" i="1"/>
  <c r="AC64" i="1"/>
  <c r="AB64" i="1"/>
  <c r="AA64" i="1" s="1"/>
  <c r="W64" i="1"/>
  <c r="T64" i="1"/>
  <c r="O64" i="1"/>
  <c r="N64" i="1"/>
  <c r="BA64" i="1" s="1"/>
  <c r="M64" i="1"/>
  <c r="L64" i="1" s="1"/>
  <c r="DA63" i="1"/>
  <c r="CZ63" i="1"/>
  <c r="CY63" i="1"/>
  <c r="AZ63" i="1" s="1"/>
  <c r="CX63" i="1"/>
  <c r="BM63" i="1"/>
  <c r="BL63" i="1"/>
  <c r="BI63" i="1"/>
  <c r="BH63" i="1"/>
  <c r="BE63" i="1"/>
  <c r="BD63" i="1"/>
  <c r="AX63" i="1"/>
  <c r="BB63" i="1" s="1"/>
  <c r="AR63" i="1"/>
  <c r="AM63" i="1"/>
  <c r="AK63" i="1"/>
  <c r="AC63" i="1"/>
  <c r="AB63" i="1"/>
  <c r="AA63" i="1" s="1"/>
  <c r="W63" i="1"/>
  <c r="T63" i="1"/>
  <c r="DA62" i="1"/>
  <c r="W62" i="1" s="1"/>
  <c r="CZ62" i="1"/>
  <c r="CX62" i="1"/>
  <c r="BM62" i="1"/>
  <c r="BL62" i="1"/>
  <c r="BK62" i="1"/>
  <c r="BJ62" i="1"/>
  <c r="BN62" i="1" s="1"/>
  <c r="BO62" i="1" s="1"/>
  <c r="BH62" i="1"/>
  <c r="BI62" i="1" s="1"/>
  <c r="BE62" i="1"/>
  <c r="BD62" i="1"/>
  <c r="AX62" i="1"/>
  <c r="AR62" i="1"/>
  <c r="AM62" i="1"/>
  <c r="AK62" i="1" s="1"/>
  <c r="AC62" i="1"/>
  <c r="AB62" i="1"/>
  <c r="AA62" i="1" s="1"/>
  <c r="T62" i="1"/>
  <c r="DA61" i="1"/>
  <c r="CZ61" i="1"/>
  <c r="CX61" i="1"/>
  <c r="CY61" i="1" s="1"/>
  <c r="AZ61" i="1" s="1"/>
  <c r="BB61" i="1" s="1"/>
  <c r="BM61" i="1"/>
  <c r="BL61" i="1"/>
  <c r="BI61" i="1"/>
  <c r="BH61" i="1"/>
  <c r="BK61" i="1" s="1"/>
  <c r="BD61" i="1"/>
  <c r="AX61" i="1"/>
  <c r="AR61" i="1"/>
  <c r="BE61" i="1" s="1"/>
  <c r="AM61" i="1"/>
  <c r="AK61" i="1"/>
  <c r="N61" i="1" s="1"/>
  <c r="BA61" i="1" s="1"/>
  <c r="AC61" i="1"/>
  <c r="AB61" i="1"/>
  <c r="AA61" i="1"/>
  <c r="T61" i="1"/>
  <c r="R61" i="1"/>
  <c r="O61" i="1"/>
  <c r="DA60" i="1"/>
  <c r="CZ60" i="1"/>
  <c r="CY60" i="1" s="1"/>
  <c r="AZ60" i="1" s="1"/>
  <c r="CX60" i="1"/>
  <c r="BM60" i="1"/>
  <c r="BL60" i="1"/>
  <c r="BJ60" i="1"/>
  <c r="BN60" i="1" s="1"/>
  <c r="BO60" i="1" s="1"/>
  <c r="BI60" i="1"/>
  <c r="BH60" i="1"/>
  <c r="BK60" i="1" s="1"/>
  <c r="BD60" i="1"/>
  <c r="AX60" i="1"/>
  <c r="AR60" i="1"/>
  <c r="BE60" i="1" s="1"/>
  <c r="AM60" i="1"/>
  <c r="AK60" i="1" s="1"/>
  <c r="R60" i="1" s="1"/>
  <c r="AC60" i="1"/>
  <c r="AB60" i="1"/>
  <c r="AA60" i="1" s="1"/>
  <c r="W60" i="1"/>
  <c r="T60" i="1"/>
  <c r="O60" i="1"/>
  <c r="DA59" i="1"/>
  <c r="CZ59" i="1"/>
  <c r="CX59" i="1"/>
  <c r="BM59" i="1"/>
  <c r="BL59" i="1"/>
  <c r="BI59" i="1"/>
  <c r="BH59" i="1"/>
  <c r="BD59" i="1"/>
  <c r="AX59" i="1"/>
  <c r="AR59" i="1"/>
  <c r="BE59" i="1" s="1"/>
  <c r="AM59" i="1"/>
  <c r="AK59" i="1" s="1"/>
  <c r="AC59" i="1"/>
  <c r="AB59" i="1"/>
  <c r="AA59" i="1"/>
  <c r="T59" i="1"/>
  <c r="DA58" i="1"/>
  <c r="CZ58" i="1"/>
  <c r="CX58" i="1"/>
  <c r="CY58" i="1" s="1"/>
  <c r="BM58" i="1"/>
  <c r="BL58" i="1"/>
  <c r="BK58" i="1"/>
  <c r="BJ58" i="1"/>
  <c r="BN58" i="1" s="1"/>
  <c r="BO58" i="1" s="1"/>
  <c r="BH58" i="1"/>
  <c r="BI58" i="1" s="1"/>
  <c r="BE58" i="1"/>
  <c r="BD58" i="1"/>
  <c r="AZ58" i="1"/>
  <c r="AX58" i="1"/>
  <c r="BB58" i="1" s="1"/>
  <c r="AR58" i="1"/>
  <c r="AM58" i="1"/>
  <c r="AK58" i="1"/>
  <c r="N58" i="1" s="1"/>
  <c r="BA58" i="1" s="1"/>
  <c r="AC58" i="1"/>
  <c r="AB58" i="1"/>
  <c r="AA58" i="1"/>
  <c r="W58" i="1"/>
  <c r="T58" i="1"/>
  <c r="O58" i="1"/>
  <c r="DA57" i="1"/>
  <c r="CZ57" i="1"/>
  <c r="CX57" i="1"/>
  <c r="BM57" i="1"/>
  <c r="BL57" i="1"/>
  <c r="BH57" i="1"/>
  <c r="BD57" i="1"/>
  <c r="AX57" i="1"/>
  <c r="AR57" i="1"/>
  <c r="BE57" i="1" s="1"/>
  <c r="AM57" i="1"/>
  <c r="AK57" i="1" s="1"/>
  <c r="AC57" i="1"/>
  <c r="AA57" i="1" s="1"/>
  <c r="AB57" i="1"/>
  <c r="T57" i="1"/>
  <c r="N57" i="1"/>
  <c r="BA57" i="1" s="1"/>
  <c r="M57" i="1"/>
  <c r="L57" i="1" s="1"/>
  <c r="AE57" i="1" s="1"/>
  <c r="DA56" i="1"/>
  <c r="CZ56" i="1"/>
  <c r="CY56" i="1"/>
  <c r="AZ56" i="1" s="1"/>
  <c r="CX56" i="1"/>
  <c r="BN56" i="1"/>
  <c r="BO56" i="1" s="1"/>
  <c r="BM56" i="1"/>
  <c r="BL56" i="1"/>
  <c r="BK56" i="1"/>
  <c r="BJ56" i="1"/>
  <c r="BI56" i="1"/>
  <c r="BH56" i="1"/>
  <c r="BD56" i="1"/>
  <c r="AX56" i="1"/>
  <c r="AR56" i="1"/>
  <c r="BE56" i="1" s="1"/>
  <c r="AM56" i="1"/>
  <c r="AK56" i="1"/>
  <c r="AL56" i="1" s="1"/>
  <c r="AC56" i="1"/>
  <c r="AB56" i="1"/>
  <c r="AA56" i="1" s="1"/>
  <c r="W56" i="1"/>
  <c r="T56" i="1"/>
  <c r="DA55" i="1"/>
  <c r="W55" i="1" s="1"/>
  <c r="X55" i="1" s="1"/>
  <c r="Y55" i="1" s="1"/>
  <c r="CZ55" i="1"/>
  <c r="CY55" i="1"/>
  <c r="CX55" i="1"/>
  <c r="BM55" i="1"/>
  <c r="BL55" i="1"/>
  <c r="BK55" i="1"/>
  <c r="BJ55" i="1"/>
  <c r="BN55" i="1" s="1"/>
  <c r="BO55" i="1" s="1"/>
  <c r="BI55" i="1"/>
  <c r="BH55" i="1"/>
  <c r="BE55" i="1"/>
  <c r="BD55" i="1"/>
  <c r="BB55" i="1"/>
  <c r="AZ55" i="1"/>
  <c r="AX55" i="1"/>
  <c r="AR55" i="1"/>
  <c r="AM55" i="1"/>
  <c r="AK55" i="1" s="1"/>
  <c r="R55" i="1" s="1"/>
  <c r="AC55" i="1"/>
  <c r="AB55" i="1"/>
  <c r="T55" i="1"/>
  <c r="M55" i="1"/>
  <c r="L55" i="1" s="1"/>
  <c r="AE55" i="1" s="1"/>
  <c r="DA54" i="1"/>
  <c r="CZ54" i="1"/>
  <c r="CY54" i="1"/>
  <c r="AZ54" i="1" s="1"/>
  <c r="CX54" i="1"/>
  <c r="BM54" i="1"/>
  <c r="BL54" i="1"/>
  <c r="BJ54" i="1"/>
  <c r="BN54" i="1" s="1"/>
  <c r="BO54" i="1" s="1"/>
  <c r="BI54" i="1"/>
  <c r="BH54" i="1"/>
  <c r="BK54" i="1" s="1"/>
  <c r="BD54" i="1"/>
  <c r="AX54" i="1"/>
  <c r="AR54" i="1"/>
  <c r="BE54" i="1" s="1"/>
  <c r="AM54" i="1"/>
  <c r="AK54" i="1"/>
  <c r="AC54" i="1"/>
  <c r="AA54" i="1" s="1"/>
  <c r="AB54" i="1"/>
  <c r="W54" i="1"/>
  <c r="T54" i="1"/>
  <c r="M54" i="1"/>
  <c r="L54" i="1" s="1"/>
  <c r="AE54" i="1" s="1"/>
  <c r="DA53" i="1"/>
  <c r="CZ53" i="1"/>
  <c r="CX53" i="1"/>
  <c r="BM53" i="1"/>
  <c r="BL53" i="1"/>
  <c r="BK53" i="1"/>
  <c r="BH53" i="1"/>
  <c r="BE53" i="1"/>
  <c r="BD53" i="1"/>
  <c r="AX53" i="1"/>
  <c r="AR53" i="1"/>
  <c r="AM53" i="1"/>
  <c r="AK53" i="1" s="1"/>
  <c r="AC53" i="1"/>
  <c r="AB53" i="1"/>
  <c r="AA53" i="1" s="1"/>
  <c r="T53" i="1"/>
  <c r="DA52" i="1"/>
  <c r="CZ52" i="1"/>
  <c r="CY52" i="1" s="1"/>
  <c r="AZ52" i="1" s="1"/>
  <c r="CX52" i="1"/>
  <c r="BM52" i="1"/>
  <c r="BL52" i="1"/>
  <c r="BJ52" i="1"/>
  <c r="BN52" i="1" s="1"/>
  <c r="BO52" i="1" s="1"/>
  <c r="BI52" i="1"/>
  <c r="BH52" i="1"/>
  <c r="BK52" i="1" s="1"/>
  <c r="BD52" i="1"/>
  <c r="BA52" i="1"/>
  <c r="BC52" i="1" s="1"/>
  <c r="AX52" i="1"/>
  <c r="AR52" i="1"/>
  <c r="BE52" i="1" s="1"/>
  <c r="AM52" i="1"/>
  <c r="AL52" i="1"/>
  <c r="AK52" i="1"/>
  <c r="M52" i="1" s="1"/>
  <c r="AC52" i="1"/>
  <c r="AB52" i="1"/>
  <c r="AA52" i="1" s="1"/>
  <c r="W52" i="1"/>
  <c r="T52" i="1"/>
  <c r="R52" i="1"/>
  <c r="O52" i="1"/>
  <c r="N52" i="1"/>
  <c r="L52" i="1"/>
  <c r="DA51" i="1"/>
  <c r="CZ51" i="1"/>
  <c r="CY51" i="1" s="1"/>
  <c r="AZ51" i="1" s="1"/>
  <c r="BB51" i="1" s="1"/>
  <c r="CX51" i="1"/>
  <c r="BM51" i="1"/>
  <c r="BL51" i="1"/>
  <c r="BK51" i="1"/>
  <c r="BJ51" i="1"/>
  <c r="BN51" i="1" s="1"/>
  <c r="BO51" i="1" s="1"/>
  <c r="BI51" i="1"/>
  <c r="BH51" i="1"/>
  <c r="BE51" i="1"/>
  <c r="BD51" i="1"/>
  <c r="AX51" i="1"/>
  <c r="AR51" i="1"/>
  <c r="AM51" i="1"/>
  <c r="AK51" i="1" s="1"/>
  <c r="AL51" i="1"/>
  <c r="AC51" i="1"/>
  <c r="AB51" i="1"/>
  <c r="W51" i="1"/>
  <c r="T51" i="1"/>
  <c r="R51" i="1"/>
  <c r="O51" i="1"/>
  <c r="N51" i="1"/>
  <c r="BA51" i="1" s="1"/>
  <c r="M51" i="1"/>
  <c r="L51" i="1" s="1"/>
  <c r="DA50" i="1"/>
  <c r="CZ50" i="1"/>
  <c r="CY50" i="1"/>
  <c r="AZ50" i="1" s="1"/>
  <c r="BB50" i="1" s="1"/>
  <c r="CX50" i="1"/>
  <c r="BM50" i="1"/>
  <c r="BL50" i="1"/>
  <c r="BH50" i="1"/>
  <c r="BK50" i="1" s="1"/>
  <c r="BD50" i="1"/>
  <c r="AX50" i="1"/>
  <c r="AR50" i="1"/>
  <c r="BE50" i="1" s="1"/>
  <c r="AM50" i="1"/>
  <c r="AK50" i="1" s="1"/>
  <c r="AC50" i="1"/>
  <c r="AB50" i="1"/>
  <c r="AA50" i="1" s="1"/>
  <c r="W50" i="1"/>
  <c r="T50" i="1"/>
  <c r="DA49" i="1"/>
  <c r="CZ49" i="1"/>
  <c r="CX49" i="1"/>
  <c r="BM49" i="1"/>
  <c r="BL49" i="1"/>
  <c r="BH49" i="1"/>
  <c r="BI49" i="1" s="1"/>
  <c r="BD49" i="1"/>
  <c r="AX49" i="1"/>
  <c r="AR49" i="1"/>
  <c r="BE49" i="1" s="1"/>
  <c r="AM49" i="1"/>
  <c r="AK49" i="1"/>
  <c r="O49" i="1" s="1"/>
  <c r="AC49" i="1"/>
  <c r="AA49" i="1" s="1"/>
  <c r="AB49" i="1"/>
  <c r="T49" i="1"/>
  <c r="DA48" i="1"/>
  <c r="CZ48" i="1"/>
  <c r="CX48" i="1"/>
  <c r="CY48" i="1" s="1"/>
  <c r="AZ48" i="1" s="1"/>
  <c r="BM48" i="1"/>
  <c r="BL48" i="1"/>
  <c r="BH48" i="1"/>
  <c r="BK48" i="1" s="1"/>
  <c r="BD48" i="1"/>
  <c r="AX48" i="1"/>
  <c r="AR48" i="1"/>
  <c r="BE48" i="1" s="1"/>
  <c r="AM48" i="1"/>
  <c r="AK48" i="1" s="1"/>
  <c r="AC48" i="1"/>
  <c r="AA48" i="1" s="1"/>
  <c r="AB48" i="1"/>
  <c r="T48" i="1"/>
  <c r="DA47" i="1"/>
  <c r="CZ47" i="1"/>
  <c r="CY47" i="1"/>
  <c r="AZ47" i="1" s="1"/>
  <c r="CX47" i="1"/>
  <c r="BN47" i="1"/>
  <c r="BO47" i="1" s="1"/>
  <c r="BM47" i="1"/>
  <c r="BL47" i="1"/>
  <c r="BK47" i="1"/>
  <c r="BJ47" i="1"/>
  <c r="BI47" i="1"/>
  <c r="BH47" i="1"/>
  <c r="BE47" i="1"/>
  <c r="BD47" i="1"/>
  <c r="AX47" i="1"/>
  <c r="BB47" i="1" s="1"/>
  <c r="AR47" i="1"/>
  <c r="AM47" i="1"/>
  <c r="AK47" i="1" s="1"/>
  <c r="AC47" i="1"/>
  <c r="AB47" i="1"/>
  <c r="AA47" i="1" s="1"/>
  <c r="W47" i="1"/>
  <c r="T47" i="1"/>
  <c r="DA46" i="1"/>
  <c r="W46" i="1" s="1"/>
  <c r="CZ46" i="1"/>
  <c r="CX46" i="1"/>
  <c r="CY46" i="1" s="1"/>
  <c r="AZ46" i="1" s="1"/>
  <c r="BB46" i="1" s="1"/>
  <c r="BM46" i="1"/>
  <c r="BL46" i="1"/>
  <c r="BK46" i="1"/>
  <c r="BJ46" i="1"/>
  <c r="BN46" i="1" s="1"/>
  <c r="BO46" i="1" s="1"/>
  <c r="BH46" i="1"/>
  <c r="BI46" i="1" s="1"/>
  <c r="BE46" i="1"/>
  <c r="BD46" i="1"/>
  <c r="AX46" i="1"/>
  <c r="AR46" i="1"/>
  <c r="AM46" i="1"/>
  <c r="AK46" i="1" s="1"/>
  <c r="AC46" i="1"/>
  <c r="AA46" i="1" s="1"/>
  <c r="AB46" i="1"/>
  <c r="T46" i="1"/>
  <c r="DA45" i="1"/>
  <c r="W45" i="1" s="1"/>
  <c r="CZ45" i="1"/>
  <c r="CY45" i="1" s="1"/>
  <c r="AZ45" i="1" s="1"/>
  <c r="CX45" i="1"/>
  <c r="BM45" i="1"/>
  <c r="BL45" i="1"/>
  <c r="BK45" i="1"/>
  <c r="BJ45" i="1"/>
  <c r="BN45" i="1" s="1"/>
  <c r="BO45" i="1" s="1"/>
  <c r="BI45" i="1"/>
  <c r="BH45" i="1"/>
  <c r="BD45" i="1"/>
  <c r="AX45" i="1"/>
  <c r="AR45" i="1"/>
  <c r="BE45" i="1" s="1"/>
  <c r="AM45" i="1"/>
  <c r="AK45" i="1"/>
  <c r="N45" i="1" s="1"/>
  <c r="BA45" i="1" s="1"/>
  <c r="BC45" i="1" s="1"/>
  <c r="AC45" i="1"/>
  <c r="AB45" i="1"/>
  <c r="AA45" i="1"/>
  <c r="T45" i="1"/>
  <c r="DA44" i="1"/>
  <c r="CZ44" i="1"/>
  <c r="CX44" i="1"/>
  <c r="BM44" i="1"/>
  <c r="BL44" i="1"/>
  <c r="BH44" i="1"/>
  <c r="BD44" i="1"/>
  <c r="AX44" i="1"/>
  <c r="AR44" i="1"/>
  <c r="BE44" i="1" s="1"/>
  <c r="AM44" i="1"/>
  <c r="AK44" i="1" s="1"/>
  <c r="AC44" i="1"/>
  <c r="AB44" i="1"/>
  <c r="AA44" i="1" s="1"/>
  <c r="T44" i="1"/>
  <c r="DA43" i="1"/>
  <c r="CZ43" i="1"/>
  <c r="CY43" i="1"/>
  <c r="AZ43" i="1" s="1"/>
  <c r="CX43" i="1"/>
  <c r="BN43" i="1"/>
  <c r="BO43" i="1" s="1"/>
  <c r="BM43" i="1"/>
  <c r="BL43" i="1"/>
  <c r="BJ43" i="1"/>
  <c r="BI43" i="1"/>
  <c r="BH43" i="1"/>
  <c r="BK43" i="1" s="1"/>
  <c r="BE43" i="1"/>
  <c r="BD43" i="1"/>
  <c r="AX43" i="1"/>
  <c r="AR43" i="1"/>
  <c r="AM43" i="1"/>
  <c r="AK43" i="1" s="1"/>
  <c r="AL43" i="1" s="1"/>
  <c r="AC43" i="1"/>
  <c r="AB43" i="1"/>
  <c r="AA43" i="1" s="1"/>
  <c r="W43" i="1"/>
  <c r="T43" i="1"/>
  <c r="DA42" i="1"/>
  <c r="W42" i="1" s="1"/>
  <c r="CZ42" i="1"/>
  <c r="CX42" i="1"/>
  <c r="CY42" i="1" s="1"/>
  <c r="AZ42" i="1" s="1"/>
  <c r="BM42" i="1"/>
  <c r="BL42" i="1"/>
  <c r="BK42" i="1"/>
  <c r="BJ42" i="1"/>
  <c r="BN42" i="1" s="1"/>
  <c r="BO42" i="1" s="1"/>
  <c r="BH42" i="1"/>
  <c r="BI42" i="1" s="1"/>
  <c r="BE42" i="1"/>
  <c r="BD42" i="1"/>
  <c r="BB42" i="1"/>
  <c r="AX42" i="1"/>
  <c r="AR42" i="1"/>
  <c r="AM42" i="1"/>
  <c r="AK42" i="1" s="1"/>
  <c r="R42" i="1" s="1"/>
  <c r="AC42" i="1"/>
  <c r="AA42" i="1" s="1"/>
  <c r="AB42" i="1"/>
  <c r="T42" i="1"/>
  <c r="DA41" i="1"/>
  <c r="W41" i="1" s="1"/>
  <c r="CZ41" i="1"/>
  <c r="CY41" i="1" s="1"/>
  <c r="AZ41" i="1" s="1"/>
  <c r="CX41" i="1"/>
  <c r="BM41" i="1"/>
  <c r="BL41" i="1"/>
  <c r="BK41" i="1"/>
  <c r="BJ41" i="1"/>
  <c r="BN41" i="1" s="1"/>
  <c r="BO41" i="1" s="1"/>
  <c r="BI41" i="1"/>
  <c r="BH41" i="1"/>
  <c r="BD41" i="1"/>
  <c r="AX41" i="1"/>
  <c r="AR41" i="1"/>
  <c r="BE41" i="1" s="1"/>
  <c r="AM41" i="1"/>
  <c r="AK41" i="1"/>
  <c r="N41" i="1" s="1"/>
  <c r="BA41" i="1" s="1"/>
  <c r="AC41" i="1"/>
  <c r="AB41" i="1"/>
  <c r="AA41" i="1"/>
  <c r="T41" i="1"/>
  <c r="DA40" i="1"/>
  <c r="CZ40" i="1"/>
  <c r="CX40" i="1"/>
  <c r="BM40" i="1"/>
  <c r="BL40" i="1"/>
  <c r="BH40" i="1"/>
  <c r="BD40" i="1"/>
  <c r="AX40" i="1"/>
  <c r="AR40" i="1"/>
  <c r="BE40" i="1" s="1"/>
  <c r="AM40" i="1"/>
  <c r="AK40" i="1" s="1"/>
  <c r="AC40" i="1"/>
  <c r="AB40" i="1"/>
  <c r="AA40" i="1" s="1"/>
  <c r="T40" i="1"/>
  <c r="N40" i="1"/>
  <c r="BA40" i="1" s="1"/>
  <c r="DA39" i="1"/>
  <c r="CZ39" i="1"/>
  <c r="CY39" i="1"/>
  <c r="AZ39" i="1" s="1"/>
  <c r="CX39" i="1"/>
  <c r="BM39" i="1"/>
  <c r="BL39" i="1"/>
  <c r="BI39" i="1"/>
  <c r="BH39" i="1"/>
  <c r="BK39" i="1" s="1"/>
  <c r="BE39" i="1"/>
  <c r="BD39" i="1"/>
  <c r="AX39" i="1"/>
  <c r="BB39" i="1" s="1"/>
  <c r="AR39" i="1"/>
  <c r="AM39" i="1"/>
  <c r="AK39" i="1" s="1"/>
  <c r="AL39" i="1"/>
  <c r="AC39" i="1"/>
  <c r="AB39" i="1"/>
  <c r="AA39" i="1" s="1"/>
  <c r="W39" i="1"/>
  <c r="T39" i="1"/>
  <c r="DA38" i="1"/>
  <c r="W38" i="1" s="1"/>
  <c r="CZ38" i="1"/>
  <c r="CX38" i="1"/>
  <c r="CY38" i="1" s="1"/>
  <c r="AZ38" i="1" s="1"/>
  <c r="BM38" i="1"/>
  <c r="BL38" i="1"/>
  <c r="BK38" i="1"/>
  <c r="BJ38" i="1"/>
  <c r="BN38" i="1" s="1"/>
  <c r="BO38" i="1" s="1"/>
  <c r="BH38" i="1"/>
  <c r="BI38" i="1" s="1"/>
  <c r="BE38" i="1"/>
  <c r="BD38" i="1"/>
  <c r="BB38" i="1"/>
  <c r="AX38" i="1"/>
  <c r="AR38" i="1"/>
  <c r="AM38" i="1"/>
  <c r="AK38" i="1" s="1"/>
  <c r="AC38" i="1"/>
  <c r="AA38" i="1" s="1"/>
  <c r="AB38" i="1"/>
  <c r="T38" i="1"/>
  <c r="R38" i="1"/>
  <c r="DA37" i="1"/>
  <c r="W37" i="1" s="1"/>
  <c r="CZ37" i="1"/>
  <c r="CX37" i="1"/>
  <c r="CY37" i="1" s="1"/>
  <c r="AZ37" i="1" s="1"/>
  <c r="BM37" i="1"/>
  <c r="BL37" i="1"/>
  <c r="BK37" i="1"/>
  <c r="BJ37" i="1"/>
  <c r="BN37" i="1" s="1"/>
  <c r="BO37" i="1" s="1"/>
  <c r="BH37" i="1"/>
  <c r="BI37" i="1" s="1"/>
  <c r="BD37" i="1"/>
  <c r="AX37" i="1"/>
  <c r="AR37" i="1"/>
  <c r="BE37" i="1" s="1"/>
  <c r="AM37" i="1"/>
  <c r="AK37" i="1"/>
  <c r="N37" i="1" s="1"/>
  <c r="BA37" i="1" s="1"/>
  <c r="AC37" i="1"/>
  <c r="AB37" i="1"/>
  <c r="AA37" i="1"/>
  <c r="T37" i="1"/>
  <c r="DA36" i="1"/>
  <c r="CZ36" i="1"/>
  <c r="CX36" i="1"/>
  <c r="BM36" i="1"/>
  <c r="BL36" i="1"/>
  <c r="BH36" i="1"/>
  <c r="BD36" i="1"/>
  <c r="AX36" i="1"/>
  <c r="AR36" i="1"/>
  <c r="BE36" i="1" s="1"/>
  <c r="AM36" i="1"/>
  <c r="AK36" i="1" s="1"/>
  <c r="AC36" i="1"/>
  <c r="AB36" i="1"/>
  <c r="AA36" i="1" s="1"/>
  <c r="T36" i="1"/>
  <c r="N36" i="1"/>
  <c r="BA36" i="1" s="1"/>
  <c r="DA35" i="1"/>
  <c r="CZ35" i="1"/>
  <c r="CY35" i="1"/>
  <c r="AZ35" i="1" s="1"/>
  <c r="CX35" i="1"/>
  <c r="BM35" i="1"/>
  <c r="BL35" i="1"/>
  <c r="BI35" i="1"/>
  <c r="BH35" i="1"/>
  <c r="BK35" i="1" s="1"/>
  <c r="BE35" i="1"/>
  <c r="BD35" i="1"/>
  <c r="AX35" i="1"/>
  <c r="AR35" i="1"/>
  <c r="AM35" i="1"/>
  <c r="AK35" i="1" s="1"/>
  <c r="AL35" i="1"/>
  <c r="AC35" i="1"/>
  <c r="AB35" i="1"/>
  <c r="AA35" i="1" s="1"/>
  <c r="W35" i="1"/>
  <c r="T35" i="1"/>
  <c r="DA34" i="1"/>
  <c r="W34" i="1" s="1"/>
  <c r="CZ34" i="1"/>
  <c r="CX34" i="1"/>
  <c r="CY34" i="1" s="1"/>
  <c r="AZ34" i="1" s="1"/>
  <c r="BB34" i="1" s="1"/>
  <c r="BM34" i="1"/>
  <c r="BL34" i="1"/>
  <c r="BK34" i="1"/>
  <c r="BJ34" i="1"/>
  <c r="BN34" i="1" s="1"/>
  <c r="BO34" i="1" s="1"/>
  <c r="BH34" i="1"/>
  <c r="BI34" i="1" s="1"/>
  <c r="BE34" i="1"/>
  <c r="BD34" i="1"/>
  <c r="AX34" i="1"/>
  <c r="AR34" i="1"/>
  <c r="AM34" i="1"/>
  <c r="AK34" i="1" s="1"/>
  <c r="AC34" i="1"/>
  <c r="AA34" i="1" s="1"/>
  <c r="AB34" i="1"/>
  <c r="T34" i="1"/>
  <c r="R34" i="1"/>
  <c r="DA33" i="1"/>
  <c r="CZ33" i="1"/>
  <c r="CX33" i="1"/>
  <c r="CY33" i="1" s="1"/>
  <c r="AZ33" i="1" s="1"/>
  <c r="BB33" i="1" s="1"/>
  <c r="BM33" i="1"/>
  <c r="BL33" i="1"/>
  <c r="BK33" i="1"/>
  <c r="BJ33" i="1"/>
  <c r="BN33" i="1" s="1"/>
  <c r="BO33" i="1" s="1"/>
  <c r="BH33" i="1"/>
  <c r="BI33" i="1" s="1"/>
  <c r="BD33" i="1"/>
  <c r="AX33" i="1"/>
  <c r="AR33" i="1"/>
  <c r="BE33" i="1" s="1"/>
  <c r="AM33" i="1"/>
  <c r="AK33" i="1"/>
  <c r="N33" i="1" s="1"/>
  <c r="BA33" i="1" s="1"/>
  <c r="AC33" i="1"/>
  <c r="AB33" i="1"/>
  <c r="AA33" i="1"/>
  <c r="T33" i="1"/>
  <c r="DA32" i="1"/>
  <c r="CZ32" i="1"/>
  <c r="CX32" i="1"/>
  <c r="BM32" i="1"/>
  <c r="BL32" i="1"/>
  <c r="BH32" i="1"/>
  <c r="BD32" i="1"/>
  <c r="AX32" i="1"/>
  <c r="AR32" i="1"/>
  <c r="BE32" i="1" s="1"/>
  <c r="AM32" i="1"/>
  <c r="AK32" i="1" s="1"/>
  <c r="AC32" i="1"/>
  <c r="AB32" i="1"/>
  <c r="AA32" i="1" s="1"/>
  <c r="T32" i="1"/>
  <c r="DA31" i="1"/>
  <c r="CZ31" i="1"/>
  <c r="CY31" i="1"/>
  <c r="AZ31" i="1" s="1"/>
  <c r="CX31" i="1"/>
  <c r="BM31" i="1"/>
  <c r="BL31" i="1"/>
  <c r="BI31" i="1"/>
  <c r="BH31" i="1"/>
  <c r="BK31" i="1" s="1"/>
  <c r="BD31" i="1"/>
  <c r="AX31" i="1"/>
  <c r="BB31" i="1" s="1"/>
  <c r="AR31" i="1"/>
  <c r="BE31" i="1" s="1"/>
  <c r="AM31" i="1"/>
  <c r="AK31" i="1" s="1"/>
  <c r="AL31" i="1"/>
  <c r="AC31" i="1"/>
  <c r="AB31" i="1"/>
  <c r="AA31" i="1" s="1"/>
  <c r="W31" i="1"/>
  <c r="T31" i="1"/>
  <c r="DA30" i="1"/>
  <c r="CZ30" i="1"/>
  <c r="CX30" i="1"/>
  <c r="CY30" i="1" s="1"/>
  <c r="AZ30" i="1" s="1"/>
  <c r="BM30" i="1"/>
  <c r="BL30" i="1"/>
  <c r="BK30" i="1"/>
  <c r="BJ30" i="1"/>
  <c r="BN30" i="1" s="1"/>
  <c r="BO30" i="1" s="1"/>
  <c r="BH30" i="1"/>
  <c r="BI30" i="1" s="1"/>
  <c r="BE30" i="1"/>
  <c r="BD30" i="1"/>
  <c r="BB30" i="1"/>
  <c r="AX30" i="1"/>
  <c r="AR30" i="1"/>
  <c r="AM30" i="1"/>
  <c r="AK30" i="1" s="1"/>
  <c r="AC30" i="1"/>
  <c r="AA30" i="1" s="1"/>
  <c r="AB30" i="1"/>
  <c r="W30" i="1"/>
  <c r="T30" i="1"/>
  <c r="DA29" i="1"/>
  <c r="CZ29" i="1"/>
  <c r="CX29" i="1"/>
  <c r="BM29" i="1"/>
  <c r="BL29" i="1"/>
  <c r="BJ29" i="1"/>
  <c r="BN29" i="1" s="1"/>
  <c r="BO29" i="1" s="1"/>
  <c r="BH29" i="1"/>
  <c r="BK29" i="1" s="1"/>
  <c r="BD29" i="1"/>
  <c r="AX29" i="1"/>
  <c r="AR29" i="1"/>
  <c r="BE29" i="1" s="1"/>
  <c r="AM29" i="1"/>
  <c r="AK29" i="1"/>
  <c r="N29" i="1" s="1"/>
  <c r="BA29" i="1" s="1"/>
  <c r="AC29" i="1"/>
  <c r="AB29" i="1"/>
  <c r="AA29" i="1"/>
  <c r="T29" i="1"/>
  <c r="DA28" i="1"/>
  <c r="CZ28" i="1"/>
  <c r="CX28" i="1"/>
  <c r="BM28" i="1"/>
  <c r="BL28" i="1"/>
  <c r="BH28" i="1"/>
  <c r="BD28" i="1"/>
  <c r="AX28" i="1"/>
  <c r="AR28" i="1"/>
  <c r="BE28" i="1" s="1"/>
  <c r="AM28" i="1"/>
  <c r="AK28" i="1" s="1"/>
  <c r="AC28" i="1"/>
  <c r="AB28" i="1"/>
  <c r="AA28" i="1" s="1"/>
  <c r="T28" i="1"/>
  <c r="DA27" i="1"/>
  <c r="CZ27" i="1"/>
  <c r="CY27" i="1"/>
  <c r="AZ27" i="1" s="1"/>
  <c r="CX27" i="1"/>
  <c r="BM27" i="1"/>
  <c r="BL27" i="1"/>
  <c r="BI27" i="1"/>
  <c r="BH27" i="1"/>
  <c r="BK27" i="1" s="1"/>
  <c r="BD27" i="1"/>
  <c r="AX27" i="1"/>
  <c r="BB27" i="1" s="1"/>
  <c r="AR27" i="1"/>
  <c r="BE27" i="1" s="1"/>
  <c r="AM27" i="1"/>
  <c r="AK27" i="1" s="1"/>
  <c r="AL27" i="1"/>
  <c r="AC27" i="1"/>
  <c r="AB27" i="1"/>
  <c r="AA27" i="1" s="1"/>
  <c r="W27" i="1"/>
  <c r="T27" i="1"/>
  <c r="DA26" i="1"/>
  <c r="CZ26" i="1"/>
  <c r="CX26" i="1"/>
  <c r="CY26" i="1" s="1"/>
  <c r="AZ26" i="1" s="1"/>
  <c r="BB26" i="1" s="1"/>
  <c r="BM26" i="1"/>
  <c r="BL26" i="1"/>
  <c r="BK26" i="1"/>
  <c r="BJ26" i="1"/>
  <c r="BN26" i="1" s="1"/>
  <c r="BO26" i="1" s="1"/>
  <c r="BH26" i="1"/>
  <c r="BI26" i="1" s="1"/>
  <c r="BE26" i="1"/>
  <c r="BD26" i="1"/>
  <c r="AX26" i="1"/>
  <c r="AR26" i="1"/>
  <c r="AM26" i="1"/>
  <c r="AK26" i="1" s="1"/>
  <c r="AC26" i="1"/>
  <c r="AB26" i="1"/>
  <c r="AA26" i="1" s="1"/>
  <c r="W26" i="1"/>
  <c r="T26" i="1"/>
  <c r="DA25" i="1"/>
  <c r="CZ25" i="1"/>
  <c r="CX25" i="1"/>
  <c r="BM25" i="1"/>
  <c r="BL25" i="1"/>
  <c r="BJ25" i="1"/>
  <c r="BN25" i="1" s="1"/>
  <c r="BO25" i="1" s="1"/>
  <c r="BH25" i="1"/>
  <c r="BK25" i="1" s="1"/>
  <c r="BD25" i="1"/>
  <c r="AX25" i="1"/>
  <c r="AR25" i="1"/>
  <c r="BE25" i="1" s="1"/>
  <c r="AM25" i="1"/>
  <c r="AK25" i="1"/>
  <c r="N25" i="1" s="1"/>
  <c r="BA25" i="1" s="1"/>
  <c r="AC25" i="1"/>
  <c r="AB25" i="1"/>
  <c r="AA25" i="1"/>
  <c r="T25" i="1"/>
  <c r="DA24" i="1"/>
  <c r="CZ24" i="1"/>
  <c r="CX24" i="1"/>
  <c r="BM24" i="1"/>
  <c r="BL24" i="1"/>
  <c r="BH24" i="1"/>
  <c r="BD24" i="1"/>
  <c r="AX24" i="1"/>
  <c r="AR24" i="1"/>
  <c r="BE24" i="1" s="1"/>
  <c r="AM24" i="1"/>
  <c r="AK24" i="1" s="1"/>
  <c r="AC24" i="1"/>
  <c r="AB24" i="1"/>
  <c r="AA24" i="1" s="1"/>
  <c r="T24" i="1"/>
  <c r="DA23" i="1"/>
  <c r="CZ23" i="1"/>
  <c r="CY23" i="1"/>
  <c r="AZ23" i="1" s="1"/>
  <c r="CX23" i="1"/>
  <c r="BM23" i="1"/>
  <c r="BL23" i="1"/>
  <c r="BI23" i="1"/>
  <c r="BH23" i="1"/>
  <c r="BK23" i="1" s="1"/>
  <c r="BD23" i="1"/>
  <c r="AX23" i="1"/>
  <c r="BB23" i="1" s="1"/>
  <c r="AR23" i="1"/>
  <c r="BE23" i="1" s="1"/>
  <c r="AM23" i="1"/>
  <c r="AK23" i="1" s="1"/>
  <c r="AL23" i="1"/>
  <c r="AC23" i="1"/>
  <c r="AB23" i="1"/>
  <c r="AA23" i="1" s="1"/>
  <c r="W23" i="1"/>
  <c r="T23" i="1"/>
  <c r="DA22" i="1"/>
  <c r="CZ22" i="1"/>
  <c r="CX22" i="1"/>
  <c r="CY22" i="1" s="1"/>
  <c r="AZ22" i="1" s="1"/>
  <c r="BM22" i="1"/>
  <c r="BL22" i="1"/>
  <c r="BK22" i="1"/>
  <c r="BJ22" i="1"/>
  <c r="BN22" i="1" s="1"/>
  <c r="BO22" i="1" s="1"/>
  <c r="BH22" i="1"/>
  <c r="BI22" i="1" s="1"/>
  <c r="BE22" i="1"/>
  <c r="BD22" i="1"/>
  <c r="BB22" i="1"/>
  <c r="AX22" i="1"/>
  <c r="AR22" i="1"/>
  <c r="AM22" i="1"/>
  <c r="AK22" i="1" s="1"/>
  <c r="AC22" i="1"/>
  <c r="AB22" i="1"/>
  <c r="AA22" i="1" s="1"/>
  <c r="W22" i="1"/>
  <c r="T22" i="1"/>
  <c r="DA21" i="1"/>
  <c r="CZ21" i="1"/>
  <c r="CX21" i="1"/>
  <c r="BM21" i="1"/>
  <c r="BL21" i="1"/>
  <c r="BJ21" i="1"/>
  <c r="BN21" i="1" s="1"/>
  <c r="BO21" i="1" s="1"/>
  <c r="BH21" i="1"/>
  <c r="BK21" i="1" s="1"/>
  <c r="BD21" i="1"/>
  <c r="AX21" i="1"/>
  <c r="AR21" i="1"/>
  <c r="BE21" i="1" s="1"/>
  <c r="AM21" i="1"/>
  <c r="AK21" i="1"/>
  <c r="N21" i="1" s="1"/>
  <c r="BA21" i="1" s="1"/>
  <c r="AC21" i="1"/>
  <c r="AB21" i="1"/>
  <c r="AA21" i="1"/>
  <c r="T21" i="1"/>
  <c r="DA20" i="1"/>
  <c r="CZ20" i="1"/>
  <c r="CX20" i="1"/>
  <c r="BM20" i="1"/>
  <c r="BL20" i="1"/>
  <c r="BH20" i="1"/>
  <c r="BD20" i="1"/>
  <c r="AX20" i="1"/>
  <c r="AR20" i="1"/>
  <c r="BE20" i="1" s="1"/>
  <c r="AM20" i="1"/>
  <c r="AK20" i="1" s="1"/>
  <c r="AC20" i="1"/>
  <c r="AB20" i="1"/>
  <c r="AA20" i="1" s="1"/>
  <c r="T20" i="1"/>
  <c r="DA19" i="1"/>
  <c r="CZ19" i="1"/>
  <c r="CY19" i="1"/>
  <c r="AZ19" i="1" s="1"/>
  <c r="CX19" i="1"/>
  <c r="BM19" i="1"/>
  <c r="BL19" i="1"/>
  <c r="BI19" i="1"/>
  <c r="BH19" i="1"/>
  <c r="BK19" i="1" s="1"/>
  <c r="BD19" i="1"/>
  <c r="AX19" i="1"/>
  <c r="BB19" i="1" s="1"/>
  <c r="AR19" i="1"/>
  <c r="BE19" i="1" s="1"/>
  <c r="AM19" i="1"/>
  <c r="AK19" i="1" s="1"/>
  <c r="AL19" i="1"/>
  <c r="AC19" i="1"/>
  <c r="AB19" i="1"/>
  <c r="AA19" i="1" s="1"/>
  <c r="W19" i="1"/>
  <c r="T19" i="1"/>
  <c r="DA18" i="1"/>
  <c r="CZ18" i="1"/>
  <c r="CX18" i="1"/>
  <c r="CY18" i="1" s="1"/>
  <c r="AZ18" i="1" s="1"/>
  <c r="BB18" i="1" s="1"/>
  <c r="BM18" i="1"/>
  <c r="BL18" i="1"/>
  <c r="BJ18" i="1"/>
  <c r="BN18" i="1" s="1"/>
  <c r="BO18" i="1" s="1"/>
  <c r="BH18" i="1"/>
  <c r="BI18" i="1" s="1"/>
  <c r="BE18" i="1"/>
  <c r="BD18" i="1"/>
  <c r="AX18" i="1"/>
  <c r="AR18" i="1"/>
  <c r="AM18" i="1"/>
  <c r="AK18" i="1" s="1"/>
  <c r="AC18" i="1"/>
  <c r="AB18" i="1"/>
  <c r="AA18" i="1" s="1"/>
  <c r="W18" i="1"/>
  <c r="T18" i="1"/>
  <c r="R18" i="1"/>
  <c r="DA17" i="1"/>
  <c r="CZ17" i="1"/>
  <c r="CX17" i="1"/>
  <c r="CY17" i="1" s="1"/>
  <c r="AZ17" i="1" s="1"/>
  <c r="BB17" i="1" s="1"/>
  <c r="BM17" i="1"/>
  <c r="BL17" i="1"/>
  <c r="BJ17" i="1"/>
  <c r="BN17" i="1" s="1"/>
  <c r="BO17" i="1" s="1"/>
  <c r="BH17" i="1"/>
  <c r="BK17" i="1" s="1"/>
  <c r="BD17" i="1"/>
  <c r="AX17" i="1"/>
  <c r="AR17" i="1"/>
  <c r="BE17" i="1" s="1"/>
  <c r="AM17" i="1"/>
  <c r="AK17" i="1"/>
  <c r="N17" i="1" s="1"/>
  <c r="BA17" i="1" s="1"/>
  <c r="AC17" i="1"/>
  <c r="AB17" i="1"/>
  <c r="AA17" i="1"/>
  <c r="T17" i="1"/>
  <c r="AL24" i="1" l="1"/>
  <c r="R24" i="1"/>
  <c r="O24" i="1"/>
  <c r="M24" i="1"/>
  <c r="L24" i="1" s="1"/>
  <c r="AL32" i="1"/>
  <c r="R32" i="1"/>
  <c r="O32" i="1"/>
  <c r="M32" i="1"/>
  <c r="L32" i="1" s="1"/>
  <c r="AF55" i="1"/>
  <c r="AG55" i="1"/>
  <c r="Z55" i="1"/>
  <c r="AD55" i="1" s="1"/>
  <c r="CY21" i="1"/>
  <c r="AZ21" i="1" s="1"/>
  <c r="BB21" i="1" s="1"/>
  <c r="CY24" i="1"/>
  <c r="AZ24" i="1" s="1"/>
  <c r="W24" i="1"/>
  <c r="CY29" i="1"/>
  <c r="AZ29" i="1" s="1"/>
  <c r="BB29" i="1" s="1"/>
  <c r="CY32" i="1"/>
  <c r="AZ32" i="1" s="1"/>
  <c r="W32" i="1"/>
  <c r="BB48" i="1"/>
  <c r="BB52" i="1"/>
  <c r="BK20" i="1"/>
  <c r="BJ20" i="1"/>
  <c r="BN20" i="1" s="1"/>
  <c r="BO20" i="1" s="1"/>
  <c r="BI20" i="1"/>
  <c r="R19" i="1"/>
  <c r="O19" i="1"/>
  <c r="N19" i="1"/>
  <c r="BA19" i="1" s="1"/>
  <c r="BC19" i="1" s="1"/>
  <c r="M19" i="1"/>
  <c r="L19" i="1" s="1"/>
  <c r="O22" i="1"/>
  <c r="N22" i="1"/>
  <c r="BA22" i="1" s="1"/>
  <c r="BC22" i="1" s="1"/>
  <c r="M22" i="1"/>
  <c r="L22" i="1" s="1"/>
  <c r="AL22" i="1"/>
  <c r="R27" i="1"/>
  <c r="O27" i="1"/>
  <c r="N27" i="1"/>
  <c r="BA27" i="1" s="1"/>
  <c r="BC27" i="1" s="1"/>
  <c r="M27" i="1"/>
  <c r="L27" i="1" s="1"/>
  <c r="O30" i="1"/>
  <c r="N30" i="1"/>
  <c r="BA30" i="1" s="1"/>
  <c r="BC30" i="1" s="1"/>
  <c r="M30" i="1"/>
  <c r="L30" i="1" s="1"/>
  <c r="AL30" i="1"/>
  <c r="BC33" i="1"/>
  <c r="R35" i="1"/>
  <c r="O35" i="1"/>
  <c r="N35" i="1"/>
  <c r="BA35" i="1" s="1"/>
  <c r="BC35" i="1" s="1"/>
  <c r="M35" i="1"/>
  <c r="L35" i="1" s="1"/>
  <c r="BK36" i="1"/>
  <c r="BJ36" i="1"/>
  <c r="BN36" i="1" s="1"/>
  <c r="BO36" i="1" s="1"/>
  <c r="BI36" i="1"/>
  <c r="BB37" i="1"/>
  <c r="CY40" i="1"/>
  <c r="AZ40" i="1" s="1"/>
  <c r="W40" i="1"/>
  <c r="AL44" i="1"/>
  <c r="R44" i="1"/>
  <c r="O44" i="1"/>
  <c r="M44" i="1"/>
  <c r="L44" i="1" s="1"/>
  <c r="O46" i="1"/>
  <c r="N46" i="1"/>
  <c r="BA46" i="1" s="1"/>
  <c r="BC46" i="1" s="1"/>
  <c r="M46" i="1"/>
  <c r="L46" i="1" s="1"/>
  <c r="AL46" i="1"/>
  <c r="R46" i="1"/>
  <c r="M50" i="1"/>
  <c r="L50" i="1" s="1"/>
  <c r="O50" i="1"/>
  <c r="AL50" i="1"/>
  <c r="R50" i="1"/>
  <c r="N50" i="1"/>
  <c r="BA50" i="1" s="1"/>
  <c r="BC50" i="1" s="1"/>
  <c r="BC17" i="1"/>
  <c r="R22" i="1"/>
  <c r="N24" i="1"/>
  <c r="BA24" i="1" s="1"/>
  <c r="BC24" i="1" s="1"/>
  <c r="BB24" i="1"/>
  <c r="R30" i="1"/>
  <c r="N32" i="1"/>
  <c r="BA32" i="1" s="1"/>
  <c r="BC32" i="1" s="1"/>
  <c r="BB32" i="1"/>
  <c r="O38" i="1"/>
  <c r="N38" i="1"/>
  <c r="BA38" i="1" s="1"/>
  <c r="BC38" i="1" s="1"/>
  <c r="M38" i="1"/>
  <c r="L38" i="1" s="1"/>
  <c r="X38" i="1" s="1"/>
  <c r="Y38" i="1" s="1"/>
  <c r="AL38" i="1"/>
  <c r="AL40" i="1"/>
  <c r="R40" i="1"/>
  <c r="O40" i="1"/>
  <c r="M40" i="1"/>
  <c r="L40" i="1" s="1"/>
  <c r="R47" i="1"/>
  <c r="O47" i="1"/>
  <c r="N47" i="1"/>
  <c r="BA47" i="1" s="1"/>
  <c r="BC47" i="1" s="1"/>
  <c r="M47" i="1"/>
  <c r="L47" i="1" s="1"/>
  <c r="AL47" i="1"/>
  <c r="O42" i="1"/>
  <c r="N42" i="1"/>
  <c r="BA42" i="1" s="1"/>
  <c r="BC42" i="1" s="1"/>
  <c r="M42" i="1"/>
  <c r="L42" i="1" s="1"/>
  <c r="AL42" i="1"/>
  <c r="CY20" i="1"/>
  <c r="AZ20" i="1" s="1"/>
  <c r="BB20" i="1" s="1"/>
  <c r="W20" i="1"/>
  <c r="CY25" i="1"/>
  <c r="AZ25" i="1" s="1"/>
  <c r="BB25" i="1" s="1"/>
  <c r="CY28" i="1"/>
  <c r="AZ28" i="1" s="1"/>
  <c r="W28" i="1"/>
  <c r="BB35" i="1"/>
  <c r="BC41" i="1"/>
  <c r="N44" i="1"/>
  <c r="BA44" i="1" s="1"/>
  <c r="BB45" i="1"/>
  <c r="BK28" i="1"/>
  <c r="BJ28" i="1"/>
  <c r="BN28" i="1" s="1"/>
  <c r="BO28" i="1" s="1"/>
  <c r="BI28" i="1"/>
  <c r="AL20" i="1"/>
  <c r="R20" i="1"/>
  <c r="O20" i="1"/>
  <c r="M20" i="1"/>
  <c r="L20" i="1" s="1"/>
  <c r="BK24" i="1"/>
  <c r="BJ24" i="1"/>
  <c r="BN24" i="1" s="1"/>
  <c r="BO24" i="1" s="1"/>
  <c r="BI24" i="1"/>
  <c r="AL28" i="1"/>
  <c r="R28" i="1"/>
  <c r="O28" i="1"/>
  <c r="M28" i="1"/>
  <c r="L28" i="1" s="1"/>
  <c r="BK32" i="1"/>
  <c r="BJ32" i="1"/>
  <c r="BN32" i="1" s="1"/>
  <c r="BO32" i="1" s="1"/>
  <c r="BI32" i="1"/>
  <c r="CY36" i="1"/>
  <c r="AZ36" i="1" s="1"/>
  <c r="BC36" i="1" s="1"/>
  <c r="W36" i="1"/>
  <c r="BC40" i="1"/>
  <c r="BB40" i="1"/>
  <c r="R43" i="1"/>
  <c r="O43" i="1"/>
  <c r="N43" i="1"/>
  <c r="BA43" i="1" s="1"/>
  <c r="BC43" i="1" s="1"/>
  <c r="M43" i="1"/>
  <c r="L43" i="1" s="1"/>
  <c r="AE51" i="1"/>
  <c r="BC21" i="1"/>
  <c r="R23" i="1"/>
  <c r="O23" i="1"/>
  <c r="N23" i="1"/>
  <c r="BA23" i="1" s="1"/>
  <c r="BC23" i="1" s="1"/>
  <c r="M23" i="1"/>
  <c r="L23" i="1" s="1"/>
  <c r="O26" i="1"/>
  <c r="N26" i="1"/>
  <c r="BA26" i="1" s="1"/>
  <c r="BC26" i="1" s="1"/>
  <c r="M26" i="1"/>
  <c r="L26" i="1" s="1"/>
  <c r="AL26" i="1"/>
  <c r="BC29" i="1"/>
  <c r="R31" i="1"/>
  <c r="O31" i="1"/>
  <c r="N31" i="1"/>
  <c r="BA31" i="1" s="1"/>
  <c r="BC31" i="1" s="1"/>
  <c r="M31" i="1"/>
  <c r="L31" i="1" s="1"/>
  <c r="O34" i="1"/>
  <c r="N34" i="1"/>
  <c r="BA34" i="1" s="1"/>
  <c r="BC34" i="1" s="1"/>
  <c r="M34" i="1"/>
  <c r="L34" i="1" s="1"/>
  <c r="AL34" i="1"/>
  <c r="AL36" i="1"/>
  <c r="R36" i="1"/>
  <c r="O36" i="1"/>
  <c r="M36" i="1"/>
  <c r="L36" i="1" s="1"/>
  <c r="X42" i="1"/>
  <c r="Y42" i="1" s="1"/>
  <c r="BK44" i="1"/>
  <c r="BJ44" i="1"/>
  <c r="BN44" i="1" s="1"/>
  <c r="BO44" i="1" s="1"/>
  <c r="BI44" i="1"/>
  <c r="X46" i="1"/>
  <c r="Y46" i="1" s="1"/>
  <c r="AL48" i="1"/>
  <c r="R48" i="1"/>
  <c r="O48" i="1"/>
  <c r="M48" i="1"/>
  <c r="L48" i="1" s="1"/>
  <c r="N48" i="1"/>
  <c r="BA48" i="1" s="1"/>
  <c r="BC48" i="1" s="1"/>
  <c r="BC51" i="1"/>
  <c r="O53" i="1"/>
  <c r="R53" i="1"/>
  <c r="N53" i="1"/>
  <c r="BA53" i="1" s="1"/>
  <c r="M53" i="1"/>
  <c r="L53" i="1" s="1"/>
  <c r="AL53" i="1"/>
  <c r="CY44" i="1"/>
  <c r="AZ44" i="1" s="1"/>
  <c r="BB44" i="1" s="1"/>
  <c r="W44" i="1"/>
  <c r="O18" i="1"/>
  <c r="N18" i="1"/>
  <c r="BA18" i="1" s="1"/>
  <c r="BC18" i="1" s="1"/>
  <c r="M18" i="1"/>
  <c r="L18" i="1" s="1"/>
  <c r="AL18" i="1"/>
  <c r="N20" i="1"/>
  <c r="BA20" i="1" s="1"/>
  <c r="BC20" i="1" s="1"/>
  <c r="R26" i="1"/>
  <c r="N28" i="1"/>
  <c r="BA28" i="1" s="1"/>
  <c r="BC28" i="1" s="1"/>
  <c r="BB28" i="1"/>
  <c r="BC37" i="1"/>
  <c r="R39" i="1"/>
  <c r="O39" i="1"/>
  <c r="N39" i="1"/>
  <c r="BA39" i="1" s="1"/>
  <c r="BC39" i="1" s="1"/>
  <c r="M39" i="1"/>
  <c r="L39" i="1" s="1"/>
  <c r="BK40" i="1"/>
  <c r="BJ40" i="1"/>
  <c r="BN40" i="1" s="1"/>
  <c r="BO40" i="1" s="1"/>
  <c r="BI40" i="1"/>
  <c r="BB41" i="1"/>
  <c r="BB43" i="1"/>
  <c r="O17" i="1"/>
  <c r="W17" i="1"/>
  <c r="BI17" i="1"/>
  <c r="BK18" i="1"/>
  <c r="O21" i="1"/>
  <c r="W21" i="1"/>
  <c r="BI21" i="1"/>
  <c r="O25" i="1"/>
  <c r="W25" i="1"/>
  <c r="BI25" i="1"/>
  <c r="O29" i="1"/>
  <c r="W29" i="1"/>
  <c r="BI29" i="1"/>
  <c r="O33" i="1"/>
  <c r="W33" i="1"/>
  <c r="O37" i="1"/>
  <c r="O41" i="1"/>
  <c r="O45" i="1"/>
  <c r="U55" i="1"/>
  <c r="S55" i="1" s="1"/>
  <c r="V55" i="1" s="1"/>
  <c r="O62" i="1"/>
  <c r="N62" i="1"/>
  <c r="BA62" i="1" s="1"/>
  <c r="R62" i="1"/>
  <c r="AL62" i="1"/>
  <c r="M62" i="1"/>
  <c r="L62" i="1" s="1"/>
  <c r="AE67" i="1"/>
  <c r="U52" i="1"/>
  <c r="S52" i="1" s="1"/>
  <c r="V52" i="1" s="1"/>
  <c r="P52" i="1" s="1"/>
  <c r="Q52" i="1" s="1"/>
  <c r="W48" i="1"/>
  <c r="BI48" i="1"/>
  <c r="R49" i="1"/>
  <c r="AL49" i="1"/>
  <c r="X51" i="1"/>
  <c r="Y51" i="1" s="1"/>
  <c r="AE52" i="1"/>
  <c r="CY57" i="1"/>
  <c r="AZ57" i="1" s="1"/>
  <c r="BB57" i="1" s="1"/>
  <c r="W57" i="1"/>
  <c r="O66" i="1"/>
  <c r="N66" i="1"/>
  <c r="BA66" i="1" s="1"/>
  <c r="BC66" i="1" s="1"/>
  <c r="M66" i="1"/>
  <c r="L66" i="1" s="1"/>
  <c r="AL66" i="1"/>
  <c r="R66" i="1"/>
  <c r="R17" i="1"/>
  <c r="R21" i="1"/>
  <c r="R25" i="1"/>
  <c r="R29" i="1"/>
  <c r="R33" i="1"/>
  <c r="R37" i="1"/>
  <c r="R41" i="1"/>
  <c r="R45" i="1"/>
  <c r="BJ48" i="1"/>
  <c r="BN48" i="1" s="1"/>
  <c r="BO48" i="1" s="1"/>
  <c r="CY49" i="1"/>
  <c r="AZ49" i="1" s="1"/>
  <c r="BB49" i="1" s="1"/>
  <c r="W49" i="1"/>
  <c r="X52" i="1"/>
  <c r="Y52" i="1" s="1"/>
  <c r="AF52" i="1" s="1"/>
  <c r="BJ53" i="1"/>
  <c r="BN53" i="1" s="1"/>
  <c r="BO53" i="1" s="1"/>
  <c r="BI53" i="1"/>
  <c r="AA55" i="1"/>
  <c r="AL57" i="1"/>
  <c r="R57" i="1"/>
  <c r="O57" i="1"/>
  <c r="R63" i="1"/>
  <c r="O63" i="1"/>
  <c r="AL63" i="1"/>
  <c r="N63" i="1"/>
  <c r="BA63" i="1" s="1"/>
  <c r="BC63" i="1" s="1"/>
  <c r="CY53" i="1"/>
  <c r="AZ53" i="1" s="1"/>
  <c r="BB53" i="1" s="1"/>
  <c r="W53" i="1"/>
  <c r="AL54" i="1"/>
  <c r="R54" i="1"/>
  <c r="R59" i="1"/>
  <c r="O59" i="1"/>
  <c r="AL59" i="1"/>
  <c r="N59" i="1"/>
  <c r="BA59" i="1" s="1"/>
  <c r="BC59" i="1" s="1"/>
  <c r="M59" i="1"/>
  <c r="L59" i="1" s="1"/>
  <c r="CY59" i="1"/>
  <c r="AZ59" i="1" s="1"/>
  <c r="W59" i="1"/>
  <c r="AL17" i="1"/>
  <c r="X19" i="1"/>
  <c r="Y19" i="1" s="1"/>
  <c r="AF19" i="1" s="1"/>
  <c r="BJ19" i="1"/>
  <c r="BN19" i="1" s="1"/>
  <c r="BO19" i="1" s="1"/>
  <c r="AL21" i="1"/>
  <c r="X23" i="1"/>
  <c r="Y23" i="1" s="1"/>
  <c r="AF23" i="1" s="1"/>
  <c r="BJ23" i="1"/>
  <c r="BN23" i="1" s="1"/>
  <c r="BO23" i="1" s="1"/>
  <c r="AL25" i="1"/>
  <c r="X27" i="1"/>
  <c r="Y27" i="1" s="1"/>
  <c r="AF27" i="1" s="1"/>
  <c r="BJ27" i="1"/>
  <c r="BN27" i="1" s="1"/>
  <c r="BO27" i="1" s="1"/>
  <c r="AL29" i="1"/>
  <c r="X31" i="1"/>
  <c r="Y31" i="1" s="1"/>
  <c r="BJ31" i="1"/>
  <c r="BN31" i="1" s="1"/>
  <c r="BO31" i="1" s="1"/>
  <c r="AL33" i="1"/>
  <c r="X35" i="1"/>
  <c r="Y35" i="1" s="1"/>
  <c r="AF35" i="1" s="1"/>
  <c r="BJ35" i="1"/>
  <c r="BN35" i="1" s="1"/>
  <c r="BO35" i="1" s="1"/>
  <c r="AL37" i="1"/>
  <c r="X39" i="1"/>
  <c r="Y39" i="1" s="1"/>
  <c r="AF39" i="1" s="1"/>
  <c r="BJ39" i="1"/>
  <c r="BN39" i="1" s="1"/>
  <c r="BO39" i="1" s="1"/>
  <c r="AL41" i="1"/>
  <c r="X43" i="1"/>
  <c r="Y43" i="1" s="1"/>
  <c r="AL45" i="1"/>
  <c r="X47" i="1"/>
  <c r="Y47" i="1" s="1"/>
  <c r="AF47" i="1" s="1"/>
  <c r="BJ49" i="1"/>
  <c r="BN49" i="1" s="1"/>
  <c r="BO49" i="1" s="1"/>
  <c r="BI50" i="1"/>
  <c r="AA51" i="1"/>
  <c r="N54" i="1"/>
  <c r="BA54" i="1" s="1"/>
  <c r="BC54" i="1" s="1"/>
  <c r="X54" i="1"/>
  <c r="Y54" i="1" s="1"/>
  <c r="BB56" i="1"/>
  <c r="BK64" i="1"/>
  <c r="BJ64" i="1"/>
  <c r="BN64" i="1" s="1"/>
  <c r="BO64" i="1" s="1"/>
  <c r="BI64" i="1"/>
  <c r="AF66" i="1"/>
  <c r="U83" i="1"/>
  <c r="S83" i="1" s="1"/>
  <c r="V83" i="1" s="1"/>
  <c r="P83" i="1" s="1"/>
  <c r="Q83" i="1" s="1"/>
  <c r="AE83" i="1"/>
  <c r="R56" i="1"/>
  <c r="O56" i="1"/>
  <c r="N56" i="1"/>
  <c r="BA56" i="1" s="1"/>
  <c r="BC56" i="1" s="1"/>
  <c r="M56" i="1"/>
  <c r="L56" i="1" s="1"/>
  <c r="M17" i="1"/>
  <c r="L17" i="1" s="1"/>
  <c r="M21" i="1"/>
  <c r="L21" i="1" s="1"/>
  <c r="M25" i="1"/>
  <c r="L25" i="1" s="1"/>
  <c r="M29" i="1"/>
  <c r="L29" i="1" s="1"/>
  <c r="M33" i="1"/>
  <c r="L33" i="1" s="1"/>
  <c r="M37" i="1"/>
  <c r="L37" i="1" s="1"/>
  <c r="M41" i="1"/>
  <c r="L41" i="1" s="1"/>
  <c r="M45" i="1"/>
  <c r="L45" i="1" s="1"/>
  <c r="M49" i="1"/>
  <c r="L49" i="1" s="1"/>
  <c r="BK49" i="1"/>
  <c r="BJ50" i="1"/>
  <c r="BN50" i="1" s="1"/>
  <c r="BO50" i="1" s="1"/>
  <c r="O54" i="1"/>
  <c r="AH55" i="1"/>
  <c r="BC58" i="1"/>
  <c r="BB59" i="1"/>
  <c r="M63" i="1"/>
  <c r="L63" i="1" s="1"/>
  <c r="X63" i="1" s="1"/>
  <c r="Y63" i="1" s="1"/>
  <c r="N49" i="1"/>
  <c r="BA49" i="1" s="1"/>
  <c r="BC49" i="1" s="1"/>
  <c r="BB54" i="1"/>
  <c r="O55" i="1"/>
  <c r="N55" i="1"/>
  <c r="BA55" i="1" s="1"/>
  <c r="BC55" i="1" s="1"/>
  <c r="AL55" i="1"/>
  <c r="BK57" i="1"/>
  <c r="BJ57" i="1"/>
  <c r="BN57" i="1" s="1"/>
  <c r="BO57" i="1" s="1"/>
  <c r="BI57" i="1"/>
  <c r="BC61" i="1"/>
  <c r="BK68" i="1"/>
  <c r="BJ68" i="1"/>
  <c r="BN68" i="1" s="1"/>
  <c r="BO68" i="1" s="1"/>
  <c r="BI68" i="1"/>
  <c r="BK72" i="1"/>
  <c r="BJ72" i="1"/>
  <c r="BN72" i="1" s="1"/>
  <c r="BO72" i="1" s="1"/>
  <c r="BI72" i="1"/>
  <c r="AL76" i="1"/>
  <c r="R76" i="1"/>
  <c r="O76" i="1"/>
  <c r="M76" i="1"/>
  <c r="L76" i="1" s="1"/>
  <c r="BC80" i="1"/>
  <c r="X83" i="1"/>
  <c r="Y83" i="1" s="1"/>
  <c r="BB60" i="1"/>
  <c r="BJ61" i="1"/>
  <c r="BN61" i="1" s="1"/>
  <c r="BO61" i="1" s="1"/>
  <c r="X62" i="1"/>
  <c r="Y62" i="1" s="1"/>
  <c r="BK63" i="1"/>
  <c r="BJ63" i="1"/>
  <c r="BN63" i="1" s="1"/>
  <c r="BO63" i="1" s="1"/>
  <c r="X66" i="1"/>
  <c r="Y66" i="1" s="1"/>
  <c r="R67" i="1"/>
  <c r="O67" i="1"/>
  <c r="N67" i="1"/>
  <c r="BA67" i="1" s="1"/>
  <c r="BC67" i="1" s="1"/>
  <c r="BB69" i="1"/>
  <c r="R71" i="1"/>
  <c r="O71" i="1"/>
  <c r="N71" i="1"/>
  <c r="BA71" i="1" s="1"/>
  <c r="BC71" i="1" s="1"/>
  <c r="M71" i="1"/>
  <c r="L71" i="1" s="1"/>
  <c r="N76" i="1"/>
  <c r="BA76" i="1" s="1"/>
  <c r="BC76" i="1" s="1"/>
  <c r="BK80" i="1"/>
  <c r="BJ80" i="1"/>
  <c r="BN80" i="1" s="1"/>
  <c r="BO80" i="1" s="1"/>
  <c r="BI80" i="1"/>
  <c r="R58" i="1"/>
  <c r="BK59" i="1"/>
  <c r="BJ59" i="1"/>
  <c r="BN59" i="1" s="1"/>
  <c r="BO59" i="1" s="1"/>
  <c r="W61" i="1"/>
  <c r="AL64" i="1"/>
  <c r="R64" i="1"/>
  <c r="CY68" i="1"/>
  <c r="AZ68" i="1" s="1"/>
  <c r="W68" i="1"/>
  <c r="CY72" i="1"/>
  <c r="AZ72" i="1" s="1"/>
  <c r="BB72" i="1" s="1"/>
  <c r="W72" i="1"/>
  <c r="BB73" i="1"/>
  <c r="X101" i="1"/>
  <c r="Y101" i="1" s="1"/>
  <c r="AL68" i="1"/>
  <c r="R68" i="1"/>
  <c r="O68" i="1"/>
  <c r="M68" i="1"/>
  <c r="L68" i="1" s="1"/>
  <c r="AL72" i="1"/>
  <c r="R72" i="1"/>
  <c r="O72" i="1"/>
  <c r="M72" i="1"/>
  <c r="L72" i="1" s="1"/>
  <c r="BK76" i="1"/>
  <c r="BJ76" i="1"/>
  <c r="BN76" i="1" s="1"/>
  <c r="BO76" i="1" s="1"/>
  <c r="BI76" i="1"/>
  <c r="BC77" i="1"/>
  <c r="BB81" i="1"/>
  <c r="R89" i="1"/>
  <c r="O89" i="1"/>
  <c r="N89" i="1"/>
  <c r="BA89" i="1" s="1"/>
  <c r="BC89" i="1" s="1"/>
  <c r="AL89" i="1"/>
  <c r="M89" i="1"/>
  <c r="L89" i="1" s="1"/>
  <c r="O100" i="1"/>
  <c r="N100" i="1"/>
  <c r="BA100" i="1" s="1"/>
  <c r="BC100" i="1" s="1"/>
  <c r="M100" i="1"/>
  <c r="L100" i="1" s="1"/>
  <c r="AL100" i="1"/>
  <c r="R100" i="1"/>
  <c r="X56" i="1"/>
  <c r="Y56" i="1" s="1"/>
  <c r="AL58" i="1"/>
  <c r="CY62" i="1"/>
  <c r="AZ62" i="1" s="1"/>
  <c r="BB62" i="1" s="1"/>
  <c r="BC64" i="1"/>
  <c r="X64" i="1"/>
  <c r="Y64" i="1" s="1"/>
  <c r="BB64" i="1"/>
  <c r="CY80" i="1"/>
  <c r="AZ80" i="1" s="1"/>
  <c r="BB80" i="1" s="1"/>
  <c r="W80" i="1"/>
  <c r="AF83" i="1"/>
  <c r="M58" i="1"/>
  <c r="L58" i="1" s="1"/>
  <c r="M60" i="1"/>
  <c r="L60" i="1" s="1"/>
  <c r="N68" i="1"/>
  <c r="BA68" i="1" s="1"/>
  <c r="BC68" i="1" s="1"/>
  <c r="BB68" i="1"/>
  <c r="N72" i="1"/>
  <c r="BA72" i="1" s="1"/>
  <c r="BC72" i="1" s="1"/>
  <c r="AE75" i="1"/>
  <c r="AL80" i="1"/>
  <c r="R80" i="1"/>
  <c r="O80" i="1"/>
  <c r="M80" i="1"/>
  <c r="L80" i="1" s="1"/>
  <c r="O96" i="1"/>
  <c r="N96" i="1"/>
  <c r="BA96" i="1" s="1"/>
  <c r="BC96" i="1" s="1"/>
  <c r="M96" i="1"/>
  <c r="L96" i="1" s="1"/>
  <c r="AL96" i="1"/>
  <c r="R96" i="1"/>
  <c r="BK106" i="1"/>
  <c r="BJ106" i="1"/>
  <c r="BN106" i="1" s="1"/>
  <c r="BO106" i="1" s="1"/>
  <c r="BI106" i="1"/>
  <c r="BK107" i="1"/>
  <c r="BJ107" i="1"/>
  <c r="BN107" i="1" s="1"/>
  <c r="BO107" i="1" s="1"/>
  <c r="BI107" i="1"/>
  <c r="N60" i="1"/>
  <c r="BA60" i="1" s="1"/>
  <c r="BC60" i="1" s="1"/>
  <c r="X60" i="1"/>
  <c r="Y60" i="1" s="1"/>
  <c r="AL60" i="1"/>
  <c r="M61" i="1"/>
  <c r="L61" i="1" s="1"/>
  <c r="AL61" i="1"/>
  <c r="AA67" i="1"/>
  <c r="BC69" i="1"/>
  <c r="CY76" i="1"/>
  <c r="AZ76" i="1" s="1"/>
  <c r="BB76" i="1" s="1"/>
  <c r="W76" i="1"/>
  <c r="BB77" i="1"/>
  <c r="AA85" i="1"/>
  <c r="BK85" i="1"/>
  <c r="BJ85" i="1"/>
  <c r="BN85" i="1" s="1"/>
  <c r="BO85" i="1" s="1"/>
  <c r="BI85" i="1"/>
  <c r="M86" i="1"/>
  <c r="L86" i="1" s="1"/>
  <c r="AL86" i="1"/>
  <c r="R86" i="1"/>
  <c r="N86" i="1"/>
  <c r="BA86" i="1" s="1"/>
  <c r="BC86" i="1" s="1"/>
  <c r="O88" i="1"/>
  <c r="N88" i="1"/>
  <c r="BA88" i="1" s="1"/>
  <c r="BC88" i="1" s="1"/>
  <c r="M88" i="1"/>
  <c r="L88" i="1" s="1"/>
  <c r="AL88" i="1"/>
  <c r="R88" i="1"/>
  <c r="R93" i="1"/>
  <c r="O93" i="1"/>
  <c r="N93" i="1"/>
  <c r="BA93" i="1" s="1"/>
  <c r="BC93" i="1" s="1"/>
  <c r="AL93" i="1"/>
  <c r="AA97" i="1"/>
  <c r="M79" i="1"/>
  <c r="L79" i="1" s="1"/>
  <c r="BB86" i="1"/>
  <c r="BB93" i="1"/>
  <c r="M94" i="1"/>
  <c r="L94" i="1" s="1"/>
  <c r="AL94" i="1"/>
  <c r="R94" i="1"/>
  <c r="N94" i="1"/>
  <c r="BA94" i="1" s="1"/>
  <c r="BC94" i="1" s="1"/>
  <c r="R97" i="1"/>
  <c r="O97" i="1"/>
  <c r="N97" i="1"/>
  <c r="BA97" i="1" s="1"/>
  <c r="BC97" i="1" s="1"/>
  <c r="AL97" i="1"/>
  <c r="AF105" i="1"/>
  <c r="AL70" i="1"/>
  <c r="AL74" i="1"/>
  <c r="N75" i="1"/>
  <c r="BA75" i="1" s="1"/>
  <c r="BC75" i="1" s="1"/>
  <c r="AL78" i="1"/>
  <c r="N79" i="1"/>
  <c r="BA79" i="1" s="1"/>
  <c r="BC79" i="1" s="1"/>
  <c r="R81" i="1"/>
  <c r="AL82" i="1"/>
  <c r="R85" i="1"/>
  <c r="O85" i="1"/>
  <c r="AL85" i="1"/>
  <c r="X86" i="1"/>
  <c r="Y86" i="1" s="1"/>
  <c r="BB89" i="1"/>
  <c r="M90" i="1"/>
  <c r="L90" i="1" s="1"/>
  <c r="AL90" i="1"/>
  <c r="R90" i="1"/>
  <c r="N90" i="1"/>
  <c r="BA90" i="1" s="1"/>
  <c r="BC90" i="1" s="1"/>
  <c r="M93" i="1"/>
  <c r="L93" i="1" s="1"/>
  <c r="X99" i="1"/>
  <c r="Y99" i="1" s="1"/>
  <c r="W67" i="1"/>
  <c r="BI67" i="1"/>
  <c r="M70" i="1"/>
  <c r="L70" i="1" s="1"/>
  <c r="X70" i="1" s="1"/>
  <c r="Y70" i="1" s="1"/>
  <c r="W71" i="1"/>
  <c r="BI71" i="1"/>
  <c r="M74" i="1"/>
  <c r="L74" i="1" s="1"/>
  <c r="O75" i="1"/>
  <c r="BI75" i="1"/>
  <c r="M78" i="1"/>
  <c r="L78" i="1" s="1"/>
  <c r="X78" i="1" s="1"/>
  <c r="Y78" i="1" s="1"/>
  <c r="O79" i="1"/>
  <c r="M82" i="1"/>
  <c r="L82" i="1" s="1"/>
  <c r="BC85" i="1"/>
  <c r="CY85" i="1"/>
  <c r="AZ85" i="1" s="1"/>
  <c r="W85" i="1"/>
  <c r="O94" i="1"/>
  <c r="BB97" i="1"/>
  <c r="M98" i="1"/>
  <c r="L98" i="1" s="1"/>
  <c r="AL98" i="1"/>
  <c r="R98" i="1"/>
  <c r="N98" i="1"/>
  <c r="BA98" i="1" s="1"/>
  <c r="BC98" i="1" s="1"/>
  <c r="O106" i="1"/>
  <c r="M106" i="1"/>
  <c r="L106" i="1" s="1"/>
  <c r="R106" i="1"/>
  <c r="N106" i="1"/>
  <c r="BA106" i="1" s="1"/>
  <c r="AL106" i="1"/>
  <c r="M108" i="1"/>
  <c r="L108" i="1" s="1"/>
  <c r="AL108" i="1"/>
  <c r="R108" i="1"/>
  <c r="N108" i="1"/>
  <c r="BA108" i="1" s="1"/>
  <c r="BC108" i="1" s="1"/>
  <c r="O108" i="1"/>
  <c r="AL65" i="1"/>
  <c r="BJ67" i="1"/>
  <c r="BN67" i="1" s="1"/>
  <c r="BO67" i="1" s="1"/>
  <c r="AL69" i="1"/>
  <c r="N70" i="1"/>
  <c r="BA70" i="1" s="1"/>
  <c r="BC70" i="1" s="1"/>
  <c r="BJ71" i="1"/>
  <c r="BN71" i="1" s="1"/>
  <c r="BO71" i="1" s="1"/>
  <c r="AL73" i="1"/>
  <c r="N74" i="1"/>
  <c r="BA74" i="1" s="1"/>
  <c r="BC74" i="1" s="1"/>
  <c r="X75" i="1"/>
  <c r="Y75" i="1" s="1"/>
  <c r="BJ75" i="1"/>
  <c r="BN75" i="1" s="1"/>
  <c r="BO75" i="1" s="1"/>
  <c r="AL77" i="1"/>
  <c r="N78" i="1"/>
  <c r="BA78" i="1" s="1"/>
  <c r="BC78" i="1" s="1"/>
  <c r="X79" i="1"/>
  <c r="Y79" i="1" s="1"/>
  <c r="AF79" i="1" s="1"/>
  <c r="BJ79" i="1"/>
  <c r="BN79" i="1" s="1"/>
  <c r="BO79" i="1" s="1"/>
  <c r="AL81" i="1"/>
  <c r="N82" i="1"/>
  <c r="BA82" i="1" s="1"/>
  <c r="BC82" i="1" s="1"/>
  <c r="O84" i="1"/>
  <c r="M84" i="1"/>
  <c r="L84" i="1" s="1"/>
  <c r="BB85" i="1"/>
  <c r="O90" i="1"/>
  <c r="M97" i="1"/>
  <c r="L97" i="1" s="1"/>
  <c r="AE103" i="1"/>
  <c r="M65" i="1"/>
  <c r="L65" i="1" s="1"/>
  <c r="X65" i="1" s="1"/>
  <c r="Y65" i="1" s="1"/>
  <c r="M69" i="1"/>
  <c r="L69" i="1" s="1"/>
  <c r="M73" i="1"/>
  <c r="L73" i="1" s="1"/>
  <c r="M77" i="1"/>
  <c r="L77" i="1" s="1"/>
  <c r="M81" i="1"/>
  <c r="L81" i="1" s="1"/>
  <c r="AL84" i="1"/>
  <c r="O92" i="1"/>
  <c r="N92" i="1"/>
  <c r="BA92" i="1" s="1"/>
  <c r="BC92" i="1" s="1"/>
  <c r="M92" i="1"/>
  <c r="L92" i="1" s="1"/>
  <c r="AL92" i="1"/>
  <c r="R92" i="1"/>
  <c r="X94" i="1"/>
  <c r="Y94" i="1" s="1"/>
  <c r="O95" i="1"/>
  <c r="N95" i="1"/>
  <c r="BA95" i="1" s="1"/>
  <c r="BC95" i="1" s="1"/>
  <c r="M95" i="1"/>
  <c r="L95" i="1" s="1"/>
  <c r="AL95" i="1"/>
  <c r="R95" i="1"/>
  <c r="O98" i="1"/>
  <c r="BC101" i="1"/>
  <c r="AE105" i="1"/>
  <c r="U105" i="1"/>
  <c r="S105" i="1" s="1"/>
  <c r="V105" i="1" s="1"/>
  <c r="P105" i="1" s="1"/>
  <c r="Q105" i="1" s="1"/>
  <c r="X105" i="1"/>
  <c r="Y105" i="1" s="1"/>
  <c r="O110" i="1"/>
  <c r="N110" i="1"/>
  <c r="BA110" i="1" s="1"/>
  <c r="BC110" i="1" s="1"/>
  <c r="M110" i="1"/>
  <c r="L110" i="1" s="1"/>
  <c r="AL110" i="1"/>
  <c r="R110" i="1"/>
  <c r="AL83" i="1"/>
  <c r="O86" i="1"/>
  <c r="AA89" i="1"/>
  <c r="O99" i="1"/>
  <c r="N99" i="1"/>
  <c r="BA99" i="1" s="1"/>
  <c r="BC99" i="1" s="1"/>
  <c r="M99" i="1"/>
  <c r="L99" i="1" s="1"/>
  <c r="AL99" i="1"/>
  <c r="R99" i="1"/>
  <c r="AE107" i="1"/>
  <c r="M116" i="1"/>
  <c r="L116" i="1" s="1"/>
  <c r="AL116" i="1"/>
  <c r="R116" i="1"/>
  <c r="N116" i="1"/>
  <c r="BA116" i="1" s="1"/>
  <c r="BC116" i="1" s="1"/>
  <c r="O116" i="1"/>
  <c r="BC105" i="1"/>
  <c r="AA107" i="1"/>
  <c r="AA111" i="1"/>
  <c r="M130" i="1"/>
  <c r="L130" i="1" s="1"/>
  <c r="AL130" i="1"/>
  <c r="R130" i="1"/>
  <c r="N130" i="1"/>
  <c r="BA130" i="1" s="1"/>
  <c r="BC130" i="1" s="1"/>
  <c r="O130" i="1"/>
  <c r="BC103" i="1"/>
  <c r="CY103" i="1"/>
  <c r="AZ103" i="1" s="1"/>
  <c r="BB103" i="1" s="1"/>
  <c r="W103" i="1"/>
  <c r="BC107" i="1"/>
  <c r="AE109" i="1"/>
  <c r="U109" i="1"/>
  <c r="S109" i="1" s="1"/>
  <c r="V109" i="1" s="1"/>
  <c r="P109" i="1" s="1"/>
  <c r="Q109" i="1" s="1"/>
  <c r="X109" i="1"/>
  <c r="Y109" i="1" s="1"/>
  <c r="R111" i="1"/>
  <c r="O111" i="1"/>
  <c r="N111" i="1"/>
  <c r="BA111" i="1" s="1"/>
  <c r="BC111" i="1" s="1"/>
  <c r="AL111" i="1"/>
  <c r="AE121" i="1"/>
  <c r="W89" i="1"/>
  <c r="BI89" i="1"/>
  <c r="W93" i="1"/>
  <c r="BI93" i="1"/>
  <c r="W97" i="1"/>
  <c r="BI97" i="1"/>
  <c r="BI104" i="1"/>
  <c r="BB108" i="1"/>
  <c r="AF109" i="1"/>
  <c r="BC117" i="1"/>
  <c r="O118" i="1"/>
  <c r="N118" i="1"/>
  <c r="BA118" i="1" s="1"/>
  <c r="BC118" i="1" s="1"/>
  <c r="M118" i="1"/>
  <c r="L118" i="1" s="1"/>
  <c r="AL118" i="1"/>
  <c r="R118" i="1"/>
  <c r="AL87" i="1"/>
  <c r="BJ89" i="1"/>
  <c r="BN89" i="1" s="1"/>
  <c r="BO89" i="1" s="1"/>
  <c r="AL91" i="1"/>
  <c r="BJ93" i="1"/>
  <c r="BN93" i="1" s="1"/>
  <c r="BO93" i="1" s="1"/>
  <c r="BJ97" i="1"/>
  <c r="BN97" i="1" s="1"/>
  <c r="BO97" i="1" s="1"/>
  <c r="BK103" i="1"/>
  <c r="BI103" i="1"/>
  <c r="M104" i="1"/>
  <c r="L104" i="1" s="1"/>
  <c r="AL104" i="1"/>
  <c r="BJ104" i="1"/>
  <c r="BN104" i="1" s="1"/>
  <c r="BO104" i="1" s="1"/>
  <c r="R107" i="1"/>
  <c r="O107" i="1"/>
  <c r="AL107" i="1"/>
  <c r="M112" i="1"/>
  <c r="L112" i="1" s="1"/>
  <c r="AL112" i="1"/>
  <c r="R112" i="1"/>
  <c r="N112" i="1"/>
  <c r="BA112" i="1" s="1"/>
  <c r="BC112" i="1" s="1"/>
  <c r="R119" i="1"/>
  <c r="O119" i="1"/>
  <c r="N119" i="1"/>
  <c r="BA119" i="1" s="1"/>
  <c r="BC119" i="1" s="1"/>
  <c r="AL119" i="1"/>
  <c r="X122" i="1"/>
  <c r="Y122" i="1" s="1"/>
  <c r="X145" i="1"/>
  <c r="Y145" i="1" s="1"/>
  <c r="W84" i="1"/>
  <c r="BI84" i="1"/>
  <c r="M87" i="1"/>
  <c r="L87" i="1" s="1"/>
  <c r="X87" i="1" s="1"/>
  <c r="Y87" i="1" s="1"/>
  <c r="W88" i="1"/>
  <c r="BI88" i="1"/>
  <c r="M91" i="1"/>
  <c r="L91" i="1" s="1"/>
  <c r="BI92" i="1"/>
  <c r="BI96" i="1"/>
  <c r="W100" i="1"/>
  <c r="BI100" i="1"/>
  <c r="O102" i="1"/>
  <c r="M102" i="1"/>
  <c r="L102" i="1" s="1"/>
  <c r="CY102" i="1"/>
  <c r="AZ102" i="1" s="1"/>
  <c r="BB102" i="1" s="1"/>
  <c r="W102" i="1"/>
  <c r="BJ103" i="1"/>
  <c r="BN103" i="1" s="1"/>
  <c r="BO103" i="1" s="1"/>
  <c r="N104" i="1"/>
  <c r="BA104" i="1" s="1"/>
  <c r="BC104" i="1" s="1"/>
  <c r="CY106" i="1"/>
  <c r="AZ106" i="1" s="1"/>
  <c r="BB106" i="1" s="1"/>
  <c r="W106" i="1"/>
  <c r="CY107" i="1"/>
  <c r="AZ107" i="1" s="1"/>
  <c r="BB107" i="1" s="1"/>
  <c r="W107" i="1"/>
  <c r="M111" i="1"/>
  <c r="L111" i="1" s="1"/>
  <c r="X116" i="1"/>
  <c r="Y116" i="1" s="1"/>
  <c r="X121" i="1"/>
  <c r="Y121" i="1" s="1"/>
  <c r="BB122" i="1"/>
  <c r="AL144" i="1"/>
  <c r="R144" i="1"/>
  <c r="M144" i="1"/>
  <c r="L144" i="1" s="1"/>
  <c r="N144" i="1"/>
  <c r="BA144" i="1" s="1"/>
  <c r="BC144" i="1" s="1"/>
  <c r="O144" i="1"/>
  <c r="BJ84" i="1"/>
  <c r="BN84" i="1" s="1"/>
  <c r="BO84" i="1" s="1"/>
  <c r="BJ88" i="1"/>
  <c r="BN88" i="1" s="1"/>
  <c r="BO88" i="1" s="1"/>
  <c r="BJ96" i="1"/>
  <c r="BN96" i="1" s="1"/>
  <c r="BO96" i="1" s="1"/>
  <c r="BJ100" i="1"/>
  <c r="BN100" i="1" s="1"/>
  <c r="BO100" i="1" s="1"/>
  <c r="AL102" i="1"/>
  <c r="R103" i="1"/>
  <c r="O103" i="1"/>
  <c r="O104" i="1"/>
  <c r="O112" i="1"/>
  <c r="O114" i="1"/>
  <c r="N114" i="1"/>
  <c r="BA114" i="1" s="1"/>
  <c r="BC114" i="1" s="1"/>
  <c r="M114" i="1"/>
  <c r="L114" i="1" s="1"/>
  <c r="AL114" i="1"/>
  <c r="R114" i="1"/>
  <c r="BB119" i="1"/>
  <c r="M120" i="1"/>
  <c r="L120" i="1" s="1"/>
  <c r="AL120" i="1"/>
  <c r="R120" i="1"/>
  <c r="N120" i="1"/>
  <c r="BA120" i="1" s="1"/>
  <c r="BC120" i="1" s="1"/>
  <c r="BC121" i="1"/>
  <c r="R102" i="1"/>
  <c r="BC109" i="1"/>
  <c r="R115" i="1"/>
  <c r="O115" i="1"/>
  <c r="N115" i="1"/>
  <c r="BA115" i="1" s="1"/>
  <c r="BC115" i="1" s="1"/>
  <c r="AL115" i="1"/>
  <c r="M119" i="1"/>
  <c r="L119" i="1" s="1"/>
  <c r="AA125" i="1"/>
  <c r="M126" i="1"/>
  <c r="L126" i="1" s="1"/>
  <c r="AL126" i="1"/>
  <c r="R126" i="1"/>
  <c r="N126" i="1"/>
  <c r="BA126" i="1" s="1"/>
  <c r="BC126" i="1" s="1"/>
  <c r="O132" i="1"/>
  <c r="N132" i="1"/>
  <c r="BA132" i="1" s="1"/>
  <c r="BC132" i="1" s="1"/>
  <c r="M132" i="1"/>
  <c r="L132" i="1" s="1"/>
  <c r="AL132" i="1"/>
  <c r="R132" i="1"/>
  <c r="W144" i="1"/>
  <c r="CY144" i="1"/>
  <c r="AZ144" i="1" s="1"/>
  <c r="BC122" i="1"/>
  <c r="R125" i="1"/>
  <c r="O125" i="1"/>
  <c r="N125" i="1"/>
  <c r="BA125" i="1" s="1"/>
  <c r="BC125" i="1" s="1"/>
  <c r="AL125" i="1"/>
  <c r="BB126" i="1"/>
  <c r="M134" i="1"/>
  <c r="L134" i="1" s="1"/>
  <c r="X134" i="1" s="1"/>
  <c r="Y134" i="1" s="1"/>
  <c r="AL134" i="1"/>
  <c r="R134" i="1"/>
  <c r="N134" i="1"/>
  <c r="BA134" i="1" s="1"/>
  <c r="AE137" i="1"/>
  <c r="W111" i="1"/>
  <c r="BI111" i="1"/>
  <c r="W115" i="1"/>
  <c r="BI115" i="1"/>
  <c r="W119" i="1"/>
  <c r="BI119" i="1"/>
  <c r="O121" i="1"/>
  <c r="AL121" i="1"/>
  <c r="CY122" i="1"/>
  <c r="AZ122" i="1" s="1"/>
  <c r="R129" i="1"/>
  <c r="O129" i="1"/>
  <c r="N129" i="1"/>
  <c r="BA129" i="1" s="1"/>
  <c r="BC129" i="1" s="1"/>
  <c r="AL129" i="1"/>
  <c r="BB130" i="1"/>
  <c r="AE139" i="1"/>
  <c r="M148" i="1"/>
  <c r="L148" i="1" s="1"/>
  <c r="AL148" i="1"/>
  <c r="R148" i="1"/>
  <c r="N148" i="1"/>
  <c r="BA148" i="1" s="1"/>
  <c r="BC148" i="1" s="1"/>
  <c r="O148" i="1"/>
  <c r="BJ111" i="1"/>
  <c r="BN111" i="1" s="1"/>
  <c r="BO111" i="1" s="1"/>
  <c r="BJ115" i="1"/>
  <c r="BN115" i="1" s="1"/>
  <c r="BO115" i="1" s="1"/>
  <c r="BJ119" i="1"/>
  <c r="BN119" i="1" s="1"/>
  <c r="BO119" i="1" s="1"/>
  <c r="AF122" i="1"/>
  <c r="O123" i="1"/>
  <c r="M123" i="1"/>
  <c r="L123" i="1" s="1"/>
  <c r="AL123" i="1"/>
  <c r="R123" i="1"/>
  <c r="O124" i="1"/>
  <c r="N124" i="1"/>
  <c r="BA124" i="1" s="1"/>
  <c r="BC124" i="1" s="1"/>
  <c r="M124" i="1"/>
  <c r="L124" i="1" s="1"/>
  <c r="AL124" i="1"/>
  <c r="M125" i="1"/>
  <c r="L125" i="1" s="1"/>
  <c r="X126" i="1"/>
  <c r="Y126" i="1" s="1"/>
  <c r="R133" i="1"/>
  <c r="O133" i="1"/>
  <c r="N133" i="1"/>
  <c r="BA133" i="1" s="1"/>
  <c r="BC133" i="1" s="1"/>
  <c r="AL133" i="1"/>
  <c r="O134" i="1"/>
  <c r="W110" i="1"/>
  <c r="BI110" i="1"/>
  <c r="M113" i="1"/>
  <c r="L113" i="1" s="1"/>
  <c r="W114" i="1"/>
  <c r="BI114" i="1"/>
  <c r="M117" i="1"/>
  <c r="L117" i="1" s="1"/>
  <c r="W118" i="1"/>
  <c r="BI118" i="1"/>
  <c r="R121" i="1"/>
  <c r="BI122" i="1"/>
  <c r="AF125" i="1"/>
  <c r="M129" i="1"/>
  <c r="L129" i="1" s="1"/>
  <c r="BB129" i="1"/>
  <c r="X130" i="1"/>
  <c r="Y130" i="1" s="1"/>
  <c r="AF130" i="1" s="1"/>
  <c r="U136" i="1"/>
  <c r="S136" i="1" s="1"/>
  <c r="V136" i="1" s="1"/>
  <c r="P136" i="1" s="1"/>
  <c r="Q136" i="1" s="1"/>
  <c r="AE136" i="1"/>
  <c r="X136" i="1"/>
  <c r="Y136" i="1" s="1"/>
  <c r="BJ110" i="1"/>
  <c r="BN110" i="1" s="1"/>
  <c r="BO110" i="1" s="1"/>
  <c r="BJ114" i="1"/>
  <c r="BN114" i="1" s="1"/>
  <c r="BO114" i="1" s="1"/>
  <c r="BJ118" i="1"/>
  <c r="BN118" i="1" s="1"/>
  <c r="BO118" i="1" s="1"/>
  <c r="CY120" i="1"/>
  <c r="AZ120" i="1" s="1"/>
  <c r="BB120" i="1" s="1"/>
  <c r="AL122" i="1"/>
  <c r="BK122" i="1"/>
  <c r="N123" i="1"/>
  <c r="BA123" i="1" s="1"/>
  <c r="BC123" i="1" s="1"/>
  <c r="O128" i="1"/>
  <c r="N128" i="1"/>
  <c r="BA128" i="1" s="1"/>
  <c r="BC128" i="1" s="1"/>
  <c r="M128" i="1"/>
  <c r="L128" i="1" s="1"/>
  <c r="AL128" i="1"/>
  <c r="R128" i="1"/>
  <c r="AF129" i="1"/>
  <c r="M133" i="1"/>
  <c r="L133" i="1" s="1"/>
  <c r="BB133" i="1"/>
  <c r="BB136" i="1"/>
  <c r="CY149" i="1"/>
  <c r="AZ149" i="1" s="1"/>
  <c r="BB149" i="1" s="1"/>
  <c r="W149" i="1"/>
  <c r="U122" i="1"/>
  <c r="S122" i="1" s="1"/>
  <c r="V122" i="1" s="1"/>
  <c r="P122" i="1" s="1"/>
  <c r="Q122" i="1" s="1"/>
  <c r="BB123" i="1"/>
  <c r="BB131" i="1"/>
  <c r="BI137" i="1"/>
  <c r="BK137" i="1"/>
  <c r="BJ137" i="1"/>
  <c r="BN137" i="1" s="1"/>
  <c r="BO137" i="1" s="1"/>
  <c r="AF135" i="1"/>
  <c r="BC136" i="1"/>
  <c r="CY141" i="1"/>
  <c r="AZ141" i="1" s="1"/>
  <c r="BB141" i="1" s="1"/>
  <c r="AA143" i="1"/>
  <c r="BJ126" i="1"/>
  <c r="BN126" i="1" s="1"/>
  <c r="BO126" i="1" s="1"/>
  <c r="R127" i="1"/>
  <c r="BJ130" i="1"/>
  <c r="BN130" i="1" s="1"/>
  <c r="BO130" i="1" s="1"/>
  <c r="R131" i="1"/>
  <c r="R139" i="1"/>
  <c r="O139" i="1"/>
  <c r="U145" i="1"/>
  <c r="S145" i="1" s="1"/>
  <c r="V145" i="1" s="1"/>
  <c r="P145" i="1" s="1"/>
  <c r="Q145" i="1" s="1"/>
  <c r="AE145" i="1"/>
  <c r="O146" i="1"/>
  <c r="N146" i="1"/>
  <c r="BA146" i="1" s="1"/>
  <c r="BC146" i="1" s="1"/>
  <c r="M146" i="1"/>
  <c r="L146" i="1" s="1"/>
  <c r="AL146" i="1"/>
  <c r="R147" i="1"/>
  <c r="O147" i="1"/>
  <c r="N147" i="1"/>
  <c r="BA147" i="1" s="1"/>
  <c r="BC147" i="1" s="1"/>
  <c r="X135" i="1"/>
  <c r="Y135" i="1" s="1"/>
  <c r="AL140" i="1"/>
  <c r="R140" i="1"/>
  <c r="M140" i="1"/>
  <c r="L140" i="1" s="1"/>
  <c r="O142" i="1"/>
  <c r="N142" i="1"/>
  <c r="BA142" i="1" s="1"/>
  <c r="BC142" i="1" s="1"/>
  <c r="M142" i="1"/>
  <c r="L142" i="1" s="1"/>
  <c r="AL142" i="1"/>
  <c r="R143" i="1"/>
  <c r="O143" i="1"/>
  <c r="N143" i="1"/>
  <c r="BA143" i="1" s="1"/>
  <c r="BC143" i="1" s="1"/>
  <c r="BB144" i="1"/>
  <c r="X125" i="1"/>
  <c r="Y125" i="1" s="1"/>
  <c r="AL127" i="1"/>
  <c r="X129" i="1"/>
  <c r="Y129" i="1" s="1"/>
  <c r="AL131" i="1"/>
  <c r="N135" i="1"/>
  <c r="BA135" i="1" s="1"/>
  <c r="BC135" i="1" s="1"/>
  <c r="AL135" i="1"/>
  <c r="BK135" i="1"/>
  <c r="BJ135" i="1"/>
  <c r="BN135" i="1" s="1"/>
  <c r="BO135" i="1" s="1"/>
  <c r="CY139" i="1"/>
  <c r="AZ139" i="1" s="1"/>
  <c r="BB139" i="1" s="1"/>
  <c r="W139" i="1"/>
  <c r="W140" i="1"/>
  <c r="AE141" i="1"/>
  <c r="M147" i="1"/>
  <c r="L147" i="1" s="1"/>
  <c r="X150" i="1"/>
  <c r="Y150" i="1" s="1"/>
  <c r="X156" i="1"/>
  <c r="Y156" i="1" s="1"/>
  <c r="W124" i="1"/>
  <c r="BI124" i="1"/>
  <c r="M127" i="1"/>
  <c r="L127" i="1" s="1"/>
  <c r="X127" i="1" s="1"/>
  <c r="Y127" i="1" s="1"/>
  <c r="W128" i="1"/>
  <c r="M131" i="1"/>
  <c r="L131" i="1" s="1"/>
  <c r="W132" i="1"/>
  <c r="BI132" i="1"/>
  <c r="O135" i="1"/>
  <c r="BI135" i="1"/>
  <c r="O138" i="1"/>
  <c r="N138" i="1"/>
  <c r="BA138" i="1" s="1"/>
  <c r="BC138" i="1" s="1"/>
  <c r="M138" i="1"/>
  <c r="L138" i="1" s="1"/>
  <c r="BB140" i="1"/>
  <c r="X141" i="1"/>
  <c r="Y141" i="1" s="1"/>
  <c r="M143" i="1"/>
  <c r="L143" i="1" s="1"/>
  <c r="BK144" i="1"/>
  <c r="BJ144" i="1"/>
  <c r="BN144" i="1" s="1"/>
  <c r="BO144" i="1" s="1"/>
  <c r="N127" i="1"/>
  <c r="BA127" i="1" s="1"/>
  <c r="BC127" i="1" s="1"/>
  <c r="N131" i="1"/>
  <c r="BA131" i="1" s="1"/>
  <c r="BC131" i="1" s="1"/>
  <c r="AL136" i="1"/>
  <c r="CY137" i="1"/>
  <c r="AZ137" i="1" s="1"/>
  <c r="BB137" i="1" s="1"/>
  <c r="W137" i="1"/>
  <c r="AA139" i="1"/>
  <c r="BI144" i="1"/>
  <c r="W123" i="1"/>
  <c r="CY134" i="1"/>
  <c r="AZ134" i="1" s="1"/>
  <c r="BB134" i="1" s="1"/>
  <c r="BK139" i="1"/>
  <c r="BJ139" i="1"/>
  <c r="BN139" i="1" s="1"/>
  <c r="BO139" i="1" s="1"/>
  <c r="BI139" i="1"/>
  <c r="N140" i="1"/>
  <c r="BA140" i="1" s="1"/>
  <c r="BC140" i="1" s="1"/>
  <c r="BK140" i="1"/>
  <c r="BJ140" i="1"/>
  <c r="BN140" i="1" s="1"/>
  <c r="BO140" i="1" s="1"/>
  <c r="BC145" i="1"/>
  <c r="AA147" i="1"/>
  <c r="BC151" i="1"/>
  <c r="BB150" i="1"/>
  <c r="CY151" i="1"/>
  <c r="AZ151" i="1" s="1"/>
  <c r="BB151" i="1" s="1"/>
  <c r="W151" i="1"/>
  <c r="Z152" i="1"/>
  <c r="AD152" i="1" s="1"/>
  <c r="AG152" i="1"/>
  <c r="U156" i="1"/>
  <c r="S156" i="1" s="1"/>
  <c r="V156" i="1" s="1"/>
  <c r="O157" i="1"/>
  <c r="N157" i="1"/>
  <c r="BA157" i="1" s="1"/>
  <c r="BC157" i="1" s="1"/>
  <c r="M157" i="1"/>
  <c r="L157" i="1" s="1"/>
  <c r="AL157" i="1"/>
  <c r="AA159" i="1"/>
  <c r="BK159" i="1"/>
  <c r="BJ159" i="1"/>
  <c r="BN159" i="1" s="1"/>
  <c r="BO159" i="1" s="1"/>
  <c r="BI159" i="1"/>
  <c r="AA163" i="1"/>
  <c r="BK163" i="1"/>
  <c r="BJ163" i="1"/>
  <c r="BN163" i="1" s="1"/>
  <c r="BO163" i="1" s="1"/>
  <c r="BI163" i="1"/>
  <c r="X165" i="1"/>
  <c r="Y165" i="1" s="1"/>
  <c r="O166" i="1"/>
  <c r="N166" i="1"/>
  <c r="BA166" i="1" s="1"/>
  <c r="BC166" i="1" s="1"/>
  <c r="M166" i="1"/>
  <c r="L166" i="1" s="1"/>
  <c r="AL166" i="1"/>
  <c r="R166" i="1"/>
  <c r="O154" i="1"/>
  <c r="N154" i="1"/>
  <c r="BA154" i="1" s="1"/>
  <c r="BC154" i="1" s="1"/>
  <c r="M154" i="1"/>
  <c r="L154" i="1" s="1"/>
  <c r="R154" i="1"/>
  <c r="R155" i="1"/>
  <c r="O155" i="1"/>
  <c r="AL155" i="1"/>
  <c r="O161" i="1"/>
  <c r="N161" i="1"/>
  <c r="BA161" i="1" s="1"/>
  <c r="BC161" i="1" s="1"/>
  <c r="M161" i="1"/>
  <c r="L161" i="1" s="1"/>
  <c r="AL161" i="1"/>
  <c r="U164" i="1"/>
  <c r="S164" i="1" s="1"/>
  <c r="V164" i="1" s="1"/>
  <c r="P164" i="1" s="1"/>
  <c r="Q164" i="1" s="1"/>
  <c r="CY150" i="1"/>
  <c r="AZ150" i="1" s="1"/>
  <c r="BJ151" i="1"/>
  <c r="BN151" i="1" s="1"/>
  <c r="BO151" i="1" s="1"/>
  <c r="BI151" i="1"/>
  <c r="U152" i="1"/>
  <c r="S152" i="1" s="1"/>
  <c r="V152" i="1" s="1"/>
  <c r="AE152" i="1"/>
  <c r="AL154" i="1"/>
  <c r="N155" i="1"/>
  <c r="BA155" i="1" s="1"/>
  <c r="CY155" i="1"/>
  <c r="AZ155" i="1" s="1"/>
  <c r="BB155" i="1" s="1"/>
  <c r="W155" i="1"/>
  <c r="R159" i="1"/>
  <c r="O159" i="1"/>
  <c r="AL159" i="1"/>
  <c r="R163" i="1"/>
  <c r="O163" i="1"/>
  <c r="AL163" i="1"/>
  <c r="O165" i="1"/>
  <c r="N165" i="1"/>
  <c r="BA165" i="1" s="1"/>
  <c r="BC165" i="1" s="1"/>
  <c r="M165" i="1"/>
  <c r="L165" i="1" s="1"/>
  <c r="AL165" i="1"/>
  <c r="W143" i="1"/>
  <c r="BI143" i="1"/>
  <c r="W147" i="1"/>
  <c r="BI147" i="1"/>
  <c r="BI148" i="1"/>
  <c r="BI149" i="1"/>
  <c r="BJ149" i="1"/>
  <c r="BN149" i="1" s="1"/>
  <c r="BO149" i="1" s="1"/>
  <c r="M150" i="1"/>
  <c r="L150" i="1" s="1"/>
  <c r="R150" i="1"/>
  <c r="O151" i="1"/>
  <c r="AL151" i="1"/>
  <c r="BK151" i="1"/>
  <c r="O158" i="1"/>
  <c r="N158" i="1"/>
  <c r="BA158" i="1" s="1"/>
  <c r="BC158" i="1" s="1"/>
  <c r="M158" i="1"/>
  <c r="L158" i="1" s="1"/>
  <c r="R158" i="1"/>
  <c r="N159" i="1"/>
  <c r="BA159" i="1" s="1"/>
  <c r="BC159" i="1" s="1"/>
  <c r="CY159" i="1"/>
  <c r="AZ159" i="1" s="1"/>
  <c r="BB159" i="1" s="1"/>
  <c r="W159" i="1"/>
  <c r="X160" i="1"/>
  <c r="Y160" i="1" s="1"/>
  <c r="N163" i="1"/>
  <c r="BA163" i="1" s="1"/>
  <c r="CY163" i="1"/>
  <c r="AZ163" i="1" s="1"/>
  <c r="BB163" i="1" s="1"/>
  <c r="W163" i="1"/>
  <c r="X164" i="1"/>
  <c r="Y164" i="1" s="1"/>
  <c r="X166" i="1"/>
  <c r="Y166" i="1" s="1"/>
  <c r="AL137" i="1"/>
  <c r="AL141" i="1"/>
  <c r="BJ143" i="1"/>
  <c r="BN143" i="1" s="1"/>
  <c r="BO143" i="1" s="1"/>
  <c r="AL145" i="1"/>
  <c r="BJ147" i="1"/>
  <c r="BN147" i="1" s="1"/>
  <c r="BO147" i="1" s="1"/>
  <c r="BJ148" i="1"/>
  <c r="BN148" i="1" s="1"/>
  <c r="BO148" i="1" s="1"/>
  <c r="BK149" i="1"/>
  <c r="AL150" i="1"/>
  <c r="BI150" i="1"/>
  <c r="AL158" i="1"/>
  <c r="BB160" i="1"/>
  <c r="O162" i="1"/>
  <c r="N162" i="1"/>
  <c r="BA162" i="1" s="1"/>
  <c r="BC162" i="1" s="1"/>
  <c r="M162" i="1"/>
  <c r="L162" i="1" s="1"/>
  <c r="R162" i="1"/>
  <c r="BB164" i="1"/>
  <c r="W146" i="1"/>
  <c r="M149" i="1"/>
  <c r="L149" i="1" s="1"/>
  <c r="N150" i="1"/>
  <c r="BA150" i="1" s="1"/>
  <c r="BC150" i="1" s="1"/>
  <c r="BJ150" i="1"/>
  <c r="BN150" i="1" s="1"/>
  <c r="BO150" i="1" s="1"/>
  <c r="M151" i="1"/>
  <c r="L151" i="1" s="1"/>
  <c r="O153" i="1"/>
  <c r="N153" i="1"/>
  <c r="BA153" i="1" s="1"/>
  <c r="BC153" i="1" s="1"/>
  <c r="M153" i="1"/>
  <c r="L153" i="1" s="1"/>
  <c r="AL153" i="1"/>
  <c r="BB154" i="1"/>
  <c r="AE156" i="1"/>
  <c r="AL162" i="1"/>
  <c r="AA149" i="1"/>
  <c r="AA151" i="1"/>
  <c r="AH152" i="1"/>
  <c r="AA155" i="1"/>
  <c r="BK155" i="1"/>
  <c r="BJ155" i="1"/>
  <c r="BN155" i="1" s="1"/>
  <c r="BO155" i="1" s="1"/>
  <c r="BI155" i="1"/>
  <c r="N152" i="1"/>
  <c r="BA152" i="1" s="1"/>
  <c r="BC152" i="1" s="1"/>
  <c r="BJ153" i="1"/>
  <c r="BN153" i="1" s="1"/>
  <c r="BO153" i="1" s="1"/>
  <c r="N156" i="1"/>
  <c r="BA156" i="1" s="1"/>
  <c r="BC156" i="1" s="1"/>
  <c r="BJ157" i="1"/>
  <c r="BN157" i="1" s="1"/>
  <c r="BO157" i="1" s="1"/>
  <c r="N160" i="1"/>
  <c r="BA160" i="1" s="1"/>
  <c r="BC160" i="1" s="1"/>
  <c r="BJ161" i="1"/>
  <c r="BN161" i="1" s="1"/>
  <c r="BO161" i="1" s="1"/>
  <c r="N164" i="1"/>
  <c r="BA164" i="1" s="1"/>
  <c r="BC164" i="1" s="1"/>
  <c r="R152" i="1"/>
  <c r="R156" i="1"/>
  <c r="BI158" i="1"/>
  <c r="W162" i="1"/>
  <c r="BI162" i="1"/>
  <c r="AL156" i="1"/>
  <c r="AL160" i="1"/>
  <c r="BJ162" i="1"/>
  <c r="BN162" i="1" s="1"/>
  <c r="BO162" i="1" s="1"/>
  <c r="AL164" i="1"/>
  <c r="W153" i="1"/>
  <c r="W157" i="1"/>
  <c r="W161" i="1"/>
  <c r="Z65" i="1" l="1"/>
  <c r="AD65" i="1" s="1"/>
  <c r="AF65" i="1"/>
  <c r="AG65" i="1"/>
  <c r="AG70" i="1"/>
  <c r="Z70" i="1"/>
  <c r="AD70" i="1" s="1"/>
  <c r="AF70" i="1"/>
  <c r="Z134" i="1"/>
  <c r="AD134" i="1" s="1"/>
  <c r="AG134" i="1"/>
  <c r="AF134" i="1"/>
  <c r="Z87" i="1"/>
  <c r="AD87" i="1" s="1"/>
  <c r="AG87" i="1"/>
  <c r="AF87" i="1"/>
  <c r="AG78" i="1"/>
  <c r="Z78" i="1"/>
  <c r="AD78" i="1" s="1"/>
  <c r="AF78" i="1"/>
  <c r="Z127" i="1"/>
  <c r="AD127" i="1" s="1"/>
  <c r="AF127" i="1"/>
  <c r="AG127" i="1"/>
  <c r="AG63" i="1"/>
  <c r="Z63" i="1"/>
  <c r="AD63" i="1" s="1"/>
  <c r="AF63" i="1"/>
  <c r="AF38" i="1"/>
  <c r="AG38" i="1"/>
  <c r="Z38" i="1"/>
  <c r="AD38" i="1" s="1"/>
  <c r="X157" i="1"/>
  <c r="Y157" i="1" s="1"/>
  <c r="X163" i="1"/>
  <c r="Y163" i="1" s="1"/>
  <c r="AE161" i="1"/>
  <c r="X154" i="1"/>
  <c r="Y154" i="1" s="1"/>
  <c r="AE154" i="1"/>
  <c r="Z165" i="1"/>
  <c r="AD165" i="1" s="1"/>
  <c r="AG165" i="1"/>
  <c r="Z141" i="1"/>
  <c r="AD141" i="1" s="1"/>
  <c r="AG141" i="1"/>
  <c r="AF141" i="1"/>
  <c r="X132" i="1"/>
  <c r="Y132" i="1" s="1"/>
  <c r="AG150" i="1"/>
  <c r="Z150" i="1"/>
  <c r="AD150" i="1" s="1"/>
  <c r="AE142" i="1"/>
  <c r="AE113" i="1"/>
  <c r="X144" i="1"/>
  <c r="Y144" i="1" s="1"/>
  <c r="AE119" i="1"/>
  <c r="AE114" i="1"/>
  <c r="AE77" i="1"/>
  <c r="X77" i="1"/>
  <c r="Y77" i="1" s="1"/>
  <c r="Z99" i="1"/>
  <c r="AD99" i="1" s="1"/>
  <c r="AG99" i="1"/>
  <c r="Z86" i="1"/>
  <c r="AD86" i="1" s="1"/>
  <c r="AG86" i="1"/>
  <c r="AF86" i="1"/>
  <c r="AE80" i="1"/>
  <c r="Z64" i="1"/>
  <c r="AD64" i="1" s="1"/>
  <c r="AG64" i="1"/>
  <c r="AH64" i="1" s="1"/>
  <c r="AF64" i="1"/>
  <c r="Z101" i="1"/>
  <c r="AD101" i="1" s="1"/>
  <c r="AG101" i="1"/>
  <c r="U101" i="1"/>
  <c r="S101" i="1" s="1"/>
  <c r="V101" i="1" s="1"/>
  <c r="P101" i="1" s="1"/>
  <c r="Q101" i="1" s="1"/>
  <c r="Z62" i="1"/>
  <c r="AD62" i="1" s="1"/>
  <c r="AG62" i="1"/>
  <c r="AE25" i="1"/>
  <c r="Z43" i="1"/>
  <c r="AD43" i="1" s="1"/>
  <c r="AG43" i="1"/>
  <c r="AE59" i="1"/>
  <c r="AF62" i="1"/>
  <c r="X49" i="1"/>
  <c r="Y49" i="1" s="1"/>
  <c r="P55" i="1"/>
  <c r="Q55" i="1" s="1"/>
  <c r="AE48" i="1"/>
  <c r="AE23" i="1"/>
  <c r="U23" i="1"/>
  <c r="S23" i="1" s="1"/>
  <c r="V23" i="1" s="1"/>
  <c r="P23" i="1" s="1"/>
  <c r="Q23" i="1" s="1"/>
  <c r="BC44" i="1"/>
  <c r="AE46" i="1"/>
  <c r="U46" i="1"/>
  <c r="S46" i="1" s="1"/>
  <c r="V46" i="1" s="1"/>
  <c r="P46" i="1" s="1"/>
  <c r="Q46" i="1" s="1"/>
  <c r="X40" i="1"/>
  <c r="Y40" i="1" s="1"/>
  <c r="X22" i="1"/>
  <c r="Y22" i="1" s="1"/>
  <c r="AE22" i="1"/>
  <c r="U22" i="1"/>
  <c r="S22" i="1" s="1"/>
  <c r="V22" i="1" s="1"/>
  <c r="P22" i="1" s="1"/>
  <c r="Q22" i="1" s="1"/>
  <c r="AE32" i="1"/>
  <c r="X158" i="1"/>
  <c r="Y158" i="1" s="1"/>
  <c r="AE158" i="1"/>
  <c r="X153" i="1"/>
  <c r="Y153" i="1" s="1"/>
  <c r="AE149" i="1"/>
  <c r="AE165" i="1"/>
  <c r="U165" i="1"/>
  <c r="S165" i="1" s="1"/>
  <c r="V165" i="1" s="1"/>
  <c r="P165" i="1" s="1"/>
  <c r="Q165" i="1" s="1"/>
  <c r="X151" i="1"/>
  <c r="Y151" i="1" s="1"/>
  <c r="X123" i="1"/>
  <c r="Y123" i="1" s="1"/>
  <c r="AE131" i="1"/>
  <c r="Z125" i="1"/>
  <c r="AD125" i="1" s="1"/>
  <c r="AG125" i="1"/>
  <c r="Z136" i="1"/>
  <c r="AD136" i="1" s="1"/>
  <c r="AG136" i="1"/>
  <c r="BC141" i="1"/>
  <c r="AE111" i="1"/>
  <c r="X102" i="1"/>
  <c r="Y102" i="1" s="1"/>
  <c r="AE91" i="1"/>
  <c r="U91" i="1"/>
  <c r="S91" i="1" s="1"/>
  <c r="V91" i="1" s="1"/>
  <c r="P91" i="1" s="1"/>
  <c r="Q91" i="1" s="1"/>
  <c r="AG122" i="1"/>
  <c r="AH122" i="1" s="1"/>
  <c r="Z122" i="1"/>
  <c r="AD122" i="1" s="1"/>
  <c r="X104" i="1"/>
  <c r="Y104" i="1" s="1"/>
  <c r="AE104" i="1"/>
  <c r="X89" i="1"/>
  <c r="Y89" i="1" s="1"/>
  <c r="X103" i="1"/>
  <c r="Y103" i="1" s="1"/>
  <c r="U130" i="1"/>
  <c r="S130" i="1" s="1"/>
  <c r="V130" i="1" s="1"/>
  <c r="P130" i="1" s="1"/>
  <c r="Q130" i="1" s="1"/>
  <c r="AE130" i="1"/>
  <c r="AE92" i="1"/>
  <c r="AE73" i="1"/>
  <c r="X73" i="1"/>
  <c r="Y73" i="1" s="1"/>
  <c r="Z79" i="1"/>
  <c r="AD79" i="1" s="1"/>
  <c r="AG79" i="1"/>
  <c r="AE108" i="1"/>
  <c r="X108" i="1"/>
  <c r="Y108" i="1" s="1"/>
  <c r="X85" i="1"/>
  <c r="Y85" i="1" s="1"/>
  <c r="AE74" i="1"/>
  <c r="AF101" i="1"/>
  <c r="X91" i="1"/>
  <c r="Y91" i="1" s="1"/>
  <c r="X76" i="1"/>
  <c r="Y76" i="1" s="1"/>
  <c r="Z60" i="1"/>
  <c r="AD60" i="1" s="1"/>
  <c r="AG60" i="1"/>
  <c r="AF60" i="1"/>
  <c r="X80" i="1"/>
  <c r="Y80" i="1" s="1"/>
  <c r="U80" i="1" s="1"/>
  <c r="S80" i="1" s="1"/>
  <c r="V80" i="1" s="1"/>
  <c r="P80" i="1" s="1"/>
  <c r="Q80" i="1" s="1"/>
  <c r="AE76" i="1"/>
  <c r="U76" i="1"/>
  <c r="S76" i="1" s="1"/>
  <c r="V76" i="1" s="1"/>
  <c r="P76" i="1" s="1"/>
  <c r="Q76" i="1" s="1"/>
  <c r="AE21" i="1"/>
  <c r="Z54" i="1"/>
  <c r="AD54" i="1" s="1"/>
  <c r="AG54" i="1"/>
  <c r="AH54" i="1" s="1"/>
  <c r="AF54" i="1"/>
  <c r="Z31" i="1"/>
  <c r="AD31" i="1" s="1"/>
  <c r="AG31" i="1"/>
  <c r="X17" i="1"/>
  <c r="Y17" i="1" s="1"/>
  <c r="AE43" i="1"/>
  <c r="U43" i="1"/>
  <c r="S43" i="1" s="1"/>
  <c r="V43" i="1" s="1"/>
  <c r="P43" i="1" s="1"/>
  <c r="Q43" i="1" s="1"/>
  <c r="X20" i="1"/>
  <c r="Y20" i="1" s="1"/>
  <c r="AE47" i="1"/>
  <c r="U47" i="1"/>
  <c r="S47" i="1" s="1"/>
  <c r="V47" i="1" s="1"/>
  <c r="P47" i="1" s="1"/>
  <c r="Q47" i="1" s="1"/>
  <c r="AE27" i="1"/>
  <c r="U27" i="1"/>
  <c r="S27" i="1" s="1"/>
  <c r="V27" i="1" s="1"/>
  <c r="P27" i="1" s="1"/>
  <c r="Q27" i="1" s="1"/>
  <c r="AF43" i="1"/>
  <c r="X24" i="1"/>
  <c r="Y24" i="1" s="1"/>
  <c r="X146" i="1"/>
  <c r="Y146" i="1" s="1"/>
  <c r="BC163" i="1"/>
  <c r="P152" i="1"/>
  <c r="Q152" i="1" s="1"/>
  <c r="AF150" i="1"/>
  <c r="AE138" i="1"/>
  <c r="U138" i="1"/>
  <c r="S138" i="1" s="1"/>
  <c r="V138" i="1" s="1"/>
  <c r="P138" i="1" s="1"/>
  <c r="Q138" i="1" s="1"/>
  <c r="X138" i="1"/>
  <c r="Y138" i="1" s="1"/>
  <c r="X128" i="1"/>
  <c r="Y128" i="1" s="1"/>
  <c r="AE147" i="1"/>
  <c r="X110" i="1"/>
  <c r="Y110" i="1" s="1"/>
  <c r="BC137" i="1"/>
  <c r="AF136" i="1"/>
  <c r="Z105" i="1"/>
  <c r="AD105" i="1" s="1"/>
  <c r="AG105" i="1"/>
  <c r="AH105" i="1" s="1"/>
  <c r="AE95" i="1"/>
  <c r="U95" i="1"/>
  <c r="S95" i="1" s="1"/>
  <c r="V95" i="1" s="1"/>
  <c r="P95" i="1" s="1"/>
  <c r="Q95" i="1" s="1"/>
  <c r="AE69" i="1"/>
  <c r="U98" i="1"/>
  <c r="S98" i="1" s="1"/>
  <c r="V98" i="1" s="1"/>
  <c r="P98" i="1" s="1"/>
  <c r="Q98" i="1" s="1"/>
  <c r="AE98" i="1"/>
  <c r="AE93" i="1"/>
  <c r="X95" i="1"/>
  <c r="Y95" i="1" s="1"/>
  <c r="X92" i="1"/>
  <c r="Y92" i="1" s="1"/>
  <c r="U92" i="1" s="1"/>
  <c r="S92" i="1" s="1"/>
  <c r="V92" i="1" s="1"/>
  <c r="P92" i="1" s="1"/>
  <c r="Q92" i="1" s="1"/>
  <c r="X98" i="1"/>
  <c r="Y98" i="1" s="1"/>
  <c r="AE89" i="1"/>
  <c r="U89" i="1"/>
  <c r="S89" i="1" s="1"/>
  <c r="V89" i="1" s="1"/>
  <c r="P89" i="1" s="1"/>
  <c r="Q89" i="1" s="1"/>
  <c r="X61" i="1"/>
  <c r="Y61" i="1" s="1"/>
  <c r="AE63" i="1"/>
  <c r="U63" i="1"/>
  <c r="S63" i="1" s="1"/>
  <c r="V63" i="1" s="1"/>
  <c r="P63" i="1" s="1"/>
  <c r="Q63" i="1" s="1"/>
  <c r="AE49" i="1"/>
  <c r="U49" i="1"/>
  <c r="S49" i="1" s="1"/>
  <c r="V49" i="1" s="1"/>
  <c r="P49" i="1" s="1"/>
  <c r="Q49" i="1" s="1"/>
  <c r="U17" i="1"/>
  <c r="S17" i="1" s="1"/>
  <c r="V17" i="1" s="1"/>
  <c r="P17" i="1" s="1"/>
  <c r="Q17" i="1" s="1"/>
  <c r="AE17" i="1"/>
  <c r="Z19" i="1"/>
  <c r="AD19" i="1" s="1"/>
  <c r="AG19" i="1"/>
  <c r="X53" i="1"/>
  <c r="Y53" i="1" s="1"/>
  <c r="X57" i="1"/>
  <c r="Y57" i="1" s="1"/>
  <c r="X48" i="1"/>
  <c r="Y48" i="1" s="1"/>
  <c r="AE62" i="1"/>
  <c r="U62" i="1"/>
  <c r="S62" i="1" s="1"/>
  <c r="V62" i="1" s="1"/>
  <c r="P62" i="1" s="1"/>
  <c r="Q62" i="1" s="1"/>
  <c r="X25" i="1"/>
  <c r="Y25" i="1" s="1"/>
  <c r="U25" i="1" s="1"/>
  <c r="S25" i="1" s="1"/>
  <c r="V25" i="1" s="1"/>
  <c r="P25" i="1" s="1"/>
  <c r="Q25" i="1" s="1"/>
  <c r="AE39" i="1"/>
  <c r="U39" i="1"/>
  <c r="S39" i="1" s="1"/>
  <c r="V39" i="1" s="1"/>
  <c r="P39" i="1" s="1"/>
  <c r="Q39" i="1" s="1"/>
  <c r="AE53" i="1"/>
  <c r="U53" i="1"/>
  <c r="S53" i="1" s="1"/>
  <c r="V53" i="1" s="1"/>
  <c r="P53" i="1" s="1"/>
  <c r="Q53" i="1" s="1"/>
  <c r="AE153" i="1"/>
  <c r="U153" i="1"/>
  <c r="S153" i="1" s="1"/>
  <c r="V153" i="1" s="1"/>
  <c r="P153" i="1" s="1"/>
  <c r="Q153" i="1" s="1"/>
  <c r="Z160" i="1"/>
  <c r="AD160" i="1" s="1"/>
  <c r="AG160" i="1"/>
  <c r="AF160" i="1"/>
  <c r="U160" i="1"/>
  <c r="S160" i="1" s="1"/>
  <c r="V160" i="1" s="1"/>
  <c r="P160" i="1" s="1"/>
  <c r="Q160" i="1" s="1"/>
  <c r="AE157" i="1"/>
  <c r="U157" i="1"/>
  <c r="S157" i="1" s="1"/>
  <c r="V157" i="1" s="1"/>
  <c r="P157" i="1" s="1"/>
  <c r="Q157" i="1" s="1"/>
  <c r="AE127" i="1"/>
  <c r="U127" i="1"/>
  <c r="S127" i="1" s="1"/>
  <c r="V127" i="1" s="1"/>
  <c r="P127" i="1" s="1"/>
  <c r="Q127" i="1" s="1"/>
  <c r="AE140" i="1"/>
  <c r="AE133" i="1"/>
  <c r="Z126" i="1"/>
  <c r="AD126" i="1" s="1"/>
  <c r="AG126" i="1"/>
  <c r="X119" i="1"/>
  <c r="Y119" i="1" s="1"/>
  <c r="U119" i="1" s="1"/>
  <c r="S119" i="1" s="1"/>
  <c r="V119" i="1" s="1"/>
  <c r="P119" i="1" s="1"/>
  <c r="Q119" i="1" s="1"/>
  <c r="BC134" i="1"/>
  <c r="X107" i="1"/>
  <c r="Y107" i="1" s="1"/>
  <c r="AE102" i="1"/>
  <c r="U102" i="1"/>
  <c r="S102" i="1" s="1"/>
  <c r="V102" i="1" s="1"/>
  <c r="P102" i="1" s="1"/>
  <c r="Q102" i="1" s="1"/>
  <c r="X88" i="1"/>
  <c r="Y88" i="1" s="1"/>
  <c r="AE112" i="1"/>
  <c r="AE118" i="1"/>
  <c r="U65" i="1"/>
  <c r="S65" i="1" s="1"/>
  <c r="V65" i="1" s="1"/>
  <c r="P65" i="1" s="1"/>
  <c r="Q65" i="1" s="1"/>
  <c r="AE65" i="1"/>
  <c r="BC106" i="1"/>
  <c r="X71" i="1"/>
  <c r="Y71" i="1" s="1"/>
  <c r="U86" i="1"/>
  <c r="S86" i="1" s="1"/>
  <c r="V86" i="1" s="1"/>
  <c r="P86" i="1" s="1"/>
  <c r="Q86" i="1" s="1"/>
  <c r="AE86" i="1"/>
  <c r="AE68" i="1"/>
  <c r="AE45" i="1"/>
  <c r="AE56" i="1"/>
  <c r="U56" i="1"/>
  <c r="S56" i="1" s="1"/>
  <c r="V56" i="1" s="1"/>
  <c r="P56" i="1" s="1"/>
  <c r="Q56" i="1" s="1"/>
  <c r="Z39" i="1"/>
  <c r="AD39" i="1" s="1"/>
  <c r="AG39" i="1"/>
  <c r="BC53" i="1"/>
  <c r="AF42" i="1"/>
  <c r="AG42" i="1"/>
  <c r="Z42" i="1"/>
  <c r="AD42" i="1" s="1"/>
  <c r="AE34" i="1"/>
  <c r="AE38" i="1"/>
  <c r="U38" i="1"/>
  <c r="S38" i="1" s="1"/>
  <c r="V38" i="1" s="1"/>
  <c r="P38" i="1" s="1"/>
  <c r="Q38" i="1" s="1"/>
  <c r="AE44" i="1"/>
  <c r="AE19" i="1"/>
  <c r="U19" i="1"/>
  <c r="S19" i="1" s="1"/>
  <c r="V19" i="1" s="1"/>
  <c r="P19" i="1" s="1"/>
  <c r="Q19" i="1" s="1"/>
  <c r="BB36" i="1"/>
  <c r="X159" i="1"/>
  <c r="Y159" i="1" s="1"/>
  <c r="X147" i="1"/>
  <c r="Y147" i="1" s="1"/>
  <c r="BC149" i="1"/>
  <c r="AE146" i="1"/>
  <c r="U146" i="1"/>
  <c r="S146" i="1" s="1"/>
  <c r="V146" i="1" s="1"/>
  <c r="P146" i="1" s="1"/>
  <c r="Q146" i="1" s="1"/>
  <c r="BC139" i="1"/>
  <c r="Z130" i="1"/>
  <c r="AD130" i="1" s="1"/>
  <c r="AG130" i="1"/>
  <c r="AH130" i="1" s="1"/>
  <c r="X118" i="1"/>
  <c r="Y118" i="1" s="1"/>
  <c r="U118" i="1" s="1"/>
  <c r="S118" i="1" s="1"/>
  <c r="V118" i="1" s="1"/>
  <c r="P118" i="1" s="1"/>
  <c r="Q118" i="1" s="1"/>
  <c r="AE123" i="1"/>
  <c r="U123" i="1"/>
  <c r="S123" i="1" s="1"/>
  <c r="V123" i="1" s="1"/>
  <c r="P123" i="1" s="1"/>
  <c r="Q123" i="1" s="1"/>
  <c r="U120" i="1"/>
  <c r="S120" i="1" s="1"/>
  <c r="V120" i="1" s="1"/>
  <c r="P120" i="1" s="1"/>
  <c r="Q120" i="1" s="1"/>
  <c r="AE120" i="1"/>
  <c r="AG121" i="1"/>
  <c r="AH121" i="1" s="1"/>
  <c r="Z121" i="1"/>
  <c r="AD121" i="1" s="1"/>
  <c r="AF121" i="1"/>
  <c r="AE87" i="1"/>
  <c r="U87" i="1"/>
  <c r="S87" i="1" s="1"/>
  <c r="V87" i="1" s="1"/>
  <c r="P87" i="1" s="1"/>
  <c r="Q87" i="1" s="1"/>
  <c r="U121" i="1"/>
  <c r="S121" i="1" s="1"/>
  <c r="V121" i="1" s="1"/>
  <c r="P121" i="1" s="1"/>
  <c r="Q121" i="1" s="1"/>
  <c r="X113" i="1"/>
  <c r="Y113" i="1" s="1"/>
  <c r="AE99" i="1"/>
  <c r="U99" i="1"/>
  <c r="S99" i="1" s="1"/>
  <c r="V99" i="1" s="1"/>
  <c r="P99" i="1" s="1"/>
  <c r="Q99" i="1" s="1"/>
  <c r="AE84" i="1"/>
  <c r="AE82" i="1"/>
  <c r="AE70" i="1"/>
  <c r="U70" i="1"/>
  <c r="S70" i="1" s="1"/>
  <c r="V70" i="1" s="1"/>
  <c r="P70" i="1" s="1"/>
  <c r="Q70" i="1" s="1"/>
  <c r="BC102" i="1"/>
  <c r="X96" i="1"/>
  <c r="Y96" i="1" s="1"/>
  <c r="U96" i="1" s="1"/>
  <c r="S96" i="1" s="1"/>
  <c r="V96" i="1" s="1"/>
  <c r="P96" i="1" s="1"/>
  <c r="Q96" i="1" s="1"/>
  <c r="AE96" i="1"/>
  <c r="X74" i="1"/>
  <c r="Y74" i="1" s="1"/>
  <c r="Z56" i="1"/>
  <c r="AD56" i="1" s="1"/>
  <c r="AG56" i="1"/>
  <c r="X72" i="1"/>
  <c r="Y72" i="1" s="1"/>
  <c r="Z83" i="1"/>
  <c r="AD83" i="1" s="1"/>
  <c r="AG83" i="1"/>
  <c r="AH83" i="1" s="1"/>
  <c r="AE41" i="1"/>
  <c r="Z27" i="1"/>
  <c r="AD27" i="1" s="1"/>
  <c r="AG27" i="1"/>
  <c r="AH27" i="1" s="1"/>
  <c r="U54" i="1"/>
  <c r="S54" i="1" s="1"/>
  <c r="V54" i="1" s="1"/>
  <c r="P54" i="1" s="1"/>
  <c r="Q54" i="1" s="1"/>
  <c r="X33" i="1"/>
  <c r="Y33" i="1" s="1"/>
  <c r="X18" i="1"/>
  <c r="Y18" i="1" s="1"/>
  <c r="AE18" i="1"/>
  <c r="U18" i="1"/>
  <c r="S18" i="1" s="1"/>
  <c r="V18" i="1" s="1"/>
  <c r="P18" i="1" s="1"/>
  <c r="Q18" i="1" s="1"/>
  <c r="AE42" i="1"/>
  <c r="U42" i="1"/>
  <c r="S42" i="1" s="1"/>
  <c r="V42" i="1" s="1"/>
  <c r="P42" i="1" s="1"/>
  <c r="Q42" i="1" s="1"/>
  <c r="AE24" i="1"/>
  <c r="U24" i="1"/>
  <c r="S24" i="1" s="1"/>
  <c r="V24" i="1" s="1"/>
  <c r="P24" i="1" s="1"/>
  <c r="Q24" i="1" s="1"/>
  <c r="AE162" i="1"/>
  <c r="AG166" i="1"/>
  <c r="Z166" i="1"/>
  <c r="AD166" i="1" s="1"/>
  <c r="X155" i="1"/>
  <c r="Y155" i="1" s="1"/>
  <c r="AE166" i="1"/>
  <c r="U166" i="1"/>
  <c r="S166" i="1" s="1"/>
  <c r="V166" i="1" s="1"/>
  <c r="P166" i="1" s="1"/>
  <c r="Q166" i="1" s="1"/>
  <c r="X124" i="1"/>
  <c r="Y124" i="1" s="1"/>
  <c r="U141" i="1"/>
  <c r="S141" i="1" s="1"/>
  <c r="V141" i="1" s="1"/>
  <c r="P141" i="1" s="1"/>
  <c r="Q141" i="1" s="1"/>
  <c r="X133" i="1"/>
  <c r="Y133" i="1" s="1"/>
  <c r="U133" i="1" s="1"/>
  <c r="S133" i="1" s="1"/>
  <c r="V133" i="1" s="1"/>
  <c r="P133" i="1" s="1"/>
  <c r="Q133" i="1" s="1"/>
  <c r="AE117" i="1"/>
  <c r="AE125" i="1"/>
  <c r="U125" i="1"/>
  <c r="S125" i="1" s="1"/>
  <c r="V125" i="1" s="1"/>
  <c r="P125" i="1" s="1"/>
  <c r="Q125" i="1" s="1"/>
  <c r="X115" i="1"/>
  <c r="Y115" i="1" s="1"/>
  <c r="AE132" i="1"/>
  <c r="U132" i="1"/>
  <c r="S132" i="1" s="1"/>
  <c r="V132" i="1" s="1"/>
  <c r="P132" i="1" s="1"/>
  <c r="Q132" i="1" s="1"/>
  <c r="X117" i="1"/>
  <c r="Y117" i="1" s="1"/>
  <c r="U117" i="1" s="1"/>
  <c r="S117" i="1" s="1"/>
  <c r="V117" i="1" s="1"/>
  <c r="P117" i="1" s="1"/>
  <c r="Q117" i="1" s="1"/>
  <c r="X106" i="1"/>
  <c r="Y106" i="1" s="1"/>
  <c r="X97" i="1"/>
  <c r="Y97" i="1" s="1"/>
  <c r="Z109" i="1"/>
  <c r="AD109" i="1" s="1"/>
  <c r="AG109" i="1"/>
  <c r="AH109" i="1" s="1"/>
  <c r="Z94" i="1"/>
  <c r="AD94" i="1" s="1"/>
  <c r="AG94" i="1"/>
  <c r="AF94" i="1"/>
  <c r="Z75" i="1"/>
  <c r="AD75" i="1" s="1"/>
  <c r="AG75" i="1"/>
  <c r="AH75" i="1" s="1"/>
  <c r="AE106" i="1"/>
  <c r="AF99" i="1"/>
  <c r="AE88" i="1"/>
  <c r="U75" i="1"/>
  <c r="S75" i="1" s="1"/>
  <c r="V75" i="1" s="1"/>
  <c r="P75" i="1" s="1"/>
  <c r="Q75" i="1" s="1"/>
  <c r="AE71" i="1"/>
  <c r="U71" i="1"/>
  <c r="S71" i="1" s="1"/>
  <c r="V71" i="1" s="1"/>
  <c r="P71" i="1" s="1"/>
  <c r="Q71" i="1" s="1"/>
  <c r="AG66" i="1"/>
  <c r="AH66" i="1" s="1"/>
  <c r="Z66" i="1"/>
  <c r="AD66" i="1" s="1"/>
  <c r="AF75" i="1"/>
  <c r="AE37" i="1"/>
  <c r="X37" i="1"/>
  <c r="Y37" i="1" s="1"/>
  <c r="BC57" i="1"/>
  <c r="AE66" i="1"/>
  <c r="U66" i="1"/>
  <c r="S66" i="1" s="1"/>
  <c r="V66" i="1" s="1"/>
  <c r="P66" i="1" s="1"/>
  <c r="Q66" i="1" s="1"/>
  <c r="X69" i="1"/>
  <c r="Y69" i="1" s="1"/>
  <c r="U69" i="1" s="1"/>
  <c r="S69" i="1" s="1"/>
  <c r="V69" i="1" s="1"/>
  <c r="P69" i="1" s="1"/>
  <c r="Q69" i="1" s="1"/>
  <c r="BC62" i="1"/>
  <c r="X21" i="1"/>
  <c r="Y21" i="1" s="1"/>
  <c r="AF46" i="1"/>
  <c r="Z46" i="1"/>
  <c r="AD46" i="1" s="1"/>
  <c r="AG46" i="1"/>
  <c r="AE36" i="1"/>
  <c r="X26" i="1"/>
  <c r="Y26" i="1" s="1"/>
  <c r="AE26" i="1"/>
  <c r="U26" i="1"/>
  <c r="S26" i="1" s="1"/>
  <c r="V26" i="1" s="1"/>
  <c r="P26" i="1" s="1"/>
  <c r="Q26" i="1" s="1"/>
  <c r="AE28" i="1"/>
  <c r="U28" i="1"/>
  <c r="S28" i="1" s="1"/>
  <c r="V28" i="1" s="1"/>
  <c r="P28" i="1" s="1"/>
  <c r="Q28" i="1" s="1"/>
  <c r="AE20" i="1"/>
  <c r="U20" i="1"/>
  <c r="S20" i="1" s="1"/>
  <c r="V20" i="1" s="1"/>
  <c r="P20" i="1" s="1"/>
  <c r="Q20" i="1" s="1"/>
  <c r="X28" i="1"/>
  <c r="Y28" i="1" s="1"/>
  <c r="AE40" i="1"/>
  <c r="U40" i="1"/>
  <c r="S40" i="1" s="1"/>
  <c r="V40" i="1" s="1"/>
  <c r="P40" i="1" s="1"/>
  <c r="Q40" i="1" s="1"/>
  <c r="AE50" i="1"/>
  <c r="U50" i="1"/>
  <c r="S50" i="1" s="1"/>
  <c r="V50" i="1" s="1"/>
  <c r="P50" i="1" s="1"/>
  <c r="Q50" i="1" s="1"/>
  <c r="X50" i="1"/>
  <c r="Y50" i="1" s="1"/>
  <c r="BC25" i="1"/>
  <c r="X32" i="1"/>
  <c r="Y32" i="1" s="1"/>
  <c r="U32" i="1" s="1"/>
  <c r="S32" i="1" s="1"/>
  <c r="V32" i="1" s="1"/>
  <c r="P32" i="1" s="1"/>
  <c r="Q32" i="1" s="1"/>
  <c r="AF165" i="1"/>
  <c r="X143" i="1"/>
  <c r="Y143" i="1" s="1"/>
  <c r="P156" i="1"/>
  <c r="Q156" i="1" s="1"/>
  <c r="X137" i="1"/>
  <c r="Y137" i="1" s="1"/>
  <c r="AE143" i="1"/>
  <c r="Z156" i="1"/>
  <c r="AD156" i="1" s="1"/>
  <c r="AG156" i="1"/>
  <c r="AH156" i="1" s="1"/>
  <c r="AF156" i="1"/>
  <c r="X140" i="1"/>
  <c r="Y140" i="1" s="1"/>
  <c r="X142" i="1"/>
  <c r="Y142" i="1" s="1"/>
  <c r="U142" i="1" s="1"/>
  <c r="S142" i="1" s="1"/>
  <c r="V142" i="1" s="1"/>
  <c r="P142" i="1" s="1"/>
  <c r="Q142" i="1" s="1"/>
  <c r="AE148" i="1"/>
  <c r="X148" i="1"/>
  <c r="Y148" i="1" s="1"/>
  <c r="AF126" i="1"/>
  <c r="U134" i="1"/>
  <c r="S134" i="1" s="1"/>
  <c r="V134" i="1" s="1"/>
  <c r="P134" i="1" s="1"/>
  <c r="Q134" i="1" s="1"/>
  <c r="AE134" i="1"/>
  <c r="U126" i="1"/>
  <c r="S126" i="1" s="1"/>
  <c r="V126" i="1" s="1"/>
  <c r="P126" i="1" s="1"/>
  <c r="Q126" i="1" s="1"/>
  <c r="AE126" i="1"/>
  <c r="X100" i="1"/>
  <c r="Y100" i="1" s="1"/>
  <c r="X84" i="1"/>
  <c r="Y84" i="1" s="1"/>
  <c r="X120" i="1"/>
  <c r="Y120" i="1" s="1"/>
  <c r="X112" i="1"/>
  <c r="Y112" i="1" s="1"/>
  <c r="AE78" i="1"/>
  <c r="U78" i="1"/>
  <c r="S78" i="1" s="1"/>
  <c r="V78" i="1" s="1"/>
  <c r="P78" i="1" s="1"/>
  <c r="Q78" i="1" s="1"/>
  <c r="X67" i="1"/>
  <c r="Y67" i="1" s="1"/>
  <c r="AE90" i="1"/>
  <c r="AE60" i="1"/>
  <c r="U60" i="1"/>
  <c r="S60" i="1" s="1"/>
  <c r="V60" i="1" s="1"/>
  <c r="P60" i="1" s="1"/>
  <c r="Q60" i="1" s="1"/>
  <c r="AE72" i="1"/>
  <c r="U72" i="1"/>
  <c r="S72" i="1" s="1"/>
  <c r="V72" i="1" s="1"/>
  <c r="P72" i="1" s="1"/>
  <c r="Q72" i="1" s="1"/>
  <c r="X68" i="1"/>
  <c r="Y68" i="1" s="1"/>
  <c r="U68" i="1" s="1"/>
  <c r="S68" i="1" s="1"/>
  <c r="V68" i="1" s="1"/>
  <c r="P68" i="1" s="1"/>
  <c r="Q68" i="1" s="1"/>
  <c r="X82" i="1"/>
  <c r="Y82" i="1" s="1"/>
  <c r="U82" i="1" s="1"/>
  <c r="S82" i="1" s="1"/>
  <c r="V82" i="1" s="1"/>
  <c r="P82" i="1" s="1"/>
  <c r="Q82" i="1" s="1"/>
  <c r="U33" i="1"/>
  <c r="S33" i="1" s="1"/>
  <c r="V33" i="1" s="1"/>
  <c r="P33" i="1" s="1"/>
  <c r="Q33" i="1" s="1"/>
  <c r="AE33" i="1"/>
  <c r="Z47" i="1"/>
  <c r="AD47" i="1" s="1"/>
  <c r="AG47" i="1"/>
  <c r="AH47" i="1" s="1"/>
  <c r="Z35" i="1"/>
  <c r="AD35" i="1" s="1"/>
  <c r="AG35" i="1"/>
  <c r="X59" i="1"/>
  <c r="Y59" i="1" s="1"/>
  <c r="U59" i="1" s="1"/>
  <c r="S59" i="1" s="1"/>
  <c r="V59" i="1" s="1"/>
  <c r="P59" i="1" s="1"/>
  <c r="Q59" i="1" s="1"/>
  <c r="AF56" i="1"/>
  <c r="Z51" i="1"/>
  <c r="AD51" i="1" s="1"/>
  <c r="AF51" i="1"/>
  <c r="AG51" i="1"/>
  <c r="X41" i="1"/>
  <c r="Y41" i="1" s="1"/>
  <c r="U41" i="1" s="1"/>
  <c r="S41" i="1" s="1"/>
  <c r="V41" i="1" s="1"/>
  <c r="P41" i="1" s="1"/>
  <c r="Q41" i="1" s="1"/>
  <c r="X45" i="1"/>
  <c r="Y45" i="1" s="1"/>
  <c r="U45" i="1" s="1"/>
  <c r="S45" i="1" s="1"/>
  <c r="V45" i="1" s="1"/>
  <c r="P45" i="1" s="1"/>
  <c r="Q45" i="1" s="1"/>
  <c r="AE31" i="1"/>
  <c r="U31" i="1"/>
  <c r="S31" i="1" s="1"/>
  <c r="V31" i="1" s="1"/>
  <c r="P31" i="1" s="1"/>
  <c r="Q31" i="1" s="1"/>
  <c r="X34" i="1"/>
  <c r="Y34" i="1" s="1"/>
  <c r="X30" i="1"/>
  <c r="Y30" i="1" s="1"/>
  <c r="U30" i="1" s="1"/>
  <c r="S30" i="1" s="1"/>
  <c r="V30" i="1" s="1"/>
  <c r="P30" i="1" s="1"/>
  <c r="Q30" i="1" s="1"/>
  <c r="AE30" i="1"/>
  <c r="AE151" i="1"/>
  <c r="U151" i="1"/>
  <c r="S151" i="1" s="1"/>
  <c r="V151" i="1" s="1"/>
  <c r="P151" i="1" s="1"/>
  <c r="Q151" i="1" s="1"/>
  <c r="X161" i="1"/>
  <c r="Y161" i="1" s="1"/>
  <c r="U161" i="1" s="1"/>
  <c r="S161" i="1" s="1"/>
  <c r="V161" i="1" s="1"/>
  <c r="P161" i="1" s="1"/>
  <c r="Q161" i="1" s="1"/>
  <c r="X162" i="1"/>
  <c r="Y162" i="1" s="1"/>
  <c r="Z164" i="1"/>
  <c r="AD164" i="1" s="1"/>
  <c r="AG164" i="1"/>
  <c r="AF164" i="1"/>
  <c r="U150" i="1"/>
  <c r="S150" i="1" s="1"/>
  <c r="V150" i="1" s="1"/>
  <c r="P150" i="1" s="1"/>
  <c r="Q150" i="1" s="1"/>
  <c r="AE150" i="1"/>
  <c r="AF166" i="1"/>
  <c r="BC155" i="1"/>
  <c r="X139" i="1"/>
  <c r="Y139" i="1" s="1"/>
  <c r="Z129" i="1"/>
  <c r="AD129" i="1" s="1"/>
  <c r="AG129" i="1"/>
  <c r="AG135" i="1"/>
  <c r="AH135" i="1" s="1"/>
  <c r="Z135" i="1"/>
  <c r="AD135" i="1" s="1"/>
  <c r="U135" i="1"/>
  <c r="S135" i="1" s="1"/>
  <c r="V135" i="1" s="1"/>
  <c r="P135" i="1" s="1"/>
  <c r="Q135" i="1" s="1"/>
  <c r="X149" i="1"/>
  <c r="Y149" i="1" s="1"/>
  <c r="AE128" i="1"/>
  <c r="U128" i="1"/>
  <c r="S128" i="1" s="1"/>
  <c r="V128" i="1" s="1"/>
  <c r="P128" i="1" s="1"/>
  <c r="Q128" i="1" s="1"/>
  <c r="AE129" i="1"/>
  <c r="U129" i="1"/>
  <c r="S129" i="1" s="1"/>
  <c r="V129" i="1" s="1"/>
  <c r="P129" i="1" s="1"/>
  <c r="Q129" i="1" s="1"/>
  <c r="X114" i="1"/>
  <c r="Y114" i="1" s="1"/>
  <c r="U114" i="1" s="1"/>
  <c r="S114" i="1" s="1"/>
  <c r="V114" i="1" s="1"/>
  <c r="P114" i="1" s="1"/>
  <c r="Q114" i="1" s="1"/>
  <c r="AE124" i="1"/>
  <c r="U124" i="1"/>
  <c r="S124" i="1" s="1"/>
  <c r="V124" i="1" s="1"/>
  <c r="P124" i="1" s="1"/>
  <c r="Q124" i="1" s="1"/>
  <c r="X111" i="1"/>
  <c r="Y111" i="1" s="1"/>
  <c r="X131" i="1"/>
  <c r="Y131" i="1" s="1"/>
  <c r="U131" i="1" s="1"/>
  <c r="S131" i="1" s="1"/>
  <c r="V131" i="1" s="1"/>
  <c r="P131" i="1" s="1"/>
  <c r="Q131" i="1" s="1"/>
  <c r="U144" i="1"/>
  <c r="S144" i="1" s="1"/>
  <c r="V144" i="1" s="1"/>
  <c r="P144" i="1" s="1"/>
  <c r="Q144" i="1" s="1"/>
  <c r="AE144" i="1"/>
  <c r="Z116" i="1"/>
  <c r="AD116" i="1" s="1"/>
  <c r="AG116" i="1"/>
  <c r="AF116" i="1"/>
  <c r="Z145" i="1"/>
  <c r="AD145" i="1" s="1"/>
  <c r="AF145" i="1"/>
  <c r="AG145" i="1"/>
  <c r="AH145" i="1" s="1"/>
  <c r="X93" i="1"/>
  <c r="Y93" i="1" s="1"/>
  <c r="U116" i="1"/>
  <c r="S116" i="1" s="1"/>
  <c r="V116" i="1" s="1"/>
  <c r="P116" i="1" s="1"/>
  <c r="Q116" i="1" s="1"/>
  <c r="AE116" i="1"/>
  <c r="X90" i="1"/>
  <c r="Y90" i="1" s="1"/>
  <c r="AE110" i="1"/>
  <c r="U110" i="1"/>
  <c r="S110" i="1" s="1"/>
  <c r="V110" i="1" s="1"/>
  <c r="P110" i="1" s="1"/>
  <c r="Q110" i="1" s="1"/>
  <c r="U81" i="1"/>
  <c r="S81" i="1" s="1"/>
  <c r="V81" i="1" s="1"/>
  <c r="P81" i="1" s="1"/>
  <c r="Q81" i="1" s="1"/>
  <c r="AE81" i="1"/>
  <c r="X81" i="1"/>
  <c r="Y81" i="1" s="1"/>
  <c r="AE97" i="1"/>
  <c r="U97" i="1"/>
  <c r="S97" i="1" s="1"/>
  <c r="V97" i="1" s="1"/>
  <c r="P97" i="1" s="1"/>
  <c r="Q97" i="1" s="1"/>
  <c r="U94" i="1"/>
  <c r="S94" i="1" s="1"/>
  <c r="V94" i="1" s="1"/>
  <c r="P94" i="1" s="1"/>
  <c r="Q94" i="1" s="1"/>
  <c r="AE94" i="1"/>
  <c r="AE79" i="1"/>
  <c r="U79" i="1"/>
  <c r="S79" i="1" s="1"/>
  <c r="V79" i="1" s="1"/>
  <c r="P79" i="1" s="1"/>
  <c r="Q79" i="1" s="1"/>
  <c r="U61" i="1"/>
  <c r="S61" i="1" s="1"/>
  <c r="V61" i="1" s="1"/>
  <c r="P61" i="1" s="1"/>
  <c r="Q61" i="1" s="1"/>
  <c r="AE61" i="1"/>
  <c r="AE58" i="1"/>
  <c r="X58" i="1"/>
  <c r="Y58" i="1" s="1"/>
  <c r="AE100" i="1"/>
  <c r="U100" i="1"/>
  <c r="S100" i="1" s="1"/>
  <c r="V100" i="1" s="1"/>
  <c r="P100" i="1" s="1"/>
  <c r="Q100" i="1" s="1"/>
  <c r="U64" i="1"/>
  <c r="S64" i="1" s="1"/>
  <c r="V64" i="1" s="1"/>
  <c r="P64" i="1" s="1"/>
  <c r="Q64" i="1" s="1"/>
  <c r="AE29" i="1"/>
  <c r="Z23" i="1"/>
  <c r="AD23" i="1" s="1"/>
  <c r="AG23" i="1"/>
  <c r="AH23" i="1" s="1"/>
  <c r="Z52" i="1"/>
  <c r="AD52" i="1" s="1"/>
  <c r="AG52" i="1"/>
  <c r="AH52" i="1" s="1"/>
  <c r="X29" i="1"/>
  <c r="Y29" i="1" s="1"/>
  <c r="U29" i="1" s="1"/>
  <c r="S29" i="1" s="1"/>
  <c r="V29" i="1" s="1"/>
  <c r="P29" i="1" s="1"/>
  <c r="Q29" i="1" s="1"/>
  <c r="X44" i="1"/>
  <c r="Y44" i="1" s="1"/>
  <c r="U44" i="1" s="1"/>
  <c r="S44" i="1" s="1"/>
  <c r="V44" i="1" s="1"/>
  <c r="P44" i="1" s="1"/>
  <c r="Q44" i="1" s="1"/>
  <c r="U51" i="1"/>
  <c r="S51" i="1" s="1"/>
  <c r="V51" i="1" s="1"/>
  <c r="P51" i="1" s="1"/>
  <c r="Q51" i="1" s="1"/>
  <c r="X36" i="1"/>
  <c r="Y36" i="1" s="1"/>
  <c r="AF31" i="1"/>
  <c r="AE35" i="1"/>
  <c r="U35" i="1"/>
  <c r="S35" i="1" s="1"/>
  <c r="V35" i="1" s="1"/>
  <c r="P35" i="1" s="1"/>
  <c r="Q35" i="1" s="1"/>
  <c r="Z111" i="1" l="1"/>
  <c r="AD111" i="1" s="1"/>
  <c r="AG111" i="1"/>
  <c r="AH111" i="1" s="1"/>
  <c r="AF111" i="1"/>
  <c r="AH164" i="1"/>
  <c r="AH51" i="1"/>
  <c r="Z140" i="1"/>
  <c r="AD140" i="1" s="1"/>
  <c r="AG140" i="1"/>
  <c r="AH140" i="1" s="1"/>
  <c r="AF140" i="1"/>
  <c r="AG137" i="1"/>
  <c r="AF137" i="1"/>
  <c r="Z137" i="1"/>
  <c r="AD137" i="1" s="1"/>
  <c r="U137" i="1"/>
  <c r="S137" i="1" s="1"/>
  <c r="V137" i="1" s="1"/>
  <c r="P137" i="1" s="1"/>
  <c r="Q137" i="1" s="1"/>
  <c r="AG50" i="1"/>
  <c r="Z50" i="1"/>
  <c r="AD50" i="1" s="1"/>
  <c r="AF50" i="1"/>
  <c r="AH46" i="1"/>
  <c r="Z72" i="1"/>
  <c r="AD72" i="1" s="1"/>
  <c r="AG72" i="1"/>
  <c r="AF72" i="1"/>
  <c r="AG138" i="1"/>
  <c r="AH138" i="1" s="1"/>
  <c r="Z138" i="1"/>
  <c r="AD138" i="1" s="1"/>
  <c r="AF138" i="1"/>
  <c r="Z24" i="1"/>
  <c r="AD24" i="1" s="1"/>
  <c r="AG24" i="1"/>
  <c r="AH24" i="1" s="1"/>
  <c r="AF24" i="1"/>
  <c r="Z73" i="1"/>
  <c r="AD73" i="1" s="1"/>
  <c r="AG73" i="1"/>
  <c r="AF73" i="1"/>
  <c r="AF151" i="1"/>
  <c r="Z151" i="1"/>
  <c r="AD151" i="1" s="1"/>
  <c r="AG151" i="1"/>
  <c r="AH151" i="1" s="1"/>
  <c r="Z144" i="1"/>
  <c r="AD144" i="1" s="1"/>
  <c r="AG144" i="1"/>
  <c r="AF144" i="1"/>
  <c r="AH134" i="1"/>
  <c r="Z113" i="1"/>
  <c r="AD113" i="1" s="1"/>
  <c r="AG113" i="1"/>
  <c r="AF113" i="1"/>
  <c r="AG88" i="1"/>
  <c r="AH88" i="1" s="1"/>
  <c r="Z88" i="1"/>
  <c r="AD88" i="1" s="1"/>
  <c r="AF88" i="1"/>
  <c r="AH126" i="1"/>
  <c r="Z48" i="1"/>
  <c r="AD48" i="1" s="1"/>
  <c r="AG48" i="1"/>
  <c r="AH48" i="1" s="1"/>
  <c r="AF48" i="1"/>
  <c r="AH60" i="1"/>
  <c r="Z85" i="1"/>
  <c r="AD85" i="1" s="1"/>
  <c r="AG85" i="1"/>
  <c r="AH85" i="1" s="1"/>
  <c r="U85" i="1"/>
  <c r="S85" i="1" s="1"/>
  <c r="V85" i="1" s="1"/>
  <c r="P85" i="1" s="1"/>
  <c r="Q85" i="1" s="1"/>
  <c r="AF85" i="1"/>
  <c r="Z89" i="1"/>
  <c r="AD89" i="1" s="1"/>
  <c r="AG89" i="1"/>
  <c r="AH89" i="1" s="1"/>
  <c r="AF89" i="1"/>
  <c r="AH125" i="1"/>
  <c r="AG158" i="1"/>
  <c r="Z158" i="1"/>
  <c r="AD158" i="1" s="1"/>
  <c r="AF158" i="1"/>
  <c r="Z77" i="1"/>
  <c r="AD77" i="1" s="1"/>
  <c r="AG77" i="1"/>
  <c r="AF77" i="1"/>
  <c r="AG132" i="1"/>
  <c r="Z132" i="1"/>
  <c r="AD132" i="1" s="1"/>
  <c r="AF132" i="1"/>
  <c r="AG154" i="1"/>
  <c r="AH154" i="1" s="1"/>
  <c r="Z154" i="1"/>
  <c r="AD154" i="1" s="1"/>
  <c r="AF154" i="1"/>
  <c r="AH38" i="1"/>
  <c r="Z36" i="1"/>
  <c r="AD36" i="1" s="1"/>
  <c r="AG36" i="1"/>
  <c r="AF36" i="1"/>
  <c r="Z58" i="1"/>
  <c r="AD58" i="1" s="1"/>
  <c r="AG58" i="1"/>
  <c r="AF58" i="1"/>
  <c r="Z90" i="1"/>
  <c r="AD90" i="1" s="1"/>
  <c r="AG90" i="1"/>
  <c r="AF90" i="1"/>
  <c r="AF30" i="1"/>
  <c r="AG30" i="1"/>
  <c r="AH30" i="1" s="1"/>
  <c r="Z30" i="1"/>
  <c r="AD30" i="1" s="1"/>
  <c r="Z120" i="1"/>
  <c r="AD120" i="1" s="1"/>
  <c r="AG120" i="1"/>
  <c r="AH120" i="1" s="1"/>
  <c r="AF120" i="1"/>
  <c r="Z143" i="1"/>
  <c r="AD143" i="1" s="1"/>
  <c r="AG143" i="1"/>
  <c r="AH143" i="1" s="1"/>
  <c r="AF143" i="1"/>
  <c r="Z37" i="1"/>
  <c r="AD37" i="1" s="1"/>
  <c r="AG37" i="1"/>
  <c r="AH37" i="1" s="1"/>
  <c r="AF37" i="1"/>
  <c r="AG106" i="1"/>
  <c r="AH106" i="1" s="1"/>
  <c r="Z106" i="1"/>
  <c r="AD106" i="1" s="1"/>
  <c r="AF106" i="1"/>
  <c r="Z155" i="1"/>
  <c r="AD155" i="1" s="1"/>
  <c r="AG155" i="1"/>
  <c r="AF155" i="1"/>
  <c r="U155" i="1"/>
  <c r="S155" i="1" s="1"/>
  <c r="V155" i="1" s="1"/>
  <c r="P155" i="1" s="1"/>
  <c r="Q155" i="1" s="1"/>
  <c r="AH56" i="1"/>
  <c r="AH42" i="1"/>
  <c r="U73" i="1"/>
  <c r="S73" i="1" s="1"/>
  <c r="V73" i="1" s="1"/>
  <c r="P73" i="1" s="1"/>
  <c r="Q73" i="1" s="1"/>
  <c r="Z102" i="1"/>
  <c r="AD102" i="1" s="1"/>
  <c r="AG102" i="1"/>
  <c r="AH102" i="1" s="1"/>
  <c r="AF102" i="1"/>
  <c r="AG49" i="1"/>
  <c r="AH49" i="1" s="1"/>
  <c r="Z49" i="1"/>
  <c r="AD49" i="1" s="1"/>
  <c r="AF49" i="1"/>
  <c r="AH62" i="1"/>
  <c r="U113" i="1"/>
  <c r="S113" i="1" s="1"/>
  <c r="V113" i="1" s="1"/>
  <c r="P113" i="1" s="1"/>
  <c r="Q113" i="1" s="1"/>
  <c r="AH116" i="1"/>
  <c r="Z149" i="1"/>
  <c r="AD149" i="1" s="1"/>
  <c r="AG149" i="1"/>
  <c r="AF149" i="1"/>
  <c r="AG162" i="1"/>
  <c r="AH162" i="1" s="1"/>
  <c r="Z162" i="1"/>
  <c r="AD162" i="1" s="1"/>
  <c r="AF162" i="1"/>
  <c r="AF34" i="1"/>
  <c r="AG34" i="1"/>
  <c r="Z34" i="1"/>
  <c r="AD34" i="1" s="1"/>
  <c r="Z21" i="1"/>
  <c r="AD21" i="1" s="1"/>
  <c r="AG21" i="1"/>
  <c r="AF21" i="1"/>
  <c r="U88" i="1"/>
  <c r="S88" i="1" s="1"/>
  <c r="V88" i="1" s="1"/>
  <c r="P88" i="1" s="1"/>
  <c r="Q88" i="1" s="1"/>
  <c r="AH94" i="1"/>
  <c r="Z117" i="1"/>
  <c r="AD117" i="1" s="1"/>
  <c r="AG117" i="1"/>
  <c r="AF117" i="1"/>
  <c r="Z57" i="1"/>
  <c r="AD57" i="1" s="1"/>
  <c r="AG57" i="1"/>
  <c r="AF57" i="1"/>
  <c r="U57" i="1"/>
  <c r="S57" i="1" s="1"/>
  <c r="V57" i="1" s="1"/>
  <c r="P57" i="1" s="1"/>
  <c r="Q57" i="1" s="1"/>
  <c r="Z98" i="1"/>
  <c r="AD98" i="1" s="1"/>
  <c r="AG98" i="1"/>
  <c r="AH98" i="1" s="1"/>
  <c r="AF98" i="1"/>
  <c r="AG110" i="1"/>
  <c r="AH110" i="1" s="1"/>
  <c r="Z110" i="1"/>
  <c r="AD110" i="1" s="1"/>
  <c r="AF110" i="1"/>
  <c r="Z17" i="1"/>
  <c r="AD17" i="1" s="1"/>
  <c r="AG17" i="1"/>
  <c r="AH17" i="1" s="1"/>
  <c r="AF17" i="1"/>
  <c r="U21" i="1"/>
  <c r="S21" i="1" s="1"/>
  <c r="V21" i="1" s="1"/>
  <c r="P21" i="1" s="1"/>
  <c r="Q21" i="1" s="1"/>
  <c r="Z76" i="1"/>
  <c r="AD76" i="1" s="1"/>
  <c r="AG76" i="1"/>
  <c r="AH76" i="1" s="1"/>
  <c r="AF76" i="1"/>
  <c r="Z108" i="1"/>
  <c r="AD108" i="1" s="1"/>
  <c r="AG108" i="1"/>
  <c r="AF108" i="1"/>
  <c r="U149" i="1"/>
  <c r="S149" i="1" s="1"/>
  <c r="V149" i="1" s="1"/>
  <c r="P149" i="1" s="1"/>
  <c r="Q149" i="1" s="1"/>
  <c r="U77" i="1"/>
  <c r="S77" i="1" s="1"/>
  <c r="V77" i="1" s="1"/>
  <c r="P77" i="1" s="1"/>
  <c r="Q77" i="1" s="1"/>
  <c r="AH141" i="1"/>
  <c r="AH78" i="1"/>
  <c r="U58" i="1"/>
  <c r="S58" i="1" s="1"/>
  <c r="V58" i="1" s="1"/>
  <c r="P58" i="1" s="1"/>
  <c r="Q58" i="1" s="1"/>
  <c r="AG82" i="1"/>
  <c r="Z82" i="1"/>
  <c r="AD82" i="1" s="1"/>
  <c r="AF82" i="1"/>
  <c r="U90" i="1"/>
  <c r="S90" i="1" s="1"/>
  <c r="V90" i="1" s="1"/>
  <c r="P90" i="1" s="1"/>
  <c r="Q90" i="1" s="1"/>
  <c r="AG84" i="1"/>
  <c r="AH84" i="1" s="1"/>
  <c r="Z84" i="1"/>
  <c r="AD84" i="1" s="1"/>
  <c r="AF84" i="1"/>
  <c r="AG148" i="1"/>
  <c r="AF148" i="1"/>
  <c r="Z148" i="1"/>
  <c r="AD148" i="1" s="1"/>
  <c r="U37" i="1"/>
  <c r="S37" i="1" s="1"/>
  <c r="V37" i="1" s="1"/>
  <c r="P37" i="1" s="1"/>
  <c r="Q37" i="1" s="1"/>
  <c r="Z133" i="1"/>
  <c r="AD133" i="1" s="1"/>
  <c r="AG133" i="1"/>
  <c r="AH133" i="1" s="1"/>
  <c r="AF133" i="1"/>
  <c r="AG74" i="1"/>
  <c r="AH74" i="1" s="1"/>
  <c r="Z74" i="1"/>
  <c r="AD74" i="1" s="1"/>
  <c r="AF74" i="1"/>
  <c r="Z147" i="1"/>
  <c r="AD147" i="1" s="1"/>
  <c r="AG147" i="1"/>
  <c r="AF147" i="1"/>
  <c r="Z107" i="1"/>
  <c r="AD107" i="1" s="1"/>
  <c r="AG107" i="1"/>
  <c r="AF107" i="1"/>
  <c r="U107" i="1"/>
  <c r="S107" i="1" s="1"/>
  <c r="V107" i="1" s="1"/>
  <c r="P107" i="1" s="1"/>
  <c r="Q107" i="1" s="1"/>
  <c r="AG92" i="1"/>
  <c r="Z92" i="1"/>
  <c r="AD92" i="1" s="1"/>
  <c r="AF92" i="1"/>
  <c r="U147" i="1"/>
  <c r="S147" i="1" s="1"/>
  <c r="V147" i="1" s="1"/>
  <c r="P147" i="1" s="1"/>
  <c r="Q147" i="1" s="1"/>
  <c r="AG104" i="1"/>
  <c r="AH104" i="1" s="1"/>
  <c r="Z104" i="1"/>
  <c r="AD104" i="1" s="1"/>
  <c r="AF104" i="1"/>
  <c r="U111" i="1"/>
  <c r="S111" i="1" s="1"/>
  <c r="V111" i="1" s="1"/>
  <c r="P111" i="1" s="1"/>
  <c r="Q111" i="1" s="1"/>
  <c r="Z163" i="1"/>
  <c r="AD163" i="1" s="1"/>
  <c r="AG163" i="1"/>
  <c r="AF163" i="1"/>
  <c r="U163" i="1"/>
  <c r="S163" i="1" s="1"/>
  <c r="V163" i="1" s="1"/>
  <c r="P163" i="1" s="1"/>
  <c r="Q163" i="1" s="1"/>
  <c r="AH70" i="1"/>
  <c r="Z44" i="1"/>
  <c r="AD44" i="1" s="1"/>
  <c r="AG44" i="1"/>
  <c r="AH44" i="1" s="1"/>
  <c r="AF44" i="1"/>
  <c r="Z81" i="1"/>
  <c r="AD81" i="1" s="1"/>
  <c r="AG81" i="1"/>
  <c r="AF81" i="1"/>
  <c r="Z93" i="1"/>
  <c r="AD93" i="1" s="1"/>
  <c r="AG93" i="1"/>
  <c r="AH93" i="1" s="1"/>
  <c r="AF93" i="1"/>
  <c r="AG114" i="1"/>
  <c r="AH114" i="1" s="1"/>
  <c r="Z114" i="1"/>
  <c r="AD114" i="1" s="1"/>
  <c r="AF114" i="1"/>
  <c r="Z161" i="1"/>
  <c r="AD161" i="1" s="1"/>
  <c r="AG161" i="1"/>
  <c r="AF161" i="1"/>
  <c r="AG59" i="1"/>
  <c r="AH59" i="1" s="1"/>
  <c r="Z59" i="1"/>
  <c r="AD59" i="1" s="1"/>
  <c r="AF59" i="1"/>
  <c r="Z68" i="1"/>
  <c r="AD68" i="1" s="1"/>
  <c r="AG68" i="1"/>
  <c r="AF68" i="1"/>
  <c r="Z67" i="1"/>
  <c r="AD67" i="1" s="1"/>
  <c r="AG67" i="1"/>
  <c r="AH67" i="1" s="1"/>
  <c r="U67" i="1"/>
  <c r="S67" i="1" s="1"/>
  <c r="V67" i="1" s="1"/>
  <c r="P67" i="1" s="1"/>
  <c r="Q67" i="1" s="1"/>
  <c r="AF67" i="1"/>
  <c r="U148" i="1"/>
  <c r="S148" i="1" s="1"/>
  <c r="V148" i="1" s="1"/>
  <c r="P148" i="1" s="1"/>
  <c r="Q148" i="1" s="1"/>
  <c r="U143" i="1"/>
  <c r="S143" i="1" s="1"/>
  <c r="V143" i="1" s="1"/>
  <c r="P143" i="1" s="1"/>
  <c r="Q143" i="1" s="1"/>
  <c r="Z32" i="1"/>
  <c r="AD32" i="1" s="1"/>
  <c r="AG32" i="1"/>
  <c r="AF32" i="1"/>
  <c r="Z28" i="1"/>
  <c r="AD28" i="1" s="1"/>
  <c r="AG28" i="1"/>
  <c r="AH28" i="1" s="1"/>
  <c r="AF28" i="1"/>
  <c r="AF26" i="1"/>
  <c r="AG26" i="1"/>
  <c r="Z26" i="1"/>
  <c r="AD26" i="1" s="1"/>
  <c r="AH166" i="1"/>
  <c r="U84" i="1"/>
  <c r="S84" i="1" s="1"/>
  <c r="V84" i="1" s="1"/>
  <c r="P84" i="1" s="1"/>
  <c r="Q84" i="1" s="1"/>
  <c r="AG118" i="1"/>
  <c r="AH118" i="1" s="1"/>
  <c r="Z118" i="1"/>
  <c r="AD118" i="1" s="1"/>
  <c r="AF118" i="1"/>
  <c r="AH39" i="1"/>
  <c r="AH160" i="1"/>
  <c r="Z25" i="1"/>
  <c r="AD25" i="1" s="1"/>
  <c r="AG25" i="1"/>
  <c r="AF25" i="1"/>
  <c r="Z53" i="1"/>
  <c r="AD53" i="1" s="1"/>
  <c r="AG53" i="1"/>
  <c r="AH53" i="1" s="1"/>
  <c r="AF53" i="1"/>
  <c r="Z95" i="1"/>
  <c r="AD95" i="1" s="1"/>
  <c r="AG95" i="1"/>
  <c r="AH95" i="1" s="1"/>
  <c r="AF95" i="1"/>
  <c r="AH31" i="1"/>
  <c r="Z91" i="1"/>
  <c r="AD91" i="1" s="1"/>
  <c r="AG91" i="1"/>
  <c r="AH91" i="1" s="1"/>
  <c r="AF91" i="1"/>
  <c r="U108" i="1"/>
  <c r="S108" i="1" s="1"/>
  <c r="V108" i="1" s="1"/>
  <c r="P108" i="1" s="1"/>
  <c r="Q108" i="1" s="1"/>
  <c r="U104" i="1"/>
  <c r="S104" i="1" s="1"/>
  <c r="V104" i="1" s="1"/>
  <c r="P104" i="1" s="1"/>
  <c r="Q104" i="1" s="1"/>
  <c r="Z123" i="1"/>
  <c r="AD123" i="1" s="1"/>
  <c r="AG123" i="1"/>
  <c r="AF123" i="1"/>
  <c r="AH101" i="1"/>
  <c r="AH86" i="1"/>
  <c r="AH165" i="1"/>
  <c r="AH63" i="1"/>
  <c r="AH87" i="1"/>
  <c r="AH65" i="1"/>
  <c r="Z139" i="1"/>
  <c r="AD139" i="1" s="1"/>
  <c r="AG139" i="1"/>
  <c r="U139" i="1"/>
  <c r="S139" i="1" s="1"/>
  <c r="V139" i="1" s="1"/>
  <c r="P139" i="1" s="1"/>
  <c r="Q139" i="1" s="1"/>
  <c r="AF139" i="1"/>
  <c r="Z112" i="1"/>
  <c r="AD112" i="1" s="1"/>
  <c r="AG112" i="1"/>
  <c r="AF112" i="1"/>
  <c r="AF45" i="1"/>
  <c r="Z45" i="1"/>
  <c r="AD45" i="1" s="1"/>
  <c r="AG45" i="1"/>
  <c r="AH35" i="1"/>
  <c r="AG100" i="1"/>
  <c r="AH100" i="1" s="1"/>
  <c r="Z100" i="1"/>
  <c r="AD100" i="1" s="1"/>
  <c r="AF100" i="1"/>
  <c r="U36" i="1"/>
  <c r="S36" i="1" s="1"/>
  <c r="V36" i="1" s="1"/>
  <c r="P36" i="1" s="1"/>
  <c r="Q36" i="1" s="1"/>
  <c r="Z69" i="1"/>
  <c r="AD69" i="1" s="1"/>
  <c r="AG69" i="1"/>
  <c r="AF69" i="1"/>
  <c r="U106" i="1"/>
  <c r="S106" i="1" s="1"/>
  <c r="V106" i="1" s="1"/>
  <c r="P106" i="1" s="1"/>
  <c r="Q106" i="1" s="1"/>
  <c r="Z115" i="1"/>
  <c r="AD115" i="1" s="1"/>
  <c r="AG115" i="1"/>
  <c r="U115" i="1"/>
  <c r="S115" i="1" s="1"/>
  <c r="V115" i="1" s="1"/>
  <c r="P115" i="1" s="1"/>
  <c r="Q115" i="1" s="1"/>
  <c r="AF115" i="1"/>
  <c r="U162" i="1"/>
  <c r="S162" i="1" s="1"/>
  <c r="V162" i="1" s="1"/>
  <c r="P162" i="1" s="1"/>
  <c r="Q162" i="1" s="1"/>
  <c r="AF18" i="1"/>
  <c r="AG18" i="1"/>
  <c r="AH18" i="1" s="1"/>
  <c r="Z18" i="1"/>
  <c r="AD18" i="1" s="1"/>
  <c r="Z159" i="1"/>
  <c r="AD159" i="1" s="1"/>
  <c r="AG159" i="1"/>
  <c r="AH159" i="1" s="1"/>
  <c r="AF159" i="1"/>
  <c r="U159" i="1"/>
  <c r="S159" i="1" s="1"/>
  <c r="V159" i="1" s="1"/>
  <c r="P159" i="1" s="1"/>
  <c r="Q159" i="1" s="1"/>
  <c r="U140" i="1"/>
  <c r="S140" i="1" s="1"/>
  <c r="V140" i="1" s="1"/>
  <c r="P140" i="1" s="1"/>
  <c r="Q140" i="1" s="1"/>
  <c r="U93" i="1"/>
  <c r="S93" i="1" s="1"/>
  <c r="V93" i="1" s="1"/>
  <c r="P93" i="1" s="1"/>
  <c r="Q93" i="1" s="1"/>
  <c r="Z80" i="1"/>
  <c r="AD80" i="1" s="1"/>
  <c r="AG80" i="1"/>
  <c r="AF80" i="1"/>
  <c r="AH79" i="1"/>
  <c r="AG153" i="1"/>
  <c r="Z153" i="1"/>
  <c r="AD153" i="1" s="1"/>
  <c r="AF153" i="1"/>
  <c r="AF22" i="1"/>
  <c r="AG22" i="1"/>
  <c r="Z22" i="1"/>
  <c r="AD22" i="1" s="1"/>
  <c r="U48" i="1"/>
  <c r="S48" i="1" s="1"/>
  <c r="V48" i="1" s="1"/>
  <c r="P48" i="1" s="1"/>
  <c r="Q48" i="1" s="1"/>
  <c r="AH43" i="1"/>
  <c r="AH127" i="1"/>
  <c r="Z29" i="1"/>
  <c r="AD29" i="1" s="1"/>
  <c r="AG29" i="1"/>
  <c r="AH29" i="1" s="1"/>
  <c r="AF29" i="1"/>
  <c r="Z131" i="1"/>
  <c r="AD131" i="1" s="1"/>
  <c r="AF131" i="1"/>
  <c r="AG131" i="1"/>
  <c r="AH131" i="1" s="1"/>
  <c r="AH129" i="1"/>
  <c r="Z41" i="1"/>
  <c r="AD41" i="1" s="1"/>
  <c r="AG41" i="1"/>
  <c r="AH41" i="1" s="1"/>
  <c r="AF41" i="1"/>
  <c r="AG142" i="1"/>
  <c r="Z142" i="1"/>
  <c r="AD142" i="1" s="1"/>
  <c r="AF142" i="1"/>
  <c r="Z97" i="1"/>
  <c r="AD97" i="1" s="1"/>
  <c r="AG97" i="1"/>
  <c r="AH97" i="1" s="1"/>
  <c r="AF97" i="1"/>
  <c r="AG124" i="1"/>
  <c r="AH124" i="1" s="1"/>
  <c r="AF124" i="1"/>
  <c r="Z124" i="1"/>
  <c r="AD124" i="1" s="1"/>
  <c r="Z33" i="1"/>
  <c r="AD33" i="1" s="1"/>
  <c r="AG33" i="1"/>
  <c r="AF33" i="1"/>
  <c r="AG96" i="1"/>
  <c r="Z96" i="1"/>
  <c r="AD96" i="1" s="1"/>
  <c r="AF96" i="1"/>
  <c r="U34" i="1"/>
  <c r="S34" i="1" s="1"/>
  <c r="V34" i="1" s="1"/>
  <c r="P34" i="1" s="1"/>
  <c r="Q34" i="1" s="1"/>
  <c r="Z71" i="1"/>
  <c r="AD71" i="1" s="1"/>
  <c r="AG71" i="1"/>
  <c r="AF71" i="1"/>
  <c r="U112" i="1"/>
  <c r="S112" i="1" s="1"/>
  <c r="V112" i="1" s="1"/>
  <c r="P112" i="1" s="1"/>
  <c r="Q112" i="1" s="1"/>
  <c r="Z119" i="1"/>
  <c r="AD119" i="1" s="1"/>
  <c r="AG119" i="1"/>
  <c r="AF119" i="1"/>
  <c r="AH19" i="1"/>
  <c r="Z61" i="1"/>
  <c r="AD61" i="1" s="1"/>
  <c r="AG61" i="1"/>
  <c r="AF61" i="1"/>
  <c r="AG128" i="1"/>
  <c r="AH128" i="1" s="1"/>
  <c r="AF128" i="1"/>
  <c r="Z128" i="1"/>
  <c r="AD128" i="1" s="1"/>
  <c r="AG146" i="1"/>
  <c r="AH146" i="1" s="1"/>
  <c r="Z146" i="1"/>
  <c r="AD146" i="1" s="1"/>
  <c r="AF146" i="1"/>
  <c r="Z20" i="1"/>
  <c r="AD20" i="1" s="1"/>
  <c r="AG20" i="1"/>
  <c r="AF20" i="1"/>
  <c r="U74" i="1"/>
  <c r="S74" i="1" s="1"/>
  <c r="V74" i="1" s="1"/>
  <c r="P74" i="1" s="1"/>
  <c r="Q74" i="1" s="1"/>
  <c r="Z103" i="1"/>
  <c r="AD103" i="1" s="1"/>
  <c r="AG103" i="1"/>
  <c r="AH103" i="1" s="1"/>
  <c r="AF103" i="1"/>
  <c r="U103" i="1"/>
  <c r="S103" i="1" s="1"/>
  <c r="V103" i="1" s="1"/>
  <c r="P103" i="1" s="1"/>
  <c r="Q103" i="1" s="1"/>
  <c r="AH136" i="1"/>
  <c r="U158" i="1"/>
  <c r="S158" i="1" s="1"/>
  <c r="V158" i="1" s="1"/>
  <c r="P158" i="1" s="1"/>
  <c r="Q158" i="1" s="1"/>
  <c r="Z40" i="1"/>
  <c r="AD40" i="1" s="1"/>
  <c r="AG40" i="1"/>
  <c r="AH40" i="1" s="1"/>
  <c r="AF40" i="1"/>
  <c r="AH99" i="1"/>
  <c r="AH150" i="1"/>
  <c r="U154" i="1"/>
  <c r="S154" i="1" s="1"/>
  <c r="V154" i="1" s="1"/>
  <c r="P154" i="1" s="1"/>
  <c r="Q154" i="1" s="1"/>
  <c r="AG157" i="1"/>
  <c r="Z157" i="1"/>
  <c r="AD157" i="1" s="1"/>
  <c r="AF157" i="1"/>
  <c r="AH20" i="1" l="1"/>
  <c r="AH33" i="1"/>
  <c r="AH80" i="1"/>
  <c r="AH161" i="1"/>
  <c r="AH147" i="1"/>
  <c r="AH58" i="1"/>
  <c r="AH157" i="1"/>
  <c r="AH61" i="1"/>
  <c r="AH71" i="1"/>
  <c r="AH22" i="1"/>
  <c r="AH45" i="1"/>
  <c r="AH139" i="1"/>
  <c r="AH25" i="1"/>
  <c r="AH32" i="1"/>
  <c r="AH81" i="1"/>
  <c r="AH163" i="1"/>
  <c r="AH108" i="1"/>
  <c r="AH158" i="1"/>
  <c r="AH142" i="1"/>
  <c r="AH69" i="1"/>
  <c r="AH123" i="1"/>
  <c r="AH68" i="1"/>
  <c r="AH92" i="1"/>
  <c r="AH82" i="1"/>
  <c r="AH57" i="1"/>
  <c r="AH21" i="1"/>
  <c r="AH26" i="1"/>
  <c r="AH148" i="1"/>
  <c r="AH149" i="1"/>
  <c r="AH155" i="1"/>
  <c r="AH36" i="1"/>
  <c r="AH132" i="1"/>
  <c r="AH113" i="1"/>
  <c r="AH50" i="1"/>
  <c r="AH119" i="1"/>
  <c r="AH153" i="1"/>
  <c r="AH112" i="1"/>
  <c r="AH107" i="1"/>
  <c r="AH117" i="1"/>
  <c r="AH34" i="1"/>
  <c r="AH90" i="1"/>
  <c r="AH77" i="1"/>
  <c r="AH73" i="1"/>
  <c r="AH96" i="1"/>
  <c r="AH115" i="1"/>
  <c r="AH72" i="1"/>
  <c r="AH144" i="1"/>
  <c r="AH137" i="1"/>
</calcChain>
</file>

<file path=xl/sharedStrings.xml><?xml version="1.0" encoding="utf-8"?>
<sst xmlns="http://schemas.openxmlformats.org/spreadsheetml/2006/main" count="3692" uniqueCount="1181">
  <si>
    <t>File opened</t>
  </si>
  <si>
    <t>2023-07-10 08:49:25</t>
  </si>
  <si>
    <t>Console s/n</t>
  </si>
  <si>
    <t>68C-811696</t>
  </si>
  <si>
    <t>Console ver</t>
  </si>
  <si>
    <t>Bluestem v.2.1.08</t>
  </si>
  <si>
    <t>Scripts ver</t>
  </si>
  <si>
    <t>2022.05  2.1.08, Aug 2022</t>
  </si>
  <si>
    <t>Head s/n</t>
  </si>
  <si>
    <t>68H-891696</t>
  </si>
  <si>
    <t>Head ver</t>
  </si>
  <si>
    <t>1.4.22</t>
  </si>
  <si>
    <t>Head cal</t>
  </si>
  <si>
    <t>{"oxygen": "21", "co2azero": "0.959395", "co2aspan1": "0.997988", "co2aspan2": "-0.0208035", "co2aspan2a": "0.28578", "co2aspan2b": "0.283506", "co2aspanconc1": "2491", "co2aspanconc2": "299.3", "co2bzero": "0.981774", "co2bspan1": "0.998311", "co2bspan2": "-0.0224227", "co2bspan2a": "0.286254", "co2bspan2b": "0.283933", "co2bspanconc1": "2491", "co2bspanconc2": "299.3", "h2oazero": "1.0809", "h2oaspan1": "1.01326", "h2oaspan2": "0", "h2oaspan2a": "0.0684577", "h2oaspan2b": "0.0693653", "h2oaspanconc1": "12.16", "h2oaspanconc2": "0", "h2obzero": "1.06992", "h2obspan1": "1.01597", "h2obspan2": "0", "h2obspan2a": "0.0686952", "h2obspan2b": "0.0697919", "h2obspanconc1": "12.16", "h2obspanconc2": "0", "tazero": "0.0845318", "tbzero": "0.226761", "flowmeterzero": "0.999462", "flowazero": "0.31502", "flowbzero": "0.22582", "chamberpressurezero": "2.67886", "ssa_ref": "39202.2", "ssb_ref": "32270.6"}</t>
  </si>
  <si>
    <t>CO2 rangematch</t>
  </si>
  <si>
    <t>Thu Jun  8 15:41</t>
  </si>
  <si>
    <t>H2O rangematch</t>
  </si>
  <si>
    <t>Thu Jun  8 15:33</t>
  </si>
  <si>
    <t>Chamber type</t>
  </si>
  <si>
    <t>6800-01A</t>
  </si>
  <si>
    <t>Chamber s/n</t>
  </si>
  <si>
    <t>MPF-831538</t>
  </si>
  <si>
    <t>Chamber rev</t>
  </si>
  <si>
    <t>0</t>
  </si>
  <si>
    <t>Chamber cal</t>
  </si>
  <si>
    <t>Fluorometer</t>
  </si>
  <si>
    <t>Flr. Version</t>
  </si>
  <si>
    <t>08:49:25</t>
  </si>
  <si>
    <t>Stability Definition:	A (GasEx): Slp&lt;0.7 Std&lt;0.2 Per=15	gsw (GasEx): Slp&lt;0.05 Std&lt;0.05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</si>
  <si>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</si>
  <si>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</si>
  <si>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</si>
  <si>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</si>
  <si>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</si>
  <si>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</si>
  <si>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</si>
  <si>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</si>
  <si>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</si>
  <si>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</si>
  <si>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</si>
  <si>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</si>
  <si>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</si>
  <si>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</si>
  <si>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</si>
  <si>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</si>
  <si>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</si>
  <si>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</si>
  <si>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</si>
  <si>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</si>
  <si>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</si>
  <si>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</si>
  <si>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</si>
  <si>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</si>
  <si>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</si>
  <si>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</si>
  <si>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</si>
  <si>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</si>
  <si>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</si>
  <si>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</si>
  <si>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</si>
  <si>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</si>
  <si>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</si>
  <si>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</si>
  <si>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</si>
  <si>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</si>
  <si>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</si>
  <si>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</si>
  <si>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</si>
  <si>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</si>
  <si>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</si>
  <si>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</si>
  <si>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</si>
  <si>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</si>
  <si>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</si>
  <si>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</si>
  <si>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</si>
  <si>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</si>
  <si>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</si>
  <si>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</si>
  <si>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</si>
  <si>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</si>
  <si>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5.36335 80.9083 385.146 630.059 866.626 1053.35 1226.4 1405.77</t>
  </si>
  <si>
    <t>Fs_true</t>
  </si>
  <si>
    <t>0.406205 99.4844 401.411 600.994 800.599 1000.65 1200.02 1401.03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</si>
  <si>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</si>
  <si>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</si>
  <si>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</si>
  <si>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</si>
  <si>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</si>
  <si>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</si>
  <si>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</si>
  <si>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</si>
  <si>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</si>
  <si>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</si>
  <si>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</si>
  <si>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</si>
  <si>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</si>
  <si>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</si>
  <si>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</si>
  <si>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</si>
  <si>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</si>
  <si>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</si>
  <si>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</si>
  <si>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</si>
  <si>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</si>
  <si>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</si>
  <si>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</si>
  <si>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</si>
  <si>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</si>
  <si>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</si>
  <si>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</si>
  <si>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</si>
  <si>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type</t>
  </si>
  <si>
    <t>plot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</si>
  <si>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</si>
  <si>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</si>
  <si>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</si>
  <si>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</si>
  <si>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</si>
  <si>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</si>
  <si>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</si>
  <si>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</si>
  <si>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</si>
  <si>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</si>
  <si>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</si>
  <si>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</si>
  <si>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</si>
  <si>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</si>
  <si>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</si>
  <si>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</si>
  <si>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</si>
  <si>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</si>
  <si>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</si>
  <si>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</si>
  <si>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</si>
  <si>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</si>
  <si>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</si>
  <si>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</si>
  <si>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</si>
  <si>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</si>
  <si>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</si>
  <si>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</si>
  <si>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</si>
  <si>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</si>
  <si>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</si>
  <si>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</si>
  <si>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</si>
  <si>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</si>
  <si>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</si>
  <si>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</si>
  <si>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</si>
  <si>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</si>
  <si>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</si>
  <si>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</si>
  <si>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</si>
  <si>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</si>
  <si>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</si>
  <si>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</si>
  <si>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</si>
  <si>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</si>
  <si>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</si>
  <si>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</si>
  <si>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</si>
  <si>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</si>
  <si>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</si>
  <si>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</si>
  <si>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</si>
  <si>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</si>
  <si>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</si>
  <si>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</si>
  <si>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</si>
  <si>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</si>
  <si>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</si>
  <si>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</si>
  <si>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</si>
  <si>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</si>
  <si>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</si>
  <si>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</si>
  <si>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</si>
  <si>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</si>
  <si>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</si>
  <si>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</si>
  <si>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</si>
  <si>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</si>
  <si>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</si>
  <si>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</si>
  <si>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</si>
  <si>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</si>
  <si>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</si>
  <si>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</si>
  <si>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</si>
  <si>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</si>
  <si>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</si>
  <si>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</si>
  <si>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</si>
  <si>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</si>
  <si>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</si>
  <si>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</si>
  <si>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</si>
  <si>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</si>
  <si>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</si>
  <si>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</si>
  <si>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</si>
  <si>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</si>
  <si>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</si>
  <si>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</si>
  <si>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</si>
  <si>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</si>
  <si>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</si>
  <si>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</si>
  <si>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</si>
  <si>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</si>
  <si>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</si>
  <si>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</si>
  <si>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</si>
  <si>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</si>
  <si>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</si>
  <si>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</si>
  <si>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</si>
  <si>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</si>
  <si>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</si>
  <si>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</si>
  <si>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</si>
  <si>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</si>
  <si>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</si>
  <si>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</si>
  <si>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</si>
  <si>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</si>
  <si>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</si>
  <si>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</si>
  <si>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</si>
  <si>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</si>
  <si>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</si>
  <si>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</si>
  <si>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</si>
  <si>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</si>
  <si>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</si>
  <si>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</si>
  <si>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</si>
  <si>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</si>
  <si>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</si>
  <si>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</si>
  <si>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</si>
  <si>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</si>
  <si>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</si>
  <si>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</si>
  <si>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</si>
  <si>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</si>
  <si>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</si>
  <si>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</si>
  <si>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</si>
  <si>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</si>
  <si>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</si>
  <si>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</si>
  <si>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</si>
  <si>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</si>
  <si>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</si>
  <si>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</si>
  <si>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</si>
  <si>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</si>
  <si>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</si>
  <si>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</si>
  <si>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</si>
  <si>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</si>
  <si>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</si>
  <si>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</si>
  <si>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</si>
  <si>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</si>
  <si>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</si>
  <si>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</si>
  <si>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</si>
  <si>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</si>
  <si>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</si>
  <si>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</si>
  <si>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</si>
  <si>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</si>
  <si>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</si>
  <si>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</si>
  <si>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</si>
  <si>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</si>
  <si>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</si>
  <si>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</si>
  <si>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</si>
  <si>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</si>
  <si>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</si>
  <si>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</si>
  <si>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</si>
  <si>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</si>
  <si>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</si>
  <si>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</si>
  <si>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</si>
  <si>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</si>
  <si>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</si>
  <si>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</si>
  <si>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</si>
  <si>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</si>
  <si>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</si>
  <si>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</si>
  <si>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</si>
  <si>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</si>
  <si>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</si>
  <si>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</si>
  <si>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</si>
  <si>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</si>
  <si>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</si>
  <si>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</si>
  <si>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</si>
  <si>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</si>
  <si>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</si>
  <si>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</si>
  <si>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</si>
  <si>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</si>
  <si>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</si>
  <si>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</si>
  <si>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</si>
  <si>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</si>
  <si>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</si>
  <si>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</si>
  <si>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</si>
  <si>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</si>
  <si>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</si>
  <si>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</si>
  <si>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</si>
  <si>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</si>
  <si>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</si>
  <si>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</si>
  <si>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</si>
  <si>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</si>
  <si>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</si>
  <si>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</si>
  <si>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</si>
  <si>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</si>
  <si>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</si>
  <si>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</si>
  <si>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</si>
  <si>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</si>
  <si>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</si>
  <si>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</si>
  <si>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</si>
  <si>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</si>
  <si>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</si>
  <si>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</si>
  <si>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</si>
  <si>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</si>
  <si>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</si>
  <si>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</si>
  <si>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</si>
  <si>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</si>
  <si>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</si>
  <si>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</si>
  <si>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</si>
  <si>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</si>
  <si>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</si>
  <si>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</si>
  <si>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</si>
  <si>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</si>
  <si>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</si>
  <si>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</si>
  <si>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</si>
  <si>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</si>
  <si>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</si>
  <si>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</si>
  <si>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</si>
  <si>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</si>
  <si>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</si>
  <si>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</si>
  <si>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</si>
  <si>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</si>
  <si>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</si>
  <si>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</si>
  <si>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</si>
  <si>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</si>
  <si>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</si>
  <si>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</si>
  <si>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</si>
  <si>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</si>
  <si>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</si>
  <si>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</si>
  <si>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</si>
  <si>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</si>
  <si>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</si>
  <si>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</si>
  <si>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</si>
  <si>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</si>
  <si>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</si>
  <si>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</si>
  <si>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</si>
  <si>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</si>
  <si>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</si>
  <si>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</si>
  <si>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</si>
  <si>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</si>
  <si>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</si>
  <si>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</si>
  <si>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</si>
  <si>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</si>
  <si>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</si>
  <si>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</si>
  <si>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</si>
  <si>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</si>
  <si>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</si>
  <si>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</si>
  <si>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</si>
  <si>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</si>
  <si>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</si>
  <si>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</si>
  <si>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</si>
  <si>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</si>
  <si>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</si>
  <si>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</si>
  <si>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</si>
  <si>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</si>
  <si>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20230710 09:33:15</t>
  </si>
  <si>
    <t>09:33:15</t>
  </si>
  <si>
    <t>none</t>
  </si>
  <si>
    <t>aci</t>
  </si>
  <si>
    <t>1</t>
  </si>
  <si>
    <t>wt</t>
  </si>
  <si>
    <t>RECT-21899-20230524-15_39_00</t>
  </si>
  <si>
    <t>MPF-22467-20230710-09_29_54</t>
  </si>
  <si>
    <t>DARK-22468-20230710-09_30_01</t>
  </si>
  <si>
    <t>0: Broadleaf</t>
  </si>
  <si>
    <t>09:32:40</t>
  </si>
  <si>
    <t>2/2</t>
  </si>
  <si>
    <t>00000000</t>
  </si>
  <si>
    <t>iiiiiiii</t>
  </si>
  <si>
    <t>off</t>
  </si>
  <si>
    <t>20230710 09:35:12</t>
  </si>
  <si>
    <t>09:35:12</t>
  </si>
  <si>
    <t>MPF-22469-20230710-09_31_51</t>
  </si>
  <si>
    <t>DARK-22470-20230710-09_31_58</t>
  </si>
  <si>
    <t>09:34:43</t>
  </si>
  <si>
    <t>20230710 09:36:58</t>
  </si>
  <si>
    <t>09:36:58</t>
  </si>
  <si>
    <t>MPF-22471-20230710-09_33_38</t>
  </si>
  <si>
    <t>DARK-22472-20230710-09_33_45</t>
  </si>
  <si>
    <t>09:36:26</t>
  </si>
  <si>
    <t>20230710 09:38:49</t>
  </si>
  <si>
    <t>09:38:49</t>
  </si>
  <si>
    <t>MPF-22473-20230710-09_35_29</t>
  </si>
  <si>
    <t>DARK-22474-20230710-09_35_36</t>
  </si>
  <si>
    <t>09:38:19</t>
  </si>
  <si>
    <t>20230710 09:40:33</t>
  </si>
  <si>
    <t>09:40:33</t>
  </si>
  <si>
    <t>MPF-22475-20230710-09_37_12</t>
  </si>
  <si>
    <t>DARK-22476-20230710-09_37_19</t>
  </si>
  <si>
    <t>09:40:02</t>
  </si>
  <si>
    <t>20230710 09:42:56</t>
  </si>
  <si>
    <t>09:42:56</t>
  </si>
  <si>
    <t>MPF-22477-20230710-09_39_35</t>
  </si>
  <si>
    <t>DARK-22478-20230710-09_39_42</t>
  </si>
  <si>
    <t>09:42:26</t>
  </si>
  <si>
    <t>20230710 09:44:36</t>
  </si>
  <si>
    <t>09:44:36</t>
  </si>
  <si>
    <t>MPF-22479-20230710-09_41_15</t>
  </si>
  <si>
    <t>DARK-22480-20230710-09_41_22</t>
  </si>
  <si>
    <t>09:44:06</t>
  </si>
  <si>
    <t>20230710 09:47:46</t>
  </si>
  <si>
    <t>09:47:46</t>
  </si>
  <si>
    <t>MPF-22481-20230710-09_44_25</t>
  </si>
  <si>
    <t>DARK-22482-20230710-09_44_32</t>
  </si>
  <si>
    <t>09:45:56</t>
  </si>
  <si>
    <t>1/2</t>
  </si>
  <si>
    <t>20230710 09:49:55</t>
  </si>
  <si>
    <t>09:49:55</t>
  </si>
  <si>
    <t>MPF-22483-20230710-09_46_35</t>
  </si>
  <si>
    <t>DARK-22484-20230710-09_46_42</t>
  </si>
  <si>
    <t>09:49:26</t>
  </si>
  <si>
    <t>20230710 09:51:37</t>
  </si>
  <si>
    <t>09:51:37</t>
  </si>
  <si>
    <t>MPF-22485-20230710-09_48_17</t>
  </si>
  <si>
    <t>DARK-22486-20230710-09_48_24</t>
  </si>
  <si>
    <t>09:51:06</t>
  </si>
  <si>
    <t>20230710 09:53:45</t>
  </si>
  <si>
    <t>09:53:45</t>
  </si>
  <si>
    <t>MPF-22487-20230710-09_50_24</t>
  </si>
  <si>
    <t>DARK-22488-20230710-09_50_31</t>
  </si>
  <si>
    <t>09:53:13</t>
  </si>
  <si>
    <t>20230710 09:56:06</t>
  </si>
  <si>
    <t>09:56:06</t>
  </si>
  <si>
    <t>MPF-22489-20230710-09_52_45</t>
  </si>
  <si>
    <t>DARK-22490-20230710-09_52_52</t>
  </si>
  <si>
    <t>09:55:33</t>
  </si>
  <si>
    <t>20230710 09:57:47</t>
  </si>
  <si>
    <t>09:57:47</t>
  </si>
  <si>
    <t>MPF-22491-20230710-09_54_27</t>
  </si>
  <si>
    <t>DARK-22492-20230710-09_54_34</t>
  </si>
  <si>
    <t>09:57:17</t>
  </si>
  <si>
    <t>20230710 09:59:40</t>
  </si>
  <si>
    <t>09:59:40</t>
  </si>
  <si>
    <t>MPF-22493-20230710-09_56_20</t>
  </si>
  <si>
    <t>DARK-22494-20230710-09_56_27</t>
  </si>
  <si>
    <t>09:59:10</t>
  </si>
  <si>
    <t>20230710 10:01:44</t>
  </si>
  <si>
    <t>10:01:44</t>
  </si>
  <si>
    <t>MPF-22495-20230710-09_58_23</t>
  </si>
  <si>
    <t>DARK-22496-20230710-09_58_30</t>
  </si>
  <si>
    <t>10:00:52</t>
  </si>
  <si>
    <t>20230710 10:15:12</t>
  </si>
  <si>
    <t>10:15:12</t>
  </si>
  <si>
    <t>2</t>
  </si>
  <si>
    <t>zg5b</t>
  </si>
  <si>
    <t>MPF-22497-20230710-10_11_52</t>
  </si>
  <si>
    <t>DARK-22498-20230710-10_11_59</t>
  </si>
  <si>
    <t>10:14:43</t>
  </si>
  <si>
    <t>20230710 10:18:15</t>
  </si>
  <si>
    <t>10:18:15</t>
  </si>
  <si>
    <t>MPF-22499-20230710-10_14_55</t>
  </si>
  <si>
    <t>DARK-22500-20230710-10_15_02</t>
  </si>
  <si>
    <t>10:16:39</t>
  </si>
  <si>
    <t>20230710 10:21:00</t>
  </si>
  <si>
    <t>10:21:00</t>
  </si>
  <si>
    <t>MPF-22501-20230710-10_17_40</t>
  </si>
  <si>
    <t>DARK-22502-20230710-10_17_47</t>
  </si>
  <si>
    <t>10:19:38</t>
  </si>
  <si>
    <t>20230710 10:23:30</t>
  </si>
  <si>
    <t>10:23:30</t>
  </si>
  <si>
    <t>MPF-22503-20230710-10_20_10</t>
  </si>
  <si>
    <t>DARK-22504-20230710-10_20_17</t>
  </si>
  <si>
    <t>10:22:52</t>
  </si>
  <si>
    <t>20230710 10:25:50</t>
  </si>
  <si>
    <t>10:25:50</t>
  </si>
  <si>
    <t>MPF-22505-20230710-10_22_30</t>
  </si>
  <si>
    <t>DARK-22506-20230710-10_22_37</t>
  </si>
  <si>
    <t>10:25:09</t>
  </si>
  <si>
    <t>20230710 10:27:47</t>
  </si>
  <si>
    <t>10:27:47</t>
  </si>
  <si>
    <t>MPF-22507-20230710-10_24_27</t>
  </si>
  <si>
    <t>DARK-22508-20230710-10_24_34</t>
  </si>
  <si>
    <t>10:27:08</t>
  </si>
  <si>
    <t>20230710 10:30:22</t>
  </si>
  <si>
    <t>10:30:22</t>
  </si>
  <si>
    <t>MPF-22509-20230710-10_27_01</t>
  </si>
  <si>
    <t>DARK-22510-20230710-10_27_08</t>
  </si>
  <si>
    <t>10:29:47</t>
  </si>
  <si>
    <t>20230710 10:33:31</t>
  </si>
  <si>
    <t>10:33:31</t>
  </si>
  <si>
    <t>MPF-22511-20230710-10_30_11</t>
  </si>
  <si>
    <t>DARK-22512-20230710-10_30_18</t>
  </si>
  <si>
    <t>10:31:38</t>
  </si>
  <si>
    <t>20230710 10:35:54</t>
  </si>
  <si>
    <t>10:35:54</t>
  </si>
  <si>
    <t>MPF-22513-20230710-10_32_34</t>
  </si>
  <si>
    <t>DARK-22514-20230710-10_32_41</t>
  </si>
  <si>
    <t>10:35:24</t>
  </si>
  <si>
    <t>20230710 10:38:12</t>
  </si>
  <si>
    <t>10:38:12</t>
  </si>
  <si>
    <t>MPF-22515-20230710-10_34_52</t>
  </si>
  <si>
    <t>DARK-22516-20230710-10_34_59</t>
  </si>
  <si>
    <t>10:37:14</t>
  </si>
  <si>
    <t>20230710 10:40:05</t>
  </si>
  <si>
    <t>10:40:05</t>
  </si>
  <si>
    <t>MPF-22517-20230710-10_36_45</t>
  </si>
  <si>
    <t>DARK-22518-20230710-10_36_52</t>
  </si>
  <si>
    <t>10:39:33</t>
  </si>
  <si>
    <t>20230710 10:42:38</t>
  </si>
  <si>
    <t>10:42:38</t>
  </si>
  <si>
    <t>MPF-22519-20230710-10_39_18</t>
  </si>
  <si>
    <t>DARK-22520-20230710-10_39_25</t>
  </si>
  <si>
    <t>10:42:04</t>
  </si>
  <si>
    <t>20230710 10:44:37</t>
  </si>
  <si>
    <t>10:44:37</t>
  </si>
  <si>
    <t>MPF-22521-20230710-10_41_16</t>
  </si>
  <si>
    <t>DARK-22522-20230710-10_41_24</t>
  </si>
  <si>
    <t>10:44:04</t>
  </si>
  <si>
    <t>20230710 10:47:08</t>
  </si>
  <si>
    <t>10:47:08</t>
  </si>
  <si>
    <t>MPF-22523-20230710-10_43_48</t>
  </si>
  <si>
    <t>DARK-22524-20230710-10_43_55</t>
  </si>
  <si>
    <t>10:46:11</t>
  </si>
  <si>
    <t>20230710 10:49:45</t>
  </si>
  <si>
    <t>10:49:45</t>
  </si>
  <si>
    <t>MPF-22525-20230710-10_46_25</t>
  </si>
  <si>
    <t>DARK-22526-20230710-10_46_32</t>
  </si>
  <si>
    <t>10:48:55</t>
  </si>
  <si>
    <t>20230710 11:03:08</t>
  </si>
  <si>
    <t>11:03:08</t>
  </si>
  <si>
    <t>3</t>
  </si>
  <si>
    <t>hn1a</t>
  </si>
  <si>
    <t>MPF-22527-20230710-10_59_48</t>
  </si>
  <si>
    <t>DARK-22528-20230710-10_59_55</t>
  </si>
  <si>
    <t>11:02:39</t>
  </si>
  <si>
    <t>20230710 11:05:01</t>
  </si>
  <si>
    <t>11:05:01</t>
  </si>
  <si>
    <t>MPF-22529-20230710-11_01_40</t>
  </si>
  <si>
    <t>DARK-22530-20230710-11_01_48</t>
  </si>
  <si>
    <t>11:04:28</t>
  </si>
  <si>
    <t>20230710 11:06:47</t>
  </si>
  <si>
    <t>11:06:47</t>
  </si>
  <si>
    <t>MPF-22531-20230710-11_03_26</t>
  </si>
  <si>
    <t>DARK-22532-20230710-11_03_34</t>
  </si>
  <si>
    <t>11:06:16</t>
  </si>
  <si>
    <t>20230710 11:08:36</t>
  </si>
  <si>
    <t>11:08:36</t>
  </si>
  <si>
    <t>MPF-22533-20230710-11_05_16</t>
  </si>
  <si>
    <t>DARK-22534-20230710-11_05_23</t>
  </si>
  <si>
    <t>11:08:07</t>
  </si>
  <si>
    <t>20230710 11:10:23</t>
  </si>
  <si>
    <t>11:10:23</t>
  </si>
  <si>
    <t>MPF-22535-20230710-11_07_03</t>
  </si>
  <si>
    <t>DARK-22536-20230710-11_07_10</t>
  </si>
  <si>
    <t>11:09:54</t>
  </si>
  <si>
    <t>20230710 11:12:12</t>
  </si>
  <si>
    <t>11:12:12</t>
  </si>
  <si>
    <t>MPF-22537-20230710-11_08_51</t>
  </si>
  <si>
    <t>DARK-22538-20230710-11_08_59</t>
  </si>
  <si>
    <t>11:11:42</t>
  </si>
  <si>
    <t>20230710 11:14:12</t>
  </si>
  <si>
    <t>11:14:12</t>
  </si>
  <si>
    <t>MPF-22539-20230710-11_10_52</t>
  </si>
  <si>
    <t>DARK-22540-20230710-11_10_59</t>
  </si>
  <si>
    <t>11:13:41</t>
  </si>
  <si>
    <t>20230710 11:17:22</t>
  </si>
  <si>
    <t>11:17:22</t>
  </si>
  <si>
    <t>MPF-22541-20230710-11_14_01</t>
  </si>
  <si>
    <t>DARK-22542-20230710-11_14_09</t>
  </si>
  <si>
    <t>11:15:30</t>
  </si>
  <si>
    <t>0/2</t>
  </si>
  <si>
    <t>20230710 11:19:03</t>
  </si>
  <si>
    <t>11:19:03</t>
  </si>
  <si>
    <t>MPF-22543-20230710-11_15_43</t>
  </si>
  <si>
    <t>DARK-22544-20230710-11_15_50</t>
  </si>
  <si>
    <t>11:18:35</t>
  </si>
  <si>
    <t>20230710 11:20:52</t>
  </si>
  <si>
    <t>11:20:52</t>
  </si>
  <si>
    <t>MPF-22545-20230710-11_17_31</t>
  </si>
  <si>
    <t>DARK-22546-20230710-11_17_39</t>
  </si>
  <si>
    <t>11:20:19</t>
  </si>
  <si>
    <t>20230710 11:22:48</t>
  </si>
  <si>
    <t>11:22:48</t>
  </si>
  <si>
    <t>MPF-22547-20230710-11_19_28</t>
  </si>
  <si>
    <t>DARK-22548-20230710-11_19_35</t>
  </si>
  <si>
    <t>11:22:15</t>
  </si>
  <si>
    <t>20230710 11:24:59</t>
  </si>
  <si>
    <t>11:24:59</t>
  </si>
  <si>
    <t>MPF-22549-20230710-11_21_39</t>
  </si>
  <si>
    <t>DARK-22550-20230710-11_21_46</t>
  </si>
  <si>
    <t>11:24:28</t>
  </si>
  <si>
    <t>20230710 11:27:00</t>
  </si>
  <si>
    <t>11:27:00</t>
  </si>
  <si>
    <t>MPF-22551-20230710-11_23_40</t>
  </si>
  <si>
    <t>DARK-22552-20230710-11_23_47</t>
  </si>
  <si>
    <t>11:26:17</t>
  </si>
  <si>
    <t>20230710 11:29:43</t>
  </si>
  <si>
    <t>11:29:43</t>
  </si>
  <si>
    <t>MPF-22553-20230710-11_26_23</t>
  </si>
  <si>
    <t>DARK-22554-20230710-11_26_30</t>
  </si>
  <si>
    <t>11:28:16</t>
  </si>
  <si>
    <t>20230710 11:31:34</t>
  </si>
  <si>
    <t>11:31:34</t>
  </si>
  <si>
    <t>MPF-22555-20230710-11_28_13</t>
  </si>
  <si>
    <t>DARK-22556-20230710-11_28_21</t>
  </si>
  <si>
    <t>11:31:00</t>
  </si>
  <si>
    <t>20230710 11:48:33</t>
  </si>
  <si>
    <t>11:48:33</t>
  </si>
  <si>
    <t>6</t>
  </si>
  <si>
    <t>zg12a</t>
  </si>
  <si>
    <t>MPF-22557-20230710-11_45_12</t>
  </si>
  <si>
    <t>DARK-22558-20230710-11_45_20</t>
  </si>
  <si>
    <t>11:48:01</t>
  </si>
  <si>
    <t>20230710 11:50:57</t>
  </si>
  <si>
    <t>11:50:57</t>
  </si>
  <si>
    <t>MPF-22559-20230710-11_47_36</t>
  </si>
  <si>
    <t>DARK-22560-20230710-11_47_44</t>
  </si>
  <si>
    <t>11:49:54</t>
  </si>
  <si>
    <t>20230710 11:53:06</t>
  </si>
  <si>
    <t>11:53:06</t>
  </si>
  <si>
    <t>MPF-22561-20230710-11_49_45</t>
  </si>
  <si>
    <t>DARK-22562-20230710-11_49_53</t>
  </si>
  <si>
    <t>11:52:36</t>
  </si>
  <si>
    <t>20230710 11:55:01</t>
  </si>
  <si>
    <t>11:55:01</t>
  </si>
  <si>
    <t>MPF-22563-20230710-11_51_41</t>
  </si>
  <si>
    <t>DARK-22564-20230710-11_51_48</t>
  </si>
  <si>
    <t>11:54:29</t>
  </si>
  <si>
    <t>20230710 11:56:58</t>
  </si>
  <si>
    <t>11:56:58</t>
  </si>
  <si>
    <t>MPF-22565-20230710-11_53_37</t>
  </si>
  <si>
    <t>DARK-22566-20230710-11_53_45</t>
  </si>
  <si>
    <t>11:56:25</t>
  </si>
  <si>
    <t>20230710 11:58:51</t>
  </si>
  <si>
    <t>11:58:51</t>
  </si>
  <si>
    <t>MPF-22567-20230710-11_55_30</t>
  </si>
  <si>
    <t>DARK-22568-20230710-11_55_38</t>
  </si>
  <si>
    <t>11:58:19</t>
  </si>
  <si>
    <t>20230710 12:00:49</t>
  </si>
  <si>
    <t>12:00:49</t>
  </si>
  <si>
    <t>MPF-22569-20230710-11_57_29</t>
  </si>
  <si>
    <t>DARK-22570-20230710-11_57_36</t>
  </si>
  <si>
    <t>12:00:18</t>
  </si>
  <si>
    <t>20230710 12:03:59</t>
  </si>
  <si>
    <t>12:03:59</t>
  </si>
  <si>
    <t>MPF-22571-20230710-12_00_38</t>
  </si>
  <si>
    <t>DARK-22572-20230710-12_00_46</t>
  </si>
  <si>
    <t>12:02:45</t>
  </si>
  <si>
    <t>20230710 12:05:47</t>
  </si>
  <si>
    <t>12:05:47</t>
  </si>
  <si>
    <t>MPF-22573-20230710-12_02_26</t>
  </si>
  <si>
    <t>DARK-22574-20230710-12_02_34</t>
  </si>
  <si>
    <t>12:05:15</t>
  </si>
  <si>
    <t>20230710 12:07:44</t>
  </si>
  <si>
    <t>12:07:44</t>
  </si>
  <si>
    <t>MPF-22575-20230710-12_04_24</t>
  </si>
  <si>
    <t>DARK-22576-20230710-12_04_31</t>
  </si>
  <si>
    <t>12:07:03</t>
  </si>
  <si>
    <t>20230710 12:09:48</t>
  </si>
  <si>
    <t>12:09:48</t>
  </si>
  <si>
    <t>MPF-22577-20230710-12_06_27</t>
  </si>
  <si>
    <t>DARK-22578-20230710-12_06_35</t>
  </si>
  <si>
    <t>12:09:11</t>
  </si>
  <si>
    <t>20230710 12:12:03</t>
  </si>
  <si>
    <t>12:12:03</t>
  </si>
  <si>
    <t>MPF-22579-20230710-12_08_43</t>
  </si>
  <si>
    <t>DARK-22580-20230710-12_08_50</t>
  </si>
  <si>
    <t>12:11:31</t>
  </si>
  <si>
    <t>20230710 12:14:11</t>
  </si>
  <si>
    <t>12:14:11</t>
  </si>
  <si>
    <t>MPF-22581-20230710-12_10_51</t>
  </si>
  <si>
    <t>DARK-22582-20230710-12_10_58</t>
  </si>
  <si>
    <t>12:13:32</t>
  </si>
  <si>
    <t>20230710 12:15:58</t>
  </si>
  <si>
    <t>12:15:58</t>
  </si>
  <si>
    <t>MPF-22583-20230710-12_12_38</t>
  </si>
  <si>
    <t>DARK-22584-20230710-12_12_45</t>
  </si>
  <si>
    <t>12:15:27</t>
  </si>
  <si>
    <t>20230710 12:18:07</t>
  </si>
  <si>
    <t>12:18:07</t>
  </si>
  <si>
    <t>MPF-22585-20230710-12_14_47</t>
  </si>
  <si>
    <t>DARK-22586-20230710-12_14_54</t>
  </si>
  <si>
    <t>12:17:36</t>
  </si>
  <si>
    <t>20230710 12:42:24</t>
  </si>
  <si>
    <t>12:42:24</t>
  </si>
  <si>
    <t>5</t>
  </si>
  <si>
    <t>MPF-22587-20230710-12_39_03</t>
  </si>
  <si>
    <t>DARK-22588-20230710-12_39_11</t>
  </si>
  <si>
    <t>12:41:53</t>
  </si>
  <si>
    <t>20230710 12:44:04</t>
  </si>
  <si>
    <t>12:44:04</t>
  </si>
  <si>
    <t>MPF-22589-20230710-12_40_44</t>
  </si>
  <si>
    <t>DARK-22590-20230710-12_40_51</t>
  </si>
  <si>
    <t>12:43:35</t>
  </si>
  <si>
    <t>20230710 12:45:48</t>
  </si>
  <si>
    <t>12:45:48</t>
  </si>
  <si>
    <t>MPF-22591-20230710-12_42_27</t>
  </si>
  <si>
    <t>DARK-22592-20230710-12_42_35</t>
  </si>
  <si>
    <t>12:45:20</t>
  </si>
  <si>
    <t>20230710 12:47:52</t>
  </si>
  <si>
    <t>12:47:52</t>
  </si>
  <si>
    <t>MPF-22593-20230710-12_44_32</t>
  </si>
  <si>
    <t>DARK-22594-20230710-12_44_39</t>
  </si>
  <si>
    <t>12:47:21</t>
  </si>
  <si>
    <t>20230710 12:49:52</t>
  </si>
  <si>
    <t>12:49:52</t>
  </si>
  <si>
    <t>MPF-22595-20230710-12_46_31</t>
  </si>
  <si>
    <t>DARK-22596-20230710-12_46_39</t>
  </si>
  <si>
    <t>12:49:23</t>
  </si>
  <si>
    <t>20230710 12:52:13</t>
  </si>
  <si>
    <t>12:52:13</t>
  </si>
  <si>
    <t>MPF-22597-20230710-12_48_52</t>
  </si>
  <si>
    <t>DARK-22598-20230710-12_49_00</t>
  </si>
  <si>
    <t>12:51:43</t>
  </si>
  <si>
    <t>20230710 12:54:10</t>
  </si>
  <si>
    <t>12:54:10</t>
  </si>
  <si>
    <t>MPF-22599-20230710-12_50_50</t>
  </si>
  <si>
    <t>DARK-22600-20230710-12_50_57</t>
  </si>
  <si>
    <t>12:53:38</t>
  </si>
  <si>
    <t>20230710 12:57:20</t>
  </si>
  <si>
    <t>12:57:20</t>
  </si>
  <si>
    <t>MPF-22601-20230710-12_53_59</t>
  </si>
  <si>
    <t>DARK-22602-20230710-12_54_07</t>
  </si>
  <si>
    <t>12:55:45</t>
  </si>
  <si>
    <t>20230710 12:59:26</t>
  </si>
  <si>
    <t>12:59:26</t>
  </si>
  <si>
    <t>MPF-22603-20230710-12_56_06</t>
  </si>
  <si>
    <t>DARK-22604-20230710-12_56_13</t>
  </si>
  <si>
    <t>12:58:53</t>
  </si>
  <si>
    <t>20230710 13:01:11</t>
  </si>
  <si>
    <t>13:01:11</t>
  </si>
  <si>
    <t>MPF-22605-20230710-12_57_50</t>
  </si>
  <si>
    <t>DARK-22606-20230710-12_57_58</t>
  </si>
  <si>
    <t>13:00:28</t>
  </si>
  <si>
    <t>20230710 13:03:14</t>
  </si>
  <si>
    <t>13:03:14</t>
  </si>
  <si>
    <t>MPF-22607-20230710-12_59_54</t>
  </si>
  <si>
    <t>DARK-22608-20230710-13_00_01</t>
  </si>
  <si>
    <t>13:02:38</t>
  </si>
  <si>
    <t>20230710 13:05:21</t>
  </si>
  <si>
    <t>13:05:21</t>
  </si>
  <si>
    <t>MPF-22609-20230710-13_02_01</t>
  </si>
  <si>
    <t>DARK-22610-20230710-13_02_08</t>
  </si>
  <si>
    <t>13:04:41</t>
  </si>
  <si>
    <t>20230710 13:07:21</t>
  </si>
  <si>
    <t>13:07:21</t>
  </si>
  <si>
    <t>MPF-22611-20230710-13_04_01</t>
  </si>
  <si>
    <t>DARK-22612-20230710-13_04_08</t>
  </si>
  <si>
    <t>13:06:37</t>
  </si>
  <si>
    <t>20230710 13:09:48</t>
  </si>
  <si>
    <t>13:09:48</t>
  </si>
  <si>
    <t>MPF-22613-20230710-13_06_28</t>
  </si>
  <si>
    <t>DARK-22614-20230710-13_06_35</t>
  </si>
  <si>
    <t>13:09:02</t>
  </si>
  <si>
    <t>20230710 13:12:16</t>
  </si>
  <si>
    <t>13:12:16</t>
  </si>
  <si>
    <t>MPF-22615-20230710-13_08_56</t>
  </si>
  <si>
    <t>DARK-22616-20230710-13_09_03</t>
  </si>
  <si>
    <t>13:11:43</t>
  </si>
  <si>
    <t>20230710 13:41:38</t>
  </si>
  <si>
    <t>13:41:38</t>
  </si>
  <si>
    <t>MPF-22617-20230710-13_38_18</t>
  </si>
  <si>
    <t>DARK-22618-20230710-13_38_25</t>
  </si>
  <si>
    <t>13:41:04</t>
  </si>
  <si>
    <t>20230710 13:43:44</t>
  </si>
  <si>
    <t>13:43:44</t>
  </si>
  <si>
    <t>MPF-22619-20230710-13_40_24</t>
  </si>
  <si>
    <t>DARK-22620-20230710-13_40_31</t>
  </si>
  <si>
    <t>13:42:55</t>
  </si>
  <si>
    <t>20230710 13:46:08</t>
  </si>
  <si>
    <t>13:46:08</t>
  </si>
  <si>
    <t>MPF-22621-20230710-13_42_48</t>
  </si>
  <si>
    <t>DARK-22622-20230710-13_42_55</t>
  </si>
  <si>
    <t>13:45:20</t>
  </si>
  <si>
    <t>20230710 13:48:04</t>
  </si>
  <si>
    <t>13:48:04</t>
  </si>
  <si>
    <t>MPF-22623-20230710-13_44_44</t>
  </si>
  <si>
    <t>DARK-22624-20230710-13_44_51</t>
  </si>
  <si>
    <t>13:47:32</t>
  </si>
  <si>
    <t>20230710 13:50:29</t>
  </si>
  <si>
    <t>13:50:29</t>
  </si>
  <si>
    <t>MPF-22625-20230710-13_47_09</t>
  </si>
  <si>
    <t>DARK-22626-20230710-13_47_16</t>
  </si>
  <si>
    <t>13:49:55</t>
  </si>
  <si>
    <t>20230710 13:52:45</t>
  </si>
  <si>
    <t>13:52:45</t>
  </si>
  <si>
    <t>MPF-22627-20230710-13_49_25</t>
  </si>
  <si>
    <t>DARK-22628-20230710-13_49_32</t>
  </si>
  <si>
    <t>13:51:59</t>
  </si>
  <si>
    <t>20230710 13:54:52</t>
  </si>
  <si>
    <t>13:54:52</t>
  </si>
  <si>
    <t>MPF-22629-20230710-13_51_32</t>
  </si>
  <si>
    <t>DARK-22630-20230710-13_51_39</t>
  </si>
  <si>
    <t>13:54:08</t>
  </si>
  <si>
    <t>20230710 13:58:01</t>
  </si>
  <si>
    <t>13:58:01</t>
  </si>
  <si>
    <t>MPF-22631-20230710-13_54_41</t>
  </si>
  <si>
    <t>DARK-22632-20230710-13_54_48</t>
  </si>
  <si>
    <t>13:56:46</t>
  </si>
  <si>
    <t>20230710 14:00:10</t>
  </si>
  <si>
    <t>14:00:10</t>
  </si>
  <si>
    <t>MPF-22633-20230710-13_56_50</t>
  </si>
  <si>
    <t>DARK-22634-20230710-13_56_57</t>
  </si>
  <si>
    <t>13:59:09</t>
  </si>
  <si>
    <t>20230710 14:01:52</t>
  </si>
  <si>
    <t>14:01:52</t>
  </si>
  <si>
    <t>MPF-22635-20230710-13_58_32</t>
  </si>
  <si>
    <t>DARK-22636-20230710-13_58_39</t>
  </si>
  <si>
    <t>14:01:19</t>
  </si>
  <si>
    <t>20230710 14:04:27</t>
  </si>
  <si>
    <t>14:04:27</t>
  </si>
  <si>
    <t>MPF-22637-20230710-14_01_07</t>
  </si>
  <si>
    <t>DARK-22638-20230710-14_01_14</t>
  </si>
  <si>
    <t>14:03:12</t>
  </si>
  <si>
    <t>20230710 14:06:43</t>
  </si>
  <si>
    <t>14:06:43</t>
  </si>
  <si>
    <t>MPF-22639-20230710-14_03_23</t>
  </si>
  <si>
    <t>DARK-22640-20230710-14_03_30</t>
  </si>
  <si>
    <t>14:05:58</t>
  </si>
  <si>
    <t>20230710 14:09:27</t>
  </si>
  <si>
    <t>14:09:27</t>
  </si>
  <si>
    <t>MPF-22641-20230710-14_06_07</t>
  </si>
  <si>
    <t>DARK-22642-20230710-14_06_14</t>
  </si>
  <si>
    <t>14:08:05</t>
  </si>
  <si>
    <t>20230710 14:11:07</t>
  </si>
  <si>
    <t>14:11:07</t>
  </si>
  <si>
    <t>MPF-22643-20230710-14_07_47</t>
  </si>
  <si>
    <t>DARK-22644-20230710-14_07_54</t>
  </si>
  <si>
    <t>14:11:44</t>
  </si>
  <si>
    <t>20230710 14:13:50</t>
  </si>
  <si>
    <t>14:13:50</t>
  </si>
  <si>
    <t>MPF-22645-20230710-14_10_30</t>
  </si>
  <si>
    <t>DARK-22646-20230710-14_10_37</t>
  </si>
  <si>
    <t>14:13:19</t>
  </si>
  <si>
    <t>20230710 14:23:54</t>
  </si>
  <si>
    <t>14:23:54</t>
  </si>
  <si>
    <t>MPF-22647-20230710-14_20_34</t>
  </si>
  <si>
    <t>DARK-22648-20230710-14_20_42</t>
  </si>
  <si>
    <t>14:23:22</t>
  </si>
  <si>
    <t>20230710 14:26:13</t>
  </si>
  <si>
    <t>14:26:13</t>
  </si>
  <si>
    <t>MPF-22649-20230710-14_22_53</t>
  </si>
  <si>
    <t>DARK-22650-20230710-14_23_00</t>
  </si>
  <si>
    <t>14:25:44</t>
  </si>
  <si>
    <t>20230710 14:28:03</t>
  </si>
  <si>
    <t>14:28:03</t>
  </si>
  <si>
    <t>MPF-22651-20230710-14_24_43</t>
  </si>
  <si>
    <t>DARK-22652-20230710-14_24_50</t>
  </si>
  <si>
    <t>14:27:34</t>
  </si>
  <si>
    <t>20230710 14:29:59</t>
  </si>
  <si>
    <t>14:29:59</t>
  </si>
  <si>
    <t>MPF-22653-20230710-14_26_39</t>
  </si>
  <si>
    <t>DARK-22654-20230710-14_26_46</t>
  </si>
  <si>
    <t>14:29:28</t>
  </si>
  <si>
    <t>20230710 14:32:12</t>
  </si>
  <si>
    <t>14:32:12</t>
  </si>
  <si>
    <t>MPF-22655-20230710-14_28_52</t>
  </si>
  <si>
    <t>DARK-22656-20230710-14_28_59</t>
  </si>
  <si>
    <t>14:31:40</t>
  </si>
  <si>
    <t>20230710 14:34:19</t>
  </si>
  <si>
    <t>14:34:19</t>
  </si>
  <si>
    <t>MPF-22657-20230710-14_30_59</t>
  </si>
  <si>
    <t>DARK-22658-20230710-14_31_06</t>
  </si>
  <si>
    <t>14:33:45</t>
  </si>
  <si>
    <t>20230710 14:36:24</t>
  </si>
  <si>
    <t>14:36:24</t>
  </si>
  <si>
    <t>MPF-22659-20230710-14_33_04</t>
  </si>
  <si>
    <t>DARK-22660-20230710-14_33_11</t>
  </si>
  <si>
    <t>14:35:45</t>
  </si>
  <si>
    <t>20230710 14:39:33</t>
  </si>
  <si>
    <t>14:39:33</t>
  </si>
  <si>
    <t>MPF-22661-20230710-14_36_13</t>
  </si>
  <si>
    <t>DARK-22662-20230710-14_36_21</t>
  </si>
  <si>
    <t>14:38:07</t>
  </si>
  <si>
    <t>20230710 14:42:15</t>
  </si>
  <si>
    <t>14:42:15</t>
  </si>
  <si>
    <t>MPF-22663-20230710-14_38_55</t>
  </si>
  <si>
    <t>DARK-22664-20230710-14_39_02</t>
  </si>
  <si>
    <t>14:41:05</t>
  </si>
  <si>
    <t>20230710 14:44:25</t>
  </si>
  <si>
    <t>14:44:25</t>
  </si>
  <si>
    <t>MPF-22665-20230710-14_41_05</t>
  </si>
  <si>
    <t>DARK-22666-20230710-14_41_12</t>
  </si>
  <si>
    <t>14:43:30</t>
  </si>
  <si>
    <t>20230710 14:46:44</t>
  </si>
  <si>
    <t>14:46:44</t>
  </si>
  <si>
    <t>MPF-22667-20230710-14_43_24</t>
  </si>
  <si>
    <t>DARK-22668-20230710-14_43_31</t>
  </si>
  <si>
    <t>14:45:51</t>
  </si>
  <si>
    <t>20230710 14:49:13</t>
  </si>
  <si>
    <t>14:49:13</t>
  </si>
  <si>
    <t>MPF-22669-20230710-14_45_53</t>
  </si>
  <si>
    <t>DARK-22670-20230710-14_46_00</t>
  </si>
  <si>
    <t>14:48:22</t>
  </si>
  <si>
    <t>20230710 14:51:39</t>
  </si>
  <si>
    <t>14:51:39</t>
  </si>
  <si>
    <t>MPF-22671-20230710-14_48_19</t>
  </si>
  <si>
    <t>DARK-22672-20230710-14_48_27</t>
  </si>
  <si>
    <t>14:50:50</t>
  </si>
  <si>
    <t>20230710 14:53:26</t>
  </si>
  <si>
    <t>14:53:26</t>
  </si>
  <si>
    <t>MPF-22673-20230710-14_50_06</t>
  </si>
  <si>
    <t>DARK-22674-20230710-14_50_13</t>
  </si>
  <si>
    <t>14:52:55</t>
  </si>
  <si>
    <t>20230710 14:55:05</t>
  </si>
  <si>
    <t>14:55:05</t>
  </si>
  <si>
    <t>MPF-22675-20230710-14_51_45</t>
  </si>
  <si>
    <t>DARK-22676-20230710-14_51_53</t>
  </si>
  <si>
    <t>14:55:40</t>
  </si>
  <si>
    <t>20230710 15:13:44</t>
  </si>
  <si>
    <t>15:13:44</t>
  </si>
  <si>
    <t>MPF-22677-20230710-15_10_24</t>
  </si>
  <si>
    <t>DARK-22678-20230710-15_10_31</t>
  </si>
  <si>
    <t>15:13:12</t>
  </si>
  <si>
    <t>20230710 15:16:53</t>
  </si>
  <si>
    <t>15:16:53</t>
  </si>
  <si>
    <t>MPF-22679-20230710-15_13_33</t>
  </si>
  <si>
    <t>DARK-22680-20230710-15_13_41</t>
  </si>
  <si>
    <t>15:15:18</t>
  </si>
  <si>
    <t>20230710 15:19:46</t>
  </si>
  <si>
    <t>15:19:46</t>
  </si>
  <si>
    <t>MPF-22681-20230710-15_16_26</t>
  </si>
  <si>
    <t>DARK-22682-20230710-15_16_34</t>
  </si>
  <si>
    <t>15:18:59</t>
  </si>
  <si>
    <t>20230710 15:22:08</t>
  </si>
  <si>
    <t>15:22:08</t>
  </si>
  <si>
    <t>MPF-22683-20230710-15_18_48</t>
  </si>
  <si>
    <t>DARK-22684-20230710-15_18_56</t>
  </si>
  <si>
    <t>15:21:16</t>
  </si>
  <si>
    <t>20230710 15:24:06</t>
  </si>
  <si>
    <t>15:24:06</t>
  </si>
  <si>
    <t>MPF-22685-20230710-15_20_46</t>
  </si>
  <si>
    <t>DARK-22686-20230710-15_20_53</t>
  </si>
  <si>
    <t>15:23:35</t>
  </si>
  <si>
    <t>20230710 15:26:52</t>
  </si>
  <si>
    <t>15:26:52</t>
  </si>
  <si>
    <t>MPF-22687-20230710-15_23_32</t>
  </si>
  <si>
    <t>DARK-22688-20230710-15_23_39</t>
  </si>
  <si>
    <t>15:26:00</t>
  </si>
  <si>
    <t>20230710 15:28:36</t>
  </si>
  <si>
    <t>15:28:36</t>
  </si>
  <si>
    <t>MPF-22689-20230710-15_25_16</t>
  </si>
  <si>
    <t>DARK-22690-20230710-15_25_23</t>
  </si>
  <si>
    <t>15:28:03</t>
  </si>
  <si>
    <t>20230710 15:31:45</t>
  </si>
  <si>
    <t>15:31:45</t>
  </si>
  <si>
    <t>MPF-22691-20230710-15_28_25</t>
  </si>
  <si>
    <t>DARK-22692-20230710-15_28_33</t>
  </si>
  <si>
    <t>15:30:23</t>
  </si>
  <si>
    <t>20230710 15:34:12</t>
  </si>
  <si>
    <t>15:34:12</t>
  </si>
  <si>
    <t>MPF-22693-20230710-15_30_52</t>
  </si>
  <si>
    <t>DARK-22694-20230710-15_31_00</t>
  </si>
  <si>
    <t>15:32:59</t>
  </si>
  <si>
    <t>20230710 15:36:29</t>
  </si>
  <si>
    <t>15:36:29</t>
  </si>
  <si>
    <t>MPF-22695-20230710-15_33_09</t>
  </si>
  <si>
    <t>DARK-22696-20230710-15_33_16</t>
  </si>
  <si>
    <t>15:35:52</t>
  </si>
  <si>
    <t>20230710 15:39:00</t>
  </si>
  <si>
    <t>15:39:00</t>
  </si>
  <si>
    <t>MPF-22697-20230710-15_35_40</t>
  </si>
  <si>
    <t>DARK-22698-20230710-15_35_47</t>
  </si>
  <si>
    <t>15:38:13</t>
  </si>
  <si>
    <t>20230710 15:40:45</t>
  </si>
  <si>
    <t>15:40:45</t>
  </si>
  <si>
    <t>MPF-22699-20230710-15_37_25</t>
  </si>
  <si>
    <t>DARK-22700-20230710-15_37_32</t>
  </si>
  <si>
    <t>15:40:15</t>
  </si>
  <si>
    <t>20230710 15:42:34</t>
  </si>
  <si>
    <t>15:42:34</t>
  </si>
  <si>
    <t>MPF-22701-20230710-15_39_14</t>
  </si>
  <si>
    <t>DARK-22702-20230710-15_39_21</t>
  </si>
  <si>
    <t>15:42:03</t>
  </si>
  <si>
    <t>20230710 15:44:42</t>
  </si>
  <si>
    <t>15:44:42</t>
  </si>
  <si>
    <t>MPF-22703-20230710-15_41_22</t>
  </si>
  <si>
    <t>DARK-22704-20230710-15_41_30</t>
  </si>
  <si>
    <t>15:44:09</t>
  </si>
  <si>
    <t>20230710 15:46:52</t>
  </si>
  <si>
    <t>15:46:52</t>
  </si>
  <si>
    <t>MPF-22705-20230710-15_43_32</t>
  </si>
  <si>
    <t>DARK-22706-20230710-15_43_40</t>
  </si>
  <si>
    <t>15:45:58</t>
  </si>
  <si>
    <t>20230710 15:53:10</t>
  </si>
  <si>
    <t>15:53:10</t>
  </si>
  <si>
    <t>MPF-22707-20230710-15_49_50</t>
  </si>
  <si>
    <t>DARK-22708-20230710-15_49_57</t>
  </si>
  <si>
    <t>15:52:40</t>
  </si>
  <si>
    <t>20230710 15:54:53</t>
  </si>
  <si>
    <t>15:54:53</t>
  </si>
  <si>
    <t>MPF-22709-20230710-15_51_33</t>
  </si>
  <si>
    <t>DARK-22710-20230710-15_51_41</t>
  </si>
  <si>
    <t>15:54:31</t>
  </si>
  <si>
    <t>20230710 15:57:54</t>
  </si>
  <si>
    <t>15:57:54</t>
  </si>
  <si>
    <t>MPF-22711-20230710-15_54_34</t>
  </si>
  <si>
    <t>DARK-22712-20230710-15_54_42</t>
  </si>
  <si>
    <t>15:56:25</t>
  </si>
  <si>
    <t>20230710 16:00:44</t>
  </si>
  <si>
    <t>16:00:44</t>
  </si>
  <si>
    <t>MPF-22713-20230710-15_57_24</t>
  </si>
  <si>
    <t>DARK-22714-20230710-15_57_31</t>
  </si>
  <si>
    <t>15:59:18</t>
  </si>
  <si>
    <t>20230710 16:02:56</t>
  </si>
  <si>
    <t>16:02:56</t>
  </si>
  <si>
    <t>MPF-22715-20230710-15_59_36</t>
  </si>
  <si>
    <t>DARK-22716-20230710-15_59_43</t>
  </si>
  <si>
    <t>16:02:03</t>
  </si>
  <si>
    <t>20230710 16:05:00</t>
  </si>
  <si>
    <t>16:05:00</t>
  </si>
  <si>
    <t>MPF-22717-20230710-16_01_40</t>
  </si>
  <si>
    <t>DARK-22718-20230710-16_01_47</t>
  </si>
  <si>
    <t>16:04:06</t>
  </si>
  <si>
    <t>20230710 16:07:46</t>
  </si>
  <si>
    <t>16:07:46</t>
  </si>
  <si>
    <t>MPF-22719-20230710-16_04_26</t>
  </si>
  <si>
    <t>DARK-22720-20230710-16_04_33</t>
  </si>
  <si>
    <t>16:06:29</t>
  </si>
  <si>
    <t>20230710 16:10:55</t>
  </si>
  <si>
    <t>16:10:55</t>
  </si>
  <si>
    <t>MPF-22721-20230710-16_07_35</t>
  </si>
  <si>
    <t>DARK-22722-20230710-16_07_43</t>
  </si>
  <si>
    <t>16:11:21</t>
  </si>
  <si>
    <t>20230710 16:13:54</t>
  </si>
  <si>
    <t>16:13:54</t>
  </si>
  <si>
    <t>MPF-22723-20230710-16_10_34</t>
  </si>
  <si>
    <t>DARK-22724-20230710-16_10_42</t>
  </si>
  <si>
    <t>16:13:00</t>
  </si>
  <si>
    <t>20230710 16:16:21</t>
  </si>
  <si>
    <t>16:16:21</t>
  </si>
  <si>
    <t>MPF-22725-20230710-16_13_01</t>
  </si>
  <si>
    <t>DARK-22726-20230710-16_13_09</t>
  </si>
  <si>
    <t>16:15:03</t>
  </si>
  <si>
    <t>20230710 16:18:01</t>
  </si>
  <si>
    <t>16:18:01</t>
  </si>
  <si>
    <t>MPF-22727-20230710-16_14_41</t>
  </si>
  <si>
    <t>DARK-22728-20230710-16_14_48</t>
  </si>
  <si>
    <t>16:18:31</t>
  </si>
  <si>
    <t>20230710 16:21:25</t>
  </si>
  <si>
    <t>16:21:25</t>
  </si>
  <si>
    <t>MPF-22729-20230710-16_18_05</t>
  </si>
  <si>
    <t>DARK-22730-20230710-16_18_12</t>
  </si>
  <si>
    <t>16:20:08</t>
  </si>
  <si>
    <t>20230710 16:23:58</t>
  </si>
  <si>
    <t>16:23:58</t>
  </si>
  <si>
    <t>MPF-22731-20230710-16_20_38</t>
  </si>
  <si>
    <t>DARK-22732-20230710-16_20_45</t>
  </si>
  <si>
    <t>16:22:34</t>
  </si>
  <si>
    <t>20230710 16:26:42</t>
  </si>
  <si>
    <t>16:26:42</t>
  </si>
  <si>
    <t>MPF-22733-20230710-16_23_22</t>
  </si>
  <si>
    <t>DARK-22734-20230710-16_23_29</t>
  </si>
  <si>
    <t>16:25:08</t>
  </si>
  <si>
    <t>20230710 16:29:51</t>
  </si>
  <si>
    <t>16:29:51</t>
  </si>
  <si>
    <t>MPF-22735-20230710-16_26_31</t>
  </si>
  <si>
    <t>DARK-22736-20230710-16_26_39</t>
  </si>
  <si>
    <t>16:28:04</t>
  </si>
  <si>
    <t>20230710 16:45:57</t>
  </si>
  <si>
    <t>16:45:57</t>
  </si>
  <si>
    <t>MPF-22737-20230710-16_42_37</t>
  </si>
  <si>
    <t>DARK-22738-20230710-16_42_45</t>
  </si>
  <si>
    <t>16:45:23</t>
  </si>
  <si>
    <t>20230710 16:47:57</t>
  </si>
  <si>
    <t>16:47:57</t>
  </si>
  <si>
    <t>MPF-22739-20230710-16_44_37</t>
  </si>
  <si>
    <t>DARK-22740-20230710-16_44_44</t>
  </si>
  <si>
    <t>16:47:27</t>
  </si>
  <si>
    <t>20230710 16:50:24</t>
  </si>
  <si>
    <t>16:50:24</t>
  </si>
  <si>
    <t>MPF-22741-20230710-16_47_04</t>
  </si>
  <si>
    <t>DARK-22742-20230710-16_47_12</t>
  </si>
  <si>
    <t>16:49:21</t>
  </si>
  <si>
    <t>20230710 16:52:26</t>
  </si>
  <si>
    <t>16:52:26</t>
  </si>
  <si>
    <t>MPF-22743-20230710-16_49_06</t>
  </si>
  <si>
    <t>DARK-22744-20230710-16_49_13</t>
  </si>
  <si>
    <t>16:51:57</t>
  </si>
  <si>
    <t>20230710 16:54:24</t>
  </si>
  <si>
    <t>16:54:24</t>
  </si>
  <si>
    <t>MPF-22745-20230710-16_51_04</t>
  </si>
  <si>
    <t>DARK-22746-20230710-16_51_11</t>
  </si>
  <si>
    <t>16:53:54</t>
  </si>
  <si>
    <t>20230710 16:56:20</t>
  </si>
  <si>
    <t>16:56:20</t>
  </si>
  <si>
    <t>MPF-22747-20230710-16_53_01</t>
  </si>
  <si>
    <t>DARK-22748-20230710-16_53_08</t>
  </si>
  <si>
    <t>16:55:51</t>
  </si>
  <si>
    <t>20230710 16:58:36</t>
  </si>
  <si>
    <t>16:58:36</t>
  </si>
  <si>
    <t>MPF-22749-20230710-16_55_16</t>
  </si>
  <si>
    <t>DARK-22750-20230710-16_55_23</t>
  </si>
  <si>
    <t>16:58:08</t>
  </si>
  <si>
    <t>20230710 17:01:45</t>
  </si>
  <si>
    <t>17:01:45</t>
  </si>
  <si>
    <t>MPF-22751-20230710-16_58_26</t>
  </si>
  <si>
    <t>DARK-22752-20230710-16_58_33</t>
  </si>
  <si>
    <t>16:59:52</t>
  </si>
  <si>
    <t>20230710 17:03:31</t>
  </si>
  <si>
    <t>17:03:31</t>
  </si>
  <si>
    <t>MPF-22753-20230710-17_00_12</t>
  </si>
  <si>
    <t>DARK-22754-20230710-17_00_19</t>
  </si>
  <si>
    <t>17:03:02</t>
  </si>
  <si>
    <t>20230710 17:05:30</t>
  </si>
  <si>
    <t>17:05:30</t>
  </si>
  <si>
    <t>MPF-22755-20230710-17_02_11</t>
  </si>
  <si>
    <t>DARK-22756-20230710-17_02_18</t>
  </si>
  <si>
    <t>17:04:58</t>
  </si>
  <si>
    <t>20230710 17:07:36</t>
  </si>
  <si>
    <t>17:07:36</t>
  </si>
  <si>
    <t>MPF-22757-20230710-17_04_17</t>
  </si>
  <si>
    <t>DARK-22758-20230710-17_04_24</t>
  </si>
  <si>
    <t>17:07:04</t>
  </si>
  <si>
    <t>20230710 17:09:36</t>
  </si>
  <si>
    <t>17:09:36</t>
  </si>
  <si>
    <t>MPF-22759-20230710-17_06_16</t>
  </si>
  <si>
    <t>DARK-22760-20230710-17_06_23</t>
  </si>
  <si>
    <t>17:09:02</t>
  </si>
  <si>
    <t>20230710 17:11:26</t>
  </si>
  <si>
    <t>17:11:26</t>
  </si>
  <si>
    <t>MPF-22761-20230710-17_08_07</t>
  </si>
  <si>
    <t>DARK-22762-20230710-17_08_14</t>
  </si>
  <si>
    <t>17:10:50</t>
  </si>
  <si>
    <t>20230710 17:13:58</t>
  </si>
  <si>
    <t>17:13:58</t>
  </si>
  <si>
    <t>MPF-22763-20230710-17_10_39</t>
  </si>
  <si>
    <t>DARK-22764-20230710-17_10_46</t>
  </si>
  <si>
    <t>17:13:25</t>
  </si>
  <si>
    <t>20230710 17:15:45</t>
  </si>
  <si>
    <t>17:15:45</t>
  </si>
  <si>
    <t>MPF-22765-20230710-17_12_25</t>
  </si>
  <si>
    <t>DARK-22766-20230710-17_12_32</t>
  </si>
  <si>
    <t>17:15:11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</si>
</sst>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V166"/>
  <sheetViews>
    <sheetView tabSelected="1" topLeftCell="A129" workbookViewId="0">
      <selection activeCell="M162" sqref="M162"/>
    </sheetView>
  </sheetViews>
  <sheetFormatPr defaultRowHeight="15" x14ac:dyDescent="0.25"/>
  <sheetData>
    <row r="2" spans="1:282" x14ac:dyDescent="0.25">
      <c r="A2" t="s">
        <v>29</v>
      </c>
      <c r="B2" t="s">
        <v>30</v>
      </c>
      <c r="C2" t="s">
        <v>32</v>
      </c>
    </row>
    <row r="3" spans="1:282" x14ac:dyDescent="0.25">
      <c r="B3" t="s">
        <v>31</v>
      </c>
      <c r="C3">
        <v>21</v>
      </c>
    </row>
    <row r="4" spans="1:282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2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2" x14ac:dyDescent="0.25">
      <c r="B7">
        <v>0</v>
      </c>
      <c r="C7">
        <v>1</v>
      </c>
      <c r="D7">
        <v>0</v>
      </c>
      <c r="E7">
        <v>0</v>
      </c>
    </row>
    <row r="8" spans="1:282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2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2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2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90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91</v>
      </c>
      <c r="CX14" t="s">
        <v>92</v>
      </c>
      <c r="CY14" t="s">
        <v>92</v>
      </c>
      <c r="CZ14" t="s">
        <v>92</v>
      </c>
      <c r="DA14" t="s">
        <v>92</v>
      </c>
      <c r="DB14" t="s">
        <v>93</v>
      </c>
      <c r="DC14" t="s">
        <v>93</v>
      </c>
      <c r="DD14" t="s">
        <v>93</v>
      </c>
      <c r="DE14" t="s">
        <v>93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88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192</v>
      </c>
      <c r="CK15" t="s">
        <v>172</v>
      </c>
      <c r="CL15" t="s">
        <v>193</v>
      </c>
      <c r="CM15" t="s">
        <v>194</v>
      </c>
      <c r="CN15" t="s">
        <v>195</v>
      </c>
      <c r="CO15" t="s">
        <v>146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116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107</v>
      </c>
      <c r="FF15" t="s">
        <v>110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25">
      <c r="B16" t="s">
        <v>382</v>
      </c>
      <c r="C16" t="s">
        <v>382</v>
      </c>
      <c r="F16" t="s">
        <v>382</v>
      </c>
      <c r="K16" t="s">
        <v>382</v>
      </c>
      <c r="L16" t="s">
        <v>383</v>
      </c>
      <c r="M16" t="s">
        <v>384</v>
      </c>
      <c r="N16" t="s">
        <v>385</v>
      </c>
      <c r="O16" t="s">
        <v>386</v>
      </c>
      <c r="P16" t="s">
        <v>386</v>
      </c>
      <c r="Q16" t="s">
        <v>219</v>
      </c>
      <c r="R16" t="s">
        <v>219</v>
      </c>
      <c r="S16" t="s">
        <v>383</v>
      </c>
      <c r="T16" t="s">
        <v>383</v>
      </c>
      <c r="U16" t="s">
        <v>383</v>
      </c>
      <c r="V16" t="s">
        <v>383</v>
      </c>
      <c r="W16" t="s">
        <v>387</v>
      </c>
      <c r="X16" t="s">
        <v>388</v>
      </c>
      <c r="Y16" t="s">
        <v>388</v>
      </c>
      <c r="Z16" t="s">
        <v>389</v>
      </c>
      <c r="AA16" t="s">
        <v>390</v>
      </c>
      <c r="AB16" t="s">
        <v>389</v>
      </c>
      <c r="AC16" t="s">
        <v>389</v>
      </c>
      <c r="AD16" t="s">
        <v>389</v>
      </c>
      <c r="AE16" t="s">
        <v>387</v>
      </c>
      <c r="AF16" t="s">
        <v>387</v>
      </c>
      <c r="AG16" t="s">
        <v>387</v>
      </c>
      <c r="AH16" t="s">
        <v>387</v>
      </c>
      <c r="AI16" t="s">
        <v>391</v>
      </c>
      <c r="AJ16" t="s">
        <v>390</v>
      </c>
      <c r="AL16" t="s">
        <v>390</v>
      </c>
      <c r="AM16" t="s">
        <v>391</v>
      </c>
      <c r="AS16" t="s">
        <v>385</v>
      </c>
      <c r="AZ16" t="s">
        <v>385</v>
      </c>
      <c r="BA16" t="s">
        <v>385</v>
      </c>
      <c r="BB16" t="s">
        <v>385</v>
      </c>
      <c r="BC16" t="s">
        <v>392</v>
      </c>
      <c r="BQ16" t="s">
        <v>393</v>
      </c>
      <c r="BS16" t="s">
        <v>393</v>
      </c>
      <c r="BT16" t="s">
        <v>385</v>
      </c>
      <c r="BW16" t="s">
        <v>393</v>
      </c>
      <c r="BX16" t="s">
        <v>390</v>
      </c>
      <c r="CA16" t="s">
        <v>394</v>
      </c>
      <c r="CB16" t="s">
        <v>394</v>
      </c>
      <c r="CD16" t="s">
        <v>395</v>
      </c>
      <c r="CE16" t="s">
        <v>393</v>
      </c>
      <c r="CG16" t="s">
        <v>393</v>
      </c>
      <c r="CH16" t="s">
        <v>385</v>
      </c>
      <c r="CL16" t="s">
        <v>393</v>
      </c>
      <c r="CN16" t="s">
        <v>396</v>
      </c>
      <c r="CQ16" t="s">
        <v>393</v>
      </c>
      <c r="CR16" t="s">
        <v>393</v>
      </c>
      <c r="CT16" t="s">
        <v>393</v>
      </c>
      <c r="CV16" t="s">
        <v>393</v>
      </c>
      <c r="CX16" t="s">
        <v>385</v>
      </c>
      <c r="CY16" t="s">
        <v>385</v>
      </c>
      <c r="DA16" t="s">
        <v>397</v>
      </c>
      <c r="DB16" t="s">
        <v>398</v>
      </c>
      <c r="DE16" t="s">
        <v>383</v>
      </c>
      <c r="DF16" t="s">
        <v>382</v>
      </c>
      <c r="DG16" t="s">
        <v>386</v>
      </c>
      <c r="DH16" t="s">
        <v>386</v>
      </c>
      <c r="DI16" t="s">
        <v>399</v>
      </c>
      <c r="DJ16" t="s">
        <v>399</v>
      </c>
      <c r="DK16" t="s">
        <v>386</v>
      </c>
      <c r="DL16" t="s">
        <v>399</v>
      </c>
      <c r="DM16" t="s">
        <v>391</v>
      </c>
      <c r="DN16" t="s">
        <v>389</v>
      </c>
      <c r="DO16" t="s">
        <v>389</v>
      </c>
      <c r="DP16" t="s">
        <v>388</v>
      </c>
      <c r="DQ16" t="s">
        <v>388</v>
      </c>
      <c r="DR16" t="s">
        <v>388</v>
      </c>
      <c r="DS16" t="s">
        <v>388</v>
      </c>
      <c r="DT16" t="s">
        <v>388</v>
      </c>
      <c r="DU16" t="s">
        <v>400</v>
      </c>
      <c r="DV16" t="s">
        <v>385</v>
      </c>
      <c r="DW16" t="s">
        <v>385</v>
      </c>
      <c r="DX16" t="s">
        <v>386</v>
      </c>
      <c r="DY16" t="s">
        <v>386</v>
      </c>
      <c r="DZ16" t="s">
        <v>386</v>
      </c>
      <c r="EA16" t="s">
        <v>399</v>
      </c>
      <c r="EB16" t="s">
        <v>386</v>
      </c>
      <c r="EC16" t="s">
        <v>399</v>
      </c>
      <c r="ED16" t="s">
        <v>389</v>
      </c>
      <c r="EE16" t="s">
        <v>389</v>
      </c>
      <c r="EF16" t="s">
        <v>388</v>
      </c>
      <c r="EG16" t="s">
        <v>388</v>
      </c>
      <c r="EH16" t="s">
        <v>385</v>
      </c>
      <c r="EM16" t="s">
        <v>385</v>
      </c>
      <c r="EP16" t="s">
        <v>388</v>
      </c>
      <c r="EQ16" t="s">
        <v>388</v>
      </c>
      <c r="ER16" t="s">
        <v>388</v>
      </c>
      <c r="ES16" t="s">
        <v>388</v>
      </c>
      <c r="ET16" t="s">
        <v>388</v>
      </c>
      <c r="EU16" t="s">
        <v>385</v>
      </c>
      <c r="EV16" t="s">
        <v>385</v>
      </c>
      <c r="EW16" t="s">
        <v>385</v>
      </c>
      <c r="EX16" t="s">
        <v>382</v>
      </c>
      <c r="FA16" t="s">
        <v>401</v>
      </c>
      <c r="FB16" t="s">
        <v>401</v>
      </c>
      <c r="FD16" t="s">
        <v>382</v>
      </c>
      <c r="FE16" t="s">
        <v>402</v>
      </c>
      <c r="FG16" t="s">
        <v>382</v>
      </c>
      <c r="FH16" t="s">
        <v>382</v>
      </c>
      <c r="FJ16" t="s">
        <v>403</v>
      </c>
      <c r="FK16" t="s">
        <v>404</v>
      </c>
      <c r="FL16" t="s">
        <v>403</v>
      </c>
      <c r="FM16" t="s">
        <v>404</v>
      </c>
      <c r="FN16" t="s">
        <v>403</v>
      </c>
      <c r="FO16" t="s">
        <v>404</v>
      </c>
      <c r="FP16" t="s">
        <v>390</v>
      </c>
      <c r="FQ16" t="s">
        <v>390</v>
      </c>
      <c r="FR16" t="s">
        <v>385</v>
      </c>
      <c r="FS16" t="s">
        <v>405</v>
      </c>
      <c r="FT16" t="s">
        <v>385</v>
      </c>
      <c r="FV16" t="s">
        <v>383</v>
      </c>
      <c r="FW16" t="s">
        <v>406</v>
      </c>
      <c r="FX16" t="s">
        <v>383</v>
      </c>
      <c r="GC16" t="s">
        <v>407</v>
      </c>
      <c r="GD16" t="s">
        <v>407</v>
      </c>
      <c r="GQ16" t="s">
        <v>407</v>
      </c>
      <c r="GR16" t="s">
        <v>407</v>
      </c>
      <c r="GS16" t="s">
        <v>408</v>
      </c>
      <c r="GT16" t="s">
        <v>408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407</v>
      </c>
      <c r="HD16" t="s">
        <v>407</v>
      </c>
      <c r="HE16" t="s">
        <v>407</v>
      </c>
      <c r="HF16" t="s">
        <v>407</v>
      </c>
      <c r="HG16" t="s">
        <v>407</v>
      </c>
      <c r="HH16" t="s">
        <v>407</v>
      </c>
      <c r="HI16" t="s">
        <v>407</v>
      </c>
      <c r="HJ16" t="s">
        <v>409</v>
      </c>
      <c r="HK16" t="s">
        <v>409</v>
      </c>
      <c r="HL16" t="s">
        <v>409</v>
      </c>
      <c r="HM16" t="s">
        <v>410</v>
      </c>
      <c r="HN16" t="s">
        <v>407</v>
      </c>
      <c r="HO16" t="s">
        <v>407</v>
      </c>
      <c r="HP16" t="s">
        <v>407</v>
      </c>
      <c r="HQ16" t="s">
        <v>407</v>
      </c>
      <c r="HR16" t="s">
        <v>407</v>
      </c>
      <c r="HS16" t="s">
        <v>407</v>
      </c>
      <c r="HT16" t="s">
        <v>407</v>
      </c>
      <c r="HU16" t="s">
        <v>407</v>
      </c>
      <c r="HV16" t="s">
        <v>407</v>
      </c>
      <c r="HW16" t="s">
        <v>407</v>
      </c>
      <c r="HX16" t="s">
        <v>407</v>
      </c>
      <c r="HY16" t="s">
        <v>407</v>
      </c>
      <c r="IF16" t="s">
        <v>407</v>
      </c>
      <c r="IG16" t="s">
        <v>390</v>
      </c>
      <c r="IH16" t="s">
        <v>390</v>
      </c>
      <c r="II16" t="s">
        <v>403</v>
      </c>
      <c r="IJ16" t="s">
        <v>404</v>
      </c>
      <c r="IK16" t="s">
        <v>404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411</v>
      </c>
      <c r="IX16" t="s">
        <v>411</v>
      </c>
      <c r="IY16" t="s">
        <v>407</v>
      </c>
      <c r="IZ16" t="s">
        <v>407</v>
      </c>
      <c r="JA16" t="s">
        <v>407</v>
      </c>
      <c r="JB16" t="s">
        <v>407</v>
      </c>
      <c r="JC16" t="s">
        <v>407</v>
      </c>
      <c r="JD16" t="s">
        <v>407</v>
      </c>
      <c r="JE16" t="s">
        <v>388</v>
      </c>
      <c r="JF16" t="s">
        <v>407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25">
      <c r="A17">
        <v>1</v>
      </c>
      <c r="B17">
        <v>1688999595.0999999</v>
      </c>
      <c r="C17">
        <v>0</v>
      </c>
      <c r="D17" t="s">
        <v>412</v>
      </c>
      <c r="E17" t="s">
        <v>413</v>
      </c>
      <c r="F17" t="s">
        <v>414</v>
      </c>
      <c r="G17" t="s">
        <v>415</v>
      </c>
      <c r="H17" t="s">
        <v>416</v>
      </c>
      <c r="I17" t="s">
        <v>416</v>
      </c>
      <c r="J17" t="s">
        <v>417</v>
      </c>
      <c r="K17">
        <v>1688999595.0999999</v>
      </c>
      <c r="L17">
        <f t="shared" ref="L17:L48" si="0">(M17)/1000</f>
        <v>3.829765657488876E-3</v>
      </c>
      <c r="M17">
        <f t="shared" ref="M17:M48" si="1">1000*DM17*AK17*(DI17-DJ17)/(100*DB17*(1000-AK17*DI17))</f>
        <v>3.8297656574888759</v>
      </c>
      <c r="N17">
        <f t="shared" ref="N17:N48" si="2">DM17*AK17*(DH17-DG17*(1000-AK17*DJ17)/(1000-AK17*DI17))/(100*DB17)</f>
        <v>34.613615646660428</v>
      </c>
      <c r="O17">
        <f t="shared" ref="O17:O48" si="3">DG17 - IF(AK17&gt;1, N17*DB17*100/(AM17*DU17), 0)</f>
        <v>356.88499999999999</v>
      </c>
      <c r="P17">
        <f t="shared" ref="P17:P48" si="4">((V17-L17/2)*O17-N17)/(V17+L17/2)</f>
        <v>135.56898605733195</v>
      </c>
      <c r="Q17">
        <f t="shared" ref="Q17:Q48" si="5">P17*(DN17+DO17)/1000</f>
        <v>13.465276068903167</v>
      </c>
      <c r="R17">
        <f t="shared" ref="R17:R48" si="6">(DG17 - IF(AK17&gt;1, N17*DB17*100/(AM17*DU17), 0))*(DN17+DO17)/1000</f>
        <v>35.447303912255002</v>
      </c>
      <c r="S17">
        <f t="shared" ref="S17:S48" si="7">2/((1/U17-1/T17)+SIGN(U17)*SQRT((1/U17-1/T17)*(1/U17-1/T17) + 4*DC17/((DC17+1)*(DC17+1))*(2*1/U17*1/T17-1/T17*1/T17)))</f>
        <v>0.26826071494109444</v>
      </c>
      <c r="T17">
        <f t="shared" ref="T17:T48" si="8">IF(LEFT(DD17,1)&lt;&gt;"0",IF(LEFT(DD17,1)="1",3,DE17),$D$5+$E$5*(DU17*DN17/($K$5*1000))+$F$5*(DU17*DN17/($K$5*1000))*MAX(MIN(DB17,$J$5),$I$5)*MAX(MIN(DB17,$J$5),$I$5)+$G$5*MAX(MIN(DB17,$J$5),$I$5)*(DU17*DN17/($K$5*1000))+$H$5*(DU17*DN17/($K$5*1000))*(DU17*DN17/($K$5*1000)))</f>
        <v>2.9176589609558845</v>
      </c>
      <c r="U17">
        <f t="shared" ref="U17:U48" si="9">L17*(1000-(1000*0.61365*EXP(17.502*Y17/(240.97+Y17))/(DN17+DO17)+DI17)/2)/(1000*0.61365*EXP(17.502*Y17/(240.97+Y17))/(DN17+DO17)-DI17)</f>
        <v>0.25527260725799072</v>
      </c>
      <c r="V17">
        <f t="shared" ref="V17:V48" si="10">1/((DC17+1)/(S17/1.6)+1/(T17/1.37)) + DC17/((DC17+1)/(S17/1.6) + DC17/(T17/1.37))</f>
        <v>0.16065989394567406</v>
      </c>
      <c r="W17">
        <f t="shared" ref="W17:W48" si="11">(CX17*DA17)</f>
        <v>289.57648357808358</v>
      </c>
      <c r="X17">
        <f t="shared" ref="X17:X48" si="12">(DP17+(W17+2*0.95*0.0000000567*(((DP17+$B$7)+273)^4-(DP17+273)^4)-44100*L17)/(1.84*29.3*T17+8*0.95*0.0000000567*(DP17+273)^3))</f>
        <v>31.003361136587081</v>
      </c>
      <c r="Y17">
        <f t="shared" ref="Y17:Y48" si="13">($C$7*DQ17+$D$7*DR17+$E$7*X17)</f>
        <v>30.002700000000001</v>
      </c>
      <c r="Z17">
        <f t="shared" ref="Z17:Z48" si="14">0.61365*EXP(17.502*Y17/(240.97+Y17))</f>
        <v>4.2611105522817798</v>
      </c>
      <c r="AA17">
        <f t="shared" ref="AA17:AA48" si="15">(AB17/AC17*100)</f>
        <v>65.191111321180117</v>
      </c>
      <c r="AB17">
        <f t="shared" ref="AB17:AB48" si="16">DI17*(DN17+DO17)/1000</f>
        <v>2.8241335886605001</v>
      </c>
      <c r="AC17">
        <f t="shared" ref="AC17:AC48" si="17">0.61365*EXP(17.502*DP17/(240.97+DP17))</f>
        <v>4.3320838246593283</v>
      </c>
      <c r="AD17">
        <f t="shared" ref="AD17:AD48" si="18">(Z17-DI17*(DN17+DO17)/1000)</f>
        <v>1.4369769636212797</v>
      </c>
      <c r="AE17">
        <f t="shared" ref="AE17:AE48" si="19">(-L17*44100)</f>
        <v>-168.89266549525942</v>
      </c>
      <c r="AF17">
        <f t="shared" ref="AF17:AF48" si="20">2*29.3*T17*0.92*(DP17-Y17)</f>
        <v>45.285757329089215</v>
      </c>
      <c r="AG17">
        <f t="shared" ref="AG17:AG48" si="21">2*0.95*0.0000000567*(((DP17+$B$7)+273)^4-(Y17+273)^4)</f>
        <v>3.4561830336520867</v>
      </c>
      <c r="AH17">
        <f t="shared" ref="AH17:AH48" si="22">W17+AG17+AE17+AF17</f>
        <v>169.42575844556549</v>
      </c>
      <c r="AI17">
        <v>0</v>
      </c>
      <c r="AJ17">
        <v>0</v>
      </c>
      <c r="AK17">
        <f t="shared" ref="AK17:AK48" si="23">IF(AI17*$H$13&gt;=AM17,1,(AM17/(AM17-AI17*$H$13)))</f>
        <v>1</v>
      </c>
      <c r="AL17">
        <f t="shared" ref="AL17:AL48" si="24">(AK17-1)*100</f>
        <v>0</v>
      </c>
      <c r="AM17">
        <f t="shared" ref="AM17:AM48" si="25">MAX(0,($B$13+$C$13*DU17)/(1+$D$13*DU17)*DN17/(DP17+273)*$E$13)</f>
        <v>51947.62801823605</v>
      </c>
      <c r="AN17" t="s">
        <v>418</v>
      </c>
      <c r="AO17">
        <v>10021</v>
      </c>
      <c r="AP17">
        <v>177.53923076923081</v>
      </c>
      <c r="AQ17">
        <v>655.56</v>
      </c>
      <c r="AR17">
        <f t="shared" ref="AR17:AR48" si="26">1-AP17/AQ17</f>
        <v>0.72917928066198234</v>
      </c>
      <c r="AS17">
        <v>-3.1115002560329539</v>
      </c>
      <c r="AT17" t="s">
        <v>419</v>
      </c>
      <c r="AU17">
        <v>8021.83</v>
      </c>
      <c r="AV17">
        <v>750.18484615384602</v>
      </c>
      <c r="AW17">
        <v>1000.229064386055</v>
      </c>
      <c r="AX17">
        <f t="shared" ref="AX17:AX48" si="27">1-AV17/AW17</f>
        <v>0.24998695512381175</v>
      </c>
      <c r="AY17">
        <v>0.5</v>
      </c>
      <c r="AZ17">
        <f t="shared" ref="AZ17:AZ48" si="28">CY17</f>
        <v>1513.2428992632554</v>
      </c>
      <c r="BA17">
        <f t="shared" ref="BA17:BA48" si="29">N17</f>
        <v>34.613615646660428</v>
      </c>
      <c r="BB17">
        <f t="shared" ref="BB17:BB48" si="30">AX17*AY17*AZ17</f>
        <v>189.1454923747751</v>
      </c>
      <c r="BC17">
        <f t="shared" ref="BC17:BC48" si="31">(BA17-AS17)/AZ17</f>
        <v>2.4929980455259636E-2</v>
      </c>
      <c r="BD17">
        <f t="shared" ref="BD17:BD48" si="32">(AQ17-AW17)/AW17</f>
        <v>-0.34459013105924335</v>
      </c>
      <c r="BE17">
        <f t="shared" ref="BE17:BE48" si="33">AP17/(AR17+AP17/AW17)</f>
        <v>195.81291217727275</v>
      </c>
      <c r="BF17" t="s">
        <v>420</v>
      </c>
      <c r="BG17">
        <v>588.79999999999995</v>
      </c>
      <c r="BH17">
        <f t="shared" ref="BH17:BH48" si="34">IF(BG17&lt;&gt;0, BG17, BE17)</f>
        <v>588.79999999999995</v>
      </c>
      <c r="BI17">
        <f t="shared" ref="BI17:BI48" si="35">1-BH17/AW17</f>
        <v>0.41133484222295824</v>
      </c>
      <c r="BJ17">
        <f t="shared" ref="BJ17:BJ48" si="36">(AW17-AV17)/(AW17-BH17)</f>
        <v>0.60774563558199601</v>
      </c>
      <c r="BK17">
        <f t="shared" ref="BK17:BK48" si="37">(AQ17-AW17)/(AQ17-BH17)</f>
        <v>-5.1628080345424676</v>
      </c>
      <c r="BL17">
        <f t="shared" ref="BL17:BL48" si="38">(AW17-AV17)/(AW17-AP17)</f>
        <v>0.30393498012845205</v>
      </c>
      <c r="BM17">
        <f t="shared" ref="BM17:BM48" si="39">(AQ17-AW17)/(AQ17-AP17)</f>
        <v>-0.72103365914559825</v>
      </c>
      <c r="BN17">
        <f t="shared" ref="BN17:BN48" si="40">(BJ17*BH17/AV17)</f>
        <v>0.47700327734598647</v>
      </c>
      <c r="BO17">
        <f t="shared" ref="BO17:BO48" si="41">(1-BN17)</f>
        <v>0.52299672265401353</v>
      </c>
      <c r="BP17">
        <v>22467</v>
      </c>
      <c r="BQ17">
        <v>290.00000000000011</v>
      </c>
      <c r="BR17">
        <v>925.22</v>
      </c>
      <c r="BS17">
        <v>285</v>
      </c>
      <c r="BT17">
        <v>8021.83</v>
      </c>
      <c r="BU17">
        <v>926.74</v>
      </c>
      <c r="BV17">
        <v>-1.52</v>
      </c>
      <c r="BW17">
        <v>300.00000000000011</v>
      </c>
      <c r="BX17">
        <v>19.399999999999999</v>
      </c>
      <c r="BY17">
        <v>1000.229064386055</v>
      </c>
      <c r="BZ17">
        <v>4.1332315096161647</v>
      </c>
      <c r="CA17">
        <v>-58.950776358366433</v>
      </c>
      <c r="CB17">
        <v>3.045811838397722</v>
      </c>
      <c r="CC17">
        <v>0.93045282809258634</v>
      </c>
      <c r="CD17">
        <v>-4.141744382647387E-3</v>
      </c>
      <c r="CE17">
        <v>289.99999999999989</v>
      </c>
      <c r="CF17">
        <v>924.71</v>
      </c>
      <c r="CG17">
        <v>645</v>
      </c>
      <c r="CH17">
        <v>8012.64</v>
      </c>
      <c r="CI17">
        <v>926.66</v>
      </c>
      <c r="CJ17">
        <v>-1.95</v>
      </c>
      <c r="CX17">
        <f t="shared" ref="CX17:CX48" si="42">$B$11*DV17+$C$11*DW17+$F$11*EH17*(1-EK17)</f>
        <v>1800.07</v>
      </c>
      <c r="CY17">
        <f t="shared" ref="CY17:CY48" si="43">CX17*CZ17</f>
        <v>1513.2428992632554</v>
      </c>
      <c r="CZ17">
        <f t="shared" ref="CZ17:CZ48" si="44">($B$11*$D$9+$C$11*$D$9+$F$11*((EU17+EM17)/MAX(EU17+EM17+EV17, 0.1)*$I$9+EV17/MAX(EU17+EM17+EV17, 0.1)*$J$9))/($B$11+$C$11+$F$11)</f>
        <v>0.84065780734263418</v>
      </c>
      <c r="DA17">
        <f t="shared" ref="DA17:DA48" si="45">($B$11*$K$9+$C$11*$K$9+$F$11*((EU17+EM17)/MAX(EU17+EM17+EV17, 0.1)*$P$9+EV17/MAX(EU17+EM17+EV17, 0.1)*$Q$9))/($B$11+$C$11+$F$11)</f>
        <v>0.16086956817128423</v>
      </c>
      <c r="DB17">
        <v>6</v>
      </c>
      <c r="DC17">
        <v>0.5</v>
      </c>
      <c r="DD17" t="s">
        <v>421</v>
      </c>
      <c r="DE17">
        <v>2</v>
      </c>
      <c r="DF17">
        <v>1688999595.0999999</v>
      </c>
      <c r="DG17">
        <v>356.88499999999999</v>
      </c>
      <c r="DH17">
        <v>400.06200000000001</v>
      </c>
      <c r="DI17">
        <v>28.433499999999999</v>
      </c>
      <c r="DJ17">
        <v>23.968399999999999</v>
      </c>
      <c r="DK17">
        <v>356.21899999999999</v>
      </c>
      <c r="DL17">
        <v>28.121500000000001</v>
      </c>
      <c r="DM17">
        <v>499.99400000000003</v>
      </c>
      <c r="DN17">
        <v>99.224500000000006</v>
      </c>
      <c r="DO17">
        <v>9.9663000000000002E-2</v>
      </c>
      <c r="DP17">
        <v>30.290600000000001</v>
      </c>
      <c r="DQ17">
        <v>30.002700000000001</v>
      </c>
      <c r="DR17">
        <v>999.9</v>
      </c>
      <c r="DS17">
        <v>0</v>
      </c>
      <c r="DT17">
        <v>0</v>
      </c>
      <c r="DU17">
        <v>10010</v>
      </c>
      <c r="DV17">
        <v>0</v>
      </c>
      <c r="DW17">
        <v>1084.78</v>
      </c>
      <c r="DX17">
        <v>-43.177399999999999</v>
      </c>
      <c r="DY17">
        <v>367.32900000000001</v>
      </c>
      <c r="DZ17">
        <v>409.88600000000002</v>
      </c>
      <c r="EA17">
        <v>4.4651100000000001</v>
      </c>
      <c r="EB17">
        <v>400.06200000000001</v>
      </c>
      <c r="EC17">
        <v>23.968399999999999</v>
      </c>
      <c r="ED17">
        <v>2.8212999999999999</v>
      </c>
      <c r="EE17">
        <v>2.37825</v>
      </c>
      <c r="EF17">
        <v>23.0092</v>
      </c>
      <c r="EG17">
        <v>20.2164</v>
      </c>
      <c r="EH17">
        <v>1800.07</v>
      </c>
      <c r="EI17">
        <v>0.97801000000000005</v>
      </c>
      <c r="EJ17">
        <v>2.1990300000000001E-2</v>
      </c>
      <c r="EK17">
        <v>0</v>
      </c>
      <c r="EL17">
        <v>750.05100000000004</v>
      </c>
      <c r="EM17">
        <v>5.0011200000000002</v>
      </c>
      <c r="EN17">
        <v>15005.1</v>
      </c>
      <c r="EO17">
        <v>17211.599999999999</v>
      </c>
      <c r="EP17">
        <v>47.125</v>
      </c>
      <c r="EQ17">
        <v>47.625</v>
      </c>
      <c r="ER17">
        <v>47.75</v>
      </c>
      <c r="ES17">
        <v>47.686999999999998</v>
      </c>
      <c r="ET17">
        <v>47.875</v>
      </c>
      <c r="EU17">
        <v>1755.6</v>
      </c>
      <c r="EV17">
        <v>39.47</v>
      </c>
      <c r="EW17">
        <v>0</v>
      </c>
      <c r="EX17">
        <v>1688999615.0999999</v>
      </c>
      <c r="EY17">
        <v>0</v>
      </c>
      <c r="EZ17">
        <v>750.18484615384602</v>
      </c>
      <c r="FA17">
        <v>-0.30393161739774349</v>
      </c>
      <c r="FB17">
        <v>5.1281936338815469E-2</v>
      </c>
      <c r="FC17">
        <v>15004.873076923081</v>
      </c>
      <c r="FD17">
        <v>15</v>
      </c>
      <c r="FE17">
        <v>1688999560.5999999</v>
      </c>
      <c r="FF17" t="s">
        <v>422</v>
      </c>
      <c r="FG17">
        <v>1688999560.5999999</v>
      </c>
      <c r="FH17">
        <v>1688999559.0999999</v>
      </c>
      <c r="FI17">
        <v>3</v>
      </c>
      <c r="FJ17">
        <v>-8.9999999999999993E-3</v>
      </c>
      <c r="FK17">
        <v>-1.2999999999999999E-2</v>
      </c>
      <c r="FL17">
        <v>0.73</v>
      </c>
      <c r="FM17">
        <v>0.312</v>
      </c>
      <c r="FN17">
        <v>400</v>
      </c>
      <c r="FO17">
        <v>24</v>
      </c>
      <c r="FP17">
        <v>0.08</v>
      </c>
      <c r="FQ17">
        <v>0.03</v>
      </c>
      <c r="FR17">
        <v>34.523483434670112</v>
      </c>
      <c r="FS17">
        <v>0.2805484736027492</v>
      </c>
      <c r="FT17">
        <v>4.8763447882573682E-2</v>
      </c>
      <c r="FU17">
        <v>1</v>
      </c>
      <c r="FV17">
        <v>0.26601233949664549</v>
      </c>
      <c r="FW17">
        <v>-2.9036645242930439E-2</v>
      </c>
      <c r="FX17">
        <v>2.3226352040956011E-3</v>
      </c>
      <c r="FY17">
        <v>1</v>
      </c>
      <c r="FZ17">
        <v>2</v>
      </c>
      <c r="GA17">
        <v>2</v>
      </c>
      <c r="GB17" t="s">
        <v>423</v>
      </c>
      <c r="GC17">
        <v>2.9264800000000002</v>
      </c>
      <c r="GD17">
        <v>2.8270499999999998</v>
      </c>
      <c r="GE17">
        <v>8.0780699999999997E-2</v>
      </c>
      <c r="GF17">
        <v>8.8677800000000001E-2</v>
      </c>
      <c r="GG17">
        <v>0.12637499999999999</v>
      </c>
      <c r="GH17">
        <v>0.11289100000000001</v>
      </c>
      <c r="GI17">
        <v>30070.1</v>
      </c>
      <c r="GJ17">
        <v>24206.3</v>
      </c>
      <c r="GK17">
        <v>31475.1</v>
      </c>
      <c r="GL17">
        <v>26195.4</v>
      </c>
      <c r="GM17">
        <v>37692.5</v>
      </c>
      <c r="GN17">
        <v>31512.400000000001</v>
      </c>
      <c r="GO17">
        <v>46743.9</v>
      </c>
      <c r="GP17">
        <v>38080.699999999997</v>
      </c>
      <c r="GQ17">
        <v>1.94058</v>
      </c>
      <c r="GR17">
        <v>1.8233999999999999</v>
      </c>
      <c r="GS17">
        <v>7.6003399999999999E-2</v>
      </c>
      <c r="GT17">
        <v>0</v>
      </c>
      <c r="GU17">
        <v>28.764600000000002</v>
      </c>
      <c r="GV17">
        <v>999.9</v>
      </c>
      <c r="GW17">
        <v>57.6</v>
      </c>
      <c r="GX17">
        <v>34.9</v>
      </c>
      <c r="GY17">
        <v>32.6083</v>
      </c>
      <c r="GZ17">
        <v>62.481299999999997</v>
      </c>
      <c r="HA17">
        <v>21.3141</v>
      </c>
      <c r="HB17">
        <v>1</v>
      </c>
      <c r="HC17">
        <v>0.37436700000000001</v>
      </c>
      <c r="HD17">
        <v>1.34711</v>
      </c>
      <c r="HE17">
        <v>20.2911</v>
      </c>
      <c r="HF17">
        <v>5.2217799999999999</v>
      </c>
      <c r="HG17">
        <v>12.0579</v>
      </c>
      <c r="HH17">
        <v>4.9913999999999996</v>
      </c>
      <c r="HI17">
        <v>3.29122</v>
      </c>
      <c r="HJ17">
        <v>9999</v>
      </c>
      <c r="HK17">
        <v>9999</v>
      </c>
      <c r="HL17">
        <v>9999</v>
      </c>
      <c r="HM17">
        <v>461</v>
      </c>
      <c r="HN17">
        <v>1.8669100000000001</v>
      </c>
      <c r="HO17">
        <v>1.87039</v>
      </c>
      <c r="HP17">
        <v>1.87286</v>
      </c>
      <c r="HQ17">
        <v>1.8737900000000001</v>
      </c>
      <c r="HR17">
        <v>1.8706799999999999</v>
      </c>
      <c r="HS17">
        <v>1.8690500000000001</v>
      </c>
      <c r="HT17">
        <v>1.87053</v>
      </c>
      <c r="HU17">
        <v>1.8735200000000001</v>
      </c>
      <c r="HV17">
        <v>0</v>
      </c>
      <c r="HW17">
        <v>0</v>
      </c>
      <c r="HX17">
        <v>0</v>
      </c>
      <c r="HY17">
        <v>0</v>
      </c>
      <c r="HZ17" t="s">
        <v>424</v>
      </c>
      <c r="IA17" t="s">
        <v>425</v>
      </c>
      <c r="IB17" t="s">
        <v>426</v>
      </c>
      <c r="IC17" t="s">
        <v>426</v>
      </c>
      <c r="ID17" t="s">
        <v>426</v>
      </c>
      <c r="IE17" t="s">
        <v>426</v>
      </c>
      <c r="IF17">
        <v>0</v>
      </c>
      <c r="IG17">
        <v>100</v>
      </c>
      <c r="IH17">
        <v>100</v>
      </c>
      <c r="II17">
        <v>0.66600000000000004</v>
      </c>
      <c r="IJ17">
        <v>0.312</v>
      </c>
      <c r="IK17">
        <v>-0.13630333230322511</v>
      </c>
      <c r="IL17">
        <v>3.042515301972944E-3</v>
      </c>
      <c r="IM17">
        <v>-2.5091471490852929E-6</v>
      </c>
      <c r="IN17">
        <v>8.1339755115576286E-10</v>
      </c>
      <c r="IO17">
        <v>0.31199499999999958</v>
      </c>
      <c r="IP17">
        <v>0</v>
      </c>
      <c r="IQ17">
        <v>0</v>
      </c>
      <c r="IR17">
        <v>0</v>
      </c>
      <c r="IS17">
        <v>3</v>
      </c>
      <c r="IT17">
        <v>2004</v>
      </c>
      <c r="IU17">
        <v>2</v>
      </c>
      <c r="IV17">
        <v>22</v>
      </c>
      <c r="IW17">
        <v>0.6</v>
      </c>
      <c r="IX17">
        <v>0.6</v>
      </c>
      <c r="IY17">
        <v>1.02539</v>
      </c>
      <c r="IZ17">
        <v>2.5390600000000001</v>
      </c>
      <c r="JA17">
        <v>1.64917</v>
      </c>
      <c r="JB17">
        <v>2.34253</v>
      </c>
      <c r="JC17">
        <v>1.5991200000000001</v>
      </c>
      <c r="JD17">
        <v>2.2546400000000002</v>
      </c>
      <c r="JE17">
        <v>41.743600000000001</v>
      </c>
      <c r="JF17">
        <v>23.9299</v>
      </c>
      <c r="JG17">
        <v>18</v>
      </c>
      <c r="JH17">
        <v>518.53899999999999</v>
      </c>
      <c r="JI17">
        <v>492.483</v>
      </c>
      <c r="JJ17">
        <v>27.976800000000001</v>
      </c>
      <c r="JK17">
        <v>31.931100000000001</v>
      </c>
      <c r="JL17">
        <v>30</v>
      </c>
      <c r="JM17">
        <v>31.973500000000001</v>
      </c>
      <c r="JN17">
        <v>31.964700000000001</v>
      </c>
      <c r="JO17">
        <v>20.532399999999999</v>
      </c>
      <c r="JP17">
        <v>37.508600000000001</v>
      </c>
      <c r="JQ17">
        <v>49.011499999999998</v>
      </c>
      <c r="JR17">
        <v>28.021899999999999</v>
      </c>
      <c r="JS17">
        <v>400</v>
      </c>
      <c r="JT17">
        <v>23.9863</v>
      </c>
      <c r="JU17">
        <v>99.763599999999997</v>
      </c>
      <c r="JV17">
        <v>99.589100000000002</v>
      </c>
    </row>
    <row r="18" spans="1:282" x14ac:dyDescent="0.25">
      <c r="A18">
        <v>2</v>
      </c>
      <c r="B18">
        <v>1688999712.0999999</v>
      </c>
      <c r="C18">
        <v>117</v>
      </c>
      <c r="D18" t="s">
        <v>427</v>
      </c>
      <c r="E18" t="s">
        <v>428</v>
      </c>
      <c r="F18" t="s">
        <v>414</v>
      </c>
      <c r="G18" t="s">
        <v>415</v>
      </c>
      <c r="H18" t="s">
        <v>416</v>
      </c>
      <c r="I18" t="s">
        <v>416</v>
      </c>
      <c r="J18" t="s">
        <v>417</v>
      </c>
      <c r="K18">
        <v>1688999712.0999999</v>
      </c>
      <c r="L18">
        <f t="shared" si="0"/>
        <v>3.8986334426791133E-3</v>
      </c>
      <c r="M18">
        <f t="shared" si="1"/>
        <v>3.8986334426791132</v>
      </c>
      <c r="N18">
        <f t="shared" si="2"/>
        <v>27.979273051499863</v>
      </c>
      <c r="O18">
        <f t="shared" si="3"/>
        <v>265.21499999999997</v>
      </c>
      <c r="P18">
        <f t="shared" si="4"/>
        <v>91.890297625567086</v>
      </c>
      <c r="Q18">
        <f t="shared" si="5"/>
        <v>9.1269734878612336</v>
      </c>
      <c r="R18">
        <f t="shared" si="6"/>
        <v>26.342392354049995</v>
      </c>
      <c r="S18">
        <f t="shared" si="7"/>
        <v>0.27660892952350952</v>
      </c>
      <c r="T18">
        <f t="shared" si="8"/>
        <v>2.916786255856755</v>
      </c>
      <c r="U18">
        <f t="shared" si="9"/>
        <v>0.2628182821271603</v>
      </c>
      <c r="V18">
        <f t="shared" si="10"/>
        <v>0.16544314795644627</v>
      </c>
      <c r="W18">
        <f t="shared" si="11"/>
        <v>289.55906857690798</v>
      </c>
      <c r="X18">
        <f t="shared" si="12"/>
        <v>30.953130203144905</v>
      </c>
      <c r="Y18">
        <f t="shared" si="13"/>
        <v>29.9739</v>
      </c>
      <c r="Z18">
        <f t="shared" si="14"/>
        <v>4.2540668363422691</v>
      </c>
      <c r="AA18">
        <f t="shared" si="15"/>
        <v>65.523272201990579</v>
      </c>
      <c r="AB18">
        <f t="shared" si="16"/>
        <v>2.833256076684</v>
      </c>
      <c r="AC18">
        <f t="shared" si="17"/>
        <v>4.3240454596800895</v>
      </c>
      <c r="AD18">
        <f t="shared" si="18"/>
        <v>1.4208107596582691</v>
      </c>
      <c r="AE18">
        <f t="shared" si="19"/>
        <v>-171.9297348221489</v>
      </c>
      <c r="AF18">
        <f t="shared" si="20"/>
        <v>44.706112631900275</v>
      </c>
      <c r="AG18">
        <f t="shared" si="21"/>
        <v>3.4119322980562674</v>
      </c>
      <c r="AH18">
        <f t="shared" si="22"/>
        <v>165.74737868471564</v>
      </c>
      <c r="AI18">
        <v>0</v>
      </c>
      <c r="AJ18">
        <v>0</v>
      </c>
      <c r="AK18">
        <f t="shared" si="23"/>
        <v>1</v>
      </c>
      <c r="AL18">
        <f t="shared" si="24"/>
        <v>0</v>
      </c>
      <c r="AM18">
        <f t="shared" si="25"/>
        <v>51928.344882253703</v>
      </c>
      <c r="AN18" t="s">
        <v>418</v>
      </c>
      <c r="AO18">
        <v>10021</v>
      </c>
      <c r="AP18">
        <v>177.53923076923081</v>
      </c>
      <c r="AQ18">
        <v>655.56</v>
      </c>
      <c r="AR18">
        <f t="shared" si="26"/>
        <v>0.72917928066198234</v>
      </c>
      <c r="AS18">
        <v>-3.1115002560329539</v>
      </c>
      <c r="AT18" t="s">
        <v>429</v>
      </c>
      <c r="AU18">
        <v>8021.01</v>
      </c>
      <c r="AV18">
        <v>745.76542307692296</v>
      </c>
      <c r="AW18">
        <v>953.32878879810039</v>
      </c>
      <c r="AX18">
        <f t="shared" si="27"/>
        <v>0.21772484809030135</v>
      </c>
      <c r="AY18">
        <v>0.5</v>
      </c>
      <c r="AZ18">
        <f t="shared" si="28"/>
        <v>1513.1429992626468</v>
      </c>
      <c r="BA18">
        <f t="shared" si="29"/>
        <v>27.979273051499863</v>
      </c>
      <c r="BB18">
        <f t="shared" si="30"/>
        <v>164.72441482668137</v>
      </c>
      <c r="BC18">
        <f t="shared" si="31"/>
        <v>2.0547148103439876E-2</v>
      </c>
      <c r="BD18">
        <f t="shared" si="32"/>
        <v>-0.31234637230824575</v>
      </c>
      <c r="BE18">
        <f t="shared" si="33"/>
        <v>193.9450141545999</v>
      </c>
      <c r="BF18" t="s">
        <v>430</v>
      </c>
      <c r="BG18">
        <v>579.92999999999995</v>
      </c>
      <c r="BH18">
        <f t="shared" si="34"/>
        <v>579.92999999999995</v>
      </c>
      <c r="BI18">
        <f t="shared" si="35"/>
        <v>0.39167891831826374</v>
      </c>
      <c r="BJ18">
        <f t="shared" si="36"/>
        <v>0.55587584091872488</v>
      </c>
      <c r="BK18">
        <f t="shared" si="37"/>
        <v>-3.9371782202578403</v>
      </c>
      <c r="BL18">
        <f t="shared" si="38"/>
        <v>0.26755112075567966</v>
      </c>
      <c r="BM18">
        <f t="shared" si="39"/>
        <v>-0.62292019084708361</v>
      </c>
      <c r="BN18">
        <f t="shared" si="40"/>
        <v>0.43226605370619992</v>
      </c>
      <c r="BO18">
        <f t="shared" si="41"/>
        <v>0.56773394629380003</v>
      </c>
      <c r="BP18">
        <v>22469</v>
      </c>
      <c r="BQ18">
        <v>290.00000000000011</v>
      </c>
      <c r="BR18">
        <v>889.63</v>
      </c>
      <c r="BS18">
        <v>295</v>
      </c>
      <c r="BT18">
        <v>8021.01</v>
      </c>
      <c r="BU18">
        <v>891.26</v>
      </c>
      <c r="BV18">
        <v>-1.63</v>
      </c>
      <c r="BW18">
        <v>300.00000000000011</v>
      </c>
      <c r="BX18">
        <v>19.399999999999999</v>
      </c>
      <c r="BY18">
        <v>953.32878879810039</v>
      </c>
      <c r="BZ18">
        <v>2.827603770354346</v>
      </c>
      <c r="CA18">
        <v>-49.786629318050281</v>
      </c>
      <c r="CB18">
        <v>2.0834639318148689</v>
      </c>
      <c r="CC18">
        <v>0.95325720762725519</v>
      </c>
      <c r="CD18">
        <v>-4.1414149054505014E-3</v>
      </c>
      <c r="CE18">
        <v>289.99999999999989</v>
      </c>
      <c r="CF18">
        <v>890</v>
      </c>
      <c r="CG18">
        <v>655</v>
      </c>
      <c r="CH18">
        <v>8011.47</v>
      </c>
      <c r="CI18">
        <v>891.18</v>
      </c>
      <c r="CJ18">
        <v>-1.18</v>
      </c>
      <c r="CX18">
        <f t="shared" si="42"/>
        <v>1799.95</v>
      </c>
      <c r="CY18">
        <f t="shared" si="43"/>
        <v>1513.1429992626468</v>
      </c>
      <c r="CZ18">
        <f t="shared" si="44"/>
        <v>0.84065835121122623</v>
      </c>
      <c r="DA18">
        <f t="shared" si="45"/>
        <v>0.1608706178376666</v>
      </c>
      <c r="DB18">
        <v>6</v>
      </c>
      <c r="DC18">
        <v>0.5</v>
      </c>
      <c r="DD18" t="s">
        <v>421</v>
      </c>
      <c r="DE18">
        <v>2</v>
      </c>
      <c r="DF18">
        <v>1688999712.0999999</v>
      </c>
      <c r="DG18">
        <v>265.21499999999997</v>
      </c>
      <c r="DH18">
        <v>300.02699999999999</v>
      </c>
      <c r="DI18">
        <v>28.525200000000002</v>
      </c>
      <c r="DJ18">
        <v>23.980799999999999</v>
      </c>
      <c r="DK18">
        <v>264.822</v>
      </c>
      <c r="DL18">
        <v>28.207799999999999</v>
      </c>
      <c r="DM18">
        <v>500.05599999999998</v>
      </c>
      <c r="DN18">
        <v>99.224599999999995</v>
      </c>
      <c r="DO18">
        <v>0.10007000000000001</v>
      </c>
      <c r="DP18">
        <v>30.258199999999999</v>
      </c>
      <c r="DQ18">
        <v>29.9739</v>
      </c>
      <c r="DR18">
        <v>999.9</v>
      </c>
      <c r="DS18">
        <v>0</v>
      </c>
      <c r="DT18">
        <v>0</v>
      </c>
      <c r="DU18">
        <v>10005</v>
      </c>
      <c r="DV18">
        <v>0</v>
      </c>
      <c r="DW18">
        <v>1097.6300000000001</v>
      </c>
      <c r="DX18">
        <v>-34.811799999999998</v>
      </c>
      <c r="DY18">
        <v>273.00200000000001</v>
      </c>
      <c r="DZ18">
        <v>307.39800000000002</v>
      </c>
      <c r="EA18">
        <v>4.5444699999999996</v>
      </c>
      <c r="EB18">
        <v>300.02699999999999</v>
      </c>
      <c r="EC18">
        <v>23.980799999999999</v>
      </c>
      <c r="ED18">
        <v>2.8304</v>
      </c>
      <c r="EE18">
        <v>2.37948</v>
      </c>
      <c r="EF18">
        <v>23.0625</v>
      </c>
      <c r="EG18">
        <v>20.224799999999998</v>
      </c>
      <c r="EH18">
        <v>1799.95</v>
      </c>
      <c r="EI18">
        <v>0.97799199999999997</v>
      </c>
      <c r="EJ18">
        <v>2.20085E-2</v>
      </c>
      <c r="EK18">
        <v>0</v>
      </c>
      <c r="EL18">
        <v>745.37300000000005</v>
      </c>
      <c r="EM18">
        <v>5.0011200000000002</v>
      </c>
      <c r="EN18">
        <v>14892.2</v>
      </c>
      <c r="EO18">
        <v>17210.400000000001</v>
      </c>
      <c r="EP18">
        <v>47.25</v>
      </c>
      <c r="EQ18">
        <v>47.811999999999998</v>
      </c>
      <c r="ER18">
        <v>47.936999999999998</v>
      </c>
      <c r="ES18">
        <v>47.75</v>
      </c>
      <c r="ET18">
        <v>48.061999999999998</v>
      </c>
      <c r="EU18">
        <v>1755.45</v>
      </c>
      <c r="EV18">
        <v>39.5</v>
      </c>
      <c r="EW18">
        <v>0</v>
      </c>
      <c r="EX18">
        <v>114.7999999523163</v>
      </c>
      <c r="EY18">
        <v>0</v>
      </c>
      <c r="EZ18">
        <v>745.76542307692296</v>
      </c>
      <c r="FA18">
        <v>-1.5464273387635841</v>
      </c>
      <c r="FB18">
        <v>-39.705982839378017</v>
      </c>
      <c r="FC18">
        <v>14896.123076923081</v>
      </c>
      <c r="FD18">
        <v>15</v>
      </c>
      <c r="FE18">
        <v>1688999683.0999999</v>
      </c>
      <c r="FF18" t="s">
        <v>431</v>
      </c>
      <c r="FG18">
        <v>1688999679.5999999</v>
      </c>
      <c r="FH18">
        <v>1688999683.0999999</v>
      </c>
      <c r="FI18">
        <v>4</v>
      </c>
      <c r="FJ18">
        <v>-0.115</v>
      </c>
      <c r="FK18">
        <v>5.0000000000000001E-3</v>
      </c>
      <c r="FL18">
        <v>0.45600000000000002</v>
      </c>
      <c r="FM18">
        <v>0.317</v>
      </c>
      <c r="FN18">
        <v>300</v>
      </c>
      <c r="FO18">
        <v>24</v>
      </c>
      <c r="FP18">
        <v>0.11</v>
      </c>
      <c r="FQ18">
        <v>0.05</v>
      </c>
      <c r="FR18">
        <v>27.953320810181779</v>
      </c>
      <c r="FS18">
        <v>-0.38654544124832207</v>
      </c>
      <c r="FT18">
        <v>5.1216602348640193E-2</v>
      </c>
      <c r="FU18">
        <v>1</v>
      </c>
      <c r="FV18">
        <v>0.27941530400336129</v>
      </c>
      <c r="FW18">
        <v>1.9118018658469529E-2</v>
      </c>
      <c r="FX18">
        <v>3.4682539027216111E-3</v>
      </c>
      <c r="FY18">
        <v>1</v>
      </c>
      <c r="FZ18">
        <v>2</v>
      </c>
      <c r="GA18">
        <v>2</v>
      </c>
      <c r="GB18" t="s">
        <v>423</v>
      </c>
      <c r="GC18">
        <v>2.9266299999999998</v>
      </c>
      <c r="GD18">
        <v>2.82741</v>
      </c>
      <c r="GE18">
        <v>6.3372499999999998E-2</v>
      </c>
      <c r="GF18">
        <v>7.0497000000000004E-2</v>
      </c>
      <c r="GG18">
        <v>0.126639</v>
      </c>
      <c r="GH18">
        <v>0.112927</v>
      </c>
      <c r="GI18">
        <v>30639.4</v>
      </c>
      <c r="GJ18">
        <v>24688</v>
      </c>
      <c r="GK18">
        <v>31475.3</v>
      </c>
      <c r="GL18">
        <v>26194.400000000001</v>
      </c>
      <c r="GM18">
        <v>37680.5</v>
      </c>
      <c r="GN18">
        <v>31510</v>
      </c>
      <c r="GO18">
        <v>46743.6</v>
      </c>
      <c r="GP18">
        <v>38079.599999999999</v>
      </c>
      <c r="GQ18">
        <v>1.9402699999999999</v>
      </c>
      <c r="GR18">
        <v>1.8200799999999999</v>
      </c>
      <c r="GS18">
        <v>6.5535300000000005E-2</v>
      </c>
      <c r="GT18">
        <v>0</v>
      </c>
      <c r="GU18">
        <v>28.906400000000001</v>
      </c>
      <c r="GV18">
        <v>999.9</v>
      </c>
      <c r="GW18">
        <v>56.6</v>
      </c>
      <c r="GX18">
        <v>35.200000000000003</v>
      </c>
      <c r="GY18">
        <v>32.576500000000003</v>
      </c>
      <c r="GZ18">
        <v>62.541400000000003</v>
      </c>
      <c r="HA18">
        <v>21.025600000000001</v>
      </c>
      <c r="HB18">
        <v>1</v>
      </c>
      <c r="HC18">
        <v>0.37544499999999997</v>
      </c>
      <c r="HD18">
        <v>1.3783300000000001</v>
      </c>
      <c r="HE18">
        <v>20.291599999999999</v>
      </c>
      <c r="HF18">
        <v>5.2232799999999999</v>
      </c>
      <c r="HG18">
        <v>12.058</v>
      </c>
      <c r="HH18">
        <v>4.9931000000000001</v>
      </c>
      <c r="HI18">
        <v>3.2919999999999998</v>
      </c>
      <c r="HJ18">
        <v>9999</v>
      </c>
      <c r="HK18">
        <v>9999</v>
      </c>
      <c r="HL18">
        <v>9999</v>
      </c>
      <c r="HM18">
        <v>461</v>
      </c>
      <c r="HN18">
        <v>1.8669100000000001</v>
      </c>
      <c r="HO18">
        <v>1.87039</v>
      </c>
      <c r="HP18">
        <v>1.8728899999999999</v>
      </c>
      <c r="HQ18">
        <v>1.87381</v>
      </c>
      <c r="HR18">
        <v>1.8707100000000001</v>
      </c>
      <c r="HS18">
        <v>1.8690500000000001</v>
      </c>
      <c r="HT18">
        <v>1.87056</v>
      </c>
      <c r="HU18">
        <v>1.87354</v>
      </c>
      <c r="HV18">
        <v>0</v>
      </c>
      <c r="HW18">
        <v>0</v>
      </c>
      <c r="HX18">
        <v>0</v>
      </c>
      <c r="HY18">
        <v>0</v>
      </c>
      <c r="HZ18" t="s">
        <v>424</v>
      </c>
      <c r="IA18" t="s">
        <v>425</v>
      </c>
      <c r="IB18" t="s">
        <v>426</v>
      </c>
      <c r="IC18" t="s">
        <v>426</v>
      </c>
      <c r="ID18" t="s">
        <v>426</v>
      </c>
      <c r="IE18" t="s">
        <v>426</v>
      </c>
      <c r="IF18">
        <v>0</v>
      </c>
      <c r="IG18">
        <v>100</v>
      </c>
      <c r="IH18">
        <v>100</v>
      </c>
      <c r="II18">
        <v>0.39300000000000002</v>
      </c>
      <c r="IJ18">
        <v>0.31740000000000002</v>
      </c>
      <c r="IK18">
        <v>-0.25171917866780408</v>
      </c>
      <c r="IL18">
        <v>3.042515301972944E-3</v>
      </c>
      <c r="IM18">
        <v>-2.5091471490852929E-6</v>
      </c>
      <c r="IN18">
        <v>8.1339755115576286E-10</v>
      </c>
      <c r="IO18">
        <v>0.31743809523808858</v>
      </c>
      <c r="IP18">
        <v>0</v>
      </c>
      <c r="IQ18">
        <v>0</v>
      </c>
      <c r="IR18">
        <v>0</v>
      </c>
      <c r="IS18">
        <v>3</v>
      </c>
      <c r="IT18">
        <v>2004</v>
      </c>
      <c r="IU18">
        <v>2</v>
      </c>
      <c r="IV18">
        <v>22</v>
      </c>
      <c r="IW18">
        <v>0.5</v>
      </c>
      <c r="IX18">
        <v>0.5</v>
      </c>
      <c r="IY18">
        <v>0.81542999999999999</v>
      </c>
      <c r="IZ18">
        <v>2.5476100000000002</v>
      </c>
      <c r="JA18">
        <v>1.64917</v>
      </c>
      <c r="JB18">
        <v>2.34131</v>
      </c>
      <c r="JC18">
        <v>1.5991200000000001</v>
      </c>
      <c r="JD18">
        <v>2.32178</v>
      </c>
      <c r="JE18">
        <v>41.953800000000001</v>
      </c>
      <c r="JF18">
        <v>23.938700000000001</v>
      </c>
      <c r="JG18">
        <v>18</v>
      </c>
      <c r="JH18">
        <v>518.47699999999998</v>
      </c>
      <c r="JI18">
        <v>490.29399999999998</v>
      </c>
      <c r="JJ18">
        <v>27.854399999999998</v>
      </c>
      <c r="JK18">
        <v>31.949000000000002</v>
      </c>
      <c r="JL18">
        <v>30.000299999999999</v>
      </c>
      <c r="JM18">
        <v>31.990400000000001</v>
      </c>
      <c r="JN18">
        <v>31.983699999999999</v>
      </c>
      <c r="JO18">
        <v>16.341699999999999</v>
      </c>
      <c r="JP18">
        <v>37.4497</v>
      </c>
      <c r="JQ18">
        <v>46.437600000000003</v>
      </c>
      <c r="JR18">
        <v>27.8535</v>
      </c>
      <c r="JS18">
        <v>300</v>
      </c>
      <c r="JT18">
        <v>23.916899999999998</v>
      </c>
      <c r="JU18">
        <v>99.763400000000004</v>
      </c>
      <c r="JV18">
        <v>99.585999999999999</v>
      </c>
    </row>
    <row r="19" spans="1:282" x14ac:dyDescent="0.25">
      <c r="A19">
        <v>3</v>
      </c>
      <c r="B19">
        <v>1688999818.5999999</v>
      </c>
      <c r="C19">
        <v>223.5</v>
      </c>
      <c r="D19" t="s">
        <v>432</v>
      </c>
      <c r="E19" t="s">
        <v>433</v>
      </c>
      <c r="F19" t="s">
        <v>414</v>
      </c>
      <c r="G19" t="s">
        <v>415</v>
      </c>
      <c r="H19" t="s">
        <v>416</v>
      </c>
      <c r="I19" t="s">
        <v>416</v>
      </c>
      <c r="J19" t="s">
        <v>417</v>
      </c>
      <c r="K19">
        <v>1688999818.5999999</v>
      </c>
      <c r="L19">
        <f t="shared" si="0"/>
        <v>4.0874241534817907E-3</v>
      </c>
      <c r="M19">
        <f t="shared" si="1"/>
        <v>4.0874241534817903</v>
      </c>
      <c r="N19">
        <f t="shared" si="2"/>
        <v>19.950802293913839</v>
      </c>
      <c r="O19">
        <f t="shared" si="3"/>
        <v>175.17500000000001</v>
      </c>
      <c r="P19">
        <f t="shared" si="4"/>
        <v>57.565180594272064</v>
      </c>
      <c r="Q19">
        <f t="shared" si="5"/>
        <v>5.7174312902906594</v>
      </c>
      <c r="R19">
        <f t="shared" si="6"/>
        <v>17.398556139964999</v>
      </c>
      <c r="S19">
        <f t="shared" si="7"/>
        <v>0.2910509663255722</v>
      </c>
      <c r="T19">
        <f t="shared" si="8"/>
        <v>2.9121305509701654</v>
      </c>
      <c r="U19">
        <f t="shared" si="9"/>
        <v>0.27580227649345412</v>
      </c>
      <c r="V19">
        <f t="shared" si="10"/>
        <v>0.1736798535611252</v>
      </c>
      <c r="W19">
        <f t="shared" si="11"/>
        <v>289.56066457691594</v>
      </c>
      <c r="X19">
        <f t="shared" si="12"/>
        <v>30.997670013079372</v>
      </c>
      <c r="Y19">
        <f t="shared" si="13"/>
        <v>30.019200000000001</v>
      </c>
      <c r="Z19">
        <f t="shared" si="14"/>
        <v>4.2651505924382445</v>
      </c>
      <c r="AA19">
        <f t="shared" si="15"/>
        <v>65.466445456226324</v>
      </c>
      <c r="AB19">
        <f t="shared" si="16"/>
        <v>2.8458942677693</v>
      </c>
      <c r="AC19">
        <f t="shared" si="17"/>
        <v>4.3471036924895934</v>
      </c>
      <c r="AD19">
        <f t="shared" si="18"/>
        <v>1.4192563246689445</v>
      </c>
      <c r="AE19">
        <f t="shared" si="19"/>
        <v>-180.25540516854696</v>
      </c>
      <c r="AF19">
        <f t="shared" si="20"/>
        <v>52.092195955162836</v>
      </c>
      <c r="AG19">
        <f t="shared" si="21"/>
        <v>3.9847100510713274</v>
      </c>
      <c r="AH19">
        <f t="shared" si="22"/>
        <v>165.38216541460315</v>
      </c>
      <c r="AI19">
        <v>0</v>
      </c>
      <c r="AJ19">
        <v>0</v>
      </c>
      <c r="AK19">
        <f t="shared" si="23"/>
        <v>1</v>
      </c>
      <c r="AL19">
        <f t="shared" si="24"/>
        <v>0</v>
      </c>
      <c r="AM19">
        <f t="shared" si="25"/>
        <v>51780.015996910501</v>
      </c>
      <c r="AN19" t="s">
        <v>418</v>
      </c>
      <c r="AO19">
        <v>10021</v>
      </c>
      <c r="AP19">
        <v>177.53923076923081</v>
      </c>
      <c r="AQ19">
        <v>655.56</v>
      </c>
      <c r="AR19">
        <f t="shared" si="26"/>
        <v>0.72917928066198234</v>
      </c>
      <c r="AS19">
        <v>-3.1115002560329539</v>
      </c>
      <c r="AT19" t="s">
        <v>434</v>
      </c>
      <c r="AU19">
        <v>8021.38</v>
      </c>
      <c r="AV19">
        <v>752.80776923076928</v>
      </c>
      <c r="AW19">
        <v>905.78873647189585</v>
      </c>
      <c r="AX19">
        <f t="shared" si="27"/>
        <v>0.16889254754590688</v>
      </c>
      <c r="AY19">
        <v>0.5</v>
      </c>
      <c r="AZ19">
        <f t="shared" si="28"/>
        <v>1513.1513992626508</v>
      </c>
      <c r="BA19">
        <f t="shared" si="29"/>
        <v>19.950802293913839</v>
      </c>
      <c r="BB19">
        <f t="shared" si="30"/>
        <v>127.77999732206139</v>
      </c>
      <c r="BC19">
        <f t="shared" si="31"/>
        <v>1.5241239284571861E-2</v>
      </c>
      <c r="BD19">
        <f t="shared" si="32"/>
        <v>-0.27625507626265322</v>
      </c>
      <c r="BE19">
        <f t="shared" si="33"/>
        <v>191.89604848119112</v>
      </c>
      <c r="BF19" t="s">
        <v>435</v>
      </c>
      <c r="BG19">
        <v>577.73</v>
      </c>
      <c r="BH19">
        <f t="shared" si="34"/>
        <v>577.73</v>
      </c>
      <c r="BI19">
        <f t="shared" si="35"/>
        <v>0.3621801897754936</v>
      </c>
      <c r="BJ19">
        <f t="shared" si="36"/>
        <v>0.46632188152145782</v>
      </c>
      <c r="BK19">
        <f t="shared" si="37"/>
        <v>-3.2150679233187218</v>
      </c>
      <c r="BL19">
        <f t="shared" si="38"/>
        <v>0.2100666956080115</v>
      </c>
      <c r="BM19">
        <f t="shared" si="39"/>
        <v>-0.52346833564274597</v>
      </c>
      <c r="BN19">
        <f t="shared" si="40"/>
        <v>0.3578710948834618</v>
      </c>
      <c r="BO19">
        <f t="shared" si="41"/>
        <v>0.6421289051165382</v>
      </c>
      <c r="BP19">
        <v>22471</v>
      </c>
      <c r="BQ19">
        <v>290.00000000000011</v>
      </c>
      <c r="BR19">
        <v>862.72</v>
      </c>
      <c r="BS19">
        <v>275</v>
      </c>
      <c r="BT19">
        <v>8021.38</v>
      </c>
      <c r="BU19">
        <v>864.49</v>
      </c>
      <c r="BV19">
        <v>-1.77</v>
      </c>
      <c r="BW19">
        <v>300.00000000000011</v>
      </c>
      <c r="BX19">
        <v>19.399999999999999</v>
      </c>
      <c r="BY19">
        <v>905.78873647189585</v>
      </c>
      <c r="BZ19">
        <v>2.6598430336739112</v>
      </c>
      <c r="CA19">
        <v>-33.126203681380943</v>
      </c>
      <c r="CB19">
        <v>1.9598029665061629</v>
      </c>
      <c r="CC19">
        <v>0.9107442965206255</v>
      </c>
      <c r="CD19">
        <v>-4.1412938820912151E-3</v>
      </c>
      <c r="CE19">
        <v>289.99999999999989</v>
      </c>
      <c r="CF19">
        <v>863.83</v>
      </c>
      <c r="CG19">
        <v>695</v>
      </c>
      <c r="CH19">
        <v>8010.12</v>
      </c>
      <c r="CI19">
        <v>864.43</v>
      </c>
      <c r="CJ19">
        <v>-0.6</v>
      </c>
      <c r="CX19">
        <f t="shared" si="42"/>
        <v>1799.96</v>
      </c>
      <c r="CY19">
        <f t="shared" si="43"/>
        <v>1513.1513992626508</v>
      </c>
      <c r="CZ19">
        <f t="shared" si="44"/>
        <v>0.84065834755364055</v>
      </c>
      <c r="DA19">
        <f t="shared" si="45"/>
        <v>0.16087061077852616</v>
      </c>
      <c r="DB19">
        <v>6</v>
      </c>
      <c r="DC19">
        <v>0.5</v>
      </c>
      <c r="DD19" t="s">
        <v>421</v>
      </c>
      <c r="DE19">
        <v>2</v>
      </c>
      <c r="DF19">
        <v>1688999818.5999999</v>
      </c>
      <c r="DG19">
        <v>175.17500000000001</v>
      </c>
      <c r="DH19">
        <v>199.97900000000001</v>
      </c>
      <c r="DI19">
        <v>28.653500000000001</v>
      </c>
      <c r="DJ19">
        <v>23.888400000000001</v>
      </c>
      <c r="DK19">
        <v>175.05699999999999</v>
      </c>
      <c r="DL19">
        <v>28.346499999999999</v>
      </c>
      <c r="DM19">
        <v>499.923</v>
      </c>
      <c r="DN19">
        <v>99.221199999999996</v>
      </c>
      <c r="DO19">
        <v>9.9799799999999994E-2</v>
      </c>
      <c r="DP19">
        <v>30.350999999999999</v>
      </c>
      <c r="DQ19">
        <v>30.019200000000001</v>
      </c>
      <c r="DR19">
        <v>999.9</v>
      </c>
      <c r="DS19">
        <v>0</v>
      </c>
      <c r="DT19">
        <v>0</v>
      </c>
      <c r="DU19">
        <v>9978.75</v>
      </c>
      <c r="DV19">
        <v>0</v>
      </c>
      <c r="DW19">
        <v>1111.72</v>
      </c>
      <c r="DX19">
        <v>-24.803899999999999</v>
      </c>
      <c r="DY19">
        <v>180.34299999999999</v>
      </c>
      <c r="DZ19">
        <v>204.87299999999999</v>
      </c>
      <c r="EA19">
        <v>4.7650499999999996</v>
      </c>
      <c r="EB19">
        <v>199.97900000000001</v>
      </c>
      <c r="EC19">
        <v>23.888400000000001</v>
      </c>
      <c r="ED19">
        <v>2.8430300000000002</v>
      </c>
      <c r="EE19">
        <v>2.3702399999999999</v>
      </c>
      <c r="EF19">
        <v>23.136099999999999</v>
      </c>
      <c r="EG19">
        <v>20.161899999999999</v>
      </c>
      <c r="EH19">
        <v>1799.96</v>
      </c>
      <c r="EI19">
        <v>0.97799199999999997</v>
      </c>
      <c r="EJ19">
        <v>2.20085E-2</v>
      </c>
      <c r="EK19">
        <v>0</v>
      </c>
      <c r="EL19">
        <v>752.25900000000001</v>
      </c>
      <c r="EM19">
        <v>5.0011200000000002</v>
      </c>
      <c r="EN19">
        <v>14998.4</v>
      </c>
      <c r="EO19">
        <v>17210.5</v>
      </c>
      <c r="EP19">
        <v>47.311999999999998</v>
      </c>
      <c r="EQ19">
        <v>47.875</v>
      </c>
      <c r="ER19">
        <v>48</v>
      </c>
      <c r="ES19">
        <v>47.875</v>
      </c>
      <c r="ET19">
        <v>48.186999999999998</v>
      </c>
      <c r="EU19">
        <v>1755.46</v>
      </c>
      <c r="EV19">
        <v>39.5</v>
      </c>
      <c r="EW19">
        <v>0</v>
      </c>
      <c r="EX19">
        <v>104.4000000953674</v>
      </c>
      <c r="EY19">
        <v>0</v>
      </c>
      <c r="EZ19">
        <v>752.80776923076928</v>
      </c>
      <c r="FA19">
        <v>-2.9589743531062611</v>
      </c>
      <c r="FB19">
        <v>-71.374358803776559</v>
      </c>
      <c r="FC19">
        <v>15006.573076923079</v>
      </c>
      <c r="FD19">
        <v>15</v>
      </c>
      <c r="FE19">
        <v>1688999786.5999999</v>
      </c>
      <c r="FF19" t="s">
        <v>436</v>
      </c>
      <c r="FG19">
        <v>1688999781.5999999</v>
      </c>
      <c r="FH19">
        <v>1688999786.5999999</v>
      </c>
      <c r="FI19">
        <v>5</v>
      </c>
      <c r="FJ19">
        <v>-9.0999999999999998E-2</v>
      </c>
      <c r="FK19">
        <v>-0.01</v>
      </c>
      <c r="FL19">
        <v>0.17199999999999999</v>
      </c>
      <c r="FM19">
        <v>0.307</v>
      </c>
      <c r="FN19">
        <v>200</v>
      </c>
      <c r="FO19">
        <v>24</v>
      </c>
      <c r="FP19">
        <v>0.09</v>
      </c>
      <c r="FQ19">
        <v>0.01</v>
      </c>
      <c r="FR19">
        <v>19.847821284797138</v>
      </c>
      <c r="FS19">
        <v>0.51345776340052141</v>
      </c>
      <c r="FT19">
        <v>4.2265985471370823E-2</v>
      </c>
      <c r="FU19">
        <v>1</v>
      </c>
      <c r="FV19">
        <v>0.28744718414720621</v>
      </c>
      <c r="FW19">
        <v>4.8691127081851339E-2</v>
      </c>
      <c r="FX19">
        <v>3.712889667715053E-3</v>
      </c>
      <c r="FY19">
        <v>1</v>
      </c>
      <c r="FZ19">
        <v>2</v>
      </c>
      <c r="GA19">
        <v>2</v>
      </c>
      <c r="GB19" t="s">
        <v>423</v>
      </c>
      <c r="GC19">
        <v>2.92625</v>
      </c>
      <c r="GD19">
        <v>2.8269099999999998</v>
      </c>
      <c r="GE19">
        <v>4.4066300000000003E-2</v>
      </c>
      <c r="GF19">
        <v>4.9814499999999998E-2</v>
      </c>
      <c r="GG19">
        <v>0.127058</v>
      </c>
      <c r="GH19">
        <v>0.112613</v>
      </c>
      <c r="GI19">
        <v>31269.7</v>
      </c>
      <c r="GJ19">
        <v>25234.1</v>
      </c>
      <c r="GK19">
        <v>31474.6</v>
      </c>
      <c r="GL19">
        <v>26191.8</v>
      </c>
      <c r="GM19">
        <v>37662.1</v>
      </c>
      <c r="GN19">
        <v>31517.9</v>
      </c>
      <c r="GO19">
        <v>46743.6</v>
      </c>
      <c r="GP19">
        <v>38075.9</v>
      </c>
      <c r="GQ19">
        <v>1.9399500000000001</v>
      </c>
      <c r="GR19">
        <v>1.8171999999999999</v>
      </c>
      <c r="GS19">
        <v>6.5952499999999997E-2</v>
      </c>
      <c r="GT19">
        <v>0</v>
      </c>
      <c r="GU19">
        <v>28.945</v>
      </c>
      <c r="GV19">
        <v>999.9</v>
      </c>
      <c r="GW19">
        <v>55.8</v>
      </c>
      <c r="GX19">
        <v>35.5</v>
      </c>
      <c r="GY19">
        <v>32.656500000000001</v>
      </c>
      <c r="GZ19">
        <v>62.651400000000002</v>
      </c>
      <c r="HA19">
        <v>21.610600000000002</v>
      </c>
      <c r="HB19">
        <v>1</v>
      </c>
      <c r="HC19">
        <v>0.37892999999999999</v>
      </c>
      <c r="HD19">
        <v>1.9880800000000001</v>
      </c>
      <c r="HE19">
        <v>20.284600000000001</v>
      </c>
      <c r="HF19">
        <v>5.2210299999999998</v>
      </c>
      <c r="HG19">
        <v>12.058</v>
      </c>
      <c r="HH19">
        <v>4.9913499999999997</v>
      </c>
      <c r="HI19">
        <v>3.2916300000000001</v>
      </c>
      <c r="HJ19">
        <v>9999</v>
      </c>
      <c r="HK19">
        <v>9999</v>
      </c>
      <c r="HL19">
        <v>9999</v>
      </c>
      <c r="HM19">
        <v>461.1</v>
      </c>
      <c r="HN19">
        <v>1.8669100000000001</v>
      </c>
      <c r="HO19">
        <v>1.8704099999999999</v>
      </c>
      <c r="HP19">
        <v>1.8729499999999999</v>
      </c>
      <c r="HQ19">
        <v>1.87381</v>
      </c>
      <c r="HR19">
        <v>1.87073</v>
      </c>
      <c r="HS19">
        <v>1.8690500000000001</v>
      </c>
      <c r="HT19">
        <v>1.8705700000000001</v>
      </c>
      <c r="HU19">
        <v>1.8735900000000001</v>
      </c>
      <c r="HV19">
        <v>0</v>
      </c>
      <c r="HW19">
        <v>0</v>
      </c>
      <c r="HX19">
        <v>0</v>
      </c>
      <c r="HY19">
        <v>0</v>
      </c>
      <c r="HZ19" t="s">
        <v>424</v>
      </c>
      <c r="IA19" t="s">
        <v>425</v>
      </c>
      <c r="IB19" t="s">
        <v>426</v>
      </c>
      <c r="IC19" t="s">
        <v>426</v>
      </c>
      <c r="ID19" t="s">
        <v>426</v>
      </c>
      <c r="IE19" t="s">
        <v>426</v>
      </c>
      <c r="IF19">
        <v>0</v>
      </c>
      <c r="IG19">
        <v>100</v>
      </c>
      <c r="IH19">
        <v>100</v>
      </c>
      <c r="II19">
        <v>0.11799999999999999</v>
      </c>
      <c r="IJ19">
        <v>0.307</v>
      </c>
      <c r="IK19">
        <v>-0.34220412752580998</v>
      </c>
      <c r="IL19">
        <v>3.042515301972944E-3</v>
      </c>
      <c r="IM19">
        <v>-2.5091471490852929E-6</v>
      </c>
      <c r="IN19">
        <v>8.1339755115576286E-10</v>
      </c>
      <c r="IO19">
        <v>0.30694500000000602</v>
      </c>
      <c r="IP19">
        <v>0</v>
      </c>
      <c r="IQ19">
        <v>0</v>
      </c>
      <c r="IR19">
        <v>0</v>
      </c>
      <c r="IS19">
        <v>3</v>
      </c>
      <c r="IT19">
        <v>2004</v>
      </c>
      <c r="IU19">
        <v>2</v>
      </c>
      <c r="IV19">
        <v>22</v>
      </c>
      <c r="IW19">
        <v>0.6</v>
      </c>
      <c r="IX19">
        <v>0.5</v>
      </c>
      <c r="IY19">
        <v>0.59692400000000001</v>
      </c>
      <c r="IZ19">
        <v>2.5647000000000002</v>
      </c>
      <c r="JA19">
        <v>1.64917</v>
      </c>
      <c r="JB19">
        <v>2.34131</v>
      </c>
      <c r="JC19">
        <v>1.5991200000000001</v>
      </c>
      <c r="JD19">
        <v>2.18994</v>
      </c>
      <c r="JE19">
        <v>42.164999999999999</v>
      </c>
      <c r="JF19">
        <v>23.921099999999999</v>
      </c>
      <c r="JG19">
        <v>18</v>
      </c>
      <c r="JH19">
        <v>518.46400000000006</v>
      </c>
      <c r="JI19">
        <v>488.471</v>
      </c>
      <c r="JJ19">
        <v>27.578700000000001</v>
      </c>
      <c r="JK19">
        <v>31.978899999999999</v>
      </c>
      <c r="JL19">
        <v>30.0002</v>
      </c>
      <c r="JM19">
        <v>32.015599999999999</v>
      </c>
      <c r="JN19">
        <v>32.0077</v>
      </c>
      <c r="JO19">
        <v>11.9564</v>
      </c>
      <c r="JP19">
        <v>37.502800000000001</v>
      </c>
      <c r="JQ19">
        <v>44.069099999999999</v>
      </c>
      <c r="JR19">
        <v>27.579799999999999</v>
      </c>
      <c r="JS19">
        <v>200</v>
      </c>
      <c r="JT19">
        <v>23.844000000000001</v>
      </c>
      <c r="JU19">
        <v>99.762500000000003</v>
      </c>
      <c r="JV19">
        <v>99.576300000000003</v>
      </c>
    </row>
    <row r="20" spans="1:282" x14ac:dyDescent="0.25">
      <c r="A20">
        <v>4</v>
      </c>
      <c r="B20">
        <v>1688999929.5999999</v>
      </c>
      <c r="C20">
        <v>334.5</v>
      </c>
      <c r="D20" t="s">
        <v>437</v>
      </c>
      <c r="E20" t="s">
        <v>438</v>
      </c>
      <c r="F20" t="s">
        <v>414</v>
      </c>
      <c r="G20" t="s">
        <v>415</v>
      </c>
      <c r="H20" t="s">
        <v>416</v>
      </c>
      <c r="I20" t="s">
        <v>416</v>
      </c>
      <c r="J20" t="s">
        <v>417</v>
      </c>
      <c r="K20">
        <v>1688999929.5999999</v>
      </c>
      <c r="L20">
        <f t="shared" si="0"/>
        <v>4.4819691160827985E-3</v>
      </c>
      <c r="M20">
        <f t="shared" si="1"/>
        <v>4.4819691160827988</v>
      </c>
      <c r="N20">
        <f t="shared" si="2"/>
        <v>12.827521129983836</v>
      </c>
      <c r="O20">
        <f t="shared" si="3"/>
        <v>104.045</v>
      </c>
      <c r="P20">
        <f t="shared" si="4"/>
        <v>35.466606349133166</v>
      </c>
      <c r="Q20">
        <f t="shared" si="5"/>
        <v>3.5227113833767887</v>
      </c>
      <c r="R20">
        <f t="shared" si="6"/>
        <v>10.334242365210001</v>
      </c>
      <c r="S20">
        <f t="shared" si="7"/>
        <v>0.32267130471789957</v>
      </c>
      <c r="T20">
        <f t="shared" si="8"/>
        <v>2.9112019640996696</v>
      </c>
      <c r="U20">
        <f t="shared" si="9"/>
        <v>0.30403760640198019</v>
      </c>
      <c r="V20">
        <f t="shared" si="10"/>
        <v>0.19160793634765605</v>
      </c>
      <c r="W20">
        <f t="shared" si="11"/>
        <v>289.60376928139414</v>
      </c>
      <c r="X20">
        <f t="shared" si="12"/>
        <v>30.853763805917282</v>
      </c>
      <c r="Y20">
        <f t="shared" si="13"/>
        <v>29.957999999999998</v>
      </c>
      <c r="Z20">
        <f t="shared" si="14"/>
        <v>4.2501824674279041</v>
      </c>
      <c r="AA20">
        <f t="shared" si="15"/>
        <v>65.445299333329402</v>
      </c>
      <c r="AB20">
        <f t="shared" si="16"/>
        <v>2.8382341857714</v>
      </c>
      <c r="AC20">
        <f t="shared" si="17"/>
        <v>4.336803734849707</v>
      </c>
      <c r="AD20">
        <f t="shared" si="18"/>
        <v>1.4119482816565041</v>
      </c>
      <c r="AE20">
        <f t="shared" si="19"/>
        <v>-197.6548380192514</v>
      </c>
      <c r="AF20">
        <f t="shared" si="20"/>
        <v>55.183170053451356</v>
      </c>
      <c r="AG20">
        <f t="shared" si="21"/>
        <v>4.2203527763089852</v>
      </c>
      <c r="AH20">
        <f t="shared" si="22"/>
        <v>151.35245409190307</v>
      </c>
      <c r="AI20">
        <v>0</v>
      </c>
      <c r="AJ20">
        <v>0</v>
      </c>
      <c r="AK20">
        <f t="shared" si="23"/>
        <v>1</v>
      </c>
      <c r="AL20">
        <f t="shared" si="24"/>
        <v>0</v>
      </c>
      <c r="AM20">
        <f t="shared" si="25"/>
        <v>51760.763860816565</v>
      </c>
      <c r="AN20" t="s">
        <v>418</v>
      </c>
      <c r="AO20">
        <v>10021</v>
      </c>
      <c r="AP20">
        <v>177.53923076923081</v>
      </c>
      <c r="AQ20">
        <v>655.56</v>
      </c>
      <c r="AR20">
        <f t="shared" si="26"/>
        <v>0.72917928066198234</v>
      </c>
      <c r="AS20">
        <v>-3.1115002560329539</v>
      </c>
      <c r="AT20" t="s">
        <v>439</v>
      </c>
      <c r="AU20">
        <v>8020.32</v>
      </c>
      <c r="AV20">
        <v>765.83699999999999</v>
      </c>
      <c r="AW20">
        <v>881.89555074955376</v>
      </c>
      <c r="AX20">
        <f t="shared" si="27"/>
        <v>0.13160124308475263</v>
      </c>
      <c r="AY20">
        <v>0.5</v>
      </c>
      <c r="AZ20">
        <f t="shared" si="28"/>
        <v>1513.3782058452819</v>
      </c>
      <c r="BA20">
        <f t="shared" si="29"/>
        <v>12.827521129983836</v>
      </c>
      <c r="BB20">
        <f t="shared" si="30"/>
        <v>99.581226573305869</v>
      </c>
      <c r="BC20">
        <f t="shared" si="31"/>
        <v>1.0532080694999975E-2</v>
      </c>
      <c r="BD20">
        <f t="shared" si="32"/>
        <v>-0.25664666360679939</v>
      </c>
      <c r="BE20">
        <f t="shared" si="33"/>
        <v>190.80089138241965</v>
      </c>
      <c r="BF20" t="s">
        <v>440</v>
      </c>
      <c r="BG20">
        <v>584.45000000000005</v>
      </c>
      <c r="BH20">
        <f t="shared" si="34"/>
        <v>584.45000000000005</v>
      </c>
      <c r="BI20">
        <f t="shared" si="35"/>
        <v>0.33727979520561635</v>
      </c>
      <c r="BJ20">
        <f t="shared" si="36"/>
        <v>0.3901841881886946</v>
      </c>
      <c r="BK20">
        <f t="shared" si="37"/>
        <v>-3.1828934151252164</v>
      </c>
      <c r="BL20">
        <f t="shared" si="38"/>
        <v>0.16477249860240625</v>
      </c>
      <c r="BM20">
        <f t="shared" si="39"/>
        <v>-0.47348476325364047</v>
      </c>
      <c r="BN20">
        <f t="shared" si="40"/>
        <v>0.29776982410993796</v>
      </c>
      <c r="BO20">
        <f t="shared" si="41"/>
        <v>0.70223017589006198</v>
      </c>
      <c r="BP20">
        <v>22473</v>
      </c>
      <c r="BQ20">
        <v>290.00000000000011</v>
      </c>
      <c r="BR20">
        <v>846.99</v>
      </c>
      <c r="BS20">
        <v>285</v>
      </c>
      <c r="BT20">
        <v>8020.32</v>
      </c>
      <c r="BU20">
        <v>848.24</v>
      </c>
      <c r="BV20">
        <v>-1.25</v>
      </c>
      <c r="BW20">
        <v>300.00000000000011</v>
      </c>
      <c r="BX20">
        <v>19.399999999999999</v>
      </c>
      <c r="BY20">
        <v>881.89555074955376</v>
      </c>
      <c r="BZ20">
        <v>3.2266212072362022</v>
      </c>
      <c r="CA20">
        <v>-26.989222597902529</v>
      </c>
      <c r="CB20">
        <v>2.3772676434353568</v>
      </c>
      <c r="CC20">
        <v>0.82153282128596639</v>
      </c>
      <c r="CD20">
        <v>-4.1410662958843202E-3</v>
      </c>
      <c r="CE20">
        <v>289.99999999999989</v>
      </c>
      <c r="CF20">
        <v>846.83</v>
      </c>
      <c r="CG20">
        <v>645</v>
      </c>
      <c r="CH20">
        <v>8011.05</v>
      </c>
      <c r="CI20">
        <v>848.21</v>
      </c>
      <c r="CJ20">
        <v>-1.38</v>
      </c>
      <c r="CX20">
        <f t="shared" si="42"/>
        <v>1800.23</v>
      </c>
      <c r="CY20">
        <f t="shared" si="43"/>
        <v>1513.3782058452819</v>
      </c>
      <c r="CZ20">
        <f t="shared" si="44"/>
        <v>0.84065825247067427</v>
      </c>
      <c r="DA20">
        <f t="shared" si="45"/>
        <v>0.16087042726840134</v>
      </c>
      <c r="DB20">
        <v>6</v>
      </c>
      <c r="DC20">
        <v>0.5</v>
      </c>
      <c r="DD20" t="s">
        <v>421</v>
      </c>
      <c r="DE20">
        <v>2</v>
      </c>
      <c r="DF20">
        <v>1688999929.5999999</v>
      </c>
      <c r="DG20">
        <v>104.045</v>
      </c>
      <c r="DH20">
        <v>119.998</v>
      </c>
      <c r="DI20">
        <v>28.575299999999999</v>
      </c>
      <c r="DJ20">
        <v>23.3505</v>
      </c>
      <c r="DK20">
        <v>104.035</v>
      </c>
      <c r="DL20">
        <v>28.278300000000002</v>
      </c>
      <c r="DM20">
        <v>499.988</v>
      </c>
      <c r="DN20">
        <v>99.224500000000006</v>
      </c>
      <c r="DO20">
        <v>0.10023799999999999</v>
      </c>
      <c r="DP20">
        <v>30.3096</v>
      </c>
      <c r="DQ20">
        <v>29.957999999999998</v>
      </c>
      <c r="DR20">
        <v>999.9</v>
      </c>
      <c r="DS20">
        <v>0</v>
      </c>
      <c r="DT20">
        <v>0</v>
      </c>
      <c r="DU20">
        <v>9973.1200000000008</v>
      </c>
      <c r="DV20">
        <v>0</v>
      </c>
      <c r="DW20">
        <v>1124.3</v>
      </c>
      <c r="DX20">
        <v>-15.952999999999999</v>
      </c>
      <c r="DY20">
        <v>107.105</v>
      </c>
      <c r="DZ20">
        <v>122.867</v>
      </c>
      <c r="EA20">
        <v>5.2248700000000001</v>
      </c>
      <c r="EB20">
        <v>119.998</v>
      </c>
      <c r="EC20">
        <v>23.3505</v>
      </c>
      <c r="ED20">
        <v>2.8353700000000002</v>
      </c>
      <c r="EE20">
        <v>2.3169400000000002</v>
      </c>
      <c r="EF20">
        <v>23.0915</v>
      </c>
      <c r="EG20">
        <v>19.794599999999999</v>
      </c>
      <c r="EH20">
        <v>1800.23</v>
      </c>
      <c r="EI20">
        <v>0.97799499999999995</v>
      </c>
      <c r="EJ20">
        <v>2.2004800000000001E-2</v>
      </c>
      <c r="EK20">
        <v>0</v>
      </c>
      <c r="EL20">
        <v>765.71</v>
      </c>
      <c r="EM20">
        <v>5.0011200000000002</v>
      </c>
      <c r="EN20">
        <v>15231.8</v>
      </c>
      <c r="EO20">
        <v>17213.099999999999</v>
      </c>
      <c r="EP20">
        <v>47.375</v>
      </c>
      <c r="EQ20">
        <v>47.936999999999998</v>
      </c>
      <c r="ER20">
        <v>48</v>
      </c>
      <c r="ES20">
        <v>47.936999999999998</v>
      </c>
      <c r="ET20">
        <v>47.811999999999998</v>
      </c>
      <c r="EU20">
        <v>1755.72</v>
      </c>
      <c r="EV20">
        <v>39.5</v>
      </c>
      <c r="EW20">
        <v>0</v>
      </c>
      <c r="EX20">
        <v>108.80000019073491</v>
      </c>
      <c r="EY20">
        <v>0</v>
      </c>
      <c r="EZ20">
        <v>765.83699999999999</v>
      </c>
      <c r="FA20">
        <v>-3.15083760606398</v>
      </c>
      <c r="FB20">
        <v>-88.447863288669652</v>
      </c>
      <c r="FC20">
        <v>15234.857692307691</v>
      </c>
      <c r="FD20">
        <v>15</v>
      </c>
      <c r="FE20">
        <v>1688999899.0999999</v>
      </c>
      <c r="FF20" t="s">
        <v>441</v>
      </c>
      <c r="FG20">
        <v>1688999894.0999999</v>
      </c>
      <c r="FH20">
        <v>1688999899.0999999</v>
      </c>
      <c r="FI20">
        <v>6</v>
      </c>
      <c r="FJ20">
        <v>6.0999999999999999E-2</v>
      </c>
      <c r="FK20">
        <v>-0.01</v>
      </c>
      <c r="FL20">
        <v>4.9000000000000002E-2</v>
      </c>
      <c r="FM20">
        <v>0.29699999999999999</v>
      </c>
      <c r="FN20">
        <v>120</v>
      </c>
      <c r="FO20">
        <v>23</v>
      </c>
      <c r="FP20">
        <v>0.09</v>
      </c>
      <c r="FQ20">
        <v>0.02</v>
      </c>
      <c r="FR20">
        <v>12.80848159355884</v>
      </c>
      <c r="FS20">
        <v>0.38419083362620371</v>
      </c>
      <c r="FT20">
        <v>3.4792130614630837E-2</v>
      </c>
      <c r="FU20">
        <v>1</v>
      </c>
      <c r="FV20">
        <v>0.3218212653325157</v>
      </c>
      <c r="FW20">
        <v>4.3479873364603003E-2</v>
      </c>
      <c r="FX20">
        <v>3.9832549218824552E-3</v>
      </c>
      <c r="FY20">
        <v>1</v>
      </c>
      <c r="FZ20">
        <v>2</v>
      </c>
      <c r="GA20">
        <v>2</v>
      </c>
      <c r="GB20" t="s">
        <v>423</v>
      </c>
      <c r="GC20">
        <v>2.92638</v>
      </c>
      <c r="GD20">
        <v>2.8273000000000001</v>
      </c>
      <c r="GE20">
        <v>2.7053899999999999E-2</v>
      </c>
      <c r="GF20">
        <v>3.11361E-2</v>
      </c>
      <c r="GG20">
        <v>0.12684100000000001</v>
      </c>
      <c r="GH20">
        <v>0.11083</v>
      </c>
      <c r="GI20">
        <v>31822.9</v>
      </c>
      <c r="GJ20">
        <v>25727.9</v>
      </c>
      <c r="GK20">
        <v>31472.1</v>
      </c>
      <c r="GL20">
        <v>26190.400000000001</v>
      </c>
      <c r="GM20">
        <v>37667.9</v>
      </c>
      <c r="GN20">
        <v>31579.5</v>
      </c>
      <c r="GO20">
        <v>46739.199999999997</v>
      </c>
      <c r="GP20">
        <v>38073.599999999999</v>
      </c>
      <c r="GQ20">
        <v>1.9401999999999999</v>
      </c>
      <c r="GR20">
        <v>1.8128200000000001</v>
      </c>
      <c r="GS20">
        <v>5.8695700000000003E-2</v>
      </c>
      <c r="GT20">
        <v>0</v>
      </c>
      <c r="GU20">
        <v>29.001999999999999</v>
      </c>
      <c r="GV20">
        <v>999.9</v>
      </c>
      <c r="GW20">
        <v>54.9</v>
      </c>
      <c r="GX20">
        <v>35.799999999999997</v>
      </c>
      <c r="GY20">
        <v>32.6661</v>
      </c>
      <c r="GZ20">
        <v>62.711399999999998</v>
      </c>
      <c r="HA20">
        <v>21.213899999999999</v>
      </c>
      <c r="HB20">
        <v>1</v>
      </c>
      <c r="HC20">
        <v>0.38028699999999999</v>
      </c>
      <c r="HD20">
        <v>1.1848700000000001</v>
      </c>
      <c r="HE20">
        <v>20.293099999999999</v>
      </c>
      <c r="HF20">
        <v>5.2258300000000002</v>
      </c>
      <c r="HG20">
        <v>12.0579</v>
      </c>
      <c r="HH20">
        <v>4.9929500000000004</v>
      </c>
      <c r="HI20">
        <v>3.2919999999999998</v>
      </c>
      <c r="HJ20">
        <v>9999</v>
      </c>
      <c r="HK20">
        <v>9999</v>
      </c>
      <c r="HL20">
        <v>9999</v>
      </c>
      <c r="HM20">
        <v>461.1</v>
      </c>
      <c r="HN20">
        <v>1.8669100000000001</v>
      </c>
      <c r="HO20">
        <v>1.87042</v>
      </c>
      <c r="HP20">
        <v>1.87296</v>
      </c>
      <c r="HQ20">
        <v>1.8738699999999999</v>
      </c>
      <c r="HR20">
        <v>1.87073</v>
      </c>
      <c r="HS20">
        <v>1.8690500000000001</v>
      </c>
      <c r="HT20">
        <v>1.87056</v>
      </c>
      <c r="HU20">
        <v>1.8735299999999999</v>
      </c>
      <c r="HV20">
        <v>0</v>
      </c>
      <c r="HW20">
        <v>0</v>
      </c>
      <c r="HX20">
        <v>0</v>
      </c>
      <c r="HY20">
        <v>0</v>
      </c>
      <c r="HZ20" t="s">
        <v>424</v>
      </c>
      <c r="IA20" t="s">
        <v>425</v>
      </c>
      <c r="IB20" t="s">
        <v>426</v>
      </c>
      <c r="IC20" t="s">
        <v>426</v>
      </c>
      <c r="ID20" t="s">
        <v>426</v>
      </c>
      <c r="IE20" t="s">
        <v>426</v>
      </c>
      <c r="IF20">
        <v>0</v>
      </c>
      <c r="IG20">
        <v>100</v>
      </c>
      <c r="IH20">
        <v>100</v>
      </c>
      <c r="II20">
        <v>0.01</v>
      </c>
      <c r="IJ20">
        <v>0.29699999999999999</v>
      </c>
      <c r="IK20">
        <v>-0.28084679315235078</v>
      </c>
      <c r="IL20">
        <v>3.042515301972944E-3</v>
      </c>
      <c r="IM20">
        <v>-2.5091471490852929E-6</v>
      </c>
      <c r="IN20">
        <v>8.1339755115576286E-10</v>
      </c>
      <c r="IO20">
        <v>0.29704499999999712</v>
      </c>
      <c r="IP20">
        <v>0</v>
      </c>
      <c r="IQ20">
        <v>0</v>
      </c>
      <c r="IR20">
        <v>0</v>
      </c>
      <c r="IS20">
        <v>3</v>
      </c>
      <c r="IT20">
        <v>2004</v>
      </c>
      <c r="IU20">
        <v>2</v>
      </c>
      <c r="IV20">
        <v>22</v>
      </c>
      <c r="IW20">
        <v>0.6</v>
      </c>
      <c r="IX20">
        <v>0.5</v>
      </c>
      <c r="IY20">
        <v>0.41503899999999999</v>
      </c>
      <c r="IZ20">
        <v>2.5708000000000002</v>
      </c>
      <c r="JA20">
        <v>1.64917</v>
      </c>
      <c r="JB20">
        <v>2.34131</v>
      </c>
      <c r="JC20">
        <v>1.5991200000000001</v>
      </c>
      <c r="JD20">
        <v>2.3156699999999999</v>
      </c>
      <c r="JE20">
        <v>42.377200000000002</v>
      </c>
      <c r="JF20">
        <v>23.9299</v>
      </c>
      <c r="JG20">
        <v>18</v>
      </c>
      <c r="JH20">
        <v>518.90899999999999</v>
      </c>
      <c r="JI20">
        <v>485.67200000000003</v>
      </c>
      <c r="JJ20">
        <v>28.064900000000002</v>
      </c>
      <c r="JK20">
        <v>32.015599999999999</v>
      </c>
      <c r="JL20">
        <v>30.000299999999999</v>
      </c>
      <c r="JM20">
        <v>32.050699999999999</v>
      </c>
      <c r="JN20">
        <v>32.040100000000002</v>
      </c>
      <c r="JO20">
        <v>8.3139099999999999</v>
      </c>
      <c r="JP20">
        <v>39.842199999999998</v>
      </c>
      <c r="JQ20">
        <v>40.728999999999999</v>
      </c>
      <c r="JR20">
        <v>28.073499999999999</v>
      </c>
      <c r="JS20">
        <v>120</v>
      </c>
      <c r="JT20">
        <v>23.224699999999999</v>
      </c>
      <c r="JU20">
        <v>99.753699999999995</v>
      </c>
      <c r="JV20">
        <v>99.570499999999996</v>
      </c>
    </row>
    <row r="21" spans="1:282" x14ac:dyDescent="0.25">
      <c r="A21">
        <v>5</v>
      </c>
      <c r="B21">
        <v>1689000033.0999999</v>
      </c>
      <c r="C21">
        <v>438</v>
      </c>
      <c r="D21" t="s">
        <v>442</v>
      </c>
      <c r="E21" t="s">
        <v>443</v>
      </c>
      <c r="F21" t="s">
        <v>414</v>
      </c>
      <c r="G21" t="s">
        <v>415</v>
      </c>
      <c r="H21" t="s">
        <v>416</v>
      </c>
      <c r="I21" t="s">
        <v>416</v>
      </c>
      <c r="J21" t="s">
        <v>417</v>
      </c>
      <c r="K21">
        <v>1689000033.0999999</v>
      </c>
      <c r="L21">
        <f t="shared" si="0"/>
        <v>4.6183064286312711E-3</v>
      </c>
      <c r="M21">
        <f t="shared" si="1"/>
        <v>4.6183064286312714</v>
      </c>
      <c r="N21">
        <f t="shared" si="2"/>
        <v>7.82512569367029</v>
      </c>
      <c r="O21">
        <f t="shared" si="3"/>
        <v>60.280799999999999</v>
      </c>
      <c r="P21">
        <f t="shared" si="4"/>
        <v>20.064251306420971</v>
      </c>
      <c r="Q21">
        <f t="shared" si="5"/>
        <v>1.9929034103374226</v>
      </c>
      <c r="R21">
        <f t="shared" si="6"/>
        <v>5.9874555029831997</v>
      </c>
      <c r="S21">
        <f t="shared" si="7"/>
        <v>0.3361507883816654</v>
      </c>
      <c r="T21">
        <f t="shared" si="8"/>
        <v>2.9081535762945574</v>
      </c>
      <c r="U21">
        <f t="shared" si="9"/>
        <v>0.31596018186860592</v>
      </c>
      <c r="V21">
        <f t="shared" si="10"/>
        <v>0.19918802053811857</v>
      </c>
      <c r="W21">
        <f t="shared" si="11"/>
        <v>289.54630057684471</v>
      </c>
      <c r="X21">
        <f t="shared" si="12"/>
        <v>30.927596829610522</v>
      </c>
      <c r="Y21">
        <f t="shared" si="13"/>
        <v>29.997399999999999</v>
      </c>
      <c r="Z21">
        <f t="shared" si="14"/>
        <v>4.259813550293563</v>
      </c>
      <c r="AA21">
        <f t="shared" si="15"/>
        <v>65.536134000803131</v>
      </c>
      <c r="AB21">
        <f t="shared" si="16"/>
        <v>2.8600249165497003</v>
      </c>
      <c r="AC21">
        <f t="shared" si="17"/>
        <v>4.3640427683980434</v>
      </c>
      <c r="AD21">
        <f t="shared" si="18"/>
        <v>1.3997886337438628</v>
      </c>
      <c r="AE21">
        <f t="shared" si="19"/>
        <v>-203.66731350263905</v>
      </c>
      <c r="AF21">
        <f t="shared" si="20"/>
        <v>66.084614317588787</v>
      </c>
      <c r="AG21">
        <f t="shared" si="21"/>
        <v>5.0631063733923929</v>
      </c>
      <c r="AH21">
        <f t="shared" si="22"/>
        <v>157.02670776518681</v>
      </c>
      <c r="AI21">
        <v>0</v>
      </c>
      <c r="AJ21">
        <v>0</v>
      </c>
      <c r="AK21">
        <f t="shared" si="23"/>
        <v>1</v>
      </c>
      <c r="AL21">
        <f t="shared" si="24"/>
        <v>0</v>
      </c>
      <c r="AM21">
        <f t="shared" si="25"/>
        <v>51655.5799438432</v>
      </c>
      <c r="AN21" t="s">
        <v>418</v>
      </c>
      <c r="AO21">
        <v>10021</v>
      </c>
      <c r="AP21">
        <v>177.53923076923081</v>
      </c>
      <c r="AQ21">
        <v>655.56</v>
      </c>
      <c r="AR21">
        <f t="shared" si="26"/>
        <v>0.72917928066198234</v>
      </c>
      <c r="AS21">
        <v>-3.1115002560329539</v>
      </c>
      <c r="AT21" t="s">
        <v>444</v>
      </c>
      <c r="AU21">
        <v>8019.95</v>
      </c>
      <c r="AV21">
        <v>774.85784000000001</v>
      </c>
      <c r="AW21">
        <v>861.26364641184205</v>
      </c>
      <c r="AX21">
        <f t="shared" si="27"/>
        <v>0.1003244555506575</v>
      </c>
      <c r="AY21">
        <v>0.5</v>
      </c>
      <c r="AZ21">
        <f t="shared" si="28"/>
        <v>1513.0757992626138</v>
      </c>
      <c r="BA21">
        <f t="shared" si="29"/>
        <v>7.82512569367029</v>
      </c>
      <c r="BB21">
        <f t="shared" si="30"/>
        <v>75.899252883948833</v>
      </c>
      <c r="BC21">
        <f t="shared" si="31"/>
        <v>7.2280753912217265E-3</v>
      </c>
      <c r="BD21">
        <f t="shared" si="32"/>
        <v>-0.23883934642874502</v>
      </c>
      <c r="BE21">
        <f t="shared" si="33"/>
        <v>189.81710277859239</v>
      </c>
      <c r="BF21" t="s">
        <v>445</v>
      </c>
      <c r="BG21">
        <v>598.51</v>
      </c>
      <c r="BH21">
        <f t="shared" si="34"/>
        <v>598.51</v>
      </c>
      <c r="BI21">
        <f t="shared" si="35"/>
        <v>0.30507922574755653</v>
      </c>
      <c r="BJ21">
        <f t="shared" si="36"/>
        <v>0.32884722093031937</v>
      </c>
      <c r="BK21">
        <f t="shared" si="37"/>
        <v>-3.6056730308824236</v>
      </c>
      <c r="BL21">
        <f t="shared" si="38"/>
        <v>0.12637519508592057</v>
      </c>
      <c r="BM21">
        <f t="shared" si="39"/>
        <v>-0.43032365882942775</v>
      </c>
      <c r="BN21">
        <f t="shared" si="40"/>
        <v>0.25400575439619405</v>
      </c>
      <c r="BO21">
        <f t="shared" si="41"/>
        <v>0.74599424560380601</v>
      </c>
      <c r="BP21">
        <v>22475</v>
      </c>
      <c r="BQ21">
        <v>290.00000000000011</v>
      </c>
      <c r="BR21">
        <v>832.74</v>
      </c>
      <c r="BS21">
        <v>285</v>
      </c>
      <c r="BT21">
        <v>8019.95</v>
      </c>
      <c r="BU21">
        <v>833.73</v>
      </c>
      <c r="BV21">
        <v>-0.99</v>
      </c>
      <c r="BW21">
        <v>300.00000000000011</v>
      </c>
      <c r="BX21">
        <v>19.399999999999999</v>
      </c>
      <c r="BY21">
        <v>861.26364641184205</v>
      </c>
      <c r="BZ21">
        <v>2.519843520201503</v>
      </c>
      <c r="CA21">
        <v>-22.08148490286522</v>
      </c>
      <c r="CB21">
        <v>1.8564440503929569</v>
      </c>
      <c r="CC21">
        <v>0.83478805700901193</v>
      </c>
      <c r="CD21">
        <v>-4.1408703003337046E-3</v>
      </c>
      <c r="CE21">
        <v>289.99999999999989</v>
      </c>
      <c r="CF21">
        <v>832.07</v>
      </c>
      <c r="CG21">
        <v>665</v>
      </c>
      <c r="CH21">
        <v>8010.05</v>
      </c>
      <c r="CI21">
        <v>833.7</v>
      </c>
      <c r="CJ21">
        <v>-1.63</v>
      </c>
      <c r="CX21">
        <f t="shared" si="42"/>
        <v>1799.87</v>
      </c>
      <c r="CY21">
        <f t="shared" si="43"/>
        <v>1513.0757992626138</v>
      </c>
      <c r="CZ21">
        <f t="shared" si="44"/>
        <v>0.84065838047337527</v>
      </c>
      <c r="DA21">
        <f t="shared" si="45"/>
        <v>0.16087067431361418</v>
      </c>
      <c r="DB21">
        <v>6</v>
      </c>
      <c r="DC21">
        <v>0.5</v>
      </c>
      <c r="DD21" t="s">
        <v>421</v>
      </c>
      <c r="DE21">
        <v>2</v>
      </c>
      <c r="DF21">
        <v>1689000033.0999999</v>
      </c>
      <c r="DG21">
        <v>60.280799999999999</v>
      </c>
      <c r="DH21">
        <v>70.004499999999993</v>
      </c>
      <c r="DI21">
        <v>28.7943</v>
      </c>
      <c r="DJ21">
        <v>23.412199999999999</v>
      </c>
      <c r="DK21">
        <v>60.432299999999998</v>
      </c>
      <c r="DL21">
        <v>28.498999999999999</v>
      </c>
      <c r="DM21">
        <v>500.02699999999999</v>
      </c>
      <c r="DN21">
        <v>99.225700000000003</v>
      </c>
      <c r="DO21">
        <v>0.100379</v>
      </c>
      <c r="DP21">
        <v>30.418900000000001</v>
      </c>
      <c r="DQ21">
        <v>29.997399999999999</v>
      </c>
      <c r="DR21">
        <v>999.9</v>
      </c>
      <c r="DS21">
        <v>0</v>
      </c>
      <c r="DT21">
        <v>0</v>
      </c>
      <c r="DU21">
        <v>9955.6200000000008</v>
      </c>
      <c r="DV21">
        <v>0</v>
      </c>
      <c r="DW21">
        <v>1135.67</v>
      </c>
      <c r="DX21">
        <v>-9.7237299999999998</v>
      </c>
      <c r="DY21">
        <v>62.067999999999998</v>
      </c>
      <c r="DZ21">
        <v>71.6828</v>
      </c>
      <c r="EA21">
        <v>5.3820899999999998</v>
      </c>
      <c r="EB21">
        <v>70.004499999999993</v>
      </c>
      <c r="EC21">
        <v>23.412199999999999</v>
      </c>
      <c r="ED21">
        <v>2.8571399999999998</v>
      </c>
      <c r="EE21">
        <v>2.3231000000000002</v>
      </c>
      <c r="EF21">
        <v>23.218</v>
      </c>
      <c r="EG21">
        <v>19.837399999999999</v>
      </c>
      <c r="EH21">
        <v>1799.87</v>
      </c>
      <c r="EI21">
        <v>0.97799199999999997</v>
      </c>
      <c r="EJ21">
        <v>2.20085E-2</v>
      </c>
      <c r="EK21">
        <v>0</v>
      </c>
      <c r="EL21">
        <v>774.62199999999996</v>
      </c>
      <c r="EM21">
        <v>5.0011200000000002</v>
      </c>
      <c r="EN21">
        <v>15386.1</v>
      </c>
      <c r="EO21">
        <v>17209.7</v>
      </c>
      <c r="EP21">
        <v>47.375</v>
      </c>
      <c r="EQ21">
        <v>48</v>
      </c>
      <c r="ER21">
        <v>48</v>
      </c>
      <c r="ES21">
        <v>47.936999999999998</v>
      </c>
      <c r="ET21">
        <v>47.561999999999998</v>
      </c>
      <c r="EU21">
        <v>1755.37</v>
      </c>
      <c r="EV21">
        <v>39.5</v>
      </c>
      <c r="EW21">
        <v>0</v>
      </c>
      <c r="EX21">
        <v>101.4000000953674</v>
      </c>
      <c r="EY21">
        <v>0</v>
      </c>
      <c r="EZ21">
        <v>774.85784000000001</v>
      </c>
      <c r="FA21">
        <v>-2.404846140263829</v>
      </c>
      <c r="FB21">
        <v>-46.061538430211797</v>
      </c>
      <c r="FC21">
        <v>15391.2</v>
      </c>
      <c r="FD21">
        <v>15</v>
      </c>
      <c r="FE21">
        <v>1689000002.5999999</v>
      </c>
      <c r="FF21" t="s">
        <v>446</v>
      </c>
      <c r="FG21">
        <v>1688999994.5999999</v>
      </c>
      <c r="FH21">
        <v>1689000002.5999999</v>
      </c>
      <c r="FI21">
        <v>7</v>
      </c>
      <c r="FJ21">
        <v>-4.4999999999999998E-2</v>
      </c>
      <c r="FK21">
        <v>-2E-3</v>
      </c>
      <c r="FL21">
        <v>-0.125</v>
      </c>
      <c r="FM21">
        <v>0.29499999999999998</v>
      </c>
      <c r="FN21">
        <v>70</v>
      </c>
      <c r="FO21">
        <v>23</v>
      </c>
      <c r="FP21">
        <v>0.09</v>
      </c>
      <c r="FQ21">
        <v>0.03</v>
      </c>
      <c r="FR21">
        <v>7.8401049036705066</v>
      </c>
      <c r="FS21">
        <v>-0.53560555843282065</v>
      </c>
      <c r="FT21">
        <v>5.3055443317232921E-2</v>
      </c>
      <c r="FU21">
        <v>1</v>
      </c>
      <c r="FV21">
        <v>0.3345237654243865</v>
      </c>
      <c r="FW21">
        <v>4.8412752457543992E-2</v>
      </c>
      <c r="FX21">
        <v>4.0136781342364446E-3</v>
      </c>
      <c r="FY21">
        <v>1</v>
      </c>
      <c r="FZ21">
        <v>2</v>
      </c>
      <c r="GA21">
        <v>2</v>
      </c>
      <c r="GB21" t="s">
        <v>423</v>
      </c>
      <c r="GC21">
        <v>2.9264600000000001</v>
      </c>
      <c r="GD21">
        <v>2.8273100000000002</v>
      </c>
      <c r="GE21">
        <v>1.5920400000000001E-2</v>
      </c>
      <c r="GF21">
        <v>1.85021E-2</v>
      </c>
      <c r="GG21">
        <v>0.12751999999999999</v>
      </c>
      <c r="GH21">
        <v>0.111031</v>
      </c>
      <c r="GI21">
        <v>32183.8</v>
      </c>
      <c r="GJ21">
        <v>26061</v>
      </c>
      <c r="GK21">
        <v>31469.4</v>
      </c>
      <c r="GL21">
        <v>26188.6</v>
      </c>
      <c r="GM21">
        <v>37635.199999999997</v>
      </c>
      <c r="GN21">
        <v>31570.400000000001</v>
      </c>
      <c r="GO21">
        <v>46735.4</v>
      </c>
      <c r="GP21">
        <v>38071.5</v>
      </c>
      <c r="GQ21">
        <v>1.9400200000000001</v>
      </c>
      <c r="GR21">
        <v>1.81057</v>
      </c>
      <c r="GS21">
        <v>5.68479E-2</v>
      </c>
      <c r="GT21">
        <v>0</v>
      </c>
      <c r="GU21">
        <v>29.0716</v>
      </c>
      <c r="GV21">
        <v>999.9</v>
      </c>
      <c r="GW21">
        <v>54.2</v>
      </c>
      <c r="GX21">
        <v>36.1</v>
      </c>
      <c r="GY21">
        <v>32.784599999999998</v>
      </c>
      <c r="GZ21">
        <v>62.001399999999997</v>
      </c>
      <c r="HA21">
        <v>21.526399999999999</v>
      </c>
      <c r="HB21">
        <v>1</v>
      </c>
      <c r="HC21">
        <v>0.38491599999999998</v>
      </c>
      <c r="HD21">
        <v>2.1109599999999999</v>
      </c>
      <c r="HE21">
        <v>20.284199999999998</v>
      </c>
      <c r="HF21">
        <v>5.2261300000000004</v>
      </c>
      <c r="HG21">
        <v>12.0579</v>
      </c>
      <c r="HH21">
        <v>4.9928499999999998</v>
      </c>
      <c r="HI21">
        <v>3.2919999999999998</v>
      </c>
      <c r="HJ21">
        <v>9999</v>
      </c>
      <c r="HK21">
        <v>9999</v>
      </c>
      <c r="HL21">
        <v>9999</v>
      </c>
      <c r="HM21">
        <v>461.1</v>
      </c>
      <c r="HN21">
        <v>1.8669100000000001</v>
      </c>
      <c r="HO21">
        <v>1.87042</v>
      </c>
      <c r="HP21">
        <v>1.873</v>
      </c>
      <c r="HQ21">
        <v>1.87384</v>
      </c>
      <c r="HR21">
        <v>1.87073</v>
      </c>
      <c r="HS21">
        <v>1.8690500000000001</v>
      </c>
      <c r="HT21">
        <v>1.8705700000000001</v>
      </c>
      <c r="HU21">
        <v>1.87357</v>
      </c>
      <c r="HV21">
        <v>0</v>
      </c>
      <c r="HW21">
        <v>0</v>
      </c>
      <c r="HX21">
        <v>0</v>
      </c>
      <c r="HY21">
        <v>0</v>
      </c>
      <c r="HZ21" t="s">
        <v>424</v>
      </c>
      <c r="IA21" t="s">
        <v>425</v>
      </c>
      <c r="IB21" t="s">
        <v>426</v>
      </c>
      <c r="IC21" t="s">
        <v>426</v>
      </c>
      <c r="ID21" t="s">
        <v>426</v>
      </c>
      <c r="IE21" t="s">
        <v>426</v>
      </c>
      <c r="IF21">
        <v>0</v>
      </c>
      <c r="IG21">
        <v>100</v>
      </c>
      <c r="IH21">
        <v>100</v>
      </c>
      <c r="II21">
        <v>-0.151</v>
      </c>
      <c r="IJ21">
        <v>0.29530000000000001</v>
      </c>
      <c r="IK21">
        <v>-0.32633202678710649</v>
      </c>
      <c r="IL21">
        <v>3.042515301972944E-3</v>
      </c>
      <c r="IM21">
        <v>-2.5091471490852929E-6</v>
      </c>
      <c r="IN21">
        <v>8.1339755115576286E-10</v>
      </c>
      <c r="IO21">
        <v>0.29534500000000108</v>
      </c>
      <c r="IP21">
        <v>0</v>
      </c>
      <c r="IQ21">
        <v>0</v>
      </c>
      <c r="IR21">
        <v>0</v>
      </c>
      <c r="IS21">
        <v>3</v>
      </c>
      <c r="IT21">
        <v>2004</v>
      </c>
      <c r="IU21">
        <v>2</v>
      </c>
      <c r="IV21">
        <v>22</v>
      </c>
      <c r="IW21">
        <v>0.6</v>
      </c>
      <c r="IX21">
        <v>0.5</v>
      </c>
      <c r="IY21">
        <v>0.301514</v>
      </c>
      <c r="IZ21">
        <v>2.5939899999999998</v>
      </c>
      <c r="JA21">
        <v>1.64917</v>
      </c>
      <c r="JB21">
        <v>2.34009</v>
      </c>
      <c r="JC21">
        <v>1.5991200000000001</v>
      </c>
      <c r="JD21">
        <v>2.2912599999999999</v>
      </c>
      <c r="JE21">
        <v>42.563699999999997</v>
      </c>
      <c r="JF21">
        <v>23.921099999999999</v>
      </c>
      <c r="JG21">
        <v>18</v>
      </c>
      <c r="JH21">
        <v>518.971</v>
      </c>
      <c r="JI21">
        <v>484.28500000000003</v>
      </c>
      <c r="JJ21">
        <v>27.5123</v>
      </c>
      <c r="JK21">
        <v>32.035299999999999</v>
      </c>
      <c r="JL21">
        <v>30.0001</v>
      </c>
      <c r="JM21">
        <v>32.072899999999997</v>
      </c>
      <c r="JN21">
        <v>32.062600000000003</v>
      </c>
      <c r="JO21">
        <v>6.0513599999999999</v>
      </c>
      <c r="JP21">
        <v>39.070700000000002</v>
      </c>
      <c r="JQ21">
        <v>37.872700000000002</v>
      </c>
      <c r="JR21">
        <v>27.512499999999999</v>
      </c>
      <c r="JS21">
        <v>70</v>
      </c>
      <c r="JT21">
        <v>23.3626</v>
      </c>
      <c r="JU21">
        <v>99.745400000000004</v>
      </c>
      <c r="JV21">
        <v>99.564499999999995</v>
      </c>
    </row>
    <row r="22" spans="1:282" x14ac:dyDescent="0.25">
      <c r="A22">
        <v>6</v>
      </c>
      <c r="B22">
        <v>1689000176.0999999</v>
      </c>
      <c r="C22">
        <v>581</v>
      </c>
      <c r="D22" t="s">
        <v>447</v>
      </c>
      <c r="E22" t="s">
        <v>448</v>
      </c>
      <c r="F22" t="s">
        <v>414</v>
      </c>
      <c r="G22" t="s">
        <v>415</v>
      </c>
      <c r="H22" t="s">
        <v>416</v>
      </c>
      <c r="I22" t="s">
        <v>416</v>
      </c>
      <c r="J22" t="s">
        <v>417</v>
      </c>
      <c r="K22">
        <v>1689000176.0999999</v>
      </c>
      <c r="L22">
        <f t="shared" si="0"/>
        <v>4.8938722086831971E-3</v>
      </c>
      <c r="M22">
        <f t="shared" si="1"/>
        <v>4.8938722086831969</v>
      </c>
      <c r="N22">
        <f t="shared" si="2"/>
        <v>3.5120041320782458</v>
      </c>
      <c r="O22">
        <f t="shared" si="3"/>
        <v>25.680499999999999</v>
      </c>
      <c r="P22">
        <f t="shared" si="4"/>
        <v>8.5169592940726329</v>
      </c>
      <c r="Q22">
        <f t="shared" si="5"/>
        <v>0.8458332293754327</v>
      </c>
      <c r="R22">
        <f t="shared" si="6"/>
        <v>2.5503726737419998</v>
      </c>
      <c r="S22">
        <f t="shared" si="7"/>
        <v>0.35450217492014674</v>
      </c>
      <c r="T22">
        <f t="shared" si="8"/>
        <v>2.9143695885532956</v>
      </c>
      <c r="U22">
        <f t="shared" si="9"/>
        <v>0.33217009799391872</v>
      </c>
      <c r="V22">
        <f t="shared" si="10"/>
        <v>0.20949541772927471</v>
      </c>
      <c r="W22">
        <f t="shared" si="11"/>
        <v>289.53672457679727</v>
      </c>
      <c r="X22">
        <f t="shared" si="12"/>
        <v>30.910174021698001</v>
      </c>
      <c r="Y22">
        <f t="shared" si="13"/>
        <v>30.048500000000001</v>
      </c>
      <c r="Z22">
        <f t="shared" si="14"/>
        <v>4.2723329519336035</v>
      </c>
      <c r="AA22">
        <f t="shared" si="15"/>
        <v>65.367054641778637</v>
      </c>
      <c r="AB22">
        <f t="shared" si="16"/>
        <v>2.8617246088463997</v>
      </c>
      <c r="AC22">
        <f t="shared" si="17"/>
        <v>4.3779310916318375</v>
      </c>
      <c r="AD22">
        <f t="shared" si="18"/>
        <v>1.4106083430872038</v>
      </c>
      <c r="AE22">
        <f t="shared" si="19"/>
        <v>-215.819764402929</v>
      </c>
      <c r="AF22">
        <f t="shared" si="20"/>
        <v>66.917192178618293</v>
      </c>
      <c r="AG22">
        <f t="shared" si="21"/>
        <v>5.1186581586882038</v>
      </c>
      <c r="AH22">
        <f t="shared" si="22"/>
        <v>145.7528105111748</v>
      </c>
      <c r="AI22">
        <v>0</v>
      </c>
      <c r="AJ22">
        <v>0</v>
      </c>
      <c r="AK22">
        <f t="shared" si="23"/>
        <v>1</v>
      </c>
      <c r="AL22">
        <f t="shared" si="24"/>
        <v>0</v>
      </c>
      <c r="AM22">
        <f t="shared" si="25"/>
        <v>51822.374393934697</v>
      </c>
      <c r="AN22" t="s">
        <v>418</v>
      </c>
      <c r="AO22">
        <v>10021</v>
      </c>
      <c r="AP22">
        <v>177.53923076923081</v>
      </c>
      <c r="AQ22">
        <v>655.56</v>
      </c>
      <c r="AR22">
        <f t="shared" si="26"/>
        <v>0.72917928066198234</v>
      </c>
      <c r="AS22">
        <v>-3.1115002560329539</v>
      </c>
      <c r="AT22" t="s">
        <v>449</v>
      </c>
      <c r="AU22">
        <v>8021.33</v>
      </c>
      <c r="AV22">
        <v>781.56239999999991</v>
      </c>
      <c r="AW22">
        <v>842.75662820490948</v>
      </c>
      <c r="AX22">
        <f t="shared" si="27"/>
        <v>7.2611980917023033E-2</v>
      </c>
      <c r="AY22">
        <v>0.5</v>
      </c>
      <c r="AZ22">
        <f t="shared" si="28"/>
        <v>1513.0253992625892</v>
      </c>
      <c r="BA22">
        <f t="shared" si="29"/>
        <v>3.5120041320782458</v>
      </c>
      <c r="BB22">
        <f t="shared" si="30"/>
        <v>54.931885709113139</v>
      </c>
      <c r="BC22">
        <f t="shared" si="31"/>
        <v>4.3776557824735333E-3</v>
      </c>
      <c r="BD22">
        <f t="shared" si="32"/>
        <v>-0.2221241838271181</v>
      </c>
      <c r="BE22">
        <f t="shared" si="33"/>
        <v>188.90283801482221</v>
      </c>
      <c r="BF22" t="s">
        <v>450</v>
      </c>
      <c r="BG22">
        <v>611.08000000000004</v>
      </c>
      <c r="BH22">
        <f t="shared" si="34"/>
        <v>611.08000000000004</v>
      </c>
      <c r="BI22">
        <f t="shared" si="35"/>
        <v>0.2749033593463226</v>
      </c>
      <c r="BJ22">
        <f t="shared" si="36"/>
        <v>0.26413638992874811</v>
      </c>
      <c r="BK22">
        <f t="shared" si="37"/>
        <v>-4.20855728877945</v>
      </c>
      <c r="BL22">
        <f t="shared" si="38"/>
        <v>9.1991322597401809E-2</v>
      </c>
      <c r="BM22">
        <f t="shared" si="39"/>
        <v>-0.39160772973556418</v>
      </c>
      <c r="BN22">
        <f t="shared" si="40"/>
        <v>0.20652025373490257</v>
      </c>
      <c r="BO22">
        <f t="shared" si="41"/>
        <v>0.79347974626509743</v>
      </c>
      <c r="BP22">
        <v>22477</v>
      </c>
      <c r="BQ22">
        <v>290.00000000000011</v>
      </c>
      <c r="BR22">
        <v>822.14</v>
      </c>
      <c r="BS22">
        <v>255</v>
      </c>
      <c r="BT22">
        <v>8021.33</v>
      </c>
      <c r="BU22">
        <v>822.07</v>
      </c>
      <c r="BV22">
        <v>7.0000000000000007E-2</v>
      </c>
      <c r="BW22">
        <v>300.00000000000011</v>
      </c>
      <c r="BX22">
        <v>19.399999999999999</v>
      </c>
      <c r="BY22">
        <v>842.75662820490948</v>
      </c>
      <c r="BZ22">
        <v>2.1554154424027598</v>
      </c>
      <c r="CA22">
        <v>-16.594030592456772</v>
      </c>
      <c r="CB22">
        <v>1.587861902634625</v>
      </c>
      <c r="CC22">
        <v>0.79593919046999018</v>
      </c>
      <c r="CD22">
        <v>-4.1407032258064603E-3</v>
      </c>
      <c r="CE22">
        <v>289.99999999999989</v>
      </c>
      <c r="CF22">
        <v>822.03</v>
      </c>
      <c r="CG22">
        <v>635</v>
      </c>
      <c r="CH22">
        <v>8010.42</v>
      </c>
      <c r="CI22">
        <v>822.04</v>
      </c>
      <c r="CJ22">
        <v>-0.01</v>
      </c>
      <c r="CX22">
        <f t="shared" si="42"/>
        <v>1799.81</v>
      </c>
      <c r="CY22">
        <f t="shared" si="43"/>
        <v>1513.0253992625892</v>
      </c>
      <c r="CZ22">
        <f t="shared" si="44"/>
        <v>0.8406584024216941</v>
      </c>
      <c r="DA22">
        <f t="shared" si="45"/>
        <v>0.16087071667386962</v>
      </c>
      <c r="DB22">
        <v>6</v>
      </c>
      <c r="DC22">
        <v>0.5</v>
      </c>
      <c r="DD22" t="s">
        <v>421</v>
      </c>
      <c r="DE22">
        <v>2</v>
      </c>
      <c r="DF22">
        <v>1689000176.0999999</v>
      </c>
      <c r="DG22">
        <v>25.680499999999999</v>
      </c>
      <c r="DH22">
        <v>30.0457</v>
      </c>
      <c r="DI22">
        <v>28.8156</v>
      </c>
      <c r="DJ22">
        <v>23.112200000000001</v>
      </c>
      <c r="DK22">
        <v>25.770099999999999</v>
      </c>
      <c r="DL22">
        <v>28.523299999999999</v>
      </c>
      <c r="DM22">
        <v>500.00200000000001</v>
      </c>
      <c r="DN22">
        <v>99.211600000000004</v>
      </c>
      <c r="DO22">
        <v>0.10004399999999999</v>
      </c>
      <c r="DP22">
        <v>30.474399999999999</v>
      </c>
      <c r="DQ22">
        <v>30.048500000000001</v>
      </c>
      <c r="DR22">
        <v>999.9</v>
      </c>
      <c r="DS22">
        <v>0</v>
      </c>
      <c r="DT22">
        <v>0</v>
      </c>
      <c r="DU22">
        <v>9992.5</v>
      </c>
      <c r="DV22">
        <v>0</v>
      </c>
      <c r="DW22">
        <v>1151.82</v>
      </c>
      <c r="DX22">
        <v>-4.3652199999999999</v>
      </c>
      <c r="DY22">
        <v>26.442499999999999</v>
      </c>
      <c r="DZ22">
        <v>30.756599999999999</v>
      </c>
      <c r="EA22">
        <v>5.7034500000000001</v>
      </c>
      <c r="EB22">
        <v>30.0457</v>
      </c>
      <c r="EC22">
        <v>23.112200000000001</v>
      </c>
      <c r="ED22">
        <v>2.8588499999999999</v>
      </c>
      <c r="EE22">
        <v>2.2930000000000001</v>
      </c>
      <c r="EF22">
        <v>23.227900000000002</v>
      </c>
      <c r="EG22">
        <v>19.627300000000002</v>
      </c>
      <c r="EH22">
        <v>1799.81</v>
      </c>
      <c r="EI22">
        <v>0.97799199999999997</v>
      </c>
      <c r="EJ22">
        <v>2.20085E-2</v>
      </c>
      <c r="EK22">
        <v>0</v>
      </c>
      <c r="EL22">
        <v>781.22699999999998</v>
      </c>
      <c r="EM22">
        <v>5.0011200000000002</v>
      </c>
      <c r="EN22">
        <v>15494.2</v>
      </c>
      <c r="EO22">
        <v>17209</v>
      </c>
      <c r="EP22">
        <v>47.625</v>
      </c>
      <c r="EQ22">
        <v>48.186999999999998</v>
      </c>
      <c r="ER22">
        <v>48.311999999999998</v>
      </c>
      <c r="ES22">
        <v>48.186999999999998</v>
      </c>
      <c r="ET22">
        <v>48.436999999999998</v>
      </c>
      <c r="EU22">
        <v>1755.31</v>
      </c>
      <c r="EV22">
        <v>39.5</v>
      </c>
      <c r="EW22">
        <v>0</v>
      </c>
      <c r="EX22">
        <v>141.20000004768369</v>
      </c>
      <c r="EY22">
        <v>0</v>
      </c>
      <c r="EZ22">
        <v>781.56239999999991</v>
      </c>
      <c r="FA22">
        <v>-1.5963077030313939</v>
      </c>
      <c r="FB22">
        <v>-37.100000065093759</v>
      </c>
      <c r="FC22">
        <v>15502.244000000001</v>
      </c>
      <c r="FD22">
        <v>15</v>
      </c>
      <c r="FE22">
        <v>1689000146.5999999</v>
      </c>
      <c r="FF22" t="s">
        <v>451</v>
      </c>
      <c r="FG22">
        <v>1689000131.0999999</v>
      </c>
      <c r="FH22">
        <v>1689000146.5999999</v>
      </c>
      <c r="FI22">
        <v>8</v>
      </c>
      <c r="FJ22">
        <v>0.16</v>
      </c>
      <c r="FK22">
        <v>-3.0000000000000001E-3</v>
      </c>
      <c r="FL22">
        <v>-7.6999999999999999E-2</v>
      </c>
      <c r="FM22">
        <v>0.29199999999999998</v>
      </c>
      <c r="FN22">
        <v>30</v>
      </c>
      <c r="FO22">
        <v>23</v>
      </c>
      <c r="FP22">
        <v>0.28000000000000003</v>
      </c>
      <c r="FQ22">
        <v>0.02</v>
      </c>
      <c r="FR22">
        <v>3.5345079438995262</v>
      </c>
      <c r="FS22">
        <v>-0.42445796301782918</v>
      </c>
      <c r="FT22">
        <v>3.8936117981382003E-2</v>
      </c>
      <c r="FU22">
        <v>1</v>
      </c>
      <c r="FV22">
        <v>0.35683968665810428</v>
      </c>
      <c r="FW22">
        <v>3.5878733090632532E-2</v>
      </c>
      <c r="FX22">
        <v>4.7349233454257178E-3</v>
      </c>
      <c r="FY22">
        <v>1</v>
      </c>
      <c r="FZ22">
        <v>2</v>
      </c>
      <c r="GA22">
        <v>2</v>
      </c>
      <c r="GB22" t="s">
        <v>423</v>
      </c>
      <c r="GC22">
        <v>2.9263300000000001</v>
      </c>
      <c r="GD22">
        <v>2.8272699999999999</v>
      </c>
      <c r="GE22">
        <v>6.8192499999999998E-3</v>
      </c>
      <c r="GF22">
        <v>8.0047999999999994E-3</v>
      </c>
      <c r="GG22">
        <v>0.12756300000000001</v>
      </c>
      <c r="GH22">
        <v>0.11000500000000001</v>
      </c>
      <c r="GI22">
        <v>32477.5</v>
      </c>
      <c r="GJ22">
        <v>26336.400000000001</v>
      </c>
      <c r="GK22">
        <v>31466.3</v>
      </c>
      <c r="GL22">
        <v>26186.1</v>
      </c>
      <c r="GM22">
        <v>37630</v>
      </c>
      <c r="GN22">
        <v>31604.1</v>
      </c>
      <c r="GO22">
        <v>46731.199999999997</v>
      </c>
      <c r="GP22">
        <v>38068</v>
      </c>
      <c r="GQ22">
        <v>1.9397</v>
      </c>
      <c r="GR22">
        <v>1.8061499999999999</v>
      </c>
      <c r="GS22">
        <v>5.4649999999999997E-2</v>
      </c>
      <c r="GT22">
        <v>0</v>
      </c>
      <c r="GU22">
        <v>29.1586</v>
      </c>
      <c r="GV22">
        <v>999.9</v>
      </c>
      <c r="GW22">
        <v>53</v>
      </c>
      <c r="GX22">
        <v>36.4</v>
      </c>
      <c r="GY22">
        <v>32.591999999999999</v>
      </c>
      <c r="GZ22">
        <v>62.281399999999998</v>
      </c>
      <c r="HA22">
        <v>21.366199999999999</v>
      </c>
      <c r="HB22">
        <v>1</v>
      </c>
      <c r="HC22">
        <v>0.38836900000000002</v>
      </c>
      <c r="HD22">
        <v>1.94434</v>
      </c>
      <c r="HE22">
        <v>20.285699999999999</v>
      </c>
      <c r="HF22">
        <v>5.2237299999999998</v>
      </c>
      <c r="HG22">
        <v>12.058199999999999</v>
      </c>
      <c r="HH22">
        <v>4.9935999999999998</v>
      </c>
      <c r="HI22">
        <v>3.2919999999999998</v>
      </c>
      <c r="HJ22">
        <v>9999</v>
      </c>
      <c r="HK22">
        <v>9999</v>
      </c>
      <c r="HL22">
        <v>9999</v>
      </c>
      <c r="HM22">
        <v>461.2</v>
      </c>
      <c r="HN22">
        <v>1.86693</v>
      </c>
      <c r="HO22">
        <v>1.87042</v>
      </c>
      <c r="HP22">
        <v>1.8730199999999999</v>
      </c>
      <c r="HQ22">
        <v>1.87392</v>
      </c>
      <c r="HR22">
        <v>1.87073</v>
      </c>
      <c r="HS22">
        <v>1.8690500000000001</v>
      </c>
      <c r="HT22">
        <v>1.8705700000000001</v>
      </c>
      <c r="HU22">
        <v>1.8736200000000001</v>
      </c>
      <c r="HV22">
        <v>0</v>
      </c>
      <c r="HW22">
        <v>0</v>
      </c>
      <c r="HX22">
        <v>0</v>
      </c>
      <c r="HY22">
        <v>0</v>
      </c>
      <c r="HZ22" t="s">
        <v>424</v>
      </c>
      <c r="IA22" t="s">
        <v>425</v>
      </c>
      <c r="IB22" t="s">
        <v>426</v>
      </c>
      <c r="IC22" t="s">
        <v>426</v>
      </c>
      <c r="ID22" t="s">
        <v>426</v>
      </c>
      <c r="IE22" t="s">
        <v>426</v>
      </c>
      <c r="IF22">
        <v>0</v>
      </c>
      <c r="IG22">
        <v>100</v>
      </c>
      <c r="IH22">
        <v>100</v>
      </c>
      <c r="II22">
        <v>-0.09</v>
      </c>
      <c r="IJ22">
        <v>0.2923</v>
      </c>
      <c r="IK22">
        <v>-0.16631255650648599</v>
      </c>
      <c r="IL22">
        <v>3.042515301972944E-3</v>
      </c>
      <c r="IM22">
        <v>-2.5091471490852929E-6</v>
      </c>
      <c r="IN22">
        <v>8.1339755115576286E-10</v>
      </c>
      <c r="IO22">
        <v>0.29237999999999431</v>
      </c>
      <c r="IP22">
        <v>0</v>
      </c>
      <c r="IQ22">
        <v>0</v>
      </c>
      <c r="IR22">
        <v>0</v>
      </c>
      <c r="IS22">
        <v>3</v>
      </c>
      <c r="IT22">
        <v>2004</v>
      </c>
      <c r="IU22">
        <v>2</v>
      </c>
      <c r="IV22">
        <v>22</v>
      </c>
      <c r="IW22">
        <v>0.8</v>
      </c>
      <c r="IX22">
        <v>0.5</v>
      </c>
      <c r="IY22">
        <v>0.21118200000000001</v>
      </c>
      <c r="IZ22">
        <v>2.6074199999999998</v>
      </c>
      <c r="JA22">
        <v>1.64917</v>
      </c>
      <c r="JB22">
        <v>2.34009</v>
      </c>
      <c r="JC22">
        <v>1.5991200000000001</v>
      </c>
      <c r="JD22">
        <v>2.2863799999999999</v>
      </c>
      <c r="JE22">
        <v>42.831499999999998</v>
      </c>
      <c r="JF22">
        <v>23.921099999999999</v>
      </c>
      <c r="JG22">
        <v>18</v>
      </c>
      <c r="JH22">
        <v>519.15200000000004</v>
      </c>
      <c r="JI22">
        <v>481.60500000000002</v>
      </c>
      <c r="JJ22">
        <v>27.710100000000001</v>
      </c>
      <c r="JK22">
        <v>32.090899999999998</v>
      </c>
      <c r="JL22">
        <v>30.000499999999999</v>
      </c>
      <c r="JM22">
        <v>32.122399999999999</v>
      </c>
      <c r="JN22">
        <v>32.111800000000002</v>
      </c>
      <c r="JO22">
        <v>4.2557200000000002</v>
      </c>
      <c r="JP22">
        <v>39.914999999999999</v>
      </c>
      <c r="JQ22">
        <v>34.106400000000001</v>
      </c>
      <c r="JR22">
        <v>27.66</v>
      </c>
      <c r="JS22">
        <v>30</v>
      </c>
      <c r="JT22">
        <v>23.021799999999999</v>
      </c>
      <c r="JU22">
        <v>99.736099999999993</v>
      </c>
      <c r="JV22">
        <v>99.555199999999999</v>
      </c>
    </row>
    <row r="23" spans="1:282" x14ac:dyDescent="0.25">
      <c r="A23">
        <v>7</v>
      </c>
      <c r="B23">
        <v>1689000276.0999999</v>
      </c>
      <c r="C23">
        <v>681</v>
      </c>
      <c r="D23" t="s">
        <v>452</v>
      </c>
      <c r="E23" t="s">
        <v>453</v>
      </c>
      <c r="F23" t="s">
        <v>414</v>
      </c>
      <c r="G23" t="s">
        <v>415</v>
      </c>
      <c r="H23" t="s">
        <v>416</v>
      </c>
      <c r="I23" t="s">
        <v>416</v>
      </c>
      <c r="J23" t="s">
        <v>417</v>
      </c>
      <c r="K23">
        <v>1689000276.0999999</v>
      </c>
      <c r="L23">
        <f t="shared" si="0"/>
        <v>4.9914412486045381E-3</v>
      </c>
      <c r="M23">
        <f t="shared" si="1"/>
        <v>4.9914412486045379</v>
      </c>
      <c r="N23">
        <f t="shared" si="2"/>
        <v>1.0839418994495353</v>
      </c>
      <c r="O23">
        <f t="shared" si="3"/>
        <v>8.6871899999999993</v>
      </c>
      <c r="P23">
        <f t="shared" si="4"/>
        <v>3.4824078675929981</v>
      </c>
      <c r="Q23">
        <f t="shared" si="5"/>
        <v>0.34583923471601891</v>
      </c>
      <c r="R23">
        <f t="shared" si="6"/>
        <v>0.86272810528343991</v>
      </c>
      <c r="S23">
        <f t="shared" si="7"/>
        <v>0.36273933168153516</v>
      </c>
      <c r="T23">
        <f t="shared" si="8"/>
        <v>2.9145654849238536</v>
      </c>
      <c r="U23">
        <f t="shared" si="9"/>
        <v>0.33939550418506764</v>
      </c>
      <c r="V23">
        <f t="shared" si="10"/>
        <v>0.21409422863235716</v>
      </c>
      <c r="W23">
        <f t="shared" si="11"/>
        <v>289.57183657697124</v>
      </c>
      <c r="X23">
        <f t="shared" si="12"/>
        <v>30.815940136723619</v>
      </c>
      <c r="Y23">
        <f t="shared" si="13"/>
        <v>30.002700000000001</v>
      </c>
      <c r="Z23">
        <f t="shared" si="14"/>
        <v>4.2611105522817798</v>
      </c>
      <c r="AA23">
        <f t="shared" si="15"/>
        <v>65.422951501482331</v>
      </c>
      <c r="AB23">
        <f t="shared" si="16"/>
        <v>2.8528792403144001</v>
      </c>
      <c r="AC23">
        <f t="shared" si="17"/>
        <v>4.3606703379161376</v>
      </c>
      <c r="AD23">
        <f t="shared" si="18"/>
        <v>1.4082313119673797</v>
      </c>
      <c r="AE23">
        <f t="shared" si="19"/>
        <v>-220.12255906346013</v>
      </c>
      <c r="AF23">
        <f t="shared" si="20"/>
        <v>63.276272916228507</v>
      </c>
      <c r="AG23">
        <f t="shared" si="21"/>
        <v>4.8370821847375156</v>
      </c>
      <c r="AH23">
        <f t="shared" si="22"/>
        <v>137.56263261447714</v>
      </c>
      <c r="AI23">
        <v>0</v>
      </c>
      <c r="AJ23">
        <v>0</v>
      </c>
      <c r="AK23">
        <f t="shared" si="23"/>
        <v>1</v>
      </c>
      <c r="AL23">
        <f t="shared" si="24"/>
        <v>0</v>
      </c>
      <c r="AM23">
        <f t="shared" si="25"/>
        <v>51839.700646929814</v>
      </c>
      <c r="AN23" t="s">
        <v>418</v>
      </c>
      <c r="AO23">
        <v>10021</v>
      </c>
      <c r="AP23">
        <v>177.53923076923081</v>
      </c>
      <c r="AQ23">
        <v>655.56</v>
      </c>
      <c r="AR23">
        <f t="shared" si="26"/>
        <v>0.72917928066198234</v>
      </c>
      <c r="AS23">
        <v>-3.1115002560329539</v>
      </c>
      <c r="AT23" t="s">
        <v>454</v>
      </c>
      <c r="AU23">
        <v>8027.51</v>
      </c>
      <c r="AV23">
        <v>784.44920000000002</v>
      </c>
      <c r="AW23">
        <v>837.84728967866579</v>
      </c>
      <c r="AX23">
        <f t="shared" si="27"/>
        <v>6.3732484829240432E-2</v>
      </c>
      <c r="AY23">
        <v>0.5</v>
      </c>
      <c r="AZ23">
        <f t="shared" si="28"/>
        <v>1513.2101992626792</v>
      </c>
      <c r="BA23">
        <f t="shared" si="29"/>
        <v>1.0839418994495353</v>
      </c>
      <c r="BB23">
        <f t="shared" si="30"/>
        <v>48.2203230339803</v>
      </c>
      <c r="BC23">
        <f t="shared" si="31"/>
        <v>2.7725441961247311E-3</v>
      </c>
      <c r="BD23">
        <f t="shared" si="32"/>
        <v>-0.21756624616948672</v>
      </c>
      <c r="BE23">
        <f t="shared" si="33"/>
        <v>188.65505993970373</v>
      </c>
      <c r="BF23" t="s">
        <v>455</v>
      </c>
      <c r="BG23">
        <v>624.26</v>
      </c>
      <c r="BH23">
        <f t="shared" si="34"/>
        <v>624.26</v>
      </c>
      <c r="BI23">
        <f t="shared" si="35"/>
        <v>0.25492388924547527</v>
      </c>
      <c r="BJ23">
        <f t="shared" si="36"/>
        <v>0.25000593321354109</v>
      </c>
      <c r="BK23">
        <f t="shared" si="37"/>
        <v>-5.823875069605946</v>
      </c>
      <c r="BL23">
        <f t="shared" si="38"/>
        <v>8.0868450654468876E-2</v>
      </c>
      <c r="BM23">
        <f t="shared" si="39"/>
        <v>-0.38133759328491623</v>
      </c>
      <c r="BN23">
        <f t="shared" si="40"/>
        <v>0.19895323223974878</v>
      </c>
      <c r="BO23">
        <f t="shared" si="41"/>
        <v>0.80104676776025119</v>
      </c>
      <c r="BP23">
        <v>22479</v>
      </c>
      <c r="BQ23">
        <v>290.00000000000011</v>
      </c>
      <c r="BR23">
        <v>819.07</v>
      </c>
      <c r="BS23">
        <v>165</v>
      </c>
      <c r="BT23">
        <v>8027.51</v>
      </c>
      <c r="BU23">
        <v>818.8</v>
      </c>
      <c r="BV23">
        <v>0.27</v>
      </c>
      <c r="BW23">
        <v>300.00000000000011</v>
      </c>
      <c r="BX23">
        <v>19.399999999999999</v>
      </c>
      <c r="BY23">
        <v>837.84728967866579</v>
      </c>
      <c r="BZ23">
        <v>2.564337466952725</v>
      </c>
      <c r="CA23">
        <v>-15.29007585719495</v>
      </c>
      <c r="CB23">
        <v>1.888958863308466</v>
      </c>
      <c r="CC23">
        <v>0.70059899117717561</v>
      </c>
      <c r="CD23">
        <v>-4.1404674082313672E-3</v>
      </c>
      <c r="CE23">
        <v>289.99999999999989</v>
      </c>
      <c r="CF23">
        <v>817.93</v>
      </c>
      <c r="CG23">
        <v>665</v>
      </c>
      <c r="CH23">
        <v>8008.89</v>
      </c>
      <c r="CI23">
        <v>818.76</v>
      </c>
      <c r="CJ23">
        <v>-0.83</v>
      </c>
      <c r="CX23">
        <f t="shared" si="42"/>
        <v>1800.03</v>
      </c>
      <c r="CY23">
        <f t="shared" si="43"/>
        <v>1513.2101992626792</v>
      </c>
      <c r="CZ23">
        <f t="shared" si="44"/>
        <v>0.84065832195167822</v>
      </c>
      <c r="DA23">
        <f t="shared" si="45"/>
        <v>0.16087056136673902</v>
      </c>
      <c r="DB23">
        <v>6</v>
      </c>
      <c r="DC23">
        <v>0.5</v>
      </c>
      <c r="DD23" t="s">
        <v>421</v>
      </c>
      <c r="DE23">
        <v>2</v>
      </c>
      <c r="DF23">
        <v>1689000276.0999999</v>
      </c>
      <c r="DG23">
        <v>8.6871899999999993</v>
      </c>
      <c r="DH23">
        <v>10.0398</v>
      </c>
      <c r="DI23">
        <v>28.726900000000001</v>
      </c>
      <c r="DJ23">
        <v>22.9099</v>
      </c>
      <c r="DK23">
        <v>8.6517700000000008</v>
      </c>
      <c r="DL23">
        <v>28.4407</v>
      </c>
      <c r="DM23">
        <v>500.05700000000002</v>
      </c>
      <c r="DN23">
        <v>99.210300000000004</v>
      </c>
      <c r="DO23">
        <v>0.100076</v>
      </c>
      <c r="DP23">
        <v>30.4054</v>
      </c>
      <c r="DQ23">
        <v>30.002700000000001</v>
      </c>
      <c r="DR23">
        <v>999.9</v>
      </c>
      <c r="DS23">
        <v>0</v>
      </c>
      <c r="DT23">
        <v>0</v>
      </c>
      <c r="DU23">
        <v>9993.75</v>
      </c>
      <c r="DV23">
        <v>0</v>
      </c>
      <c r="DW23">
        <v>1164.55</v>
      </c>
      <c r="DX23">
        <v>-1.35263</v>
      </c>
      <c r="DY23">
        <v>8.9441299999999995</v>
      </c>
      <c r="DZ23">
        <v>10.2752</v>
      </c>
      <c r="EA23">
        <v>5.8170500000000001</v>
      </c>
      <c r="EB23">
        <v>10.0398</v>
      </c>
      <c r="EC23">
        <v>22.9099</v>
      </c>
      <c r="ED23">
        <v>2.8500100000000002</v>
      </c>
      <c r="EE23">
        <v>2.2728999999999999</v>
      </c>
      <c r="EF23">
        <v>23.176600000000001</v>
      </c>
      <c r="EG23">
        <v>19.485600000000002</v>
      </c>
      <c r="EH23">
        <v>1800.03</v>
      </c>
      <c r="EI23">
        <v>0.97799499999999995</v>
      </c>
      <c r="EJ23">
        <v>2.2004800000000001E-2</v>
      </c>
      <c r="EK23">
        <v>0</v>
      </c>
      <c r="EL23">
        <v>784.67499999999995</v>
      </c>
      <c r="EM23">
        <v>5.0011200000000002</v>
      </c>
      <c r="EN23">
        <v>15552.6</v>
      </c>
      <c r="EO23">
        <v>17211.099999999999</v>
      </c>
      <c r="EP23">
        <v>47.75</v>
      </c>
      <c r="EQ23">
        <v>48.375</v>
      </c>
      <c r="ER23">
        <v>48.436999999999998</v>
      </c>
      <c r="ES23">
        <v>48.375</v>
      </c>
      <c r="ET23">
        <v>48.5</v>
      </c>
      <c r="EU23">
        <v>1755.53</v>
      </c>
      <c r="EV23">
        <v>39.5</v>
      </c>
      <c r="EW23">
        <v>0</v>
      </c>
      <c r="EX23">
        <v>97.800000190734863</v>
      </c>
      <c r="EY23">
        <v>0</v>
      </c>
      <c r="EZ23">
        <v>784.44920000000002</v>
      </c>
      <c r="FA23">
        <v>-0.16984614812371809</v>
      </c>
      <c r="FB23">
        <v>6.7384615967409376</v>
      </c>
      <c r="FC23">
        <v>15553.364</v>
      </c>
      <c r="FD23">
        <v>15</v>
      </c>
      <c r="FE23">
        <v>1689000246.0999999</v>
      </c>
      <c r="FF23" t="s">
        <v>456</v>
      </c>
      <c r="FG23">
        <v>1689000235.5999999</v>
      </c>
      <c r="FH23">
        <v>1689000246.0999999</v>
      </c>
      <c r="FI23">
        <v>9</v>
      </c>
      <c r="FJ23">
        <v>0.17599999999999999</v>
      </c>
      <c r="FK23">
        <v>-6.0000000000000001E-3</v>
      </c>
      <c r="FL23">
        <v>3.9E-2</v>
      </c>
      <c r="FM23">
        <v>0.28599999999999998</v>
      </c>
      <c r="FN23">
        <v>10</v>
      </c>
      <c r="FO23">
        <v>23</v>
      </c>
      <c r="FP23">
        <v>0.37</v>
      </c>
      <c r="FQ23">
        <v>0.02</v>
      </c>
      <c r="FR23">
        <v>1.105967121074275</v>
      </c>
      <c r="FS23">
        <v>-0.57305256881110089</v>
      </c>
      <c r="FT23">
        <v>5.5578272351129263E-2</v>
      </c>
      <c r="FU23">
        <v>1</v>
      </c>
      <c r="FV23">
        <v>0.36409246706945347</v>
      </c>
      <c r="FW23">
        <v>4.3933942700667208E-2</v>
      </c>
      <c r="FX23">
        <v>4.0406793385051633E-3</v>
      </c>
      <c r="FY23">
        <v>1</v>
      </c>
      <c r="FZ23">
        <v>2</v>
      </c>
      <c r="GA23">
        <v>2</v>
      </c>
      <c r="GB23" t="s">
        <v>423</v>
      </c>
      <c r="GC23">
        <v>2.92638</v>
      </c>
      <c r="GD23">
        <v>2.8273199999999998</v>
      </c>
      <c r="GE23">
        <v>2.2892500000000001E-3</v>
      </c>
      <c r="GF23">
        <v>2.6779799999999999E-3</v>
      </c>
      <c r="GG23">
        <v>0.12728500000000001</v>
      </c>
      <c r="GH23">
        <v>0.10931100000000001</v>
      </c>
      <c r="GI23">
        <v>32619.200000000001</v>
      </c>
      <c r="GJ23">
        <v>26473.1</v>
      </c>
      <c r="GK23">
        <v>31460.6</v>
      </c>
      <c r="GL23">
        <v>26182.1</v>
      </c>
      <c r="GM23">
        <v>37635.300000000003</v>
      </c>
      <c r="GN23">
        <v>31624.400000000001</v>
      </c>
      <c r="GO23">
        <v>46722.5</v>
      </c>
      <c r="GP23">
        <v>38062.6</v>
      </c>
      <c r="GQ23">
        <v>1.9389000000000001</v>
      </c>
      <c r="GR23">
        <v>1.80243</v>
      </c>
      <c r="GS23">
        <v>4.0736000000000001E-2</v>
      </c>
      <c r="GT23">
        <v>0</v>
      </c>
      <c r="GU23">
        <v>29.339400000000001</v>
      </c>
      <c r="GV23">
        <v>999.9</v>
      </c>
      <c r="GW23">
        <v>52.3</v>
      </c>
      <c r="GX23">
        <v>36.700000000000003</v>
      </c>
      <c r="GY23">
        <v>32.696899999999999</v>
      </c>
      <c r="GZ23">
        <v>62.421399999999998</v>
      </c>
      <c r="HA23">
        <v>21.3462</v>
      </c>
      <c r="HB23">
        <v>1</v>
      </c>
      <c r="HC23">
        <v>0.39601399999999998</v>
      </c>
      <c r="HD23">
        <v>2.03728</v>
      </c>
      <c r="HE23">
        <v>20.284700000000001</v>
      </c>
      <c r="HF23">
        <v>5.2271700000000001</v>
      </c>
      <c r="HG23">
        <v>12.058199999999999</v>
      </c>
      <c r="HH23">
        <v>4.9930000000000003</v>
      </c>
      <c r="HI23">
        <v>3.2919999999999998</v>
      </c>
      <c r="HJ23">
        <v>9999</v>
      </c>
      <c r="HK23">
        <v>9999</v>
      </c>
      <c r="HL23">
        <v>9999</v>
      </c>
      <c r="HM23">
        <v>461.2</v>
      </c>
      <c r="HN23">
        <v>1.8669199999999999</v>
      </c>
      <c r="HO23">
        <v>1.87042</v>
      </c>
      <c r="HP23">
        <v>1.8730199999999999</v>
      </c>
      <c r="HQ23">
        <v>1.87391</v>
      </c>
      <c r="HR23">
        <v>1.87073</v>
      </c>
      <c r="HS23">
        <v>1.8690500000000001</v>
      </c>
      <c r="HT23">
        <v>1.8705700000000001</v>
      </c>
      <c r="HU23">
        <v>1.8736200000000001</v>
      </c>
      <c r="HV23">
        <v>0</v>
      </c>
      <c r="HW23">
        <v>0</v>
      </c>
      <c r="HX23">
        <v>0</v>
      </c>
      <c r="HY23">
        <v>0</v>
      </c>
      <c r="HZ23" t="s">
        <v>424</v>
      </c>
      <c r="IA23" t="s">
        <v>425</v>
      </c>
      <c r="IB23" t="s">
        <v>426</v>
      </c>
      <c r="IC23" t="s">
        <v>426</v>
      </c>
      <c r="ID23" t="s">
        <v>426</v>
      </c>
      <c r="IE23" t="s">
        <v>426</v>
      </c>
      <c r="IF23">
        <v>0</v>
      </c>
      <c r="IG23">
        <v>100</v>
      </c>
      <c r="IH23">
        <v>100</v>
      </c>
      <c r="II23">
        <v>3.5000000000000003E-2</v>
      </c>
      <c r="IJ23">
        <v>0.28620000000000001</v>
      </c>
      <c r="IK23">
        <v>9.290517638585287E-3</v>
      </c>
      <c r="IL23">
        <v>3.042515301972944E-3</v>
      </c>
      <c r="IM23">
        <v>-2.5091471490852929E-6</v>
      </c>
      <c r="IN23">
        <v>8.1339755115576286E-10</v>
      </c>
      <c r="IO23">
        <v>0.28626190476190422</v>
      </c>
      <c r="IP23">
        <v>0</v>
      </c>
      <c r="IQ23">
        <v>0</v>
      </c>
      <c r="IR23">
        <v>0</v>
      </c>
      <c r="IS23">
        <v>3</v>
      </c>
      <c r="IT23">
        <v>2004</v>
      </c>
      <c r="IU23">
        <v>2</v>
      </c>
      <c r="IV23">
        <v>22</v>
      </c>
      <c r="IW23">
        <v>0.7</v>
      </c>
      <c r="IX23">
        <v>0.5</v>
      </c>
      <c r="IY23">
        <v>0.167236</v>
      </c>
      <c r="IZ23">
        <v>2.6245099999999999</v>
      </c>
      <c r="JA23">
        <v>1.64917</v>
      </c>
      <c r="JB23">
        <v>2.34009</v>
      </c>
      <c r="JC23">
        <v>1.5991200000000001</v>
      </c>
      <c r="JD23">
        <v>2.2827099999999998</v>
      </c>
      <c r="JE23">
        <v>43.046900000000001</v>
      </c>
      <c r="JF23">
        <v>23.921099999999999</v>
      </c>
      <c r="JG23">
        <v>18</v>
      </c>
      <c r="JH23">
        <v>519.18499999999995</v>
      </c>
      <c r="JI23">
        <v>479.57600000000002</v>
      </c>
      <c r="JJ23">
        <v>27.552099999999999</v>
      </c>
      <c r="JK23">
        <v>32.175199999999997</v>
      </c>
      <c r="JL23">
        <v>30.000499999999999</v>
      </c>
      <c r="JM23">
        <v>32.192500000000003</v>
      </c>
      <c r="JN23">
        <v>32.180399999999999</v>
      </c>
      <c r="JO23">
        <v>3.3757100000000002</v>
      </c>
      <c r="JP23">
        <v>40.252600000000001</v>
      </c>
      <c r="JQ23">
        <v>31.232900000000001</v>
      </c>
      <c r="JR23">
        <v>27.5535</v>
      </c>
      <c r="JS23">
        <v>10</v>
      </c>
      <c r="JT23">
        <v>22.9193</v>
      </c>
      <c r="JU23">
        <v>99.717799999999997</v>
      </c>
      <c r="JV23">
        <v>99.540499999999994</v>
      </c>
    </row>
    <row r="24" spans="1:282" x14ac:dyDescent="0.25">
      <c r="A24">
        <v>8</v>
      </c>
      <c r="B24">
        <v>1689000466</v>
      </c>
      <c r="C24">
        <v>870.90000009536743</v>
      </c>
      <c r="D24" t="s">
        <v>457</v>
      </c>
      <c r="E24" t="s">
        <v>458</v>
      </c>
      <c r="F24" t="s">
        <v>414</v>
      </c>
      <c r="G24" t="s">
        <v>415</v>
      </c>
      <c r="H24" t="s">
        <v>416</v>
      </c>
      <c r="I24" t="s">
        <v>416</v>
      </c>
      <c r="J24" t="s">
        <v>417</v>
      </c>
      <c r="K24">
        <v>1689000466</v>
      </c>
      <c r="L24">
        <f t="shared" si="0"/>
        <v>4.6657713587011746E-3</v>
      </c>
      <c r="M24">
        <f t="shared" si="1"/>
        <v>4.6657713587011749</v>
      </c>
      <c r="N24">
        <f t="shared" si="2"/>
        <v>35.870908284893247</v>
      </c>
      <c r="O24">
        <f t="shared" si="3"/>
        <v>354.91500000000002</v>
      </c>
      <c r="P24">
        <f t="shared" si="4"/>
        <v>166.16254743275471</v>
      </c>
      <c r="Q24">
        <f t="shared" si="5"/>
        <v>16.502494579334002</v>
      </c>
      <c r="R24">
        <f t="shared" si="6"/>
        <v>35.248513904703003</v>
      </c>
      <c r="S24">
        <f t="shared" si="7"/>
        <v>0.33128488346449125</v>
      </c>
      <c r="T24">
        <f t="shared" si="8"/>
        <v>2.9170630048380866</v>
      </c>
      <c r="U24">
        <f t="shared" si="9"/>
        <v>0.31171241433827518</v>
      </c>
      <c r="V24">
        <f t="shared" si="10"/>
        <v>0.19648233508339569</v>
      </c>
      <c r="W24">
        <f t="shared" si="11"/>
        <v>289.57923757737098</v>
      </c>
      <c r="X24">
        <f t="shared" si="12"/>
        <v>30.946972935044304</v>
      </c>
      <c r="Y24">
        <f t="shared" si="13"/>
        <v>30.024699999999999</v>
      </c>
      <c r="Z24">
        <f t="shared" si="14"/>
        <v>4.2664980141067295</v>
      </c>
      <c r="AA24">
        <f t="shared" si="15"/>
        <v>64.795709748662659</v>
      </c>
      <c r="AB24">
        <f t="shared" si="16"/>
        <v>2.8330602617363803</v>
      </c>
      <c r="AC24">
        <f t="shared" si="17"/>
        <v>4.3722960559049246</v>
      </c>
      <c r="AD24">
        <f t="shared" si="18"/>
        <v>1.4334377523703492</v>
      </c>
      <c r="AE24">
        <f t="shared" si="19"/>
        <v>-205.76051691872181</v>
      </c>
      <c r="AF24">
        <f t="shared" si="20"/>
        <v>67.183480146230039</v>
      </c>
      <c r="AG24">
        <f t="shared" si="21"/>
        <v>5.1331064466663268</v>
      </c>
      <c r="AH24">
        <f t="shared" si="22"/>
        <v>156.13530725154553</v>
      </c>
      <c r="AI24">
        <v>0</v>
      </c>
      <c r="AJ24">
        <v>0</v>
      </c>
      <c r="AK24">
        <f t="shared" si="23"/>
        <v>1</v>
      </c>
      <c r="AL24">
        <f t="shared" si="24"/>
        <v>0</v>
      </c>
      <c r="AM24">
        <f t="shared" si="25"/>
        <v>51902.872665746007</v>
      </c>
      <c r="AN24" t="s">
        <v>418</v>
      </c>
      <c r="AO24">
        <v>10021</v>
      </c>
      <c r="AP24">
        <v>177.53923076923081</v>
      </c>
      <c r="AQ24">
        <v>655.56</v>
      </c>
      <c r="AR24">
        <f t="shared" si="26"/>
        <v>0.72917928066198234</v>
      </c>
      <c r="AS24">
        <v>-3.1115002560329539</v>
      </c>
      <c r="AT24" t="s">
        <v>459</v>
      </c>
      <c r="AU24">
        <v>8019.16</v>
      </c>
      <c r="AV24">
        <v>728.47823999999991</v>
      </c>
      <c r="AW24">
        <v>1020.3752822626481</v>
      </c>
      <c r="AX24">
        <f t="shared" si="27"/>
        <v>0.28606831950630573</v>
      </c>
      <c r="AY24">
        <v>0.5</v>
      </c>
      <c r="AZ24">
        <f t="shared" si="28"/>
        <v>1513.2518992628864</v>
      </c>
      <c r="BA24">
        <f t="shared" si="29"/>
        <v>35.870908284893247</v>
      </c>
      <c r="BB24">
        <f t="shared" si="30"/>
        <v>216.44671390592967</v>
      </c>
      <c r="BC24">
        <f t="shared" si="31"/>
        <v>2.5760687007837065E-2</v>
      </c>
      <c r="BD24">
        <f t="shared" si="32"/>
        <v>-0.35753049745940768</v>
      </c>
      <c r="BE24">
        <f t="shared" si="33"/>
        <v>196.57271111254886</v>
      </c>
      <c r="BF24" t="s">
        <v>460</v>
      </c>
      <c r="BG24">
        <v>584.07000000000005</v>
      </c>
      <c r="BH24">
        <f t="shared" si="34"/>
        <v>584.07000000000005</v>
      </c>
      <c r="BI24">
        <f t="shared" si="35"/>
        <v>0.4275929551087867</v>
      </c>
      <c r="BJ24">
        <f t="shared" si="36"/>
        <v>0.66902018868277491</v>
      </c>
      <c r="BK24">
        <f t="shared" si="37"/>
        <v>-5.1030253498761873</v>
      </c>
      <c r="BL24">
        <f t="shared" si="38"/>
        <v>0.34632719108946175</v>
      </c>
      <c r="BM24">
        <f t="shared" si="39"/>
        <v>-0.76317872725427549</v>
      </c>
      <c r="BN24">
        <f t="shared" si="40"/>
        <v>0.53639848131077794</v>
      </c>
      <c r="BO24">
        <f t="shared" si="41"/>
        <v>0.46360151868922206</v>
      </c>
      <c r="BP24">
        <v>22481</v>
      </c>
      <c r="BQ24">
        <v>290.00000000000011</v>
      </c>
      <c r="BR24">
        <v>900.29</v>
      </c>
      <c r="BS24">
        <v>275</v>
      </c>
      <c r="BT24">
        <v>8019.16</v>
      </c>
      <c r="BU24">
        <v>901.94</v>
      </c>
      <c r="BV24">
        <v>-1.65</v>
      </c>
      <c r="BW24">
        <v>300.00000000000011</v>
      </c>
      <c r="BX24">
        <v>19.399999999999999</v>
      </c>
      <c r="BY24">
        <v>1020.3752822626481</v>
      </c>
      <c r="BZ24">
        <v>3.8538426373599322</v>
      </c>
      <c r="CA24">
        <v>-94.972123011096173</v>
      </c>
      <c r="CB24">
        <v>2.8387045168908558</v>
      </c>
      <c r="CC24">
        <v>0.97559517158970588</v>
      </c>
      <c r="CD24">
        <v>-4.1407728587319354E-3</v>
      </c>
      <c r="CE24">
        <v>289.99999999999989</v>
      </c>
      <c r="CF24">
        <v>889.38</v>
      </c>
      <c r="CG24">
        <v>675</v>
      </c>
      <c r="CH24">
        <v>8008.14</v>
      </c>
      <c r="CI24">
        <v>901.78</v>
      </c>
      <c r="CJ24">
        <v>-12.4</v>
      </c>
      <c r="CX24">
        <f t="shared" si="42"/>
        <v>1800.08</v>
      </c>
      <c r="CY24">
        <f t="shared" si="43"/>
        <v>1513.2518992628864</v>
      </c>
      <c r="CZ24">
        <f t="shared" si="44"/>
        <v>0.84065813700662551</v>
      </c>
      <c r="DA24">
        <f t="shared" si="45"/>
        <v>0.16087020442278732</v>
      </c>
      <c r="DB24">
        <v>6</v>
      </c>
      <c r="DC24">
        <v>0.5</v>
      </c>
      <c r="DD24" t="s">
        <v>421</v>
      </c>
      <c r="DE24">
        <v>2</v>
      </c>
      <c r="DF24">
        <v>1689000466</v>
      </c>
      <c r="DG24">
        <v>354.91500000000002</v>
      </c>
      <c r="DH24">
        <v>399.94299999999998</v>
      </c>
      <c r="DI24">
        <v>28.5259</v>
      </c>
      <c r="DJ24">
        <v>23.087199999999999</v>
      </c>
      <c r="DK24">
        <v>354.12900000000002</v>
      </c>
      <c r="DL24">
        <v>28.247699999999998</v>
      </c>
      <c r="DM24">
        <v>500.04700000000003</v>
      </c>
      <c r="DN24">
        <v>99.215500000000006</v>
      </c>
      <c r="DO24">
        <v>9.9868200000000004E-2</v>
      </c>
      <c r="DP24">
        <v>30.451899999999998</v>
      </c>
      <c r="DQ24">
        <v>30.024699999999999</v>
      </c>
      <c r="DR24">
        <v>999.9</v>
      </c>
      <c r="DS24">
        <v>0</v>
      </c>
      <c r="DT24">
        <v>0</v>
      </c>
      <c r="DU24">
        <v>10007.5</v>
      </c>
      <c r="DV24">
        <v>0</v>
      </c>
      <c r="DW24">
        <v>1185.07</v>
      </c>
      <c r="DX24">
        <v>-45.028399999999998</v>
      </c>
      <c r="DY24">
        <v>365.33600000000001</v>
      </c>
      <c r="DZ24">
        <v>409.39499999999998</v>
      </c>
      <c r="EA24">
        <v>5.4387100000000004</v>
      </c>
      <c r="EB24">
        <v>399.94299999999998</v>
      </c>
      <c r="EC24">
        <v>23.087199999999999</v>
      </c>
      <c r="ED24">
        <v>2.8302100000000001</v>
      </c>
      <c r="EE24">
        <v>2.29061</v>
      </c>
      <c r="EF24">
        <v>23.061399999999999</v>
      </c>
      <c r="EG24">
        <v>19.610499999999998</v>
      </c>
      <c r="EH24">
        <v>1800.08</v>
      </c>
      <c r="EI24">
        <v>0.97799899999999995</v>
      </c>
      <c r="EJ24">
        <v>2.2001099999999999E-2</v>
      </c>
      <c r="EK24">
        <v>0</v>
      </c>
      <c r="EL24">
        <v>728.60799999999995</v>
      </c>
      <c r="EM24">
        <v>5.0011200000000002</v>
      </c>
      <c r="EN24">
        <v>14533.3</v>
      </c>
      <c r="EO24">
        <v>17211.7</v>
      </c>
      <c r="EP24">
        <v>47.936999999999998</v>
      </c>
      <c r="EQ24">
        <v>48.625</v>
      </c>
      <c r="ER24">
        <v>48.561999999999998</v>
      </c>
      <c r="ES24">
        <v>48.561999999999998</v>
      </c>
      <c r="ET24">
        <v>48.125</v>
      </c>
      <c r="EU24">
        <v>1755.59</v>
      </c>
      <c r="EV24">
        <v>39.49</v>
      </c>
      <c r="EW24">
        <v>0</v>
      </c>
      <c r="EX24">
        <v>187.80000019073489</v>
      </c>
      <c r="EY24">
        <v>0</v>
      </c>
      <c r="EZ24">
        <v>728.47823999999991</v>
      </c>
      <c r="FA24">
        <v>0.24030772047874269</v>
      </c>
      <c r="FB24">
        <v>39.646153748829768</v>
      </c>
      <c r="FC24">
        <v>14527.088</v>
      </c>
      <c r="FD24">
        <v>15</v>
      </c>
      <c r="FE24">
        <v>1689000356.5999999</v>
      </c>
      <c r="FF24" t="s">
        <v>461</v>
      </c>
      <c r="FG24">
        <v>1689000348.5999999</v>
      </c>
      <c r="FH24">
        <v>1689000356.5999999</v>
      </c>
      <c r="FI24">
        <v>10</v>
      </c>
      <c r="FJ24">
        <v>-2.1999999999999999E-2</v>
      </c>
      <c r="FK24">
        <v>-8.0000000000000002E-3</v>
      </c>
      <c r="FL24">
        <v>0.85399999999999998</v>
      </c>
      <c r="FM24">
        <v>0.27800000000000002</v>
      </c>
      <c r="FN24">
        <v>400</v>
      </c>
      <c r="FO24">
        <v>23</v>
      </c>
      <c r="FP24">
        <v>0.05</v>
      </c>
      <c r="FQ24">
        <v>0.02</v>
      </c>
      <c r="FR24">
        <v>35.654180472274348</v>
      </c>
      <c r="FS24">
        <v>2.114312396904245</v>
      </c>
      <c r="FT24">
        <v>0.16556489123651541</v>
      </c>
      <c r="FU24">
        <v>0</v>
      </c>
      <c r="FV24">
        <v>0.3342841025419877</v>
      </c>
      <c r="FW24">
        <v>-1.901771639176331E-2</v>
      </c>
      <c r="FX24">
        <v>1.4550811140630381E-3</v>
      </c>
      <c r="FY24">
        <v>1</v>
      </c>
      <c r="FZ24">
        <v>1</v>
      </c>
      <c r="GA24">
        <v>2</v>
      </c>
      <c r="GB24" t="s">
        <v>462</v>
      </c>
      <c r="GC24">
        <v>2.9261900000000001</v>
      </c>
      <c r="GD24">
        <v>2.8272300000000001</v>
      </c>
      <c r="GE24">
        <v>8.0325300000000002E-2</v>
      </c>
      <c r="GF24">
        <v>8.8564799999999999E-2</v>
      </c>
      <c r="GG24">
        <v>0.12665599999999999</v>
      </c>
      <c r="GH24">
        <v>0.109876</v>
      </c>
      <c r="GI24">
        <v>30061.599999999999</v>
      </c>
      <c r="GJ24">
        <v>24189.9</v>
      </c>
      <c r="GK24">
        <v>31451.8</v>
      </c>
      <c r="GL24">
        <v>26176</v>
      </c>
      <c r="GM24">
        <v>37653.5</v>
      </c>
      <c r="GN24">
        <v>31598.7</v>
      </c>
      <c r="GO24">
        <v>46709</v>
      </c>
      <c r="GP24">
        <v>38054.199999999997</v>
      </c>
      <c r="GQ24">
        <v>1.93753</v>
      </c>
      <c r="GR24">
        <v>1.79837</v>
      </c>
      <c r="GS24">
        <v>3.8947900000000001E-2</v>
      </c>
      <c r="GT24">
        <v>0</v>
      </c>
      <c r="GU24">
        <v>29.390499999999999</v>
      </c>
      <c r="GV24">
        <v>999.9</v>
      </c>
      <c r="GW24">
        <v>51</v>
      </c>
      <c r="GX24">
        <v>37.200000000000003</v>
      </c>
      <c r="GY24">
        <v>32.764699999999998</v>
      </c>
      <c r="GZ24">
        <v>62.291400000000003</v>
      </c>
      <c r="HA24">
        <v>21.406199999999998</v>
      </c>
      <c r="HB24">
        <v>1</v>
      </c>
      <c r="HC24">
        <v>0.40783000000000003</v>
      </c>
      <c r="HD24">
        <v>1.9852000000000001</v>
      </c>
      <c r="HE24">
        <v>20.2852</v>
      </c>
      <c r="HF24">
        <v>5.2274700000000003</v>
      </c>
      <c r="HG24">
        <v>12.0579</v>
      </c>
      <c r="HH24">
        <v>4.9931000000000001</v>
      </c>
      <c r="HI24">
        <v>3.2919999999999998</v>
      </c>
      <c r="HJ24">
        <v>9999</v>
      </c>
      <c r="HK24">
        <v>9999</v>
      </c>
      <c r="HL24">
        <v>9999</v>
      </c>
      <c r="HM24">
        <v>461.2</v>
      </c>
      <c r="HN24">
        <v>1.86694</v>
      </c>
      <c r="HO24">
        <v>1.87043</v>
      </c>
      <c r="HP24">
        <v>1.8730199999999999</v>
      </c>
      <c r="HQ24">
        <v>1.87392</v>
      </c>
      <c r="HR24">
        <v>1.8707499999999999</v>
      </c>
      <c r="HS24">
        <v>1.8690899999999999</v>
      </c>
      <c r="HT24">
        <v>1.8705700000000001</v>
      </c>
      <c r="HU24">
        <v>1.8736299999999999</v>
      </c>
      <c r="HV24">
        <v>0</v>
      </c>
      <c r="HW24">
        <v>0</v>
      </c>
      <c r="HX24">
        <v>0</v>
      </c>
      <c r="HY24">
        <v>0</v>
      </c>
      <c r="HZ24" t="s">
        <v>424</v>
      </c>
      <c r="IA24" t="s">
        <v>425</v>
      </c>
      <c r="IB24" t="s">
        <v>426</v>
      </c>
      <c r="IC24" t="s">
        <v>426</v>
      </c>
      <c r="ID24" t="s">
        <v>426</v>
      </c>
      <c r="IE24" t="s">
        <v>426</v>
      </c>
      <c r="IF24">
        <v>0</v>
      </c>
      <c r="IG24">
        <v>100</v>
      </c>
      <c r="IH24">
        <v>100</v>
      </c>
      <c r="II24">
        <v>0.78600000000000003</v>
      </c>
      <c r="IJ24">
        <v>0.2782</v>
      </c>
      <c r="IK24">
        <v>-1.2956254447554679E-2</v>
      </c>
      <c r="IL24">
        <v>3.042515301972944E-3</v>
      </c>
      <c r="IM24">
        <v>-2.5091471490852929E-6</v>
      </c>
      <c r="IN24">
        <v>8.1339755115576286E-10</v>
      </c>
      <c r="IO24">
        <v>0.27818999999999861</v>
      </c>
      <c r="IP24">
        <v>0</v>
      </c>
      <c r="IQ24">
        <v>0</v>
      </c>
      <c r="IR24">
        <v>0</v>
      </c>
      <c r="IS24">
        <v>3</v>
      </c>
      <c r="IT24">
        <v>2004</v>
      </c>
      <c r="IU24">
        <v>2</v>
      </c>
      <c r="IV24">
        <v>22</v>
      </c>
      <c r="IW24">
        <v>2</v>
      </c>
      <c r="IX24">
        <v>1.8</v>
      </c>
      <c r="IY24">
        <v>1.02783</v>
      </c>
      <c r="IZ24">
        <v>2.5866699999999998</v>
      </c>
      <c r="JA24">
        <v>1.64917</v>
      </c>
      <c r="JB24">
        <v>2.33887</v>
      </c>
      <c r="JC24">
        <v>1.5991200000000001</v>
      </c>
      <c r="JD24">
        <v>2.2558600000000002</v>
      </c>
      <c r="JE24">
        <v>43.399099999999997</v>
      </c>
      <c r="JF24">
        <v>23.903600000000001</v>
      </c>
      <c r="JG24">
        <v>18</v>
      </c>
      <c r="JH24">
        <v>519.32500000000005</v>
      </c>
      <c r="JI24">
        <v>477.82499999999999</v>
      </c>
      <c r="JJ24">
        <v>27.722100000000001</v>
      </c>
      <c r="JK24">
        <v>32.320500000000003</v>
      </c>
      <c r="JL24">
        <v>30.000499999999999</v>
      </c>
      <c r="JM24">
        <v>32.323900000000002</v>
      </c>
      <c r="JN24">
        <v>32.310499999999998</v>
      </c>
      <c r="JO24">
        <v>20.587800000000001</v>
      </c>
      <c r="JP24">
        <v>38.884599999999999</v>
      </c>
      <c r="JQ24">
        <v>25.017399999999999</v>
      </c>
      <c r="JR24">
        <v>27.694700000000001</v>
      </c>
      <c r="JS24">
        <v>400</v>
      </c>
      <c r="JT24">
        <v>23.214099999999998</v>
      </c>
      <c r="JU24">
        <v>99.6892</v>
      </c>
      <c r="JV24">
        <v>99.518100000000004</v>
      </c>
    </row>
    <row r="25" spans="1:282" x14ac:dyDescent="0.25">
      <c r="A25">
        <v>9</v>
      </c>
      <c r="B25">
        <v>1689000595.5</v>
      </c>
      <c r="C25">
        <v>1000.400000095367</v>
      </c>
      <c r="D25" t="s">
        <v>463</v>
      </c>
      <c r="E25" t="s">
        <v>464</v>
      </c>
      <c r="F25" t="s">
        <v>414</v>
      </c>
      <c r="G25" t="s">
        <v>415</v>
      </c>
      <c r="H25" t="s">
        <v>416</v>
      </c>
      <c r="I25" t="s">
        <v>416</v>
      </c>
      <c r="J25" t="s">
        <v>417</v>
      </c>
      <c r="K25">
        <v>1689000595.5</v>
      </c>
      <c r="L25">
        <f t="shared" si="0"/>
        <v>4.5574882103054208E-3</v>
      </c>
      <c r="M25">
        <f t="shared" si="1"/>
        <v>4.5574882103054204</v>
      </c>
      <c r="N25">
        <f t="shared" si="2"/>
        <v>37.602838358664677</v>
      </c>
      <c r="O25">
        <f t="shared" si="3"/>
        <v>353.02</v>
      </c>
      <c r="P25">
        <f t="shared" si="4"/>
        <v>152.19353881012663</v>
      </c>
      <c r="Q25">
        <f t="shared" si="5"/>
        <v>15.115443848925525</v>
      </c>
      <c r="R25">
        <f t="shared" si="6"/>
        <v>35.06097584211399</v>
      </c>
      <c r="S25">
        <f t="shared" si="7"/>
        <v>0.32506179594683093</v>
      </c>
      <c r="T25">
        <f t="shared" si="8"/>
        <v>2.9162201621670536</v>
      </c>
      <c r="U25">
        <f t="shared" si="9"/>
        <v>0.30619016120096709</v>
      </c>
      <c r="V25">
        <f t="shared" si="10"/>
        <v>0.192973030060173</v>
      </c>
      <c r="W25">
        <f t="shared" si="11"/>
        <v>289.56487357729992</v>
      </c>
      <c r="X25">
        <f t="shared" si="12"/>
        <v>30.941246161508602</v>
      </c>
      <c r="Y25">
        <f t="shared" si="13"/>
        <v>30.039400000000001</v>
      </c>
      <c r="Z25">
        <f t="shared" si="14"/>
        <v>4.2701011256493295</v>
      </c>
      <c r="AA25">
        <f t="shared" si="15"/>
        <v>65.190167199518328</v>
      </c>
      <c r="AB25">
        <f t="shared" si="16"/>
        <v>2.8447638752502398</v>
      </c>
      <c r="AC25">
        <f t="shared" si="17"/>
        <v>4.363792880824608</v>
      </c>
      <c r="AD25">
        <f t="shared" si="18"/>
        <v>1.4253372503990898</v>
      </c>
      <c r="AE25">
        <f t="shared" si="19"/>
        <v>-200.98523007446906</v>
      </c>
      <c r="AF25">
        <f t="shared" si="20"/>
        <v>59.507490433370783</v>
      </c>
      <c r="AG25">
        <f t="shared" si="21"/>
        <v>4.5475072635082459</v>
      </c>
      <c r="AH25">
        <f t="shared" si="22"/>
        <v>152.63464119970988</v>
      </c>
      <c r="AI25">
        <v>0</v>
      </c>
      <c r="AJ25">
        <v>0</v>
      </c>
      <c r="AK25">
        <f t="shared" si="23"/>
        <v>1</v>
      </c>
      <c r="AL25">
        <f t="shared" si="24"/>
        <v>0</v>
      </c>
      <c r="AM25">
        <f t="shared" si="25"/>
        <v>51884.75802483203</v>
      </c>
      <c r="AN25" t="s">
        <v>418</v>
      </c>
      <c r="AO25">
        <v>10021</v>
      </c>
      <c r="AP25">
        <v>177.53923076923081</v>
      </c>
      <c r="AQ25">
        <v>655.56</v>
      </c>
      <c r="AR25">
        <f t="shared" si="26"/>
        <v>0.72917928066198234</v>
      </c>
      <c r="AS25">
        <v>-3.1115002560329539</v>
      </c>
      <c r="AT25" t="s">
        <v>465</v>
      </c>
      <c r="AU25">
        <v>8018.04</v>
      </c>
      <c r="AV25">
        <v>732.64648</v>
      </c>
      <c r="AW25">
        <v>1002.710481920192</v>
      </c>
      <c r="AX25">
        <f t="shared" si="27"/>
        <v>0.26933397704491835</v>
      </c>
      <c r="AY25">
        <v>0.5</v>
      </c>
      <c r="AZ25">
        <f t="shared" si="28"/>
        <v>1513.1762992628499</v>
      </c>
      <c r="BA25">
        <f t="shared" si="29"/>
        <v>37.602838358664677</v>
      </c>
      <c r="BB25">
        <f t="shared" si="30"/>
        <v>203.77489532528745</v>
      </c>
      <c r="BC25">
        <f t="shared" si="31"/>
        <v>2.6906539994402366E-2</v>
      </c>
      <c r="BD25">
        <f t="shared" si="32"/>
        <v>-0.34621208033588957</v>
      </c>
      <c r="BE25">
        <f t="shared" si="33"/>
        <v>195.907823478561</v>
      </c>
      <c r="BF25" t="s">
        <v>466</v>
      </c>
      <c r="BG25">
        <v>582.85</v>
      </c>
      <c r="BH25">
        <f t="shared" si="34"/>
        <v>582.85</v>
      </c>
      <c r="BI25">
        <f t="shared" si="35"/>
        <v>0.41872553393094936</v>
      </c>
      <c r="BJ25">
        <f t="shared" si="36"/>
        <v>0.64322319806112738</v>
      </c>
      <c r="BK25">
        <f t="shared" si="37"/>
        <v>-4.7744530590041601</v>
      </c>
      <c r="BL25">
        <f t="shared" si="38"/>
        <v>0.32728236901552582</v>
      </c>
      <c r="BM25">
        <f t="shared" si="39"/>
        <v>-0.72622468366557902</v>
      </c>
      <c r="BN25">
        <f t="shared" si="40"/>
        <v>0.51171015110852391</v>
      </c>
      <c r="BO25">
        <f t="shared" si="41"/>
        <v>0.48828984889147609</v>
      </c>
      <c r="BP25">
        <v>22483</v>
      </c>
      <c r="BQ25">
        <v>290.00000000000011</v>
      </c>
      <c r="BR25">
        <v>910.69</v>
      </c>
      <c r="BS25">
        <v>295</v>
      </c>
      <c r="BT25">
        <v>8018.04</v>
      </c>
      <c r="BU25">
        <v>912.06</v>
      </c>
      <c r="BV25">
        <v>-1.37</v>
      </c>
      <c r="BW25">
        <v>300.00000000000011</v>
      </c>
      <c r="BX25">
        <v>19.399999999999999</v>
      </c>
      <c r="BY25">
        <v>1002.710481920192</v>
      </c>
      <c r="BZ25">
        <v>3.0285167350797311</v>
      </c>
      <c r="CA25">
        <v>-72.682419633028303</v>
      </c>
      <c r="CB25">
        <v>2.2306269232804938</v>
      </c>
      <c r="CC25">
        <v>0.97430503074644659</v>
      </c>
      <c r="CD25">
        <v>-4.1404863181312554E-3</v>
      </c>
      <c r="CE25">
        <v>289.99999999999989</v>
      </c>
      <c r="CF25">
        <v>905.95</v>
      </c>
      <c r="CG25">
        <v>635</v>
      </c>
      <c r="CH25">
        <v>8008.82</v>
      </c>
      <c r="CI25">
        <v>911.96</v>
      </c>
      <c r="CJ25">
        <v>-6.01</v>
      </c>
      <c r="CX25">
        <f t="shared" si="42"/>
        <v>1799.99</v>
      </c>
      <c r="CY25">
        <f t="shared" si="43"/>
        <v>1513.1762992628499</v>
      </c>
      <c r="CZ25">
        <f t="shared" si="44"/>
        <v>0.84065816991363829</v>
      </c>
      <c r="DA25">
        <f t="shared" si="45"/>
        <v>0.16087026793332179</v>
      </c>
      <c r="DB25">
        <v>6</v>
      </c>
      <c r="DC25">
        <v>0.5</v>
      </c>
      <c r="DD25" t="s">
        <v>421</v>
      </c>
      <c r="DE25">
        <v>2</v>
      </c>
      <c r="DF25">
        <v>1689000595.5</v>
      </c>
      <c r="DG25">
        <v>353.02</v>
      </c>
      <c r="DH25">
        <v>400.06400000000002</v>
      </c>
      <c r="DI25">
        <v>28.6432</v>
      </c>
      <c r="DJ25">
        <v>23.332000000000001</v>
      </c>
      <c r="DK25">
        <v>352.32900000000001</v>
      </c>
      <c r="DL25">
        <v>28.357399999999998</v>
      </c>
      <c r="DM25">
        <v>500.10700000000003</v>
      </c>
      <c r="DN25">
        <v>99.217299999999994</v>
      </c>
      <c r="DO25">
        <v>9.9950700000000003E-2</v>
      </c>
      <c r="DP25">
        <v>30.417899999999999</v>
      </c>
      <c r="DQ25">
        <v>30.039400000000001</v>
      </c>
      <c r="DR25">
        <v>999.9</v>
      </c>
      <c r="DS25">
        <v>0</v>
      </c>
      <c r="DT25">
        <v>0</v>
      </c>
      <c r="DU25">
        <v>10002.5</v>
      </c>
      <c r="DV25">
        <v>0</v>
      </c>
      <c r="DW25">
        <v>1199.3</v>
      </c>
      <c r="DX25">
        <v>-47.043999999999997</v>
      </c>
      <c r="DY25">
        <v>363.43</v>
      </c>
      <c r="DZ25">
        <v>409.62099999999998</v>
      </c>
      <c r="EA25">
        <v>5.3112500000000002</v>
      </c>
      <c r="EB25">
        <v>400.06400000000002</v>
      </c>
      <c r="EC25">
        <v>23.332000000000001</v>
      </c>
      <c r="ED25">
        <v>2.8418999999999999</v>
      </c>
      <c r="EE25">
        <v>2.3149299999999999</v>
      </c>
      <c r="EF25">
        <v>23.1295</v>
      </c>
      <c r="EG25">
        <v>19.7807</v>
      </c>
      <c r="EH25">
        <v>1799.99</v>
      </c>
      <c r="EI25">
        <v>0.97799899999999995</v>
      </c>
      <c r="EJ25">
        <v>2.2001099999999999E-2</v>
      </c>
      <c r="EK25">
        <v>0</v>
      </c>
      <c r="EL25">
        <v>732.84199999999998</v>
      </c>
      <c r="EM25">
        <v>5.0011200000000002</v>
      </c>
      <c r="EN25">
        <v>14604.8</v>
      </c>
      <c r="EO25">
        <v>17210.8</v>
      </c>
      <c r="EP25">
        <v>48.186999999999998</v>
      </c>
      <c r="EQ25">
        <v>48.811999999999998</v>
      </c>
      <c r="ER25">
        <v>48.875</v>
      </c>
      <c r="ES25">
        <v>48.75</v>
      </c>
      <c r="ET25">
        <v>48.936999999999998</v>
      </c>
      <c r="EU25">
        <v>1755.5</v>
      </c>
      <c r="EV25">
        <v>39.49</v>
      </c>
      <c r="EW25">
        <v>0</v>
      </c>
      <c r="EX25">
        <v>127.80000019073491</v>
      </c>
      <c r="EY25">
        <v>0</v>
      </c>
      <c r="EZ25">
        <v>732.64648</v>
      </c>
      <c r="FA25">
        <v>1.4543846091554</v>
      </c>
      <c r="FB25">
        <v>23.723076961246189</v>
      </c>
      <c r="FC25">
        <v>14601.896000000001</v>
      </c>
      <c r="FD25">
        <v>15</v>
      </c>
      <c r="FE25">
        <v>1689000566</v>
      </c>
      <c r="FF25" t="s">
        <v>467</v>
      </c>
      <c r="FG25">
        <v>1689000566</v>
      </c>
      <c r="FH25">
        <v>1689000563.5</v>
      </c>
      <c r="FI25">
        <v>11</v>
      </c>
      <c r="FJ25">
        <v>-9.1999999999999998E-2</v>
      </c>
      <c r="FK25">
        <v>8.0000000000000002E-3</v>
      </c>
      <c r="FL25">
        <v>0.76100000000000001</v>
      </c>
      <c r="FM25">
        <v>0.28599999999999998</v>
      </c>
      <c r="FN25">
        <v>400</v>
      </c>
      <c r="FO25">
        <v>23</v>
      </c>
      <c r="FP25">
        <v>0.05</v>
      </c>
      <c r="FQ25">
        <v>0.02</v>
      </c>
      <c r="FR25">
        <v>37.629433911376807</v>
      </c>
      <c r="FS25">
        <v>-0.640050543259986</v>
      </c>
      <c r="FT25">
        <v>6.0576673800235049E-2</v>
      </c>
      <c r="FU25">
        <v>1</v>
      </c>
      <c r="FV25">
        <v>0.32334673555698917</v>
      </c>
      <c r="FW25">
        <v>7.1705332774009648E-3</v>
      </c>
      <c r="FX25">
        <v>1.330839465619901E-3</v>
      </c>
      <c r="FY25">
        <v>1</v>
      </c>
      <c r="FZ25">
        <v>2</v>
      </c>
      <c r="GA25">
        <v>2</v>
      </c>
      <c r="GB25" t="s">
        <v>423</v>
      </c>
      <c r="GC25">
        <v>2.92625</v>
      </c>
      <c r="GD25">
        <v>2.8272699999999999</v>
      </c>
      <c r="GE25">
        <v>7.9985000000000001E-2</v>
      </c>
      <c r="GF25">
        <v>8.8570200000000002E-2</v>
      </c>
      <c r="GG25">
        <v>0.126974</v>
      </c>
      <c r="GH25">
        <v>0.11067100000000001</v>
      </c>
      <c r="GI25">
        <v>30067.9</v>
      </c>
      <c r="GJ25">
        <v>24185.7</v>
      </c>
      <c r="GK25">
        <v>31446.9</v>
      </c>
      <c r="GL25">
        <v>26171.8</v>
      </c>
      <c r="GM25">
        <v>37634.199999999997</v>
      </c>
      <c r="GN25">
        <v>31565.4</v>
      </c>
      <c r="GO25">
        <v>46701.8</v>
      </c>
      <c r="GP25">
        <v>38047.9</v>
      </c>
      <c r="GQ25">
        <v>1.9358200000000001</v>
      </c>
      <c r="GR25">
        <v>1.7950299999999999</v>
      </c>
      <c r="GS25">
        <v>3.9488099999999998E-2</v>
      </c>
      <c r="GT25">
        <v>0</v>
      </c>
      <c r="GU25">
        <v>29.3965</v>
      </c>
      <c r="GV25">
        <v>999.9</v>
      </c>
      <c r="GW25">
        <v>50.1</v>
      </c>
      <c r="GX25">
        <v>37.5</v>
      </c>
      <c r="GY25">
        <v>32.720799999999997</v>
      </c>
      <c r="GZ25">
        <v>62.351399999999998</v>
      </c>
      <c r="HA25">
        <v>21.334099999999999</v>
      </c>
      <c r="HB25">
        <v>1</v>
      </c>
      <c r="HC25">
        <v>0.415132</v>
      </c>
      <c r="HD25">
        <v>2.06446</v>
      </c>
      <c r="HE25">
        <v>20.284099999999999</v>
      </c>
      <c r="HF25">
        <v>5.2268699999999999</v>
      </c>
      <c r="HG25">
        <v>12.058</v>
      </c>
      <c r="HH25">
        <v>4.99275</v>
      </c>
      <c r="HI25">
        <v>3.2919999999999998</v>
      </c>
      <c r="HJ25">
        <v>9999</v>
      </c>
      <c r="HK25">
        <v>9999</v>
      </c>
      <c r="HL25">
        <v>9999</v>
      </c>
      <c r="HM25">
        <v>461.3</v>
      </c>
      <c r="HN25">
        <v>1.8669500000000001</v>
      </c>
      <c r="HO25">
        <v>1.87043</v>
      </c>
      <c r="HP25">
        <v>1.8730199999999999</v>
      </c>
      <c r="HQ25">
        <v>1.8739300000000001</v>
      </c>
      <c r="HR25">
        <v>1.87073</v>
      </c>
      <c r="HS25">
        <v>1.86907</v>
      </c>
      <c r="HT25">
        <v>1.8705700000000001</v>
      </c>
      <c r="HU25">
        <v>1.8736200000000001</v>
      </c>
      <c r="HV25">
        <v>0</v>
      </c>
      <c r="HW25">
        <v>0</v>
      </c>
      <c r="HX25">
        <v>0</v>
      </c>
      <c r="HY25">
        <v>0</v>
      </c>
      <c r="HZ25" t="s">
        <v>424</v>
      </c>
      <c r="IA25" t="s">
        <v>425</v>
      </c>
      <c r="IB25" t="s">
        <v>426</v>
      </c>
      <c r="IC25" t="s">
        <v>426</v>
      </c>
      <c r="ID25" t="s">
        <v>426</v>
      </c>
      <c r="IE25" t="s">
        <v>426</v>
      </c>
      <c r="IF25">
        <v>0</v>
      </c>
      <c r="IG25">
        <v>100</v>
      </c>
      <c r="IH25">
        <v>100</v>
      </c>
      <c r="II25">
        <v>0.69099999999999995</v>
      </c>
      <c r="IJ25">
        <v>0.2858</v>
      </c>
      <c r="IK25">
        <v>-0.10519290490974301</v>
      </c>
      <c r="IL25">
        <v>3.042515301972944E-3</v>
      </c>
      <c r="IM25">
        <v>-2.5091471490852929E-6</v>
      </c>
      <c r="IN25">
        <v>8.1339755115576286E-10</v>
      </c>
      <c r="IO25">
        <v>0.28576190476190533</v>
      </c>
      <c r="IP25">
        <v>0</v>
      </c>
      <c r="IQ25">
        <v>0</v>
      </c>
      <c r="IR25">
        <v>0</v>
      </c>
      <c r="IS25">
        <v>3</v>
      </c>
      <c r="IT25">
        <v>2004</v>
      </c>
      <c r="IU25">
        <v>2</v>
      </c>
      <c r="IV25">
        <v>22</v>
      </c>
      <c r="IW25">
        <v>0.5</v>
      </c>
      <c r="IX25">
        <v>0.5</v>
      </c>
      <c r="IY25">
        <v>1.02905</v>
      </c>
      <c r="IZ25">
        <v>2.5756800000000002</v>
      </c>
      <c r="JA25">
        <v>1.64917</v>
      </c>
      <c r="JB25">
        <v>2.33887</v>
      </c>
      <c r="JC25">
        <v>1.5991200000000001</v>
      </c>
      <c r="JD25">
        <v>2.3010299999999999</v>
      </c>
      <c r="JE25">
        <v>43.6447</v>
      </c>
      <c r="JF25">
        <v>23.912400000000002</v>
      </c>
      <c r="JG25">
        <v>18</v>
      </c>
      <c r="JH25">
        <v>518.89400000000001</v>
      </c>
      <c r="JI25">
        <v>476.18599999999998</v>
      </c>
      <c r="JJ25">
        <v>27.642499999999998</v>
      </c>
      <c r="JK25">
        <v>32.405999999999999</v>
      </c>
      <c r="JL25">
        <v>30.000399999999999</v>
      </c>
      <c r="JM25">
        <v>32.410499999999999</v>
      </c>
      <c r="JN25">
        <v>32.394500000000001</v>
      </c>
      <c r="JO25">
        <v>20.5975</v>
      </c>
      <c r="JP25">
        <v>38.7057</v>
      </c>
      <c r="JQ25">
        <v>21.680399999999999</v>
      </c>
      <c r="JR25">
        <v>27.616199999999999</v>
      </c>
      <c r="JS25">
        <v>400</v>
      </c>
      <c r="JT25">
        <v>23.297000000000001</v>
      </c>
      <c r="JU25">
        <v>99.673900000000003</v>
      </c>
      <c r="JV25">
        <v>99.501900000000006</v>
      </c>
    </row>
    <row r="26" spans="1:282" x14ac:dyDescent="0.25">
      <c r="A26">
        <v>10</v>
      </c>
      <c r="B26">
        <v>1689000697.5</v>
      </c>
      <c r="C26">
        <v>1102.400000095367</v>
      </c>
      <c r="D26" t="s">
        <v>468</v>
      </c>
      <c r="E26" t="s">
        <v>469</v>
      </c>
      <c r="F26" t="s">
        <v>414</v>
      </c>
      <c r="G26" t="s">
        <v>415</v>
      </c>
      <c r="H26" t="s">
        <v>416</v>
      </c>
      <c r="I26" t="s">
        <v>416</v>
      </c>
      <c r="J26" t="s">
        <v>417</v>
      </c>
      <c r="K26">
        <v>1689000697.5</v>
      </c>
      <c r="L26">
        <f t="shared" si="0"/>
        <v>4.4780933606031271E-3</v>
      </c>
      <c r="M26">
        <f t="shared" si="1"/>
        <v>4.4780933606031272</v>
      </c>
      <c r="N26">
        <f t="shared" si="2"/>
        <v>37.670820431189071</v>
      </c>
      <c r="O26">
        <f t="shared" si="3"/>
        <v>352.92700000000002</v>
      </c>
      <c r="P26">
        <f t="shared" si="4"/>
        <v>151.27303647739393</v>
      </c>
      <c r="Q26">
        <f t="shared" si="5"/>
        <v>15.023765271741551</v>
      </c>
      <c r="R26">
        <f t="shared" si="6"/>
        <v>35.051140173631005</v>
      </c>
      <c r="S26">
        <f t="shared" si="7"/>
        <v>0.3240659426759338</v>
      </c>
      <c r="T26">
        <f t="shared" si="8"/>
        <v>2.9150859471044552</v>
      </c>
      <c r="U26">
        <f t="shared" si="9"/>
        <v>0.30529933371416745</v>
      </c>
      <c r="V26">
        <f t="shared" si="10"/>
        <v>0.19240756378548501</v>
      </c>
      <c r="W26">
        <f t="shared" si="11"/>
        <v>289.5728535773394</v>
      </c>
      <c r="X26">
        <f t="shared" si="12"/>
        <v>30.930488530171459</v>
      </c>
      <c r="Y26">
        <f t="shared" si="13"/>
        <v>29.965199999999999</v>
      </c>
      <c r="Z26">
        <f t="shared" si="14"/>
        <v>4.2519410438172676</v>
      </c>
      <c r="AA26">
        <f t="shared" si="15"/>
        <v>65.365875462662743</v>
      </c>
      <c r="AB26">
        <f t="shared" si="16"/>
        <v>2.8472577258464002</v>
      </c>
      <c r="AC26">
        <f t="shared" si="17"/>
        <v>4.3558779037125657</v>
      </c>
      <c r="AD26">
        <f t="shared" si="18"/>
        <v>1.4046833179708673</v>
      </c>
      <c r="AE26">
        <f t="shared" si="19"/>
        <v>-197.48391720259789</v>
      </c>
      <c r="AF26">
        <f t="shared" si="20"/>
        <v>66.163565817304274</v>
      </c>
      <c r="AG26">
        <f t="shared" si="21"/>
        <v>5.0554768186611918</v>
      </c>
      <c r="AH26">
        <f t="shared" si="22"/>
        <v>163.30797901070696</v>
      </c>
      <c r="AI26">
        <v>0</v>
      </c>
      <c r="AJ26">
        <v>0</v>
      </c>
      <c r="AK26">
        <f t="shared" si="23"/>
        <v>1</v>
      </c>
      <c r="AL26">
        <f t="shared" si="24"/>
        <v>0</v>
      </c>
      <c r="AM26">
        <f t="shared" si="25"/>
        <v>51857.878239010497</v>
      </c>
      <c r="AN26" t="s">
        <v>418</v>
      </c>
      <c r="AO26">
        <v>10021</v>
      </c>
      <c r="AP26">
        <v>177.53923076923081</v>
      </c>
      <c r="AQ26">
        <v>655.56</v>
      </c>
      <c r="AR26">
        <f t="shared" si="26"/>
        <v>0.72917928066198234</v>
      </c>
      <c r="AS26">
        <v>-3.1115002560329539</v>
      </c>
      <c r="AT26" t="s">
        <v>470</v>
      </c>
      <c r="AU26">
        <v>8018.12</v>
      </c>
      <c r="AV26">
        <v>733.61303846153839</v>
      </c>
      <c r="AW26">
        <v>1004.117108292807</v>
      </c>
      <c r="AX26">
        <f t="shared" si="27"/>
        <v>0.26939494168282596</v>
      </c>
      <c r="AY26">
        <v>0.5</v>
      </c>
      <c r="AZ26">
        <f t="shared" si="28"/>
        <v>1513.21829926287</v>
      </c>
      <c r="BA26">
        <f t="shared" si="29"/>
        <v>37.670820431189071</v>
      </c>
      <c r="BB26">
        <f t="shared" si="30"/>
        <v>203.82667774165299</v>
      </c>
      <c r="BC26">
        <f t="shared" si="31"/>
        <v>2.6950718681559831E-2</v>
      </c>
      <c r="BD26">
        <f t="shared" si="32"/>
        <v>-0.34712794495198018</v>
      </c>
      <c r="BE26">
        <f t="shared" si="33"/>
        <v>195.96145761283429</v>
      </c>
      <c r="BF26" t="s">
        <v>471</v>
      </c>
      <c r="BG26">
        <v>585.1</v>
      </c>
      <c r="BH26">
        <f t="shared" si="34"/>
        <v>585.1</v>
      </c>
      <c r="BI26">
        <f t="shared" si="35"/>
        <v>0.41729904294252784</v>
      </c>
      <c r="BJ26">
        <f t="shared" si="36"/>
        <v>0.6455680793879226</v>
      </c>
      <c r="BK26">
        <f t="shared" si="37"/>
        <v>-4.9468791980245159</v>
      </c>
      <c r="BL26">
        <f t="shared" si="38"/>
        <v>0.32725781464379089</v>
      </c>
      <c r="BM26">
        <f t="shared" si="39"/>
        <v>-0.72916728880568304</v>
      </c>
      <c r="BN26">
        <f t="shared" si="40"/>
        <v>0.51487891224233828</v>
      </c>
      <c r="BO26">
        <f t="shared" si="41"/>
        <v>0.48512108775766172</v>
      </c>
      <c r="BP26">
        <v>22485</v>
      </c>
      <c r="BQ26">
        <v>290.00000000000011</v>
      </c>
      <c r="BR26">
        <v>914.6</v>
      </c>
      <c r="BS26">
        <v>285</v>
      </c>
      <c r="BT26">
        <v>8018.12</v>
      </c>
      <c r="BU26">
        <v>916.38</v>
      </c>
      <c r="BV26">
        <v>-1.78</v>
      </c>
      <c r="BW26">
        <v>300.00000000000011</v>
      </c>
      <c r="BX26">
        <v>19.399999999999999</v>
      </c>
      <c r="BY26">
        <v>1004.117108292807</v>
      </c>
      <c r="BZ26">
        <v>3.3256916529539491</v>
      </c>
      <c r="CA26">
        <v>-70.345408826763034</v>
      </c>
      <c r="CB26">
        <v>2.449530371011722</v>
      </c>
      <c r="CC26">
        <v>0.9671638502258918</v>
      </c>
      <c r="CD26">
        <v>-4.1405655172413883E-3</v>
      </c>
      <c r="CE26">
        <v>289.99999999999989</v>
      </c>
      <c r="CF26">
        <v>911.64</v>
      </c>
      <c r="CG26">
        <v>645</v>
      </c>
      <c r="CH26">
        <v>8008.56</v>
      </c>
      <c r="CI26">
        <v>916.28</v>
      </c>
      <c r="CJ26">
        <v>-4.6399999999999997</v>
      </c>
      <c r="CX26">
        <f t="shared" si="42"/>
        <v>1800.04</v>
      </c>
      <c r="CY26">
        <f t="shared" si="43"/>
        <v>1513.21829926287</v>
      </c>
      <c r="CZ26">
        <f t="shared" si="44"/>
        <v>0.84065815163155821</v>
      </c>
      <c r="DA26">
        <f t="shared" si="45"/>
        <v>0.16087023264890749</v>
      </c>
      <c r="DB26">
        <v>6</v>
      </c>
      <c r="DC26">
        <v>0.5</v>
      </c>
      <c r="DD26" t="s">
        <v>421</v>
      </c>
      <c r="DE26">
        <v>2</v>
      </c>
      <c r="DF26">
        <v>1689000697.5</v>
      </c>
      <c r="DG26">
        <v>352.92700000000002</v>
      </c>
      <c r="DH26">
        <v>400.01900000000001</v>
      </c>
      <c r="DI26">
        <v>28.668800000000001</v>
      </c>
      <c r="DJ26">
        <v>23.450199999999999</v>
      </c>
      <c r="DK26">
        <v>352.23200000000003</v>
      </c>
      <c r="DL26">
        <v>28.380800000000001</v>
      </c>
      <c r="DM26">
        <v>500.101</v>
      </c>
      <c r="DN26">
        <v>99.215000000000003</v>
      </c>
      <c r="DO26">
        <v>0.100553</v>
      </c>
      <c r="DP26">
        <v>30.386199999999999</v>
      </c>
      <c r="DQ26">
        <v>29.965199999999999</v>
      </c>
      <c r="DR26">
        <v>999.9</v>
      </c>
      <c r="DS26">
        <v>0</v>
      </c>
      <c r="DT26">
        <v>0</v>
      </c>
      <c r="DU26">
        <v>9996.25</v>
      </c>
      <c r="DV26">
        <v>0</v>
      </c>
      <c r="DW26">
        <v>1211.04</v>
      </c>
      <c r="DX26">
        <v>-47.091799999999999</v>
      </c>
      <c r="DY26">
        <v>363.34300000000002</v>
      </c>
      <c r="DZ26">
        <v>409.62400000000002</v>
      </c>
      <c r="EA26">
        <v>5.21861</v>
      </c>
      <c r="EB26">
        <v>400.01900000000001</v>
      </c>
      <c r="EC26">
        <v>23.450199999999999</v>
      </c>
      <c r="ED26">
        <v>2.8443700000000001</v>
      </c>
      <c r="EE26">
        <v>2.3266100000000001</v>
      </c>
      <c r="EF26">
        <v>23.143899999999999</v>
      </c>
      <c r="EG26">
        <v>19.861799999999999</v>
      </c>
      <c r="EH26">
        <v>1800.04</v>
      </c>
      <c r="EI26">
        <v>0.97799899999999995</v>
      </c>
      <c r="EJ26">
        <v>2.2001099999999999E-2</v>
      </c>
      <c r="EK26">
        <v>0</v>
      </c>
      <c r="EL26">
        <v>733.779</v>
      </c>
      <c r="EM26">
        <v>5.0011200000000002</v>
      </c>
      <c r="EN26">
        <v>14624.4</v>
      </c>
      <c r="EO26">
        <v>17211.3</v>
      </c>
      <c r="EP26">
        <v>48.186999999999998</v>
      </c>
      <c r="EQ26">
        <v>48.875</v>
      </c>
      <c r="ER26">
        <v>48.936999999999998</v>
      </c>
      <c r="ES26">
        <v>48.811999999999998</v>
      </c>
      <c r="ET26">
        <v>49</v>
      </c>
      <c r="EU26">
        <v>1755.55</v>
      </c>
      <c r="EV26">
        <v>39.49</v>
      </c>
      <c r="EW26">
        <v>0</v>
      </c>
      <c r="EX26">
        <v>100.2000000476837</v>
      </c>
      <c r="EY26">
        <v>0</v>
      </c>
      <c r="EZ26">
        <v>733.61303846153839</v>
      </c>
      <c r="FA26">
        <v>0.52789745826436507</v>
      </c>
      <c r="FB26">
        <v>52.133333369181329</v>
      </c>
      <c r="FC26">
        <v>14616.05</v>
      </c>
      <c r="FD26">
        <v>15</v>
      </c>
      <c r="FE26">
        <v>1689000666.5</v>
      </c>
      <c r="FF26" t="s">
        <v>472</v>
      </c>
      <c r="FG26">
        <v>1689000665</v>
      </c>
      <c r="FH26">
        <v>1689000666.5</v>
      </c>
      <c r="FI26">
        <v>12</v>
      </c>
      <c r="FJ26">
        <v>4.0000000000000001E-3</v>
      </c>
      <c r="FK26">
        <v>2E-3</v>
      </c>
      <c r="FL26">
        <v>0.76600000000000001</v>
      </c>
      <c r="FM26">
        <v>0.28799999999999998</v>
      </c>
      <c r="FN26">
        <v>400</v>
      </c>
      <c r="FO26">
        <v>23</v>
      </c>
      <c r="FP26">
        <v>0.04</v>
      </c>
      <c r="FQ26">
        <v>0.03</v>
      </c>
      <c r="FR26">
        <v>37.66688194906164</v>
      </c>
      <c r="FS26">
        <v>-0.62816478457464719</v>
      </c>
      <c r="FT26">
        <v>6.7532195880205315E-2</v>
      </c>
      <c r="FU26">
        <v>1</v>
      </c>
      <c r="FV26">
        <v>0.32650531180145298</v>
      </c>
      <c r="FW26">
        <v>-2.5622003107102258E-2</v>
      </c>
      <c r="FX26">
        <v>2.6339099335269422E-3</v>
      </c>
      <c r="FY26">
        <v>1</v>
      </c>
      <c r="FZ26">
        <v>2</v>
      </c>
      <c r="GA26">
        <v>2</v>
      </c>
      <c r="GB26" t="s">
        <v>423</v>
      </c>
      <c r="GC26">
        <v>2.9261699999999999</v>
      </c>
      <c r="GD26">
        <v>2.8278099999999999</v>
      </c>
      <c r="GE26">
        <v>7.9953499999999997E-2</v>
      </c>
      <c r="GF26">
        <v>8.8548500000000002E-2</v>
      </c>
      <c r="GG26">
        <v>0.127026</v>
      </c>
      <c r="GH26">
        <v>0.11104600000000001</v>
      </c>
      <c r="GI26">
        <v>30065.8</v>
      </c>
      <c r="GJ26">
        <v>24184.3</v>
      </c>
      <c r="GK26">
        <v>31443.8</v>
      </c>
      <c r="GL26">
        <v>26169.8</v>
      </c>
      <c r="GM26">
        <v>37628.6</v>
      </c>
      <c r="GN26">
        <v>31549.5</v>
      </c>
      <c r="GO26">
        <v>46697.4</v>
      </c>
      <c r="GP26">
        <v>38044.800000000003</v>
      </c>
      <c r="GQ26">
        <v>1.9351499999999999</v>
      </c>
      <c r="GR26">
        <v>1.7926299999999999</v>
      </c>
      <c r="GS26">
        <v>4.37349E-2</v>
      </c>
      <c r="GT26">
        <v>0</v>
      </c>
      <c r="GU26">
        <v>29.253</v>
      </c>
      <c r="GV26">
        <v>999.9</v>
      </c>
      <c r="GW26">
        <v>49.4</v>
      </c>
      <c r="GX26">
        <v>37.700000000000003</v>
      </c>
      <c r="GY26">
        <v>32.6126</v>
      </c>
      <c r="GZ26">
        <v>62.5914</v>
      </c>
      <c r="HA26">
        <v>21.482399999999998</v>
      </c>
      <c r="HB26">
        <v>1</v>
      </c>
      <c r="HC26">
        <v>0.41785099999999997</v>
      </c>
      <c r="HD26">
        <v>1.44737</v>
      </c>
      <c r="HE26">
        <v>20.290500000000002</v>
      </c>
      <c r="HF26">
        <v>5.2262700000000004</v>
      </c>
      <c r="HG26">
        <v>12.0579</v>
      </c>
      <c r="HH26">
        <v>4.9925499999999996</v>
      </c>
      <c r="HI26">
        <v>3.2919999999999998</v>
      </c>
      <c r="HJ26">
        <v>9999</v>
      </c>
      <c r="HK26">
        <v>9999</v>
      </c>
      <c r="HL26">
        <v>9999</v>
      </c>
      <c r="HM26">
        <v>461.3</v>
      </c>
      <c r="HN26">
        <v>1.8669500000000001</v>
      </c>
      <c r="HO26">
        <v>1.87043</v>
      </c>
      <c r="HP26">
        <v>1.8730199999999999</v>
      </c>
      <c r="HQ26">
        <v>1.8739300000000001</v>
      </c>
      <c r="HR26">
        <v>1.8707499999999999</v>
      </c>
      <c r="HS26">
        <v>1.8691</v>
      </c>
      <c r="HT26">
        <v>1.8705799999999999</v>
      </c>
      <c r="HU26">
        <v>1.8736299999999999</v>
      </c>
      <c r="HV26">
        <v>0</v>
      </c>
      <c r="HW26">
        <v>0</v>
      </c>
      <c r="HX26">
        <v>0</v>
      </c>
      <c r="HY26">
        <v>0</v>
      </c>
      <c r="HZ26" t="s">
        <v>424</v>
      </c>
      <c r="IA26" t="s">
        <v>425</v>
      </c>
      <c r="IB26" t="s">
        <v>426</v>
      </c>
      <c r="IC26" t="s">
        <v>426</v>
      </c>
      <c r="ID26" t="s">
        <v>426</v>
      </c>
      <c r="IE26" t="s">
        <v>426</v>
      </c>
      <c r="IF26">
        <v>0</v>
      </c>
      <c r="IG26">
        <v>100</v>
      </c>
      <c r="IH26">
        <v>100</v>
      </c>
      <c r="II26">
        <v>0.69499999999999995</v>
      </c>
      <c r="IJ26">
        <v>0.28799999999999998</v>
      </c>
      <c r="IK26">
        <v>-0.1008402634856946</v>
      </c>
      <c r="IL26">
        <v>3.042515301972944E-3</v>
      </c>
      <c r="IM26">
        <v>-2.5091471490852929E-6</v>
      </c>
      <c r="IN26">
        <v>8.1339755115576286E-10</v>
      </c>
      <c r="IO26">
        <v>0.28798095238094851</v>
      </c>
      <c r="IP26">
        <v>0</v>
      </c>
      <c r="IQ26">
        <v>0</v>
      </c>
      <c r="IR26">
        <v>0</v>
      </c>
      <c r="IS26">
        <v>3</v>
      </c>
      <c r="IT26">
        <v>2004</v>
      </c>
      <c r="IU26">
        <v>2</v>
      </c>
      <c r="IV26">
        <v>22</v>
      </c>
      <c r="IW26">
        <v>0.5</v>
      </c>
      <c r="IX26">
        <v>0.5</v>
      </c>
      <c r="IY26">
        <v>1.02905</v>
      </c>
      <c r="IZ26">
        <v>2.5793499999999998</v>
      </c>
      <c r="JA26">
        <v>1.64917</v>
      </c>
      <c r="JB26">
        <v>2.33765</v>
      </c>
      <c r="JC26">
        <v>1.5991200000000001</v>
      </c>
      <c r="JD26">
        <v>2.2412100000000001</v>
      </c>
      <c r="JE26">
        <v>43.781700000000001</v>
      </c>
      <c r="JF26">
        <v>23.912400000000002</v>
      </c>
      <c r="JG26">
        <v>18</v>
      </c>
      <c r="JH26">
        <v>518.91899999999998</v>
      </c>
      <c r="JI26">
        <v>474.99200000000002</v>
      </c>
      <c r="JJ26">
        <v>28.0198</v>
      </c>
      <c r="JK26">
        <v>32.459800000000001</v>
      </c>
      <c r="JL26">
        <v>30.0002</v>
      </c>
      <c r="JM26">
        <v>32.469799999999999</v>
      </c>
      <c r="JN26">
        <v>32.452100000000002</v>
      </c>
      <c r="JO26">
        <v>20.604800000000001</v>
      </c>
      <c r="JP26">
        <v>38.274500000000003</v>
      </c>
      <c r="JQ26">
        <v>18.903300000000002</v>
      </c>
      <c r="JR26">
        <v>28.026700000000002</v>
      </c>
      <c r="JS26">
        <v>400</v>
      </c>
      <c r="JT26">
        <v>23.381799999999998</v>
      </c>
      <c r="JU26">
        <v>99.664400000000001</v>
      </c>
      <c r="JV26">
        <v>99.494</v>
      </c>
    </row>
    <row r="27" spans="1:282" x14ac:dyDescent="0.25">
      <c r="A27">
        <v>11</v>
      </c>
      <c r="B27">
        <v>1689000825</v>
      </c>
      <c r="C27">
        <v>1229.900000095367</v>
      </c>
      <c r="D27" t="s">
        <v>473</v>
      </c>
      <c r="E27" t="s">
        <v>474</v>
      </c>
      <c r="F27" t="s">
        <v>414</v>
      </c>
      <c r="G27" t="s">
        <v>415</v>
      </c>
      <c r="H27" t="s">
        <v>416</v>
      </c>
      <c r="I27" t="s">
        <v>416</v>
      </c>
      <c r="J27" t="s">
        <v>417</v>
      </c>
      <c r="K27">
        <v>1689000825</v>
      </c>
      <c r="L27">
        <f t="shared" si="0"/>
        <v>4.3100655780458803E-3</v>
      </c>
      <c r="M27">
        <f t="shared" si="1"/>
        <v>4.3100655780458803</v>
      </c>
      <c r="N27">
        <f t="shared" si="2"/>
        <v>41.586465843610341</v>
      </c>
      <c r="O27">
        <f t="shared" si="3"/>
        <v>447.73200000000003</v>
      </c>
      <c r="P27">
        <f t="shared" si="4"/>
        <v>215.16955540837191</v>
      </c>
      <c r="Q27">
        <f t="shared" si="5"/>
        <v>21.369396993468349</v>
      </c>
      <c r="R27">
        <f t="shared" si="6"/>
        <v>44.466155244504002</v>
      </c>
      <c r="S27">
        <f t="shared" si="7"/>
        <v>0.31088610316404225</v>
      </c>
      <c r="T27">
        <f t="shared" si="8"/>
        <v>2.9164034897758113</v>
      </c>
      <c r="U27">
        <f t="shared" si="9"/>
        <v>0.29357851673573943</v>
      </c>
      <c r="V27">
        <f t="shared" si="10"/>
        <v>0.18496124989975343</v>
      </c>
      <c r="W27">
        <f t="shared" si="11"/>
        <v>289.54731757721299</v>
      </c>
      <c r="X27">
        <f t="shared" si="12"/>
        <v>31.004275014443962</v>
      </c>
      <c r="Y27">
        <f t="shared" si="13"/>
        <v>30.003699999999998</v>
      </c>
      <c r="Z27">
        <f t="shared" si="14"/>
        <v>4.2613553082279241</v>
      </c>
      <c r="AA27">
        <f t="shared" si="15"/>
        <v>65.4422583377753</v>
      </c>
      <c r="AB27">
        <f t="shared" si="16"/>
        <v>2.8555520308994002</v>
      </c>
      <c r="AC27">
        <f t="shared" si="17"/>
        <v>4.3634680456176849</v>
      </c>
      <c r="AD27">
        <f t="shared" si="18"/>
        <v>1.4058032773285238</v>
      </c>
      <c r="AE27">
        <f t="shared" si="19"/>
        <v>-190.07389199182333</v>
      </c>
      <c r="AF27">
        <f t="shared" si="20"/>
        <v>64.91991394605374</v>
      </c>
      <c r="AG27">
        <f t="shared" si="21"/>
        <v>4.9599002367289931</v>
      </c>
      <c r="AH27">
        <f t="shared" si="22"/>
        <v>169.35323976817239</v>
      </c>
      <c r="AI27">
        <v>0</v>
      </c>
      <c r="AJ27">
        <v>0</v>
      </c>
      <c r="AK27">
        <f t="shared" si="23"/>
        <v>1</v>
      </c>
      <c r="AL27">
        <f t="shared" si="24"/>
        <v>0</v>
      </c>
      <c r="AM27">
        <f t="shared" si="25"/>
        <v>51890.140020430605</v>
      </c>
      <c r="AN27" t="s">
        <v>418</v>
      </c>
      <c r="AO27">
        <v>10021</v>
      </c>
      <c r="AP27">
        <v>177.53923076923081</v>
      </c>
      <c r="AQ27">
        <v>655.56</v>
      </c>
      <c r="AR27">
        <f t="shared" si="26"/>
        <v>0.72917928066198234</v>
      </c>
      <c r="AS27">
        <v>-3.1115002560329539</v>
      </c>
      <c r="AT27" t="s">
        <v>475</v>
      </c>
      <c r="AU27">
        <v>8017.67</v>
      </c>
      <c r="AV27">
        <v>738.53955999999994</v>
      </c>
      <c r="AW27">
        <v>1044.3925974820561</v>
      </c>
      <c r="AX27">
        <f t="shared" si="27"/>
        <v>0.2928525520186972</v>
      </c>
      <c r="AY27">
        <v>0.5</v>
      </c>
      <c r="AZ27">
        <f t="shared" si="28"/>
        <v>1513.0838992628048</v>
      </c>
      <c r="BA27">
        <f t="shared" si="29"/>
        <v>41.586465843610341</v>
      </c>
      <c r="BB27">
        <f t="shared" si="30"/>
        <v>221.55524065875687</v>
      </c>
      <c r="BC27">
        <f t="shared" si="31"/>
        <v>2.9540970015886597E-2</v>
      </c>
      <c r="BD27">
        <f t="shared" si="32"/>
        <v>-0.37230501098868307</v>
      </c>
      <c r="BE27">
        <f t="shared" si="33"/>
        <v>197.44744406466404</v>
      </c>
      <c r="BF27" t="s">
        <v>476</v>
      </c>
      <c r="BG27">
        <v>584.88</v>
      </c>
      <c r="BH27">
        <f t="shared" si="34"/>
        <v>584.88</v>
      </c>
      <c r="BI27">
        <f t="shared" si="35"/>
        <v>0.43998071088391744</v>
      </c>
      <c r="BJ27">
        <f t="shared" si="36"/>
        <v>0.66560316117122265</v>
      </c>
      <c r="BK27">
        <f t="shared" si="37"/>
        <v>-5.5013100945395648</v>
      </c>
      <c r="BL27">
        <f t="shared" si="38"/>
        <v>0.35283134290851798</v>
      </c>
      <c r="BM27">
        <f t="shared" si="39"/>
        <v>-0.81342197350078627</v>
      </c>
      <c r="BN27">
        <f t="shared" si="40"/>
        <v>0.52711865144478487</v>
      </c>
      <c r="BO27">
        <f t="shared" si="41"/>
        <v>0.47288134855521513</v>
      </c>
      <c r="BP27">
        <v>22487</v>
      </c>
      <c r="BQ27">
        <v>290.00000000000011</v>
      </c>
      <c r="BR27">
        <v>940.63</v>
      </c>
      <c r="BS27">
        <v>295</v>
      </c>
      <c r="BT27">
        <v>8017.67</v>
      </c>
      <c r="BU27">
        <v>943.33</v>
      </c>
      <c r="BV27">
        <v>-2.7</v>
      </c>
      <c r="BW27">
        <v>300.00000000000011</v>
      </c>
      <c r="BX27">
        <v>19.399999999999999</v>
      </c>
      <c r="BY27">
        <v>1044.3925974820561</v>
      </c>
      <c r="BZ27">
        <v>3.4482851991289691</v>
      </c>
      <c r="CA27">
        <v>-81.0293245074282</v>
      </c>
      <c r="CB27">
        <v>2.5396804015396439</v>
      </c>
      <c r="CC27">
        <v>0.97323006922691468</v>
      </c>
      <c r="CD27">
        <v>-4.1404700778642951E-3</v>
      </c>
      <c r="CE27">
        <v>289.99999999999989</v>
      </c>
      <c r="CF27">
        <v>938.2</v>
      </c>
      <c r="CG27">
        <v>635</v>
      </c>
      <c r="CH27">
        <v>8008.39</v>
      </c>
      <c r="CI27">
        <v>943.21</v>
      </c>
      <c r="CJ27">
        <v>-5.01</v>
      </c>
      <c r="CX27">
        <f t="shared" si="42"/>
        <v>1799.88</v>
      </c>
      <c r="CY27">
        <f t="shared" si="43"/>
        <v>1513.0838992628048</v>
      </c>
      <c r="CZ27">
        <f t="shared" si="44"/>
        <v>0.84065821013778963</v>
      </c>
      <c r="DA27">
        <f t="shared" si="45"/>
        <v>0.16087034556593383</v>
      </c>
      <c r="DB27">
        <v>6</v>
      </c>
      <c r="DC27">
        <v>0.5</v>
      </c>
      <c r="DD27" t="s">
        <v>421</v>
      </c>
      <c r="DE27">
        <v>2</v>
      </c>
      <c r="DF27">
        <v>1689000825</v>
      </c>
      <c r="DG27">
        <v>447.73200000000003</v>
      </c>
      <c r="DH27">
        <v>499.95699999999999</v>
      </c>
      <c r="DI27">
        <v>28.752700000000001</v>
      </c>
      <c r="DJ27">
        <v>23.7288</v>
      </c>
      <c r="DK27">
        <v>446.85500000000002</v>
      </c>
      <c r="DL27">
        <v>28.457999999999998</v>
      </c>
      <c r="DM27">
        <v>499.947</v>
      </c>
      <c r="DN27">
        <v>99.214799999999997</v>
      </c>
      <c r="DO27">
        <v>9.9421999999999996E-2</v>
      </c>
      <c r="DP27">
        <v>30.416599999999999</v>
      </c>
      <c r="DQ27">
        <v>30.003699999999998</v>
      </c>
      <c r="DR27">
        <v>999.9</v>
      </c>
      <c r="DS27">
        <v>0</v>
      </c>
      <c r="DT27">
        <v>0</v>
      </c>
      <c r="DU27">
        <v>10003.799999999999</v>
      </c>
      <c r="DV27">
        <v>0</v>
      </c>
      <c r="DW27">
        <v>1223.69</v>
      </c>
      <c r="DX27">
        <v>-52.224800000000002</v>
      </c>
      <c r="DY27">
        <v>460.98700000000002</v>
      </c>
      <c r="DZ27">
        <v>512.10900000000004</v>
      </c>
      <c r="EA27">
        <v>5.0239099999999999</v>
      </c>
      <c r="EB27">
        <v>499.95699999999999</v>
      </c>
      <c r="EC27">
        <v>23.7288</v>
      </c>
      <c r="ED27">
        <v>2.8527</v>
      </c>
      <c r="EE27">
        <v>2.35425</v>
      </c>
      <c r="EF27">
        <v>23.1922</v>
      </c>
      <c r="EG27">
        <v>20.052499999999998</v>
      </c>
      <c r="EH27">
        <v>1799.88</v>
      </c>
      <c r="EI27">
        <v>0.97799899999999995</v>
      </c>
      <c r="EJ27">
        <v>2.2001099999999999E-2</v>
      </c>
      <c r="EK27">
        <v>0</v>
      </c>
      <c r="EL27">
        <v>738.46500000000003</v>
      </c>
      <c r="EM27">
        <v>5.0011200000000002</v>
      </c>
      <c r="EN27">
        <v>14709.4</v>
      </c>
      <c r="EO27">
        <v>17209.8</v>
      </c>
      <c r="EP27">
        <v>48.25</v>
      </c>
      <c r="EQ27">
        <v>48.875</v>
      </c>
      <c r="ER27">
        <v>48.936999999999998</v>
      </c>
      <c r="ES27">
        <v>48.811999999999998</v>
      </c>
      <c r="ET27">
        <v>48.875</v>
      </c>
      <c r="EU27">
        <v>1755.39</v>
      </c>
      <c r="EV27">
        <v>39.49</v>
      </c>
      <c r="EW27">
        <v>0</v>
      </c>
      <c r="EX27">
        <v>125.4000000953674</v>
      </c>
      <c r="EY27">
        <v>0</v>
      </c>
      <c r="EZ27">
        <v>738.53955999999994</v>
      </c>
      <c r="FA27">
        <v>0.1055384693551903</v>
      </c>
      <c r="FB27">
        <v>-12.492307599178931</v>
      </c>
      <c r="FC27">
        <v>14707.232</v>
      </c>
      <c r="FD27">
        <v>15</v>
      </c>
      <c r="FE27">
        <v>1689000793</v>
      </c>
      <c r="FF27" t="s">
        <v>477</v>
      </c>
      <c r="FG27">
        <v>1689000793</v>
      </c>
      <c r="FH27">
        <v>1689000791</v>
      </c>
      <c r="FI27">
        <v>13</v>
      </c>
      <c r="FJ27">
        <v>4.7E-2</v>
      </c>
      <c r="FK27">
        <v>7.0000000000000001E-3</v>
      </c>
      <c r="FL27">
        <v>0.94099999999999995</v>
      </c>
      <c r="FM27">
        <v>0.29499999999999998</v>
      </c>
      <c r="FN27">
        <v>500</v>
      </c>
      <c r="FO27">
        <v>24</v>
      </c>
      <c r="FP27">
        <v>0.05</v>
      </c>
      <c r="FQ27">
        <v>0.02</v>
      </c>
      <c r="FR27">
        <v>41.63550748824499</v>
      </c>
      <c r="FS27">
        <v>-0.29858050228283689</v>
      </c>
      <c r="FT27">
        <v>0.11981866817125041</v>
      </c>
      <c r="FU27">
        <v>1</v>
      </c>
      <c r="FV27">
        <v>0.31428370816815471</v>
      </c>
      <c r="FW27">
        <v>-1.602562726147164E-2</v>
      </c>
      <c r="FX27">
        <v>1.9330437757954799E-3</v>
      </c>
      <c r="FY27">
        <v>1</v>
      </c>
      <c r="FZ27">
        <v>2</v>
      </c>
      <c r="GA27">
        <v>2</v>
      </c>
      <c r="GB27" t="s">
        <v>423</v>
      </c>
      <c r="GC27">
        <v>2.9257399999999998</v>
      </c>
      <c r="GD27">
        <v>2.8267500000000001</v>
      </c>
      <c r="GE27">
        <v>9.6113900000000002E-2</v>
      </c>
      <c r="GF27">
        <v>0.104753</v>
      </c>
      <c r="GG27">
        <v>0.127252</v>
      </c>
      <c r="GH27">
        <v>0.111954</v>
      </c>
      <c r="GI27">
        <v>29536.5</v>
      </c>
      <c r="GJ27">
        <v>23752.2</v>
      </c>
      <c r="GK27">
        <v>31442.5</v>
      </c>
      <c r="GL27">
        <v>26167.4</v>
      </c>
      <c r="GM27">
        <v>37617.4</v>
      </c>
      <c r="GN27">
        <v>31515.1</v>
      </c>
      <c r="GO27">
        <v>46695.199999999997</v>
      </c>
      <c r="GP27">
        <v>38041.9</v>
      </c>
      <c r="GQ27">
        <v>1.93425</v>
      </c>
      <c r="GR27">
        <v>1.79128</v>
      </c>
      <c r="GS27">
        <v>4.4927000000000002E-2</v>
      </c>
      <c r="GT27">
        <v>0</v>
      </c>
      <c r="GU27">
        <v>29.272099999999998</v>
      </c>
      <c r="GV27">
        <v>999.9</v>
      </c>
      <c r="GW27">
        <v>48.6</v>
      </c>
      <c r="GX27">
        <v>38</v>
      </c>
      <c r="GY27">
        <v>32.610199999999999</v>
      </c>
      <c r="GZ27">
        <v>62.451500000000003</v>
      </c>
      <c r="HA27">
        <v>21.4543</v>
      </c>
      <c r="HB27">
        <v>1</v>
      </c>
      <c r="HC27">
        <v>0.42331299999999999</v>
      </c>
      <c r="HD27">
        <v>2.4344000000000001</v>
      </c>
      <c r="HE27">
        <v>20.279</v>
      </c>
      <c r="HF27">
        <v>5.2225299999999999</v>
      </c>
      <c r="HG27">
        <v>12.0579</v>
      </c>
      <c r="HH27">
        <v>4.9917999999999996</v>
      </c>
      <c r="HI27">
        <v>3.2913999999999999</v>
      </c>
      <c r="HJ27">
        <v>9999</v>
      </c>
      <c r="HK27">
        <v>9999</v>
      </c>
      <c r="HL27">
        <v>9999</v>
      </c>
      <c r="HM27">
        <v>461.3</v>
      </c>
      <c r="HN27">
        <v>1.8669</v>
      </c>
      <c r="HO27">
        <v>1.8704099999999999</v>
      </c>
      <c r="HP27">
        <v>1.87296</v>
      </c>
      <c r="HQ27">
        <v>1.8737900000000001</v>
      </c>
      <c r="HR27">
        <v>1.8707</v>
      </c>
      <c r="HS27">
        <v>1.8690500000000001</v>
      </c>
      <c r="HT27">
        <v>1.8705499999999999</v>
      </c>
      <c r="HU27">
        <v>1.8734900000000001</v>
      </c>
      <c r="HV27">
        <v>0</v>
      </c>
      <c r="HW27">
        <v>0</v>
      </c>
      <c r="HX27">
        <v>0</v>
      </c>
      <c r="HY27">
        <v>0</v>
      </c>
      <c r="HZ27" t="s">
        <v>424</v>
      </c>
      <c r="IA27" t="s">
        <v>425</v>
      </c>
      <c r="IB27" t="s">
        <v>426</v>
      </c>
      <c r="IC27" t="s">
        <v>426</v>
      </c>
      <c r="ID27" t="s">
        <v>426</v>
      </c>
      <c r="IE27" t="s">
        <v>426</v>
      </c>
      <c r="IF27">
        <v>0</v>
      </c>
      <c r="IG27">
        <v>100</v>
      </c>
      <c r="IH27">
        <v>100</v>
      </c>
      <c r="II27">
        <v>0.877</v>
      </c>
      <c r="IJ27">
        <v>0.29470000000000002</v>
      </c>
      <c r="IK27">
        <v>-5.3304022902774049E-2</v>
      </c>
      <c r="IL27">
        <v>3.042515301972944E-3</v>
      </c>
      <c r="IM27">
        <v>-2.5091471490852929E-6</v>
      </c>
      <c r="IN27">
        <v>8.1339755115576286E-10</v>
      </c>
      <c r="IO27">
        <v>0.29473500000000291</v>
      </c>
      <c r="IP27">
        <v>0</v>
      </c>
      <c r="IQ27">
        <v>0</v>
      </c>
      <c r="IR27">
        <v>0</v>
      </c>
      <c r="IS27">
        <v>3</v>
      </c>
      <c r="IT27">
        <v>2004</v>
      </c>
      <c r="IU27">
        <v>2</v>
      </c>
      <c r="IV27">
        <v>22</v>
      </c>
      <c r="IW27">
        <v>0.5</v>
      </c>
      <c r="IX27">
        <v>0.6</v>
      </c>
      <c r="IY27">
        <v>1.23291</v>
      </c>
      <c r="IZ27">
        <v>2.5769000000000002</v>
      </c>
      <c r="JA27">
        <v>1.64917</v>
      </c>
      <c r="JB27">
        <v>2.33765</v>
      </c>
      <c r="JC27">
        <v>1.5991200000000001</v>
      </c>
      <c r="JD27">
        <v>2.3303199999999999</v>
      </c>
      <c r="JE27">
        <v>43.781700000000001</v>
      </c>
      <c r="JF27">
        <v>23.912400000000002</v>
      </c>
      <c r="JG27">
        <v>18</v>
      </c>
      <c r="JH27">
        <v>518.66700000000003</v>
      </c>
      <c r="JI27">
        <v>474.45100000000002</v>
      </c>
      <c r="JJ27">
        <v>27.242100000000001</v>
      </c>
      <c r="JK27">
        <v>32.488300000000002</v>
      </c>
      <c r="JL27">
        <v>30.0002</v>
      </c>
      <c r="JM27">
        <v>32.512799999999999</v>
      </c>
      <c r="JN27">
        <v>32.500799999999998</v>
      </c>
      <c r="JO27">
        <v>24.6934</v>
      </c>
      <c r="JP27">
        <v>36.985100000000003</v>
      </c>
      <c r="JQ27">
        <v>15.639799999999999</v>
      </c>
      <c r="JR27">
        <v>27.238900000000001</v>
      </c>
      <c r="JS27">
        <v>500</v>
      </c>
      <c r="JT27">
        <v>23.721299999999999</v>
      </c>
      <c r="JU27">
        <v>99.659800000000004</v>
      </c>
      <c r="JV27">
        <v>99.485799999999998</v>
      </c>
    </row>
    <row r="28" spans="1:282" x14ac:dyDescent="0.25">
      <c r="A28">
        <v>12</v>
      </c>
      <c r="B28">
        <v>1689000966</v>
      </c>
      <c r="C28">
        <v>1370.900000095367</v>
      </c>
      <c r="D28" t="s">
        <v>478</v>
      </c>
      <c r="E28" t="s">
        <v>479</v>
      </c>
      <c r="F28" t="s">
        <v>414</v>
      </c>
      <c r="G28" t="s">
        <v>415</v>
      </c>
      <c r="H28" t="s">
        <v>416</v>
      </c>
      <c r="I28" t="s">
        <v>416</v>
      </c>
      <c r="J28" t="s">
        <v>417</v>
      </c>
      <c r="K28">
        <v>1689000966</v>
      </c>
      <c r="L28">
        <f t="shared" si="0"/>
        <v>4.1294143595367186E-3</v>
      </c>
      <c r="M28">
        <f t="shared" si="1"/>
        <v>4.1294143595367183</v>
      </c>
      <c r="N28">
        <f t="shared" si="2"/>
        <v>46.416851336985189</v>
      </c>
      <c r="O28">
        <f t="shared" si="3"/>
        <v>641.12199999999996</v>
      </c>
      <c r="P28">
        <f t="shared" si="4"/>
        <v>366.87628207364514</v>
      </c>
      <c r="Q28">
        <f t="shared" si="5"/>
        <v>36.4362220159963</v>
      </c>
      <c r="R28">
        <f t="shared" si="6"/>
        <v>63.672863776596991</v>
      </c>
      <c r="S28">
        <f t="shared" si="7"/>
        <v>0.29658074955634345</v>
      </c>
      <c r="T28">
        <f t="shared" si="8"/>
        <v>2.9169527775573845</v>
      </c>
      <c r="U28">
        <f t="shared" si="9"/>
        <v>0.28078868497707177</v>
      </c>
      <c r="V28">
        <f t="shared" si="10"/>
        <v>0.17684167685054011</v>
      </c>
      <c r="W28">
        <f t="shared" si="11"/>
        <v>289.55529757725247</v>
      </c>
      <c r="X28">
        <f t="shared" si="12"/>
        <v>31.034784737834585</v>
      </c>
      <c r="Y28">
        <f t="shared" si="13"/>
        <v>29.9663</v>
      </c>
      <c r="Z28">
        <f t="shared" si="14"/>
        <v>4.2522097710450675</v>
      </c>
      <c r="AA28">
        <f t="shared" si="15"/>
        <v>65.234953062213208</v>
      </c>
      <c r="AB28">
        <f t="shared" si="16"/>
        <v>2.8438179481043999</v>
      </c>
      <c r="AC28">
        <f t="shared" si="17"/>
        <v>4.3593469675563501</v>
      </c>
      <c r="AD28">
        <f t="shared" si="18"/>
        <v>1.4083918229406676</v>
      </c>
      <c r="AE28">
        <f t="shared" si="19"/>
        <v>-182.10717325556928</v>
      </c>
      <c r="AF28">
        <f t="shared" si="20"/>
        <v>68.218849282725344</v>
      </c>
      <c r="AG28">
        <f t="shared" si="21"/>
        <v>5.2095692879383417</v>
      </c>
      <c r="AH28">
        <f t="shared" si="22"/>
        <v>180.87654289234689</v>
      </c>
      <c r="AI28">
        <v>0</v>
      </c>
      <c r="AJ28">
        <v>0</v>
      </c>
      <c r="AK28">
        <f t="shared" si="23"/>
        <v>1</v>
      </c>
      <c r="AL28">
        <f t="shared" si="24"/>
        <v>0</v>
      </c>
      <c r="AM28">
        <f t="shared" si="25"/>
        <v>51908.592548206376</v>
      </c>
      <c r="AN28" t="s">
        <v>418</v>
      </c>
      <c r="AO28">
        <v>10021</v>
      </c>
      <c r="AP28">
        <v>177.53923076923081</v>
      </c>
      <c r="AQ28">
        <v>655.56</v>
      </c>
      <c r="AR28">
        <f t="shared" si="26"/>
        <v>0.72917928066198234</v>
      </c>
      <c r="AS28">
        <v>-3.1115002560329539</v>
      </c>
      <c r="AT28" t="s">
        <v>480</v>
      </c>
      <c r="AU28">
        <v>8019.19</v>
      </c>
      <c r="AV28">
        <v>743.67923999999982</v>
      </c>
      <c r="AW28">
        <v>1090.902522701123</v>
      </c>
      <c r="AX28">
        <f t="shared" si="27"/>
        <v>0.31828992552091906</v>
      </c>
      <c r="AY28">
        <v>0.5</v>
      </c>
      <c r="AZ28">
        <f t="shared" si="28"/>
        <v>1513.125899262825</v>
      </c>
      <c r="BA28">
        <f t="shared" si="29"/>
        <v>46.416851336985189</v>
      </c>
      <c r="BB28">
        <f t="shared" si="30"/>
        <v>240.80636489006912</v>
      </c>
      <c r="BC28">
        <f t="shared" si="31"/>
        <v>3.2732472305938128E-2</v>
      </c>
      <c r="BD28">
        <f t="shared" si="32"/>
        <v>-0.3990663818644361</v>
      </c>
      <c r="BE28">
        <f t="shared" si="33"/>
        <v>199.05184770884489</v>
      </c>
      <c r="BF28" t="s">
        <v>481</v>
      </c>
      <c r="BG28">
        <v>585.46</v>
      </c>
      <c r="BH28">
        <f t="shared" si="34"/>
        <v>585.46</v>
      </c>
      <c r="BI28">
        <f t="shared" si="35"/>
        <v>0.46332510209035438</v>
      </c>
      <c r="BJ28">
        <f t="shared" si="36"/>
        <v>0.68696887797555251</v>
      </c>
      <c r="BK28">
        <f t="shared" si="37"/>
        <v>-6.2103070285466986</v>
      </c>
      <c r="BL28">
        <f t="shared" si="38"/>
        <v>0.38015900766790939</v>
      </c>
      <c r="BM28">
        <f t="shared" si="39"/>
        <v>-0.91071884470977293</v>
      </c>
      <c r="BN28">
        <f t="shared" si="40"/>
        <v>0.5408148804847196</v>
      </c>
      <c r="BO28">
        <f t="shared" si="41"/>
        <v>0.4591851195152804</v>
      </c>
      <c r="BP28">
        <v>22489</v>
      </c>
      <c r="BQ28">
        <v>290.00000000000011</v>
      </c>
      <c r="BR28">
        <v>970.37</v>
      </c>
      <c r="BS28">
        <v>265</v>
      </c>
      <c r="BT28">
        <v>8019.19</v>
      </c>
      <c r="BU28">
        <v>973.03</v>
      </c>
      <c r="BV28">
        <v>-2.66</v>
      </c>
      <c r="BW28">
        <v>300.00000000000011</v>
      </c>
      <c r="BX28">
        <v>19.399999999999999</v>
      </c>
      <c r="BY28">
        <v>1090.902522701123</v>
      </c>
      <c r="BZ28">
        <v>2.745203248769565</v>
      </c>
      <c r="CA28">
        <v>-94.52074438759692</v>
      </c>
      <c r="CB28">
        <v>2.0219233910053291</v>
      </c>
      <c r="CC28">
        <v>0.9873496041824138</v>
      </c>
      <c r="CD28">
        <v>-4.140678976640718E-3</v>
      </c>
      <c r="CE28">
        <v>289.99999999999989</v>
      </c>
      <c r="CF28">
        <v>965.87</v>
      </c>
      <c r="CG28">
        <v>625</v>
      </c>
      <c r="CH28">
        <v>8009.01</v>
      </c>
      <c r="CI28">
        <v>972.88</v>
      </c>
      <c r="CJ28">
        <v>-7.01</v>
      </c>
      <c r="CX28">
        <f t="shared" si="42"/>
        <v>1799.93</v>
      </c>
      <c r="CY28">
        <f t="shared" si="43"/>
        <v>1513.125899262825</v>
      </c>
      <c r="CZ28">
        <f t="shared" si="44"/>
        <v>0.84065819185347479</v>
      </c>
      <c r="DA28">
        <f t="shared" si="45"/>
        <v>0.16087031027720661</v>
      </c>
      <c r="DB28">
        <v>6</v>
      </c>
      <c r="DC28">
        <v>0.5</v>
      </c>
      <c r="DD28" t="s">
        <v>421</v>
      </c>
      <c r="DE28">
        <v>2</v>
      </c>
      <c r="DF28">
        <v>1689000966</v>
      </c>
      <c r="DG28">
        <v>641.12199999999996</v>
      </c>
      <c r="DH28">
        <v>700.00400000000002</v>
      </c>
      <c r="DI28">
        <v>28.634399999999999</v>
      </c>
      <c r="DJ28">
        <v>23.820599999999999</v>
      </c>
      <c r="DK28">
        <v>640.16899999999998</v>
      </c>
      <c r="DL28">
        <v>28.3461</v>
      </c>
      <c r="DM28">
        <v>499.959</v>
      </c>
      <c r="DN28">
        <v>99.215199999999996</v>
      </c>
      <c r="DO28">
        <v>9.9538500000000002E-2</v>
      </c>
      <c r="DP28">
        <v>30.400099999999998</v>
      </c>
      <c r="DQ28">
        <v>29.9663</v>
      </c>
      <c r="DR28">
        <v>999.9</v>
      </c>
      <c r="DS28">
        <v>0</v>
      </c>
      <c r="DT28">
        <v>0</v>
      </c>
      <c r="DU28">
        <v>10006.9</v>
      </c>
      <c r="DV28">
        <v>0</v>
      </c>
      <c r="DW28">
        <v>1240.08</v>
      </c>
      <c r="DX28">
        <v>-58.881500000000003</v>
      </c>
      <c r="DY28">
        <v>660.02099999999996</v>
      </c>
      <c r="DZ28">
        <v>717.08500000000004</v>
      </c>
      <c r="EA28">
        <v>4.8137800000000004</v>
      </c>
      <c r="EB28">
        <v>700.00400000000002</v>
      </c>
      <c r="EC28">
        <v>23.820599999999999</v>
      </c>
      <c r="ED28">
        <v>2.84097</v>
      </c>
      <c r="EE28">
        <v>2.3633700000000002</v>
      </c>
      <c r="EF28">
        <v>23.124099999999999</v>
      </c>
      <c r="EG28">
        <v>20.114899999999999</v>
      </c>
      <c r="EH28">
        <v>1799.93</v>
      </c>
      <c r="EI28">
        <v>0.97799899999999995</v>
      </c>
      <c r="EJ28">
        <v>2.2001099999999999E-2</v>
      </c>
      <c r="EK28">
        <v>0</v>
      </c>
      <c r="EL28">
        <v>743.423</v>
      </c>
      <c r="EM28">
        <v>5.0011200000000002</v>
      </c>
      <c r="EN28">
        <v>14803.1</v>
      </c>
      <c r="EO28">
        <v>17210.2</v>
      </c>
      <c r="EP28">
        <v>48.311999999999998</v>
      </c>
      <c r="EQ28">
        <v>49</v>
      </c>
      <c r="ER28">
        <v>49.061999999999998</v>
      </c>
      <c r="ES28">
        <v>48.875</v>
      </c>
      <c r="ET28">
        <v>49.061999999999998</v>
      </c>
      <c r="EU28">
        <v>1755.44</v>
      </c>
      <c r="EV28">
        <v>39.49</v>
      </c>
      <c r="EW28">
        <v>0</v>
      </c>
      <c r="EX28">
        <v>138.80000019073489</v>
      </c>
      <c r="EY28">
        <v>0</v>
      </c>
      <c r="EZ28">
        <v>743.67923999999982</v>
      </c>
      <c r="FA28">
        <v>-0.37353846355462922</v>
      </c>
      <c r="FB28">
        <v>-61.453846059539131</v>
      </c>
      <c r="FC28">
        <v>14804.296</v>
      </c>
      <c r="FD28">
        <v>15</v>
      </c>
      <c r="FE28">
        <v>1689000933</v>
      </c>
      <c r="FF28" t="s">
        <v>482</v>
      </c>
      <c r="FG28">
        <v>1689000933</v>
      </c>
      <c r="FH28">
        <v>1689000925.5</v>
      </c>
      <c r="FI28">
        <v>14</v>
      </c>
      <c r="FJ28">
        <v>-0.127</v>
      </c>
      <c r="FK28">
        <v>-6.0000000000000001E-3</v>
      </c>
      <c r="FL28">
        <v>0.999</v>
      </c>
      <c r="FM28">
        <v>0.28799999999999998</v>
      </c>
      <c r="FN28">
        <v>700</v>
      </c>
      <c r="FO28">
        <v>23</v>
      </c>
      <c r="FP28">
        <v>7.0000000000000007E-2</v>
      </c>
      <c r="FQ28">
        <v>0.04</v>
      </c>
      <c r="FR28">
        <v>46.422512467896901</v>
      </c>
      <c r="FS28">
        <v>-0.63680243842307083</v>
      </c>
      <c r="FT28">
        <v>5.4644618093535241E-2</v>
      </c>
      <c r="FU28">
        <v>1</v>
      </c>
      <c r="FV28">
        <v>0.2958047471287536</v>
      </c>
      <c r="FW28">
        <v>5.4833057858242884E-3</v>
      </c>
      <c r="FX28">
        <v>5.3619500112750309E-4</v>
      </c>
      <c r="FY28">
        <v>1</v>
      </c>
      <c r="FZ28">
        <v>2</v>
      </c>
      <c r="GA28">
        <v>2</v>
      </c>
      <c r="GB28" t="s">
        <v>423</v>
      </c>
      <c r="GC28">
        <v>2.9257200000000001</v>
      </c>
      <c r="GD28">
        <v>2.8268900000000001</v>
      </c>
      <c r="GE28">
        <v>0.124733</v>
      </c>
      <c r="GF28">
        <v>0.13303599999999999</v>
      </c>
      <c r="GG28">
        <v>0.126892</v>
      </c>
      <c r="GH28">
        <v>0.112244</v>
      </c>
      <c r="GI28">
        <v>28599</v>
      </c>
      <c r="GJ28">
        <v>22999.1</v>
      </c>
      <c r="GK28">
        <v>31440.5</v>
      </c>
      <c r="GL28">
        <v>26164.6</v>
      </c>
      <c r="GM28">
        <v>37631.4</v>
      </c>
      <c r="GN28">
        <v>31501.599999999999</v>
      </c>
      <c r="GO28">
        <v>46692.4</v>
      </c>
      <c r="GP28">
        <v>38037.5</v>
      </c>
      <c r="GQ28">
        <v>1.9335500000000001</v>
      </c>
      <c r="GR28">
        <v>1.78955</v>
      </c>
      <c r="GS28">
        <v>4.9956100000000003E-2</v>
      </c>
      <c r="GT28">
        <v>0</v>
      </c>
      <c r="GU28">
        <v>29.152699999999999</v>
      </c>
      <c r="GV28">
        <v>999.9</v>
      </c>
      <c r="GW28">
        <v>47.7</v>
      </c>
      <c r="GX28">
        <v>38.4</v>
      </c>
      <c r="GY28">
        <v>32.7089</v>
      </c>
      <c r="GZ28">
        <v>62.271500000000003</v>
      </c>
      <c r="HA28">
        <v>21.478400000000001</v>
      </c>
      <c r="HB28">
        <v>1</v>
      </c>
      <c r="HC28">
        <v>0.42386200000000002</v>
      </c>
      <c r="HD28">
        <v>1.68685</v>
      </c>
      <c r="HE28">
        <v>20.2881</v>
      </c>
      <c r="HF28">
        <v>5.22133</v>
      </c>
      <c r="HG28">
        <v>12.0579</v>
      </c>
      <c r="HH28">
        <v>4.9915000000000003</v>
      </c>
      <c r="HI28">
        <v>3.2912499999999998</v>
      </c>
      <c r="HJ28">
        <v>9999</v>
      </c>
      <c r="HK28">
        <v>9999</v>
      </c>
      <c r="HL28">
        <v>9999</v>
      </c>
      <c r="HM28">
        <v>461.4</v>
      </c>
      <c r="HN28">
        <v>1.8669199999999999</v>
      </c>
      <c r="HO28">
        <v>1.87042</v>
      </c>
      <c r="HP28">
        <v>1.8730199999999999</v>
      </c>
      <c r="HQ28">
        <v>1.8739300000000001</v>
      </c>
      <c r="HR28">
        <v>1.87073</v>
      </c>
      <c r="HS28">
        <v>1.8690800000000001</v>
      </c>
      <c r="HT28">
        <v>1.8705700000000001</v>
      </c>
      <c r="HU28">
        <v>1.8736200000000001</v>
      </c>
      <c r="HV28">
        <v>0</v>
      </c>
      <c r="HW28">
        <v>0</v>
      </c>
      <c r="HX28">
        <v>0</v>
      </c>
      <c r="HY28">
        <v>0</v>
      </c>
      <c r="HZ28" t="s">
        <v>424</v>
      </c>
      <c r="IA28" t="s">
        <v>425</v>
      </c>
      <c r="IB28" t="s">
        <v>426</v>
      </c>
      <c r="IC28" t="s">
        <v>426</v>
      </c>
      <c r="ID28" t="s">
        <v>426</v>
      </c>
      <c r="IE28" t="s">
        <v>426</v>
      </c>
      <c r="IF28">
        <v>0</v>
      </c>
      <c r="IG28">
        <v>100</v>
      </c>
      <c r="IH28">
        <v>100</v>
      </c>
      <c r="II28">
        <v>0.95299999999999996</v>
      </c>
      <c r="IJ28">
        <v>0.2883</v>
      </c>
      <c r="IK28">
        <v>-0.17996935594456001</v>
      </c>
      <c r="IL28">
        <v>3.042515301972944E-3</v>
      </c>
      <c r="IM28">
        <v>-2.5091471490852929E-6</v>
      </c>
      <c r="IN28">
        <v>8.1339755115576286E-10</v>
      </c>
      <c r="IO28">
        <v>0.2883400000000016</v>
      </c>
      <c r="IP28">
        <v>0</v>
      </c>
      <c r="IQ28">
        <v>0</v>
      </c>
      <c r="IR28">
        <v>0</v>
      </c>
      <c r="IS28">
        <v>3</v>
      </c>
      <c r="IT28">
        <v>2004</v>
      </c>
      <c r="IU28">
        <v>2</v>
      </c>
      <c r="IV28">
        <v>22</v>
      </c>
      <c r="IW28">
        <v>0.6</v>
      </c>
      <c r="IX28">
        <v>0.7</v>
      </c>
      <c r="IY28">
        <v>1.62354</v>
      </c>
      <c r="IZ28">
        <v>2.5695800000000002</v>
      </c>
      <c r="JA28">
        <v>1.64917</v>
      </c>
      <c r="JB28">
        <v>2.33765</v>
      </c>
      <c r="JC28">
        <v>1.5991200000000001</v>
      </c>
      <c r="JD28">
        <v>2.2546400000000002</v>
      </c>
      <c r="JE28">
        <v>43.974299999999999</v>
      </c>
      <c r="JF28">
        <v>23.912400000000002</v>
      </c>
      <c r="JG28">
        <v>18</v>
      </c>
      <c r="JH28">
        <v>518.61500000000001</v>
      </c>
      <c r="JI28">
        <v>473.67200000000003</v>
      </c>
      <c r="JJ28">
        <v>27.7636</v>
      </c>
      <c r="JK28">
        <v>32.531799999999997</v>
      </c>
      <c r="JL28">
        <v>30</v>
      </c>
      <c r="JM28">
        <v>32.564500000000002</v>
      </c>
      <c r="JN28">
        <v>32.551900000000003</v>
      </c>
      <c r="JO28">
        <v>32.500799999999998</v>
      </c>
      <c r="JP28">
        <v>36.336599999999997</v>
      </c>
      <c r="JQ28">
        <v>12.3032</v>
      </c>
      <c r="JR28">
        <v>27.7729</v>
      </c>
      <c r="JS28">
        <v>700</v>
      </c>
      <c r="JT28">
        <v>23.790900000000001</v>
      </c>
      <c r="JU28">
        <v>99.653700000000001</v>
      </c>
      <c r="JV28">
        <v>99.474699999999999</v>
      </c>
    </row>
    <row r="29" spans="1:282" x14ac:dyDescent="0.25">
      <c r="A29">
        <v>13</v>
      </c>
      <c r="B29">
        <v>1689001067.5</v>
      </c>
      <c r="C29">
        <v>1472.400000095367</v>
      </c>
      <c r="D29" t="s">
        <v>483</v>
      </c>
      <c r="E29" t="s">
        <v>484</v>
      </c>
      <c r="F29" t="s">
        <v>414</v>
      </c>
      <c r="G29" t="s">
        <v>415</v>
      </c>
      <c r="H29" t="s">
        <v>416</v>
      </c>
      <c r="I29" t="s">
        <v>416</v>
      </c>
      <c r="J29" t="s">
        <v>417</v>
      </c>
      <c r="K29">
        <v>1689001067.5</v>
      </c>
      <c r="L29">
        <f t="shared" si="0"/>
        <v>4.0307570062052241E-3</v>
      </c>
      <c r="M29">
        <f t="shared" si="1"/>
        <v>4.0307570062052243</v>
      </c>
      <c r="N29">
        <f t="shared" si="2"/>
        <v>48.69679476992944</v>
      </c>
      <c r="O29">
        <f t="shared" si="3"/>
        <v>837.58900000000006</v>
      </c>
      <c r="P29">
        <f t="shared" si="4"/>
        <v>535.45347284987588</v>
      </c>
      <c r="Q29">
        <f t="shared" si="5"/>
        <v>53.178795113799595</v>
      </c>
      <c r="R29">
        <f t="shared" si="6"/>
        <v>83.185516723804014</v>
      </c>
      <c r="S29">
        <f t="shared" si="7"/>
        <v>0.28517552235926219</v>
      </c>
      <c r="T29">
        <f t="shared" si="8"/>
        <v>2.9142177495342811</v>
      </c>
      <c r="U29">
        <f t="shared" si="9"/>
        <v>0.27052953857504747</v>
      </c>
      <c r="V29">
        <f t="shared" si="10"/>
        <v>0.17033413957964183</v>
      </c>
      <c r="W29">
        <f t="shared" si="11"/>
        <v>289.60158157748168</v>
      </c>
      <c r="X29">
        <f t="shared" si="12"/>
        <v>31.156389453318113</v>
      </c>
      <c r="Y29">
        <f t="shared" si="13"/>
        <v>30.063400000000001</v>
      </c>
      <c r="Z29">
        <f t="shared" si="14"/>
        <v>4.2759894558809322</v>
      </c>
      <c r="AA29">
        <f t="shared" si="15"/>
        <v>65.006279391380673</v>
      </c>
      <c r="AB29">
        <f t="shared" si="16"/>
        <v>2.8493201326655999</v>
      </c>
      <c r="AC29">
        <f t="shared" si="17"/>
        <v>4.383145996574906</v>
      </c>
      <c r="AD29">
        <f t="shared" si="18"/>
        <v>1.4266693232153322</v>
      </c>
      <c r="AE29">
        <f t="shared" si="19"/>
        <v>-177.75638397365037</v>
      </c>
      <c r="AF29">
        <f t="shared" si="20"/>
        <v>67.840662497706688</v>
      </c>
      <c r="AG29">
        <f t="shared" si="21"/>
        <v>5.1904835182632381</v>
      </c>
      <c r="AH29">
        <f t="shared" si="22"/>
        <v>184.87634361980125</v>
      </c>
      <c r="AI29">
        <v>0</v>
      </c>
      <c r="AJ29">
        <v>0</v>
      </c>
      <c r="AK29">
        <f t="shared" si="23"/>
        <v>1</v>
      </c>
      <c r="AL29">
        <f t="shared" si="24"/>
        <v>0</v>
      </c>
      <c r="AM29">
        <f t="shared" si="25"/>
        <v>51814.588726530674</v>
      </c>
      <c r="AN29" t="s">
        <v>418</v>
      </c>
      <c r="AO29">
        <v>10021</v>
      </c>
      <c r="AP29">
        <v>177.53923076923081</v>
      </c>
      <c r="AQ29">
        <v>655.56</v>
      </c>
      <c r="AR29">
        <f t="shared" si="26"/>
        <v>0.72917928066198234</v>
      </c>
      <c r="AS29">
        <v>-3.1115002560329539</v>
      </c>
      <c r="AT29" t="s">
        <v>485</v>
      </c>
      <c r="AU29">
        <v>8020.53</v>
      </c>
      <c r="AV29">
        <v>746.88284615384612</v>
      </c>
      <c r="AW29">
        <v>1116.136570180272</v>
      </c>
      <c r="AX29">
        <f t="shared" si="27"/>
        <v>0.33083202709394799</v>
      </c>
      <c r="AY29">
        <v>0.5</v>
      </c>
      <c r="AZ29">
        <f t="shared" si="28"/>
        <v>1513.3694992629437</v>
      </c>
      <c r="BA29">
        <f t="shared" si="29"/>
        <v>48.69679476992944</v>
      </c>
      <c r="BB29">
        <f t="shared" si="30"/>
        <v>250.33554959165633</v>
      </c>
      <c r="BC29">
        <f t="shared" si="31"/>
        <v>3.4233738060133093E-2</v>
      </c>
      <c r="BD29">
        <f t="shared" si="32"/>
        <v>-0.41265252164068267</v>
      </c>
      <c r="BE29">
        <f t="shared" si="33"/>
        <v>199.87638696182751</v>
      </c>
      <c r="BF29" t="s">
        <v>486</v>
      </c>
      <c r="BG29">
        <v>582.91</v>
      </c>
      <c r="BH29">
        <f t="shared" si="34"/>
        <v>582.91</v>
      </c>
      <c r="BI29">
        <f t="shared" si="35"/>
        <v>0.47774312250529372</v>
      </c>
      <c r="BJ29">
        <f t="shared" si="36"/>
        <v>0.69248935570031589</v>
      </c>
      <c r="BK29">
        <f t="shared" si="37"/>
        <v>-6.3396637326947305</v>
      </c>
      <c r="BL29">
        <f t="shared" si="38"/>
        <v>0.39341015419682335</v>
      </c>
      <c r="BM29">
        <f t="shared" si="39"/>
        <v>-0.96350744533847699</v>
      </c>
      <c r="BN29">
        <f t="shared" si="40"/>
        <v>0.54045821564915653</v>
      </c>
      <c r="BO29">
        <f t="shared" si="41"/>
        <v>0.45954178435084347</v>
      </c>
      <c r="BP29">
        <v>22491</v>
      </c>
      <c r="BQ29">
        <v>290.00000000000011</v>
      </c>
      <c r="BR29">
        <v>987.26</v>
      </c>
      <c r="BS29">
        <v>245</v>
      </c>
      <c r="BT29">
        <v>8020.53</v>
      </c>
      <c r="BU29">
        <v>990.63</v>
      </c>
      <c r="BV29">
        <v>-3.37</v>
      </c>
      <c r="BW29">
        <v>300.00000000000011</v>
      </c>
      <c r="BX29">
        <v>19.399999999999999</v>
      </c>
      <c r="BY29">
        <v>1116.136570180272</v>
      </c>
      <c r="BZ29">
        <v>4.5266298009601069</v>
      </c>
      <c r="CA29">
        <v>-100.6593345189188</v>
      </c>
      <c r="CB29">
        <v>3.334010031661391</v>
      </c>
      <c r="CC29">
        <v>0.97019808716518374</v>
      </c>
      <c r="CD29">
        <v>-4.140762402669639E-3</v>
      </c>
      <c r="CE29">
        <v>289.99999999999989</v>
      </c>
      <c r="CF29">
        <v>982.95</v>
      </c>
      <c r="CG29">
        <v>655</v>
      </c>
      <c r="CH29">
        <v>8008.11</v>
      </c>
      <c r="CI29">
        <v>990.44</v>
      </c>
      <c r="CJ29">
        <v>-7.49</v>
      </c>
      <c r="CX29">
        <f t="shared" si="42"/>
        <v>1800.22</v>
      </c>
      <c r="CY29">
        <f t="shared" si="43"/>
        <v>1513.3694992629437</v>
      </c>
      <c r="CZ29">
        <f t="shared" si="44"/>
        <v>0.8406580858244791</v>
      </c>
      <c r="DA29">
        <f t="shared" si="45"/>
        <v>0.16087010564124476</v>
      </c>
      <c r="DB29">
        <v>6</v>
      </c>
      <c r="DC29">
        <v>0.5</v>
      </c>
      <c r="DD29" t="s">
        <v>421</v>
      </c>
      <c r="DE29">
        <v>2</v>
      </c>
      <c r="DF29">
        <v>1689001067.5</v>
      </c>
      <c r="DG29">
        <v>837.58900000000006</v>
      </c>
      <c r="DH29">
        <v>900.06399999999996</v>
      </c>
      <c r="DI29">
        <v>28.689599999999999</v>
      </c>
      <c r="DJ29">
        <v>23.9924</v>
      </c>
      <c r="DK29">
        <v>836.77599999999995</v>
      </c>
      <c r="DL29">
        <v>28.39</v>
      </c>
      <c r="DM29">
        <v>500.1</v>
      </c>
      <c r="DN29">
        <v>99.215400000000002</v>
      </c>
      <c r="DO29">
        <v>0.100036</v>
      </c>
      <c r="DP29">
        <v>30.495200000000001</v>
      </c>
      <c r="DQ29">
        <v>30.063400000000001</v>
      </c>
      <c r="DR29">
        <v>999.9</v>
      </c>
      <c r="DS29">
        <v>0</v>
      </c>
      <c r="DT29">
        <v>0</v>
      </c>
      <c r="DU29">
        <v>9991.25</v>
      </c>
      <c r="DV29">
        <v>0</v>
      </c>
      <c r="DW29">
        <v>1253.49</v>
      </c>
      <c r="DX29">
        <v>-62.475099999999998</v>
      </c>
      <c r="DY29">
        <v>862.32899999999995</v>
      </c>
      <c r="DZ29">
        <v>922.18899999999996</v>
      </c>
      <c r="EA29">
        <v>4.69719</v>
      </c>
      <c r="EB29">
        <v>900.06399999999996</v>
      </c>
      <c r="EC29">
        <v>23.9924</v>
      </c>
      <c r="ED29">
        <v>2.8464499999999999</v>
      </c>
      <c r="EE29">
        <v>2.3804099999999999</v>
      </c>
      <c r="EF29">
        <v>23.155899999999999</v>
      </c>
      <c r="EG29">
        <v>20.231100000000001</v>
      </c>
      <c r="EH29">
        <v>1800.22</v>
      </c>
      <c r="EI29">
        <v>0.97800299999999996</v>
      </c>
      <c r="EJ29">
        <v>2.19974E-2</v>
      </c>
      <c r="EK29">
        <v>0</v>
      </c>
      <c r="EL29">
        <v>747.05600000000004</v>
      </c>
      <c r="EM29">
        <v>5.0011200000000002</v>
      </c>
      <c r="EN29">
        <v>14865.2</v>
      </c>
      <c r="EO29">
        <v>17213</v>
      </c>
      <c r="EP29">
        <v>48.186999999999998</v>
      </c>
      <c r="EQ29">
        <v>48.936999999999998</v>
      </c>
      <c r="ER29">
        <v>48.875</v>
      </c>
      <c r="ES29">
        <v>48.75</v>
      </c>
      <c r="ET29">
        <v>48.311999999999998</v>
      </c>
      <c r="EU29">
        <v>1755.73</v>
      </c>
      <c r="EV29">
        <v>39.49</v>
      </c>
      <c r="EW29">
        <v>0</v>
      </c>
      <c r="EX29">
        <v>99.600000143051147</v>
      </c>
      <c r="EY29">
        <v>0</v>
      </c>
      <c r="EZ29">
        <v>746.88284615384612</v>
      </c>
      <c r="FA29">
        <v>-1.462905989125963</v>
      </c>
      <c r="FB29">
        <v>-28.027350409209379</v>
      </c>
      <c r="FC29">
        <v>14866.961538461541</v>
      </c>
      <c r="FD29">
        <v>15</v>
      </c>
      <c r="FE29">
        <v>1689001037.5</v>
      </c>
      <c r="FF29" t="s">
        <v>487</v>
      </c>
      <c r="FG29">
        <v>1689001034.5</v>
      </c>
      <c r="FH29">
        <v>1689001037.5</v>
      </c>
      <c r="FI29">
        <v>15</v>
      </c>
      <c r="FJ29">
        <v>-0.27300000000000002</v>
      </c>
      <c r="FK29">
        <v>1.0999999999999999E-2</v>
      </c>
      <c r="FL29">
        <v>0.84599999999999997</v>
      </c>
      <c r="FM29">
        <v>0.3</v>
      </c>
      <c r="FN29">
        <v>900</v>
      </c>
      <c r="FO29">
        <v>24</v>
      </c>
      <c r="FP29">
        <v>0.05</v>
      </c>
      <c r="FQ29">
        <v>0.02</v>
      </c>
      <c r="FR29">
        <v>48.695128851311033</v>
      </c>
      <c r="FS29">
        <v>-0.12614036020898481</v>
      </c>
      <c r="FT29">
        <v>6.4507835534823532E-2</v>
      </c>
      <c r="FU29">
        <v>1</v>
      </c>
      <c r="FV29">
        <v>0.28970109859247128</v>
      </c>
      <c r="FW29">
        <v>-2.4883167577587229E-2</v>
      </c>
      <c r="FX29">
        <v>1.9632595863023111E-3</v>
      </c>
      <c r="FY29">
        <v>1</v>
      </c>
      <c r="FZ29">
        <v>2</v>
      </c>
      <c r="GA29">
        <v>2</v>
      </c>
      <c r="GB29" t="s">
        <v>423</v>
      </c>
      <c r="GC29">
        <v>2.92611</v>
      </c>
      <c r="GD29">
        <v>2.8272599999999999</v>
      </c>
      <c r="GE29">
        <v>0.14969499999999999</v>
      </c>
      <c r="GF29">
        <v>0.157474</v>
      </c>
      <c r="GG29">
        <v>0.127028</v>
      </c>
      <c r="GH29">
        <v>0.11280800000000001</v>
      </c>
      <c r="GI29">
        <v>27782.7</v>
      </c>
      <c r="GJ29">
        <v>22350.400000000001</v>
      </c>
      <c r="GK29">
        <v>31440.5</v>
      </c>
      <c r="GL29">
        <v>26164.799999999999</v>
      </c>
      <c r="GM29">
        <v>37625.5</v>
      </c>
      <c r="GN29">
        <v>31481.7</v>
      </c>
      <c r="GO29">
        <v>46692</v>
      </c>
      <c r="GP29">
        <v>38037.4</v>
      </c>
      <c r="GQ29">
        <v>1.9337500000000001</v>
      </c>
      <c r="GR29">
        <v>1.7892999999999999</v>
      </c>
      <c r="GS29">
        <v>6.0647699999999999E-2</v>
      </c>
      <c r="GT29">
        <v>0</v>
      </c>
      <c r="GU29">
        <v>29.075800000000001</v>
      </c>
      <c r="GV29">
        <v>999.9</v>
      </c>
      <c r="GW29">
        <v>47.2</v>
      </c>
      <c r="GX29">
        <v>38.5</v>
      </c>
      <c r="GY29">
        <v>32.540700000000001</v>
      </c>
      <c r="GZ29">
        <v>62.581499999999998</v>
      </c>
      <c r="HA29">
        <v>21.322099999999999</v>
      </c>
      <c r="HB29">
        <v>1</v>
      </c>
      <c r="HC29">
        <v>0.42358200000000001</v>
      </c>
      <c r="HD29">
        <v>2.0225599999999999</v>
      </c>
      <c r="HE29">
        <v>20.2849</v>
      </c>
      <c r="HF29">
        <v>5.2256799999999997</v>
      </c>
      <c r="HG29">
        <v>12.0579</v>
      </c>
      <c r="HH29">
        <v>4.9930000000000003</v>
      </c>
      <c r="HI29">
        <v>3.2919999999999998</v>
      </c>
      <c r="HJ29">
        <v>9999</v>
      </c>
      <c r="HK29">
        <v>9999</v>
      </c>
      <c r="HL29">
        <v>9999</v>
      </c>
      <c r="HM29">
        <v>461.4</v>
      </c>
      <c r="HN29">
        <v>1.86696</v>
      </c>
      <c r="HO29">
        <v>1.87043</v>
      </c>
      <c r="HP29">
        <v>1.8730199999999999</v>
      </c>
      <c r="HQ29">
        <v>1.8739300000000001</v>
      </c>
      <c r="HR29">
        <v>1.8707499999999999</v>
      </c>
      <c r="HS29">
        <v>1.8691199999999999</v>
      </c>
      <c r="HT29">
        <v>1.8705799999999999</v>
      </c>
      <c r="HU29">
        <v>1.8736299999999999</v>
      </c>
      <c r="HV29">
        <v>0</v>
      </c>
      <c r="HW29">
        <v>0</v>
      </c>
      <c r="HX29">
        <v>0</v>
      </c>
      <c r="HY29">
        <v>0</v>
      </c>
      <c r="HZ29" t="s">
        <v>424</v>
      </c>
      <c r="IA29" t="s">
        <v>425</v>
      </c>
      <c r="IB29" t="s">
        <v>426</v>
      </c>
      <c r="IC29" t="s">
        <v>426</v>
      </c>
      <c r="ID29" t="s">
        <v>426</v>
      </c>
      <c r="IE29" t="s">
        <v>426</v>
      </c>
      <c r="IF29">
        <v>0</v>
      </c>
      <c r="IG29">
        <v>100</v>
      </c>
      <c r="IH29">
        <v>100</v>
      </c>
      <c r="II29">
        <v>0.81299999999999994</v>
      </c>
      <c r="IJ29">
        <v>0.29959999999999998</v>
      </c>
      <c r="IK29">
        <v>-0.45284172709915099</v>
      </c>
      <c r="IL29">
        <v>3.042515301972944E-3</v>
      </c>
      <c r="IM29">
        <v>-2.5091471490852929E-6</v>
      </c>
      <c r="IN29">
        <v>8.1339755115576286E-10</v>
      </c>
      <c r="IO29">
        <v>0.29952999999999719</v>
      </c>
      <c r="IP29">
        <v>0</v>
      </c>
      <c r="IQ29">
        <v>0</v>
      </c>
      <c r="IR29">
        <v>0</v>
      </c>
      <c r="IS29">
        <v>3</v>
      </c>
      <c r="IT29">
        <v>2004</v>
      </c>
      <c r="IU29">
        <v>2</v>
      </c>
      <c r="IV29">
        <v>22</v>
      </c>
      <c r="IW29">
        <v>0.6</v>
      </c>
      <c r="IX29">
        <v>0.5</v>
      </c>
      <c r="IY29">
        <v>1.9958499999999999</v>
      </c>
      <c r="IZ29">
        <v>2.5769000000000002</v>
      </c>
      <c r="JA29">
        <v>1.64917</v>
      </c>
      <c r="JB29">
        <v>2.33765</v>
      </c>
      <c r="JC29">
        <v>1.5991200000000001</v>
      </c>
      <c r="JD29">
        <v>2.1972700000000001</v>
      </c>
      <c r="JE29">
        <v>44.112400000000001</v>
      </c>
      <c r="JF29">
        <v>23.8949</v>
      </c>
      <c r="JG29">
        <v>18</v>
      </c>
      <c r="JH29">
        <v>518.74699999999996</v>
      </c>
      <c r="JI29">
        <v>473.52199999999999</v>
      </c>
      <c r="JJ29">
        <v>27.781700000000001</v>
      </c>
      <c r="JK29">
        <v>32.517400000000002</v>
      </c>
      <c r="JL29">
        <v>30.000299999999999</v>
      </c>
      <c r="JM29">
        <v>32.564500000000002</v>
      </c>
      <c r="JN29">
        <v>32.5548</v>
      </c>
      <c r="JO29">
        <v>39.940199999999997</v>
      </c>
      <c r="JP29">
        <v>35.948799999999999</v>
      </c>
      <c r="JQ29">
        <v>10.175599999999999</v>
      </c>
      <c r="JR29">
        <v>27.763100000000001</v>
      </c>
      <c r="JS29">
        <v>900</v>
      </c>
      <c r="JT29">
        <v>23.980499999999999</v>
      </c>
      <c r="JU29">
        <v>99.653199999999998</v>
      </c>
      <c r="JV29">
        <v>99.474699999999999</v>
      </c>
    </row>
    <row r="30" spans="1:282" x14ac:dyDescent="0.25">
      <c r="A30">
        <v>14</v>
      </c>
      <c r="B30">
        <v>1689001180.5</v>
      </c>
      <c r="C30">
        <v>1585.400000095367</v>
      </c>
      <c r="D30" t="s">
        <v>488</v>
      </c>
      <c r="E30" t="s">
        <v>489</v>
      </c>
      <c r="F30" t="s">
        <v>414</v>
      </c>
      <c r="G30" t="s">
        <v>415</v>
      </c>
      <c r="H30" t="s">
        <v>416</v>
      </c>
      <c r="I30" t="s">
        <v>416</v>
      </c>
      <c r="J30" t="s">
        <v>417</v>
      </c>
      <c r="K30">
        <v>1689001180.5</v>
      </c>
      <c r="L30">
        <f t="shared" si="0"/>
        <v>3.9327781220491031E-3</v>
      </c>
      <c r="M30">
        <f t="shared" si="1"/>
        <v>3.9327781220491027</v>
      </c>
      <c r="N30">
        <f t="shared" si="2"/>
        <v>50.047443976035609</v>
      </c>
      <c r="O30">
        <f t="shared" si="3"/>
        <v>1134.6600000000001</v>
      </c>
      <c r="P30">
        <f t="shared" si="4"/>
        <v>812.94330428070941</v>
      </c>
      <c r="Q30">
        <f t="shared" si="5"/>
        <v>80.737565638668698</v>
      </c>
      <c r="R30">
        <f t="shared" si="6"/>
        <v>112.688899392102</v>
      </c>
      <c r="S30">
        <f t="shared" si="7"/>
        <v>0.28014357001630041</v>
      </c>
      <c r="T30">
        <f t="shared" si="8"/>
        <v>2.9177082478706233</v>
      </c>
      <c r="U30">
        <f t="shared" si="9"/>
        <v>0.26601212272662994</v>
      </c>
      <c r="V30">
        <f t="shared" si="10"/>
        <v>0.167467807936826</v>
      </c>
      <c r="W30">
        <f t="shared" si="11"/>
        <v>289.59838957746587</v>
      </c>
      <c r="X30">
        <f t="shared" si="12"/>
        <v>31.024226645744456</v>
      </c>
      <c r="Y30">
        <f t="shared" si="13"/>
        <v>29.9604</v>
      </c>
      <c r="Z30">
        <f t="shared" si="14"/>
        <v>4.2507685891123836</v>
      </c>
      <c r="AA30">
        <f t="shared" si="15"/>
        <v>65.260247624615275</v>
      </c>
      <c r="AB30">
        <f t="shared" si="16"/>
        <v>2.8348509194367999</v>
      </c>
      <c r="AC30">
        <f t="shared" si="17"/>
        <v>4.343916890636395</v>
      </c>
      <c r="AD30">
        <f t="shared" si="18"/>
        <v>1.4159176696755837</v>
      </c>
      <c r="AE30">
        <f t="shared" si="19"/>
        <v>-173.43551518236544</v>
      </c>
      <c r="AF30">
        <f t="shared" si="20"/>
        <v>59.427746210966248</v>
      </c>
      <c r="AG30">
        <f t="shared" si="21"/>
        <v>4.5355345817709534</v>
      </c>
      <c r="AH30">
        <f t="shared" si="22"/>
        <v>180.12615518783764</v>
      </c>
      <c r="AI30">
        <v>0</v>
      </c>
      <c r="AJ30">
        <v>0</v>
      </c>
      <c r="AK30">
        <f t="shared" si="23"/>
        <v>1</v>
      </c>
      <c r="AL30">
        <f t="shared" si="24"/>
        <v>0</v>
      </c>
      <c r="AM30">
        <f t="shared" si="25"/>
        <v>51940.682800449176</v>
      </c>
      <c r="AN30" t="s">
        <v>418</v>
      </c>
      <c r="AO30">
        <v>10021</v>
      </c>
      <c r="AP30">
        <v>177.53923076923081</v>
      </c>
      <c r="AQ30">
        <v>655.56</v>
      </c>
      <c r="AR30">
        <f t="shared" si="26"/>
        <v>0.72917928066198234</v>
      </c>
      <c r="AS30">
        <v>-3.1115002560329539</v>
      </c>
      <c r="AT30" t="s">
        <v>490</v>
      </c>
      <c r="AU30">
        <v>8018.03</v>
      </c>
      <c r="AV30">
        <v>749.57550000000003</v>
      </c>
      <c r="AW30">
        <v>1131.7549528298471</v>
      </c>
      <c r="AX30">
        <f t="shared" si="27"/>
        <v>0.33768745776127873</v>
      </c>
      <c r="AY30">
        <v>0.5</v>
      </c>
      <c r="AZ30">
        <f t="shared" si="28"/>
        <v>1513.3526992629356</v>
      </c>
      <c r="BA30">
        <f t="shared" si="29"/>
        <v>50.047443976035609</v>
      </c>
      <c r="BB30">
        <f t="shared" si="30"/>
        <v>255.52011285513487</v>
      </c>
      <c r="BC30">
        <f t="shared" si="31"/>
        <v>3.5126606149352452E-2</v>
      </c>
      <c r="BD30">
        <f t="shared" si="32"/>
        <v>-0.42075800210917241</v>
      </c>
      <c r="BE30">
        <f t="shared" si="33"/>
        <v>200.37156788360593</v>
      </c>
      <c r="BF30" t="s">
        <v>491</v>
      </c>
      <c r="BG30">
        <v>583.63</v>
      </c>
      <c r="BH30">
        <f t="shared" si="34"/>
        <v>583.63</v>
      </c>
      <c r="BI30">
        <f t="shared" si="35"/>
        <v>0.48431416311394271</v>
      </c>
      <c r="BJ30">
        <f t="shared" si="36"/>
        <v>0.69724877668265173</v>
      </c>
      <c r="BK30">
        <f t="shared" si="37"/>
        <v>-6.6202551484755663</v>
      </c>
      <c r="BL30">
        <f t="shared" si="38"/>
        <v>0.40051682653534104</v>
      </c>
      <c r="BM30">
        <f t="shared" si="39"/>
        <v>-0.99618046637626201</v>
      </c>
      <c r="BN30">
        <f t="shared" si="40"/>
        <v>0.54288767914012137</v>
      </c>
      <c r="BO30">
        <f t="shared" si="41"/>
        <v>0.45711232085987863</v>
      </c>
      <c r="BP30">
        <v>22493</v>
      </c>
      <c r="BQ30">
        <v>290.00000000000011</v>
      </c>
      <c r="BR30">
        <v>1002.96</v>
      </c>
      <c r="BS30">
        <v>295</v>
      </c>
      <c r="BT30">
        <v>8018.03</v>
      </c>
      <c r="BU30">
        <v>1005.39</v>
      </c>
      <c r="BV30">
        <v>-2.4300000000000002</v>
      </c>
      <c r="BW30">
        <v>300.00000000000011</v>
      </c>
      <c r="BX30">
        <v>19.399999999999999</v>
      </c>
      <c r="BY30">
        <v>1131.7549528298471</v>
      </c>
      <c r="BZ30">
        <v>4.6136783519163593</v>
      </c>
      <c r="CA30">
        <v>-101.32059677448569</v>
      </c>
      <c r="CB30">
        <v>3.3981365330747209</v>
      </c>
      <c r="CC30">
        <v>0.96946647145356979</v>
      </c>
      <c r="CD30">
        <v>-4.1407203559510582E-3</v>
      </c>
      <c r="CE30">
        <v>289.99999999999989</v>
      </c>
      <c r="CF30">
        <v>998.74</v>
      </c>
      <c r="CG30">
        <v>635</v>
      </c>
      <c r="CH30">
        <v>8008.77</v>
      </c>
      <c r="CI30">
        <v>1005.24</v>
      </c>
      <c r="CJ30">
        <v>-6.5</v>
      </c>
      <c r="CX30">
        <f t="shared" si="42"/>
        <v>1800.2</v>
      </c>
      <c r="CY30">
        <f t="shared" si="43"/>
        <v>1513.3526992629356</v>
      </c>
      <c r="CZ30">
        <f t="shared" si="44"/>
        <v>0.84065809313572692</v>
      </c>
      <c r="DA30">
        <f t="shared" si="45"/>
        <v>0.16087011975195303</v>
      </c>
      <c r="DB30">
        <v>6</v>
      </c>
      <c r="DC30">
        <v>0.5</v>
      </c>
      <c r="DD30" t="s">
        <v>421</v>
      </c>
      <c r="DE30">
        <v>2</v>
      </c>
      <c r="DF30">
        <v>1689001180.5</v>
      </c>
      <c r="DG30">
        <v>1134.6600000000001</v>
      </c>
      <c r="DH30">
        <v>1200.06</v>
      </c>
      <c r="DI30">
        <v>28.544</v>
      </c>
      <c r="DJ30">
        <v>23.9602</v>
      </c>
      <c r="DK30">
        <v>1133.7</v>
      </c>
      <c r="DL30">
        <v>28.241900000000001</v>
      </c>
      <c r="DM30">
        <v>500.09</v>
      </c>
      <c r="DN30">
        <v>99.215400000000002</v>
      </c>
      <c r="DO30">
        <v>9.9724699999999999E-2</v>
      </c>
      <c r="DP30">
        <v>30.338200000000001</v>
      </c>
      <c r="DQ30">
        <v>29.9604</v>
      </c>
      <c r="DR30">
        <v>999.9</v>
      </c>
      <c r="DS30">
        <v>0</v>
      </c>
      <c r="DT30">
        <v>0</v>
      </c>
      <c r="DU30">
        <v>10011.200000000001</v>
      </c>
      <c r="DV30">
        <v>0</v>
      </c>
      <c r="DW30">
        <v>1264.98</v>
      </c>
      <c r="DX30">
        <v>-65.397199999999998</v>
      </c>
      <c r="DY30">
        <v>1168</v>
      </c>
      <c r="DZ30">
        <v>1229.52</v>
      </c>
      <c r="EA30">
        <v>4.5837899999999996</v>
      </c>
      <c r="EB30">
        <v>1200.06</v>
      </c>
      <c r="EC30">
        <v>23.9602</v>
      </c>
      <c r="ED30">
        <v>2.8319999999999999</v>
      </c>
      <c r="EE30">
        <v>2.3772199999999999</v>
      </c>
      <c r="EF30">
        <v>23.0718</v>
      </c>
      <c r="EG30">
        <v>20.209399999999999</v>
      </c>
      <c r="EH30">
        <v>1800.2</v>
      </c>
      <c r="EI30">
        <v>0.97800299999999996</v>
      </c>
      <c r="EJ30">
        <v>2.19974E-2</v>
      </c>
      <c r="EK30">
        <v>0</v>
      </c>
      <c r="EL30">
        <v>749.60500000000002</v>
      </c>
      <c r="EM30">
        <v>5.0011200000000002</v>
      </c>
      <c r="EN30">
        <v>14914.1</v>
      </c>
      <c r="EO30">
        <v>17212.8</v>
      </c>
      <c r="EP30">
        <v>48.311999999999998</v>
      </c>
      <c r="EQ30">
        <v>49</v>
      </c>
      <c r="ER30">
        <v>49.061999999999998</v>
      </c>
      <c r="ES30">
        <v>48.875</v>
      </c>
      <c r="ET30">
        <v>49.061999999999998</v>
      </c>
      <c r="EU30">
        <v>1755.71</v>
      </c>
      <c r="EV30">
        <v>39.49</v>
      </c>
      <c r="EW30">
        <v>0</v>
      </c>
      <c r="EX30">
        <v>111.2000000476837</v>
      </c>
      <c r="EY30">
        <v>0</v>
      </c>
      <c r="EZ30">
        <v>749.57550000000003</v>
      </c>
      <c r="FA30">
        <v>-0.9678290565993859</v>
      </c>
      <c r="FB30">
        <v>-6.8512819295113214</v>
      </c>
      <c r="FC30">
        <v>14912.130769230769</v>
      </c>
      <c r="FD30">
        <v>15</v>
      </c>
      <c r="FE30">
        <v>1689001150.5</v>
      </c>
      <c r="FF30" t="s">
        <v>492</v>
      </c>
      <c r="FG30">
        <v>1689001034.5</v>
      </c>
      <c r="FH30">
        <v>1689001136</v>
      </c>
      <c r="FI30">
        <v>16</v>
      </c>
      <c r="FJ30">
        <v>-0.27300000000000002</v>
      </c>
      <c r="FK30">
        <v>3.0000000000000001E-3</v>
      </c>
      <c r="FL30">
        <v>0.84599999999999997</v>
      </c>
      <c r="FM30">
        <v>0.30199999999999999</v>
      </c>
      <c r="FN30">
        <v>900</v>
      </c>
      <c r="FO30">
        <v>24</v>
      </c>
      <c r="FP30">
        <v>0.05</v>
      </c>
      <c r="FQ30">
        <v>0.03</v>
      </c>
      <c r="FR30">
        <v>50.057055357762771</v>
      </c>
      <c r="FS30">
        <v>-0.69631189352741008</v>
      </c>
      <c r="FT30">
        <v>8.9545247114994619E-2</v>
      </c>
      <c r="FU30">
        <v>1</v>
      </c>
      <c r="FV30">
        <v>0.28677449652439541</v>
      </c>
      <c r="FW30">
        <v>-1.6114022015459851E-2</v>
      </c>
      <c r="FX30">
        <v>2.408670762231801E-3</v>
      </c>
      <c r="FY30">
        <v>1</v>
      </c>
      <c r="FZ30">
        <v>2</v>
      </c>
      <c r="GA30">
        <v>2</v>
      </c>
      <c r="GB30" t="s">
        <v>423</v>
      </c>
      <c r="GC30">
        <v>2.9260799999999998</v>
      </c>
      <c r="GD30">
        <v>2.8271199999999999</v>
      </c>
      <c r="GE30">
        <v>0.18223400000000001</v>
      </c>
      <c r="GF30">
        <v>0.18929199999999999</v>
      </c>
      <c r="GG30">
        <v>0.12656600000000001</v>
      </c>
      <c r="GH30">
        <v>0.11269899999999999</v>
      </c>
      <c r="GI30">
        <v>26717.9</v>
      </c>
      <c r="GJ30">
        <v>21505.3</v>
      </c>
      <c r="GK30">
        <v>31440.6</v>
      </c>
      <c r="GL30">
        <v>26164.9</v>
      </c>
      <c r="GM30">
        <v>37646.400000000001</v>
      </c>
      <c r="GN30">
        <v>31486.2</v>
      </c>
      <c r="GO30">
        <v>46692.3</v>
      </c>
      <c r="GP30">
        <v>38037.699999999997</v>
      </c>
      <c r="GQ30">
        <v>1.9338500000000001</v>
      </c>
      <c r="GR30">
        <v>1.7886</v>
      </c>
      <c r="GS30">
        <v>5.1334499999999998E-2</v>
      </c>
      <c r="GT30">
        <v>0</v>
      </c>
      <c r="GU30">
        <v>29.124400000000001</v>
      </c>
      <c r="GV30">
        <v>999.9</v>
      </c>
      <c r="GW30">
        <v>46.6</v>
      </c>
      <c r="GX30">
        <v>38.799999999999997</v>
      </c>
      <c r="GY30">
        <v>32.650799999999997</v>
      </c>
      <c r="GZ30">
        <v>62.5015</v>
      </c>
      <c r="HA30">
        <v>21.3582</v>
      </c>
      <c r="HB30">
        <v>1</v>
      </c>
      <c r="HC30">
        <v>0.422518</v>
      </c>
      <c r="HD30">
        <v>1.59101</v>
      </c>
      <c r="HE30">
        <v>20.289300000000001</v>
      </c>
      <c r="HF30">
        <v>5.22478</v>
      </c>
      <c r="HG30">
        <v>12.0579</v>
      </c>
      <c r="HH30">
        <v>4.9932499999999997</v>
      </c>
      <c r="HI30">
        <v>3.2919999999999998</v>
      </c>
      <c r="HJ30">
        <v>9999</v>
      </c>
      <c r="HK30">
        <v>9999</v>
      </c>
      <c r="HL30">
        <v>9999</v>
      </c>
      <c r="HM30">
        <v>461.4</v>
      </c>
      <c r="HN30">
        <v>1.867</v>
      </c>
      <c r="HO30">
        <v>1.87043</v>
      </c>
      <c r="HP30">
        <v>1.8730199999999999</v>
      </c>
      <c r="HQ30">
        <v>1.8739399999999999</v>
      </c>
      <c r="HR30">
        <v>1.87076</v>
      </c>
      <c r="HS30">
        <v>1.8691500000000001</v>
      </c>
      <c r="HT30">
        <v>1.87059</v>
      </c>
      <c r="HU30">
        <v>1.8736299999999999</v>
      </c>
      <c r="HV30">
        <v>0</v>
      </c>
      <c r="HW30">
        <v>0</v>
      </c>
      <c r="HX30">
        <v>0</v>
      </c>
      <c r="HY30">
        <v>0</v>
      </c>
      <c r="HZ30" t="s">
        <v>424</v>
      </c>
      <c r="IA30" t="s">
        <v>425</v>
      </c>
      <c r="IB30" t="s">
        <v>426</v>
      </c>
      <c r="IC30" t="s">
        <v>426</v>
      </c>
      <c r="ID30" t="s">
        <v>426</v>
      </c>
      <c r="IE30" t="s">
        <v>426</v>
      </c>
      <c r="IF30">
        <v>0</v>
      </c>
      <c r="IG30">
        <v>100</v>
      </c>
      <c r="IH30">
        <v>100</v>
      </c>
      <c r="II30">
        <v>0.96</v>
      </c>
      <c r="IJ30">
        <v>0.30209999999999998</v>
      </c>
      <c r="IK30">
        <v>-0.45284172709915099</v>
      </c>
      <c r="IL30">
        <v>3.042515301972944E-3</v>
      </c>
      <c r="IM30">
        <v>-2.5091471490852929E-6</v>
      </c>
      <c r="IN30">
        <v>8.1339755115576286E-10</v>
      </c>
      <c r="IO30">
        <v>0.30209999999999582</v>
      </c>
      <c r="IP30">
        <v>0</v>
      </c>
      <c r="IQ30">
        <v>0</v>
      </c>
      <c r="IR30">
        <v>0</v>
      </c>
      <c r="IS30">
        <v>3</v>
      </c>
      <c r="IT30">
        <v>2004</v>
      </c>
      <c r="IU30">
        <v>2</v>
      </c>
      <c r="IV30">
        <v>22</v>
      </c>
      <c r="IW30">
        <v>2.4</v>
      </c>
      <c r="IX30">
        <v>0.7</v>
      </c>
      <c r="IY30">
        <v>2.5280800000000001</v>
      </c>
      <c r="IZ30">
        <v>2.5695800000000002</v>
      </c>
      <c r="JA30">
        <v>1.64917</v>
      </c>
      <c r="JB30">
        <v>2.33765</v>
      </c>
      <c r="JC30">
        <v>1.5991200000000001</v>
      </c>
      <c r="JD30">
        <v>2.2424300000000001</v>
      </c>
      <c r="JE30">
        <v>44.306399999999996</v>
      </c>
      <c r="JF30">
        <v>23.903600000000001</v>
      </c>
      <c r="JG30">
        <v>18</v>
      </c>
      <c r="JH30">
        <v>518.88099999999997</v>
      </c>
      <c r="JI30">
        <v>473.13200000000001</v>
      </c>
      <c r="JJ30">
        <v>27.783200000000001</v>
      </c>
      <c r="JK30">
        <v>32.523200000000003</v>
      </c>
      <c r="JL30">
        <v>30</v>
      </c>
      <c r="JM30">
        <v>32.5732</v>
      </c>
      <c r="JN30">
        <v>32.566200000000002</v>
      </c>
      <c r="JO30">
        <v>50.5914</v>
      </c>
      <c r="JP30">
        <v>36.008800000000001</v>
      </c>
      <c r="JQ30">
        <v>7.9344200000000003</v>
      </c>
      <c r="JR30">
        <v>27.805800000000001</v>
      </c>
      <c r="JS30">
        <v>1200</v>
      </c>
      <c r="JT30">
        <v>24.016100000000002</v>
      </c>
      <c r="JU30">
        <v>99.653700000000001</v>
      </c>
      <c r="JV30">
        <v>99.475399999999993</v>
      </c>
    </row>
    <row r="31" spans="1:282" x14ac:dyDescent="0.25">
      <c r="A31">
        <v>15</v>
      </c>
      <c r="B31">
        <v>1689001304</v>
      </c>
      <c r="C31">
        <v>1708.900000095367</v>
      </c>
      <c r="D31" t="s">
        <v>493</v>
      </c>
      <c r="E31" t="s">
        <v>494</v>
      </c>
      <c r="F31" t="s">
        <v>414</v>
      </c>
      <c r="G31" t="s">
        <v>415</v>
      </c>
      <c r="H31" t="s">
        <v>416</v>
      </c>
      <c r="I31" t="s">
        <v>416</v>
      </c>
      <c r="J31" t="s">
        <v>417</v>
      </c>
      <c r="K31">
        <v>1689001304</v>
      </c>
      <c r="L31">
        <f t="shared" si="0"/>
        <v>3.5216755328740424E-3</v>
      </c>
      <c r="M31">
        <f t="shared" si="1"/>
        <v>3.5216755328740423</v>
      </c>
      <c r="N31">
        <f t="shared" si="2"/>
        <v>51.062323265115367</v>
      </c>
      <c r="O31">
        <f t="shared" si="3"/>
        <v>1432.58</v>
      </c>
      <c r="P31">
        <f t="shared" si="4"/>
        <v>1063.2883697022799</v>
      </c>
      <c r="Q31">
        <f t="shared" si="5"/>
        <v>105.60086615750664</v>
      </c>
      <c r="R31">
        <f t="shared" si="6"/>
        <v>142.27719699621997</v>
      </c>
      <c r="S31">
        <f t="shared" si="7"/>
        <v>0.25004740427284466</v>
      </c>
      <c r="T31">
        <f t="shared" si="8"/>
        <v>2.9151962077457085</v>
      </c>
      <c r="U31">
        <f t="shared" si="9"/>
        <v>0.23871395460313291</v>
      </c>
      <c r="V31">
        <f t="shared" si="10"/>
        <v>0.15017167463512132</v>
      </c>
      <c r="W31">
        <f t="shared" si="11"/>
        <v>289.54252957718927</v>
      </c>
      <c r="X31">
        <f t="shared" si="12"/>
        <v>31.104015390481926</v>
      </c>
      <c r="Y31">
        <f t="shared" si="13"/>
        <v>29.961600000000001</v>
      </c>
      <c r="Z31">
        <f t="shared" si="14"/>
        <v>4.2510616763702762</v>
      </c>
      <c r="AA31">
        <f t="shared" si="15"/>
        <v>65.440407255822862</v>
      </c>
      <c r="AB31">
        <f t="shared" si="16"/>
        <v>2.8381846718225003</v>
      </c>
      <c r="AC31">
        <f t="shared" si="17"/>
        <v>4.3370522752514802</v>
      </c>
      <c r="AD31">
        <f t="shared" si="18"/>
        <v>1.4128770045477759</v>
      </c>
      <c r="AE31">
        <f t="shared" si="19"/>
        <v>-155.30589099974526</v>
      </c>
      <c r="AF31">
        <f t="shared" si="20"/>
        <v>54.850256225243371</v>
      </c>
      <c r="AG31">
        <f t="shared" si="21"/>
        <v>4.1892395859860523</v>
      </c>
      <c r="AH31">
        <f t="shared" si="22"/>
        <v>193.27613438867343</v>
      </c>
      <c r="AI31">
        <v>0</v>
      </c>
      <c r="AJ31">
        <v>0</v>
      </c>
      <c r="AK31">
        <f t="shared" si="23"/>
        <v>1</v>
      </c>
      <c r="AL31">
        <f t="shared" si="24"/>
        <v>0</v>
      </c>
      <c r="AM31">
        <f t="shared" si="25"/>
        <v>51873.939523096677</v>
      </c>
      <c r="AN31" t="s">
        <v>418</v>
      </c>
      <c r="AO31">
        <v>10021</v>
      </c>
      <c r="AP31">
        <v>177.53923076923081</v>
      </c>
      <c r="AQ31">
        <v>655.56</v>
      </c>
      <c r="AR31">
        <f t="shared" si="26"/>
        <v>0.72917928066198234</v>
      </c>
      <c r="AS31">
        <v>-3.1115002560329539</v>
      </c>
      <c r="AT31" t="s">
        <v>495</v>
      </c>
      <c r="AU31">
        <v>8017.87</v>
      </c>
      <c r="AV31">
        <v>749.51373076923073</v>
      </c>
      <c r="AW31">
        <v>1147.863505726398</v>
      </c>
      <c r="AX31">
        <f t="shared" si="27"/>
        <v>0.34703583916545999</v>
      </c>
      <c r="AY31">
        <v>0.5</v>
      </c>
      <c r="AZ31">
        <f t="shared" si="28"/>
        <v>1513.0586992627923</v>
      </c>
      <c r="BA31">
        <f t="shared" si="29"/>
        <v>51.062323265115367</v>
      </c>
      <c r="BB31">
        <f t="shared" si="30"/>
        <v>262.54279770263122</v>
      </c>
      <c r="BC31">
        <f t="shared" si="31"/>
        <v>3.5804178349156869E-2</v>
      </c>
      <c r="BD31">
        <f t="shared" si="32"/>
        <v>-0.42888679992910439</v>
      </c>
      <c r="BE31">
        <f t="shared" si="33"/>
        <v>200.8706436046642</v>
      </c>
      <c r="BF31" t="s">
        <v>496</v>
      </c>
      <c r="BG31">
        <v>586.71</v>
      </c>
      <c r="BH31">
        <f t="shared" si="34"/>
        <v>586.71</v>
      </c>
      <c r="BI31">
        <f t="shared" si="35"/>
        <v>0.48886779911282685</v>
      </c>
      <c r="BJ31">
        <f t="shared" si="36"/>
        <v>0.70987665744244843</v>
      </c>
      <c r="BK31">
        <f t="shared" si="37"/>
        <v>-7.1503777157065898</v>
      </c>
      <c r="BL31">
        <f t="shared" si="38"/>
        <v>0.41053262835741333</v>
      </c>
      <c r="BM31">
        <f t="shared" si="39"/>
        <v>-1.0298789036271638</v>
      </c>
      <c r="BN31">
        <f t="shared" si="40"/>
        <v>0.55568259338039183</v>
      </c>
      <c r="BO31">
        <f t="shared" si="41"/>
        <v>0.44431740661960817</v>
      </c>
      <c r="BP31">
        <v>22495</v>
      </c>
      <c r="BQ31">
        <v>290.00000000000011</v>
      </c>
      <c r="BR31">
        <v>1010.58</v>
      </c>
      <c r="BS31">
        <v>285</v>
      </c>
      <c r="BT31">
        <v>8017.87</v>
      </c>
      <c r="BU31">
        <v>1013.39</v>
      </c>
      <c r="BV31">
        <v>-2.81</v>
      </c>
      <c r="BW31">
        <v>300.00000000000011</v>
      </c>
      <c r="BX31">
        <v>19.399999999999999</v>
      </c>
      <c r="BY31">
        <v>1147.863505726398</v>
      </c>
      <c r="BZ31">
        <v>4.3923134449881962</v>
      </c>
      <c r="CA31">
        <v>-107.8198102344994</v>
      </c>
      <c r="CB31">
        <v>3.235028409690182</v>
      </c>
      <c r="CC31">
        <v>0.97541299441133922</v>
      </c>
      <c r="CD31">
        <v>-4.1406433815350408E-3</v>
      </c>
      <c r="CE31">
        <v>289.99999999999989</v>
      </c>
      <c r="CF31">
        <v>1006.16</v>
      </c>
      <c r="CG31">
        <v>645</v>
      </c>
      <c r="CH31">
        <v>8008.27</v>
      </c>
      <c r="CI31">
        <v>1013.23</v>
      </c>
      <c r="CJ31">
        <v>-7.07</v>
      </c>
      <c r="CX31">
        <f t="shared" si="42"/>
        <v>1799.85</v>
      </c>
      <c r="CY31">
        <f t="shared" si="43"/>
        <v>1513.0586992627923</v>
      </c>
      <c r="CZ31">
        <f t="shared" si="44"/>
        <v>0.8406582211088659</v>
      </c>
      <c r="DA31">
        <f t="shared" si="45"/>
        <v>0.16087036674011126</v>
      </c>
      <c r="DB31">
        <v>6</v>
      </c>
      <c r="DC31">
        <v>0.5</v>
      </c>
      <c r="DD31" t="s">
        <v>421</v>
      </c>
      <c r="DE31">
        <v>2</v>
      </c>
      <c r="DF31">
        <v>1689001304</v>
      </c>
      <c r="DG31">
        <v>1432.58</v>
      </c>
      <c r="DH31">
        <v>1499.9</v>
      </c>
      <c r="DI31">
        <v>28.577500000000001</v>
      </c>
      <c r="DJ31">
        <v>24.472799999999999</v>
      </c>
      <c r="DK31">
        <v>1431.34</v>
      </c>
      <c r="DL31">
        <v>28.2744</v>
      </c>
      <c r="DM31">
        <v>500.06599999999997</v>
      </c>
      <c r="DN31">
        <v>99.215000000000003</v>
      </c>
      <c r="DO31">
        <v>0.100359</v>
      </c>
      <c r="DP31">
        <v>30.310600000000001</v>
      </c>
      <c r="DQ31">
        <v>29.961600000000001</v>
      </c>
      <c r="DR31">
        <v>999.9</v>
      </c>
      <c r="DS31">
        <v>0</v>
      </c>
      <c r="DT31">
        <v>0</v>
      </c>
      <c r="DU31">
        <v>9996.8799999999992</v>
      </c>
      <c r="DV31">
        <v>0</v>
      </c>
      <c r="DW31">
        <v>1279.05</v>
      </c>
      <c r="DX31">
        <v>-67.314499999999995</v>
      </c>
      <c r="DY31">
        <v>1474.73</v>
      </c>
      <c r="DZ31">
        <v>1537.53</v>
      </c>
      <c r="EA31">
        <v>4.1047000000000002</v>
      </c>
      <c r="EB31">
        <v>1499.9</v>
      </c>
      <c r="EC31">
        <v>24.472799999999999</v>
      </c>
      <c r="ED31">
        <v>2.8353199999999998</v>
      </c>
      <c r="EE31">
        <v>2.42807</v>
      </c>
      <c r="EF31">
        <v>23.091100000000001</v>
      </c>
      <c r="EG31">
        <v>20.552199999999999</v>
      </c>
      <c r="EH31">
        <v>1799.85</v>
      </c>
      <c r="EI31">
        <v>0.97799899999999995</v>
      </c>
      <c r="EJ31">
        <v>2.2001099999999999E-2</v>
      </c>
      <c r="EK31">
        <v>0</v>
      </c>
      <c r="EL31">
        <v>749.16899999999998</v>
      </c>
      <c r="EM31">
        <v>5.0011200000000002</v>
      </c>
      <c r="EN31">
        <v>14910.3</v>
      </c>
      <c r="EO31">
        <v>17209.400000000001</v>
      </c>
      <c r="EP31">
        <v>48.311999999999998</v>
      </c>
      <c r="EQ31">
        <v>49.061999999999998</v>
      </c>
      <c r="ER31">
        <v>49.061999999999998</v>
      </c>
      <c r="ES31">
        <v>48.936999999999998</v>
      </c>
      <c r="ET31">
        <v>49.125</v>
      </c>
      <c r="EU31">
        <v>1755.36</v>
      </c>
      <c r="EV31">
        <v>39.49</v>
      </c>
      <c r="EW31">
        <v>0</v>
      </c>
      <c r="EX31">
        <v>121.80000019073491</v>
      </c>
      <c r="EY31">
        <v>0</v>
      </c>
      <c r="EZ31">
        <v>749.51373076923073</v>
      </c>
      <c r="FA31">
        <v>-1.084273494563311</v>
      </c>
      <c r="FB31">
        <v>2.4786323576302651</v>
      </c>
      <c r="FC31">
        <v>14912.63461538461</v>
      </c>
      <c r="FD31">
        <v>15</v>
      </c>
      <c r="FE31">
        <v>1689001252.5</v>
      </c>
      <c r="FF31" t="s">
        <v>497</v>
      </c>
      <c r="FG31">
        <v>1689001252</v>
      </c>
      <c r="FH31">
        <v>1689001252.5</v>
      </c>
      <c r="FI31">
        <v>17</v>
      </c>
      <c r="FJ31">
        <v>0.10100000000000001</v>
      </c>
      <c r="FK31">
        <v>1E-3</v>
      </c>
      <c r="FL31">
        <v>1.3109999999999999</v>
      </c>
      <c r="FM31">
        <v>0.30299999999999999</v>
      </c>
      <c r="FN31">
        <v>1500</v>
      </c>
      <c r="FO31">
        <v>24</v>
      </c>
      <c r="FP31">
        <v>0.04</v>
      </c>
      <c r="FQ31">
        <v>0.03</v>
      </c>
      <c r="FR31">
        <v>51.075041258308367</v>
      </c>
      <c r="FS31">
        <v>0.6507785804859294</v>
      </c>
      <c r="FT31">
        <v>0.13045685565823381</v>
      </c>
      <c r="FU31">
        <v>1</v>
      </c>
      <c r="FV31">
        <v>0.24776537322066969</v>
      </c>
      <c r="FW31">
        <v>-5.4283360895556118E-3</v>
      </c>
      <c r="FX31">
        <v>2.5027497458343958E-3</v>
      </c>
      <c r="FY31">
        <v>1</v>
      </c>
      <c r="FZ31">
        <v>2</v>
      </c>
      <c r="GA31">
        <v>2</v>
      </c>
      <c r="GB31" t="s">
        <v>423</v>
      </c>
      <c r="GC31">
        <v>2.92598</v>
      </c>
      <c r="GD31">
        <v>2.8276300000000001</v>
      </c>
      <c r="GE31">
        <v>0.21055599999999999</v>
      </c>
      <c r="GF31">
        <v>0.21701200000000001</v>
      </c>
      <c r="GG31">
        <v>0.12665999999999999</v>
      </c>
      <c r="GH31">
        <v>0.114368</v>
      </c>
      <c r="GI31">
        <v>25789.5</v>
      </c>
      <c r="GJ31">
        <v>20766.7</v>
      </c>
      <c r="GK31">
        <v>31439.4</v>
      </c>
      <c r="GL31">
        <v>26162.799999999999</v>
      </c>
      <c r="GM31">
        <v>37641.4</v>
      </c>
      <c r="GN31">
        <v>31424.5</v>
      </c>
      <c r="GO31">
        <v>46690.5</v>
      </c>
      <c r="GP31">
        <v>38034.300000000003</v>
      </c>
      <c r="GQ31">
        <v>1.93347</v>
      </c>
      <c r="GR31">
        <v>1.7884500000000001</v>
      </c>
      <c r="GS31">
        <v>4.45358E-2</v>
      </c>
      <c r="GT31">
        <v>0</v>
      </c>
      <c r="GU31">
        <v>29.2364</v>
      </c>
      <c r="GV31">
        <v>999.9</v>
      </c>
      <c r="GW31">
        <v>46</v>
      </c>
      <c r="GX31">
        <v>39</v>
      </c>
      <c r="GY31">
        <v>32.578499999999998</v>
      </c>
      <c r="GZ31">
        <v>62.671500000000002</v>
      </c>
      <c r="HA31">
        <v>21.374199999999998</v>
      </c>
      <c r="HB31">
        <v>1</v>
      </c>
      <c r="HC31">
        <v>0.42760399999999998</v>
      </c>
      <c r="HD31">
        <v>1.9936199999999999</v>
      </c>
      <c r="HE31">
        <v>20.328299999999999</v>
      </c>
      <c r="HF31">
        <v>5.2235800000000001</v>
      </c>
      <c r="HG31">
        <v>12.058199999999999</v>
      </c>
      <c r="HH31">
        <v>4.9927000000000001</v>
      </c>
      <c r="HI31">
        <v>3.29155</v>
      </c>
      <c r="HJ31">
        <v>9999</v>
      </c>
      <c r="HK31">
        <v>9999</v>
      </c>
      <c r="HL31">
        <v>9999</v>
      </c>
      <c r="HM31">
        <v>461.5</v>
      </c>
      <c r="HN31">
        <v>1.8666100000000001</v>
      </c>
      <c r="HO31">
        <v>1.8701099999999999</v>
      </c>
      <c r="HP31">
        <v>1.8727100000000001</v>
      </c>
      <c r="HQ31">
        <v>1.87361</v>
      </c>
      <c r="HR31">
        <v>1.87042</v>
      </c>
      <c r="HS31">
        <v>1.8687400000000001</v>
      </c>
      <c r="HT31">
        <v>1.8702700000000001</v>
      </c>
      <c r="HU31">
        <v>1.8732500000000001</v>
      </c>
      <c r="HV31">
        <v>0</v>
      </c>
      <c r="HW31">
        <v>0</v>
      </c>
      <c r="HX31">
        <v>0</v>
      </c>
      <c r="HY31">
        <v>0</v>
      </c>
      <c r="HZ31" t="s">
        <v>424</v>
      </c>
      <c r="IA31" t="s">
        <v>425</v>
      </c>
      <c r="IB31" t="s">
        <v>426</v>
      </c>
      <c r="IC31" t="s">
        <v>426</v>
      </c>
      <c r="ID31" t="s">
        <v>426</v>
      </c>
      <c r="IE31" t="s">
        <v>426</v>
      </c>
      <c r="IF31">
        <v>0</v>
      </c>
      <c r="IG31">
        <v>100</v>
      </c>
      <c r="IH31">
        <v>100</v>
      </c>
      <c r="II31">
        <v>1.24</v>
      </c>
      <c r="IJ31">
        <v>0.30309999999999998</v>
      </c>
      <c r="IK31">
        <v>-0.35115752613372969</v>
      </c>
      <c r="IL31">
        <v>3.042515301972944E-3</v>
      </c>
      <c r="IM31">
        <v>-2.5091471490852929E-6</v>
      </c>
      <c r="IN31">
        <v>8.1339755115576286E-10</v>
      </c>
      <c r="IO31">
        <v>0.30309999999999698</v>
      </c>
      <c r="IP31">
        <v>0</v>
      </c>
      <c r="IQ31">
        <v>0</v>
      </c>
      <c r="IR31">
        <v>0</v>
      </c>
      <c r="IS31">
        <v>3</v>
      </c>
      <c r="IT31">
        <v>2004</v>
      </c>
      <c r="IU31">
        <v>2</v>
      </c>
      <c r="IV31">
        <v>22</v>
      </c>
      <c r="IW31">
        <v>0.9</v>
      </c>
      <c r="IX31">
        <v>0.9</v>
      </c>
      <c r="IY31">
        <v>3.0371100000000002</v>
      </c>
      <c r="IZ31">
        <v>2.5671400000000002</v>
      </c>
      <c r="JA31">
        <v>1.64917</v>
      </c>
      <c r="JB31">
        <v>2.33765</v>
      </c>
      <c r="JC31">
        <v>1.5991200000000001</v>
      </c>
      <c r="JD31">
        <v>2.2448700000000001</v>
      </c>
      <c r="JE31">
        <v>44.084699999999998</v>
      </c>
      <c r="JF31">
        <v>15.7957</v>
      </c>
      <c r="JG31">
        <v>18</v>
      </c>
      <c r="JH31">
        <v>518.81600000000003</v>
      </c>
      <c r="JI31">
        <v>473.23399999999998</v>
      </c>
      <c r="JJ31">
        <v>27.028500000000001</v>
      </c>
      <c r="JK31">
        <v>32.5488</v>
      </c>
      <c r="JL31">
        <v>30</v>
      </c>
      <c r="JM31">
        <v>32.596200000000003</v>
      </c>
      <c r="JN31">
        <v>32.591999999999999</v>
      </c>
      <c r="JO31">
        <v>60.7729</v>
      </c>
      <c r="JP31">
        <v>34.958799999999997</v>
      </c>
      <c r="JQ31">
        <v>5.8218300000000003</v>
      </c>
      <c r="JR31">
        <v>27.555599999999998</v>
      </c>
      <c r="JS31">
        <v>1500</v>
      </c>
      <c r="JT31">
        <v>24.291499999999999</v>
      </c>
      <c r="JU31">
        <v>99.649900000000002</v>
      </c>
      <c r="JV31">
        <v>99.466999999999999</v>
      </c>
    </row>
    <row r="32" spans="1:282" x14ac:dyDescent="0.25">
      <c r="A32">
        <v>16</v>
      </c>
      <c r="B32">
        <v>1689002112.5999999</v>
      </c>
      <c r="C32">
        <v>2517.5</v>
      </c>
      <c r="D32" t="s">
        <v>498</v>
      </c>
      <c r="E32" t="s">
        <v>499</v>
      </c>
      <c r="F32" t="s">
        <v>414</v>
      </c>
      <c r="G32" t="s">
        <v>415</v>
      </c>
      <c r="H32" t="s">
        <v>500</v>
      </c>
      <c r="I32" t="s">
        <v>416</v>
      </c>
      <c r="J32" t="s">
        <v>501</v>
      </c>
      <c r="K32">
        <v>1689002112.5999999</v>
      </c>
      <c r="L32">
        <f t="shared" si="0"/>
        <v>5.3343978645347618E-3</v>
      </c>
      <c r="M32">
        <f t="shared" si="1"/>
        <v>5.3343978645347621</v>
      </c>
      <c r="N32">
        <f t="shared" si="2"/>
        <v>53.530557202635322</v>
      </c>
      <c r="O32">
        <f t="shared" si="3"/>
        <v>333.80799999999999</v>
      </c>
      <c r="P32">
        <f t="shared" si="4"/>
        <v>110.04879938180018</v>
      </c>
      <c r="Q32">
        <f t="shared" si="5"/>
        <v>10.929664995315337</v>
      </c>
      <c r="R32">
        <f t="shared" si="6"/>
        <v>33.152652580047999</v>
      </c>
      <c r="S32">
        <f t="shared" si="7"/>
        <v>0.41775796848430802</v>
      </c>
      <c r="T32">
        <f t="shared" si="8"/>
        <v>2.9165313768323058</v>
      </c>
      <c r="U32">
        <f t="shared" si="9"/>
        <v>0.38713541667385171</v>
      </c>
      <c r="V32">
        <f t="shared" si="10"/>
        <v>0.24452362822561757</v>
      </c>
      <c r="W32">
        <f t="shared" si="11"/>
        <v>289.56806557731574</v>
      </c>
      <c r="X32">
        <f t="shared" si="12"/>
        <v>31.225698154705491</v>
      </c>
      <c r="Y32">
        <f t="shared" si="13"/>
        <v>30.033100000000001</v>
      </c>
      <c r="Z32">
        <f t="shared" si="14"/>
        <v>4.2685566104077992</v>
      </c>
      <c r="AA32">
        <f t="shared" si="15"/>
        <v>65.741200943163008</v>
      </c>
      <c r="AB32">
        <f t="shared" si="16"/>
        <v>2.9497903555778997</v>
      </c>
      <c r="AC32">
        <f t="shared" si="17"/>
        <v>4.4869736379293723</v>
      </c>
      <c r="AD32">
        <f t="shared" si="18"/>
        <v>1.3187662548298995</v>
      </c>
      <c r="AE32">
        <f t="shared" si="19"/>
        <v>-235.246945825983</v>
      </c>
      <c r="AF32">
        <f t="shared" si="20"/>
        <v>137.07837931262952</v>
      </c>
      <c r="AG32">
        <f t="shared" si="21"/>
        <v>10.499229105290285</v>
      </c>
      <c r="AH32">
        <f t="shared" si="22"/>
        <v>201.89872816925254</v>
      </c>
      <c r="AI32">
        <v>0</v>
      </c>
      <c r="AJ32">
        <v>0</v>
      </c>
      <c r="AK32">
        <f t="shared" si="23"/>
        <v>1</v>
      </c>
      <c r="AL32">
        <f t="shared" si="24"/>
        <v>0</v>
      </c>
      <c r="AM32">
        <f t="shared" si="25"/>
        <v>51810.424172213869</v>
      </c>
      <c r="AN32" t="s">
        <v>418</v>
      </c>
      <c r="AO32">
        <v>10021</v>
      </c>
      <c r="AP32">
        <v>177.53923076923081</v>
      </c>
      <c r="AQ32">
        <v>655.56</v>
      </c>
      <c r="AR32">
        <f t="shared" si="26"/>
        <v>0.72917928066198234</v>
      </c>
      <c r="AS32">
        <v>-3.1115002560329539</v>
      </c>
      <c r="AT32" t="s">
        <v>502</v>
      </c>
      <c r="AU32">
        <v>8032.57</v>
      </c>
      <c r="AV32">
        <v>715.97569230769227</v>
      </c>
      <c r="AW32">
        <v>1137.862343606962</v>
      </c>
      <c r="AX32">
        <f t="shared" si="27"/>
        <v>0.37077125688324641</v>
      </c>
      <c r="AY32">
        <v>0.5</v>
      </c>
      <c r="AZ32">
        <f t="shared" si="28"/>
        <v>1513.1930992628579</v>
      </c>
      <c r="BA32">
        <f t="shared" si="29"/>
        <v>53.530557202635322</v>
      </c>
      <c r="BB32">
        <f t="shared" si="30"/>
        <v>280.52425366037244</v>
      </c>
      <c r="BC32">
        <f t="shared" si="31"/>
        <v>3.7432141004516264E-2</v>
      </c>
      <c r="BD32">
        <f t="shared" si="32"/>
        <v>-0.42386704008332832</v>
      </c>
      <c r="BE32">
        <f t="shared" si="33"/>
        <v>200.56215725111014</v>
      </c>
      <c r="BF32" t="s">
        <v>503</v>
      </c>
      <c r="BG32">
        <v>563.45000000000005</v>
      </c>
      <c r="BH32">
        <f t="shared" si="34"/>
        <v>563.45000000000005</v>
      </c>
      <c r="BI32">
        <f t="shared" si="35"/>
        <v>0.50481707812397225</v>
      </c>
      <c r="BJ32">
        <f t="shared" si="36"/>
        <v>0.73446654828146074</v>
      </c>
      <c r="BK32">
        <f t="shared" si="37"/>
        <v>-5.23615615684467</v>
      </c>
      <c r="BL32">
        <f t="shared" si="38"/>
        <v>0.4393173981334314</v>
      </c>
      <c r="BM32">
        <f t="shared" si="39"/>
        <v>-1.0089568793905814</v>
      </c>
      <c r="BN32">
        <f t="shared" si="40"/>
        <v>0.57800171301254522</v>
      </c>
      <c r="BO32">
        <f t="shared" si="41"/>
        <v>0.42199828698745478</v>
      </c>
      <c r="BP32">
        <v>22497</v>
      </c>
      <c r="BQ32">
        <v>290.00000000000011</v>
      </c>
      <c r="BR32">
        <v>991.72</v>
      </c>
      <c r="BS32">
        <v>295</v>
      </c>
      <c r="BT32">
        <v>8032.57</v>
      </c>
      <c r="BU32">
        <v>995.21</v>
      </c>
      <c r="BV32">
        <v>-3.49</v>
      </c>
      <c r="BW32">
        <v>300.00000000000011</v>
      </c>
      <c r="BX32">
        <v>19.399999999999999</v>
      </c>
      <c r="BY32">
        <v>1137.862343606962</v>
      </c>
      <c r="BZ32">
        <v>3.6885247018039058</v>
      </c>
      <c r="CA32">
        <v>-114.58624648755681</v>
      </c>
      <c r="CB32">
        <v>2.721693401699949</v>
      </c>
      <c r="CC32">
        <v>0.98444877629402305</v>
      </c>
      <c r="CD32">
        <v>-4.1479657397107926E-3</v>
      </c>
      <c r="CE32">
        <v>289.99999999999989</v>
      </c>
      <c r="CF32">
        <v>989.66</v>
      </c>
      <c r="CG32">
        <v>675</v>
      </c>
      <c r="CH32">
        <v>8022.19</v>
      </c>
      <c r="CI32">
        <v>995.03</v>
      </c>
      <c r="CJ32">
        <v>-5.37</v>
      </c>
      <c r="CX32">
        <f t="shared" si="42"/>
        <v>1800.01</v>
      </c>
      <c r="CY32">
        <f t="shared" si="43"/>
        <v>1513.1930992628579</v>
      </c>
      <c r="CZ32">
        <f t="shared" si="44"/>
        <v>0.84065816260068438</v>
      </c>
      <c r="DA32">
        <f t="shared" si="45"/>
        <v>0.16087025381932085</v>
      </c>
      <c r="DB32">
        <v>6</v>
      </c>
      <c r="DC32">
        <v>0.5</v>
      </c>
      <c r="DD32" t="s">
        <v>421</v>
      </c>
      <c r="DE32">
        <v>2</v>
      </c>
      <c r="DF32">
        <v>1689002112.5999999</v>
      </c>
      <c r="DG32">
        <v>333.80799999999999</v>
      </c>
      <c r="DH32">
        <v>400.16699999999997</v>
      </c>
      <c r="DI32">
        <v>29.700900000000001</v>
      </c>
      <c r="DJ32">
        <v>23.491099999999999</v>
      </c>
      <c r="DK32">
        <v>332.99099999999999</v>
      </c>
      <c r="DL32">
        <v>29.396699999999999</v>
      </c>
      <c r="DM32">
        <v>500.10899999999998</v>
      </c>
      <c r="DN32">
        <v>99.216099999999997</v>
      </c>
      <c r="DO32">
        <v>0.10043100000000001</v>
      </c>
      <c r="DP32">
        <v>30.904900000000001</v>
      </c>
      <c r="DQ32">
        <v>30.033100000000001</v>
      </c>
      <c r="DR32">
        <v>999.9</v>
      </c>
      <c r="DS32">
        <v>0</v>
      </c>
      <c r="DT32">
        <v>0</v>
      </c>
      <c r="DU32">
        <v>10004.4</v>
      </c>
      <c r="DV32">
        <v>0</v>
      </c>
      <c r="DW32">
        <v>1851.43</v>
      </c>
      <c r="DX32">
        <v>-66.359499999999997</v>
      </c>
      <c r="DY32">
        <v>344.02600000000001</v>
      </c>
      <c r="DZ32">
        <v>409.79399999999998</v>
      </c>
      <c r="EA32">
        <v>6.2097899999999999</v>
      </c>
      <c r="EB32">
        <v>400.16699999999997</v>
      </c>
      <c r="EC32">
        <v>23.491099999999999</v>
      </c>
      <c r="ED32">
        <v>2.9468100000000002</v>
      </c>
      <c r="EE32">
        <v>2.3307000000000002</v>
      </c>
      <c r="EF32">
        <v>23.730399999999999</v>
      </c>
      <c r="EG32">
        <v>19.8901</v>
      </c>
      <c r="EH32">
        <v>1800.01</v>
      </c>
      <c r="EI32">
        <v>0.97799800000000003</v>
      </c>
      <c r="EJ32">
        <v>2.2001799999999998E-2</v>
      </c>
      <c r="EK32">
        <v>0</v>
      </c>
      <c r="EL32">
        <v>716.62599999999998</v>
      </c>
      <c r="EM32">
        <v>5.0011200000000002</v>
      </c>
      <c r="EN32">
        <v>14355.2</v>
      </c>
      <c r="EO32">
        <v>17210.900000000001</v>
      </c>
      <c r="EP32">
        <v>47.811999999999998</v>
      </c>
      <c r="EQ32">
        <v>49.25</v>
      </c>
      <c r="ER32">
        <v>48.75</v>
      </c>
      <c r="ES32">
        <v>48.25</v>
      </c>
      <c r="ET32">
        <v>48.686999999999998</v>
      </c>
      <c r="EU32">
        <v>1755.52</v>
      </c>
      <c r="EV32">
        <v>39.49</v>
      </c>
      <c r="EW32">
        <v>0</v>
      </c>
      <c r="EX32">
        <v>806.40000009536743</v>
      </c>
      <c r="EY32">
        <v>0</v>
      </c>
      <c r="EZ32">
        <v>715.97569230769227</v>
      </c>
      <c r="FA32">
        <v>4.224341864127271</v>
      </c>
      <c r="FB32">
        <v>59.825640752296749</v>
      </c>
      <c r="FC32">
        <v>14344.45</v>
      </c>
      <c r="FD32">
        <v>15</v>
      </c>
      <c r="FE32">
        <v>1689002083.0999999</v>
      </c>
      <c r="FF32" t="s">
        <v>504</v>
      </c>
      <c r="FG32">
        <v>1689002073.5</v>
      </c>
      <c r="FH32">
        <v>1689002083.0999999</v>
      </c>
      <c r="FI32">
        <v>19</v>
      </c>
      <c r="FJ32">
        <v>1.7999999999999999E-2</v>
      </c>
      <c r="FK32">
        <v>4.1000000000000002E-2</v>
      </c>
      <c r="FL32">
        <v>0.91800000000000004</v>
      </c>
      <c r="FM32">
        <v>0.30399999999999999</v>
      </c>
      <c r="FN32">
        <v>400</v>
      </c>
      <c r="FO32">
        <v>23</v>
      </c>
      <c r="FP32">
        <v>0.05</v>
      </c>
      <c r="FQ32">
        <v>0.02</v>
      </c>
      <c r="FR32">
        <v>53.362790751666282</v>
      </c>
      <c r="FS32">
        <v>0.1177670701548363</v>
      </c>
      <c r="FT32">
        <v>5.3450452965201817E-2</v>
      </c>
      <c r="FU32">
        <v>1</v>
      </c>
      <c r="FV32">
        <v>0.41816275108186479</v>
      </c>
      <c r="FW32">
        <v>2.3282957841320909E-2</v>
      </c>
      <c r="FX32">
        <v>2.61709039557216E-3</v>
      </c>
      <c r="FY32">
        <v>1</v>
      </c>
      <c r="FZ32">
        <v>2</v>
      </c>
      <c r="GA32">
        <v>2</v>
      </c>
      <c r="GB32" t="s">
        <v>423</v>
      </c>
      <c r="GC32">
        <v>2.9265300000000001</v>
      </c>
      <c r="GD32">
        <v>2.8277600000000001</v>
      </c>
      <c r="GE32">
        <v>7.6483400000000007E-2</v>
      </c>
      <c r="GF32">
        <v>8.8605699999999996E-2</v>
      </c>
      <c r="GG32">
        <v>0.13020200000000001</v>
      </c>
      <c r="GH32">
        <v>0.111217</v>
      </c>
      <c r="GI32">
        <v>30213.5</v>
      </c>
      <c r="GJ32">
        <v>24190.799999999999</v>
      </c>
      <c r="GK32">
        <v>31478.6</v>
      </c>
      <c r="GL32">
        <v>26177.4</v>
      </c>
      <c r="GM32">
        <v>37532.400000000001</v>
      </c>
      <c r="GN32">
        <v>31552.9</v>
      </c>
      <c r="GO32">
        <v>46750.400000000001</v>
      </c>
      <c r="GP32">
        <v>38056.9</v>
      </c>
      <c r="GQ32">
        <v>1.93988</v>
      </c>
      <c r="GR32">
        <v>1.78125</v>
      </c>
      <c r="GS32">
        <v>5.5104500000000001E-2</v>
      </c>
      <c r="GT32">
        <v>0</v>
      </c>
      <c r="GU32">
        <v>29.1358</v>
      </c>
      <c r="GV32">
        <v>999.9</v>
      </c>
      <c r="GW32">
        <v>43.6</v>
      </c>
      <c r="GX32">
        <v>40.1</v>
      </c>
      <c r="GY32">
        <v>32.754899999999999</v>
      </c>
      <c r="GZ32">
        <v>62.536099999999998</v>
      </c>
      <c r="HA32">
        <v>21.630600000000001</v>
      </c>
      <c r="HB32">
        <v>1</v>
      </c>
      <c r="HC32">
        <v>0.38922299999999999</v>
      </c>
      <c r="HD32">
        <v>2.16628</v>
      </c>
      <c r="HE32">
        <v>20.282399999999999</v>
      </c>
      <c r="HF32">
        <v>5.2262700000000004</v>
      </c>
      <c r="HG32">
        <v>12.058</v>
      </c>
      <c r="HH32">
        <v>4.9933500000000004</v>
      </c>
      <c r="HI32">
        <v>3.2919999999999998</v>
      </c>
      <c r="HJ32">
        <v>9999</v>
      </c>
      <c r="HK32">
        <v>9999</v>
      </c>
      <c r="HL32">
        <v>9999</v>
      </c>
      <c r="HM32">
        <v>461.7</v>
      </c>
      <c r="HN32">
        <v>1.86707</v>
      </c>
      <c r="HO32">
        <v>1.87056</v>
      </c>
      <c r="HP32">
        <v>1.87317</v>
      </c>
      <c r="HQ32">
        <v>1.87398</v>
      </c>
      <c r="HR32">
        <v>1.8708499999999999</v>
      </c>
      <c r="HS32">
        <v>1.8692</v>
      </c>
      <c r="HT32">
        <v>1.8707199999999999</v>
      </c>
      <c r="HU32">
        <v>1.8736299999999999</v>
      </c>
      <c r="HV32">
        <v>0</v>
      </c>
      <c r="HW32">
        <v>0</v>
      </c>
      <c r="HX32">
        <v>0</v>
      </c>
      <c r="HY32">
        <v>0</v>
      </c>
      <c r="HZ32" t="s">
        <v>424</v>
      </c>
      <c r="IA32" t="s">
        <v>425</v>
      </c>
      <c r="IB32" t="s">
        <v>426</v>
      </c>
      <c r="IC32" t="s">
        <v>426</v>
      </c>
      <c r="ID32" t="s">
        <v>426</v>
      </c>
      <c r="IE32" t="s">
        <v>426</v>
      </c>
      <c r="IF32">
        <v>0</v>
      </c>
      <c r="IG32">
        <v>100</v>
      </c>
      <c r="IH32">
        <v>100</v>
      </c>
      <c r="II32">
        <v>0.81699999999999995</v>
      </c>
      <c r="IJ32">
        <v>0.30420000000000003</v>
      </c>
      <c r="IK32">
        <v>5.1840639875576723E-2</v>
      </c>
      <c r="IL32">
        <v>3.042515301972944E-3</v>
      </c>
      <c r="IM32">
        <v>-2.5091471490852929E-6</v>
      </c>
      <c r="IN32">
        <v>8.1339755115576286E-10</v>
      </c>
      <c r="IO32">
        <v>0.30425238095237722</v>
      </c>
      <c r="IP32">
        <v>0</v>
      </c>
      <c r="IQ32">
        <v>0</v>
      </c>
      <c r="IR32">
        <v>0</v>
      </c>
      <c r="IS32">
        <v>3</v>
      </c>
      <c r="IT32">
        <v>2004</v>
      </c>
      <c r="IU32">
        <v>2</v>
      </c>
      <c r="IV32">
        <v>22</v>
      </c>
      <c r="IW32">
        <v>0.7</v>
      </c>
      <c r="IX32">
        <v>0.5</v>
      </c>
      <c r="IY32">
        <v>1.03271</v>
      </c>
      <c r="IZ32">
        <v>2.5634800000000002</v>
      </c>
      <c r="JA32">
        <v>1.64917</v>
      </c>
      <c r="JB32">
        <v>2.33765</v>
      </c>
      <c r="JC32">
        <v>1.5991200000000001</v>
      </c>
      <c r="JD32">
        <v>2.34253</v>
      </c>
      <c r="JE32">
        <v>45.261899999999997</v>
      </c>
      <c r="JF32">
        <v>23.877400000000002</v>
      </c>
      <c r="JG32">
        <v>18</v>
      </c>
      <c r="JH32">
        <v>520.65099999999995</v>
      </c>
      <c r="JI32">
        <v>466.13499999999999</v>
      </c>
      <c r="JJ32">
        <v>28.053599999999999</v>
      </c>
      <c r="JK32">
        <v>32.162799999999997</v>
      </c>
      <c r="JL32">
        <v>30.0001</v>
      </c>
      <c r="JM32">
        <v>32.2956</v>
      </c>
      <c r="JN32">
        <v>32.315800000000003</v>
      </c>
      <c r="JO32">
        <v>20.6831</v>
      </c>
      <c r="JP32">
        <v>37.316299999999998</v>
      </c>
      <c r="JQ32">
        <v>0</v>
      </c>
      <c r="JR32">
        <v>28.053000000000001</v>
      </c>
      <c r="JS32">
        <v>400</v>
      </c>
      <c r="JT32">
        <v>23.396899999999999</v>
      </c>
      <c r="JU32">
        <v>99.776300000000006</v>
      </c>
      <c r="JV32">
        <v>99.524600000000007</v>
      </c>
    </row>
    <row r="33" spans="1:282" x14ac:dyDescent="0.25">
      <c r="A33">
        <v>17</v>
      </c>
      <c r="B33">
        <v>1689002295.5999999</v>
      </c>
      <c r="C33">
        <v>2700.5</v>
      </c>
      <c r="D33" t="s">
        <v>505</v>
      </c>
      <c r="E33" t="s">
        <v>506</v>
      </c>
      <c r="F33" t="s">
        <v>414</v>
      </c>
      <c r="G33" t="s">
        <v>415</v>
      </c>
      <c r="H33" t="s">
        <v>500</v>
      </c>
      <c r="I33" t="s">
        <v>416</v>
      </c>
      <c r="J33" t="s">
        <v>501</v>
      </c>
      <c r="K33">
        <v>1689002295.5999999</v>
      </c>
      <c r="L33">
        <f t="shared" si="0"/>
        <v>6.4038361600589847E-3</v>
      </c>
      <c r="M33">
        <f t="shared" si="1"/>
        <v>6.4038361600589848</v>
      </c>
      <c r="N33">
        <f t="shared" si="2"/>
        <v>46.643981867847472</v>
      </c>
      <c r="O33">
        <f t="shared" si="3"/>
        <v>242.089</v>
      </c>
      <c r="P33">
        <f t="shared" si="4"/>
        <v>78.618203704789323</v>
      </c>
      <c r="Q33">
        <f t="shared" si="5"/>
        <v>7.8082676155703217</v>
      </c>
      <c r="R33">
        <f t="shared" si="6"/>
        <v>24.043995025424998</v>
      </c>
      <c r="S33">
        <f t="shared" si="7"/>
        <v>0.50478257744745669</v>
      </c>
      <c r="T33">
        <f t="shared" si="8"/>
        <v>2.9151494284520303</v>
      </c>
      <c r="U33">
        <f t="shared" si="9"/>
        <v>0.46077334655783286</v>
      </c>
      <c r="V33">
        <f t="shared" si="10"/>
        <v>0.29161698078289838</v>
      </c>
      <c r="W33">
        <f t="shared" si="11"/>
        <v>289.55529757725247</v>
      </c>
      <c r="X33">
        <f t="shared" si="12"/>
        <v>30.954520414140053</v>
      </c>
      <c r="Y33">
        <f t="shared" si="13"/>
        <v>29.990400000000001</v>
      </c>
      <c r="Z33">
        <f t="shared" si="14"/>
        <v>4.2581010560962103</v>
      </c>
      <c r="AA33">
        <f t="shared" si="15"/>
        <v>65.221346087309229</v>
      </c>
      <c r="AB33">
        <f t="shared" si="16"/>
        <v>2.9277004595849996</v>
      </c>
      <c r="AC33">
        <f t="shared" si="17"/>
        <v>4.4888684996869017</v>
      </c>
      <c r="AD33">
        <f t="shared" si="18"/>
        <v>1.3304005965112107</v>
      </c>
      <c r="AE33">
        <f t="shared" si="19"/>
        <v>-282.40917465860122</v>
      </c>
      <c r="AF33">
        <f t="shared" si="20"/>
        <v>144.88722002614369</v>
      </c>
      <c r="AG33">
        <f t="shared" si="21"/>
        <v>11.100657165505453</v>
      </c>
      <c r="AH33">
        <f t="shared" si="22"/>
        <v>163.13400011030038</v>
      </c>
      <c r="AI33">
        <v>0</v>
      </c>
      <c r="AJ33">
        <v>0</v>
      </c>
      <c r="AK33">
        <f t="shared" si="23"/>
        <v>1</v>
      </c>
      <c r="AL33">
        <f t="shared" si="24"/>
        <v>0</v>
      </c>
      <c r="AM33">
        <f t="shared" si="25"/>
        <v>51769.985903948233</v>
      </c>
      <c r="AN33" t="s">
        <v>418</v>
      </c>
      <c r="AO33">
        <v>10021</v>
      </c>
      <c r="AP33">
        <v>177.53923076923081</v>
      </c>
      <c r="AQ33">
        <v>655.56</v>
      </c>
      <c r="AR33">
        <f t="shared" si="26"/>
        <v>0.72917928066198234</v>
      </c>
      <c r="AS33">
        <v>-3.1115002560329539</v>
      </c>
      <c r="AT33" t="s">
        <v>507</v>
      </c>
      <c r="AU33">
        <v>8031.89</v>
      </c>
      <c r="AV33">
        <v>690.78449999999987</v>
      </c>
      <c r="AW33">
        <v>1042.216853521285</v>
      </c>
      <c r="AX33">
        <f t="shared" si="27"/>
        <v>0.337196958899598</v>
      </c>
      <c r="AY33">
        <v>0.5</v>
      </c>
      <c r="AZ33">
        <f t="shared" si="28"/>
        <v>1513.125899262825</v>
      </c>
      <c r="BA33">
        <f t="shared" si="29"/>
        <v>46.643981867847472</v>
      </c>
      <c r="BB33">
        <f t="shared" si="30"/>
        <v>255.11072583182204</v>
      </c>
      <c r="BC33">
        <f t="shared" si="31"/>
        <v>3.2882579135100815E-2</v>
      </c>
      <c r="BD33">
        <f t="shared" si="32"/>
        <v>-0.37099462766784785</v>
      </c>
      <c r="BE33">
        <f t="shared" si="33"/>
        <v>197.36954763151655</v>
      </c>
      <c r="BF33" t="s">
        <v>508</v>
      </c>
      <c r="BG33">
        <v>551.16</v>
      </c>
      <c r="BH33">
        <f t="shared" si="34"/>
        <v>551.16</v>
      </c>
      <c r="BI33">
        <f t="shared" si="35"/>
        <v>0.47116571936269913</v>
      </c>
      <c r="BJ33">
        <f t="shared" si="36"/>
        <v>0.71566530637180525</v>
      </c>
      <c r="BK33">
        <f t="shared" si="37"/>
        <v>-3.7036097080582864</v>
      </c>
      <c r="BL33">
        <f t="shared" si="38"/>
        <v>0.40643165068012654</v>
      </c>
      <c r="BM33">
        <f t="shared" si="39"/>
        <v>-0.80887040565934643</v>
      </c>
      <c r="BN33">
        <f t="shared" si="40"/>
        <v>0.57101178480392112</v>
      </c>
      <c r="BO33">
        <f t="shared" si="41"/>
        <v>0.42898821519607888</v>
      </c>
      <c r="BP33">
        <v>22499</v>
      </c>
      <c r="BQ33">
        <v>290.00000000000011</v>
      </c>
      <c r="BR33">
        <v>923.33</v>
      </c>
      <c r="BS33">
        <v>295</v>
      </c>
      <c r="BT33">
        <v>8031.89</v>
      </c>
      <c r="BU33">
        <v>925.76</v>
      </c>
      <c r="BV33">
        <v>-2.4300000000000002</v>
      </c>
      <c r="BW33">
        <v>300.00000000000011</v>
      </c>
      <c r="BX33">
        <v>19.399999999999999</v>
      </c>
      <c r="BY33">
        <v>1042.216853521285</v>
      </c>
      <c r="BZ33">
        <v>3.8485497925192589</v>
      </c>
      <c r="CA33">
        <v>-93.539395552742249</v>
      </c>
      <c r="CB33">
        <v>2.8395251231979461</v>
      </c>
      <c r="CC33">
        <v>0.97484660405706169</v>
      </c>
      <c r="CD33">
        <v>-4.1476469410456152E-3</v>
      </c>
      <c r="CE33">
        <v>289.99999999999989</v>
      </c>
      <c r="CF33">
        <v>921.97</v>
      </c>
      <c r="CG33">
        <v>695</v>
      </c>
      <c r="CH33">
        <v>8020.95</v>
      </c>
      <c r="CI33">
        <v>925.6</v>
      </c>
      <c r="CJ33">
        <v>-3.63</v>
      </c>
      <c r="CX33">
        <f t="shared" si="42"/>
        <v>1799.93</v>
      </c>
      <c r="CY33">
        <f t="shared" si="43"/>
        <v>1513.125899262825</v>
      </c>
      <c r="CZ33">
        <f t="shared" si="44"/>
        <v>0.84065819185347479</v>
      </c>
      <c r="DA33">
        <f t="shared" si="45"/>
        <v>0.16087031027720661</v>
      </c>
      <c r="DB33">
        <v>6</v>
      </c>
      <c r="DC33">
        <v>0.5</v>
      </c>
      <c r="DD33" t="s">
        <v>421</v>
      </c>
      <c r="DE33">
        <v>2</v>
      </c>
      <c r="DF33">
        <v>1689002295.5999999</v>
      </c>
      <c r="DG33">
        <v>242.089</v>
      </c>
      <c r="DH33">
        <v>299.91300000000001</v>
      </c>
      <c r="DI33">
        <v>29.477799999999998</v>
      </c>
      <c r="DJ33">
        <v>22.020900000000001</v>
      </c>
      <c r="DK33">
        <v>241.54599999999999</v>
      </c>
      <c r="DL33">
        <v>29.193200000000001</v>
      </c>
      <c r="DM33">
        <v>500.07900000000001</v>
      </c>
      <c r="DN33">
        <v>99.218599999999995</v>
      </c>
      <c r="DO33">
        <v>0.10022499999999999</v>
      </c>
      <c r="DP33">
        <v>30.912299999999998</v>
      </c>
      <c r="DQ33">
        <v>29.990400000000001</v>
      </c>
      <c r="DR33">
        <v>999.9</v>
      </c>
      <c r="DS33">
        <v>0</v>
      </c>
      <c r="DT33">
        <v>0</v>
      </c>
      <c r="DU33">
        <v>9996.25</v>
      </c>
      <c r="DV33">
        <v>0</v>
      </c>
      <c r="DW33">
        <v>1860.69</v>
      </c>
      <c r="DX33">
        <v>-57.823900000000002</v>
      </c>
      <c r="DY33">
        <v>249.44200000000001</v>
      </c>
      <c r="DZ33">
        <v>306.666</v>
      </c>
      <c r="EA33">
        <v>7.4568399999999997</v>
      </c>
      <c r="EB33">
        <v>299.91300000000001</v>
      </c>
      <c r="EC33">
        <v>22.020900000000001</v>
      </c>
      <c r="ED33">
        <v>2.9247399999999999</v>
      </c>
      <c r="EE33">
        <v>2.1848900000000002</v>
      </c>
      <c r="EF33">
        <v>23.605599999999999</v>
      </c>
      <c r="EG33">
        <v>18.851900000000001</v>
      </c>
      <c r="EH33">
        <v>1799.93</v>
      </c>
      <c r="EI33">
        <v>0.97799800000000003</v>
      </c>
      <c r="EJ33">
        <v>2.2001799999999998E-2</v>
      </c>
      <c r="EK33">
        <v>0</v>
      </c>
      <c r="EL33">
        <v>690.97400000000005</v>
      </c>
      <c r="EM33">
        <v>5.0011200000000002</v>
      </c>
      <c r="EN33">
        <v>13867.4</v>
      </c>
      <c r="EO33">
        <v>17210.2</v>
      </c>
      <c r="EP33">
        <v>47.811999999999998</v>
      </c>
      <c r="EQ33">
        <v>49.375</v>
      </c>
      <c r="ER33">
        <v>48.811999999999998</v>
      </c>
      <c r="ES33">
        <v>48.375</v>
      </c>
      <c r="ET33">
        <v>48.686999999999998</v>
      </c>
      <c r="EU33">
        <v>1755.44</v>
      </c>
      <c r="EV33">
        <v>39.49</v>
      </c>
      <c r="EW33">
        <v>0</v>
      </c>
      <c r="EX33">
        <v>181.20000004768369</v>
      </c>
      <c r="EY33">
        <v>0</v>
      </c>
      <c r="EZ33">
        <v>690.78449999999987</v>
      </c>
      <c r="FA33">
        <v>2.3289914679740051</v>
      </c>
      <c r="FB33">
        <v>244.4991456629038</v>
      </c>
      <c r="FC33">
        <v>13840.73076923077</v>
      </c>
      <c r="FD33">
        <v>15</v>
      </c>
      <c r="FE33">
        <v>1689002199.0999999</v>
      </c>
      <c r="FF33" t="s">
        <v>509</v>
      </c>
      <c r="FG33">
        <v>1689002199.0999999</v>
      </c>
      <c r="FH33">
        <v>1689002198.0999999</v>
      </c>
      <c r="FI33">
        <v>20</v>
      </c>
      <c r="FJ33">
        <v>-0.11</v>
      </c>
      <c r="FK33">
        <v>-0.02</v>
      </c>
      <c r="FL33">
        <v>0.65</v>
      </c>
      <c r="FM33">
        <v>0.28499999999999998</v>
      </c>
      <c r="FN33">
        <v>300</v>
      </c>
      <c r="FO33">
        <v>23</v>
      </c>
      <c r="FP33">
        <v>0.05</v>
      </c>
      <c r="FQ33">
        <v>0.02</v>
      </c>
      <c r="FR33">
        <v>46.648158726204507</v>
      </c>
      <c r="FS33">
        <v>0.58375034579214602</v>
      </c>
      <c r="FT33">
        <v>5.1972191916876347E-2</v>
      </c>
      <c r="FU33">
        <v>1</v>
      </c>
      <c r="FV33">
        <v>0.50545052152532011</v>
      </c>
      <c r="FW33">
        <v>4.2956396465683347E-2</v>
      </c>
      <c r="FX33">
        <v>3.7882788396819641E-3</v>
      </c>
      <c r="FY33">
        <v>1</v>
      </c>
      <c r="FZ33">
        <v>2</v>
      </c>
      <c r="GA33">
        <v>2</v>
      </c>
      <c r="GB33" t="s">
        <v>423</v>
      </c>
      <c r="GC33">
        <v>2.9264600000000001</v>
      </c>
      <c r="GD33">
        <v>2.8274900000000001</v>
      </c>
      <c r="GE33">
        <v>5.8549499999999997E-2</v>
      </c>
      <c r="GF33">
        <v>7.04042E-2</v>
      </c>
      <c r="GG33">
        <v>0.12959200000000001</v>
      </c>
      <c r="GH33">
        <v>0.106297</v>
      </c>
      <c r="GI33">
        <v>30801.5</v>
      </c>
      <c r="GJ33">
        <v>24672.7</v>
      </c>
      <c r="GK33">
        <v>31480.3</v>
      </c>
      <c r="GL33">
        <v>26176.7</v>
      </c>
      <c r="GM33">
        <v>37560.699999999997</v>
      </c>
      <c r="GN33">
        <v>31728.400000000001</v>
      </c>
      <c r="GO33">
        <v>46753.1</v>
      </c>
      <c r="GP33">
        <v>38057.4</v>
      </c>
      <c r="GQ33">
        <v>1.9419999999999999</v>
      </c>
      <c r="GR33">
        <v>1.7762500000000001</v>
      </c>
      <c r="GS33">
        <v>4.82053E-2</v>
      </c>
      <c r="GT33">
        <v>0</v>
      </c>
      <c r="GU33">
        <v>29.205400000000001</v>
      </c>
      <c r="GV33">
        <v>999.9</v>
      </c>
      <c r="GW33">
        <v>43.2</v>
      </c>
      <c r="GX33">
        <v>40.4</v>
      </c>
      <c r="GY33">
        <v>32.976799999999997</v>
      </c>
      <c r="GZ33">
        <v>62.536099999999998</v>
      </c>
      <c r="HA33">
        <v>22.039300000000001</v>
      </c>
      <c r="HB33">
        <v>1</v>
      </c>
      <c r="HC33">
        <v>0.38554100000000002</v>
      </c>
      <c r="HD33">
        <v>1.0686800000000001</v>
      </c>
      <c r="HE33">
        <v>20.293199999999999</v>
      </c>
      <c r="HF33">
        <v>5.2250800000000002</v>
      </c>
      <c r="HG33">
        <v>12.0579</v>
      </c>
      <c r="HH33">
        <v>4.9924499999999998</v>
      </c>
      <c r="HI33">
        <v>3.2919999999999998</v>
      </c>
      <c r="HJ33">
        <v>9999</v>
      </c>
      <c r="HK33">
        <v>9999</v>
      </c>
      <c r="HL33">
        <v>9999</v>
      </c>
      <c r="HM33">
        <v>461.8</v>
      </c>
      <c r="HN33">
        <v>1.86707</v>
      </c>
      <c r="HO33">
        <v>1.8705700000000001</v>
      </c>
      <c r="HP33">
        <v>1.87317</v>
      </c>
      <c r="HQ33">
        <v>1.8740300000000001</v>
      </c>
      <c r="HR33">
        <v>1.87087</v>
      </c>
      <c r="HS33">
        <v>1.8692</v>
      </c>
      <c r="HT33">
        <v>1.8707100000000001</v>
      </c>
      <c r="HU33">
        <v>1.87364</v>
      </c>
      <c r="HV33">
        <v>0</v>
      </c>
      <c r="HW33">
        <v>0</v>
      </c>
      <c r="HX33">
        <v>0</v>
      </c>
      <c r="HY33">
        <v>0</v>
      </c>
      <c r="HZ33" t="s">
        <v>424</v>
      </c>
      <c r="IA33" t="s">
        <v>425</v>
      </c>
      <c r="IB33" t="s">
        <v>426</v>
      </c>
      <c r="IC33" t="s">
        <v>426</v>
      </c>
      <c r="ID33" t="s">
        <v>426</v>
      </c>
      <c r="IE33" t="s">
        <v>426</v>
      </c>
      <c r="IF33">
        <v>0</v>
      </c>
      <c r="IG33">
        <v>100</v>
      </c>
      <c r="IH33">
        <v>100</v>
      </c>
      <c r="II33">
        <v>0.54300000000000004</v>
      </c>
      <c r="IJ33">
        <v>0.28460000000000002</v>
      </c>
      <c r="IK33">
        <v>-5.7701786748582187E-2</v>
      </c>
      <c r="IL33">
        <v>3.042515301972944E-3</v>
      </c>
      <c r="IM33">
        <v>-2.5091471490852929E-6</v>
      </c>
      <c r="IN33">
        <v>8.1339755115576286E-10</v>
      </c>
      <c r="IO33">
        <v>0.28455000000000302</v>
      </c>
      <c r="IP33">
        <v>0</v>
      </c>
      <c r="IQ33">
        <v>0</v>
      </c>
      <c r="IR33">
        <v>0</v>
      </c>
      <c r="IS33">
        <v>3</v>
      </c>
      <c r="IT33">
        <v>2004</v>
      </c>
      <c r="IU33">
        <v>2</v>
      </c>
      <c r="IV33">
        <v>22</v>
      </c>
      <c r="IW33">
        <v>1.6</v>
      </c>
      <c r="IX33">
        <v>1.6</v>
      </c>
      <c r="IY33">
        <v>0.81909200000000004</v>
      </c>
      <c r="IZ33">
        <v>2.5671400000000002</v>
      </c>
      <c r="JA33">
        <v>1.64917</v>
      </c>
      <c r="JB33">
        <v>2.33887</v>
      </c>
      <c r="JC33">
        <v>1.5991200000000001</v>
      </c>
      <c r="JD33">
        <v>2.2753899999999998</v>
      </c>
      <c r="JE33">
        <v>45.633099999999999</v>
      </c>
      <c r="JF33">
        <v>23.877400000000002</v>
      </c>
      <c r="JG33">
        <v>18</v>
      </c>
      <c r="JH33">
        <v>521.80399999999997</v>
      </c>
      <c r="JI33">
        <v>462.48599999999999</v>
      </c>
      <c r="JJ33">
        <v>28.798500000000001</v>
      </c>
      <c r="JK33">
        <v>32.165599999999998</v>
      </c>
      <c r="JL33">
        <v>30</v>
      </c>
      <c r="JM33">
        <v>32.264299999999999</v>
      </c>
      <c r="JN33">
        <v>32.2819</v>
      </c>
      <c r="JO33">
        <v>16.4132</v>
      </c>
      <c r="JP33">
        <v>41.824599999999997</v>
      </c>
      <c r="JQ33">
        <v>0</v>
      </c>
      <c r="JR33">
        <v>28.812200000000001</v>
      </c>
      <c r="JS33">
        <v>300</v>
      </c>
      <c r="JT33">
        <v>22.028600000000001</v>
      </c>
      <c r="JU33">
        <v>99.781899999999993</v>
      </c>
      <c r="JV33">
        <v>99.524299999999997</v>
      </c>
    </row>
    <row r="34" spans="1:282" x14ac:dyDescent="0.25">
      <c r="A34">
        <v>18</v>
      </c>
      <c r="B34">
        <v>1689002460.5999999</v>
      </c>
      <c r="C34">
        <v>2865.5</v>
      </c>
      <c r="D34" t="s">
        <v>510</v>
      </c>
      <c r="E34" t="s">
        <v>511</v>
      </c>
      <c r="F34" t="s">
        <v>414</v>
      </c>
      <c r="G34" t="s">
        <v>415</v>
      </c>
      <c r="H34" t="s">
        <v>500</v>
      </c>
      <c r="I34" t="s">
        <v>416</v>
      </c>
      <c r="J34" t="s">
        <v>501</v>
      </c>
      <c r="K34">
        <v>1689002460.5999999</v>
      </c>
      <c r="L34">
        <f t="shared" si="0"/>
        <v>7.3384214704053695E-3</v>
      </c>
      <c r="M34">
        <f t="shared" si="1"/>
        <v>7.3384214704053692</v>
      </c>
      <c r="N34">
        <f t="shared" si="2"/>
        <v>34.894631048552398</v>
      </c>
      <c r="O34">
        <f t="shared" si="3"/>
        <v>156.74199999999999</v>
      </c>
      <c r="P34">
        <f t="shared" si="4"/>
        <v>51.483804330913003</v>
      </c>
      <c r="Q34">
        <f t="shared" si="5"/>
        <v>5.1132368211463346</v>
      </c>
      <c r="R34">
        <f t="shared" si="6"/>
        <v>15.567205575344198</v>
      </c>
      <c r="S34">
        <f t="shared" si="7"/>
        <v>0.5942430726623078</v>
      </c>
      <c r="T34">
        <f t="shared" si="8"/>
        <v>2.9138152725322382</v>
      </c>
      <c r="U34">
        <f t="shared" si="9"/>
        <v>0.53421911175568393</v>
      </c>
      <c r="V34">
        <f t="shared" si="10"/>
        <v>0.33877319650485044</v>
      </c>
      <c r="W34">
        <f t="shared" si="11"/>
        <v>289.53774157716549</v>
      </c>
      <c r="X34">
        <f t="shared" si="12"/>
        <v>30.781035123367207</v>
      </c>
      <c r="Y34">
        <f t="shared" si="13"/>
        <v>29.980399999999999</v>
      </c>
      <c r="Z34">
        <f t="shared" si="14"/>
        <v>4.2556556766079616</v>
      </c>
      <c r="AA34">
        <f t="shared" si="15"/>
        <v>65.251095425459297</v>
      </c>
      <c r="AB34">
        <f t="shared" si="16"/>
        <v>2.9407877728109999</v>
      </c>
      <c r="AC34">
        <f t="shared" si="17"/>
        <v>4.5068787790244214</v>
      </c>
      <c r="AD34">
        <f t="shared" si="18"/>
        <v>1.3148679037969617</v>
      </c>
      <c r="AE34">
        <f t="shared" si="19"/>
        <v>-323.62438684487682</v>
      </c>
      <c r="AF34">
        <f t="shared" si="20"/>
        <v>157.41949715160115</v>
      </c>
      <c r="AG34">
        <f t="shared" si="21"/>
        <v>12.069946590088815</v>
      </c>
      <c r="AH34">
        <f t="shared" si="22"/>
        <v>135.40279847397863</v>
      </c>
      <c r="AI34">
        <v>0</v>
      </c>
      <c r="AJ34">
        <v>0</v>
      </c>
      <c r="AK34">
        <f t="shared" si="23"/>
        <v>1</v>
      </c>
      <c r="AL34">
        <f t="shared" si="24"/>
        <v>0</v>
      </c>
      <c r="AM34">
        <f t="shared" si="25"/>
        <v>51720.151441971117</v>
      </c>
      <c r="AN34" t="s">
        <v>418</v>
      </c>
      <c r="AO34">
        <v>10021</v>
      </c>
      <c r="AP34">
        <v>177.53923076923081</v>
      </c>
      <c r="AQ34">
        <v>655.56</v>
      </c>
      <c r="AR34">
        <f t="shared" si="26"/>
        <v>0.72917928066198234</v>
      </c>
      <c r="AS34">
        <v>-3.1115002560329539</v>
      </c>
      <c r="AT34" t="s">
        <v>512</v>
      </c>
      <c r="AU34">
        <v>8030.96</v>
      </c>
      <c r="AV34">
        <v>668.50723076923089</v>
      </c>
      <c r="AW34">
        <v>921.0654854729512</v>
      </c>
      <c r="AX34">
        <f t="shared" si="27"/>
        <v>0.27420227843412892</v>
      </c>
      <c r="AY34">
        <v>0.5</v>
      </c>
      <c r="AZ34">
        <f t="shared" si="28"/>
        <v>1513.03349926278</v>
      </c>
      <c r="BA34">
        <f t="shared" si="29"/>
        <v>34.894631048552398</v>
      </c>
      <c r="BB34">
        <f t="shared" si="30"/>
        <v>207.4386164225086</v>
      </c>
      <c r="BC34">
        <f t="shared" si="31"/>
        <v>2.5119160496514914E-2</v>
      </c>
      <c r="BD34">
        <f t="shared" si="32"/>
        <v>-0.28825907566889097</v>
      </c>
      <c r="BE34">
        <f t="shared" si="33"/>
        <v>192.57271439901942</v>
      </c>
      <c r="BF34" t="s">
        <v>513</v>
      </c>
      <c r="BG34">
        <v>537.95000000000005</v>
      </c>
      <c r="BH34">
        <f t="shared" si="34"/>
        <v>537.95000000000005</v>
      </c>
      <c r="BI34">
        <f t="shared" si="35"/>
        <v>0.41594815082689585</v>
      </c>
      <c r="BJ34">
        <f t="shared" si="36"/>
        <v>0.65922225616106433</v>
      </c>
      <c r="BK34">
        <f t="shared" si="37"/>
        <v>-2.2575077414586469</v>
      </c>
      <c r="BL34">
        <f t="shared" si="38"/>
        <v>0.33967631015848859</v>
      </c>
      <c r="BM34">
        <f t="shared" si="39"/>
        <v>-0.55542667298787585</v>
      </c>
      <c r="BN34">
        <f t="shared" si="40"/>
        <v>0.53047834994063459</v>
      </c>
      <c r="BO34">
        <f t="shared" si="41"/>
        <v>0.46952165005936541</v>
      </c>
      <c r="BP34">
        <v>22501</v>
      </c>
      <c r="BQ34">
        <v>290.00000000000011</v>
      </c>
      <c r="BR34">
        <v>845.39</v>
      </c>
      <c r="BS34">
        <v>295</v>
      </c>
      <c r="BT34">
        <v>8030.96</v>
      </c>
      <c r="BU34">
        <v>847.32</v>
      </c>
      <c r="BV34">
        <v>-1.93</v>
      </c>
      <c r="BW34">
        <v>300.00000000000011</v>
      </c>
      <c r="BX34">
        <v>19.399999999999999</v>
      </c>
      <c r="BY34">
        <v>921.0654854729512</v>
      </c>
      <c r="BZ34">
        <v>3.0049526785262959</v>
      </c>
      <c r="CA34">
        <v>-59.222475716745343</v>
      </c>
      <c r="CB34">
        <v>2.2168453238013761</v>
      </c>
      <c r="CC34">
        <v>0.96224776987159522</v>
      </c>
      <c r="CD34">
        <v>-4.1469988876529579E-3</v>
      </c>
      <c r="CE34">
        <v>289.99999999999989</v>
      </c>
      <c r="CF34">
        <v>844.43</v>
      </c>
      <c r="CG34">
        <v>625</v>
      </c>
      <c r="CH34">
        <v>8022.1</v>
      </c>
      <c r="CI34">
        <v>847.24</v>
      </c>
      <c r="CJ34">
        <v>-2.81</v>
      </c>
      <c r="CX34">
        <f t="shared" si="42"/>
        <v>1799.82</v>
      </c>
      <c r="CY34">
        <f t="shared" si="43"/>
        <v>1513.03349926278</v>
      </c>
      <c r="CZ34">
        <f t="shared" si="44"/>
        <v>0.84065823208030799</v>
      </c>
      <c r="DA34">
        <f t="shared" si="45"/>
        <v>0.16087038791499456</v>
      </c>
      <c r="DB34">
        <v>6</v>
      </c>
      <c r="DC34">
        <v>0.5</v>
      </c>
      <c r="DD34" t="s">
        <v>421</v>
      </c>
      <c r="DE34">
        <v>2</v>
      </c>
      <c r="DF34">
        <v>1689002460.5999999</v>
      </c>
      <c r="DG34">
        <v>156.74199999999999</v>
      </c>
      <c r="DH34">
        <v>199.99100000000001</v>
      </c>
      <c r="DI34">
        <v>29.61</v>
      </c>
      <c r="DJ34">
        <v>21.0656</v>
      </c>
      <c r="DK34">
        <v>156.46899999999999</v>
      </c>
      <c r="DL34">
        <v>29.340199999999999</v>
      </c>
      <c r="DM34">
        <v>500.05599999999998</v>
      </c>
      <c r="DN34">
        <v>99.217399999999998</v>
      </c>
      <c r="DO34">
        <v>9.9985099999999993E-2</v>
      </c>
      <c r="DP34">
        <v>30.982500000000002</v>
      </c>
      <c r="DQ34">
        <v>29.980399999999999</v>
      </c>
      <c r="DR34">
        <v>999.9</v>
      </c>
      <c r="DS34">
        <v>0</v>
      </c>
      <c r="DT34">
        <v>0</v>
      </c>
      <c r="DU34">
        <v>9988.75</v>
      </c>
      <c r="DV34">
        <v>0</v>
      </c>
      <c r="DW34">
        <v>1869</v>
      </c>
      <c r="DX34">
        <v>-43.249000000000002</v>
      </c>
      <c r="DY34">
        <v>161.52500000000001</v>
      </c>
      <c r="DZ34">
        <v>204.29499999999999</v>
      </c>
      <c r="EA34">
        <v>8.5444200000000006</v>
      </c>
      <c r="EB34">
        <v>199.99100000000001</v>
      </c>
      <c r="EC34">
        <v>21.0656</v>
      </c>
      <c r="ED34">
        <v>2.9378299999999999</v>
      </c>
      <c r="EE34">
        <v>2.0900699999999999</v>
      </c>
      <c r="EF34">
        <v>23.6797</v>
      </c>
      <c r="EG34">
        <v>18.143699999999999</v>
      </c>
      <c r="EH34">
        <v>1799.82</v>
      </c>
      <c r="EI34">
        <v>0.97799800000000003</v>
      </c>
      <c r="EJ34">
        <v>2.2001799999999998E-2</v>
      </c>
      <c r="EK34">
        <v>0</v>
      </c>
      <c r="EL34">
        <v>668.32600000000002</v>
      </c>
      <c r="EM34">
        <v>5.0011200000000002</v>
      </c>
      <c r="EN34">
        <v>13422.4</v>
      </c>
      <c r="EO34">
        <v>17209.2</v>
      </c>
      <c r="EP34">
        <v>47.875</v>
      </c>
      <c r="EQ34">
        <v>49.5</v>
      </c>
      <c r="ER34">
        <v>48.875</v>
      </c>
      <c r="ES34">
        <v>48.436999999999998</v>
      </c>
      <c r="ET34">
        <v>48.75</v>
      </c>
      <c r="EU34">
        <v>1755.33</v>
      </c>
      <c r="EV34">
        <v>39.49</v>
      </c>
      <c r="EW34">
        <v>0</v>
      </c>
      <c r="EX34">
        <v>163.20000004768369</v>
      </c>
      <c r="EY34">
        <v>0</v>
      </c>
      <c r="EZ34">
        <v>668.50723076923089</v>
      </c>
      <c r="FA34">
        <v>0.45121366466559149</v>
      </c>
      <c r="FB34">
        <v>17.494017076858668</v>
      </c>
      <c r="FC34">
        <v>13423.280769230771</v>
      </c>
      <c r="FD34">
        <v>15</v>
      </c>
      <c r="FE34">
        <v>1689002378.0999999</v>
      </c>
      <c r="FF34" t="s">
        <v>514</v>
      </c>
      <c r="FG34">
        <v>1689002378.0999999</v>
      </c>
      <c r="FH34">
        <v>1689002376.0999999</v>
      </c>
      <c r="FI34">
        <v>21</v>
      </c>
      <c r="FJ34">
        <v>-8.6999999999999994E-2</v>
      </c>
      <c r="FK34">
        <v>-1.4999999999999999E-2</v>
      </c>
      <c r="FL34">
        <v>0.36899999999999999</v>
      </c>
      <c r="FM34">
        <v>0.26700000000000002</v>
      </c>
      <c r="FN34">
        <v>200</v>
      </c>
      <c r="FO34">
        <v>22</v>
      </c>
      <c r="FP34">
        <v>0.04</v>
      </c>
      <c r="FQ34">
        <v>0.02</v>
      </c>
      <c r="FR34">
        <v>34.808566156424988</v>
      </c>
      <c r="FS34">
        <v>0.6261509373012043</v>
      </c>
      <c r="FT34">
        <v>4.8211576131157938E-2</v>
      </c>
      <c r="FU34">
        <v>1</v>
      </c>
      <c r="FV34">
        <v>0.59022792574609784</v>
      </c>
      <c r="FW34">
        <v>2.951740418222118E-2</v>
      </c>
      <c r="FX34">
        <v>2.219081354184449E-3</v>
      </c>
      <c r="FY34">
        <v>1</v>
      </c>
      <c r="FZ34">
        <v>2</v>
      </c>
      <c r="GA34">
        <v>2</v>
      </c>
      <c r="GB34" t="s">
        <v>423</v>
      </c>
      <c r="GC34">
        <v>2.9263699999999999</v>
      </c>
      <c r="GD34">
        <v>2.8271799999999998</v>
      </c>
      <c r="GE34">
        <v>3.9732400000000001E-2</v>
      </c>
      <c r="GF34">
        <v>4.97692E-2</v>
      </c>
      <c r="GG34">
        <v>0.13003899999999999</v>
      </c>
      <c r="GH34">
        <v>0.10302</v>
      </c>
      <c r="GI34">
        <v>31414.6</v>
      </c>
      <c r="GJ34">
        <v>25218.3</v>
      </c>
      <c r="GK34">
        <v>31478.3</v>
      </c>
      <c r="GL34">
        <v>26175.3</v>
      </c>
      <c r="GM34">
        <v>37538.9</v>
      </c>
      <c r="GN34">
        <v>31842.9</v>
      </c>
      <c r="GO34">
        <v>46750.3</v>
      </c>
      <c r="GP34">
        <v>38055.1</v>
      </c>
      <c r="GQ34">
        <v>1.9422999999999999</v>
      </c>
      <c r="GR34">
        <v>1.7721499999999999</v>
      </c>
      <c r="GS34">
        <v>4.1313500000000003E-2</v>
      </c>
      <c r="GT34">
        <v>0</v>
      </c>
      <c r="GU34">
        <v>29.307700000000001</v>
      </c>
      <c r="GV34">
        <v>999.9</v>
      </c>
      <c r="GW34">
        <v>42.8</v>
      </c>
      <c r="GX34">
        <v>40.6</v>
      </c>
      <c r="GY34">
        <v>33.021500000000003</v>
      </c>
      <c r="GZ34">
        <v>62.5062</v>
      </c>
      <c r="HA34">
        <v>21.987200000000001</v>
      </c>
      <c r="HB34">
        <v>1</v>
      </c>
      <c r="HC34">
        <v>0.38666200000000001</v>
      </c>
      <c r="HD34">
        <v>0.99935700000000005</v>
      </c>
      <c r="HE34">
        <v>20.293600000000001</v>
      </c>
      <c r="HF34">
        <v>5.2258300000000002</v>
      </c>
      <c r="HG34">
        <v>12.0579</v>
      </c>
      <c r="HH34">
        <v>4.9923999999999999</v>
      </c>
      <c r="HI34">
        <v>3.2919999999999998</v>
      </c>
      <c r="HJ34">
        <v>9999</v>
      </c>
      <c r="HK34">
        <v>9999</v>
      </c>
      <c r="HL34">
        <v>9999</v>
      </c>
      <c r="HM34">
        <v>461.8</v>
      </c>
      <c r="HN34">
        <v>1.86707</v>
      </c>
      <c r="HO34">
        <v>1.87056</v>
      </c>
      <c r="HP34">
        <v>1.87317</v>
      </c>
      <c r="HQ34">
        <v>1.87408</v>
      </c>
      <c r="HR34">
        <v>1.87087</v>
      </c>
      <c r="HS34">
        <v>1.8692</v>
      </c>
      <c r="HT34">
        <v>1.8707</v>
      </c>
      <c r="HU34">
        <v>1.8736299999999999</v>
      </c>
      <c r="HV34">
        <v>0</v>
      </c>
      <c r="HW34">
        <v>0</v>
      </c>
      <c r="HX34">
        <v>0</v>
      </c>
      <c r="HY34">
        <v>0</v>
      </c>
      <c r="HZ34" t="s">
        <v>424</v>
      </c>
      <c r="IA34" t="s">
        <v>425</v>
      </c>
      <c r="IB34" t="s">
        <v>426</v>
      </c>
      <c r="IC34" t="s">
        <v>426</v>
      </c>
      <c r="ID34" t="s">
        <v>426</v>
      </c>
      <c r="IE34" t="s">
        <v>426</v>
      </c>
      <c r="IF34">
        <v>0</v>
      </c>
      <c r="IG34">
        <v>100</v>
      </c>
      <c r="IH34">
        <v>100</v>
      </c>
      <c r="II34">
        <v>0.27300000000000002</v>
      </c>
      <c r="IJ34">
        <v>0.26979999999999998</v>
      </c>
      <c r="IK34">
        <v>-0.14501560636592981</v>
      </c>
      <c r="IL34">
        <v>3.042515301972944E-3</v>
      </c>
      <c r="IM34">
        <v>-2.5091471490852929E-6</v>
      </c>
      <c r="IN34">
        <v>8.1339755115576286E-10</v>
      </c>
      <c r="IO34">
        <v>0.26981337047023318</v>
      </c>
      <c r="IP34">
        <v>0</v>
      </c>
      <c r="IQ34">
        <v>0</v>
      </c>
      <c r="IR34">
        <v>0</v>
      </c>
      <c r="IS34">
        <v>3</v>
      </c>
      <c r="IT34">
        <v>2004</v>
      </c>
      <c r="IU34">
        <v>2</v>
      </c>
      <c r="IV34">
        <v>22</v>
      </c>
      <c r="IW34">
        <v>1.4</v>
      </c>
      <c r="IX34">
        <v>1.4</v>
      </c>
      <c r="IY34">
        <v>0.59692400000000001</v>
      </c>
      <c r="IZ34">
        <v>2.5756800000000002</v>
      </c>
      <c r="JA34">
        <v>1.64917</v>
      </c>
      <c r="JB34">
        <v>2.33765</v>
      </c>
      <c r="JC34">
        <v>1.5991200000000001</v>
      </c>
      <c r="JD34">
        <v>2.33521</v>
      </c>
      <c r="JE34">
        <v>45.9499</v>
      </c>
      <c r="JF34">
        <v>23.886099999999999</v>
      </c>
      <c r="JG34">
        <v>18</v>
      </c>
      <c r="JH34">
        <v>522.048</v>
      </c>
      <c r="JI34">
        <v>459.72800000000001</v>
      </c>
      <c r="JJ34">
        <v>28.953099999999999</v>
      </c>
      <c r="JK34">
        <v>32.185499999999998</v>
      </c>
      <c r="JL34">
        <v>30</v>
      </c>
      <c r="JM34">
        <v>32.270000000000003</v>
      </c>
      <c r="JN34">
        <v>32.2819</v>
      </c>
      <c r="JO34">
        <v>11.973000000000001</v>
      </c>
      <c r="JP34">
        <v>44.717300000000002</v>
      </c>
      <c r="JQ34">
        <v>0</v>
      </c>
      <c r="JR34">
        <v>28.9694</v>
      </c>
      <c r="JS34">
        <v>200</v>
      </c>
      <c r="JT34">
        <v>20.9407</v>
      </c>
      <c r="JU34">
        <v>99.775800000000004</v>
      </c>
      <c r="JV34">
        <v>99.5184</v>
      </c>
    </row>
    <row r="35" spans="1:282" x14ac:dyDescent="0.25">
      <c r="A35">
        <v>19</v>
      </c>
      <c r="B35">
        <v>1689002610.5999999</v>
      </c>
      <c r="C35">
        <v>3015.5</v>
      </c>
      <c r="D35" t="s">
        <v>515</v>
      </c>
      <c r="E35" t="s">
        <v>516</v>
      </c>
      <c r="F35" t="s">
        <v>414</v>
      </c>
      <c r="G35" t="s">
        <v>415</v>
      </c>
      <c r="H35" t="s">
        <v>500</v>
      </c>
      <c r="I35" t="s">
        <v>416</v>
      </c>
      <c r="J35" t="s">
        <v>501</v>
      </c>
      <c r="K35">
        <v>1689002610.5999999</v>
      </c>
      <c r="L35">
        <f t="shared" si="0"/>
        <v>7.7539939137286091E-3</v>
      </c>
      <c r="M35">
        <f t="shared" si="1"/>
        <v>7.7539939137286087</v>
      </c>
      <c r="N35">
        <f t="shared" si="2"/>
        <v>21.909770899848212</v>
      </c>
      <c r="O35">
        <f t="shared" si="3"/>
        <v>92.839799999999997</v>
      </c>
      <c r="P35">
        <f t="shared" si="4"/>
        <v>31.356681616854249</v>
      </c>
      <c r="Q35">
        <f t="shared" si="5"/>
        <v>3.1142421724933098</v>
      </c>
      <c r="R35">
        <f t="shared" si="6"/>
        <v>9.2205426574998004</v>
      </c>
      <c r="S35">
        <f t="shared" si="7"/>
        <v>0.6433269036592234</v>
      </c>
      <c r="T35">
        <f t="shared" si="8"/>
        <v>2.9183937475890094</v>
      </c>
      <c r="U35">
        <f t="shared" si="9"/>
        <v>0.57369564473419354</v>
      </c>
      <c r="V35">
        <f t="shared" si="10"/>
        <v>0.36418582645066511</v>
      </c>
      <c r="W35">
        <f t="shared" si="11"/>
        <v>289.55210557723666</v>
      </c>
      <c r="X35">
        <f t="shared" si="12"/>
        <v>30.725264569437716</v>
      </c>
      <c r="Y35">
        <f t="shared" si="13"/>
        <v>29.931000000000001</v>
      </c>
      <c r="Z35">
        <f t="shared" si="14"/>
        <v>4.2435934502679054</v>
      </c>
      <c r="AA35">
        <f t="shared" si="15"/>
        <v>65.258520862703847</v>
      </c>
      <c r="AB35">
        <f t="shared" si="16"/>
        <v>2.9498549947515</v>
      </c>
      <c r="AC35">
        <f t="shared" si="17"/>
        <v>4.5202602752177654</v>
      </c>
      <c r="AD35">
        <f t="shared" si="18"/>
        <v>1.2937384555164053</v>
      </c>
      <c r="AE35">
        <f t="shared" si="19"/>
        <v>-341.95113159543166</v>
      </c>
      <c r="AF35">
        <f t="shared" si="20"/>
        <v>173.62076564504068</v>
      </c>
      <c r="AG35">
        <f t="shared" si="21"/>
        <v>13.291452893729421</v>
      </c>
      <c r="AH35">
        <f t="shared" si="22"/>
        <v>134.51319252057507</v>
      </c>
      <c r="AI35">
        <v>0</v>
      </c>
      <c r="AJ35">
        <v>0</v>
      </c>
      <c r="AK35">
        <f t="shared" si="23"/>
        <v>1</v>
      </c>
      <c r="AL35">
        <f t="shared" si="24"/>
        <v>0</v>
      </c>
      <c r="AM35">
        <f t="shared" si="25"/>
        <v>51841.215126805197</v>
      </c>
      <c r="AN35" t="s">
        <v>418</v>
      </c>
      <c r="AO35">
        <v>10021</v>
      </c>
      <c r="AP35">
        <v>177.53923076923081</v>
      </c>
      <c r="AQ35">
        <v>655.56</v>
      </c>
      <c r="AR35">
        <f t="shared" si="26"/>
        <v>0.72917928066198234</v>
      </c>
      <c r="AS35">
        <v>-3.1115002560329539</v>
      </c>
      <c r="AT35" t="s">
        <v>517</v>
      </c>
      <c r="AU35">
        <v>8030.95</v>
      </c>
      <c r="AV35">
        <v>668.34640000000002</v>
      </c>
      <c r="AW35">
        <v>821.17274933376905</v>
      </c>
      <c r="AX35">
        <f t="shared" si="27"/>
        <v>0.1861074292318633</v>
      </c>
      <c r="AY35">
        <v>0.5</v>
      </c>
      <c r="AZ35">
        <f t="shared" si="28"/>
        <v>1513.1090992628169</v>
      </c>
      <c r="BA35">
        <f t="shared" si="29"/>
        <v>21.909770899848212</v>
      </c>
      <c r="BB35">
        <f t="shared" si="30"/>
        <v>140.80042230557157</v>
      </c>
      <c r="BC35">
        <f t="shared" si="31"/>
        <v>1.6536329844339361E-2</v>
      </c>
      <c r="BD35">
        <f t="shared" si="32"/>
        <v>-0.20167833073873123</v>
      </c>
      <c r="BE35">
        <f t="shared" si="33"/>
        <v>187.79642166505622</v>
      </c>
      <c r="BF35" t="s">
        <v>518</v>
      </c>
      <c r="BG35">
        <v>539.59</v>
      </c>
      <c r="BH35">
        <f t="shared" si="34"/>
        <v>539.59</v>
      </c>
      <c r="BI35">
        <f t="shared" si="35"/>
        <v>0.34290318274957576</v>
      </c>
      <c r="BJ35">
        <f t="shared" si="36"/>
        <v>0.54274045443252306</v>
      </c>
      <c r="BK35">
        <f t="shared" si="37"/>
        <v>-1.428065442215825</v>
      </c>
      <c r="BL35">
        <f t="shared" si="38"/>
        <v>0.23744311774596441</v>
      </c>
      <c r="BM35">
        <f t="shared" si="39"/>
        <v>-0.34645513332040589</v>
      </c>
      <c r="BN35">
        <f t="shared" si="40"/>
        <v>0.43818193949611323</v>
      </c>
      <c r="BO35">
        <f t="shared" si="41"/>
        <v>0.56181806050388672</v>
      </c>
      <c r="BP35">
        <v>22503</v>
      </c>
      <c r="BQ35">
        <v>290.00000000000011</v>
      </c>
      <c r="BR35">
        <v>775.95</v>
      </c>
      <c r="BS35">
        <v>295</v>
      </c>
      <c r="BT35">
        <v>8030.95</v>
      </c>
      <c r="BU35">
        <v>776.41</v>
      </c>
      <c r="BV35">
        <v>-0.46</v>
      </c>
      <c r="BW35">
        <v>300.00000000000011</v>
      </c>
      <c r="BX35">
        <v>19.399999999999999</v>
      </c>
      <c r="BY35">
        <v>821.17274933376905</v>
      </c>
      <c r="BZ35">
        <v>2.1993631607660471</v>
      </c>
      <c r="CA35">
        <v>-35.947077682741408</v>
      </c>
      <c r="CB35">
        <v>1.622538016127379</v>
      </c>
      <c r="CC35">
        <v>0.94603316191568065</v>
      </c>
      <c r="CD35">
        <v>-4.1468636262513977E-3</v>
      </c>
      <c r="CE35">
        <v>289.99999999999989</v>
      </c>
      <c r="CF35">
        <v>773.9</v>
      </c>
      <c r="CG35">
        <v>645</v>
      </c>
      <c r="CH35">
        <v>8021.46</v>
      </c>
      <c r="CI35">
        <v>776.36</v>
      </c>
      <c r="CJ35">
        <v>-2.46</v>
      </c>
      <c r="CX35">
        <f t="shared" si="42"/>
        <v>1799.91</v>
      </c>
      <c r="CY35">
        <f t="shared" si="43"/>
        <v>1513.1090992628169</v>
      </c>
      <c r="CZ35">
        <f t="shared" si="44"/>
        <v>0.84065819916707885</v>
      </c>
      <c r="DA35">
        <f t="shared" si="45"/>
        <v>0.16087032439246221</v>
      </c>
      <c r="DB35">
        <v>6</v>
      </c>
      <c r="DC35">
        <v>0.5</v>
      </c>
      <c r="DD35" t="s">
        <v>421</v>
      </c>
      <c r="DE35">
        <v>2</v>
      </c>
      <c r="DF35">
        <v>1689002610.5999999</v>
      </c>
      <c r="DG35">
        <v>92.839799999999997</v>
      </c>
      <c r="DH35">
        <v>119.995</v>
      </c>
      <c r="DI35">
        <v>29.701499999999999</v>
      </c>
      <c r="DJ35">
        <v>20.673200000000001</v>
      </c>
      <c r="DK35">
        <v>92.663200000000003</v>
      </c>
      <c r="DL35">
        <v>29.425799999999999</v>
      </c>
      <c r="DM35">
        <v>500.00700000000001</v>
      </c>
      <c r="DN35">
        <v>99.2166</v>
      </c>
      <c r="DO35">
        <v>0.100101</v>
      </c>
      <c r="DP35">
        <v>31.034500000000001</v>
      </c>
      <c r="DQ35">
        <v>29.931000000000001</v>
      </c>
      <c r="DR35">
        <v>999.9</v>
      </c>
      <c r="DS35">
        <v>0</v>
      </c>
      <c r="DT35">
        <v>0</v>
      </c>
      <c r="DU35">
        <v>10015</v>
      </c>
      <c r="DV35">
        <v>0</v>
      </c>
      <c r="DW35">
        <v>1878.18</v>
      </c>
      <c r="DX35">
        <v>-27.1557</v>
      </c>
      <c r="DY35">
        <v>95.681700000000006</v>
      </c>
      <c r="DZ35">
        <v>122.529</v>
      </c>
      <c r="EA35">
        <v>9.0283300000000004</v>
      </c>
      <c r="EB35">
        <v>119.995</v>
      </c>
      <c r="EC35">
        <v>20.673200000000001</v>
      </c>
      <c r="ED35">
        <v>2.9468800000000002</v>
      </c>
      <c r="EE35">
        <v>2.0511200000000001</v>
      </c>
      <c r="EF35">
        <v>23.730799999999999</v>
      </c>
      <c r="EG35">
        <v>17.8446</v>
      </c>
      <c r="EH35">
        <v>1799.91</v>
      </c>
      <c r="EI35">
        <v>0.97799800000000003</v>
      </c>
      <c r="EJ35">
        <v>2.2001799999999998E-2</v>
      </c>
      <c r="EK35">
        <v>0</v>
      </c>
      <c r="EL35">
        <v>668.35199999999998</v>
      </c>
      <c r="EM35">
        <v>5.0011200000000002</v>
      </c>
      <c r="EN35">
        <v>13411.1</v>
      </c>
      <c r="EO35">
        <v>17210.099999999999</v>
      </c>
      <c r="EP35">
        <v>47.875</v>
      </c>
      <c r="EQ35">
        <v>49.375</v>
      </c>
      <c r="ER35">
        <v>48.811999999999998</v>
      </c>
      <c r="ES35">
        <v>48.436999999999998</v>
      </c>
      <c r="ET35">
        <v>48.75</v>
      </c>
      <c r="EU35">
        <v>1755.42</v>
      </c>
      <c r="EV35">
        <v>39.49</v>
      </c>
      <c r="EW35">
        <v>0</v>
      </c>
      <c r="EX35">
        <v>148.20000004768369</v>
      </c>
      <c r="EY35">
        <v>0</v>
      </c>
      <c r="EZ35">
        <v>668.34640000000002</v>
      </c>
      <c r="FA35">
        <v>-1.737384600616878</v>
      </c>
      <c r="FB35">
        <v>-53.099999947699928</v>
      </c>
      <c r="FC35">
        <v>13418.636</v>
      </c>
      <c r="FD35">
        <v>15</v>
      </c>
      <c r="FE35">
        <v>1689002572.5999999</v>
      </c>
      <c r="FF35" t="s">
        <v>519</v>
      </c>
      <c r="FG35">
        <v>1689002551.5999999</v>
      </c>
      <c r="FH35">
        <v>1689002572.5999999</v>
      </c>
      <c r="FI35">
        <v>22</v>
      </c>
      <c r="FJ35">
        <v>6.0999999999999999E-2</v>
      </c>
      <c r="FK35">
        <v>6.0000000000000001E-3</v>
      </c>
      <c r="FL35">
        <v>0.245</v>
      </c>
      <c r="FM35">
        <v>0.246</v>
      </c>
      <c r="FN35">
        <v>120</v>
      </c>
      <c r="FO35">
        <v>21</v>
      </c>
      <c r="FP35">
        <v>7.0000000000000007E-2</v>
      </c>
      <c r="FQ35">
        <v>0.01</v>
      </c>
      <c r="FR35">
        <v>21.88218697109215</v>
      </c>
      <c r="FS35">
        <v>0.47211842786490038</v>
      </c>
      <c r="FT35">
        <v>6.0123835854935442E-2</v>
      </c>
      <c r="FU35">
        <v>1</v>
      </c>
      <c r="FV35">
        <v>0.64852659451223738</v>
      </c>
      <c r="FW35">
        <v>-4.5573730995128951E-2</v>
      </c>
      <c r="FX35">
        <v>3.7340082781414951E-3</v>
      </c>
      <c r="FY35">
        <v>1</v>
      </c>
      <c r="FZ35">
        <v>2</v>
      </c>
      <c r="GA35">
        <v>2</v>
      </c>
      <c r="GB35" t="s">
        <v>423</v>
      </c>
      <c r="GC35">
        <v>2.92625</v>
      </c>
      <c r="GD35">
        <v>2.8275299999999999</v>
      </c>
      <c r="GE35">
        <v>2.4176E-2</v>
      </c>
      <c r="GF35">
        <v>3.1108500000000001E-2</v>
      </c>
      <c r="GG35">
        <v>0.130299</v>
      </c>
      <c r="GH35">
        <v>0.101658</v>
      </c>
      <c r="GI35">
        <v>31923</v>
      </c>
      <c r="GJ35">
        <v>25713.7</v>
      </c>
      <c r="GK35">
        <v>31478.400000000001</v>
      </c>
      <c r="GL35">
        <v>26176.3</v>
      </c>
      <c r="GM35">
        <v>37527.1</v>
      </c>
      <c r="GN35">
        <v>31893.4</v>
      </c>
      <c r="GO35">
        <v>46750</v>
      </c>
      <c r="GP35">
        <v>38057.800000000003</v>
      </c>
      <c r="GQ35">
        <v>1.9423999999999999</v>
      </c>
      <c r="GR35">
        <v>1.77003</v>
      </c>
      <c r="GS35">
        <v>4.6044599999999998E-2</v>
      </c>
      <c r="GT35">
        <v>0</v>
      </c>
      <c r="GU35">
        <v>29.1812</v>
      </c>
      <c r="GV35">
        <v>999.9</v>
      </c>
      <c r="GW35">
        <v>42.3</v>
      </c>
      <c r="GX35">
        <v>40.799999999999997</v>
      </c>
      <c r="GY35">
        <v>32.982799999999997</v>
      </c>
      <c r="GZ35">
        <v>62.116199999999999</v>
      </c>
      <c r="HA35">
        <v>22.443899999999999</v>
      </c>
      <c r="HB35">
        <v>1</v>
      </c>
      <c r="HC35">
        <v>0.38609199999999999</v>
      </c>
      <c r="HD35">
        <v>0.371446</v>
      </c>
      <c r="HE35">
        <v>20.2959</v>
      </c>
      <c r="HF35">
        <v>5.2231300000000003</v>
      </c>
      <c r="HG35">
        <v>12.0579</v>
      </c>
      <c r="HH35">
        <v>4.9917999999999996</v>
      </c>
      <c r="HI35">
        <v>3.2914699999999999</v>
      </c>
      <c r="HJ35">
        <v>9999</v>
      </c>
      <c r="HK35">
        <v>9999</v>
      </c>
      <c r="HL35">
        <v>9999</v>
      </c>
      <c r="HM35">
        <v>461.8</v>
      </c>
      <c r="HN35">
        <v>1.86707</v>
      </c>
      <c r="HO35">
        <v>1.8705700000000001</v>
      </c>
      <c r="HP35">
        <v>1.87317</v>
      </c>
      <c r="HQ35">
        <v>1.87408</v>
      </c>
      <c r="HR35">
        <v>1.87086</v>
      </c>
      <c r="HS35">
        <v>1.8692</v>
      </c>
      <c r="HT35">
        <v>1.87073</v>
      </c>
      <c r="HU35">
        <v>1.87365</v>
      </c>
      <c r="HV35">
        <v>0</v>
      </c>
      <c r="HW35">
        <v>0</v>
      </c>
      <c r="HX35">
        <v>0</v>
      </c>
      <c r="HY35">
        <v>0</v>
      </c>
      <c r="HZ35" t="s">
        <v>424</v>
      </c>
      <c r="IA35" t="s">
        <v>425</v>
      </c>
      <c r="IB35" t="s">
        <v>426</v>
      </c>
      <c r="IC35" t="s">
        <v>426</v>
      </c>
      <c r="ID35" t="s">
        <v>426</v>
      </c>
      <c r="IE35" t="s">
        <v>426</v>
      </c>
      <c r="IF35">
        <v>0</v>
      </c>
      <c r="IG35">
        <v>100</v>
      </c>
      <c r="IH35">
        <v>100</v>
      </c>
      <c r="II35">
        <v>0.17699999999999999</v>
      </c>
      <c r="IJ35">
        <v>0.2757</v>
      </c>
      <c r="IK35">
        <v>-8.4459332525165159E-2</v>
      </c>
      <c r="IL35">
        <v>3.042515301972944E-3</v>
      </c>
      <c r="IM35">
        <v>-2.5091471490852929E-6</v>
      </c>
      <c r="IN35">
        <v>8.1339755115576286E-10</v>
      </c>
      <c r="IO35">
        <v>0.27574131348406739</v>
      </c>
      <c r="IP35">
        <v>0</v>
      </c>
      <c r="IQ35">
        <v>0</v>
      </c>
      <c r="IR35">
        <v>0</v>
      </c>
      <c r="IS35">
        <v>3</v>
      </c>
      <c r="IT35">
        <v>2004</v>
      </c>
      <c r="IU35">
        <v>2</v>
      </c>
      <c r="IV35">
        <v>22</v>
      </c>
      <c r="IW35">
        <v>1</v>
      </c>
      <c r="IX35">
        <v>0.6</v>
      </c>
      <c r="IY35">
        <v>0.41503899999999999</v>
      </c>
      <c r="IZ35">
        <v>2.5976599999999999</v>
      </c>
      <c r="JA35">
        <v>1.64917</v>
      </c>
      <c r="JB35">
        <v>2.33765</v>
      </c>
      <c r="JC35">
        <v>1.5991200000000001</v>
      </c>
      <c r="JD35">
        <v>2.2619600000000002</v>
      </c>
      <c r="JE35">
        <v>46.0657</v>
      </c>
      <c r="JF35">
        <v>23.877400000000002</v>
      </c>
      <c r="JG35">
        <v>18</v>
      </c>
      <c r="JH35">
        <v>522.11400000000003</v>
      </c>
      <c r="JI35">
        <v>458.26</v>
      </c>
      <c r="JJ35">
        <v>29.463200000000001</v>
      </c>
      <c r="JK35">
        <v>32.188400000000001</v>
      </c>
      <c r="JL35">
        <v>30</v>
      </c>
      <c r="JM35">
        <v>32.270000000000003</v>
      </c>
      <c r="JN35">
        <v>32.276299999999999</v>
      </c>
      <c r="JO35">
        <v>8.3156199999999991</v>
      </c>
      <c r="JP35">
        <v>45.510399999999997</v>
      </c>
      <c r="JQ35">
        <v>0</v>
      </c>
      <c r="JR35">
        <v>29.497499999999999</v>
      </c>
      <c r="JS35">
        <v>120</v>
      </c>
      <c r="JT35">
        <v>20.5563</v>
      </c>
      <c r="JU35">
        <v>99.775599999999997</v>
      </c>
      <c r="JV35">
        <v>99.524100000000004</v>
      </c>
    </row>
    <row r="36" spans="1:282" x14ac:dyDescent="0.25">
      <c r="A36">
        <v>20</v>
      </c>
      <c r="B36">
        <v>1689002750.5999999</v>
      </c>
      <c r="C36">
        <v>3155.5</v>
      </c>
      <c r="D36" t="s">
        <v>520</v>
      </c>
      <c r="E36" t="s">
        <v>521</v>
      </c>
      <c r="F36" t="s">
        <v>414</v>
      </c>
      <c r="G36" t="s">
        <v>415</v>
      </c>
      <c r="H36" t="s">
        <v>500</v>
      </c>
      <c r="I36" t="s">
        <v>416</v>
      </c>
      <c r="J36" t="s">
        <v>501</v>
      </c>
      <c r="K36">
        <v>1689002750.5999999</v>
      </c>
      <c r="L36">
        <f t="shared" si="0"/>
        <v>7.8421193772910385E-3</v>
      </c>
      <c r="M36">
        <f t="shared" si="1"/>
        <v>7.8421193772910387</v>
      </c>
      <c r="N36">
        <f t="shared" si="2"/>
        <v>13.052742560050469</v>
      </c>
      <c r="O36">
        <f t="shared" si="3"/>
        <v>53.818300000000001</v>
      </c>
      <c r="P36">
        <f t="shared" si="4"/>
        <v>17.551704795003317</v>
      </c>
      <c r="Q36">
        <f t="shared" si="5"/>
        <v>1.7433317194679752</v>
      </c>
      <c r="R36">
        <f t="shared" si="6"/>
        <v>5.3455291422490898</v>
      </c>
      <c r="S36">
        <f t="shared" si="7"/>
        <v>0.65008728947809502</v>
      </c>
      <c r="T36">
        <f t="shared" si="8"/>
        <v>2.9163647837072952</v>
      </c>
      <c r="U36">
        <f t="shared" si="9"/>
        <v>0.57902748812667937</v>
      </c>
      <c r="V36">
        <f t="shared" si="10"/>
        <v>0.36762724853183015</v>
      </c>
      <c r="W36">
        <f t="shared" si="11"/>
        <v>289.57925027947795</v>
      </c>
      <c r="X36">
        <f t="shared" si="12"/>
        <v>30.896720513404542</v>
      </c>
      <c r="Y36">
        <f t="shared" si="13"/>
        <v>30.029299999999999</v>
      </c>
      <c r="Z36">
        <f t="shared" si="14"/>
        <v>4.2676252334556306</v>
      </c>
      <c r="AA36">
        <f t="shared" si="15"/>
        <v>65.011719632354271</v>
      </c>
      <c r="AB36">
        <f t="shared" si="16"/>
        <v>2.9714214276467996</v>
      </c>
      <c r="AC36">
        <f t="shared" si="17"/>
        <v>4.5705934936814341</v>
      </c>
      <c r="AD36">
        <f t="shared" si="18"/>
        <v>1.296203805808831</v>
      </c>
      <c r="AE36">
        <f t="shared" si="19"/>
        <v>-345.83746453853479</v>
      </c>
      <c r="AF36">
        <f t="shared" si="20"/>
        <v>188.60957903978559</v>
      </c>
      <c r="AG36">
        <f t="shared" si="21"/>
        <v>14.469881677300235</v>
      </c>
      <c r="AH36">
        <f t="shared" si="22"/>
        <v>146.82124645802898</v>
      </c>
      <c r="AI36">
        <v>0</v>
      </c>
      <c r="AJ36">
        <v>0</v>
      </c>
      <c r="AK36">
        <f t="shared" si="23"/>
        <v>1</v>
      </c>
      <c r="AL36">
        <f t="shared" si="24"/>
        <v>0</v>
      </c>
      <c r="AM36">
        <f t="shared" si="25"/>
        <v>51750.722604627357</v>
      </c>
      <c r="AN36" t="s">
        <v>418</v>
      </c>
      <c r="AO36">
        <v>10021</v>
      </c>
      <c r="AP36">
        <v>177.53923076923081</v>
      </c>
      <c r="AQ36">
        <v>655.56</v>
      </c>
      <c r="AR36">
        <f t="shared" si="26"/>
        <v>0.72917928066198234</v>
      </c>
      <c r="AS36">
        <v>-3.1115002560329539</v>
      </c>
      <c r="AT36" t="s">
        <v>522</v>
      </c>
      <c r="AU36">
        <v>8031.58</v>
      </c>
      <c r="AV36">
        <v>682.74096153846153</v>
      </c>
      <c r="AW36">
        <v>786.35304002900011</v>
      </c>
      <c r="AX36">
        <f t="shared" si="27"/>
        <v>0.13176280018796316</v>
      </c>
      <c r="AY36">
        <v>0.5</v>
      </c>
      <c r="AZ36">
        <f t="shared" si="28"/>
        <v>1513.251905844289</v>
      </c>
      <c r="BA36">
        <f t="shared" si="29"/>
        <v>13.052742560050469</v>
      </c>
      <c r="BB36">
        <f t="shared" si="30"/>
        <v>99.695154251907752</v>
      </c>
      <c r="BC36">
        <f t="shared" si="31"/>
        <v>1.0681792471997518E-2</v>
      </c>
      <c r="BD36">
        <f t="shared" si="32"/>
        <v>-0.16632865058190227</v>
      </c>
      <c r="BE36">
        <f t="shared" si="33"/>
        <v>185.91376167503481</v>
      </c>
      <c r="BF36" t="s">
        <v>523</v>
      </c>
      <c r="BG36">
        <v>553.53</v>
      </c>
      <c r="BH36">
        <f t="shared" si="34"/>
        <v>553.53</v>
      </c>
      <c r="BI36">
        <f t="shared" si="35"/>
        <v>0.29607953193697045</v>
      </c>
      <c r="BJ36">
        <f t="shared" si="36"/>
        <v>0.44502502191206161</v>
      </c>
      <c r="BK36">
        <f t="shared" si="37"/>
        <v>-1.2819076744976987</v>
      </c>
      <c r="BL36">
        <f t="shared" si="38"/>
        <v>0.1701868073861795</v>
      </c>
      <c r="BM36">
        <f t="shared" si="39"/>
        <v>-0.27361371816432217</v>
      </c>
      <c r="BN36">
        <f t="shared" si="40"/>
        <v>0.36080257997689574</v>
      </c>
      <c r="BO36">
        <f t="shared" si="41"/>
        <v>0.63919742002310431</v>
      </c>
      <c r="BP36">
        <v>22505</v>
      </c>
      <c r="BQ36">
        <v>290.00000000000011</v>
      </c>
      <c r="BR36">
        <v>751.42</v>
      </c>
      <c r="BS36">
        <v>295</v>
      </c>
      <c r="BT36">
        <v>8031.58</v>
      </c>
      <c r="BU36">
        <v>752.31</v>
      </c>
      <c r="BV36">
        <v>-0.89</v>
      </c>
      <c r="BW36">
        <v>300.00000000000011</v>
      </c>
      <c r="BX36">
        <v>19.399999999999999</v>
      </c>
      <c r="BY36">
        <v>786.35304002900011</v>
      </c>
      <c r="BZ36">
        <v>1.761629439062232</v>
      </c>
      <c r="CA36">
        <v>-27.339125602337472</v>
      </c>
      <c r="CB36">
        <v>1.2997196479348061</v>
      </c>
      <c r="CC36">
        <v>0.94048324785786142</v>
      </c>
      <c r="CD36">
        <v>-4.1470311457174718E-3</v>
      </c>
      <c r="CE36">
        <v>289.99999999999989</v>
      </c>
      <c r="CF36">
        <v>750.82</v>
      </c>
      <c r="CG36">
        <v>645</v>
      </c>
      <c r="CH36">
        <v>8022.17</v>
      </c>
      <c r="CI36">
        <v>752.27</v>
      </c>
      <c r="CJ36">
        <v>-1.45</v>
      </c>
      <c r="CX36">
        <f t="shared" si="42"/>
        <v>1800.08</v>
      </c>
      <c r="CY36">
        <f t="shared" si="43"/>
        <v>1513.251905844289</v>
      </c>
      <c r="CZ36">
        <f t="shared" si="44"/>
        <v>0.84065814066279776</v>
      </c>
      <c r="DA36">
        <f t="shared" si="45"/>
        <v>0.16087021147919978</v>
      </c>
      <c r="DB36">
        <v>6</v>
      </c>
      <c r="DC36">
        <v>0.5</v>
      </c>
      <c r="DD36" t="s">
        <v>421</v>
      </c>
      <c r="DE36">
        <v>2</v>
      </c>
      <c r="DF36">
        <v>1689002750.5999999</v>
      </c>
      <c r="DG36">
        <v>53.818300000000001</v>
      </c>
      <c r="DH36">
        <v>69.984300000000005</v>
      </c>
      <c r="DI36">
        <v>29.916</v>
      </c>
      <c r="DJ36">
        <v>20.789100000000001</v>
      </c>
      <c r="DK36">
        <v>53.799100000000003</v>
      </c>
      <c r="DL36">
        <v>29.637699999999999</v>
      </c>
      <c r="DM36">
        <v>500.11599999999999</v>
      </c>
      <c r="DN36">
        <v>99.225499999999997</v>
      </c>
      <c r="DO36">
        <v>9.9992300000000006E-2</v>
      </c>
      <c r="DP36">
        <v>31.228899999999999</v>
      </c>
      <c r="DQ36">
        <v>30.029299999999999</v>
      </c>
      <c r="DR36">
        <v>999.9</v>
      </c>
      <c r="DS36">
        <v>0</v>
      </c>
      <c r="DT36">
        <v>0</v>
      </c>
      <c r="DU36">
        <v>10002.5</v>
      </c>
      <c r="DV36">
        <v>0</v>
      </c>
      <c r="DW36">
        <v>1880.68</v>
      </c>
      <c r="DX36">
        <v>-16.165900000000001</v>
      </c>
      <c r="DY36">
        <v>55.478000000000002</v>
      </c>
      <c r="DZ36">
        <v>71.47</v>
      </c>
      <c r="EA36">
        <v>9.1268799999999999</v>
      </c>
      <c r="EB36">
        <v>69.984300000000005</v>
      </c>
      <c r="EC36">
        <v>20.789100000000001</v>
      </c>
      <c r="ED36">
        <v>2.9684300000000001</v>
      </c>
      <c r="EE36">
        <v>2.0628099999999998</v>
      </c>
      <c r="EF36">
        <v>23.851900000000001</v>
      </c>
      <c r="EG36">
        <v>17.934899999999999</v>
      </c>
      <c r="EH36">
        <v>1800.08</v>
      </c>
      <c r="EI36">
        <v>0.97799800000000003</v>
      </c>
      <c r="EJ36">
        <v>2.2001799999999998E-2</v>
      </c>
      <c r="EK36">
        <v>0</v>
      </c>
      <c r="EL36">
        <v>682.39099999999996</v>
      </c>
      <c r="EM36">
        <v>5.0011200000000002</v>
      </c>
      <c r="EN36">
        <v>13672.3</v>
      </c>
      <c r="EO36">
        <v>17211.599999999999</v>
      </c>
      <c r="EP36">
        <v>47.686999999999998</v>
      </c>
      <c r="EQ36">
        <v>49.061999999999998</v>
      </c>
      <c r="ER36">
        <v>48.625</v>
      </c>
      <c r="ES36">
        <v>48.186999999999998</v>
      </c>
      <c r="ET36">
        <v>48.625</v>
      </c>
      <c r="EU36">
        <v>1755.58</v>
      </c>
      <c r="EV36">
        <v>39.49</v>
      </c>
      <c r="EW36">
        <v>0</v>
      </c>
      <c r="EX36">
        <v>138</v>
      </c>
      <c r="EY36">
        <v>0</v>
      </c>
      <c r="EZ36">
        <v>682.74096153846153</v>
      </c>
      <c r="FA36">
        <v>-1.0484444520849461</v>
      </c>
      <c r="FB36">
        <v>-35.196581229023792</v>
      </c>
      <c r="FC36">
        <v>13673.473076923079</v>
      </c>
      <c r="FD36">
        <v>15</v>
      </c>
      <c r="FE36">
        <v>1689002709.0999999</v>
      </c>
      <c r="FF36" t="s">
        <v>524</v>
      </c>
      <c r="FG36">
        <v>1689002694.5999999</v>
      </c>
      <c r="FH36">
        <v>1689002709.0999999</v>
      </c>
      <c r="FI36">
        <v>23</v>
      </c>
      <c r="FJ36">
        <v>-5.2999999999999999E-2</v>
      </c>
      <c r="FK36">
        <v>3.0000000000000001E-3</v>
      </c>
      <c r="FL36">
        <v>6.3E-2</v>
      </c>
      <c r="FM36">
        <v>0.24</v>
      </c>
      <c r="FN36">
        <v>70</v>
      </c>
      <c r="FO36">
        <v>21</v>
      </c>
      <c r="FP36">
        <v>0.17</v>
      </c>
      <c r="FQ36">
        <v>0.01</v>
      </c>
      <c r="FR36">
        <v>13.053695503990239</v>
      </c>
      <c r="FS36">
        <v>0.14118178063298159</v>
      </c>
      <c r="FT36">
        <v>4.2873216045390662E-2</v>
      </c>
      <c r="FU36">
        <v>1</v>
      </c>
      <c r="FV36">
        <v>0.65313157452135406</v>
      </c>
      <c r="FW36">
        <v>-4.1611274831163877E-2</v>
      </c>
      <c r="FX36">
        <v>3.1992163404313892E-3</v>
      </c>
      <c r="FY36">
        <v>1</v>
      </c>
      <c r="FZ36">
        <v>2</v>
      </c>
      <c r="GA36">
        <v>2</v>
      </c>
      <c r="GB36" t="s">
        <v>423</v>
      </c>
      <c r="GC36">
        <v>2.9266200000000002</v>
      </c>
      <c r="GD36">
        <v>2.8273100000000002</v>
      </c>
      <c r="GE36">
        <v>1.41855E-2</v>
      </c>
      <c r="GF36">
        <v>1.8486800000000001E-2</v>
      </c>
      <c r="GG36">
        <v>0.13097400000000001</v>
      </c>
      <c r="GH36">
        <v>0.10208299999999999</v>
      </c>
      <c r="GI36">
        <v>32254.799999999999</v>
      </c>
      <c r="GJ36">
        <v>26051.9</v>
      </c>
      <c r="GK36">
        <v>31483.5</v>
      </c>
      <c r="GL36">
        <v>26179.7</v>
      </c>
      <c r="GM36">
        <v>37503.599999999999</v>
      </c>
      <c r="GN36">
        <v>31883.1</v>
      </c>
      <c r="GO36">
        <v>46757.7</v>
      </c>
      <c r="GP36">
        <v>38063.9</v>
      </c>
      <c r="GQ36">
        <v>1.9436500000000001</v>
      </c>
      <c r="GR36">
        <v>1.7700800000000001</v>
      </c>
      <c r="GS36">
        <v>6.5378800000000001E-2</v>
      </c>
      <c r="GT36">
        <v>0</v>
      </c>
      <c r="GU36">
        <v>28.964500000000001</v>
      </c>
      <c r="GV36">
        <v>999.9</v>
      </c>
      <c r="GW36">
        <v>41.9</v>
      </c>
      <c r="GX36">
        <v>41</v>
      </c>
      <c r="GY36">
        <v>33.013500000000001</v>
      </c>
      <c r="GZ36">
        <v>62.126199999999997</v>
      </c>
      <c r="HA36">
        <v>22.043299999999999</v>
      </c>
      <c r="HB36">
        <v>1</v>
      </c>
      <c r="HC36">
        <v>0.37975599999999998</v>
      </c>
      <c r="HD36">
        <v>0.61709099999999995</v>
      </c>
      <c r="HE36">
        <v>20.295200000000001</v>
      </c>
      <c r="HF36">
        <v>5.2262700000000004</v>
      </c>
      <c r="HG36">
        <v>12.0585</v>
      </c>
      <c r="HH36">
        <v>4.99275</v>
      </c>
      <c r="HI36">
        <v>3.2919999999999998</v>
      </c>
      <c r="HJ36">
        <v>9999</v>
      </c>
      <c r="HK36">
        <v>9999</v>
      </c>
      <c r="HL36">
        <v>9999</v>
      </c>
      <c r="HM36">
        <v>461.9</v>
      </c>
      <c r="HN36">
        <v>1.8670800000000001</v>
      </c>
      <c r="HO36">
        <v>1.8705700000000001</v>
      </c>
      <c r="HP36">
        <v>1.87317</v>
      </c>
      <c r="HQ36">
        <v>1.8740600000000001</v>
      </c>
      <c r="HR36">
        <v>1.8708800000000001</v>
      </c>
      <c r="HS36">
        <v>1.8692</v>
      </c>
      <c r="HT36">
        <v>1.8707199999999999</v>
      </c>
      <c r="HU36">
        <v>1.87364</v>
      </c>
      <c r="HV36">
        <v>0</v>
      </c>
      <c r="HW36">
        <v>0</v>
      </c>
      <c r="HX36">
        <v>0</v>
      </c>
      <c r="HY36">
        <v>0</v>
      </c>
      <c r="HZ36" t="s">
        <v>424</v>
      </c>
      <c r="IA36" t="s">
        <v>425</v>
      </c>
      <c r="IB36" t="s">
        <v>426</v>
      </c>
      <c r="IC36" t="s">
        <v>426</v>
      </c>
      <c r="ID36" t="s">
        <v>426</v>
      </c>
      <c r="IE36" t="s">
        <v>426</v>
      </c>
      <c r="IF36">
        <v>0</v>
      </c>
      <c r="IG36">
        <v>100</v>
      </c>
      <c r="IH36">
        <v>100</v>
      </c>
      <c r="II36">
        <v>1.9E-2</v>
      </c>
      <c r="IJ36">
        <v>0.27829999999999999</v>
      </c>
      <c r="IK36">
        <v>-0.13732342429965569</v>
      </c>
      <c r="IL36">
        <v>3.042515301972944E-3</v>
      </c>
      <c r="IM36">
        <v>-2.5091471490852929E-6</v>
      </c>
      <c r="IN36">
        <v>8.1339755115576286E-10</v>
      </c>
      <c r="IO36">
        <v>0.27828270997179122</v>
      </c>
      <c r="IP36">
        <v>0</v>
      </c>
      <c r="IQ36">
        <v>0</v>
      </c>
      <c r="IR36">
        <v>0</v>
      </c>
      <c r="IS36">
        <v>3</v>
      </c>
      <c r="IT36">
        <v>2004</v>
      </c>
      <c r="IU36">
        <v>2</v>
      </c>
      <c r="IV36">
        <v>22</v>
      </c>
      <c r="IW36">
        <v>0.9</v>
      </c>
      <c r="IX36">
        <v>0.7</v>
      </c>
      <c r="IY36">
        <v>0.30029299999999998</v>
      </c>
      <c r="IZ36">
        <v>2.6074199999999998</v>
      </c>
      <c r="JA36">
        <v>1.64917</v>
      </c>
      <c r="JB36">
        <v>2.33765</v>
      </c>
      <c r="JC36">
        <v>1.5991200000000001</v>
      </c>
      <c r="JD36">
        <v>2.32422</v>
      </c>
      <c r="JE36">
        <v>46.152700000000003</v>
      </c>
      <c r="JF36">
        <v>23.877400000000002</v>
      </c>
      <c r="JG36">
        <v>18</v>
      </c>
      <c r="JH36">
        <v>522.49</v>
      </c>
      <c r="JI36">
        <v>457.89</v>
      </c>
      <c r="JJ36">
        <v>29.609500000000001</v>
      </c>
      <c r="JK36">
        <v>32.107500000000002</v>
      </c>
      <c r="JL36">
        <v>29.9998</v>
      </c>
      <c r="JM36">
        <v>32.213799999999999</v>
      </c>
      <c r="JN36">
        <v>32.223999999999997</v>
      </c>
      <c r="JO36">
        <v>6.0360399999999998</v>
      </c>
      <c r="JP36">
        <v>44.8262</v>
      </c>
      <c r="JQ36">
        <v>0</v>
      </c>
      <c r="JR36">
        <v>29.600200000000001</v>
      </c>
      <c r="JS36">
        <v>70</v>
      </c>
      <c r="JT36">
        <v>20.687999999999999</v>
      </c>
      <c r="JU36">
        <v>99.791899999999998</v>
      </c>
      <c r="JV36">
        <v>99.538899999999998</v>
      </c>
    </row>
    <row r="37" spans="1:282" x14ac:dyDescent="0.25">
      <c r="A37">
        <v>21</v>
      </c>
      <c r="B37">
        <v>1689002867.5999999</v>
      </c>
      <c r="C37">
        <v>3272.5</v>
      </c>
      <c r="D37" t="s">
        <v>525</v>
      </c>
      <c r="E37" t="s">
        <v>526</v>
      </c>
      <c r="F37" t="s">
        <v>414</v>
      </c>
      <c r="G37" t="s">
        <v>415</v>
      </c>
      <c r="H37" t="s">
        <v>500</v>
      </c>
      <c r="I37" t="s">
        <v>416</v>
      </c>
      <c r="J37" t="s">
        <v>501</v>
      </c>
      <c r="K37">
        <v>1689002867.5999999</v>
      </c>
      <c r="L37">
        <f t="shared" si="0"/>
        <v>7.8055670440541E-3</v>
      </c>
      <c r="M37">
        <f t="shared" si="1"/>
        <v>7.8055670440540998</v>
      </c>
      <c r="N37">
        <f t="shared" si="2"/>
        <v>5.6548774198859766</v>
      </c>
      <c r="O37">
        <f t="shared" si="3"/>
        <v>22.9314</v>
      </c>
      <c r="P37">
        <f t="shared" si="4"/>
        <v>7.5192961879852254</v>
      </c>
      <c r="Q37">
        <f t="shared" si="5"/>
        <v>0.74690075110447907</v>
      </c>
      <c r="R37">
        <f t="shared" si="6"/>
        <v>2.2778035943370001</v>
      </c>
      <c r="S37">
        <f t="shared" si="7"/>
        <v>0.66382051165587619</v>
      </c>
      <c r="T37">
        <f t="shared" si="8"/>
        <v>2.9144910153317038</v>
      </c>
      <c r="U37">
        <f t="shared" si="9"/>
        <v>0.58986698774319191</v>
      </c>
      <c r="V37">
        <f t="shared" si="10"/>
        <v>0.37462243737948953</v>
      </c>
      <c r="W37">
        <f t="shared" si="11"/>
        <v>289.57127027979124</v>
      </c>
      <c r="X37">
        <f t="shared" si="12"/>
        <v>30.765766690839758</v>
      </c>
      <c r="Y37">
        <f t="shared" si="13"/>
        <v>29.949300000000001</v>
      </c>
      <c r="Z37">
        <f t="shared" si="14"/>
        <v>4.2480583667195946</v>
      </c>
      <c r="AA37">
        <f t="shared" si="15"/>
        <v>65.754409535072327</v>
      </c>
      <c r="AB37">
        <f t="shared" si="16"/>
        <v>2.9814658505570004</v>
      </c>
      <c r="AC37">
        <f t="shared" si="17"/>
        <v>4.5342447322361474</v>
      </c>
      <c r="AD37">
        <f t="shared" si="18"/>
        <v>1.2665925161625942</v>
      </c>
      <c r="AE37">
        <f t="shared" si="19"/>
        <v>-344.22550664278583</v>
      </c>
      <c r="AF37">
        <f t="shared" si="20"/>
        <v>179.02940954139024</v>
      </c>
      <c r="AG37">
        <f t="shared" si="21"/>
        <v>13.728783122004295</v>
      </c>
      <c r="AH37">
        <f t="shared" si="22"/>
        <v>138.10395630039994</v>
      </c>
      <c r="AI37">
        <v>0</v>
      </c>
      <c r="AJ37">
        <v>0</v>
      </c>
      <c r="AK37">
        <f t="shared" si="23"/>
        <v>1</v>
      </c>
      <c r="AL37">
        <f t="shared" si="24"/>
        <v>0</v>
      </c>
      <c r="AM37">
        <f t="shared" si="25"/>
        <v>51721.539449437929</v>
      </c>
      <c r="AN37" t="s">
        <v>418</v>
      </c>
      <c r="AO37">
        <v>10021</v>
      </c>
      <c r="AP37">
        <v>177.53923076923081</v>
      </c>
      <c r="AQ37">
        <v>655.56</v>
      </c>
      <c r="AR37">
        <f t="shared" si="26"/>
        <v>0.72917928066198234</v>
      </c>
      <c r="AS37">
        <v>-3.1115002560329539</v>
      </c>
      <c r="AT37" t="s">
        <v>527</v>
      </c>
      <c r="AU37">
        <v>8034.45</v>
      </c>
      <c r="AV37">
        <v>703.21255999999994</v>
      </c>
      <c r="AW37">
        <v>774.21305425666276</v>
      </c>
      <c r="AX37">
        <f t="shared" si="27"/>
        <v>9.1706661191384597E-2</v>
      </c>
      <c r="AY37">
        <v>0.5</v>
      </c>
      <c r="AZ37">
        <f t="shared" si="28"/>
        <v>1513.2099058444512</v>
      </c>
      <c r="BA37">
        <f t="shared" si="29"/>
        <v>5.6548774198859766</v>
      </c>
      <c r="BB37">
        <f t="shared" si="30"/>
        <v>69.385714073362038</v>
      </c>
      <c r="BC37">
        <f t="shared" si="31"/>
        <v>5.7932330749756941E-3</v>
      </c>
      <c r="BD37">
        <f t="shared" si="32"/>
        <v>-0.15325633377569944</v>
      </c>
      <c r="BE37">
        <f t="shared" si="33"/>
        <v>185.2270789310233</v>
      </c>
      <c r="BF37" t="s">
        <v>528</v>
      </c>
      <c r="BG37">
        <v>582.85</v>
      </c>
      <c r="BH37">
        <f t="shared" si="34"/>
        <v>582.85</v>
      </c>
      <c r="BI37">
        <f t="shared" si="35"/>
        <v>0.24717105092007807</v>
      </c>
      <c r="BJ37">
        <f t="shared" si="36"/>
        <v>0.3710250891033256</v>
      </c>
      <c r="BK37">
        <f t="shared" si="37"/>
        <v>-1.631867064456924</v>
      </c>
      <c r="BL37">
        <f t="shared" si="38"/>
        <v>0.1189938144792074</v>
      </c>
      <c r="BM37">
        <f t="shared" si="39"/>
        <v>-0.24821736186818674</v>
      </c>
      <c r="BN37">
        <f t="shared" si="40"/>
        <v>0.3075200664559708</v>
      </c>
      <c r="BO37">
        <f t="shared" si="41"/>
        <v>0.69247993354402926</v>
      </c>
      <c r="BP37">
        <v>22507</v>
      </c>
      <c r="BQ37">
        <v>290.00000000000011</v>
      </c>
      <c r="BR37">
        <v>752.72</v>
      </c>
      <c r="BS37">
        <v>235</v>
      </c>
      <c r="BT37">
        <v>8034.45</v>
      </c>
      <c r="BU37">
        <v>751.62</v>
      </c>
      <c r="BV37">
        <v>1.1000000000000001</v>
      </c>
      <c r="BW37">
        <v>300.00000000000011</v>
      </c>
      <c r="BX37">
        <v>19.399999999999999</v>
      </c>
      <c r="BY37">
        <v>774.21305425666276</v>
      </c>
      <c r="BZ37">
        <v>2.2495206825845129</v>
      </c>
      <c r="CA37">
        <v>-18.149261139505949</v>
      </c>
      <c r="CB37">
        <v>1.659609388895869</v>
      </c>
      <c r="CC37">
        <v>0.81028923768484873</v>
      </c>
      <c r="CD37">
        <v>-4.1470471635150184E-3</v>
      </c>
      <c r="CE37">
        <v>289.99999999999989</v>
      </c>
      <c r="CF37">
        <v>750.8</v>
      </c>
      <c r="CG37">
        <v>635</v>
      </c>
      <c r="CH37">
        <v>8022.1</v>
      </c>
      <c r="CI37">
        <v>751.59</v>
      </c>
      <c r="CJ37">
        <v>-0.79</v>
      </c>
      <c r="CX37">
        <f t="shared" si="42"/>
        <v>1800.03</v>
      </c>
      <c r="CY37">
        <f t="shared" si="43"/>
        <v>1513.2099058444512</v>
      </c>
      <c r="CZ37">
        <f t="shared" si="44"/>
        <v>0.84065815894426832</v>
      </c>
      <c r="DA37">
        <f t="shared" si="45"/>
        <v>0.160870246762438</v>
      </c>
      <c r="DB37">
        <v>6</v>
      </c>
      <c r="DC37">
        <v>0.5</v>
      </c>
      <c r="DD37" t="s">
        <v>421</v>
      </c>
      <c r="DE37">
        <v>2</v>
      </c>
      <c r="DF37">
        <v>1689002867.5999999</v>
      </c>
      <c r="DG37">
        <v>22.9314</v>
      </c>
      <c r="DH37">
        <v>29.9314</v>
      </c>
      <c r="DI37">
        <v>30.0154</v>
      </c>
      <c r="DJ37">
        <v>20.930700000000002</v>
      </c>
      <c r="DK37">
        <v>22.785599999999999</v>
      </c>
      <c r="DL37">
        <v>29.7394</v>
      </c>
      <c r="DM37">
        <v>500.04599999999999</v>
      </c>
      <c r="DN37">
        <v>99.230900000000005</v>
      </c>
      <c r="DO37">
        <v>0.10030500000000001</v>
      </c>
      <c r="DP37">
        <v>31.088699999999999</v>
      </c>
      <c r="DQ37">
        <v>29.949300000000001</v>
      </c>
      <c r="DR37">
        <v>999.9</v>
      </c>
      <c r="DS37">
        <v>0</v>
      </c>
      <c r="DT37">
        <v>0</v>
      </c>
      <c r="DU37">
        <v>9991.25</v>
      </c>
      <c r="DV37">
        <v>0</v>
      </c>
      <c r="DW37">
        <v>1883.47</v>
      </c>
      <c r="DX37">
        <v>-7.0000400000000003</v>
      </c>
      <c r="DY37">
        <v>23.640999999999998</v>
      </c>
      <c r="DZ37">
        <v>30.571300000000001</v>
      </c>
      <c r="EA37">
        <v>9.0846300000000006</v>
      </c>
      <c r="EB37">
        <v>29.9314</v>
      </c>
      <c r="EC37">
        <v>20.930700000000002</v>
      </c>
      <c r="ED37">
        <v>2.97845</v>
      </c>
      <c r="EE37">
        <v>2.0769799999999998</v>
      </c>
      <c r="EF37">
        <v>23.908000000000001</v>
      </c>
      <c r="EG37">
        <v>18.043700000000001</v>
      </c>
      <c r="EH37">
        <v>1800.03</v>
      </c>
      <c r="EI37">
        <v>0.97799800000000003</v>
      </c>
      <c r="EJ37">
        <v>2.2001799999999998E-2</v>
      </c>
      <c r="EK37">
        <v>0</v>
      </c>
      <c r="EL37">
        <v>703.04700000000003</v>
      </c>
      <c r="EM37">
        <v>5.0011200000000002</v>
      </c>
      <c r="EN37">
        <v>14041.7</v>
      </c>
      <c r="EO37">
        <v>17211.2</v>
      </c>
      <c r="EP37">
        <v>47.625</v>
      </c>
      <c r="EQ37">
        <v>49.061999999999998</v>
      </c>
      <c r="ER37">
        <v>48.5</v>
      </c>
      <c r="ES37">
        <v>48.061999999999998</v>
      </c>
      <c r="ET37">
        <v>48.125</v>
      </c>
      <c r="EU37">
        <v>1755.53</v>
      </c>
      <c r="EV37">
        <v>39.49</v>
      </c>
      <c r="EW37">
        <v>0</v>
      </c>
      <c r="EX37">
        <v>114.7999999523163</v>
      </c>
      <c r="EY37">
        <v>0</v>
      </c>
      <c r="EZ37">
        <v>703.21255999999994</v>
      </c>
      <c r="FA37">
        <v>-0.13015385318769149</v>
      </c>
      <c r="FB37">
        <v>-3.1153845234154391</v>
      </c>
      <c r="FC37">
        <v>14051.46</v>
      </c>
      <c r="FD37">
        <v>15</v>
      </c>
      <c r="FE37">
        <v>1689002828.5999999</v>
      </c>
      <c r="FF37" t="s">
        <v>529</v>
      </c>
      <c r="FG37">
        <v>1689002828.5999999</v>
      </c>
      <c r="FH37">
        <v>1689002827.0999999</v>
      </c>
      <c r="FI37">
        <v>24</v>
      </c>
      <c r="FJ37">
        <v>0.215</v>
      </c>
      <c r="FK37">
        <v>-2E-3</v>
      </c>
      <c r="FL37">
        <v>0.16600000000000001</v>
      </c>
      <c r="FM37">
        <v>0.246</v>
      </c>
      <c r="FN37">
        <v>30</v>
      </c>
      <c r="FO37">
        <v>21</v>
      </c>
      <c r="FP37">
        <v>0.32</v>
      </c>
      <c r="FQ37">
        <v>0.02</v>
      </c>
      <c r="FR37">
        <v>5.6395699808112836</v>
      </c>
      <c r="FS37">
        <v>0.39895496718215467</v>
      </c>
      <c r="FT37">
        <v>3.3409778421826318E-2</v>
      </c>
      <c r="FU37">
        <v>1</v>
      </c>
      <c r="FV37">
        <v>0.66400654408672821</v>
      </c>
      <c r="FW37">
        <v>-4.819157570144595E-2</v>
      </c>
      <c r="FX37">
        <v>3.809447024203153E-3</v>
      </c>
      <c r="FY37">
        <v>1</v>
      </c>
      <c r="FZ37">
        <v>2</v>
      </c>
      <c r="GA37">
        <v>2</v>
      </c>
      <c r="GB37" t="s">
        <v>423</v>
      </c>
      <c r="GC37">
        <v>2.9264999999999999</v>
      </c>
      <c r="GD37">
        <v>2.8275199999999998</v>
      </c>
      <c r="GE37">
        <v>6.0306500000000002E-3</v>
      </c>
      <c r="GF37">
        <v>7.9742100000000007E-3</v>
      </c>
      <c r="GG37">
        <v>0.13130500000000001</v>
      </c>
      <c r="GH37">
        <v>0.102592</v>
      </c>
      <c r="GI37">
        <v>32522.400000000001</v>
      </c>
      <c r="GJ37">
        <v>26331.7</v>
      </c>
      <c r="GK37">
        <v>31484.400000000001</v>
      </c>
      <c r="GL37">
        <v>26180.7</v>
      </c>
      <c r="GM37">
        <v>37490.699999999997</v>
      </c>
      <c r="GN37">
        <v>31865.599999999999</v>
      </c>
      <c r="GO37">
        <v>46760.1</v>
      </c>
      <c r="GP37">
        <v>38064.800000000003</v>
      </c>
      <c r="GQ37">
        <v>1.9443299999999999</v>
      </c>
      <c r="GR37">
        <v>1.7696000000000001</v>
      </c>
      <c r="GS37">
        <v>4.8093499999999997E-2</v>
      </c>
      <c r="GT37">
        <v>0</v>
      </c>
      <c r="GU37">
        <v>29.1661</v>
      </c>
      <c r="GV37">
        <v>999.9</v>
      </c>
      <c r="GW37">
        <v>41.7</v>
      </c>
      <c r="GX37">
        <v>41.1</v>
      </c>
      <c r="GY37">
        <v>33.0336</v>
      </c>
      <c r="GZ37">
        <v>62.516199999999998</v>
      </c>
      <c r="HA37">
        <v>22.431899999999999</v>
      </c>
      <c r="HB37">
        <v>1</v>
      </c>
      <c r="HC37">
        <v>0.37593700000000002</v>
      </c>
      <c r="HD37">
        <v>-0.30668299999999998</v>
      </c>
      <c r="HE37">
        <v>20.294699999999999</v>
      </c>
      <c r="HF37">
        <v>5.2195400000000003</v>
      </c>
      <c r="HG37">
        <v>12.0588</v>
      </c>
      <c r="HH37">
        <v>4.9914500000000004</v>
      </c>
      <c r="HI37">
        <v>3.2913299999999999</v>
      </c>
      <c r="HJ37">
        <v>9999</v>
      </c>
      <c r="HK37">
        <v>9999</v>
      </c>
      <c r="HL37">
        <v>9999</v>
      </c>
      <c r="HM37">
        <v>461.9</v>
      </c>
      <c r="HN37">
        <v>1.86707</v>
      </c>
      <c r="HO37">
        <v>1.8705700000000001</v>
      </c>
      <c r="HP37">
        <v>1.87317</v>
      </c>
      <c r="HQ37">
        <v>1.87408</v>
      </c>
      <c r="HR37">
        <v>1.8708499999999999</v>
      </c>
      <c r="HS37">
        <v>1.8692</v>
      </c>
      <c r="HT37">
        <v>1.87073</v>
      </c>
      <c r="HU37">
        <v>1.87364</v>
      </c>
      <c r="HV37">
        <v>0</v>
      </c>
      <c r="HW37">
        <v>0</v>
      </c>
      <c r="HX37">
        <v>0</v>
      </c>
      <c r="HY37">
        <v>0</v>
      </c>
      <c r="HZ37" t="s">
        <v>424</v>
      </c>
      <c r="IA37" t="s">
        <v>425</v>
      </c>
      <c r="IB37" t="s">
        <v>426</v>
      </c>
      <c r="IC37" t="s">
        <v>426</v>
      </c>
      <c r="ID37" t="s">
        <v>426</v>
      </c>
      <c r="IE37" t="s">
        <v>426</v>
      </c>
      <c r="IF37">
        <v>0</v>
      </c>
      <c r="IG37">
        <v>100</v>
      </c>
      <c r="IH37">
        <v>100</v>
      </c>
      <c r="II37">
        <v>0.14599999999999999</v>
      </c>
      <c r="IJ37">
        <v>0.27600000000000002</v>
      </c>
      <c r="IK37">
        <v>7.772769456394174E-2</v>
      </c>
      <c r="IL37">
        <v>3.042515301972944E-3</v>
      </c>
      <c r="IM37">
        <v>-2.5091471490852929E-6</v>
      </c>
      <c r="IN37">
        <v>8.1339755115576286E-10</v>
      </c>
      <c r="IO37">
        <v>0.27598044244003728</v>
      </c>
      <c r="IP37">
        <v>0</v>
      </c>
      <c r="IQ37">
        <v>0</v>
      </c>
      <c r="IR37">
        <v>0</v>
      </c>
      <c r="IS37">
        <v>3</v>
      </c>
      <c r="IT37">
        <v>2004</v>
      </c>
      <c r="IU37">
        <v>2</v>
      </c>
      <c r="IV37">
        <v>22</v>
      </c>
      <c r="IW37">
        <v>0.7</v>
      </c>
      <c r="IX37">
        <v>0.7</v>
      </c>
      <c r="IY37">
        <v>0.20996100000000001</v>
      </c>
      <c r="IZ37">
        <v>2.63672</v>
      </c>
      <c r="JA37">
        <v>1.64917</v>
      </c>
      <c r="JB37">
        <v>2.33765</v>
      </c>
      <c r="JC37">
        <v>1.5991200000000001</v>
      </c>
      <c r="JD37">
        <v>2.2570800000000002</v>
      </c>
      <c r="JE37">
        <v>46.269100000000002</v>
      </c>
      <c r="JF37">
        <v>23.877400000000002</v>
      </c>
      <c r="JG37">
        <v>18</v>
      </c>
      <c r="JH37">
        <v>522.53899999999999</v>
      </c>
      <c r="JI37">
        <v>457.21499999999997</v>
      </c>
      <c r="JJ37">
        <v>28.985399999999998</v>
      </c>
      <c r="JK37">
        <v>32.0488</v>
      </c>
      <c r="JL37">
        <v>29.998799999999999</v>
      </c>
      <c r="JM37">
        <v>32.164200000000001</v>
      </c>
      <c r="JN37">
        <v>32.177599999999998</v>
      </c>
      <c r="JO37">
        <v>4.2232700000000003</v>
      </c>
      <c r="JP37">
        <v>44.940899999999999</v>
      </c>
      <c r="JQ37">
        <v>0</v>
      </c>
      <c r="JR37">
        <v>29.208200000000001</v>
      </c>
      <c r="JS37">
        <v>30</v>
      </c>
      <c r="JT37">
        <v>20.732099999999999</v>
      </c>
      <c r="JU37">
        <v>99.796099999999996</v>
      </c>
      <c r="JV37">
        <v>99.542000000000002</v>
      </c>
    </row>
    <row r="38" spans="1:282" x14ac:dyDescent="0.25">
      <c r="A38">
        <v>22</v>
      </c>
      <c r="B38">
        <v>1689003022.0999999</v>
      </c>
      <c r="C38">
        <v>3427</v>
      </c>
      <c r="D38" t="s">
        <v>530</v>
      </c>
      <c r="E38" t="s">
        <v>531</v>
      </c>
      <c r="F38" t="s">
        <v>414</v>
      </c>
      <c r="G38" t="s">
        <v>415</v>
      </c>
      <c r="H38" t="s">
        <v>500</v>
      </c>
      <c r="I38" t="s">
        <v>416</v>
      </c>
      <c r="J38" t="s">
        <v>501</v>
      </c>
      <c r="K38">
        <v>1689003022.0999999</v>
      </c>
      <c r="L38">
        <f t="shared" si="0"/>
        <v>8.0030381589471268E-3</v>
      </c>
      <c r="M38">
        <f t="shared" si="1"/>
        <v>8.0030381589471276</v>
      </c>
      <c r="N38">
        <f t="shared" si="2"/>
        <v>1.7624899885839693</v>
      </c>
      <c r="O38">
        <f t="shared" si="3"/>
        <v>7.8187699999999998</v>
      </c>
      <c r="P38">
        <f t="shared" si="4"/>
        <v>3.0090730166602371</v>
      </c>
      <c r="Q38">
        <f t="shared" si="5"/>
        <v>0.29889509421820465</v>
      </c>
      <c r="R38">
        <f t="shared" si="6"/>
        <v>0.77664848372948214</v>
      </c>
      <c r="S38">
        <f t="shared" si="7"/>
        <v>0.66547692696455163</v>
      </c>
      <c r="T38">
        <f t="shared" si="8"/>
        <v>2.9134123446126088</v>
      </c>
      <c r="U38">
        <f t="shared" si="9"/>
        <v>0.59115168558250419</v>
      </c>
      <c r="V38">
        <f t="shared" si="10"/>
        <v>0.37545355045438933</v>
      </c>
      <c r="W38">
        <f t="shared" si="11"/>
        <v>289.56806557731574</v>
      </c>
      <c r="X38">
        <f t="shared" si="12"/>
        <v>30.776380098487589</v>
      </c>
      <c r="Y38">
        <f t="shared" si="13"/>
        <v>30.023800000000001</v>
      </c>
      <c r="Z38">
        <f t="shared" si="14"/>
        <v>4.2662775015427838</v>
      </c>
      <c r="AA38">
        <f t="shared" si="15"/>
        <v>65.281104924129394</v>
      </c>
      <c r="AB38">
        <f t="shared" si="16"/>
        <v>2.9705120589016607</v>
      </c>
      <c r="AC38">
        <f t="shared" si="17"/>
        <v>4.5503397382045403</v>
      </c>
      <c r="AD38">
        <f t="shared" si="18"/>
        <v>1.2957654426411231</v>
      </c>
      <c r="AE38">
        <f t="shared" si="19"/>
        <v>-352.93398280956831</v>
      </c>
      <c r="AF38">
        <f t="shared" si="20"/>
        <v>177.03121467437691</v>
      </c>
      <c r="AG38">
        <f t="shared" si="21"/>
        <v>13.589754498815243</v>
      </c>
      <c r="AH38">
        <f t="shared" si="22"/>
        <v>127.25505194093958</v>
      </c>
      <c r="AI38">
        <v>0</v>
      </c>
      <c r="AJ38">
        <v>0</v>
      </c>
      <c r="AK38">
        <f t="shared" si="23"/>
        <v>1</v>
      </c>
      <c r="AL38">
        <f t="shared" si="24"/>
        <v>0</v>
      </c>
      <c r="AM38">
        <f t="shared" si="25"/>
        <v>51680.395755797523</v>
      </c>
      <c r="AN38" t="s">
        <v>418</v>
      </c>
      <c r="AO38">
        <v>10021</v>
      </c>
      <c r="AP38">
        <v>177.53923076923081</v>
      </c>
      <c r="AQ38">
        <v>655.56</v>
      </c>
      <c r="AR38">
        <f t="shared" si="26"/>
        <v>0.72917928066198234</v>
      </c>
      <c r="AS38">
        <v>-3.1115002560329539</v>
      </c>
      <c r="AT38" t="s">
        <v>532</v>
      </c>
      <c r="AU38">
        <v>8036.47</v>
      </c>
      <c r="AV38">
        <v>711.69007999999997</v>
      </c>
      <c r="AW38">
        <v>770.33297588233472</v>
      </c>
      <c r="AX38">
        <f t="shared" si="27"/>
        <v>7.6126685106743031E-2</v>
      </c>
      <c r="AY38">
        <v>0.5</v>
      </c>
      <c r="AZ38">
        <f t="shared" si="28"/>
        <v>1513.1930992628579</v>
      </c>
      <c r="BA38">
        <f t="shared" si="29"/>
        <v>1.7624899885839693</v>
      </c>
      <c r="BB38">
        <f t="shared" si="30"/>
        <v>57.597187286640064</v>
      </c>
      <c r="BC38">
        <f t="shared" si="31"/>
        <v>3.2209968754095268E-3</v>
      </c>
      <c r="BD38">
        <f t="shared" si="32"/>
        <v>-0.14899138356484676</v>
      </c>
      <c r="BE38">
        <f t="shared" si="33"/>
        <v>185.00413921575131</v>
      </c>
      <c r="BF38" t="s">
        <v>533</v>
      </c>
      <c r="BG38">
        <v>595.16999999999996</v>
      </c>
      <c r="BH38">
        <f t="shared" si="34"/>
        <v>595.16999999999996</v>
      </c>
      <c r="BI38">
        <f t="shared" si="35"/>
        <v>0.22738605429905701</v>
      </c>
      <c r="BJ38">
        <f t="shared" si="36"/>
        <v>0.33479047491022279</v>
      </c>
      <c r="BK38">
        <f t="shared" si="37"/>
        <v>-1.9005294896892664</v>
      </c>
      <c r="BL38">
        <f t="shared" si="38"/>
        <v>9.8926306773270356E-2</v>
      </c>
      <c r="BM38">
        <f t="shared" si="39"/>
        <v>-0.24010039577783915</v>
      </c>
      <c r="BN38">
        <f t="shared" si="40"/>
        <v>0.27997755280264308</v>
      </c>
      <c r="BO38">
        <f t="shared" si="41"/>
        <v>0.72002244719735686</v>
      </c>
      <c r="BP38">
        <v>22509</v>
      </c>
      <c r="BQ38">
        <v>290.00000000000011</v>
      </c>
      <c r="BR38">
        <v>749.72</v>
      </c>
      <c r="BS38">
        <v>205</v>
      </c>
      <c r="BT38">
        <v>8036.47</v>
      </c>
      <c r="BU38">
        <v>749.16</v>
      </c>
      <c r="BV38">
        <v>0.56000000000000005</v>
      </c>
      <c r="BW38">
        <v>300.00000000000011</v>
      </c>
      <c r="BX38">
        <v>19.399999999999999</v>
      </c>
      <c r="BY38">
        <v>770.33297588233472</v>
      </c>
      <c r="BZ38">
        <v>2.376933621451248</v>
      </c>
      <c r="CA38">
        <v>-17.011736240281671</v>
      </c>
      <c r="CB38">
        <v>1.7535717408531599</v>
      </c>
      <c r="CC38">
        <v>0.77070442282872975</v>
      </c>
      <c r="CD38">
        <v>-4.1468878754171391E-3</v>
      </c>
      <c r="CE38">
        <v>289.99999999999989</v>
      </c>
      <c r="CF38">
        <v>747.82</v>
      </c>
      <c r="CG38">
        <v>655</v>
      </c>
      <c r="CH38">
        <v>8021.32</v>
      </c>
      <c r="CI38">
        <v>749.12</v>
      </c>
      <c r="CJ38">
        <v>-1.3</v>
      </c>
      <c r="CX38">
        <f t="shared" si="42"/>
        <v>1800.01</v>
      </c>
      <c r="CY38">
        <f t="shared" si="43"/>
        <v>1513.1930992628579</v>
      </c>
      <c r="CZ38">
        <f t="shared" si="44"/>
        <v>0.84065816260068438</v>
      </c>
      <c r="DA38">
        <f t="shared" si="45"/>
        <v>0.16087025381932085</v>
      </c>
      <c r="DB38">
        <v>6</v>
      </c>
      <c r="DC38">
        <v>0.5</v>
      </c>
      <c r="DD38" t="s">
        <v>421</v>
      </c>
      <c r="DE38">
        <v>2</v>
      </c>
      <c r="DF38">
        <v>1689003022.0999999</v>
      </c>
      <c r="DG38">
        <v>7.8187699999999998</v>
      </c>
      <c r="DH38">
        <v>10.009</v>
      </c>
      <c r="DI38">
        <v>29.905100000000001</v>
      </c>
      <c r="DJ38">
        <v>20.588000000000001</v>
      </c>
      <c r="DK38">
        <v>7.49336</v>
      </c>
      <c r="DL38">
        <v>29.629100000000001</v>
      </c>
      <c r="DM38">
        <v>499.96499999999997</v>
      </c>
      <c r="DN38">
        <v>99.231800000000007</v>
      </c>
      <c r="DO38">
        <v>9.9486599999999994E-2</v>
      </c>
      <c r="DP38">
        <v>31.1509</v>
      </c>
      <c r="DQ38">
        <v>30.023800000000001</v>
      </c>
      <c r="DR38">
        <v>999.9</v>
      </c>
      <c r="DS38">
        <v>0</v>
      </c>
      <c r="DT38">
        <v>0</v>
      </c>
      <c r="DU38">
        <v>9985</v>
      </c>
      <c r="DV38">
        <v>0</v>
      </c>
      <c r="DW38">
        <v>1927.45</v>
      </c>
      <c r="DX38">
        <v>-2.1902300000000001</v>
      </c>
      <c r="DY38">
        <v>8.0597999999999992</v>
      </c>
      <c r="DZ38">
        <v>10.2194</v>
      </c>
      <c r="EA38">
        <v>9.3170999999999999</v>
      </c>
      <c r="EB38">
        <v>10.009</v>
      </c>
      <c r="EC38">
        <v>20.588000000000001</v>
      </c>
      <c r="ED38">
        <v>2.9675400000000001</v>
      </c>
      <c r="EE38">
        <v>2.04298</v>
      </c>
      <c r="EF38">
        <v>23.846900000000002</v>
      </c>
      <c r="EG38">
        <v>17.781500000000001</v>
      </c>
      <c r="EH38">
        <v>1800.01</v>
      </c>
      <c r="EI38">
        <v>0.97799800000000003</v>
      </c>
      <c r="EJ38">
        <v>2.2001799999999998E-2</v>
      </c>
      <c r="EK38">
        <v>0</v>
      </c>
      <c r="EL38">
        <v>711.67499999999995</v>
      </c>
      <c r="EM38">
        <v>5.0011200000000002</v>
      </c>
      <c r="EN38">
        <v>14222.7</v>
      </c>
      <c r="EO38">
        <v>17211</v>
      </c>
      <c r="EP38">
        <v>47.811999999999998</v>
      </c>
      <c r="EQ38">
        <v>49.25</v>
      </c>
      <c r="ER38">
        <v>48.75</v>
      </c>
      <c r="ES38">
        <v>48.25</v>
      </c>
      <c r="ET38">
        <v>48.686999999999998</v>
      </c>
      <c r="EU38">
        <v>1755.52</v>
      </c>
      <c r="EV38">
        <v>39.49</v>
      </c>
      <c r="EW38">
        <v>0</v>
      </c>
      <c r="EX38">
        <v>152.39999985694891</v>
      </c>
      <c r="EY38">
        <v>0</v>
      </c>
      <c r="EZ38">
        <v>711.69007999999997</v>
      </c>
      <c r="FA38">
        <v>-0.43607692895344102</v>
      </c>
      <c r="FB38">
        <v>4.9846155312824614</v>
      </c>
      <c r="FC38">
        <v>14220.611999999999</v>
      </c>
      <c r="FD38">
        <v>15</v>
      </c>
      <c r="FE38">
        <v>1689002987.5999999</v>
      </c>
      <c r="FF38" t="s">
        <v>534</v>
      </c>
      <c r="FG38">
        <v>1689002967.5999999</v>
      </c>
      <c r="FH38">
        <v>1689002827.0999999</v>
      </c>
      <c r="FI38">
        <v>25</v>
      </c>
      <c r="FJ38">
        <v>0.22500000000000001</v>
      </c>
      <c r="FK38">
        <v>-2E-3</v>
      </c>
      <c r="FL38">
        <v>0.33200000000000002</v>
      </c>
      <c r="FM38">
        <v>0.246</v>
      </c>
      <c r="FN38">
        <v>10</v>
      </c>
      <c r="FO38">
        <v>21</v>
      </c>
      <c r="FP38">
        <v>0.46</v>
      </c>
      <c r="FQ38">
        <v>0.02</v>
      </c>
      <c r="FR38">
        <v>1.7974269902430771</v>
      </c>
      <c r="FS38">
        <v>6.2500695509609933E-2</v>
      </c>
      <c r="FT38">
        <v>2.4799030343074121E-2</v>
      </c>
      <c r="FU38">
        <v>1</v>
      </c>
      <c r="FV38">
        <v>0.66620701305891361</v>
      </c>
      <c r="FW38">
        <v>-4.9826477751942218E-2</v>
      </c>
      <c r="FX38">
        <v>4.6523469068710669E-3</v>
      </c>
      <c r="FY38">
        <v>1</v>
      </c>
      <c r="FZ38">
        <v>2</v>
      </c>
      <c r="GA38">
        <v>2</v>
      </c>
      <c r="GB38" t="s">
        <v>423</v>
      </c>
      <c r="GC38">
        <v>2.92631</v>
      </c>
      <c r="GD38">
        <v>2.8266499999999999</v>
      </c>
      <c r="GE38">
        <v>1.9834100000000001E-3</v>
      </c>
      <c r="GF38">
        <v>2.67059E-3</v>
      </c>
      <c r="GG38">
        <v>0.13097700000000001</v>
      </c>
      <c r="GH38">
        <v>0.101406</v>
      </c>
      <c r="GI38">
        <v>32655.599999999999</v>
      </c>
      <c r="GJ38">
        <v>26472.5</v>
      </c>
      <c r="GK38">
        <v>31485.3</v>
      </c>
      <c r="GL38">
        <v>26181.1</v>
      </c>
      <c r="GM38">
        <v>37505</v>
      </c>
      <c r="GN38">
        <v>31908</v>
      </c>
      <c r="GO38">
        <v>46760.5</v>
      </c>
      <c r="GP38">
        <v>38065.1</v>
      </c>
      <c r="GQ38">
        <v>1.94425</v>
      </c>
      <c r="GR38">
        <v>1.76817</v>
      </c>
      <c r="GS38">
        <v>4.9341500000000003E-2</v>
      </c>
      <c r="GT38">
        <v>0</v>
      </c>
      <c r="GU38">
        <v>29.220400000000001</v>
      </c>
      <c r="GV38">
        <v>999.9</v>
      </c>
      <c r="GW38">
        <v>41.5</v>
      </c>
      <c r="GX38">
        <v>41.3</v>
      </c>
      <c r="GY38">
        <v>33.224200000000003</v>
      </c>
      <c r="GZ38">
        <v>62.586199999999998</v>
      </c>
      <c r="HA38">
        <v>22.095400000000001</v>
      </c>
      <c r="HB38">
        <v>1</v>
      </c>
      <c r="HC38">
        <v>0.37585400000000002</v>
      </c>
      <c r="HD38">
        <v>1.10097</v>
      </c>
      <c r="HE38">
        <v>20.291899999999998</v>
      </c>
      <c r="HF38">
        <v>5.2231300000000003</v>
      </c>
      <c r="HG38">
        <v>12.0589</v>
      </c>
      <c r="HH38">
        <v>4.9917999999999996</v>
      </c>
      <c r="HI38">
        <v>3.2913999999999999</v>
      </c>
      <c r="HJ38">
        <v>9999</v>
      </c>
      <c r="HK38">
        <v>9999</v>
      </c>
      <c r="HL38">
        <v>9999</v>
      </c>
      <c r="HM38">
        <v>462</v>
      </c>
      <c r="HN38">
        <v>1.8670800000000001</v>
      </c>
      <c r="HO38">
        <v>1.8705700000000001</v>
      </c>
      <c r="HP38">
        <v>1.87317</v>
      </c>
      <c r="HQ38">
        <v>1.87408</v>
      </c>
      <c r="HR38">
        <v>1.8708800000000001</v>
      </c>
      <c r="HS38">
        <v>1.8692</v>
      </c>
      <c r="HT38">
        <v>1.8707199999999999</v>
      </c>
      <c r="HU38">
        <v>1.87365</v>
      </c>
      <c r="HV38">
        <v>0</v>
      </c>
      <c r="HW38">
        <v>0</v>
      </c>
      <c r="HX38">
        <v>0</v>
      </c>
      <c r="HY38">
        <v>0</v>
      </c>
      <c r="HZ38" t="s">
        <v>424</v>
      </c>
      <c r="IA38" t="s">
        <v>425</v>
      </c>
      <c r="IB38" t="s">
        <v>426</v>
      </c>
      <c r="IC38" t="s">
        <v>426</v>
      </c>
      <c r="ID38" t="s">
        <v>426</v>
      </c>
      <c r="IE38" t="s">
        <v>426</v>
      </c>
      <c r="IF38">
        <v>0</v>
      </c>
      <c r="IG38">
        <v>100</v>
      </c>
      <c r="IH38">
        <v>100</v>
      </c>
      <c r="II38">
        <v>0.32500000000000001</v>
      </c>
      <c r="IJ38">
        <v>0.27600000000000002</v>
      </c>
      <c r="IK38">
        <v>0.30275453064576208</v>
      </c>
      <c r="IL38">
        <v>3.042515301972944E-3</v>
      </c>
      <c r="IM38">
        <v>-2.5091471490852929E-6</v>
      </c>
      <c r="IN38">
        <v>8.1339755115576286E-10</v>
      </c>
      <c r="IO38">
        <v>0.27598044244003728</v>
      </c>
      <c r="IP38">
        <v>0</v>
      </c>
      <c r="IQ38">
        <v>0</v>
      </c>
      <c r="IR38">
        <v>0</v>
      </c>
      <c r="IS38">
        <v>3</v>
      </c>
      <c r="IT38">
        <v>2004</v>
      </c>
      <c r="IU38">
        <v>2</v>
      </c>
      <c r="IV38">
        <v>22</v>
      </c>
      <c r="IW38">
        <v>0.9</v>
      </c>
      <c r="IX38">
        <v>3.2</v>
      </c>
      <c r="IY38">
        <v>0.164795</v>
      </c>
      <c r="IZ38">
        <v>2.6428199999999999</v>
      </c>
      <c r="JA38">
        <v>1.64917</v>
      </c>
      <c r="JB38">
        <v>2.33765</v>
      </c>
      <c r="JC38">
        <v>1.5991200000000001</v>
      </c>
      <c r="JD38">
        <v>2.3315399999999999</v>
      </c>
      <c r="JE38">
        <v>46.444200000000002</v>
      </c>
      <c r="JF38">
        <v>23.877400000000002</v>
      </c>
      <c r="JG38">
        <v>18</v>
      </c>
      <c r="JH38">
        <v>522.29200000000003</v>
      </c>
      <c r="JI38">
        <v>456.04899999999998</v>
      </c>
      <c r="JJ38">
        <v>29.184999999999999</v>
      </c>
      <c r="JK38">
        <v>32.026899999999998</v>
      </c>
      <c r="JL38">
        <v>30.0002</v>
      </c>
      <c r="JM38">
        <v>32.139600000000002</v>
      </c>
      <c r="JN38">
        <v>32.149700000000003</v>
      </c>
      <c r="JO38">
        <v>3.3290999999999999</v>
      </c>
      <c r="JP38">
        <v>45.740699999999997</v>
      </c>
      <c r="JQ38">
        <v>0</v>
      </c>
      <c r="JR38">
        <v>29.1645</v>
      </c>
      <c r="JS38">
        <v>10</v>
      </c>
      <c r="JT38">
        <v>20.659199999999998</v>
      </c>
      <c r="JU38">
        <v>99.797700000000006</v>
      </c>
      <c r="JV38">
        <v>99.542900000000003</v>
      </c>
    </row>
    <row r="39" spans="1:282" x14ac:dyDescent="0.25">
      <c r="A39">
        <v>23</v>
      </c>
      <c r="B39">
        <v>1689003211.5999999</v>
      </c>
      <c r="C39">
        <v>3616.5</v>
      </c>
      <c r="D39" t="s">
        <v>535</v>
      </c>
      <c r="E39" t="s">
        <v>536</v>
      </c>
      <c r="F39" t="s">
        <v>414</v>
      </c>
      <c r="G39" t="s">
        <v>415</v>
      </c>
      <c r="H39" t="s">
        <v>500</v>
      </c>
      <c r="I39" t="s">
        <v>416</v>
      </c>
      <c r="J39" t="s">
        <v>501</v>
      </c>
      <c r="K39">
        <v>1689003211.5999999</v>
      </c>
      <c r="L39">
        <f t="shared" si="0"/>
        <v>7.3591899012723999E-3</v>
      </c>
      <c r="M39">
        <f t="shared" si="1"/>
        <v>7.3591899012723996</v>
      </c>
      <c r="N39">
        <f t="shared" si="2"/>
        <v>52.499818981023232</v>
      </c>
      <c r="O39">
        <f t="shared" si="3"/>
        <v>334.084</v>
      </c>
      <c r="P39">
        <f t="shared" si="4"/>
        <v>174.39985756424977</v>
      </c>
      <c r="Q39">
        <f t="shared" si="5"/>
        <v>17.322943396015745</v>
      </c>
      <c r="R39">
        <f t="shared" si="6"/>
        <v>33.184191216339997</v>
      </c>
      <c r="S39">
        <f t="shared" si="7"/>
        <v>0.59751835994223468</v>
      </c>
      <c r="T39">
        <f t="shared" si="8"/>
        <v>2.9151051994751791</v>
      </c>
      <c r="U39">
        <f t="shared" si="9"/>
        <v>0.53689091155307844</v>
      </c>
      <c r="V39">
        <f t="shared" si="10"/>
        <v>0.34048987448877749</v>
      </c>
      <c r="W39">
        <f t="shared" si="11"/>
        <v>289.54572157720503</v>
      </c>
      <c r="X39">
        <f t="shared" si="12"/>
        <v>30.878669042762311</v>
      </c>
      <c r="Y39">
        <f t="shared" si="13"/>
        <v>30.000399999999999</v>
      </c>
      <c r="Z39">
        <f t="shared" si="14"/>
        <v>4.2605476600992169</v>
      </c>
      <c r="AA39">
        <f t="shared" si="15"/>
        <v>65.038467685409486</v>
      </c>
      <c r="AB39">
        <f t="shared" si="16"/>
        <v>2.9484488236745001</v>
      </c>
      <c r="AC39">
        <f t="shared" si="17"/>
        <v>4.5333922040354979</v>
      </c>
      <c r="AD39">
        <f t="shared" si="18"/>
        <v>1.3120988364247168</v>
      </c>
      <c r="AE39">
        <f t="shared" si="19"/>
        <v>-324.54027464611283</v>
      </c>
      <c r="AF39">
        <f t="shared" si="20"/>
        <v>170.51767939280501</v>
      </c>
      <c r="AG39">
        <f t="shared" si="21"/>
        <v>13.076394477934171</v>
      </c>
      <c r="AH39">
        <f t="shared" si="22"/>
        <v>148.59952080183137</v>
      </c>
      <c r="AI39">
        <v>0</v>
      </c>
      <c r="AJ39">
        <v>0</v>
      </c>
      <c r="AK39">
        <f t="shared" si="23"/>
        <v>1</v>
      </c>
      <c r="AL39">
        <f t="shared" si="24"/>
        <v>0</v>
      </c>
      <c r="AM39">
        <f t="shared" si="25"/>
        <v>51739.471734593921</v>
      </c>
      <c r="AN39" t="s">
        <v>418</v>
      </c>
      <c r="AO39">
        <v>10021</v>
      </c>
      <c r="AP39">
        <v>177.53923076923081</v>
      </c>
      <c r="AQ39">
        <v>655.56</v>
      </c>
      <c r="AR39">
        <f t="shared" si="26"/>
        <v>0.72917928066198234</v>
      </c>
      <c r="AS39">
        <v>-3.1115002560329539</v>
      </c>
      <c r="AT39" t="s">
        <v>537</v>
      </c>
      <c r="AU39">
        <v>8031.95</v>
      </c>
      <c r="AV39">
        <v>700.37048000000004</v>
      </c>
      <c r="AW39">
        <v>1119.778961242831</v>
      </c>
      <c r="AX39">
        <f t="shared" si="27"/>
        <v>0.37454577712134707</v>
      </c>
      <c r="AY39">
        <v>0.5</v>
      </c>
      <c r="AZ39">
        <f t="shared" si="28"/>
        <v>1513.0754992628003</v>
      </c>
      <c r="BA39">
        <f t="shared" si="29"/>
        <v>52.499818981023232</v>
      </c>
      <c r="BB39">
        <f t="shared" si="30"/>
        <v>283.35801935732786</v>
      </c>
      <c r="BC39">
        <f t="shared" si="31"/>
        <v>3.6753829709192366E-2</v>
      </c>
      <c r="BD39">
        <f t="shared" si="32"/>
        <v>-0.41456303191086857</v>
      </c>
      <c r="BE39">
        <f t="shared" si="33"/>
        <v>199.99288348458234</v>
      </c>
      <c r="BF39" t="s">
        <v>538</v>
      </c>
      <c r="BG39">
        <v>554.89</v>
      </c>
      <c r="BH39">
        <f t="shared" si="34"/>
        <v>554.89</v>
      </c>
      <c r="BI39">
        <f t="shared" si="35"/>
        <v>0.50446470311950375</v>
      </c>
      <c r="BJ39">
        <f t="shared" si="36"/>
        <v>0.74246181111430531</v>
      </c>
      <c r="BK39">
        <f t="shared" si="37"/>
        <v>-4.6112939430101445</v>
      </c>
      <c r="BL39">
        <f t="shared" si="38"/>
        <v>0.44511865471011575</v>
      </c>
      <c r="BM39">
        <f t="shared" si="39"/>
        <v>-0.97112717924338732</v>
      </c>
      <c r="BN39">
        <f t="shared" si="40"/>
        <v>0.58823814842855282</v>
      </c>
      <c r="BO39">
        <f t="shared" si="41"/>
        <v>0.41176185157144718</v>
      </c>
      <c r="BP39">
        <v>22511</v>
      </c>
      <c r="BQ39">
        <v>290.00000000000011</v>
      </c>
      <c r="BR39">
        <v>955.25</v>
      </c>
      <c r="BS39">
        <v>285</v>
      </c>
      <c r="BT39">
        <v>8031.95</v>
      </c>
      <c r="BU39">
        <v>957.68</v>
      </c>
      <c r="BV39">
        <v>-2.4300000000000002</v>
      </c>
      <c r="BW39">
        <v>300.00000000000011</v>
      </c>
      <c r="BX39">
        <v>19.399999999999999</v>
      </c>
      <c r="BY39">
        <v>1119.778961242831</v>
      </c>
      <c r="BZ39">
        <v>4.0707847806923132</v>
      </c>
      <c r="CA39">
        <v>-130.19875915317311</v>
      </c>
      <c r="CB39">
        <v>3.003499965029349</v>
      </c>
      <c r="CC39">
        <v>0.98531830644384666</v>
      </c>
      <c r="CD39">
        <v>-4.1478947719688613E-3</v>
      </c>
      <c r="CE39">
        <v>289.99999999999989</v>
      </c>
      <c r="CF39">
        <v>943.84</v>
      </c>
      <c r="CG39">
        <v>635</v>
      </c>
      <c r="CH39">
        <v>8022.72</v>
      </c>
      <c r="CI39">
        <v>957.49</v>
      </c>
      <c r="CJ39">
        <v>-13.65</v>
      </c>
      <c r="CX39">
        <f t="shared" si="42"/>
        <v>1799.87</v>
      </c>
      <c r="CY39">
        <f t="shared" si="43"/>
        <v>1513.0754992628003</v>
      </c>
      <c r="CZ39">
        <f t="shared" si="44"/>
        <v>0.84065821379477434</v>
      </c>
      <c r="DA39">
        <f t="shared" si="45"/>
        <v>0.16087035262391453</v>
      </c>
      <c r="DB39">
        <v>6</v>
      </c>
      <c r="DC39">
        <v>0.5</v>
      </c>
      <c r="DD39" t="s">
        <v>421</v>
      </c>
      <c r="DE39">
        <v>2</v>
      </c>
      <c r="DF39">
        <v>1689003211.5999999</v>
      </c>
      <c r="DG39">
        <v>334.084</v>
      </c>
      <c r="DH39">
        <v>400.01799999999997</v>
      </c>
      <c r="DI39">
        <v>29.683700000000002</v>
      </c>
      <c r="DJ39">
        <v>21.116900000000001</v>
      </c>
      <c r="DK39">
        <v>332.94499999999999</v>
      </c>
      <c r="DL39">
        <v>29.404900000000001</v>
      </c>
      <c r="DM39">
        <v>500.12200000000001</v>
      </c>
      <c r="DN39">
        <v>99.228499999999997</v>
      </c>
      <c r="DO39">
        <v>0.100385</v>
      </c>
      <c r="DP39">
        <v>31.0854</v>
      </c>
      <c r="DQ39">
        <v>30.000399999999999</v>
      </c>
      <c r="DR39">
        <v>999.9</v>
      </c>
      <c r="DS39">
        <v>0</v>
      </c>
      <c r="DT39">
        <v>0</v>
      </c>
      <c r="DU39">
        <v>9995</v>
      </c>
      <c r="DV39">
        <v>0</v>
      </c>
      <c r="DW39">
        <v>463.13099999999997</v>
      </c>
      <c r="DX39">
        <v>-65.934100000000001</v>
      </c>
      <c r="DY39">
        <v>344.30399999999997</v>
      </c>
      <c r="DZ39">
        <v>408.64699999999999</v>
      </c>
      <c r="EA39">
        <v>8.5668500000000005</v>
      </c>
      <c r="EB39">
        <v>400.01799999999997</v>
      </c>
      <c r="EC39">
        <v>21.116900000000001</v>
      </c>
      <c r="ED39">
        <v>2.9454699999999998</v>
      </c>
      <c r="EE39">
        <v>2.0954000000000002</v>
      </c>
      <c r="EF39">
        <v>23.722799999999999</v>
      </c>
      <c r="EG39">
        <v>18.184200000000001</v>
      </c>
      <c r="EH39">
        <v>1799.87</v>
      </c>
      <c r="EI39">
        <v>0.97799800000000003</v>
      </c>
      <c r="EJ39">
        <v>2.2001799999999998E-2</v>
      </c>
      <c r="EK39">
        <v>0</v>
      </c>
      <c r="EL39">
        <v>701.91700000000003</v>
      </c>
      <c r="EM39">
        <v>5.0011200000000002</v>
      </c>
      <c r="EN39">
        <v>13532.2</v>
      </c>
      <c r="EO39">
        <v>17209.599999999999</v>
      </c>
      <c r="EP39">
        <v>47.875</v>
      </c>
      <c r="EQ39">
        <v>49.375</v>
      </c>
      <c r="ER39">
        <v>48.811999999999998</v>
      </c>
      <c r="ES39">
        <v>48.375</v>
      </c>
      <c r="ET39">
        <v>48.75</v>
      </c>
      <c r="EU39">
        <v>1755.38</v>
      </c>
      <c r="EV39">
        <v>39.49</v>
      </c>
      <c r="EW39">
        <v>0</v>
      </c>
      <c r="EX39">
        <v>187.39999985694891</v>
      </c>
      <c r="EY39">
        <v>0</v>
      </c>
      <c r="EZ39">
        <v>700.37048000000004</v>
      </c>
      <c r="FA39">
        <v>13.995384643302179</v>
      </c>
      <c r="FB39">
        <v>-2252.9846188575489</v>
      </c>
      <c r="FC39">
        <v>13702.696</v>
      </c>
      <c r="FD39">
        <v>15</v>
      </c>
      <c r="FE39">
        <v>1689003098.5999999</v>
      </c>
      <c r="FF39" t="s">
        <v>539</v>
      </c>
      <c r="FG39">
        <v>1689003089.5999999</v>
      </c>
      <c r="FH39">
        <v>1689003098.5999999</v>
      </c>
      <c r="FI39">
        <v>26</v>
      </c>
      <c r="FJ39">
        <v>7.0999999999999994E-2</v>
      </c>
      <c r="FK39">
        <v>3.0000000000000001E-3</v>
      </c>
      <c r="FL39">
        <v>1.24</v>
      </c>
      <c r="FM39">
        <v>0.24</v>
      </c>
      <c r="FN39">
        <v>400</v>
      </c>
      <c r="FO39">
        <v>21</v>
      </c>
      <c r="FP39">
        <v>0.08</v>
      </c>
      <c r="FQ39">
        <v>0.02</v>
      </c>
      <c r="FR39">
        <v>51.725419757344397</v>
      </c>
      <c r="FS39">
        <v>4.2917753399973453</v>
      </c>
      <c r="FT39">
        <v>0.54745489581230267</v>
      </c>
      <c r="FU39">
        <v>0</v>
      </c>
      <c r="FV39">
        <v>0.60335416349940341</v>
      </c>
      <c r="FW39">
        <v>-4.3214363599782597E-2</v>
      </c>
      <c r="FX39">
        <v>3.2537384186474951E-3</v>
      </c>
      <c r="FY39">
        <v>1</v>
      </c>
      <c r="FZ39">
        <v>1</v>
      </c>
      <c r="GA39">
        <v>2</v>
      </c>
      <c r="GB39" t="s">
        <v>462</v>
      </c>
      <c r="GC39">
        <v>2.9267400000000001</v>
      </c>
      <c r="GD39">
        <v>2.8276400000000002</v>
      </c>
      <c r="GE39">
        <v>7.6520900000000003E-2</v>
      </c>
      <c r="GF39">
        <v>8.86131E-2</v>
      </c>
      <c r="GG39">
        <v>0.130297</v>
      </c>
      <c r="GH39">
        <v>0.103245</v>
      </c>
      <c r="GI39">
        <v>30220.9</v>
      </c>
      <c r="GJ39">
        <v>24192.5</v>
      </c>
      <c r="GK39">
        <v>31487.1</v>
      </c>
      <c r="GL39">
        <v>26179.3</v>
      </c>
      <c r="GM39">
        <v>37538.300000000003</v>
      </c>
      <c r="GN39">
        <v>31841.4</v>
      </c>
      <c r="GO39">
        <v>46763.6</v>
      </c>
      <c r="GP39">
        <v>38062.6</v>
      </c>
      <c r="GQ39">
        <v>1.94465</v>
      </c>
      <c r="GR39">
        <v>1.7681500000000001</v>
      </c>
      <c r="GS39">
        <v>4.2989899999999998E-2</v>
      </c>
      <c r="GT39">
        <v>0</v>
      </c>
      <c r="GU39">
        <v>29.3004</v>
      </c>
      <c r="GV39">
        <v>999.9</v>
      </c>
      <c r="GW39">
        <v>41.2</v>
      </c>
      <c r="GX39">
        <v>41.6</v>
      </c>
      <c r="GY39">
        <v>33.511400000000002</v>
      </c>
      <c r="GZ39">
        <v>62.436300000000003</v>
      </c>
      <c r="HA39">
        <v>22.039300000000001</v>
      </c>
      <c r="HB39">
        <v>1</v>
      </c>
      <c r="HC39">
        <v>0.374365</v>
      </c>
      <c r="HD39">
        <v>0.88226300000000002</v>
      </c>
      <c r="HE39">
        <v>20.293500000000002</v>
      </c>
      <c r="HF39">
        <v>5.2270200000000004</v>
      </c>
      <c r="HG39">
        <v>12.058199999999999</v>
      </c>
      <c r="HH39">
        <v>4.9933500000000004</v>
      </c>
      <c r="HI39">
        <v>3.2919999999999998</v>
      </c>
      <c r="HJ39">
        <v>9999</v>
      </c>
      <c r="HK39">
        <v>9999</v>
      </c>
      <c r="HL39">
        <v>9999</v>
      </c>
      <c r="HM39">
        <v>462</v>
      </c>
      <c r="HN39">
        <v>1.8671199999999999</v>
      </c>
      <c r="HO39">
        <v>1.8705700000000001</v>
      </c>
      <c r="HP39">
        <v>1.87317</v>
      </c>
      <c r="HQ39">
        <v>1.87408</v>
      </c>
      <c r="HR39">
        <v>1.87087</v>
      </c>
      <c r="HS39">
        <v>1.86921</v>
      </c>
      <c r="HT39">
        <v>1.87073</v>
      </c>
      <c r="HU39">
        <v>1.87365</v>
      </c>
      <c r="HV39">
        <v>0</v>
      </c>
      <c r="HW39">
        <v>0</v>
      </c>
      <c r="HX39">
        <v>0</v>
      </c>
      <c r="HY39">
        <v>0</v>
      </c>
      <c r="HZ39" t="s">
        <v>424</v>
      </c>
      <c r="IA39" t="s">
        <v>425</v>
      </c>
      <c r="IB39" t="s">
        <v>426</v>
      </c>
      <c r="IC39" t="s">
        <v>426</v>
      </c>
      <c r="ID39" t="s">
        <v>426</v>
      </c>
      <c r="IE39" t="s">
        <v>426</v>
      </c>
      <c r="IF39">
        <v>0</v>
      </c>
      <c r="IG39">
        <v>100</v>
      </c>
      <c r="IH39">
        <v>100</v>
      </c>
      <c r="II39">
        <v>1.139</v>
      </c>
      <c r="IJ39">
        <v>0.27879999999999999</v>
      </c>
      <c r="IK39">
        <v>0.37335699952445778</v>
      </c>
      <c r="IL39">
        <v>3.042515301972944E-3</v>
      </c>
      <c r="IM39">
        <v>-2.5091471490852929E-6</v>
      </c>
      <c r="IN39">
        <v>8.1339755115576286E-10</v>
      </c>
      <c r="IO39">
        <v>0.27882481306183787</v>
      </c>
      <c r="IP39">
        <v>0</v>
      </c>
      <c r="IQ39">
        <v>0</v>
      </c>
      <c r="IR39">
        <v>0</v>
      </c>
      <c r="IS39">
        <v>3</v>
      </c>
      <c r="IT39">
        <v>2004</v>
      </c>
      <c r="IU39">
        <v>2</v>
      </c>
      <c r="IV39">
        <v>22</v>
      </c>
      <c r="IW39">
        <v>2</v>
      </c>
      <c r="IX39">
        <v>1.9</v>
      </c>
      <c r="IY39">
        <v>1.03149</v>
      </c>
      <c r="IZ39">
        <v>2.5988799999999999</v>
      </c>
      <c r="JA39">
        <v>1.64917</v>
      </c>
      <c r="JB39">
        <v>2.33765</v>
      </c>
      <c r="JC39">
        <v>1.5991200000000001</v>
      </c>
      <c r="JD39">
        <v>2.3095699999999999</v>
      </c>
      <c r="JE39">
        <v>46.679000000000002</v>
      </c>
      <c r="JF39">
        <v>23.877400000000002</v>
      </c>
      <c r="JG39">
        <v>18</v>
      </c>
      <c r="JH39">
        <v>522.35199999999998</v>
      </c>
      <c r="JI39">
        <v>455.87900000000002</v>
      </c>
      <c r="JJ39">
        <v>29.1372</v>
      </c>
      <c r="JK39">
        <v>32.015599999999999</v>
      </c>
      <c r="JL39">
        <v>30.0002</v>
      </c>
      <c r="JM39">
        <v>32.1143</v>
      </c>
      <c r="JN39">
        <v>32.129800000000003</v>
      </c>
      <c r="JO39">
        <v>20.650600000000001</v>
      </c>
      <c r="JP39">
        <v>44.509300000000003</v>
      </c>
      <c r="JQ39">
        <v>0</v>
      </c>
      <c r="JR39">
        <v>29.1539</v>
      </c>
      <c r="JS39">
        <v>400</v>
      </c>
      <c r="JT39">
        <v>21.148</v>
      </c>
      <c r="JU39">
        <v>99.803899999999999</v>
      </c>
      <c r="JV39">
        <v>99.5364</v>
      </c>
    </row>
    <row r="40" spans="1:282" x14ac:dyDescent="0.25">
      <c r="A40">
        <v>24</v>
      </c>
      <c r="B40">
        <v>1689003354.5999999</v>
      </c>
      <c r="C40">
        <v>3759.5</v>
      </c>
      <c r="D40" t="s">
        <v>540</v>
      </c>
      <c r="E40" t="s">
        <v>541</v>
      </c>
      <c r="F40" t="s">
        <v>414</v>
      </c>
      <c r="G40" t="s">
        <v>415</v>
      </c>
      <c r="H40" t="s">
        <v>500</v>
      </c>
      <c r="I40" t="s">
        <v>416</v>
      </c>
      <c r="J40" t="s">
        <v>501</v>
      </c>
      <c r="K40">
        <v>1689003354.5999999</v>
      </c>
      <c r="L40">
        <f t="shared" si="0"/>
        <v>6.7106902260722868E-3</v>
      </c>
      <c r="M40">
        <f t="shared" si="1"/>
        <v>6.7106902260722867</v>
      </c>
      <c r="N40">
        <f t="shared" si="2"/>
        <v>57.265159561444904</v>
      </c>
      <c r="O40">
        <f t="shared" si="3"/>
        <v>328.767</v>
      </c>
      <c r="P40">
        <f t="shared" si="4"/>
        <v>138.61610207804819</v>
      </c>
      <c r="Q40">
        <f t="shared" si="5"/>
        <v>13.768953660531768</v>
      </c>
      <c r="R40">
        <f t="shared" si="6"/>
        <v>32.656938986519997</v>
      </c>
      <c r="S40">
        <f t="shared" si="7"/>
        <v>0.53822292399544158</v>
      </c>
      <c r="T40">
        <f t="shared" si="8"/>
        <v>2.9162431456986253</v>
      </c>
      <c r="U40">
        <f t="shared" si="9"/>
        <v>0.48851361114899039</v>
      </c>
      <c r="V40">
        <f t="shared" si="10"/>
        <v>0.30940369891425157</v>
      </c>
      <c r="W40">
        <f t="shared" si="11"/>
        <v>289.55050957722875</v>
      </c>
      <c r="X40">
        <f t="shared" si="12"/>
        <v>30.968357034405845</v>
      </c>
      <c r="Y40">
        <f t="shared" si="13"/>
        <v>29.9758</v>
      </c>
      <c r="Z40">
        <f t="shared" si="14"/>
        <v>4.254531213093367</v>
      </c>
      <c r="AA40">
        <f t="shared" si="15"/>
        <v>65.133249774772835</v>
      </c>
      <c r="AB40">
        <f t="shared" si="16"/>
        <v>2.9394294566759993</v>
      </c>
      <c r="AC40">
        <f t="shared" si="17"/>
        <v>4.5129476370983843</v>
      </c>
      <c r="AD40">
        <f t="shared" si="18"/>
        <v>1.3151017564173677</v>
      </c>
      <c r="AE40">
        <f t="shared" si="19"/>
        <v>-295.94143896978784</v>
      </c>
      <c r="AF40">
        <f t="shared" si="20"/>
        <v>161.98428163517278</v>
      </c>
      <c r="AG40">
        <f t="shared" si="21"/>
        <v>12.410773153018699</v>
      </c>
      <c r="AH40">
        <f t="shared" si="22"/>
        <v>168.00412539563237</v>
      </c>
      <c r="AI40">
        <v>0</v>
      </c>
      <c r="AJ40">
        <v>0</v>
      </c>
      <c r="AK40">
        <f t="shared" si="23"/>
        <v>1</v>
      </c>
      <c r="AL40">
        <f t="shared" si="24"/>
        <v>0</v>
      </c>
      <c r="AM40">
        <f t="shared" si="25"/>
        <v>51785.325407148004</v>
      </c>
      <c r="AN40" t="s">
        <v>418</v>
      </c>
      <c r="AO40">
        <v>10021</v>
      </c>
      <c r="AP40">
        <v>177.53923076923081</v>
      </c>
      <c r="AQ40">
        <v>655.56</v>
      </c>
      <c r="AR40">
        <f t="shared" si="26"/>
        <v>0.72917928066198234</v>
      </c>
      <c r="AS40">
        <v>-3.1115002560329539</v>
      </c>
      <c r="AT40" t="s">
        <v>542</v>
      </c>
      <c r="AU40">
        <v>8031.97</v>
      </c>
      <c r="AV40">
        <v>725.64452000000006</v>
      </c>
      <c r="AW40">
        <v>1144.9315896661051</v>
      </c>
      <c r="AX40">
        <f t="shared" si="27"/>
        <v>0.36621146053659082</v>
      </c>
      <c r="AY40">
        <v>0.5</v>
      </c>
      <c r="AZ40">
        <f t="shared" si="28"/>
        <v>1513.1006992628129</v>
      </c>
      <c r="BA40">
        <f t="shared" si="29"/>
        <v>57.265159561444904</v>
      </c>
      <c r="BB40">
        <f t="shared" si="30"/>
        <v>277.05740850798577</v>
      </c>
      <c r="BC40">
        <f t="shared" si="31"/>
        <v>3.9902605191375264E-2</v>
      </c>
      <c r="BD40">
        <f t="shared" si="32"/>
        <v>-0.42742430559438049</v>
      </c>
      <c r="BE40">
        <f t="shared" si="33"/>
        <v>200.78066896545599</v>
      </c>
      <c r="BF40" t="s">
        <v>543</v>
      </c>
      <c r="BG40">
        <v>563.29999999999995</v>
      </c>
      <c r="BH40">
        <f t="shared" si="34"/>
        <v>563.29999999999995</v>
      </c>
      <c r="BI40">
        <f t="shared" si="35"/>
        <v>0.50800553929665404</v>
      </c>
      <c r="BJ40">
        <f t="shared" si="36"/>
        <v>0.72088084126724172</v>
      </c>
      <c r="BK40">
        <f t="shared" si="37"/>
        <v>-5.3042660921971079</v>
      </c>
      <c r="BL40">
        <f t="shared" si="38"/>
        <v>0.43341986920821002</v>
      </c>
      <c r="BM40">
        <f t="shared" si="39"/>
        <v>-1.0237454545198983</v>
      </c>
      <c r="BN40">
        <f t="shared" si="40"/>
        <v>0.55960207332074552</v>
      </c>
      <c r="BO40">
        <f t="shared" si="41"/>
        <v>0.44039792667925448</v>
      </c>
      <c r="BP40">
        <v>22513</v>
      </c>
      <c r="BQ40">
        <v>290.00000000000011</v>
      </c>
      <c r="BR40">
        <v>1004.77</v>
      </c>
      <c r="BS40">
        <v>295</v>
      </c>
      <c r="BT40">
        <v>8031.97</v>
      </c>
      <c r="BU40">
        <v>1007.83</v>
      </c>
      <c r="BV40">
        <v>-3.06</v>
      </c>
      <c r="BW40">
        <v>300.00000000000011</v>
      </c>
      <c r="BX40">
        <v>19.399999999999999</v>
      </c>
      <c r="BY40">
        <v>1144.9315896661051</v>
      </c>
      <c r="BZ40">
        <v>4.3429266146698016</v>
      </c>
      <c r="CA40">
        <v>-110.1161483219028</v>
      </c>
      <c r="CB40">
        <v>3.2043120104257872</v>
      </c>
      <c r="CC40">
        <v>0.97683945394273008</v>
      </c>
      <c r="CD40">
        <v>-4.1477312569521644E-3</v>
      </c>
      <c r="CE40">
        <v>289.99999999999989</v>
      </c>
      <c r="CF40">
        <v>1002.68</v>
      </c>
      <c r="CG40">
        <v>655</v>
      </c>
      <c r="CH40">
        <v>8022.2</v>
      </c>
      <c r="CI40">
        <v>1007.67</v>
      </c>
      <c r="CJ40">
        <v>-4.99</v>
      </c>
      <c r="CX40">
        <f t="shared" si="42"/>
        <v>1799.9</v>
      </c>
      <c r="CY40">
        <f t="shared" si="43"/>
        <v>1513.1006992628129</v>
      </c>
      <c r="CZ40">
        <f t="shared" si="44"/>
        <v>0.84065820282394177</v>
      </c>
      <c r="DA40">
        <f t="shared" si="45"/>
        <v>0.16087033145020765</v>
      </c>
      <c r="DB40">
        <v>6</v>
      </c>
      <c r="DC40">
        <v>0.5</v>
      </c>
      <c r="DD40" t="s">
        <v>421</v>
      </c>
      <c r="DE40">
        <v>2</v>
      </c>
      <c r="DF40">
        <v>1689003354.5999999</v>
      </c>
      <c r="DG40">
        <v>328.767</v>
      </c>
      <c r="DH40">
        <v>400.11599999999999</v>
      </c>
      <c r="DI40">
        <v>29.592099999999999</v>
      </c>
      <c r="DJ40">
        <v>21.779399999999999</v>
      </c>
      <c r="DK40">
        <v>327.89299999999997</v>
      </c>
      <c r="DL40">
        <v>29.313400000000001</v>
      </c>
      <c r="DM40">
        <v>500.11700000000002</v>
      </c>
      <c r="DN40">
        <v>99.231499999999997</v>
      </c>
      <c r="DO40">
        <v>0.10006</v>
      </c>
      <c r="DP40">
        <v>31.0061</v>
      </c>
      <c r="DQ40">
        <v>29.9758</v>
      </c>
      <c r="DR40">
        <v>999.9</v>
      </c>
      <c r="DS40">
        <v>0</v>
      </c>
      <c r="DT40">
        <v>0</v>
      </c>
      <c r="DU40">
        <v>10001.200000000001</v>
      </c>
      <c r="DV40">
        <v>0</v>
      </c>
      <c r="DW40">
        <v>1921.61</v>
      </c>
      <c r="DX40">
        <v>-71.349500000000006</v>
      </c>
      <c r="DY40">
        <v>338.79199999999997</v>
      </c>
      <c r="DZ40">
        <v>409.024</v>
      </c>
      <c r="EA40">
        <v>7.8126699999999998</v>
      </c>
      <c r="EB40">
        <v>400.11599999999999</v>
      </c>
      <c r="EC40">
        <v>21.779399999999999</v>
      </c>
      <c r="ED40">
        <v>2.9364699999999999</v>
      </c>
      <c r="EE40">
        <v>2.1612</v>
      </c>
      <c r="EF40">
        <v>23.672000000000001</v>
      </c>
      <c r="EG40">
        <v>18.677600000000002</v>
      </c>
      <c r="EH40">
        <v>1799.9</v>
      </c>
      <c r="EI40">
        <v>0.97799800000000003</v>
      </c>
      <c r="EJ40">
        <v>2.2001799999999998E-2</v>
      </c>
      <c r="EK40">
        <v>0</v>
      </c>
      <c r="EL40">
        <v>725.649</v>
      </c>
      <c r="EM40">
        <v>5.0011200000000002</v>
      </c>
      <c r="EN40">
        <v>14570.4</v>
      </c>
      <c r="EO40">
        <v>17210</v>
      </c>
      <c r="EP40">
        <v>47.75</v>
      </c>
      <c r="EQ40">
        <v>49.25</v>
      </c>
      <c r="ER40">
        <v>48.686999999999998</v>
      </c>
      <c r="ES40">
        <v>48.311999999999998</v>
      </c>
      <c r="ET40">
        <v>48.125</v>
      </c>
      <c r="EU40">
        <v>1755.41</v>
      </c>
      <c r="EV40">
        <v>39.49</v>
      </c>
      <c r="EW40">
        <v>0</v>
      </c>
      <c r="EX40">
        <v>141</v>
      </c>
      <c r="EY40">
        <v>0</v>
      </c>
      <c r="EZ40">
        <v>725.64452000000006</v>
      </c>
      <c r="FA40">
        <v>3.3443846189663109</v>
      </c>
      <c r="FB40">
        <v>72.076922838561217</v>
      </c>
      <c r="FC40">
        <v>14564.335999999999</v>
      </c>
      <c r="FD40">
        <v>15</v>
      </c>
      <c r="FE40">
        <v>1689003324.0999999</v>
      </c>
      <c r="FF40" t="s">
        <v>544</v>
      </c>
      <c r="FG40">
        <v>1689003324.0999999</v>
      </c>
      <c r="FH40">
        <v>1689003324.0999999</v>
      </c>
      <c r="FI40">
        <v>27</v>
      </c>
      <c r="FJ40">
        <v>-0.25700000000000001</v>
      </c>
      <c r="FK40">
        <v>0</v>
      </c>
      <c r="FL40">
        <v>0.98299999999999998</v>
      </c>
      <c r="FM40">
        <v>0.26600000000000001</v>
      </c>
      <c r="FN40">
        <v>400</v>
      </c>
      <c r="FO40">
        <v>21</v>
      </c>
      <c r="FP40">
        <v>0.05</v>
      </c>
      <c r="FQ40">
        <v>0.02</v>
      </c>
      <c r="FR40">
        <v>57.190672524898147</v>
      </c>
      <c r="FS40">
        <v>-0.2034084465635595</v>
      </c>
      <c r="FT40">
        <v>3.129136356492232E-2</v>
      </c>
      <c r="FU40">
        <v>1</v>
      </c>
      <c r="FV40">
        <v>0.53811851046891179</v>
      </c>
      <c r="FW40">
        <v>2.6700034217083519E-2</v>
      </c>
      <c r="FX40">
        <v>3.432252452288028E-3</v>
      </c>
      <c r="FY40">
        <v>1</v>
      </c>
      <c r="FZ40">
        <v>2</v>
      </c>
      <c r="GA40">
        <v>2</v>
      </c>
      <c r="GB40" t="s">
        <v>423</v>
      </c>
      <c r="GC40">
        <v>2.9267799999999999</v>
      </c>
      <c r="GD40">
        <v>2.8273700000000002</v>
      </c>
      <c r="GE40">
        <v>7.55937E-2</v>
      </c>
      <c r="GF40">
        <v>8.8648900000000003E-2</v>
      </c>
      <c r="GG40">
        <v>0.13003300000000001</v>
      </c>
      <c r="GH40">
        <v>0.10553700000000001</v>
      </c>
      <c r="GI40">
        <v>30255.599999999999</v>
      </c>
      <c r="GJ40">
        <v>24192.799999999999</v>
      </c>
      <c r="GK40">
        <v>31491.599999999999</v>
      </c>
      <c r="GL40">
        <v>26180.400000000001</v>
      </c>
      <c r="GM40">
        <v>37554.800000000003</v>
      </c>
      <c r="GN40">
        <v>31760.6</v>
      </c>
      <c r="GO40">
        <v>46770.2</v>
      </c>
      <c r="GP40">
        <v>38063.699999999997</v>
      </c>
      <c r="GQ40">
        <v>1.94407</v>
      </c>
      <c r="GR40">
        <v>1.7686999999999999</v>
      </c>
      <c r="GS40">
        <v>6.2845600000000001E-2</v>
      </c>
      <c r="GT40">
        <v>0</v>
      </c>
      <c r="GU40">
        <v>28.952200000000001</v>
      </c>
      <c r="GV40">
        <v>999.9</v>
      </c>
      <c r="GW40">
        <v>40.9</v>
      </c>
      <c r="GX40">
        <v>41.7</v>
      </c>
      <c r="GY40">
        <v>33.4435</v>
      </c>
      <c r="GZ40">
        <v>61.816299999999998</v>
      </c>
      <c r="HA40">
        <v>22.0913</v>
      </c>
      <c r="HB40">
        <v>1</v>
      </c>
      <c r="HC40">
        <v>0.36874000000000001</v>
      </c>
      <c r="HD40">
        <v>0.22344</v>
      </c>
      <c r="HE40">
        <v>20.296900000000001</v>
      </c>
      <c r="HF40">
        <v>5.2268699999999999</v>
      </c>
      <c r="HG40">
        <v>12.0585</v>
      </c>
      <c r="HH40">
        <v>4.9932499999999997</v>
      </c>
      <c r="HI40">
        <v>3.2919999999999998</v>
      </c>
      <c r="HJ40">
        <v>9999</v>
      </c>
      <c r="HK40">
        <v>9999</v>
      </c>
      <c r="HL40">
        <v>9999</v>
      </c>
      <c r="HM40">
        <v>462</v>
      </c>
      <c r="HN40">
        <v>1.86711</v>
      </c>
      <c r="HO40">
        <v>1.8705700000000001</v>
      </c>
      <c r="HP40">
        <v>1.87317</v>
      </c>
      <c r="HQ40">
        <v>1.87408</v>
      </c>
      <c r="HR40">
        <v>1.8708800000000001</v>
      </c>
      <c r="HS40">
        <v>1.8692</v>
      </c>
      <c r="HT40">
        <v>1.87073</v>
      </c>
      <c r="HU40">
        <v>1.8736699999999999</v>
      </c>
      <c r="HV40">
        <v>0</v>
      </c>
      <c r="HW40">
        <v>0</v>
      </c>
      <c r="HX40">
        <v>0</v>
      </c>
      <c r="HY40">
        <v>0</v>
      </c>
      <c r="HZ40" t="s">
        <v>424</v>
      </c>
      <c r="IA40" t="s">
        <v>425</v>
      </c>
      <c r="IB40" t="s">
        <v>426</v>
      </c>
      <c r="IC40" t="s">
        <v>426</v>
      </c>
      <c r="ID40" t="s">
        <v>426</v>
      </c>
      <c r="IE40" t="s">
        <v>426</v>
      </c>
      <c r="IF40">
        <v>0</v>
      </c>
      <c r="IG40">
        <v>100</v>
      </c>
      <c r="IH40">
        <v>100</v>
      </c>
      <c r="II40">
        <v>0.874</v>
      </c>
      <c r="IJ40">
        <v>0.2787</v>
      </c>
      <c r="IK40">
        <v>0.11663945257839919</v>
      </c>
      <c r="IL40">
        <v>3.042515301972944E-3</v>
      </c>
      <c r="IM40">
        <v>-2.5091471490852929E-6</v>
      </c>
      <c r="IN40">
        <v>8.1339755115576286E-10</v>
      </c>
      <c r="IO40">
        <v>0.27864247066535952</v>
      </c>
      <c r="IP40">
        <v>0</v>
      </c>
      <c r="IQ40">
        <v>0</v>
      </c>
      <c r="IR40">
        <v>0</v>
      </c>
      <c r="IS40">
        <v>3</v>
      </c>
      <c r="IT40">
        <v>2004</v>
      </c>
      <c r="IU40">
        <v>2</v>
      </c>
      <c r="IV40">
        <v>22</v>
      </c>
      <c r="IW40">
        <v>0.5</v>
      </c>
      <c r="IX40">
        <v>0.5</v>
      </c>
      <c r="IY40">
        <v>1.03149</v>
      </c>
      <c r="IZ40">
        <v>2.5964399999999999</v>
      </c>
      <c r="JA40">
        <v>1.64917</v>
      </c>
      <c r="JB40">
        <v>2.33765</v>
      </c>
      <c r="JC40">
        <v>1.5991200000000001</v>
      </c>
      <c r="JD40">
        <v>2.3290999999999999</v>
      </c>
      <c r="JE40">
        <v>46.737900000000003</v>
      </c>
      <c r="JF40">
        <v>23.877400000000002</v>
      </c>
      <c r="JG40">
        <v>18</v>
      </c>
      <c r="JH40">
        <v>521.64200000000005</v>
      </c>
      <c r="JI40">
        <v>455.87200000000001</v>
      </c>
      <c r="JJ40">
        <v>29.5335</v>
      </c>
      <c r="JK40">
        <v>31.961400000000001</v>
      </c>
      <c r="JL40">
        <v>29.999700000000001</v>
      </c>
      <c r="JM40">
        <v>32.073099999999997</v>
      </c>
      <c r="JN40">
        <v>32.081299999999999</v>
      </c>
      <c r="JO40">
        <v>20.666499999999999</v>
      </c>
      <c r="JP40">
        <v>43.019500000000001</v>
      </c>
      <c r="JQ40">
        <v>0</v>
      </c>
      <c r="JR40">
        <v>29.552700000000002</v>
      </c>
      <c r="JS40">
        <v>400</v>
      </c>
      <c r="JT40">
        <v>21.7987</v>
      </c>
      <c r="JU40">
        <v>99.818100000000001</v>
      </c>
      <c r="JV40">
        <v>99.539699999999996</v>
      </c>
    </row>
    <row r="41" spans="1:282" x14ac:dyDescent="0.25">
      <c r="A41">
        <v>25</v>
      </c>
      <c r="B41">
        <v>1689003492.5999999</v>
      </c>
      <c r="C41">
        <v>3897.5</v>
      </c>
      <c r="D41" t="s">
        <v>545</v>
      </c>
      <c r="E41" t="s">
        <v>546</v>
      </c>
      <c r="F41" t="s">
        <v>414</v>
      </c>
      <c r="G41" t="s">
        <v>415</v>
      </c>
      <c r="H41" t="s">
        <v>500</v>
      </c>
      <c r="I41" t="s">
        <v>416</v>
      </c>
      <c r="J41" t="s">
        <v>501</v>
      </c>
      <c r="K41">
        <v>1689003492.5999999</v>
      </c>
      <c r="L41">
        <f t="shared" si="0"/>
        <v>6.5218527264588756E-3</v>
      </c>
      <c r="M41">
        <f t="shared" si="1"/>
        <v>6.5218527264588753</v>
      </c>
      <c r="N41">
        <f t="shared" si="2"/>
        <v>57.819565381719769</v>
      </c>
      <c r="O41">
        <f t="shared" si="3"/>
        <v>328.12900000000002</v>
      </c>
      <c r="P41">
        <f t="shared" si="4"/>
        <v>129.14881077167374</v>
      </c>
      <c r="Q41">
        <f t="shared" si="5"/>
        <v>12.828224549818176</v>
      </c>
      <c r="R41">
        <f t="shared" si="6"/>
        <v>32.592731347322001</v>
      </c>
      <c r="S41">
        <f t="shared" si="7"/>
        <v>0.51688676366147579</v>
      </c>
      <c r="T41">
        <f t="shared" si="8"/>
        <v>2.9153275206404978</v>
      </c>
      <c r="U41">
        <f t="shared" si="9"/>
        <v>0.47084715723733755</v>
      </c>
      <c r="V41">
        <f t="shared" si="10"/>
        <v>0.29807346590733697</v>
      </c>
      <c r="W41">
        <f t="shared" si="11"/>
        <v>289.55529757725247</v>
      </c>
      <c r="X41">
        <f t="shared" si="12"/>
        <v>31.01696982684571</v>
      </c>
      <c r="Y41">
        <f t="shared" si="13"/>
        <v>29.995899999999999</v>
      </c>
      <c r="Z41">
        <f t="shared" si="14"/>
        <v>4.2594465367311711</v>
      </c>
      <c r="AA41">
        <f t="shared" si="15"/>
        <v>65.002408149566989</v>
      </c>
      <c r="AB41">
        <f t="shared" si="16"/>
        <v>2.9334242911832002</v>
      </c>
      <c r="AC41">
        <f t="shared" si="17"/>
        <v>4.5127932559568427</v>
      </c>
      <c r="AD41">
        <f t="shared" si="18"/>
        <v>1.3260222455479709</v>
      </c>
      <c r="AE41">
        <f t="shared" si="19"/>
        <v>-287.61370523683644</v>
      </c>
      <c r="AF41">
        <f t="shared" si="20"/>
        <v>158.67998021078154</v>
      </c>
      <c r="AG41">
        <f t="shared" si="21"/>
        <v>12.162596127449996</v>
      </c>
      <c r="AH41">
        <f t="shared" si="22"/>
        <v>172.78416867864757</v>
      </c>
      <c r="AI41">
        <v>0</v>
      </c>
      <c r="AJ41">
        <v>0</v>
      </c>
      <c r="AK41">
        <f t="shared" si="23"/>
        <v>1</v>
      </c>
      <c r="AL41">
        <f t="shared" si="24"/>
        <v>0</v>
      </c>
      <c r="AM41">
        <f t="shared" si="25"/>
        <v>51759.382935633483</v>
      </c>
      <c r="AN41" t="s">
        <v>418</v>
      </c>
      <c r="AO41">
        <v>10021</v>
      </c>
      <c r="AP41">
        <v>177.53923076923081</v>
      </c>
      <c r="AQ41">
        <v>655.56</v>
      </c>
      <c r="AR41">
        <f t="shared" si="26"/>
        <v>0.72917928066198234</v>
      </c>
      <c r="AS41">
        <v>-3.1115002560329539</v>
      </c>
      <c r="AT41" t="s">
        <v>547</v>
      </c>
      <c r="AU41">
        <v>8032.03</v>
      </c>
      <c r="AV41">
        <v>729.83780769230771</v>
      </c>
      <c r="AW41">
        <v>1161.4227253231561</v>
      </c>
      <c r="AX41">
        <f t="shared" si="27"/>
        <v>0.37160020053057208</v>
      </c>
      <c r="AY41">
        <v>0.5</v>
      </c>
      <c r="AZ41">
        <f t="shared" si="28"/>
        <v>1513.125899262825</v>
      </c>
      <c r="BA41">
        <f t="shared" si="29"/>
        <v>57.819565381719769</v>
      </c>
      <c r="BB41">
        <f t="shared" si="30"/>
        <v>281.13894379703396</v>
      </c>
      <c r="BC41">
        <f t="shared" si="31"/>
        <v>4.0268338323623656E-2</v>
      </c>
      <c r="BD41">
        <f t="shared" si="32"/>
        <v>-0.43555435440821438</v>
      </c>
      <c r="BE41">
        <f t="shared" si="33"/>
        <v>201.2818645662376</v>
      </c>
      <c r="BF41" t="s">
        <v>548</v>
      </c>
      <c r="BG41">
        <v>565.77</v>
      </c>
      <c r="BH41">
        <f t="shared" si="34"/>
        <v>565.77</v>
      </c>
      <c r="BI41">
        <f t="shared" si="35"/>
        <v>0.51286470665314454</v>
      </c>
      <c r="BJ41">
        <f t="shared" si="36"/>
        <v>0.72455795009869728</v>
      </c>
      <c r="BK41">
        <f t="shared" si="37"/>
        <v>-5.6338425807234254</v>
      </c>
      <c r="BL41">
        <f t="shared" si="38"/>
        <v>0.43865449519154814</v>
      </c>
      <c r="BM41">
        <f t="shared" si="39"/>
        <v>-1.0582442393396219</v>
      </c>
      <c r="BN41">
        <f t="shared" si="40"/>
        <v>0.56167705633600673</v>
      </c>
      <c r="BO41">
        <f t="shared" si="41"/>
        <v>0.43832294366399327</v>
      </c>
      <c r="BP41">
        <v>22515</v>
      </c>
      <c r="BQ41">
        <v>290.00000000000011</v>
      </c>
      <c r="BR41">
        <v>1019.18</v>
      </c>
      <c r="BS41">
        <v>295</v>
      </c>
      <c r="BT41">
        <v>8032.03</v>
      </c>
      <c r="BU41">
        <v>1022.43</v>
      </c>
      <c r="BV41">
        <v>-3.25</v>
      </c>
      <c r="BW41">
        <v>300.00000000000011</v>
      </c>
      <c r="BX41">
        <v>19.399999999999999</v>
      </c>
      <c r="BY41">
        <v>1161.4227253231561</v>
      </c>
      <c r="BZ41">
        <v>5.5044064256899912</v>
      </c>
      <c r="CA41">
        <v>-111.6391929577609</v>
      </c>
      <c r="CB41">
        <v>4.0612965294959054</v>
      </c>
      <c r="CC41">
        <v>0.96426843761302039</v>
      </c>
      <c r="CD41">
        <v>-4.1479063403782011E-3</v>
      </c>
      <c r="CE41">
        <v>289.99999999999989</v>
      </c>
      <c r="CF41">
        <v>1017</v>
      </c>
      <c r="CG41">
        <v>635</v>
      </c>
      <c r="CH41">
        <v>8022.83</v>
      </c>
      <c r="CI41">
        <v>1022.27</v>
      </c>
      <c r="CJ41">
        <v>-5.27</v>
      </c>
      <c r="CX41">
        <f t="shared" si="42"/>
        <v>1799.93</v>
      </c>
      <c r="CY41">
        <f t="shared" si="43"/>
        <v>1513.125899262825</v>
      </c>
      <c r="CZ41">
        <f t="shared" si="44"/>
        <v>0.84065819185347479</v>
      </c>
      <c r="DA41">
        <f t="shared" si="45"/>
        <v>0.16087031027720661</v>
      </c>
      <c r="DB41">
        <v>6</v>
      </c>
      <c r="DC41">
        <v>0.5</v>
      </c>
      <c r="DD41" t="s">
        <v>421</v>
      </c>
      <c r="DE41">
        <v>2</v>
      </c>
      <c r="DF41">
        <v>1689003492.5999999</v>
      </c>
      <c r="DG41">
        <v>328.12900000000002</v>
      </c>
      <c r="DH41">
        <v>400.072</v>
      </c>
      <c r="DI41">
        <v>29.532399999999999</v>
      </c>
      <c r="DJ41">
        <v>21.938199999999998</v>
      </c>
      <c r="DK41">
        <v>327.24799999999999</v>
      </c>
      <c r="DL41">
        <v>29.251799999999999</v>
      </c>
      <c r="DM41">
        <v>500.05900000000003</v>
      </c>
      <c r="DN41">
        <v>99.228700000000003</v>
      </c>
      <c r="DO41">
        <v>0.100318</v>
      </c>
      <c r="DP41">
        <v>31.005500000000001</v>
      </c>
      <c r="DQ41">
        <v>29.995899999999999</v>
      </c>
      <c r="DR41">
        <v>999.9</v>
      </c>
      <c r="DS41">
        <v>0</v>
      </c>
      <c r="DT41">
        <v>0</v>
      </c>
      <c r="DU41">
        <v>9996.25</v>
      </c>
      <c r="DV41">
        <v>0</v>
      </c>
      <c r="DW41">
        <v>1937.23</v>
      </c>
      <c r="DX41">
        <v>-71.942999999999998</v>
      </c>
      <c r="DY41">
        <v>338.11500000000001</v>
      </c>
      <c r="DZ41">
        <v>409.04599999999999</v>
      </c>
      <c r="EA41">
        <v>7.59422</v>
      </c>
      <c r="EB41">
        <v>400.072</v>
      </c>
      <c r="EC41">
        <v>21.938199999999998</v>
      </c>
      <c r="ED41">
        <v>2.9304700000000001</v>
      </c>
      <c r="EE41">
        <v>2.1768999999999998</v>
      </c>
      <c r="EF41">
        <v>23.638000000000002</v>
      </c>
      <c r="EG41">
        <v>18.793299999999999</v>
      </c>
      <c r="EH41">
        <v>1799.93</v>
      </c>
      <c r="EI41">
        <v>0.97799800000000003</v>
      </c>
      <c r="EJ41">
        <v>2.2001799999999998E-2</v>
      </c>
      <c r="EK41">
        <v>0</v>
      </c>
      <c r="EL41">
        <v>729.76199999999994</v>
      </c>
      <c r="EM41">
        <v>5.0011200000000002</v>
      </c>
      <c r="EN41">
        <v>14656</v>
      </c>
      <c r="EO41">
        <v>17210.2</v>
      </c>
      <c r="EP41">
        <v>47.936999999999998</v>
      </c>
      <c r="EQ41">
        <v>49.311999999999998</v>
      </c>
      <c r="ER41">
        <v>48.875</v>
      </c>
      <c r="ES41">
        <v>48.375</v>
      </c>
      <c r="ET41">
        <v>48.75</v>
      </c>
      <c r="EU41">
        <v>1755.44</v>
      </c>
      <c r="EV41">
        <v>39.49</v>
      </c>
      <c r="EW41">
        <v>0</v>
      </c>
      <c r="EX41">
        <v>135.79999995231631</v>
      </c>
      <c r="EY41">
        <v>0</v>
      </c>
      <c r="EZ41">
        <v>729.83780769230771</v>
      </c>
      <c r="FA41">
        <v>0.70150427600696319</v>
      </c>
      <c r="FB41">
        <v>38.010256414074483</v>
      </c>
      <c r="FC41">
        <v>14650.36153846154</v>
      </c>
      <c r="FD41">
        <v>15</v>
      </c>
      <c r="FE41">
        <v>1689003434.5999999</v>
      </c>
      <c r="FF41" t="s">
        <v>549</v>
      </c>
      <c r="FG41">
        <v>1689003422.5999999</v>
      </c>
      <c r="FH41">
        <v>1689003434.5999999</v>
      </c>
      <c r="FI41">
        <v>28</v>
      </c>
      <c r="FJ41">
        <v>8.9999999999999993E-3</v>
      </c>
      <c r="FK41">
        <v>2E-3</v>
      </c>
      <c r="FL41">
        <v>0.99199999999999999</v>
      </c>
      <c r="FM41">
        <v>0.28100000000000003</v>
      </c>
      <c r="FN41">
        <v>400</v>
      </c>
      <c r="FO41">
        <v>22</v>
      </c>
      <c r="FP41">
        <v>0.03</v>
      </c>
      <c r="FQ41">
        <v>0.01</v>
      </c>
      <c r="FR41">
        <v>57.742785248457288</v>
      </c>
      <c r="FS41">
        <v>0.45457457893728848</v>
      </c>
      <c r="FT41">
        <v>5.5081302338023573E-2</v>
      </c>
      <c r="FU41">
        <v>1</v>
      </c>
      <c r="FV41">
        <v>0.52071314493821863</v>
      </c>
      <c r="FW41">
        <v>-4.5860962081384599E-2</v>
      </c>
      <c r="FX41">
        <v>3.3605570590014042E-3</v>
      </c>
      <c r="FY41">
        <v>1</v>
      </c>
      <c r="FZ41">
        <v>2</v>
      </c>
      <c r="GA41">
        <v>2</v>
      </c>
      <c r="GB41" t="s">
        <v>423</v>
      </c>
      <c r="GC41">
        <v>2.9266800000000002</v>
      </c>
      <c r="GD41">
        <v>2.8275800000000002</v>
      </c>
      <c r="GE41">
        <v>7.5481000000000006E-2</v>
      </c>
      <c r="GF41">
        <v>8.8649800000000001E-2</v>
      </c>
      <c r="GG41">
        <v>0.129855</v>
      </c>
      <c r="GH41">
        <v>0.106086</v>
      </c>
      <c r="GI41">
        <v>30261.1</v>
      </c>
      <c r="GJ41">
        <v>24193</v>
      </c>
      <c r="GK41">
        <v>31493.3</v>
      </c>
      <c r="GL41">
        <v>26180.5</v>
      </c>
      <c r="GM41">
        <v>37564.6</v>
      </c>
      <c r="GN41">
        <v>31740.7</v>
      </c>
      <c r="GO41">
        <v>46773.1</v>
      </c>
      <c r="GP41">
        <v>38063.4</v>
      </c>
      <c r="GQ41">
        <v>1.94482</v>
      </c>
      <c r="GR41">
        <v>1.76895</v>
      </c>
      <c r="GS41">
        <v>5.2601099999999998E-2</v>
      </c>
      <c r="GT41">
        <v>0</v>
      </c>
      <c r="GU41">
        <v>29.139299999999999</v>
      </c>
      <c r="GV41">
        <v>999.9</v>
      </c>
      <c r="GW41">
        <v>40.700000000000003</v>
      </c>
      <c r="GX41">
        <v>41.9</v>
      </c>
      <c r="GY41">
        <v>33.633400000000002</v>
      </c>
      <c r="GZ41">
        <v>62.296300000000002</v>
      </c>
      <c r="HA41">
        <v>22.1675</v>
      </c>
      <c r="HB41">
        <v>1</v>
      </c>
      <c r="HC41">
        <v>0.36518499999999998</v>
      </c>
      <c r="HD41">
        <v>0.63471999999999995</v>
      </c>
      <c r="HE41">
        <v>20.295400000000001</v>
      </c>
      <c r="HF41">
        <v>5.2235800000000001</v>
      </c>
      <c r="HG41">
        <v>12.0579</v>
      </c>
      <c r="HH41">
        <v>4.9932499999999997</v>
      </c>
      <c r="HI41">
        <v>3.2919999999999998</v>
      </c>
      <c r="HJ41">
        <v>9999</v>
      </c>
      <c r="HK41">
        <v>9999</v>
      </c>
      <c r="HL41">
        <v>9999</v>
      </c>
      <c r="HM41">
        <v>462.1</v>
      </c>
      <c r="HN41">
        <v>1.8671</v>
      </c>
      <c r="HO41">
        <v>1.8705799999999999</v>
      </c>
      <c r="HP41">
        <v>1.87317</v>
      </c>
      <c r="HQ41">
        <v>1.87408</v>
      </c>
      <c r="HR41">
        <v>1.8708800000000001</v>
      </c>
      <c r="HS41">
        <v>1.8692</v>
      </c>
      <c r="HT41">
        <v>1.87073</v>
      </c>
      <c r="HU41">
        <v>1.8736999999999999</v>
      </c>
      <c r="HV41">
        <v>0</v>
      </c>
      <c r="HW41">
        <v>0</v>
      </c>
      <c r="HX41">
        <v>0</v>
      </c>
      <c r="HY41">
        <v>0</v>
      </c>
      <c r="HZ41" t="s">
        <v>424</v>
      </c>
      <c r="IA41" t="s">
        <v>425</v>
      </c>
      <c r="IB41" t="s">
        <v>426</v>
      </c>
      <c r="IC41" t="s">
        <v>426</v>
      </c>
      <c r="ID41" t="s">
        <v>426</v>
      </c>
      <c r="IE41" t="s">
        <v>426</v>
      </c>
      <c r="IF41">
        <v>0</v>
      </c>
      <c r="IG41">
        <v>100</v>
      </c>
      <c r="IH41">
        <v>100</v>
      </c>
      <c r="II41">
        <v>0.88100000000000001</v>
      </c>
      <c r="IJ41">
        <v>0.28060000000000002</v>
      </c>
      <c r="IK41">
        <v>0.12551863951441489</v>
      </c>
      <c r="IL41">
        <v>3.042515301972944E-3</v>
      </c>
      <c r="IM41">
        <v>-2.5091471490852929E-6</v>
      </c>
      <c r="IN41">
        <v>8.1339755115576286E-10</v>
      </c>
      <c r="IO41">
        <v>0.28060499999999422</v>
      </c>
      <c r="IP41">
        <v>0</v>
      </c>
      <c r="IQ41">
        <v>0</v>
      </c>
      <c r="IR41">
        <v>0</v>
      </c>
      <c r="IS41">
        <v>3</v>
      </c>
      <c r="IT41">
        <v>2004</v>
      </c>
      <c r="IU41">
        <v>2</v>
      </c>
      <c r="IV41">
        <v>22</v>
      </c>
      <c r="IW41">
        <v>1.2</v>
      </c>
      <c r="IX41">
        <v>1</v>
      </c>
      <c r="IY41">
        <v>1.03149</v>
      </c>
      <c r="IZ41">
        <v>2.6061999999999999</v>
      </c>
      <c r="JA41">
        <v>1.64917</v>
      </c>
      <c r="JB41">
        <v>2.33643</v>
      </c>
      <c r="JC41">
        <v>1.5991200000000001</v>
      </c>
      <c r="JD41">
        <v>2.34131</v>
      </c>
      <c r="JE41">
        <v>46.8264</v>
      </c>
      <c r="JF41">
        <v>23.877400000000002</v>
      </c>
      <c r="JG41">
        <v>18</v>
      </c>
      <c r="JH41">
        <v>521.74099999999999</v>
      </c>
      <c r="JI41">
        <v>455.71</v>
      </c>
      <c r="JJ41">
        <v>29.253699999999998</v>
      </c>
      <c r="JK41">
        <v>31.9114</v>
      </c>
      <c r="JL41">
        <v>30</v>
      </c>
      <c r="JM41">
        <v>32.023899999999998</v>
      </c>
      <c r="JN41">
        <v>32.038600000000002</v>
      </c>
      <c r="JO41">
        <v>20.659700000000001</v>
      </c>
      <c r="JP41">
        <v>42.769799999999996</v>
      </c>
      <c r="JQ41">
        <v>0</v>
      </c>
      <c r="JR41">
        <v>29.2498</v>
      </c>
      <c r="JS41">
        <v>400</v>
      </c>
      <c r="JT41">
        <v>21.9465</v>
      </c>
      <c r="JU41">
        <v>99.823999999999998</v>
      </c>
      <c r="JV41">
        <v>99.539400000000001</v>
      </c>
    </row>
    <row r="42" spans="1:282" x14ac:dyDescent="0.25">
      <c r="A42">
        <v>26</v>
      </c>
      <c r="B42">
        <v>1689003605.5999999</v>
      </c>
      <c r="C42">
        <v>4010.5</v>
      </c>
      <c r="D42" t="s">
        <v>550</v>
      </c>
      <c r="E42" t="s">
        <v>551</v>
      </c>
      <c r="F42" t="s">
        <v>414</v>
      </c>
      <c r="G42" t="s">
        <v>415</v>
      </c>
      <c r="H42" t="s">
        <v>500</v>
      </c>
      <c r="I42" t="s">
        <v>416</v>
      </c>
      <c r="J42" t="s">
        <v>501</v>
      </c>
      <c r="K42">
        <v>1689003605.5999999</v>
      </c>
      <c r="L42">
        <f t="shared" si="0"/>
        <v>6.3603197339795695E-3</v>
      </c>
      <c r="M42">
        <f t="shared" si="1"/>
        <v>6.3603197339795692</v>
      </c>
      <c r="N42">
        <f t="shared" si="2"/>
        <v>61.583883154132586</v>
      </c>
      <c r="O42">
        <f t="shared" si="3"/>
        <v>422.92200000000003</v>
      </c>
      <c r="P42">
        <f t="shared" si="4"/>
        <v>205.92366019930691</v>
      </c>
      <c r="Q42">
        <f t="shared" si="5"/>
        <v>20.454059699902821</v>
      </c>
      <c r="R42">
        <f t="shared" si="6"/>
        <v>42.008149175426404</v>
      </c>
      <c r="S42">
        <f t="shared" si="7"/>
        <v>0.50736937978669938</v>
      </c>
      <c r="T42">
        <f t="shared" si="8"/>
        <v>2.9172958472216441</v>
      </c>
      <c r="U42">
        <f t="shared" si="9"/>
        <v>0.4629588139135094</v>
      </c>
      <c r="V42">
        <f t="shared" si="10"/>
        <v>0.29301474353964629</v>
      </c>
      <c r="W42">
        <f t="shared" si="11"/>
        <v>289.57286627972854</v>
      </c>
      <c r="X42">
        <f t="shared" si="12"/>
        <v>31.101720606627637</v>
      </c>
      <c r="Y42">
        <f t="shared" si="13"/>
        <v>30.070499999999999</v>
      </c>
      <c r="Z42">
        <f t="shared" si="14"/>
        <v>4.2777327760085742</v>
      </c>
      <c r="AA42">
        <f t="shared" si="15"/>
        <v>65.495339809746611</v>
      </c>
      <c r="AB42">
        <f t="shared" si="16"/>
        <v>2.9628557533986801</v>
      </c>
      <c r="AC42">
        <f t="shared" si="17"/>
        <v>4.5237657549457682</v>
      </c>
      <c r="AD42">
        <f t="shared" si="18"/>
        <v>1.314877022609894</v>
      </c>
      <c r="AE42">
        <f t="shared" si="19"/>
        <v>-280.49010026849902</v>
      </c>
      <c r="AF42">
        <f t="shared" si="20"/>
        <v>153.7542432321884</v>
      </c>
      <c r="AG42">
        <f t="shared" si="21"/>
        <v>11.783914918416666</v>
      </c>
      <c r="AH42">
        <f t="shared" si="22"/>
        <v>174.62092416183458</v>
      </c>
      <c r="AI42">
        <v>0</v>
      </c>
      <c r="AJ42">
        <v>0</v>
      </c>
      <c r="AK42">
        <f t="shared" si="23"/>
        <v>1</v>
      </c>
      <c r="AL42">
        <f t="shared" si="24"/>
        <v>0</v>
      </c>
      <c r="AM42">
        <f t="shared" si="25"/>
        <v>51807.989485758575</v>
      </c>
      <c r="AN42" t="s">
        <v>418</v>
      </c>
      <c r="AO42">
        <v>10021</v>
      </c>
      <c r="AP42">
        <v>177.53923076923081</v>
      </c>
      <c r="AQ42">
        <v>655.56</v>
      </c>
      <c r="AR42">
        <f t="shared" si="26"/>
        <v>0.72917928066198234</v>
      </c>
      <c r="AS42">
        <v>-3.1115002560329539</v>
      </c>
      <c r="AT42" t="s">
        <v>552</v>
      </c>
      <c r="AU42">
        <v>8032.71</v>
      </c>
      <c r="AV42">
        <v>749.70788461538473</v>
      </c>
      <c r="AW42">
        <v>1220.638451299284</v>
      </c>
      <c r="AX42">
        <f t="shared" si="27"/>
        <v>0.385806760538001</v>
      </c>
      <c r="AY42">
        <v>0.5</v>
      </c>
      <c r="AZ42">
        <f t="shared" si="28"/>
        <v>1513.2183058444189</v>
      </c>
      <c r="BA42">
        <f t="shared" si="29"/>
        <v>61.583883154132586</v>
      </c>
      <c r="BB42">
        <f t="shared" si="30"/>
        <v>291.90492628231863</v>
      </c>
      <c r="BC42">
        <f t="shared" si="31"/>
        <v>4.2753503020876868E-2</v>
      </c>
      <c r="BD42">
        <f t="shared" si="32"/>
        <v>-0.46293679401775167</v>
      </c>
      <c r="BE42">
        <f t="shared" si="33"/>
        <v>202.98848024373899</v>
      </c>
      <c r="BF42" t="s">
        <v>553</v>
      </c>
      <c r="BG42">
        <v>575.53</v>
      </c>
      <c r="BH42">
        <f t="shared" si="34"/>
        <v>575.53</v>
      </c>
      <c r="BI42">
        <f t="shared" si="35"/>
        <v>0.52850084364670913</v>
      </c>
      <c r="BJ42">
        <f t="shared" si="36"/>
        <v>0.73000216589229161</v>
      </c>
      <c r="BK42">
        <f t="shared" si="37"/>
        <v>-7.0608328289302049</v>
      </c>
      <c r="BL42">
        <f t="shared" si="38"/>
        <v>0.45147245575027362</v>
      </c>
      <c r="BM42">
        <f t="shared" si="39"/>
        <v>-1.1821211287714719</v>
      </c>
      <c r="BN42">
        <f t="shared" si="40"/>
        <v>0.56040246495677437</v>
      </c>
      <c r="BO42">
        <f t="shared" si="41"/>
        <v>0.43959753504322563</v>
      </c>
      <c r="BP42">
        <v>22517</v>
      </c>
      <c r="BQ42">
        <v>290.00000000000011</v>
      </c>
      <c r="BR42">
        <v>1072.82</v>
      </c>
      <c r="BS42">
        <v>285</v>
      </c>
      <c r="BT42">
        <v>8032.71</v>
      </c>
      <c r="BU42">
        <v>1076.33</v>
      </c>
      <c r="BV42">
        <v>-3.51</v>
      </c>
      <c r="BW42">
        <v>300.00000000000011</v>
      </c>
      <c r="BX42">
        <v>19.399999999999999</v>
      </c>
      <c r="BY42">
        <v>1220.638451299284</v>
      </c>
      <c r="BZ42">
        <v>5.0631045279608884</v>
      </c>
      <c r="CA42">
        <v>-115.92147103557041</v>
      </c>
      <c r="CB42">
        <v>3.7360254937079058</v>
      </c>
      <c r="CC42">
        <v>0.97173823901055945</v>
      </c>
      <c r="CD42">
        <v>-4.1481363737486034E-3</v>
      </c>
      <c r="CE42">
        <v>289.99999999999989</v>
      </c>
      <c r="CF42">
        <v>1072.83</v>
      </c>
      <c r="CG42">
        <v>625</v>
      </c>
      <c r="CH42">
        <v>8023.87</v>
      </c>
      <c r="CI42">
        <v>1076.17</v>
      </c>
      <c r="CJ42">
        <v>-3.34</v>
      </c>
      <c r="CX42">
        <f t="shared" si="42"/>
        <v>1800.04</v>
      </c>
      <c r="CY42">
        <f t="shared" si="43"/>
        <v>1513.2183058444189</v>
      </c>
      <c r="CZ42">
        <f t="shared" si="44"/>
        <v>0.84065815528789301</v>
      </c>
      <c r="DA42">
        <f t="shared" si="45"/>
        <v>0.16087023970563352</v>
      </c>
      <c r="DB42">
        <v>6</v>
      </c>
      <c r="DC42">
        <v>0.5</v>
      </c>
      <c r="DD42" t="s">
        <v>421</v>
      </c>
      <c r="DE42">
        <v>2</v>
      </c>
      <c r="DF42">
        <v>1689003605.5999999</v>
      </c>
      <c r="DG42">
        <v>422.92200000000003</v>
      </c>
      <c r="DH42">
        <v>500.041</v>
      </c>
      <c r="DI42">
        <v>29.828900000000001</v>
      </c>
      <c r="DJ42">
        <v>22.4251</v>
      </c>
      <c r="DK42">
        <v>421.75400000000002</v>
      </c>
      <c r="DL42">
        <v>29.547899999999998</v>
      </c>
      <c r="DM42">
        <v>500.06200000000001</v>
      </c>
      <c r="DN42">
        <v>99.228700000000003</v>
      </c>
      <c r="DO42">
        <v>9.9661200000000005E-2</v>
      </c>
      <c r="DP42">
        <v>31.048100000000002</v>
      </c>
      <c r="DQ42">
        <v>30.070499999999999</v>
      </c>
      <c r="DR42">
        <v>999.9</v>
      </c>
      <c r="DS42">
        <v>0</v>
      </c>
      <c r="DT42">
        <v>0</v>
      </c>
      <c r="DU42">
        <v>10007.5</v>
      </c>
      <c r="DV42">
        <v>0</v>
      </c>
      <c r="DW42">
        <v>1987.89</v>
      </c>
      <c r="DX42">
        <v>-77.119799999999998</v>
      </c>
      <c r="DY42">
        <v>435.92500000000001</v>
      </c>
      <c r="DZ42">
        <v>511.512</v>
      </c>
      <c r="EA42">
        <v>7.40374</v>
      </c>
      <c r="EB42">
        <v>500.041</v>
      </c>
      <c r="EC42">
        <v>22.4251</v>
      </c>
      <c r="ED42">
        <v>2.9598800000000001</v>
      </c>
      <c r="EE42">
        <v>2.2252200000000002</v>
      </c>
      <c r="EF42">
        <v>23.803899999999999</v>
      </c>
      <c r="EG42">
        <v>19.145</v>
      </c>
      <c r="EH42">
        <v>1800.04</v>
      </c>
      <c r="EI42">
        <v>0.97799800000000003</v>
      </c>
      <c r="EJ42">
        <v>2.2001799999999998E-2</v>
      </c>
      <c r="EK42">
        <v>0</v>
      </c>
      <c r="EL42">
        <v>750.14099999999996</v>
      </c>
      <c r="EM42">
        <v>5.0011200000000002</v>
      </c>
      <c r="EN42">
        <v>15066.5</v>
      </c>
      <c r="EO42">
        <v>17211.3</v>
      </c>
      <c r="EP42">
        <v>47.875</v>
      </c>
      <c r="EQ42">
        <v>49.375</v>
      </c>
      <c r="ER42">
        <v>48.811999999999998</v>
      </c>
      <c r="ES42">
        <v>48.311999999999998</v>
      </c>
      <c r="ET42">
        <v>48.686999999999998</v>
      </c>
      <c r="EU42">
        <v>1755.54</v>
      </c>
      <c r="EV42">
        <v>39.49</v>
      </c>
      <c r="EW42">
        <v>0</v>
      </c>
      <c r="EX42">
        <v>111</v>
      </c>
      <c r="EY42">
        <v>0</v>
      </c>
      <c r="EZ42">
        <v>749.70788461538473</v>
      </c>
      <c r="FA42">
        <v>2.843384619998925</v>
      </c>
      <c r="FB42">
        <v>71.890598436327622</v>
      </c>
      <c r="FC42">
        <v>15065.74615384615</v>
      </c>
      <c r="FD42">
        <v>15</v>
      </c>
      <c r="FE42">
        <v>1689003573.5999999</v>
      </c>
      <c r="FF42" t="s">
        <v>554</v>
      </c>
      <c r="FG42">
        <v>1689003573.5999999</v>
      </c>
      <c r="FH42">
        <v>1689003573.5999999</v>
      </c>
      <c r="FI42">
        <v>29</v>
      </c>
      <c r="FJ42">
        <v>0.14399999999999999</v>
      </c>
      <c r="FK42">
        <v>0</v>
      </c>
      <c r="FL42">
        <v>1.264</v>
      </c>
      <c r="FM42">
        <v>0.28100000000000003</v>
      </c>
      <c r="FN42">
        <v>500</v>
      </c>
      <c r="FO42">
        <v>22</v>
      </c>
      <c r="FP42">
        <v>7.0000000000000007E-2</v>
      </c>
      <c r="FQ42">
        <v>0.03</v>
      </c>
      <c r="FR42">
        <v>61.606385853458107</v>
      </c>
      <c r="FS42">
        <v>-0.38450198234698008</v>
      </c>
      <c r="FT42">
        <v>4.990991533263435E-2</v>
      </c>
      <c r="FU42">
        <v>1</v>
      </c>
      <c r="FV42">
        <v>0.51378102831291161</v>
      </c>
      <c r="FW42">
        <v>4.1494549976822939E-3</v>
      </c>
      <c r="FX42">
        <v>3.5451362544901199E-3</v>
      </c>
      <c r="FY42">
        <v>1</v>
      </c>
      <c r="FZ42">
        <v>2</v>
      </c>
      <c r="GA42">
        <v>2</v>
      </c>
      <c r="GB42" t="s">
        <v>423</v>
      </c>
      <c r="GC42">
        <v>2.9266999999999999</v>
      </c>
      <c r="GD42">
        <v>2.8270200000000001</v>
      </c>
      <c r="GE42">
        <v>9.2127500000000001E-2</v>
      </c>
      <c r="GF42">
        <v>0.10488699999999999</v>
      </c>
      <c r="GG42">
        <v>0.13076399999999999</v>
      </c>
      <c r="GH42">
        <v>0.107741</v>
      </c>
      <c r="GI42">
        <v>29717.5</v>
      </c>
      <c r="GJ42">
        <v>23762.6</v>
      </c>
      <c r="GK42">
        <v>31494.400000000001</v>
      </c>
      <c r="GL42">
        <v>26181</v>
      </c>
      <c r="GM42">
        <v>37526.5</v>
      </c>
      <c r="GN42">
        <v>31682.9</v>
      </c>
      <c r="GO42">
        <v>46774.3</v>
      </c>
      <c r="GP42">
        <v>38064.6</v>
      </c>
      <c r="GQ42">
        <v>1.9439299999999999</v>
      </c>
      <c r="GR42">
        <v>1.7693300000000001</v>
      </c>
      <c r="GS42">
        <v>4.5746599999999998E-2</v>
      </c>
      <c r="GT42">
        <v>0</v>
      </c>
      <c r="GU42">
        <v>29.325700000000001</v>
      </c>
      <c r="GV42">
        <v>999.9</v>
      </c>
      <c r="GW42">
        <v>40.6</v>
      </c>
      <c r="GX42">
        <v>42</v>
      </c>
      <c r="GY42">
        <v>33.729199999999999</v>
      </c>
      <c r="GZ42">
        <v>62.606299999999997</v>
      </c>
      <c r="HA42">
        <v>22.271599999999999</v>
      </c>
      <c r="HB42">
        <v>1</v>
      </c>
      <c r="HC42">
        <v>0.36869400000000002</v>
      </c>
      <c r="HD42">
        <v>2.1647699999999999</v>
      </c>
      <c r="HE42">
        <v>20.282299999999999</v>
      </c>
      <c r="HF42">
        <v>5.2250800000000002</v>
      </c>
      <c r="HG42">
        <v>12.0603</v>
      </c>
      <c r="HH42">
        <v>4.9928999999999997</v>
      </c>
      <c r="HI42">
        <v>3.2918500000000002</v>
      </c>
      <c r="HJ42">
        <v>9999</v>
      </c>
      <c r="HK42">
        <v>9999</v>
      </c>
      <c r="HL42">
        <v>9999</v>
      </c>
      <c r="HM42">
        <v>462.1</v>
      </c>
      <c r="HN42">
        <v>1.86713</v>
      </c>
      <c r="HO42">
        <v>1.8705700000000001</v>
      </c>
      <c r="HP42">
        <v>1.8731800000000001</v>
      </c>
      <c r="HQ42">
        <v>1.87408</v>
      </c>
      <c r="HR42">
        <v>1.8708800000000001</v>
      </c>
      <c r="HS42">
        <v>1.8692200000000001</v>
      </c>
      <c r="HT42">
        <v>1.87073</v>
      </c>
      <c r="HU42">
        <v>1.8736900000000001</v>
      </c>
      <c r="HV42">
        <v>0</v>
      </c>
      <c r="HW42">
        <v>0</v>
      </c>
      <c r="HX42">
        <v>0</v>
      </c>
      <c r="HY42">
        <v>0</v>
      </c>
      <c r="HZ42" t="s">
        <v>424</v>
      </c>
      <c r="IA42" t="s">
        <v>425</v>
      </c>
      <c r="IB42" t="s">
        <v>426</v>
      </c>
      <c r="IC42" t="s">
        <v>426</v>
      </c>
      <c r="ID42" t="s">
        <v>426</v>
      </c>
      <c r="IE42" t="s">
        <v>426</v>
      </c>
      <c r="IF42">
        <v>0</v>
      </c>
      <c r="IG42">
        <v>100</v>
      </c>
      <c r="IH42">
        <v>100</v>
      </c>
      <c r="II42">
        <v>1.1679999999999999</v>
      </c>
      <c r="IJ42">
        <v>0.28100000000000003</v>
      </c>
      <c r="IK42">
        <v>0.26927570692401942</v>
      </c>
      <c r="IL42">
        <v>3.042515301972944E-3</v>
      </c>
      <c r="IM42">
        <v>-2.5091471490852929E-6</v>
      </c>
      <c r="IN42">
        <v>8.1339755115576286E-10</v>
      </c>
      <c r="IO42">
        <v>0.28093499999999949</v>
      </c>
      <c r="IP42">
        <v>0</v>
      </c>
      <c r="IQ42">
        <v>0</v>
      </c>
      <c r="IR42">
        <v>0</v>
      </c>
      <c r="IS42">
        <v>3</v>
      </c>
      <c r="IT42">
        <v>2004</v>
      </c>
      <c r="IU42">
        <v>2</v>
      </c>
      <c r="IV42">
        <v>22</v>
      </c>
      <c r="IW42">
        <v>0.5</v>
      </c>
      <c r="IX42">
        <v>0.5</v>
      </c>
      <c r="IY42">
        <v>1.2377899999999999</v>
      </c>
      <c r="IZ42">
        <v>2.6061999999999999</v>
      </c>
      <c r="JA42">
        <v>1.64917</v>
      </c>
      <c r="JB42">
        <v>2.33765</v>
      </c>
      <c r="JC42">
        <v>1.5991200000000001</v>
      </c>
      <c r="JD42">
        <v>2.2314500000000002</v>
      </c>
      <c r="JE42">
        <v>46.944800000000001</v>
      </c>
      <c r="JF42">
        <v>23.851099999999999</v>
      </c>
      <c r="JG42">
        <v>18</v>
      </c>
      <c r="JH42">
        <v>521.03499999999997</v>
      </c>
      <c r="JI42">
        <v>455.82</v>
      </c>
      <c r="JJ42">
        <v>28.294</v>
      </c>
      <c r="JK42">
        <v>31.905799999999999</v>
      </c>
      <c r="JL42">
        <v>30.000399999999999</v>
      </c>
      <c r="JM42">
        <v>32.009799999999998</v>
      </c>
      <c r="JN42">
        <v>32.020499999999998</v>
      </c>
      <c r="JO42">
        <v>24.7789</v>
      </c>
      <c r="JP42">
        <v>41.471200000000003</v>
      </c>
      <c r="JQ42">
        <v>0</v>
      </c>
      <c r="JR42">
        <v>28.2133</v>
      </c>
      <c r="JS42">
        <v>500</v>
      </c>
      <c r="JT42">
        <v>22.398</v>
      </c>
      <c r="JU42">
        <v>99.826999999999998</v>
      </c>
      <c r="JV42">
        <v>99.542000000000002</v>
      </c>
    </row>
    <row r="43" spans="1:282" x14ac:dyDescent="0.25">
      <c r="A43">
        <v>27</v>
      </c>
      <c r="B43">
        <v>1689003758.5999999</v>
      </c>
      <c r="C43">
        <v>4163.5</v>
      </c>
      <c r="D43" t="s">
        <v>555</v>
      </c>
      <c r="E43" t="s">
        <v>556</v>
      </c>
      <c r="F43" t="s">
        <v>414</v>
      </c>
      <c r="G43" t="s">
        <v>415</v>
      </c>
      <c r="H43" t="s">
        <v>500</v>
      </c>
      <c r="I43" t="s">
        <v>416</v>
      </c>
      <c r="J43" t="s">
        <v>501</v>
      </c>
      <c r="K43">
        <v>1689003758.5999999</v>
      </c>
      <c r="L43">
        <f t="shared" si="0"/>
        <v>5.8920896646279444E-3</v>
      </c>
      <c r="M43">
        <f t="shared" si="1"/>
        <v>5.8920896646279441</v>
      </c>
      <c r="N43">
        <f t="shared" si="2"/>
        <v>63.384078274024496</v>
      </c>
      <c r="O43">
        <f t="shared" si="3"/>
        <v>619.56399999999996</v>
      </c>
      <c r="P43">
        <f t="shared" si="4"/>
        <v>369.087272551458</v>
      </c>
      <c r="Q43">
        <f t="shared" si="5"/>
        <v>36.661335659552364</v>
      </c>
      <c r="R43">
        <f t="shared" si="6"/>
        <v>61.541119013818388</v>
      </c>
      <c r="S43">
        <f t="shared" si="7"/>
        <v>0.45471650453457263</v>
      </c>
      <c r="T43">
        <f t="shared" si="8"/>
        <v>2.9172156010835781</v>
      </c>
      <c r="U43">
        <f t="shared" si="9"/>
        <v>0.41869402864184352</v>
      </c>
      <c r="V43">
        <f t="shared" si="10"/>
        <v>0.26468203222634867</v>
      </c>
      <c r="W43">
        <f t="shared" si="11"/>
        <v>289.55529757725247</v>
      </c>
      <c r="X43">
        <f t="shared" si="12"/>
        <v>31.013849493698793</v>
      </c>
      <c r="Y43">
        <f t="shared" si="13"/>
        <v>30.0124</v>
      </c>
      <c r="Z43">
        <f t="shared" si="14"/>
        <v>4.2634852019889324</v>
      </c>
      <c r="AA43">
        <f t="shared" si="15"/>
        <v>65.239300167339721</v>
      </c>
      <c r="AB43">
        <f t="shared" si="16"/>
        <v>2.9161815352071594</v>
      </c>
      <c r="AC43">
        <f t="shared" si="17"/>
        <v>4.469976728332635</v>
      </c>
      <c r="AD43">
        <f t="shared" si="18"/>
        <v>1.347303666781773</v>
      </c>
      <c r="AE43">
        <f t="shared" si="19"/>
        <v>-259.84115421009233</v>
      </c>
      <c r="AF43">
        <f t="shared" si="20"/>
        <v>129.90743810312043</v>
      </c>
      <c r="AG43">
        <f t="shared" si="21"/>
        <v>9.9433631856889892</v>
      </c>
      <c r="AH43">
        <f t="shared" si="22"/>
        <v>169.56494465596958</v>
      </c>
      <c r="AI43">
        <v>0</v>
      </c>
      <c r="AJ43">
        <v>0</v>
      </c>
      <c r="AK43">
        <f t="shared" si="23"/>
        <v>1</v>
      </c>
      <c r="AL43">
        <f t="shared" si="24"/>
        <v>0</v>
      </c>
      <c r="AM43">
        <f t="shared" si="25"/>
        <v>51841.496478460569</v>
      </c>
      <c r="AN43" t="s">
        <v>418</v>
      </c>
      <c r="AO43">
        <v>10021</v>
      </c>
      <c r="AP43">
        <v>177.53923076923081</v>
      </c>
      <c r="AQ43">
        <v>655.56</v>
      </c>
      <c r="AR43">
        <f t="shared" si="26"/>
        <v>0.72917928066198234</v>
      </c>
      <c r="AS43">
        <v>-3.1115002560329539</v>
      </c>
      <c r="AT43" t="s">
        <v>557</v>
      </c>
      <c r="AU43">
        <v>8032.53</v>
      </c>
      <c r="AV43">
        <v>754.24212000000011</v>
      </c>
      <c r="AW43">
        <v>1247.6732389958729</v>
      </c>
      <c r="AX43">
        <f t="shared" si="27"/>
        <v>0.39548104709930787</v>
      </c>
      <c r="AY43">
        <v>0.5</v>
      </c>
      <c r="AZ43">
        <f t="shared" si="28"/>
        <v>1513.125899262825</v>
      </c>
      <c r="BA43">
        <f t="shared" si="29"/>
        <v>63.384078274024496</v>
      </c>
      <c r="BB43">
        <f t="shared" si="30"/>
        <v>299.20630751677191</v>
      </c>
      <c r="BC43">
        <f t="shared" si="31"/>
        <v>4.3945833299432129E-2</v>
      </c>
      <c r="BD43">
        <f t="shared" si="32"/>
        <v>-0.47457396735735513</v>
      </c>
      <c r="BE43">
        <f t="shared" si="33"/>
        <v>203.72256394594416</v>
      </c>
      <c r="BF43" t="s">
        <v>558</v>
      </c>
      <c r="BG43">
        <v>577.16999999999996</v>
      </c>
      <c r="BH43">
        <f t="shared" si="34"/>
        <v>577.16999999999996</v>
      </c>
      <c r="BI43">
        <f t="shared" si="35"/>
        <v>0.53740291771865989</v>
      </c>
      <c r="BJ43">
        <f t="shared" si="36"/>
        <v>0.73591161130678739</v>
      </c>
      <c r="BK43">
        <f t="shared" si="37"/>
        <v>-7.5534282305890175</v>
      </c>
      <c r="BL43">
        <f t="shared" si="38"/>
        <v>0.46109283061992906</v>
      </c>
      <c r="BM43">
        <f t="shared" si="39"/>
        <v>-1.2386768046683441</v>
      </c>
      <c r="BN43">
        <f t="shared" si="40"/>
        <v>0.56314291317745335</v>
      </c>
      <c r="BO43">
        <f t="shared" si="41"/>
        <v>0.43685708682254665</v>
      </c>
      <c r="BP43">
        <v>22519</v>
      </c>
      <c r="BQ43">
        <v>290.00000000000011</v>
      </c>
      <c r="BR43">
        <v>1092.5899999999999</v>
      </c>
      <c r="BS43">
        <v>285</v>
      </c>
      <c r="BT43">
        <v>8032.53</v>
      </c>
      <c r="BU43">
        <v>1095.8499999999999</v>
      </c>
      <c r="BV43">
        <v>-3.26</v>
      </c>
      <c r="BW43">
        <v>300.00000000000011</v>
      </c>
      <c r="BX43">
        <v>19.399999999999999</v>
      </c>
      <c r="BY43">
        <v>1247.6732389958729</v>
      </c>
      <c r="BZ43">
        <v>6.0569012428245452</v>
      </c>
      <c r="CA43">
        <v>-121.9546128147299</v>
      </c>
      <c r="CB43">
        <v>4.4692256243275024</v>
      </c>
      <c r="CC43">
        <v>0.96375945019554266</v>
      </c>
      <c r="CD43">
        <v>-4.1480927697441746E-3</v>
      </c>
      <c r="CE43">
        <v>289.99999999999989</v>
      </c>
      <c r="CF43">
        <v>1092.4000000000001</v>
      </c>
      <c r="CG43">
        <v>675</v>
      </c>
      <c r="CH43">
        <v>8022.17</v>
      </c>
      <c r="CI43">
        <v>1095.6500000000001</v>
      </c>
      <c r="CJ43">
        <v>-3.25</v>
      </c>
      <c r="CX43">
        <f t="shared" si="42"/>
        <v>1799.93</v>
      </c>
      <c r="CY43">
        <f t="shared" si="43"/>
        <v>1513.125899262825</v>
      </c>
      <c r="CZ43">
        <f t="shared" si="44"/>
        <v>0.84065819185347479</v>
      </c>
      <c r="DA43">
        <f t="shared" si="45"/>
        <v>0.16087031027720661</v>
      </c>
      <c r="DB43">
        <v>6</v>
      </c>
      <c r="DC43">
        <v>0.5</v>
      </c>
      <c r="DD43" t="s">
        <v>421</v>
      </c>
      <c r="DE43">
        <v>2</v>
      </c>
      <c r="DF43">
        <v>1689003758.5999999</v>
      </c>
      <c r="DG43">
        <v>619.56399999999996</v>
      </c>
      <c r="DH43">
        <v>699.99699999999996</v>
      </c>
      <c r="DI43">
        <v>29.358599999999999</v>
      </c>
      <c r="DJ43">
        <v>22.496400000000001</v>
      </c>
      <c r="DK43">
        <v>618.41700000000003</v>
      </c>
      <c r="DL43">
        <v>29.078199999999999</v>
      </c>
      <c r="DM43">
        <v>500.053</v>
      </c>
      <c r="DN43">
        <v>99.230099999999993</v>
      </c>
      <c r="DO43">
        <v>9.9620600000000004E-2</v>
      </c>
      <c r="DP43">
        <v>30.8384</v>
      </c>
      <c r="DQ43">
        <v>30.0124</v>
      </c>
      <c r="DR43">
        <v>999.9</v>
      </c>
      <c r="DS43">
        <v>0</v>
      </c>
      <c r="DT43">
        <v>0</v>
      </c>
      <c r="DU43">
        <v>10006.9</v>
      </c>
      <c r="DV43">
        <v>0</v>
      </c>
      <c r="DW43">
        <v>2056.15</v>
      </c>
      <c r="DX43">
        <v>-80.433099999999996</v>
      </c>
      <c r="DY43">
        <v>638.30399999999997</v>
      </c>
      <c r="DZ43">
        <v>716.10699999999997</v>
      </c>
      <c r="EA43">
        <v>6.86219</v>
      </c>
      <c r="EB43">
        <v>699.99699999999996</v>
      </c>
      <c r="EC43">
        <v>22.496400000000001</v>
      </c>
      <c r="ED43">
        <v>2.9132600000000002</v>
      </c>
      <c r="EE43">
        <v>2.2323200000000001</v>
      </c>
      <c r="EF43">
        <v>23.540299999999998</v>
      </c>
      <c r="EG43">
        <v>19.196200000000001</v>
      </c>
      <c r="EH43">
        <v>1799.93</v>
      </c>
      <c r="EI43">
        <v>0.97799800000000003</v>
      </c>
      <c r="EJ43">
        <v>2.2001799999999998E-2</v>
      </c>
      <c r="EK43">
        <v>0</v>
      </c>
      <c r="EL43">
        <v>753.93299999999999</v>
      </c>
      <c r="EM43">
        <v>5.0011200000000002</v>
      </c>
      <c r="EN43">
        <v>15183.9</v>
      </c>
      <c r="EO43">
        <v>17210.2</v>
      </c>
      <c r="EP43">
        <v>47.75</v>
      </c>
      <c r="EQ43">
        <v>49.375</v>
      </c>
      <c r="ER43">
        <v>48.686999999999998</v>
      </c>
      <c r="ES43">
        <v>48.311999999999998</v>
      </c>
      <c r="ET43">
        <v>47.875</v>
      </c>
      <c r="EU43">
        <v>1755.44</v>
      </c>
      <c r="EV43">
        <v>39.49</v>
      </c>
      <c r="EW43">
        <v>0</v>
      </c>
      <c r="EX43">
        <v>150.79999995231631</v>
      </c>
      <c r="EY43">
        <v>0</v>
      </c>
      <c r="EZ43">
        <v>754.24212000000011</v>
      </c>
      <c r="FA43">
        <v>-1.1161538372612401</v>
      </c>
      <c r="FB43">
        <v>-62.815384636197003</v>
      </c>
      <c r="FC43">
        <v>15188.04</v>
      </c>
      <c r="FD43">
        <v>15</v>
      </c>
      <c r="FE43">
        <v>1689003724.0999999</v>
      </c>
      <c r="FF43" t="s">
        <v>559</v>
      </c>
      <c r="FG43">
        <v>1689003723.5999999</v>
      </c>
      <c r="FH43">
        <v>1689003724.0999999</v>
      </c>
      <c r="FI43">
        <v>30</v>
      </c>
      <c r="FJ43">
        <v>-0.23699999999999999</v>
      </c>
      <c r="FK43">
        <v>-1E-3</v>
      </c>
      <c r="FL43">
        <v>1.2110000000000001</v>
      </c>
      <c r="FM43">
        <v>0.28000000000000003</v>
      </c>
      <c r="FN43">
        <v>700</v>
      </c>
      <c r="FO43">
        <v>22</v>
      </c>
      <c r="FP43">
        <v>0.05</v>
      </c>
      <c r="FQ43">
        <v>0.02</v>
      </c>
      <c r="FR43">
        <v>63.527449156013439</v>
      </c>
      <c r="FS43">
        <v>-0.221594252942442</v>
      </c>
      <c r="FT43">
        <v>6.4670935941785843E-2</v>
      </c>
      <c r="FU43">
        <v>1</v>
      </c>
      <c r="FV43">
        <v>0.46212878513111411</v>
      </c>
      <c r="FW43">
        <v>-4.9337138160289278E-2</v>
      </c>
      <c r="FX43">
        <v>3.698505218399685E-3</v>
      </c>
      <c r="FY43">
        <v>1</v>
      </c>
      <c r="FZ43">
        <v>2</v>
      </c>
      <c r="GA43">
        <v>2</v>
      </c>
      <c r="GB43" t="s">
        <v>423</v>
      </c>
      <c r="GC43">
        <v>2.92665</v>
      </c>
      <c r="GD43">
        <v>2.8269700000000002</v>
      </c>
      <c r="GE43">
        <v>0.12193</v>
      </c>
      <c r="GF43">
        <v>0.13319</v>
      </c>
      <c r="GG43">
        <v>0.129328</v>
      </c>
      <c r="GH43">
        <v>0.10798199999999999</v>
      </c>
      <c r="GI43">
        <v>28740.799999999999</v>
      </c>
      <c r="GJ43">
        <v>23009.1</v>
      </c>
      <c r="GK43">
        <v>31493.5</v>
      </c>
      <c r="GL43">
        <v>26178.7</v>
      </c>
      <c r="GM43">
        <v>37588.699999999997</v>
      </c>
      <c r="GN43">
        <v>31671.8</v>
      </c>
      <c r="GO43">
        <v>46773.4</v>
      </c>
      <c r="GP43">
        <v>38061.199999999997</v>
      </c>
      <c r="GQ43">
        <v>1.94333</v>
      </c>
      <c r="GR43">
        <v>1.7685999999999999</v>
      </c>
      <c r="GS43">
        <v>3.9301799999999998E-2</v>
      </c>
      <c r="GT43">
        <v>0</v>
      </c>
      <c r="GU43">
        <v>29.372499999999999</v>
      </c>
      <c r="GV43">
        <v>999.9</v>
      </c>
      <c r="GW43">
        <v>40.4</v>
      </c>
      <c r="GX43">
        <v>42.2</v>
      </c>
      <c r="GY43">
        <v>33.917000000000002</v>
      </c>
      <c r="GZ43">
        <v>62.366300000000003</v>
      </c>
      <c r="HA43">
        <v>22.431899999999999</v>
      </c>
      <c r="HB43">
        <v>1</v>
      </c>
      <c r="HC43">
        <v>0.36787599999999998</v>
      </c>
      <c r="HD43">
        <v>1.4617500000000001</v>
      </c>
      <c r="HE43">
        <v>20.289000000000001</v>
      </c>
      <c r="HF43">
        <v>5.2219300000000004</v>
      </c>
      <c r="HG43">
        <v>12.058299999999999</v>
      </c>
      <c r="HH43">
        <v>4.9913499999999997</v>
      </c>
      <c r="HI43">
        <v>3.2912499999999998</v>
      </c>
      <c r="HJ43">
        <v>9999</v>
      </c>
      <c r="HK43">
        <v>9999</v>
      </c>
      <c r="HL43">
        <v>9999</v>
      </c>
      <c r="HM43">
        <v>462.2</v>
      </c>
      <c r="HN43">
        <v>1.8670899999999999</v>
      </c>
      <c r="HO43">
        <v>1.8705700000000001</v>
      </c>
      <c r="HP43">
        <v>1.87317</v>
      </c>
      <c r="HQ43">
        <v>1.87408</v>
      </c>
      <c r="HR43">
        <v>1.8708800000000001</v>
      </c>
      <c r="HS43">
        <v>1.8692</v>
      </c>
      <c r="HT43">
        <v>1.87073</v>
      </c>
      <c r="HU43">
        <v>1.8736600000000001</v>
      </c>
      <c r="HV43">
        <v>0</v>
      </c>
      <c r="HW43">
        <v>0</v>
      </c>
      <c r="HX43">
        <v>0</v>
      </c>
      <c r="HY43">
        <v>0</v>
      </c>
      <c r="HZ43" t="s">
        <v>424</v>
      </c>
      <c r="IA43" t="s">
        <v>425</v>
      </c>
      <c r="IB43" t="s">
        <v>426</v>
      </c>
      <c r="IC43" t="s">
        <v>426</v>
      </c>
      <c r="ID43" t="s">
        <v>426</v>
      </c>
      <c r="IE43" t="s">
        <v>426</v>
      </c>
      <c r="IF43">
        <v>0</v>
      </c>
      <c r="IG43">
        <v>100</v>
      </c>
      <c r="IH43">
        <v>100</v>
      </c>
      <c r="II43">
        <v>1.147</v>
      </c>
      <c r="IJ43">
        <v>0.28039999999999998</v>
      </c>
      <c r="IK43">
        <v>3.2578010998470443E-2</v>
      </c>
      <c r="IL43">
        <v>3.042515301972944E-3</v>
      </c>
      <c r="IM43">
        <v>-2.5091471490852929E-6</v>
      </c>
      <c r="IN43">
        <v>8.1339755115576286E-10</v>
      </c>
      <c r="IO43">
        <v>0.28039000000000769</v>
      </c>
      <c r="IP43">
        <v>0</v>
      </c>
      <c r="IQ43">
        <v>0</v>
      </c>
      <c r="IR43">
        <v>0</v>
      </c>
      <c r="IS43">
        <v>3</v>
      </c>
      <c r="IT43">
        <v>2004</v>
      </c>
      <c r="IU43">
        <v>2</v>
      </c>
      <c r="IV43">
        <v>22</v>
      </c>
      <c r="IW43">
        <v>0.6</v>
      </c>
      <c r="IX43">
        <v>0.6</v>
      </c>
      <c r="IY43">
        <v>1.62964</v>
      </c>
      <c r="IZ43">
        <v>2.5964399999999999</v>
      </c>
      <c r="JA43">
        <v>1.64917</v>
      </c>
      <c r="JB43">
        <v>2.33765</v>
      </c>
      <c r="JC43">
        <v>1.5991200000000001</v>
      </c>
      <c r="JD43">
        <v>2.2375500000000001</v>
      </c>
      <c r="JE43">
        <v>47.093200000000003</v>
      </c>
      <c r="JF43">
        <v>23.877400000000002</v>
      </c>
      <c r="JG43">
        <v>18</v>
      </c>
      <c r="JH43">
        <v>520.68499999999995</v>
      </c>
      <c r="JI43">
        <v>455.38</v>
      </c>
      <c r="JJ43">
        <v>28.501000000000001</v>
      </c>
      <c r="JK43">
        <v>31.9283</v>
      </c>
      <c r="JL43">
        <v>30.0001</v>
      </c>
      <c r="JM43">
        <v>32.015599999999999</v>
      </c>
      <c r="JN43">
        <v>32.0261</v>
      </c>
      <c r="JO43">
        <v>32.613700000000001</v>
      </c>
      <c r="JP43">
        <v>41.613999999999997</v>
      </c>
      <c r="JQ43">
        <v>0</v>
      </c>
      <c r="JR43">
        <v>28.475999999999999</v>
      </c>
      <c r="JS43">
        <v>700</v>
      </c>
      <c r="JT43">
        <v>22.529599999999999</v>
      </c>
      <c r="JU43">
        <v>99.824600000000004</v>
      </c>
      <c r="JV43">
        <v>99.533100000000005</v>
      </c>
    </row>
    <row r="44" spans="1:282" x14ac:dyDescent="0.25">
      <c r="A44">
        <v>28</v>
      </c>
      <c r="B44">
        <v>1689003877.0999999</v>
      </c>
      <c r="C44">
        <v>4282</v>
      </c>
      <c r="D44" t="s">
        <v>560</v>
      </c>
      <c r="E44" t="s">
        <v>561</v>
      </c>
      <c r="F44" t="s">
        <v>414</v>
      </c>
      <c r="G44" t="s">
        <v>415</v>
      </c>
      <c r="H44" t="s">
        <v>500</v>
      </c>
      <c r="I44" t="s">
        <v>416</v>
      </c>
      <c r="J44" t="s">
        <v>501</v>
      </c>
      <c r="K44">
        <v>1689003877.0999999</v>
      </c>
      <c r="L44">
        <f t="shared" si="0"/>
        <v>5.2207492925175252E-3</v>
      </c>
      <c r="M44">
        <f t="shared" si="1"/>
        <v>5.2207492925175254</v>
      </c>
      <c r="N44">
        <f t="shared" si="2"/>
        <v>63.245747254098305</v>
      </c>
      <c r="O44">
        <f t="shared" si="3"/>
        <v>818.88699999999994</v>
      </c>
      <c r="P44">
        <f t="shared" si="4"/>
        <v>531.26144897325253</v>
      </c>
      <c r="Q44">
        <f t="shared" si="5"/>
        <v>52.767958228207668</v>
      </c>
      <c r="R44">
        <f t="shared" si="6"/>
        <v>81.336590661969609</v>
      </c>
      <c r="S44">
        <f t="shared" si="7"/>
        <v>0.39528547854061086</v>
      </c>
      <c r="T44">
        <f t="shared" si="8"/>
        <v>2.9130911570454856</v>
      </c>
      <c r="U44">
        <f t="shared" si="9"/>
        <v>0.36772243404585908</v>
      </c>
      <c r="V44">
        <f t="shared" si="10"/>
        <v>0.23214259058568293</v>
      </c>
      <c r="W44">
        <f t="shared" si="11"/>
        <v>289.57444957734731</v>
      </c>
      <c r="X44">
        <f t="shared" si="12"/>
        <v>31.053068507049563</v>
      </c>
      <c r="Y44">
        <f t="shared" si="13"/>
        <v>29.944299999999998</v>
      </c>
      <c r="Z44">
        <f t="shared" si="14"/>
        <v>4.2468380378783284</v>
      </c>
      <c r="AA44">
        <f t="shared" si="15"/>
        <v>65.097627751441422</v>
      </c>
      <c r="AB44">
        <f t="shared" si="16"/>
        <v>2.8873011220752001</v>
      </c>
      <c r="AC44">
        <f t="shared" si="17"/>
        <v>4.4353399990236477</v>
      </c>
      <c r="AD44">
        <f t="shared" si="18"/>
        <v>1.3595369158031283</v>
      </c>
      <c r="AE44">
        <f t="shared" si="19"/>
        <v>-230.23504380002285</v>
      </c>
      <c r="AF44">
        <f t="shared" si="20"/>
        <v>119.02862735060086</v>
      </c>
      <c r="AG44">
        <f t="shared" si="21"/>
        <v>9.1143633504067179</v>
      </c>
      <c r="AH44">
        <f t="shared" si="22"/>
        <v>187.48239647833205</v>
      </c>
      <c r="AI44">
        <v>0</v>
      </c>
      <c r="AJ44">
        <v>0</v>
      </c>
      <c r="AK44">
        <f t="shared" si="23"/>
        <v>1</v>
      </c>
      <c r="AL44">
        <f t="shared" si="24"/>
        <v>0</v>
      </c>
      <c r="AM44">
        <f t="shared" si="25"/>
        <v>51747.508428573514</v>
      </c>
      <c r="AN44" t="s">
        <v>418</v>
      </c>
      <c r="AO44">
        <v>10021</v>
      </c>
      <c r="AP44">
        <v>177.53923076923081</v>
      </c>
      <c r="AQ44">
        <v>655.56</v>
      </c>
      <c r="AR44">
        <f t="shared" si="26"/>
        <v>0.72917928066198234</v>
      </c>
      <c r="AS44">
        <v>-3.1115002560329539</v>
      </c>
      <c r="AT44" t="s">
        <v>562</v>
      </c>
      <c r="AU44">
        <v>8031.74</v>
      </c>
      <c r="AV44">
        <v>751.83480769230766</v>
      </c>
      <c r="AW44">
        <v>1263.3864772822169</v>
      </c>
      <c r="AX44">
        <f t="shared" si="27"/>
        <v>0.40490513298064856</v>
      </c>
      <c r="AY44">
        <v>0.5</v>
      </c>
      <c r="AZ44">
        <f t="shared" si="28"/>
        <v>1513.2266992628743</v>
      </c>
      <c r="BA44">
        <f t="shared" si="29"/>
        <v>63.245747254098305</v>
      </c>
      <c r="BB44">
        <f t="shared" si="30"/>
        <v>306.35662894745099</v>
      </c>
      <c r="BC44">
        <f t="shared" si="31"/>
        <v>4.3851491347896072E-2</v>
      </c>
      <c r="BD44">
        <f t="shared" si="32"/>
        <v>-0.4811088991468126</v>
      </c>
      <c r="BE44">
        <f t="shared" si="33"/>
        <v>204.13712618584816</v>
      </c>
      <c r="BF44" t="s">
        <v>563</v>
      </c>
      <c r="BG44">
        <v>580.23</v>
      </c>
      <c r="BH44">
        <f t="shared" si="34"/>
        <v>580.23</v>
      </c>
      <c r="BI44">
        <f t="shared" si="35"/>
        <v>0.5407343592530891</v>
      </c>
      <c r="BJ44">
        <f t="shared" si="36"/>
        <v>0.74880600067645053</v>
      </c>
      <c r="BK44">
        <f t="shared" si="37"/>
        <v>-8.0688500900334201</v>
      </c>
      <c r="BL44">
        <f t="shared" si="38"/>
        <v>0.4711083177055248</v>
      </c>
      <c r="BM44">
        <f t="shared" si="39"/>
        <v>-1.2715482598388583</v>
      </c>
      <c r="BN44">
        <f t="shared" si="40"/>
        <v>0.57789251219439419</v>
      </c>
      <c r="BO44">
        <f t="shared" si="41"/>
        <v>0.42210748780560581</v>
      </c>
      <c r="BP44">
        <v>22521</v>
      </c>
      <c r="BQ44">
        <v>290.00000000000011</v>
      </c>
      <c r="BR44">
        <v>1093.78</v>
      </c>
      <c r="BS44">
        <v>285</v>
      </c>
      <c r="BT44">
        <v>8031.74</v>
      </c>
      <c r="BU44">
        <v>1097.5</v>
      </c>
      <c r="BV44">
        <v>-3.72</v>
      </c>
      <c r="BW44">
        <v>300.00000000000011</v>
      </c>
      <c r="BX44">
        <v>19.399999999999999</v>
      </c>
      <c r="BY44">
        <v>1263.3864772822169</v>
      </c>
      <c r="BZ44">
        <v>5.324343030715653</v>
      </c>
      <c r="CA44">
        <v>-133.23766429749969</v>
      </c>
      <c r="CB44">
        <v>3.9282922704866712</v>
      </c>
      <c r="CC44">
        <v>0.97623883795879451</v>
      </c>
      <c r="CD44">
        <v>-4.1478487208008947E-3</v>
      </c>
      <c r="CE44">
        <v>289.99999999999989</v>
      </c>
      <c r="CF44">
        <v>1093.56</v>
      </c>
      <c r="CG44">
        <v>645</v>
      </c>
      <c r="CH44">
        <v>8022.22</v>
      </c>
      <c r="CI44">
        <v>1097.3</v>
      </c>
      <c r="CJ44">
        <v>-3.74</v>
      </c>
      <c r="CX44">
        <f t="shared" si="42"/>
        <v>1800.05</v>
      </c>
      <c r="CY44">
        <f t="shared" si="43"/>
        <v>1513.2266992628743</v>
      </c>
      <c r="CZ44">
        <f t="shared" si="44"/>
        <v>0.84065814797526417</v>
      </c>
      <c r="DA44">
        <f t="shared" si="45"/>
        <v>0.16087022559225983</v>
      </c>
      <c r="DB44">
        <v>6</v>
      </c>
      <c r="DC44">
        <v>0.5</v>
      </c>
      <c r="DD44" t="s">
        <v>421</v>
      </c>
      <c r="DE44">
        <v>2</v>
      </c>
      <c r="DF44">
        <v>1689003877.0999999</v>
      </c>
      <c r="DG44">
        <v>818.88699999999994</v>
      </c>
      <c r="DH44">
        <v>899.923</v>
      </c>
      <c r="DI44">
        <v>29.068999999999999</v>
      </c>
      <c r="DJ44">
        <v>22.985399999999998</v>
      </c>
      <c r="DK44">
        <v>817.69899999999996</v>
      </c>
      <c r="DL44">
        <v>28.7911</v>
      </c>
      <c r="DM44">
        <v>499.93299999999999</v>
      </c>
      <c r="DN44">
        <v>99.225999999999999</v>
      </c>
      <c r="DO44">
        <v>9.9780800000000003E-2</v>
      </c>
      <c r="DP44">
        <v>30.702200000000001</v>
      </c>
      <c r="DQ44">
        <v>29.944299999999998</v>
      </c>
      <c r="DR44">
        <v>999.9</v>
      </c>
      <c r="DS44">
        <v>0</v>
      </c>
      <c r="DT44">
        <v>0</v>
      </c>
      <c r="DU44">
        <v>9983.75</v>
      </c>
      <c r="DV44">
        <v>0</v>
      </c>
      <c r="DW44">
        <v>1764.18</v>
      </c>
      <c r="DX44">
        <v>-81.036100000000005</v>
      </c>
      <c r="DY44">
        <v>843.404</v>
      </c>
      <c r="DZ44">
        <v>921.09500000000003</v>
      </c>
      <c r="EA44">
        <v>6.0836100000000002</v>
      </c>
      <c r="EB44">
        <v>899.923</v>
      </c>
      <c r="EC44">
        <v>22.985399999999998</v>
      </c>
      <c r="ED44">
        <v>2.8843999999999999</v>
      </c>
      <c r="EE44">
        <v>2.2807499999999998</v>
      </c>
      <c r="EF44">
        <v>23.3752</v>
      </c>
      <c r="EG44">
        <v>19.5411</v>
      </c>
      <c r="EH44">
        <v>1800.05</v>
      </c>
      <c r="EI44">
        <v>0.97800200000000004</v>
      </c>
      <c r="EJ44">
        <v>2.19981E-2</v>
      </c>
      <c r="EK44">
        <v>0</v>
      </c>
      <c r="EL44">
        <v>751.47400000000005</v>
      </c>
      <c r="EM44">
        <v>5.0011200000000002</v>
      </c>
      <c r="EN44">
        <v>15058.1</v>
      </c>
      <c r="EO44">
        <v>17211.400000000001</v>
      </c>
      <c r="EP44">
        <v>47.811999999999998</v>
      </c>
      <c r="EQ44">
        <v>49.436999999999998</v>
      </c>
      <c r="ER44">
        <v>48.686999999999998</v>
      </c>
      <c r="ES44">
        <v>48.311999999999998</v>
      </c>
      <c r="ET44">
        <v>47.936999999999998</v>
      </c>
      <c r="EU44">
        <v>1755.56</v>
      </c>
      <c r="EV44">
        <v>39.49</v>
      </c>
      <c r="EW44">
        <v>0</v>
      </c>
      <c r="EX44">
        <v>116.3999998569489</v>
      </c>
      <c r="EY44">
        <v>0</v>
      </c>
      <c r="EZ44">
        <v>751.83480769230766</v>
      </c>
      <c r="FA44">
        <v>-1.8738803428040409</v>
      </c>
      <c r="FB44">
        <v>1782.72478661588</v>
      </c>
      <c r="FC44">
        <v>14843.934615384611</v>
      </c>
      <c r="FD44">
        <v>15</v>
      </c>
      <c r="FE44">
        <v>1689003844.5999999</v>
      </c>
      <c r="FF44" t="s">
        <v>564</v>
      </c>
      <c r="FG44">
        <v>1689003844.5999999</v>
      </c>
      <c r="FH44">
        <v>1689003841.5999999</v>
      </c>
      <c r="FI44">
        <v>31</v>
      </c>
      <c r="FJ44">
        <v>-9.9000000000000005E-2</v>
      </c>
      <c r="FK44">
        <v>-2E-3</v>
      </c>
      <c r="FL44">
        <v>1.232</v>
      </c>
      <c r="FM44">
        <v>0.27800000000000002</v>
      </c>
      <c r="FN44">
        <v>900</v>
      </c>
      <c r="FO44">
        <v>22</v>
      </c>
      <c r="FP44">
        <v>0.05</v>
      </c>
      <c r="FQ44">
        <v>0.01</v>
      </c>
      <c r="FR44">
        <v>63.340649791798647</v>
      </c>
      <c r="FS44">
        <v>-0.55452659448957808</v>
      </c>
      <c r="FT44">
        <v>7.5260772880171953E-2</v>
      </c>
      <c r="FU44">
        <v>1</v>
      </c>
      <c r="FV44">
        <v>0.40475647819136829</v>
      </c>
      <c r="FW44">
        <v>-4.2587592543780153E-2</v>
      </c>
      <c r="FX44">
        <v>3.5154691678871319E-3</v>
      </c>
      <c r="FY44">
        <v>1</v>
      </c>
      <c r="FZ44">
        <v>2</v>
      </c>
      <c r="GA44">
        <v>2</v>
      </c>
      <c r="GB44" t="s">
        <v>423</v>
      </c>
      <c r="GC44">
        <v>2.9262899999999998</v>
      </c>
      <c r="GD44">
        <v>2.8269299999999999</v>
      </c>
      <c r="GE44">
        <v>0.14760400000000001</v>
      </c>
      <c r="GF44">
        <v>0.15762100000000001</v>
      </c>
      <c r="GG44">
        <v>0.12842999999999999</v>
      </c>
      <c r="GH44">
        <v>0.109612</v>
      </c>
      <c r="GI44">
        <v>27896.5</v>
      </c>
      <c r="GJ44">
        <v>22356.9</v>
      </c>
      <c r="GK44">
        <v>31489.8</v>
      </c>
      <c r="GL44">
        <v>26174.9</v>
      </c>
      <c r="GM44">
        <v>37623.599999999999</v>
      </c>
      <c r="GN44">
        <v>31609.4</v>
      </c>
      <c r="GO44">
        <v>46767.7</v>
      </c>
      <c r="GP44">
        <v>38055.5</v>
      </c>
      <c r="GQ44">
        <v>1.9420200000000001</v>
      </c>
      <c r="GR44">
        <v>1.76858</v>
      </c>
      <c r="GS44">
        <v>4.5150500000000003E-2</v>
      </c>
      <c r="GT44">
        <v>0</v>
      </c>
      <c r="GU44">
        <v>29.209099999999999</v>
      </c>
      <c r="GV44">
        <v>999.9</v>
      </c>
      <c r="GW44">
        <v>40.200000000000003</v>
      </c>
      <c r="GX44">
        <v>42.3</v>
      </c>
      <c r="GY44">
        <v>33.927500000000002</v>
      </c>
      <c r="GZ44">
        <v>62.436300000000003</v>
      </c>
      <c r="HA44">
        <v>22.572099999999999</v>
      </c>
      <c r="HB44">
        <v>1</v>
      </c>
      <c r="HC44">
        <v>0.37093700000000002</v>
      </c>
      <c r="HD44">
        <v>0.92837999999999998</v>
      </c>
      <c r="HE44">
        <v>20.293199999999999</v>
      </c>
      <c r="HF44">
        <v>5.2223800000000002</v>
      </c>
      <c r="HG44">
        <v>12.058</v>
      </c>
      <c r="HH44">
        <v>4.9914500000000004</v>
      </c>
      <c r="HI44">
        <v>3.2912499999999998</v>
      </c>
      <c r="HJ44">
        <v>9999</v>
      </c>
      <c r="HK44">
        <v>9999</v>
      </c>
      <c r="HL44">
        <v>9999</v>
      </c>
      <c r="HM44">
        <v>462.2</v>
      </c>
      <c r="HN44">
        <v>1.8670800000000001</v>
      </c>
      <c r="HO44">
        <v>1.8705700000000001</v>
      </c>
      <c r="HP44">
        <v>1.87317</v>
      </c>
      <c r="HQ44">
        <v>1.87408</v>
      </c>
      <c r="HR44">
        <v>1.8708800000000001</v>
      </c>
      <c r="HS44">
        <v>1.8692</v>
      </c>
      <c r="HT44">
        <v>1.87073</v>
      </c>
      <c r="HU44">
        <v>1.8736699999999999</v>
      </c>
      <c r="HV44">
        <v>0</v>
      </c>
      <c r="HW44">
        <v>0</v>
      </c>
      <c r="HX44">
        <v>0</v>
      </c>
      <c r="HY44">
        <v>0</v>
      </c>
      <c r="HZ44" t="s">
        <v>424</v>
      </c>
      <c r="IA44" t="s">
        <v>425</v>
      </c>
      <c r="IB44" t="s">
        <v>426</v>
      </c>
      <c r="IC44" t="s">
        <v>426</v>
      </c>
      <c r="ID44" t="s">
        <v>426</v>
      </c>
      <c r="IE44" t="s">
        <v>426</v>
      </c>
      <c r="IF44">
        <v>0</v>
      </c>
      <c r="IG44">
        <v>100</v>
      </c>
      <c r="IH44">
        <v>100</v>
      </c>
      <c r="II44">
        <v>1.1879999999999999</v>
      </c>
      <c r="IJ44">
        <v>0.27789999999999998</v>
      </c>
      <c r="IK44">
        <v>-6.649821982453244E-2</v>
      </c>
      <c r="IL44">
        <v>3.042515301972944E-3</v>
      </c>
      <c r="IM44">
        <v>-2.5091471490852929E-6</v>
      </c>
      <c r="IN44">
        <v>8.1339755115576286E-10</v>
      </c>
      <c r="IO44">
        <v>0.27793499999999938</v>
      </c>
      <c r="IP44">
        <v>0</v>
      </c>
      <c r="IQ44">
        <v>0</v>
      </c>
      <c r="IR44">
        <v>0</v>
      </c>
      <c r="IS44">
        <v>3</v>
      </c>
      <c r="IT44">
        <v>2004</v>
      </c>
      <c r="IU44">
        <v>2</v>
      </c>
      <c r="IV44">
        <v>22</v>
      </c>
      <c r="IW44">
        <v>0.5</v>
      </c>
      <c r="IX44">
        <v>0.6</v>
      </c>
      <c r="IY44">
        <v>2.0043899999999999</v>
      </c>
      <c r="IZ44">
        <v>2.5939899999999998</v>
      </c>
      <c r="JA44">
        <v>1.64917</v>
      </c>
      <c r="JB44">
        <v>2.33765</v>
      </c>
      <c r="JC44">
        <v>1.5991200000000001</v>
      </c>
      <c r="JD44">
        <v>2.2668499999999998</v>
      </c>
      <c r="JE44">
        <v>47.182499999999997</v>
      </c>
      <c r="JF44">
        <v>23.912400000000002</v>
      </c>
      <c r="JG44">
        <v>18</v>
      </c>
      <c r="JH44">
        <v>520.077</v>
      </c>
      <c r="JI44">
        <v>455.57900000000001</v>
      </c>
      <c r="JJ44">
        <v>28.6617</v>
      </c>
      <c r="JK44">
        <v>31.9649</v>
      </c>
      <c r="JL44">
        <v>30.0001</v>
      </c>
      <c r="JM44">
        <v>32.046599999999998</v>
      </c>
      <c r="JN44">
        <v>32.054099999999998</v>
      </c>
      <c r="JO44">
        <v>40.105200000000004</v>
      </c>
      <c r="JP44">
        <v>39.834499999999998</v>
      </c>
      <c r="JQ44">
        <v>0</v>
      </c>
      <c r="JR44">
        <v>28.703099999999999</v>
      </c>
      <c r="JS44">
        <v>900</v>
      </c>
      <c r="JT44">
        <v>23.0518</v>
      </c>
      <c r="JU44">
        <v>99.812600000000003</v>
      </c>
      <c r="JV44">
        <v>99.5184</v>
      </c>
    </row>
    <row r="45" spans="1:282" x14ac:dyDescent="0.25">
      <c r="A45">
        <v>29</v>
      </c>
      <c r="B45">
        <v>1689004028.5</v>
      </c>
      <c r="C45">
        <v>4433.4000000953674</v>
      </c>
      <c r="D45" t="s">
        <v>565</v>
      </c>
      <c r="E45" t="s">
        <v>566</v>
      </c>
      <c r="F45" t="s">
        <v>414</v>
      </c>
      <c r="G45" t="s">
        <v>415</v>
      </c>
      <c r="H45" t="s">
        <v>500</v>
      </c>
      <c r="I45" t="s">
        <v>416</v>
      </c>
      <c r="J45" t="s">
        <v>501</v>
      </c>
      <c r="K45">
        <v>1689004028.5</v>
      </c>
      <c r="L45">
        <f t="shared" si="0"/>
        <v>4.29490008379514E-3</v>
      </c>
      <c r="M45">
        <f t="shared" si="1"/>
        <v>4.2949000837951399</v>
      </c>
      <c r="N45">
        <f t="shared" si="2"/>
        <v>62.729132735569912</v>
      </c>
      <c r="O45">
        <f t="shared" si="3"/>
        <v>1118.96</v>
      </c>
      <c r="P45">
        <f t="shared" si="4"/>
        <v>760.6852831090772</v>
      </c>
      <c r="Q45">
        <f t="shared" si="5"/>
        <v>75.557230807261888</v>
      </c>
      <c r="R45">
        <f t="shared" si="6"/>
        <v>111.14388678395201</v>
      </c>
      <c r="S45">
        <f t="shared" si="7"/>
        <v>0.31332913869892276</v>
      </c>
      <c r="T45">
        <f t="shared" si="8"/>
        <v>2.9191420281153384</v>
      </c>
      <c r="U45">
        <f t="shared" si="9"/>
        <v>0.29577221395589964</v>
      </c>
      <c r="V45">
        <f t="shared" si="10"/>
        <v>0.1863530244526351</v>
      </c>
      <c r="W45">
        <f t="shared" si="11"/>
        <v>289.5728535773394</v>
      </c>
      <c r="X45">
        <f t="shared" si="12"/>
        <v>31.252359661780591</v>
      </c>
      <c r="Y45">
        <f t="shared" si="13"/>
        <v>30.019300000000001</v>
      </c>
      <c r="Z45">
        <f t="shared" si="14"/>
        <v>4.2651750877035708</v>
      </c>
      <c r="AA45">
        <f t="shared" si="15"/>
        <v>64.965049843105177</v>
      </c>
      <c r="AB45">
        <f t="shared" si="16"/>
        <v>2.87467699522806</v>
      </c>
      <c r="AC45">
        <f t="shared" si="17"/>
        <v>4.4249592699006497</v>
      </c>
      <c r="AD45">
        <f t="shared" si="18"/>
        <v>1.3904980924755108</v>
      </c>
      <c r="AE45">
        <f t="shared" si="19"/>
        <v>-189.40509369536568</v>
      </c>
      <c r="AF45">
        <f t="shared" si="20"/>
        <v>101.02015830418013</v>
      </c>
      <c r="AG45">
        <f t="shared" si="21"/>
        <v>7.7206636721148989</v>
      </c>
      <c r="AH45">
        <f t="shared" si="22"/>
        <v>208.90858185826875</v>
      </c>
      <c r="AI45">
        <v>0</v>
      </c>
      <c r="AJ45">
        <v>0</v>
      </c>
      <c r="AK45">
        <f t="shared" si="23"/>
        <v>1</v>
      </c>
      <c r="AL45">
        <f t="shared" si="24"/>
        <v>0</v>
      </c>
      <c r="AM45">
        <f t="shared" si="25"/>
        <v>51926.471023923332</v>
      </c>
      <c r="AN45" t="s">
        <v>418</v>
      </c>
      <c r="AO45">
        <v>10021</v>
      </c>
      <c r="AP45">
        <v>177.53923076923081</v>
      </c>
      <c r="AQ45">
        <v>655.56</v>
      </c>
      <c r="AR45">
        <f t="shared" si="26"/>
        <v>0.72917928066198234</v>
      </c>
      <c r="AS45">
        <v>-3.1115002560329539</v>
      </c>
      <c r="AT45" t="s">
        <v>567</v>
      </c>
      <c r="AU45">
        <v>8031.63</v>
      </c>
      <c r="AV45">
        <v>747.60619230769225</v>
      </c>
      <c r="AW45">
        <v>1263.23890565752</v>
      </c>
      <c r="AX45">
        <f t="shared" si="27"/>
        <v>0.40818305313470316</v>
      </c>
      <c r="AY45">
        <v>0.5</v>
      </c>
      <c r="AZ45">
        <f t="shared" si="28"/>
        <v>1513.21829926287</v>
      </c>
      <c r="BA45">
        <f t="shared" si="29"/>
        <v>62.729132735569912</v>
      </c>
      <c r="BB45">
        <f t="shared" si="30"/>
        <v>308.83503272621061</v>
      </c>
      <c r="BC45">
        <f t="shared" si="31"/>
        <v>4.3510333587477516E-2</v>
      </c>
      <c r="BD45">
        <f t="shared" si="32"/>
        <v>-0.48104828226551588</v>
      </c>
      <c r="BE45">
        <f t="shared" si="33"/>
        <v>204.13327302678684</v>
      </c>
      <c r="BF45" t="s">
        <v>568</v>
      </c>
      <c r="BG45">
        <v>579.04999999999995</v>
      </c>
      <c r="BH45">
        <f t="shared" si="34"/>
        <v>579.04999999999995</v>
      </c>
      <c r="BI45">
        <f t="shared" si="35"/>
        <v>0.54161481457966776</v>
      </c>
      <c r="BJ45">
        <f t="shared" si="36"/>
        <v>0.75364085720491736</v>
      </c>
      <c r="BK45">
        <f t="shared" si="37"/>
        <v>-7.9424768743630922</v>
      </c>
      <c r="BL45">
        <f t="shared" si="38"/>
        <v>0.47493125887035259</v>
      </c>
      <c r="BM45">
        <f t="shared" si="39"/>
        <v>-1.2712395460042392</v>
      </c>
      <c r="BN45">
        <f t="shared" si="40"/>
        <v>0.58372408208317772</v>
      </c>
      <c r="BO45">
        <f t="shared" si="41"/>
        <v>0.41627591791682228</v>
      </c>
      <c r="BP45">
        <v>22523</v>
      </c>
      <c r="BQ45">
        <v>290.00000000000011</v>
      </c>
      <c r="BR45">
        <v>1092.4000000000001</v>
      </c>
      <c r="BS45">
        <v>295</v>
      </c>
      <c r="BT45">
        <v>8031.63</v>
      </c>
      <c r="BU45">
        <v>1096.45</v>
      </c>
      <c r="BV45">
        <v>-4.05</v>
      </c>
      <c r="BW45">
        <v>300.00000000000011</v>
      </c>
      <c r="BX45">
        <v>19.399999999999999</v>
      </c>
      <c r="BY45">
        <v>1263.23890565752</v>
      </c>
      <c r="BZ45">
        <v>5.6792023740444844</v>
      </c>
      <c r="CA45">
        <v>-133.96079223092289</v>
      </c>
      <c r="CB45">
        <v>4.1900579205278037</v>
      </c>
      <c r="CC45">
        <v>0.97333718585910334</v>
      </c>
      <c r="CD45">
        <v>-4.1476929922135749E-3</v>
      </c>
      <c r="CE45">
        <v>289.99999999999989</v>
      </c>
      <c r="CF45">
        <v>1091.1199999999999</v>
      </c>
      <c r="CG45">
        <v>685</v>
      </c>
      <c r="CH45">
        <v>8020.93</v>
      </c>
      <c r="CI45">
        <v>1096.22</v>
      </c>
      <c r="CJ45">
        <v>-5.0999999999999996</v>
      </c>
      <c r="CX45">
        <f t="shared" si="42"/>
        <v>1800.04</v>
      </c>
      <c r="CY45">
        <f t="shared" si="43"/>
        <v>1513.21829926287</v>
      </c>
      <c r="CZ45">
        <f t="shared" si="44"/>
        <v>0.84065815163155821</v>
      </c>
      <c r="DA45">
        <f t="shared" si="45"/>
        <v>0.16087023264890749</v>
      </c>
      <c r="DB45">
        <v>6</v>
      </c>
      <c r="DC45">
        <v>0.5</v>
      </c>
      <c r="DD45" t="s">
        <v>421</v>
      </c>
      <c r="DE45">
        <v>2</v>
      </c>
      <c r="DF45">
        <v>1689004028.5</v>
      </c>
      <c r="DG45">
        <v>1118.96</v>
      </c>
      <c r="DH45">
        <v>1200</v>
      </c>
      <c r="DI45">
        <v>28.941299999999998</v>
      </c>
      <c r="DJ45">
        <v>23.936699999999998</v>
      </c>
      <c r="DK45">
        <v>1117.6199999999999</v>
      </c>
      <c r="DL45">
        <v>28.640499999999999</v>
      </c>
      <c r="DM45">
        <v>500.012</v>
      </c>
      <c r="DN45">
        <v>99.228300000000004</v>
      </c>
      <c r="DO45">
        <v>9.9546200000000001E-2</v>
      </c>
      <c r="DP45">
        <v>30.661200000000001</v>
      </c>
      <c r="DQ45">
        <v>30.019300000000001</v>
      </c>
      <c r="DR45">
        <v>999.9</v>
      </c>
      <c r="DS45">
        <v>0</v>
      </c>
      <c r="DT45">
        <v>0</v>
      </c>
      <c r="DU45">
        <v>10018.1</v>
      </c>
      <c r="DV45">
        <v>0</v>
      </c>
      <c r="DW45">
        <v>2040.24</v>
      </c>
      <c r="DX45">
        <v>-81.045400000000001</v>
      </c>
      <c r="DY45">
        <v>1152.31</v>
      </c>
      <c r="DZ45">
        <v>1229.43</v>
      </c>
      <c r="EA45">
        <v>5.00467</v>
      </c>
      <c r="EB45">
        <v>1200</v>
      </c>
      <c r="EC45">
        <v>23.936699999999998</v>
      </c>
      <c r="ED45">
        <v>2.8717999999999999</v>
      </c>
      <c r="EE45">
        <v>2.3751899999999999</v>
      </c>
      <c r="EF45">
        <v>23.302700000000002</v>
      </c>
      <c r="EG45">
        <v>20.195599999999999</v>
      </c>
      <c r="EH45">
        <v>1800.04</v>
      </c>
      <c r="EI45">
        <v>0.97800200000000004</v>
      </c>
      <c r="EJ45">
        <v>2.19981E-2</v>
      </c>
      <c r="EK45">
        <v>0</v>
      </c>
      <c r="EL45">
        <v>747.21699999999998</v>
      </c>
      <c r="EM45">
        <v>5.0011200000000002</v>
      </c>
      <c r="EN45">
        <v>15059.1</v>
      </c>
      <c r="EO45">
        <v>17211.3</v>
      </c>
      <c r="EP45">
        <v>47.936999999999998</v>
      </c>
      <c r="EQ45">
        <v>49.311999999999998</v>
      </c>
      <c r="ER45">
        <v>48.875</v>
      </c>
      <c r="ES45">
        <v>48.375</v>
      </c>
      <c r="ET45">
        <v>48.686999999999998</v>
      </c>
      <c r="EU45">
        <v>1755.55</v>
      </c>
      <c r="EV45">
        <v>39.49</v>
      </c>
      <c r="EW45">
        <v>0</v>
      </c>
      <c r="EX45">
        <v>149.4000000953674</v>
      </c>
      <c r="EY45">
        <v>0</v>
      </c>
      <c r="EZ45">
        <v>747.60619230769225</v>
      </c>
      <c r="FA45">
        <v>-1.445572655652533</v>
      </c>
      <c r="FB45">
        <v>-85.087179546398758</v>
      </c>
      <c r="FC45">
        <v>15070.123076923081</v>
      </c>
      <c r="FD45">
        <v>15</v>
      </c>
      <c r="FE45">
        <v>1689003971.5</v>
      </c>
      <c r="FF45" t="s">
        <v>569</v>
      </c>
      <c r="FG45">
        <v>1689003844.5999999</v>
      </c>
      <c r="FH45">
        <v>1689003958.0999999</v>
      </c>
      <c r="FI45">
        <v>32</v>
      </c>
      <c r="FJ45">
        <v>-9.9000000000000005E-2</v>
      </c>
      <c r="FK45">
        <v>2.3E-2</v>
      </c>
      <c r="FL45">
        <v>1.232</v>
      </c>
      <c r="FM45">
        <v>0.30099999999999999</v>
      </c>
      <c r="FN45">
        <v>900</v>
      </c>
      <c r="FO45">
        <v>23</v>
      </c>
      <c r="FP45">
        <v>0.05</v>
      </c>
      <c r="FQ45">
        <v>0.02</v>
      </c>
      <c r="FR45">
        <v>62.748047335628847</v>
      </c>
      <c r="FS45">
        <v>0.25904533288952952</v>
      </c>
      <c r="FT45">
        <v>6.0970407956336702E-2</v>
      </c>
      <c r="FU45">
        <v>1</v>
      </c>
      <c r="FV45">
        <v>0.31486308572666888</v>
      </c>
      <c r="FW45">
        <v>-1.1867893801440351E-2</v>
      </c>
      <c r="FX45">
        <v>1.0808360419700771E-3</v>
      </c>
      <c r="FY45">
        <v>1</v>
      </c>
      <c r="FZ45">
        <v>2</v>
      </c>
      <c r="GA45">
        <v>2</v>
      </c>
      <c r="GB45" t="s">
        <v>423</v>
      </c>
      <c r="GC45">
        <v>2.9264999999999999</v>
      </c>
      <c r="GD45">
        <v>2.827</v>
      </c>
      <c r="GE45">
        <v>0.18082500000000001</v>
      </c>
      <c r="GF45">
        <v>0.18950600000000001</v>
      </c>
      <c r="GG45">
        <v>0.127967</v>
      </c>
      <c r="GH45">
        <v>0.11276700000000001</v>
      </c>
      <c r="GI45">
        <v>26807.5</v>
      </c>
      <c r="GJ45">
        <v>21508.799999999999</v>
      </c>
      <c r="GK45">
        <v>31489.5</v>
      </c>
      <c r="GL45">
        <v>26173.8</v>
      </c>
      <c r="GM45">
        <v>37643.9</v>
      </c>
      <c r="GN45">
        <v>31495.200000000001</v>
      </c>
      <c r="GO45">
        <v>46767.199999999997</v>
      </c>
      <c r="GP45">
        <v>38052.9</v>
      </c>
      <c r="GQ45">
        <v>1.9418500000000001</v>
      </c>
      <c r="GR45">
        <v>1.7702199999999999</v>
      </c>
      <c r="GS45">
        <v>5.7108699999999998E-2</v>
      </c>
      <c r="GT45">
        <v>0</v>
      </c>
      <c r="GU45">
        <v>29.089200000000002</v>
      </c>
      <c r="GV45">
        <v>999.9</v>
      </c>
      <c r="GW45">
        <v>39.9</v>
      </c>
      <c r="GX45">
        <v>42.4</v>
      </c>
      <c r="GY45">
        <v>33.851999999999997</v>
      </c>
      <c r="GZ45">
        <v>62.246299999999998</v>
      </c>
      <c r="HA45">
        <v>22.271599999999999</v>
      </c>
      <c r="HB45">
        <v>1</v>
      </c>
      <c r="HC45">
        <v>0.372693</v>
      </c>
      <c r="HD45">
        <v>1.3687800000000001</v>
      </c>
      <c r="HE45">
        <v>20.290199999999999</v>
      </c>
      <c r="HF45">
        <v>5.2216300000000002</v>
      </c>
      <c r="HG45">
        <v>12.0579</v>
      </c>
      <c r="HH45">
        <v>4.9912000000000001</v>
      </c>
      <c r="HI45">
        <v>3.2912499999999998</v>
      </c>
      <c r="HJ45">
        <v>9999</v>
      </c>
      <c r="HK45">
        <v>9999</v>
      </c>
      <c r="HL45">
        <v>9999</v>
      </c>
      <c r="HM45">
        <v>462.2</v>
      </c>
      <c r="HN45">
        <v>1.8670800000000001</v>
      </c>
      <c r="HO45">
        <v>1.8705700000000001</v>
      </c>
      <c r="HP45">
        <v>1.87317</v>
      </c>
      <c r="HQ45">
        <v>1.8740699999999999</v>
      </c>
      <c r="HR45">
        <v>1.8708400000000001</v>
      </c>
      <c r="HS45">
        <v>1.8692</v>
      </c>
      <c r="HT45">
        <v>1.87073</v>
      </c>
      <c r="HU45">
        <v>1.8736299999999999</v>
      </c>
      <c r="HV45">
        <v>0</v>
      </c>
      <c r="HW45">
        <v>0</v>
      </c>
      <c r="HX45">
        <v>0</v>
      </c>
      <c r="HY45">
        <v>0</v>
      </c>
      <c r="HZ45" t="s">
        <v>424</v>
      </c>
      <c r="IA45" t="s">
        <v>425</v>
      </c>
      <c r="IB45" t="s">
        <v>426</v>
      </c>
      <c r="IC45" t="s">
        <v>426</v>
      </c>
      <c r="ID45" t="s">
        <v>426</v>
      </c>
      <c r="IE45" t="s">
        <v>426</v>
      </c>
      <c r="IF45">
        <v>0</v>
      </c>
      <c r="IG45">
        <v>100</v>
      </c>
      <c r="IH45">
        <v>100</v>
      </c>
      <c r="II45">
        <v>1.34</v>
      </c>
      <c r="IJ45">
        <v>0.30080000000000001</v>
      </c>
      <c r="IK45">
        <v>-6.649821982453244E-2</v>
      </c>
      <c r="IL45">
        <v>3.042515301972944E-3</v>
      </c>
      <c r="IM45">
        <v>-2.5091471490852929E-6</v>
      </c>
      <c r="IN45">
        <v>8.1339755115576286E-10</v>
      </c>
      <c r="IO45">
        <v>0.3008699999999962</v>
      </c>
      <c r="IP45">
        <v>0</v>
      </c>
      <c r="IQ45">
        <v>0</v>
      </c>
      <c r="IR45">
        <v>0</v>
      </c>
      <c r="IS45">
        <v>3</v>
      </c>
      <c r="IT45">
        <v>2004</v>
      </c>
      <c r="IU45">
        <v>2</v>
      </c>
      <c r="IV45">
        <v>22</v>
      </c>
      <c r="IW45">
        <v>3.1</v>
      </c>
      <c r="IX45">
        <v>1.2</v>
      </c>
      <c r="IY45">
        <v>2.5415000000000001</v>
      </c>
      <c r="IZ45">
        <v>2.5842299999999998</v>
      </c>
      <c r="JA45">
        <v>1.64917</v>
      </c>
      <c r="JB45">
        <v>2.33765</v>
      </c>
      <c r="JC45">
        <v>1.5991200000000001</v>
      </c>
      <c r="JD45">
        <v>2.35107</v>
      </c>
      <c r="JE45">
        <v>47.152700000000003</v>
      </c>
      <c r="JF45">
        <v>23.938700000000001</v>
      </c>
      <c r="JG45">
        <v>18</v>
      </c>
      <c r="JH45">
        <v>519.98400000000004</v>
      </c>
      <c r="JI45">
        <v>456.72199999999998</v>
      </c>
      <c r="JJ45">
        <v>28.3781</v>
      </c>
      <c r="JK45">
        <v>31.9649</v>
      </c>
      <c r="JL45">
        <v>30.0002</v>
      </c>
      <c r="JM45">
        <v>32.049399999999999</v>
      </c>
      <c r="JN45">
        <v>32.059699999999999</v>
      </c>
      <c r="JO45">
        <v>50.856400000000001</v>
      </c>
      <c r="JP45">
        <v>36.735399999999998</v>
      </c>
      <c r="JQ45">
        <v>0</v>
      </c>
      <c r="JR45">
        <v>28.3752</v>
      </c>
      <c r="JS45">
        <v>1200</v>
      </c>
      <c r="JT45">
        <v>23.9375</v>
      </c>
      <c r="JU45">
        <v>99.811599999999999</v>
      </c>
      <c r="JV45">
        <v>99.512600000000006</v>
      </c>
    </row>
    <row r="46" spans="1:282" x14ac:dyDescent="0.25">
      <c r="A46">
        <v>30</v>
      </c>
      <c r="B46">
        <v>1689004185.5</v>
      </c>
      <c r="C46">
        <v>4590.4000000953674</v>
      </c>
      <c r="D46" t="s">
        <v>570</v>
      </c>
      <c r="E46" t="s">
        <v>571</v>
      </c>
      <c r="F46" t="s">
        <v>414</v>
      </c>
      <c r="G46" t="s">
        <v>415</v>
      </c>
      <c r="H46" t="s">
        <v>500</v>
      </c>
      <c r="I46" t="s">
        <v>416</v>
      </c>
      <c r="J46" t="s">
        <v>501</v>
      </c>
      <c r="K46">
        <v>1689004185.5</v>
      </c>
      <c r="L46">
        <f t="shared" si="0"/>
        <v>3.7402636263172851E-3</v>
      </c>
      <c r="M46">
        <f t="shared" si="1"/>
        <v>3.7402636263172853</v>
      </c>
      <c r="N46">
        <f t="shared" si="2"/>
        <v>62.111999431771402</v>
      </c>
      <c r="O46">
        <f t="shared" si="3"/>
        <v>1419.06</v>
      </c>
      <c r="P46">
        <f t="shared" si="4"/>
        <v>1004.7370037793557</v>
      </c>
      <c r="Q46">
        <f t="shared" si="5"/>
        <v>99.799076448485849</v>
      </c>
      <c r="R46">
        <f t="shared" si="6"/>
        <v>140.95318167070201</v>
      </c>
      <c r="S46">
        <f t="shared" si="7"/>
        <v>0.26859487958308026</v>
      </c>
      <c r="T46">
        <f t="shared" si="8"/>
        <v>2.9179411185423261</v>
      </c>
      <c r="U46">
        <f t="shared" si="9"/>
        <v>0.25557643098586108</v>
      </c>
      <c r="V46">
        <f t="shared" si="10"/>
        <v>0.16085233000604834</v>
      </c>
      <c r="W46">
        <f t="shared" si="11"/>
        <v>289.55848957726829</v>
      </c>
      <c r="X46">
        <f t="shared" si="12"/>
        <v>31.297859641543855</v>
      </c>
      <c r="Y46">
        <f t="shared" si="13"/>
        <v>30.008900000000001</v>
      </c>
      <c r="Z46">
        <f t="shared" si="14"/>
        <v>4.2626282366619623</v>
      </c>
      <c r="AA46">
        <f t="shared" si="15"/>
        <v>65.026095044952612</v>
      </c>
      <c r="AB46">
        <f t="shared" si="16"/>
        <v>2.8611193443208203</v>
      </c>
      <c r="AC46">
        <f t="shared" si="17"/>
        <v>4.3999556521776757</v>
      </c>
      <c r="AD46">
        <f t="shared" si="18"/>
        <v>1.4015088923411421</v>
      </c>
      <c r="AE46">
        <f t="shared" si="19"/>
        <v>-164.94562592059228</v>
      </c>
      <c r="AF46">
        <f t="shared" si="20"/>
        <v>87.025021403634838</v>
      </c>
      <c r="AG46">
        <f t="shared" si="21"/>
        <v>6.6501911057030156</v>
      </c>
      <c r="AH46">
        <f t="shared" si="22"/>
        <v>218.28807616601387</v>
      </c>
      <c r="AI46">
        <v>0</v>
      </c>
      <c r="AJ46">
        <v>0</v>
      </c>
      <c r="AK46">
        <f t="shared" si="23"/>
        <v>1</v>
      </c>
      <c r="AL46">
        <f t="shared" si="24"/>
        <v>0</v>
      </c>
      <c r="AM46">
        <f t="shared" si="25"/>
        <v>51909.277911941375</v>
      </c>
      <c r="AN46" t="s">
        <v>418</v>
      </c>
      <c r="AO46">
        <v>10021</v>
      </c>
      <c r="AP46">
        <v>177.53923076923081</v>
      </c>
      <c r="AQ46">
        <v>655.56</v>
      </c>
      <c r="AR46">
        <f t="shared" si="26"/>
        <v>0.72917928066198234</v>
      </c>
      <c r="AS46">
        <v>-3.1115002560329539</v>
      </c>
      <c r="AT46" t="s">
        <v>572</v>
      </c>
      <c r="AU46">
        <v>8033.85</v>
      </c>
      <c r="AV46">
        <v>744.11534615384596</v>
      </c>
      <c r="AW46">
        <v>1268.6875422832691</v>
      </c>
      <c r="AX46">
        <f t="shared" si="27"/>
        <v>0.41347627264105191</v>
      </c>
      <c r="AY46">
        <v>0.5</v>
      </c>
      <c r="AZ46">
        <f t="shared" si="28"/>
        <v>1513.1426992628333</v>
      </c>
      <c r="BA46">
        <f t="shared" si="29"/>
        <v>62.111999431771402</v>
      </c>
      <c r="BB46">
        <f t="shared" si="30"/>
        <v>312.82430163260824</v>
      </c>
      <c r="BC46">
        <f t="shared" si="31"/>
        <v>4.3104658747373709E-2</v>
      </c>
      <c r="BD46">
        <f t="shared" si="32"/>
        <v>-0.48327702594116878</v>
      </c>
      <c r="BE46">
        <f t="shared" si="33"/>
        <v>204.27504055969254</v>
      </c>
      <c r="BF46" t="s">
        <v>573</v>
      </c>
      <c r="BG46">
        <v>575.75</v>
      </c>
      <c r="BH46">
        <f t="shared" si="34"/>
        <v>575.75</v>
      </c>
      <c r="BI46">
        <f t="shared" si="35"/>
        <v>0.54618455623532236</v>
      </c>
      <c r="BJ46">
        <f t="shared" si="36"/>
        <v>0.75702666419390052</v>
      </c>
      <c r="BK46">
        <f t="shared" si="37"/>
        <v>-7.6823398356505397</v>
      </c>
      <c r="BL46">
        <f t="shared" si="38"/>
        <v>0.48075242438999477</v>
      </c>
      <c r="BM46">
        <f t="shared" si="39"/>
        <v>-1.2826378721366307</v>
      </c>
      <c r="BN46">
        <f t="shared" si="40"/>
        <v>0.58573997185044546</v>
      </c>
      <c r="BO46">
        <f t="shared" si="41"/>
        <v>0.41426002814955454</v>
      </c>
      <c r="BP46">
        <v>22525</v>
      </c>
      <c r="BQ46">
        <v>290.00000000000011</v>
      </c>
      <c r="BR46">
        <v>1090.32</v>
      </c>
      <c r="BS46">
        <v>265</v>
      </c>
      <c r="BT46">
        <v>8033.85</v>
      </c>
      <c r="BU46">
        <v>1094.8</v>
      </c>
      <c r="BV46">
        <v>-4.4800000000000004</v>
      </c>
      <c r="BW46">
        <v>300.00000000000011</v>
      </c>
      <c r="BX46">
        <v>19.399999999999999</v>
      </c>
      <c r="BY46">
        <v>1268.6875422832691</v>
      </c>
      <c r="BZ46">
        <v>5.4806297768256753</v>
      </c>
      <c r="CA46">
        <v>-139.69934860564589</v>
      </c>
      <c r="CB46">
        <v>4.044064473487893</v>
      </c>
      <c r="CC46">
        <v>0.97707376378873501</v>
      </c>
      <c r="CD46">
        <v>-4.1481339265850986E-3</v>
      </c>
      <c r="CE46">
        <v>289.99999999999989</v>
      </c>
      <c r="CF46">
        <v>1088.8</v>
      </c>
      <c r="CG46">
        <v>645</v>
      </c>
      <c r="CH46">
        <v>8023.15</v>
      </c>
      <c r="CI46">
        <v>1094.57</v>
      </c>
      <c r="CJ46">
        <v>-5.77</v>
      </c>
      <c r="CX46">
        <f t="shared" si="42"/>
        <v>1799.95</v>
      </c>
      <c r="CY46">
        <f t="shared" si="43"/>
        <v>1513.1426992628333</v>
      </c>
      <c r="CZ46">
        <f t="shared" si="44"/>
        <v>0.84065818454003349</v>
      </c>
      <c r="DA46">
        <f t="shared" si="45"/>
        <v>0.16087029616226467</v>
      </c>
      <c r="DB46">
        <v>6</v>
      </c>
      <c r="DC46">
        <v>0.5</v>
      </c>
      <c r="DD46" t="s">
        <v>421</v>
      </c>
      <c r="DE46">
        <v>2</v>
      </c>
      <c r="DF46">
        <v>1689004185.5</v>
      </c>
      <c r="DG46">
        <v>1419.06</v>
      </c>
      <c r="DH46">
        <v>1499.95</v>
      </c>
      <c r="DI46">
        <v>28.804600000000001</v>
      </c>
      <c r="DJ46">
        <v>24.446300000000001</v>
      </c>
      <c r="DK46">
        <v>1417.57</v>
      </c>
      <c r="DL46">
        <v>28.488299999999999</v>
      </c>
      <c r="DM46">
        <v>500.084</v>
      </c>
      <c r="DN46">
        <v>99.2286</v>
      </c>
      <c r="DO46">
        <v>9.9956699999999996E-2</v>
      </c>
      <c r="DP46">
        <v>30.562100000000001</v>
      </c>
      <c r="DQ46">
        <v>30.008900000000001</v>
      </c>
      <c r="DR46">
        <v>999.9</v>
      </c>
      <c r="DS46">
        <v>0</v>
      </c>
      <c r="DT46">
        <v>0</v>
      </c>
      <c r="DU46">
        <v>10011.200000000001</v>
      </c>
      <c r="DV46">
        <v>0</v>
      </c>
      <c r="DW46">
        <v>1994.38</v>
      </c>
      <c r="DX46">
        <v>-80.891099999999994</v>
      </c>
      <c r="DY46">
        <v>1461.14</v>
      </c>
      <c r="DZ46">
        <v>1537.53</v>
      </c>
      <c r="EA46">
        <v>4.3582900000000002</v>
      </c>
      <c r="EB46">
        <v>1499.95</v>
      </c>
      <c r="EC46">
        <v>24.446300000000001</v>
      </c>
      <c r="ED46">
        <v>2.8582399999999999</v>
      </c>
      <c r="EE46">
        <v>2.42577</v>
      </c>
      <c r="EF46">
        <v>23.224399999999999</v>
      </c>
      <c r="EG46">
        <v>20.536899999999999</v>
      </c>
      <c r="EH46">
        <v>1799.95</v>
      </c>
      <c r="EI46">
        <v>0.97799800000000003</v>
      </c>
      <c r="EJ46">
        <v>2.2001799999999998E-2</v>
      </c>
      <c r="EK46">
        <v>0</v>
      </c>
      <c r="EL46">
        <v>744.14599999999996</v>
      </c>
      <c r="EM46">
        <v>5.0011200000000002</v>
      </c>
      <c r="EN46">
        <v>14981.6</v>
      </c>
      <c r="EO46">
        <v>17210.5</v>
      </c>
      <c r="EP46">
        <v>47.75</v>
      </c>
      <c r="EQ46">
        <v>49.311999999999998</v>
      </c>
      <c r="ER46">
        <v>48.75</v>
      </c>
      <c r="ES46">
        <v>48.311999999999998</v>
      </c>
      <c r="ET46">
        <v>48.625</v>
      </c>
      <c r="EU46">
        <v>1755.46</v>
      </c>
      <c r="EV46">
        <v>39.49</v>
      </c>
      <c r="EW46">
        <v>0</v>
      </c>
      <c r="EX46">
        <v>155</v>
      </c>
      <c r="EY46">
        <v>0</v>
      </c>
      <c r="EZ46">
        <v>744.11534615384596</v>
      </c>
      <c r="FA46">
        <v>-1.3088888898058091</v>
      </c>
      <c r="FB46">
        <v>-50.864957417942357</v>
      </c>
      <c r="FC46">
        <v>14990.030769230771</v>
      </c>
      <c r="FD46">
        <v>15</v>
      </c>
      <c r="FE46">
        <v>1689004135</v>
      </c>
      <c r="FF46" t="s">
        <v>574</v>
      </c>
      <c r="FG46">
        <v>1689004135</v>
      </c>
      <c r="FH46">
        <v>1689004124.5</v>
      </c>
      <c r="FI46">
        <v>33</v>
      </c>
      <c r="FJ46">
        <v>-3.6999999999999998E-2</v>
      </c>
      <c r="FK46">
        <v>1.4999999999999999E-2</v>
      </c>
      <c r="FL46">
        <v>1.5569999999999999</v>
      </c>
      <c r="FM46">
        <v>0.316</v>
      </c>
      <c r="FN46">
        <v>1500</v>
      </c>
      <c r="FO46">
        <v>24</v>
      </c>
      <c r="FP46">
        <v>0.04</v>
      </c>
      <c r="FQ46">
        <v>0.02</v>
      </c>
      <c r="FR46">
        <v>62.185395561845937</v>
      </c>
      <c r="FS46">
        <v>0.57637250883918678</v>
      </c>
      <c r="FT46">
        <v>0.1052668606267998</v>
      </c>
      <c r="FU46">
        <v>1</v>
      </c>
      <c r="FV46">
        <v>0.27127878869204392</v>
      </c>
      <c r="FW46">
        <v>-3.5836043605428657E-2</v>
      </c>
      <c r="FX46">
        <v>2.7426931615466351E-3</v>
      </c>
      <c r="FY46">
        <v>1</v>
      </c>
      <c r="FZ46">
        <v>2</v>
      </c>
      <c r="GA46">
        <v>2</v>
      </c>
      <c r="GB46" t="s">
        <v>423</v>
      </c>
      <c r="GC46">
        <v>2.9266899999999998</v>
      </c>
      <c r="GD46">
        <v>2.82735</v>
      </c>
      <c r="GE46">
        <v>0.209587</v>
      </c>
      <c r="GF46">
        <v>0.21727199999999999</v>
      </c>
      <c r="GG46">
        <v>0.127498</v>
      </c>
      <c r="GH46">
        <v>0.114436</v>
      </c>
      <c r="GI46">
        <v>25864.2</v>
      </c>
      <c r="GJ46">
        <v>20769.400000000001</v>
      </c>
      <c r="GK46">
        <v>31489.200000000001</v>
      </c>
      <c r="GL46">
        <v>26172.2</v>
      </c>
      <c r="GM46">
        <v>37664.6</v>
      </c>
      <c r="GN46">
        <v>31433.599999999999</v>
      </c>
      <c r="GO46">
        <v>46767.1</v>
      </c>
      <c r="GP46">
        <v>38049.800000000003</v>
      </c>
      <c r="GQ46">
        <v>1.9414199999999999</v>
      </c>
      <c r="GR46">
        <v>1.77125</v>
      </c>
      <c r="GS46">
        <v>5.1707000000000003E-2</v>
      </c>
      <c r="GT46">
        <v>0</v>
      </c>
      <c r="GU46">
        <v>29.166899999999998</v>
      </c>
      <c r="GV46">
        <v>999.9</v>
      </c>
      <c r="GW46">
        <v>39.799999999999997</v>
      </c>
      <c r="GX46">
        <v>42.5</v>
      </c>
      <c r="GY46">
        <v>33.942100000000003</v>
      </c>
      <c r="GZ46">
        <v>62.446399999999997</v>
      </c>
      <c r="HA46">
        <v>22.323699999999999</v>
      </c>
      <c r="HB46">
        <v>1</v>
      </c>
      <c r="HC46">
        <v>0.37326199999999998</v>
      </c>
      <c r="HD46">
        <v>1.8950400000000001</v>
      </c>
      <c r="HE46">
        <v>20.285399999999999</v>
      </c>
      <c r="HF46">
        <v>5.2246300000000003</v>
      </c>
      <c r="HG46">
        <v>12.0586</v>
      </c>
      <c r="HH46">
        <v>4.9924999999999997</v>
      </c>
      <c r="HI46">
        <v>3.2919800000000001</v>
      </c>
      <c r="HJ46">
        <v>9999</v>
      </c>
      <c r="HK46">
        <v>9999</v>
      </c>
      <c r="HL46">
        <v>9999</v>
      </c>
      <c r="HM46">
        <v>462.3</v>
      </c>
      <c r="HN46">
        <v>1.8670800000000001</v>
      </c>
      <c r="HO46">
        <v>1.8705700000000001</v>
      </c>
      <c r="HP46">
        <v>1.87317</v>
      </c>
      <c r="HQ46">
        <v>1.8740699999999999</v>
      </c>
      <c r="HR46">
        <v>1.87086</v>
      </c>
      <c r="HS46">
        <v>1.8692</v>
      </c>
      <c r="HT46">
        <v>1.8707100000000001</v>
      </c>
      <c r="HU46">
        <v>1.8736299999999999</v>
      </c>
      <c r="HV46">
        <v>0</v>
      </c>
      <c r="HW46">
        <v>0</v>
      </c>
      <c r="HX46">
        <v>0</v>
      </c>
      <c r="HY46">
        <v>0</v>
      </c>
      <c r="HZ46" t="s">
        <v>424</v>
      </c>
      <c r="IA46" t="s">
        <v>425</v>
      </c>
      <c r="IB46" t="s">
        <v>426</v>
      </c>
      <c r="IC46" t="s">
        <v>426</v>
      </c>
      <c r="ID46" t="s">
        <v>426</v>
      </c>
      <c r="IE46" t="s">
        <v>426</v>
      </c>
      <c r="IF46">
        <v>0</v>
      </c>
      <c r="IG46">
        <v>100</v>
      </c>
      <c r="IH46">
        <v>100</v>
      </c>
      <c r="II46">
        <v>1.49</v>
      </c>
      <c r="IJ46">
        <v>0.31630000000000003</v>
      </c>
      <c r="IK46">
        <v>-0.1045768208551007</v>
      </c>
      <c r="IL46">
        <v>3.042515301972944E-3</v>
      </c>
      <c r="IM46">
        <v>-2.5091471490852929E-6</v>
      </c>
      <c r="IN46">
        <v>8.1339755115576286E-10</v>
      </c>
      <c r="IO46">
        <v>0.31627142857142942</v>
      </c>
      <c r="IP46">
        <v>0</v>
      </c>
      <c r="IQ46">
        <v>0</v>
      </c>
      <c r="IR46">
        <v>0</v>
      </c>
      <c r="IS46">
        <v>3</v>
      </c>
      <c r="IT46">
        <v>2004</v>
      </c>
      <c r="IU46">
        <v>2</v>
      </c>
      <c r="IV46">
        <v>22</v>
      </c>
      <c r="IW46">
        <v>0.8</v>
      </c>
      <c r="IX46">
        <v>1</v>
      </c>
      <c r="IY46">
        <v>3.0517599999999998</v>
      </c>
      <c r="IZ46">
        <v>2.5830099999999998</v>
      </c>
      <c r="JA46">
        <v>1.64917</v>
      </c>
      <c r="JB46">
        <v>2.33643</v>
      </c>
      <c r="JC46">
        <v>1.5991200000000001</v>
      </c>
      <c r="JD46">
        <v>2.2583000000000002</v>
      </c>
      <c r="JE46">
        <v>47.033700000000003</v>
      </c>
      <c r="JF46">
        <v>23.9299</v>
      </c>
      <c r="JG46">
        <v>18</v>
      </c>
      <c r="JH46">
        <v>519.68200000000002</v>
      </c>
      <c r="JI46">
        <v>457.40600000000001</v>
      </c>
      <c r="JJ46">
        <v>27.884499999999999</v>
      </c>
      <c r="JK46">
        <v>31.9621</v>
      </c>
      <c r="JL46">
        <v>30</v>
      </c>
      <c r="JM46">
        <v>32.046599999999998</v>
      </c>
      <c r="JN46">
        <v>32.059699999999999</v>
      </c>
      <c r="JO46">
        <v>61.067399999999999</v>
      </c>
      <c r="JP46">
        <v>35.650700000000001</v>
      </c>
      <c r="JQ46">
        <v>0</v>
      </c>
      <c r="JR46">
        <v>27.895199999999999</v>
      </c>
      <c r="JS46">
        <v>1500</v>
      </c>
      <c r="JT46">
        <v>24.549399999999999</v>
      </c>
      <c r="JU46">
        <v>99.811000000000007</v>
      </c>
      <c r="JV46">
        <v>99.505399999999995</v>
      </c>
    </row>
    <row r="47" spans="1:282" x14ac:dyDescent="0.25">
      <c r="A47">
        <v>31</v>
      </c>
      <c r="B47">
        <v>1689004988.5</v>
      </c>
      <c r="C47">
        <v>5393.4000000953674</v>
      </c>
      <c r="D47" t="s">
        <v>575</v>
      </c>
      <c r="E47" t="s">
        <v>576</v>
      </c>
      <c r="F47" t="s">
        <v>414</v>
      </c>
      <c r="G47" t="s">
        <v>415</v>
      </c>
      <c r="H47" t="s">
        <v>577</v>
      </c>
      <c r="I47" t="s">
        <v>416</v>
      </c>
      <c r="J47" t="s">
        <v>578</v>
      </c>
      <c r="K47">
        <v>1689004988.5</v>
      </c>
      <c r="L47">
        <f t="shared" si="0"/>
        <v>5.0445803265573965E-3</v>
      </c>
      <c r="M47">
        <f t="shared" si="1"/>
        <v>5.0445803265573961</v>
      </c>
      <c r="N47">
        <f t="shared" si="2"/>
        <v>46.820282269107395</v>
      </c>
      <c r="O47">
        <f t="shared" si="3"/>
        <v>341.84699999999998</v>
      </c>
      <c r="P47">
        <f t="shared" si="4"/>
        <v>109.10835632294487</v>
      </c>
      <c r="Q47">
        <f t="shared" si="5"/>
        <v>10.835612403544621</v>
      </c>
      <c r="R47">
        <f t="shared" si="6"/>
        <v>33.949018371708</v>
      </c>
      <c r="S47">
        <f t="shared" si="7"/>
        <v>0.34835090081787612</v>
      </c>
      <c r="T47">
        <f t="shared" si="8"/>
        <v>2.915444101469939</v>
      </c>
      <c r="U47">
        <f t="shared" si="9"/>
        <v>0.32676921733215986</v>
      </c>
      <c r="V47">
        <f t="shared" si="10"/>
        <v>0.20605827107501781</v>
      </c>
      <c r="W47">
        <f t="shared" si="11"/>
        <v>289.59679357745796</v>
      </c>
      <c r="X47">
        <f t="shared" si="12"/>
        <v>30.265173334136819</v>
      </c>
      <c r="Y47">
        <f t="shared" si="13"/>
        <v>29.9909</v>
      </c>
      <c r="Z47">
        <f t="shared" si="14"/>
        <v>4.2582233572098458</v>
      </c>
      <c r="AA47">
        <f t="shared" si="15"/>
        <v>65.733206913988312</v>
      </c>
      <c r="AB47">
        <f t="shared" si="16"/>
        <v>2.7794146857244</v>
      </c>
      <c r="AC47">
        <f t="shared" si="17"/>
        <v>4.2283266193923188</v>
      </c>
      <c r="AD47">
        <f t="shared" si="18"/>
        <v>1.4788086714854458</v>
      </c>
      <c r="AE47">
        <f t="shared" si="19"/>
        <v>-222.46599240118118</v>
      </c>
      <c r="AF47">
        <f t="shared" si="20"/>
        <v>-19.26995198604941</v>
      </c>
      <c r="AG47">
        <f t="shared" si="21"/>
        <v>-1.4686295872284809</v>
      </c>
      <c r="AH47">
        <f t="shared" si="22"/>
        <v>46.392219602998907</v>
      </c>
      <c r="AI47">
        <v>0</v>
      </c>
      <c r="AJ47">
        <v>0</v>
      </c>
      <c r="AK47">
        <f t="shared" si="23"/>
        <v>1</v>
      </c>
      <c r="AL47">
        <f t="shared" si="24"/>
        <v>0</v>
      </c>
      <c r="AM47">
        <f t="shared" si="25"/>
        <v>51956.6589653212</v>
      </c>
      <c r="AN47" t="s">
        <v>418</v>
      </c>
      <c r="AO47">
        <v>10021</v>
      </c>
      <c r="AP47">
        <v>177.53923076923081</v>
      </c>
      <c r="AQ47">
        <v>655.56</v>
      </c>
      <c r="AR47">
        <f t="shared" si="26"/>
        <v>0.72917928066198234</v>
      </c>
      <c r="AS47">
        <v>-3.1115002560329539</v>
      </c>
      <c r="AT47" t="s">
        <v>579</v>
      </c>
      <c r="AU47">
        <v>8025.59</v>
      </c>
      <c r="AV47">
        <v>720.59144000000003</v>
      </c>
      <c r="AW47">
        <v>1074.1715955833281</v>
      </c>
      <c r="AX47">
        <f t="shared" si="27"/>
        <v>0.32916543039970869</v>
      </c>
      <c r="AY47">
        <v>0.5</v>
      </c>
      <c r="AZ47">
        <f t="shared" si="28"/>
        <v>1513.3442992629314</v>
      </c>
      <c r="BA47">
        <f t="shared" si="29"/>
        <v>46.820282269107395</v>
      </c>
      <c r="BB47">
        <f t="shared" si="30"/>
        <v>249.07031380491418</v>
      </c>
      <c r="BC47">
        <f t="shared" si="31"/>
        <v>3.2994330866716472E-2</v>
      </c>
      <c r="BD47">
        <f t="shared" si="32"/>
        <v>-0.38970644662783271</v>
      </c>
      <c r="BE47">
        <f t="shared" si="33"/>
        <v>198.48774225017513</v>
      </c>
      <c r="BF47" t="s">
        <v>580</v>
      </c>
      <c r="BG47">
        <v>563.79999999999995</v>
      </c>
      <c r="BH47">
        <f t="shared" si="34"/>
        <v>563.79999999999995</v>
      </c>
      <c r="BI47">
        <f t="shared" si="35"/>
        <v>0.47513041462073968</v>
      </c>
      <c r="BJ47">
        <f t="shared" si="36"/>
        <v>0.69278964316030234</v>
      </c>
      <c r="BK47">
        <f t="shared" si="37"/>
        <v>-4.5620269788941608</v>
      </c>
      <c r="BL47">
        <f t="shared" si="38"/>
        <v>0.3943423965703462</v>
      </c>
      <c r="BM47">
        <f t="shared" si="39"/>
        <v>-0.87571842591056825</v>
      </c>
      <c r="BN47">
        <f t="shared" si="40"/>
        <v>0.54204751698657205</v>
      </c>
      <c r="BO47">
        <f t="shared" si="41"/>
        <v>0.45795248301342795</v>
      </c>
      <c r="BP47">
        <v>22527</v>
      </c>
      <c r="BQ47">
        <v>290.00000000000011</v>
      </c>
      <c r="BR47">
        <v>963.22</v>
      </c>
      <c r="BS47">
        <v>275</v>
      </c>
      <c r="BT47">
        <v>8025.59</v>
      </c>
      <c r="BU47">
        <v>966.36</v>
      </c>
      <c r="BV47">
        <v>-3.14</v>
      </c>
      <c r="BW47">
        <v>300.00000000000011</v>
      </c>
      <c r="BX47">
        <v>19.399999999999999</v>
      </c>
      <c r="BY47">
        <v>1074.1715955833281</v>
      </c>
      <c r="BZ47">
        <v>3.3569001924569739</v>
      </c>
      <c r="CA47">
        <v>-86.523855602378759</v>
      </c>
      <c r="CB47">
        <v>2.4747028350527418</v>
      </c>
      <c r="CC47">
        <v>0.97760778443085794</v>
      </c>
      <c r="CD47">
        <v>-4.1434395995550667E-3</v>
      </c>
      <c r="CE47">
        <v>289.99999999999989</v>
      </c>
      <c r="CF47">
        <v>963.59</v>
      </c>
      <c r="CG47">
        <v>655</v>
      </c>
      <c r="CH47">
        <v>8015.48</v>
      </c>
      <c r="CI47">
        <v>966.23</v>
      </c>
      <c r="CJ47">
        <v>-2.64</v>
      </c>
      <c r="CX47">
        <f t="shared" si="42"/>
        <v>1800.19</v>
      </c>
      <c r="CY47">
        <f t="shared" si="43"/>
        <v>1513.3442992629314</v>
      </c>
      <c r="CZ47">
        <f t="shared" si="44"/>
        <v>0.84065809679141168</v>
      </c>
      <c r="DA47">
        <f t="shared" si="45"/>
        <v>0.16087012680742474</v>
      </c>
      <c r="DB47">
        <v>6</v>
      </c>
      <c r="DC47">
        <v>0.5</v>
      </c>
      <c r="DD47" t="s">
        <v>421</v>
      </c>
      <c r="DE47">
        <v>2</v>
      </c>
      <c r="DF47">
        <v>1689004988.5</v>
      </c>
      <c r="DG47">
        <v>341.84699999999998</v>
      </c>
      <c r="DH47">
        <v>400.09500000000003</v>
      </c>
      <c r="DI47">
        <v>27.987100000000002</v>
      </c>
      <c r="DJ47">
        <v>22.1036</v>
      </c>
      <c r="DK47">
        <v>340.988</v>
      </c>
      <c r="DL47">
        <v>27.571899999999999</v>
      </c>
      <c r="DM47">
        <v>500.04899999999998</v>
      </c>
      <c r="DN47">
        <v>99.210499999999996</v>
      </c>
      <c r="DO47">
        <v>0.100064</v>
      </c>
      <c r="DP47">
        <v>29.868300000000001</v>
      </c>
      <c r="DQ47">
        <v>29.9909</v>
      </c>
      <c r="DR47">
        <v>999.9</v>
      </c>
      <c r="DS47">
        <v>0</v>
      </c>
      <c r="DT47">
        <v>0</v>
      </c>
      <c r="DU47">
        <v>9998.75</v>
      </c>
      <c r="DV47">
        <v>0</v>
      </c>
      <c r="DW47">
        <v>1734.33</v>
      </c>
      <c r="DX47">
        <v>-58.248199999999997</v>
      </c>
      <c r="DY47">
        <v>351.68900000000002</v>
      </c>
      <c r="DZ47">
        <v>409.13799999999998</v>
      </c>
      <c r="EA47">
        <v>5.8835199999999999</v>
      </c>
      <c r="EB47">
        <v>400.09500000000003</v>
      </c>
      <c r="EC47">
        <v>22.1036</v>
      </c>
      <c r="ED47">
        <v>2.7766099999999998</v>
      </c>
      <c r="EE47">
        <v>2.1929099999999999</v>
      </c>
      <c r="EF47">
        <v>22.745699999999999</v>
      </c>
      <c r="EG47">
        <v>18.910599999999999</v>
      </c>
      <c r="EH47">
        <v>1800.19</v>
      </c>
      <c r="EI47">
        <v>0.97800200000000004</v>
      </c>
      <c r="EJ47">
        <v>2.1997800000000001E-2</v>
      </c>
      <c r="EK47">
        <v>0</v>
      </c>
      <c r="EL47">
        <v>720.51700000000005</v>
      </c>
      <c r="EM47">
        <v>5.0011200000000002</v>
      </c>
      <c r="EN47">
        <v>14520.7</v>
      </c>
      <c r="EO47">
        <v>17212.7</v>
      </c>
      <c r="EP47">
        <v>47</v>
      </c>
      <c r="EQ47">
        <v>48.625</v>
      </c>
      <c r="ER47">
        <v>48.125</v>
      </c>
      <c r="ES47">
        <v>47.25</v>
      </c>
      <c r="ET47">
        <v>47.75</v>
      </c>
      <c r="EU47">
        <v>1755.7</v>
      </c>
      <c r="EV47">
        <v>39.49</v>
      </c>
      <c r="EW47">
        <v>0</v>
      </c>
      <c r="EX47">
        <v>801.20000004768372</v>
      </c>
      <c r="EY47">
        <v>0</v>
      </c>
      <c r="EZ47">
        <v>720.59144000000003</v>
      </c>
      <c r="FA47">
        <v>2.550923070790911</v>
      </c>
      <c r="FB47">
        <v>186.16922970566651</v>
      </c>
      <c r="FC47">
        <v>14509.86</v>
      </c>
      <c r="FD47">
        <v>15</v>
      </c>
      <c r="FE47">
        <v>1689004959</v>
      </c>
      <c r="FF47" t="s">
        <v>581</v>
      </c>
      <c r="FG47">
        <v>1689004937.5</v>
      </c>
      <c r="FH47">
        <v>1689004312</v>
      </c>
      <c r="FI47">
        <v>35</v>
      </c>
      <c r="FJ47">
        <v>0.24399999999999999</v>
      </c>
      <c r="FK47">
        <v>9.9000000000000005E-2</v>
      </c>
      <c r="FL47">
        <v>0.94699999999999995</v>
      </c>
      <c r="FM47">
        <v>0.41499999999999998</v>
      </c>
      <c r="FN47">
        <v>400</v>
      </c>
      <c r="FO47">
        <v>28</v>
      </c>
      <c r="FP47">
        <v>0.04</v>
      </c>
      <c r="FQ47">
        <v>0.25</v>
      </c>
      <c r="FR47">
        <v>46.820682206649991</v>
      </c>
      <c r="FS47">
        <v>-0.1034116431443014</v>
      </c>
      <c r="FT47">
        <v>5.0125140387673649E-2</v>
      </c>
      <c r="FU47">
        <v>1</v>
      </c>
      <c r="FV47">
        <v>0.34937261832107391</v>
      </c>
      <c r="FW47">
        <v>2.949870857240899E-2</v>
      </c>
      <c r="FX47">
        <v>3.01884538608446E-3</v>
      </c>
      <c r="FY47">
        <v>1</v>
      </c>
      <c r="FZ47">
        <v>2</v>
      </c>
      <c r="GA47">
        <v>2</v>
      </c>
      <c r="GB47" t="s">
        <v>423</v>
      </c>
      <c r="GC47">
        <v>2.9273500000000001</v>
      </c>
      <c r="GD47">
        <v>2.82735</v>
      </c>
      <c r="GE47">
        <v>7.8114600000000006E-2</v>
      </c>
      <c r="GF47">
        <v>8.8769299999999995E-2</v>
      </c>
      <c r="GG47">
        <v>0.124794</v>
      </c>
      <c r="GH47">
        <v>0.10677200000000001</v>
      </c>
      <c r="GI47">
        <v>30213.1</v>
      </c>
      <c r="GJ47">
        <v>24205.5</v>
      </c>
      <c r="GK47">
        <v>31531.599999999999</v>
      </c>
      <c r="GL47">
        <v>26195.1</v>
      </c>
      <c r="GM47">
        <v>37829.1</v>
      </c>
      <c r="GN47">
        <v>31733.4</v>
      </c>
      <c r="GO47">
        <v>46830.9</v>
      </c>
      <c r="GP47">
        <v>38085.300000000003</v>
      </c>
      <c r="GQ47">
        <v>1.9447300000000001</v>
      </c>
      <c r="GR47">
        <v>1.7755799999999999</v>
      </c>
      <c r="GS47">
        <v>2.4735900000000002E-2</v>
      </c>
      <c r="GT47">
        <v>0</v>
      </c>
      <c r="GU47">
        <v>29.588200000000001</v>
      </c>
      <c r="GV47">
        <v>999.9</v>
      </c>
      <c r="GW47">
        <v>39.4</v>
      </c>
      <c r="GX47">
        <v>42.2</v>
      </c>
      <c r="GY47">
        <v>33.083500000000001</v>
      </c>
      <c r="GZ47">
        <v>62.486499999999999</v>
      </c>
      <c r="HA47">
        <v>22.3598</v>
      </c>
      <c r="HB47">
        <v>1</v>
      </c>
      <c r="HC47">
        <v>0.318882</v>
      </c>
      <c r="HD47">
        <v>1.7457800000000001</v>
      </c>
      <c r="HE47">
        <v>20.288599999999999</v>
      </c>
      <c r="HF47">
        <v>5.2267200000000003</v>
      </c>
      <c r="HG47">
        <v>12.0579</v>
      </c>
      <c r="HH47">
        <v>4.9928499999999998</v>
      </c>
      <c r="HI47">
        <v>3.2919999999999998</v>
      </c>
      <c r="HJ47">
        <v>9999</v>
      </c>
      <c r="HK47">
        <v>9999</v>
      </c>
      <c r="HL47">
        <v>9999</v>
      </c>
      <c r="HM47">
        <v>462.5</v>
      </c>
      <c r="HN47">
        <v>1.86693</v>
      </c>
      <c r="HO47">
        <v>1.87042</v>
      </c>
      <c r="HP47">
        <v>1.8730199999999999</v>
      </c>
      <c r="HQ47">
        <v>1.8739300000000001</v>
      </c>
      <c r="HR47">
        <v>1.8707100000000001</v>
      </c>
      <c r="HS47">
        <v>1.8690500000000001</v>
      </c>
      <c r="HT47">
        <v>1.8705499999999999</v>
      </c>
      <c r="HU47">
        <v>1.8734900000000001</v>
      </c>
      <c r="HV47">
        <v>0</v>
      </c>
      <c r="HW47">
        <v>0</v>
      </c>
      <c r="HX47">
        <v>0</v>
      </c>
      <c r="HY47">
        <v>0</v>
      </c>
      <c r="HZ47" t="s">
        <v>424</v>
      </c>
      <c r="IA47" t="s">
        <v>425</v>
      </c>
      <c r="IB47" t="s">
        <v>426</v>
      </c>
      <c r="IC47" t="s">
        <v>426</v>
      </c>
      <c r="ID47" t="s">
        <v>426</v>
      </c>
      <c r="IE47" t="s">
        <v>426</v>
      </c>
      <c r="IF47">
        <v>0</v>
      </c>
      <c r="IG47">
        <v>100</v>
      </c>
      <c r="IH47">
        <v>100</v>
      </c>
      <c r="II47">
        <v>0.85899999999999999</v>
      </c>
      <c r="IJ47">
        <v>0.41520000000000001</v>
      </c>
      <c r="IK47">
        <v>8.102178448908734E-2</v>
      </c>
      <c r="IL47">
        <v>3.042515301972944E-3</v>
      </c>
      <c r="IM47">
        <v>-2.5091471490852929E-6</v>
      </c>
      <c r="IN47">
        <v>8.1339755115576286E-10</v>
      </c>
      <c r="IO47">
        <v>0.41522499999999601</v>
      </c>
      <c r="IP47">
        <v>0</v>
      </c>
      <c r="IQ47">
        <v>0</v>
      </c>
      <c r="IR47">
        <v>0</v>
      </c>
      <c r="IS47">
        <v>3</v>
      </c>
      <c r="IT47">
        <v>2004</v>
      </c>
      <c r="IU47">
        <v>2</v>
      </c>
      <c r="IV47">
        <v>22</v>
      </c>
      <c r="IW47">
        <v>0.8</v>
      </c>
      <c r="IX47">
        <v>11.3</v>
      </c>
      <c r="IY47">
        <v>1.0351600000000001</v>
      </c>
      <c r="IZ47">
        <v>2.5744600000000002</v>
      </c>
      <c r="JA47">
        <v>1.64917</v>
      </c>
      <c r="JB47">
        <v>2.33643</v>
      </c>
      <c r="JC47">
        <v>1.5991200000000001</v>
      </c>
      <c r="JD47">
        <v>2.32056</v>
      </c>
      <c r="JE47">
        <v>45.863199999999999</v>
      </c>
      <c r="JF47">
        <v>24.026199999999999</v>
      </c>
      <c r="JG47">
        <v>18</v>
      </c>
      <c r="JH47">
        <v>516.93200000000002</v>
      </c>
      <c r="JI47">
        <v>455.63499999999999</v>
      </c>
      <c r="JJ47">
        <v>27.196999999999999</v>
      </c>
      <c r="JK47">
        <v>31.300699999999999</v>
      </c>
      <c r="JL47">
        <v>30.000699999999998</v>
      </c>
      <c r="JM47">
        <v>31.434000000000001</v>
      </c>
      <c r="JN47">
        <v>31.4604</v>
      </c>
      <c r="JO47">
        <v>20.724699999999999</v>
      </c>
      <c r="JP47">
        <v>41.892000000000003</v>
      </c>
      <c r="JQ47">
        <v>0</v>
      </c>
      <c r="JR47">
        <v>27.180399999999999</v>
      </c>
      <c r="JS47">
        <v>400</v>
      </c>
      <c r="JT47">
        <v>21.976500000000001</v>
      </c>
      <c r="JU47">
        <v>99.946600000000004</v>
      </c>
      <c r="JV47">
        <v>99.596000000000004</v>
      </c>
    </row>
    <row r="48" spans="1:282" x14ac:dyDescent="0.25">
      <c r="A48">
        <v>32</v>
      </c>
      <c r="B48">
        <v>1689005101</v>
      </c>
      <c r="C48">
        <v>5505.9000000953674</v>
      </c>
      <c r="D48" t="s">
        <v>582</v>
      </c>
      <c r="E48" t="s">
        <v>583</v>
      </c>
      <c r="F48" t="s">
        <v>414</v>
      </c>
      <c r="G48" t="s">
        <v>415</v>
      </c>
      <c r="H48" t="s">
        <v>577</v>
      </c>
      <c r="I48" t="s">
        <v>416</v>
      </c>
      <c r="J48" t="s">
        <v>578</v>
      </c>
      <c r="K48">
        <v>1689005101</v>
      </c>
      <c r="L48">
        <f t="shared" si="0"/>
        <v>5.047046683427492E-3</v>
      </c>
      <c r="M48">
        <f t="shared" si="1"/>
        <v>5.0470466834274923</v>
      </c>
      <c r="N48">
        <f t="shared" si="2"/>
        <v>38.185738818157667</v>
      </c>
      <c r="O48">
        <f t="shared" si="3"/>
        <v>252.71299999999999</v>
      </c>
      <c r="P48">
        <f t="shared" si="4"/>
        <v>62.483381995677092</v>
      </c>
      <c r="Q48">
        <f t="shared" si="5"/>
        <v>6.2052011160040177</v>
      </c>
      <c r="R48">
        <f t="shared" si="6"/>
        <v>25.096832782470297</v>
      </c>
      <c r="S48">
        <f t="shared" si="7"/>
        <v>0.3463093919564994</v>
      </c>
      <c r="T48">
        <f t="shared" si="8"/>
        <v>2.9158604420740231</v>
      </c>
      <c r="U48">
        <f t="shared" si="9"/>
        <v>0.32497445927026625</v>
      </c>
      <c r="V48">
        <f t="shared" si="10"/>
        <v>0.20491627252524708</v>
      </c>
      <c r="W48">
        <f t="shared" si="11"/>
        <v>289.56646957730783</v>
      </c>
      <c r="X48">
        <f t="shared" si="12"/>
        <v>30.242904431996532</v>
      </c>
      <c r="Y48">
        <f t="shared" si="13"/>
        <v>29.988800000000001</v>
      </c>
      <c r="Z48">
        <f t="shared" si="14"/>
        <v>4.2577097131041048</v>
      </c>
      <c r="AA48">
        <f t="shared" si="15"/>
        <v>65.589883358889708</v>
      </c>
      <c r="AB48">
        <f t="shared" si="16"/>
        <v>2.7699440075051998</v>
      </c>
      <c r="AC48">
        <f t="shared" si="17"/>
        <v>4.223126899538503</v>
      </c>
      <c r="AD48">
        <f t="shared" si="18"/>
        <v>1.4877657055989051</v>
      </c>
      <c r="AE48">
        <f t="shared" si="19"/>
        <v>-222.5747587391524</v>
      </c>
      <c r="AF48">
        <f t="shared" si="20"/>
        <v>-22.306661290924094</v>
      </c>
      <c r="AG48">
        <f t="shared" si="21"/>
        <v>-1.6996271798393716</v>
      </c>
      <c r="AH48">
        <f t="shared" si="22"/>
        <v>42.985422367391976</v>
      </c>
      <c r="AI48">
        <v>0</v>
      </c>
      <c r="AJ48">
        <v>0</v>
      </c>
      <c r="AK48">
        <f t="shared" si="23"/>
        <v>1</v>
      </c>
      <c r="AL48">
        <f t="shared" si="24"/>
        <v>0</v>
      </c>
      <c r="AM48">
        <f t="shared" si="25"/>
        <v>51972.175096437975</v>
      </c>
      <c r="AN48" t="s">
        <v>418</v>
      </c>
      <c r="AO48">
        <v>10021</v>
      </c>
      <c r="AP48">
        <v>177.53923076923081</v>
      </c>
      <c r="AQ48">
        <v>655.56</v>
      </c>
      <c r="AR48">
        <f t="shared" si="26"/>
        <v>0.72917928066198234</v>
      </c>
      <c r="AS48">
        <v>-3.1115002560329539</v>
      </c>
      <c r="AT48" t="s">
        <v>584</v>
      </c>
      <c r="AU48">
        <v>8023.85</v>
      </c>
      <c r="AV48">
        <v>699.09180769230761</v>
      </c>
      <c r="AW48">
        <v>985.64279717093291</v>
      </c>
      <c r="AX48">
        <f t="shared" si="27"/>
        <v>0.2907249870856925</v>
      </c>
      <c r="AY48">
        <v>0.5</v>
      </c>
      <c r="AZ48">
        <f t="shared" si="28"/>
        <v>1513.1846992628537</v>
      </c>
      <c r="BA48">
        <f t="shared" si="29"/>
        <v>38.185738818157667</v>
      </c>
      <c r="BB48">
        <f t="shared" si="30"/>
        <v>219.96030107573031</v>
      </c>
      <c r="BC48">
        <f t="shared" si="31"/>
        <v>2.7291604980085066E-2</v>
      </c>
      <c r="BD48">
        <f t="shared" si="32"/>
        <v>-0.33489089365677077</v>
      </c>
      <c r="BE48">
        <f t="shared" si="33"/>
        <v>195.24725746224863</v>
      </c>
      <c r="BF48" t="s">
        <v>585</v>
      </c>
      <c r="BG48">
        <v>555.12</v>
      </c>
      <c r="BH48">
        <f t="shared" si="34"/>
        <v>555.12</v>
      </c>
      <c r="BI48">
        <f t="shared" si="35"/>
        <v>0.43679393630902819</v>
      </c>
      <c r="BJ48">
        <f t="shared" si="36"/>
        <v>0.66558842263782458</v>
      </c>
      <c r="BK48">
        <f t="shared" si="37"/>
        <v>-3.286367952717375</v>
      </c>
      <c r="BL48">
        <f t="shared" si="38"/>
        <v>0.35459686281867364</v>
      </c>
      <c r="BM48">
        <f t="shared" si="39"/>
        <v>-0.69051978160300875</v>
      </c>
      <c r="BN48">
        <f t="shared" si="40"/>
        <v>0.52851634235904199</v>
      </c>
      <c r="BO48">
        <f t="shared" si="41"/>
        <v>0.47148365764095801</v>
      </c>
      <c r="BP48">
        <v>22529</v>
      </c>
      <c r="BQ48">
        <v>290.00000000000011</v>
      </c>
      <c r="BR48">
        <v>897.46</v>
      </c>
      <c r="BS48">
        <v>295</v>
      </c>
      <c r="BT48">
        <v>8023.85</v>
      </c>
      <c r="BU48">
        <v>899.26</v>
      </c>
      <c r="BV48">
        <v>-1.8</v>
      </c>
      <c r="BW48">
        <v>300.00000000000011</v>
      </c>
      <c r="BX48">
        <v>19.399999999999999</v>
      </c>
      <c r="BY48">
        <v>985.64279717093291</v>
      </c>
      <c r="BZ48">
        <v>3.454503289173104</v>
      </c>
      <c r="CA48">
        <v>-69.315190428498653</v>
      </c>
      <c r="CB48">
        <v>2.5462804328391031</v>
      </c>
      <c r="CC48">
        <v>0.96359119069315025</v>
      </c>
      <c r="CD48">
        <v>-4.1428549499443789E-3</v>
      </c>
      <c r="CE48">
        <v>289.99999999999989</v>
      </c>
      <c r="CF48">
        <v>898.08</v>
      </c>
      <c r="CG48">
        <v>645</v>
      </c>
      <c r="CH48">
        <v>8014.56</v>
      </c>
      <c r="CI48">
        <v>899.16</v>
      </c>
      <c r="CJ48">
        <v>-1.08</v>
      </c>
      <c r="CX48">
        <f t="shared" si="42"/>
        <v>1800</v>
      </c>
      <c r="CY48">
        <f t="shared" si="43"/>
        <v>1513.1846992628537</v>
      </c>
      <c r="CZ48">
        <f t="shared" si="44"/>
        <v>0.84065816625714096</v>
      </c>
      <c r="DA48">
        <f t="shared" si="45"/>
        <v>0.16087026087628212</v>
      </c>
      <c r="DB48">
        <v>6</v>
      </c>
      <c r="DC48">
        <v>0.5</v>
      </c>
      <c r="DD48" t="s">
        <v>421</v>
      </c>
      <c r="DE48">
        <v>2</v>
      </c>
      <c r="DF48">
        <v>1689005101</v>
      </c>
      <c r="DG48">
        <v>252.71299999999999</v>
      </c>
      <c r="DH48">
        <v>300.06700000000001</v>
      </c>
      <c r="DI48">
        <v>27.891999999999999</v>
      </c>
      <c r="DJ48">
        <v>22.0044</v>
      </c>
      <c r="DK48">
        <v>252.16399999999999</v>
      </c>
      <c r="DL48">
        <v>27.611899999999999</v>
      </c>
      <c r="DM48">
        <v>499.99400000000003</v>
      </c>
      <c r="DN48">
        <v>99.209800000000001</v>
      </c>
      <c r="DO48">
        <v>9.9823099999999998E-2</v>
      </c>
      <c r="DP48">
        <v>29.846900000000002</v>
      </c>
      <c r="DQ48">
        <v>29.988800000000001</v>
      </c>
      <c r="DR48">
        <v>999.9</v>
      </c>
      <c r="DS48">
        <v>0</v>
      </c>
      <c r="DT48">
        <v>0</v>
      </c>
      <c r="DU48">
        <v>10001.200000000001</v>
      </c>
      <c r="DV48">
        <v>0</v>
      </c>
      <c r="DW48">
        <v>1800.94</v>
      </c>
      <c r="DX48">
        <v>-47.354399999999998</v>
      </c>
      <c r="DY48">
        <v>259.964</v>
      </c>
      <c r="DZ48">
        <v>306.81799999999998</v>
      </c>
      <c r="EA48">
        <v>5.8875700000000002</v>
      </c>
      <c r="EB48">
        <v>300.06700000000001</v>
      </c>
      <c r="EC48">
        <v>22.0044</v>
      </c>
      <c r="ED48">
        <v>2.7671600000000001</v>
      </c>
      <c r="EE48">
        <v>2.1830599999999998</v>
      </c>
      <c r="EF48">
        <v>22.689499999999999</v>
      </c>
      <c r="EG48">
        <v>18.8385</v>
      </c>
      <c r="EH48">
        <v>1800</v>
      </c>
      <c r="EI48">
        <v>0.97800200000000004</v>
      </c>
      <c r="EJ48">
        <v>2.1997699999999999E-2</v>
      </c>
      <c r="EK48">
        <v>0</v>
      </c>
      <c r="EL48">
        <v>698.83900000000006</v>
      </c>
      <c r="EM48">
        <v>5.0011200000000002</v>
      </c>
      <c r="EN48">
        <v>14120.8</v>
      </c>
      <c r="EO48">
        <v>17210.900000000001</v>
      </c>
      <c r="EP48">
        <v>47.125</v>
      </c>
      <c r="EQ48">
        <v>49</v>
      </c>
      <c r="ER48">
        <v>48.311999999999998</v>
      </c>
      <c r="ES48">
        <v>47.5</v>
      </c>
      <c r="ET48">
        <v>47.936999999999998</v>
      </c>
      <c r="EU48">
        <v>1755.51</v>
      </c>
      <c r="EV48">
        <v>39.49</v>
      </c>
      <c r="EW48">
        <v>0</v>
      </c>
      <c r="EX48">
        <v>110.3999998569489</v>
      </c>
      <c r="EY48">
        <v>0</v>
      </c>
      <c r="EZ48">
        <v>699.09180769230761</v>
      </c>
      <c r="FA48">
        <v>-1.661914512685035</v>
      </c>
      <c r="FB48">
        <v>-53.976068381769572</v>
      </c>
      <c r="FC48">
        <v>14128.176923076921</v>
      </c>
      <c r="FD48">
        <v>15</v>
      </c>
      <c r="FE48">
        <v>1689005068.5</v>
      </c>
      <c r="FF48" t="s">
        <v>586</v>
      </c>
      <c r="FG48">
        <v>1689005068.5</v>
      </c>
      <c r="FH48">
        <v>1689005061</v>
      </c>
      <c r="FI48">
        <v>36</v>
      </c>
      <c r="FJ48">
        <v>-0.153</v>
      </c>
      <c r="FK48">
        <v>-0.13500000000000001</v>
      </c>
      <c r="FL48">
        <v>0.63600000000000001</v>
      </c>
      <c r="FM48">
        <v>0.27800000000000002</v>
      </c>
      <c r="FN48">
        <v>300</v>
      </c>
      <c r="FO48">
        <v>22</v>
      </c>
      <c r="FP48">
        <v>0.08</v>
      </c>
      <c r="FQ48">
        <v>0.03</v>
      </c>
      <c r="FR48">
        <v>38.166705247361428</v>
      </c>
      <c r="FS48">
        <v>-0.40486363423036148</v>
      </c>
      <c r="FT48">
        <v>5.2747790685616767E-2</v>
      </c>
      <c r="FU48">
        <v>1</v>
      </c>
      <c r="FV48">
        <v>0.34591796408313402</v>
      </c>
      <c r="FW48">
        <v>4.3819614916220273E-2</v>
      </c>
      <c r="FX48">
        <v>3.8290860193497889E-3</v>
      </c>
      <c r="FY48">
        <v>1</v>
      </c>
      <c r="FZ48">
        <v>2</v>
      </c>
      <c r="GA48">
        <v>2</v>
      </c>
      <c r="GB48" t="s">
        <v>423</v>
      </c>
      <c r="GC48">
        <v>2.9270800000000001</v>
      </c>
      <c r="GD48">
        <v>2.8271299999999999</v>
      </c>
      <c r="GE48">
        <v>6.08637E-2</v>
      </c>
      <c r="GF48">
        <v>7.0570800000000003E-2</v>
      </c>
      <c r="GG48">
        <v>0.12489699999999999</v>
      </c>
      <c r="GH48">
        <v>0.106416</v>
      </c>
      <c r="GI48">
        <v>30771.3</v>
      </c>
      <c r="GJ48">
        <v>24682.9</v>
      </c>
      <c r="GK48">
        <v>31524.9</v>
      </c>
      <c r="GL48">
        <v>26189.5</v>
      </c>
      <c r="GM48">
        <v>37816.800000000003</v>
      </c>
      <c r="GN48">
        <v>31738.5</v>
      </c>
      <c r="GO48">
        <v>46821</v>
      </c>
      <c r="GP48">
        <v>38076.300000000003</v>
      </c>
      <c r="GQ48">
        <v>1.9441200000000001</v>
      </c>
      <c r="GR48">
        <v>1.77295</v>
      </c>
      <c r="GS48">
        <v>1.8730799999999999E-2</v>
      </c>
      <c r="GT48">
        <v>0</v>
      </c>
      <c r="GU48">
        <v>29.683900000000001</v>
      </c>
      <c r="GV48">
        <v>999.9</v>
      </c>
      <c r="GW48">
        <v>39.5</v>
      </c>
      <c r="GX48">
        <v>42.3</v>
      </c>
      <c r="GY48">
        <v>33.345599999999997</v>
      </c>
      <c r="GZ48">
        <v>62.3765</v>
      </c>
      <c r="HA48">
        <v>22.4359</v>
      </c>
      <c r="HB48">
        <v>1</v>
      </c>
      <c r="HC48">
        <v>0.32787100000000002</v>
      </c>
      <c r="HD48">
        <v>1.9069700000000001</v>
      </c>
      <c r="HE48">
        <v>20.286999999999999</v>
      </c>
      <c r="HF48">
        <v>5.2268699999999999</v>
      </c>
      <c r="HG48">
        <v>12.058199999999999</v>
      </c>
      <c r="HH48">
        <v>4.9929500000000004</v>
      </c>
      <c r="HI48">
        <v>3.2919999999999998</v>
      </c>
      <c r="HJ48">
        <v>9999</v>
      </c>
      <c r="HK48">
        <v>9999</v>
      </c>
      <c r="HL48">
        <v>9999</v>
      </c>
      <c r="HM48">
        <v>462.5</v>
      </c>
      <c r="HN48">
        <v>1.8669100000000001</v>
      </c>
      <c r="HO48">
        <v>1.87042</v>
      </c>
      <c r="HP48">
        <v>1.8730199999999999</v>
      </c>
      <c r="HQ48">
        <v>1.8739300000000001</v>
      </c>
      <c r="HR48">
        <v>1.87073</v>
      </c>
      <c r="HS48">
        <v>1.8690500000000001</v>
      </c>
      <c r="HT48">
        <v>1.8705700000000001</v>
      </c>
      <c r="HU48">
        <v>1.8735299999999999</v>
      </c>
      <c r="HV48">
        <v>0</v>
      </c>
      <c r="HW48">
        <v>0</v>
      </c>
      <c r="HX48">
        <v>0</v>
      </c>
      <c r="HY48">
        <v>0</v>
      </c>
      <c r="HZ48" t="s">
        <v>424</v>
      </c>
      <c r="IA48" t="s">
        <v>425</v>
      </c>
      <c r="IB48" t="s">
        <v>426</v>
      </c>
      <c r="IC48" t="s">
        <v>426</v>
      </c>
      <c r="ID48" t="s">
        <v>426</v>
      </c>
      <c r="IE48" t="s">
        <v>426</v>
      </c>
      <c r="IF48">
        <v>0</v>
      </c>
      <c r="IG48">
        <v>100</v>
      </c>
      <c r="IH48">
        <v>100</v>
      </c>
      <c r="II48">
        <v>0.54900000000000004</v>
      </c>
      <c r="IJ48">
        <v>0.28010000000000002</v>
      </c>
      <c r="IK48">
        <v>-7.1890924326741629E-2</v>
      </c>
      <c r="IL48">
        <v>3.042515301972944E-3</v>
      </c>
      <c r="IM48">
        <v>-2.5091471490852929E-6</v>
      </c>
      <c r="IN48">
        <v>8.1339755115576286E-10</v>
      </c>
      <c r="IO48">
        <v>0.28006538606791981</v>
      </c>
      <c r="IP48">
        <v>0</v>
      </c>
      <c r="IQ48">
        <v>0</v>
      </c>
      <c r="IR48">
        <v>0</v>
      </c>
      <c r="IS48">
        <v>3</v>
      </c>
      <c r="IT48">
        <v>2004</v>
      </c>
      <c r="IU48">
        <v>2</v>
      </c>
      <c r="IV48">
        <v>22</v>
      </c>
      <c r="IW48">
        <v>0.5</v>
      </c>
      <c r="IX48">
        <v>0.7</v>
      </c>
      <c r="IY48">
        <v>0.82153299999999996</v>
      </c>
      <c r="IZ48">
        <v>2.5720200000000002</v>
      </c>
      <c r="JA48">
        <v>1.64917</v>
      </c>
      <c r="JB48">
        <v>2.33643</v>
      </c>
      <c r="JC48">
        <v>1.5991200000000001</v>
      </c>
      <c r="JD48">
        <v>2.3278799999999999</v>
      </c>
      <c r="JE48">
        <v>46.0657</v>
      </c>
      <c r="JF48">
        <v>24.043700000000001</v>
      </c>
      <c r="JG48">
        <v>18</v>
      </c>
      <c r="JH48">
        <v>517.15499999999997</v>
      </c>
      <c r="JI48">
        <v>454.43200000000002</v>
      </c>
      <c r="JJ48">
        <v>27.045500000000001</v>
      </c>
      <c r="JK48">
        <v>31.410299999999999</v>
      </c>
      <c r="JL48">
        <v>30.000900000000001</v>
      </c>
      <c r="JM48">
        <v>31.5105</v>
      </c>
      <c r="JN48">
        <v>31.529699999999998</v>
      </c>
      <c r="JO48">
        <v>16.4541</v>
      </c>
      <c r="JP48">
        <v>42.496099999999998</v>
      </c>
      <c r="JQ48">
        <v>0</v>
      </c>
      <c r="JR48">
        <v>27.0245</v>
      </c>
      <c r="JS48">
        <v>300</v>
      </c>
      <c r="JT48">
        <v>21.9191</v>
      </c>
      <c r="JU48">
        <v>99.9255</v>
      </c>
      <c r="JV48">
        <v>99.573400000000007</v>
      </c>
    </row>
    <row r="49" spans="1:282" x14ac:dyDescent="0.25">
      <c r="A49">
        <v>33</v>
      </c>
      <c r="B49">
        <v>1689005207</v>
      </c>
      <c r="C49">
        <v>5611.9000000953674</v>
      </c>
      <c r="D49" t="s">
        <v>587</v>
      </c>
      <c r="E49" t="s">
        <v>588</v>
      </c>
      <c r="F49" t="s">
        <v>414</v>
      </c>
      <c r="G49" t="s">
        <v>415</v>
      </c>
      <c r="H49" t="s">
        <v>577</v>
      </c>
      <c r="I49" t="s">
        <v>416</v>
      </c>
      <c r="J49" t="s">
        <v>578</v>
      </c>
      <c r="K49">
        <v>1689005207</v>
      </c>
      <c r="L49">
        <f t="shared" ref="L49:L80" si="46">(M49)/1000</f>
        <v>5.4575335765889707E-3</v>
      </c>
      <c r="M49">
        <f t="shared" ref="M49:M80" si="47">1000*DM49*AK49*(DI49-DJ49)/(100*DB49*(1000-AK49*DI49))</f>
        <v>5.457533576588971</v>
      </c>
      <c r="N49">
        <f t="shared" ref="N49:N80" si="48">DM49*AK49*(DH49-DG49*(1000-AK49*DJ49)/(1000-AK49*DI49))/(100*DB49)</f>
        <v>27.349745304723438</v>
      </c>
      <c r="O49">
        <f t="shared" ref="O49:O80" si="49">DG49 - IF(AK49&gt;1, N49*DB49*100/(AM49*DU49), 0)</f>
        <v>166.12100000000001</v>
      </c>
      <c r="P49">
        <f t="shared" ref="P49:P80" si="50">((V49-L49/2)*O49-N49)/(V49+L49/2)</f>
        <v>40.847803384792591</v>
      </c>
      <c r="Q49">
        <f t="shared" ref="Q49:Q80" si="51">P49*(DN49+DO49)/1000</f>
        <v>4.0564628602086934</v>
      </c>
      <c r="R49">
        <f t="shared" ref="R49:R80" si="52">(DG49 - IF(AK49&gt;1, N49*DB49*100/(AM49*DU49), 0))*(DN49+DO49)/1000</f>
        <v>16.4969376799244</v>
      </c>
      <c r="S49">
        <f t="shared" ref="S49:S80" si="53">2/((1/U49-1/T49)+SIGN(U49)*SQRT((1/U49-1/T49)*(1/U49-1/T49) + 4*DC49/((DC49+1)*(DC49+1))*(2*1/U49*1/T49-1/T49*1/T49)))</f>
        <v>0.37841886197791885</v>
      </c>
      <c r="T49">
        <f t="shared" ref="T49:T80" si="54">IF(LEFT(DD49,1)&lt;&gt;"0",IF(LEFT(DD49,1)="1",3,DE49),$D$5+$E$5*(DU49*DN49/($K$5*1000))+$F$5*(DU49*DN49/($K$5*1000))*MAX(MIN(DB49,$J$5),$I$5)*MAX(MIN(DB49,$J$5),$I$5)+$G$5*MAX(MIN(DB49,$J$5),$I$5)*(DU49*DN49/($K$5*1000))+$H$5*(DU49*DN49/($K$5*1000))*(DU49*DN49/($K$5*1000)))</f>
        <v>2.917790857734631</v>
      </c>
      <c r="U49">
        <f t="shared" ref="U49:U80" si="55">L49*(1000-(1000*0.61365*EXP(17.502*Y49/(240.97+Y49))/(DN49+DO49)+DI49)/2)/(1000*0.61365*EXP(17.502*Y49/(240.97+Y49))/(DN49+DO49)-DI49)</f>
        <v>0.35311488673550856</v>
      </c>
      <c r="V49">
        <f t="shared" ref="V49:V80" si="56">1/((DC49+1)/(S49/1.6)+1/(T49/1.37)) + DC49/((DC49+1)/(S49/1.6) + DC49/(T49/1.37))</f>
        <v>0.22282910994405208</v>
      </c>
      <c r="W49">
        <f t="shared" ref="W49:W80" si="57">(CX49*DA49)</f>
        <v>289.56327757729201</v>
      </c>
      <c r="X49">
        <f t="shared" ref="X49:X80" si="58">(DP49+(W49+2*0.95*0.0000000567*(((DP49+$B$7)+273)^4-(DP49+273)^4)-44100*L49)/(1.84*29.3*T49+8*0.95*0.0000000567*(DP49+273)^3))</f>
        <v>30.176991387270746</v>
      </c>
      <c r="Y49">
        <f t="shared" ref="Y49:Y80" si="59">($C$7*DQ49+$D$7*DR49+$E$7*X49)</f>
        <v>29.9877</v>
      </c>
      <c r="Z49">
        <f t="shared" ref="Z49:Z80" si="60">0.61365*EXP(17.502*Y49/(240.97+Y49))</f>
        <v>4.25744068297998</v>
      </c>
      <c r="AA49">
        <f t="shared" ref="AA49:AA80" si="61">(AB49/AC49*100)</f>
        <v>65.600400189656</v>
      </c>
      <c r="AB49">
        <f t="shared" ref="AB49:AB80" si="62">DI49*(DN49+DO49)/1000</f>
        <v>2.7769744132670398</v>
      </c>
      <c r="AC49">
        <f t="shared" ref="AC49:AC80" si="63">0.61365*EXP(17.502*DP49/(240.97+DP49))</f>
        <v>4.2331668789193122</v>
      </c>
      <c r="AD49">
        <f t="shared" ref="AD49:AD80" si="64">(Z49-DI49*(DN49+DO49)/1000)</f>
        <v>1.4804662697129403</v>
      </c>
      <c r="AE49">
        <f t="shared" ref="AE49:AE80" si="65">(-L49*44100)</f>
        <v>-240.6772307275736</v>
      </c>
      <c r="AF49">
        <f t="shared" ref="AF49:AF80" si="66">2*29.3*T49*0.92*(DP49-Y49)</f>
        <v>-15.651742101857696</v>
      </c>
      <c r="AG49">
        <f t="shared" ref="AG49:AG80" si="67">2*0.95*0.0000000567*(((DP49+$B$7)+273)^4-(Y49+273)^4)</f>
        <v>-1.1920124466518549</v>
      </c>
      <c r="AH49">
        <f t="shared" ref="AH49:AH80" si="68">W49+AG49+AE49+AF49</f>
        <v>32.04229230120886</v>
      </c>
      <c r="AI49">
        <v>0</v>
      </c>
      <c r="AJ49">
        <v>0</v>
      </c>
      <c r="AK49">
        <f t="shared" ref="AK49:AK80" si="69">IF(AI49*$H$13&gt;=AM49,1,(AM49/(AM49-AI49*$H$13)))</f>
        <v>1</v>
      </c>
      <c r="AL49">
        <f t="shared" ref="AL49:AL80" si="70">(AK49-1)*100</f>
        <v>0</v>
      </c>
      <c r="AM49">
        <f t="shared" ref="AM49:AM80" si="71">MAX(0,($B$13+$C$13*DU49)/(1+$D$13*DU49)*DN49/(DP49+273)*$E$13)</f>
        <v>52020.027897943633</v>
      </c>
      <c r="AN49" t="s">
        <v>418</v>
      </c>
      <c r="AO49">
        <v>10021</v>
      </c>
      <c r="AP49">
        <v>177.53923076923081</v>
      </c>
      <c r="AQ49">
        <v>655.56</v>
      </c>
      <c r="AR49">
        <f t="shared" ref="AR49:AR80" si="72">1-AP49/AQ49</f>
        <v>0.72917928066198234</v>
      </c>
      <c r="AS49">
        <v>-3.1115002560329539</v>
      </c>
      <c r="AT49" t="s">
        <v>589</v>
      </c>
      <c r="AU49">
        <v>8023.33</v>
      </c>
      <c r="AV49">
        <v>691.2423076923078</v>
      </c>
      <c r="AW49">
        <v>904.47533995787228</v>
      </c>
      <c r="AX49">
        <f t="shared" ref="AX49:AX80" si="73">1-AV49/AW49</f>
        <v>0.23575328463404677</v>
      </c>
      <c r="AY49">
        <v>0.5</v>
      </c>
      <c r="AZ49">
        <f t="shared" ref="AZ49:AZ80" si="74">CY49</f>
        <v>1513.1678992628456</v>
      </c>
      <c r="BA49">
        <f t="shared" ref="BA49:BA80" si="75">N49</f>
        <v>27.349745304723438</v>
      </c>
      <c r="BB49">
        <f t="shared" ref="BB49:BB80" si="76">AX49*AY49*AZ49</f>
        <v>178.36715122700812</v>
      </c>
      <c r="BC49">
        <f t="shared" ref="BC49:BC80" si="77">(BA49-AS49)/AZ49</f>
        <v>2.0130777011325634E-2</v>
      </c>
      <c r="BD49">
        <f t="shared" ref="BD49:BD80" si="78">(AQ49-AW49)/AW49</f>
        <v>-0.27520411995916444</v>
      </c>
      <c r="BE49">
        <f t="shared" ref="BE49:BE80" si="79">AP49/(AR49+AP49/AW49)</f>
        <v>191.83703235594942</v>
      </c>
      <c r="BF49" t="s">
        <v>590</v>
      </c>
      <c r="BG49">
        <v>550.01</v>
      </c>
      <c r="BH49">
        <f t="shared" ref="BH49:BH80" si="80">IF(BG49&lt;&gt;0, BG49, BE49)</f>
        <v>550.01</v>
      </c>
      <c r="BI49">
        <f t="shared" ref="BI49:BI80" si="81">1-BH49/AW49</f>
        <v>0.39190160781429617</v>
      </c>
      <c r="BJ49">
        <f t="shared" ref="BJ49:BJ80" si="82">(AW49-AV49)/(AW49-BH49)</f>
        <v>0.60156243284860211</v>
      </c>
      <c r="BK49">
        <f t="shared" ref="BK49:BK80" si="83">(AQ49-AW49)/(AQ49-BH49)</f>
        <v>-2.358269445361179</v>
      </c>
      <c r="BL49">
        <f t="shared" ref="BL49:BL80" si="84">(AW49-AV49)/(AW49-AP49)</f>
        <v>0.2933311876659439</v>
      </c>
      <c r="BM49">
        <f t="shared" ref="BM49:BM80" si="85">(AQ49-AW49)/(AQ49-AP49)</f>
        <v>-0.520720763573572</v>
      </c>
      <c r="BN49">
        <f t="shared" ref="BN49:BN80" si="86">(BJ49*BH49/AV49)</f>
        <v>0.47865321611410611</v>
      </c>
      <c r="BO49">
        <f t="shared" ref="BO49:BO80" si="87">(1-BN49)</f>
        <v>0.52134678388589384</v>
      </c>
      <c r="BP49">
        <v>22531</v>
      </c>
      <c r="BQ49">
        <v>290.00000000000011</v>
      </c>
      <c r="BR49">
        <v>842.47</v>
      </c>
      <c r="BS49">
        <v>285</v>
      </c>
      <c r="BT49">
        <v>8023.33</v>
      </c>
      <c r="BU49">
        <v>844.6</v>
      </c>
      <c r="BV49">
        <v>-2.13</v>
      </c>
      <c r="BW49">
        <v>300.00000000000011</v>
      </c>
      <c r="BX49">
        <v>19.399999999999999</v>
      </c>
      <c r="BY49">
        <v>904.47533995787228</v>
      </c>
      <c r="BZ49">
        <v>3.6722192774743969</v>
      </c>
      <c r="CA49">
        <v>-48.037277531633997</v>
      </c>
      <c r="CB49">
        <v>2.7065871877337009</v>
      </c>
      <c r="CC49">
        <v>0.91836772244114506</v>
      </c>
      <c r="CD49">
        <v>-4.1425668520578456E-3</v>
      </c>
      <c r="CE49">
        <v>289.99999999999989</v>
      </c>
      <c r="CF49">
        <v>842.03</v>
      </c>
      <c r="CG49">
        <v>645</v>
      </c>
      <c r="CH49">
        <v>8014.05</v>
      </c>
      <c r="CI49">
        <v>844.53</v>
      </c>
      <c r="CJ49">
        <v>-2.5</v>
      </c>
      <c r="CX49">
        <f t="shared" ref="CX49:CX80" si="88">$B$11*DV49+$C$11*DW49+$F$11*EH49*(1-EK49)</f>
        <v>1799.98</v>
      </c>
      <c r="CY49">
        <f t="shared" ref="CY49:CY80" si="89">CX49*CZ49</f>
        <v>1513.1678992628456</v>
      </c>
      <c r="CZ49">
        <f t="shared" ref="CZ49:CZ80" si="90">($B$11*$D$9+$C$11*$D$9+$F$11*((EU49+EM49)/MAX(EU49+EM49+EV49, 0.1)*$I$9+EV49/MAX(EU49+EM49+EV49, 0.1)*$J$9))/($B$11+$C$11+$F$11)</f>
        <v>0.84065817357017614</v>
      </c>
      <c r="DA49">
        <f t="shared" ref="DA49:DA80" si="91">($B$11*$K$9+$C$11*$K$9+$F$11*((EU49+EM49)/MAX(EU49+EM49+EV49, 0.1)*$P$9+EV49/MAX(EU49+EM49+EV49, 0.1)*$Q$9))/($B$11+$C$11+$F$11)</f>
        <v>0.1608702749904399</v>
      </c>
      <c r="DB49">
        <v>6</v>
      </c>
      <c r="DC49">
        <v>0.5</v>
      </c>
      <c r="DD49" t="s">
        <v>421</v>
      </c>
      <c r="DE49">
        <v>2</v>
      </c>
      <c r="DF49">
        <v>1689005207</v>
      </c>
      <c r="DG49">
        <v>166.12100000000001</v>
      </c>
      <c r="DH49">
        <v>200.02699999999999</v>
      </c>
      <c r="DI49">
        <v>27.9636</v>
      </c>
      <c r="DJ49">
        <v>21.597999999999999</v>
      </c>
      <c r="DK49">
        <v>165.822</v>
      </c>
      <c r="DL49">
        <v>27.687100000000001</v>
      </c>
      <c r="DM49">
        <v>500.024</v>
      </c>
      <c r="DN49">
        <v>99.2072</v>
      </c>
      <c r="DO49">
        <v>9.9556400000000003E-2</v>
      </c>
      <c r="DP49">
        <v>29.888200000000001</v>
      </c>
      <c r="DQ49">
        <v>29.9877</v>
      </c>
      <c r="DR49">
        <v>999.9</v>
      </c>
      <c r="DS49">
        <v>0</v>
      </c>
      <c r="DT49">
        <v>0</v>
      </c>
      <c r="DU49">
        <v>10012.5</v>
      </c>
      <c r="DV49">
        <v>0</v>
      </c>
      <c r="DW49">
        <v>1818.26</v>
      </c>
      <c r="DX49">
        <v>-33.906700000000001</v>
      </c>
      <c r="DY49">
        <v>170.899</v>
      </c>
      <c r="DZ49">
        <v>204.44300000000001</v>
      </c>
      <c r="EA49">
        <v>6.3655600000000003</v>
      </c>
      <c r="EB49">
        <v>200.02699999999999</v>
      </c>
      <c r="EC49">
        <v>21.597999999999999</v>
      </c>
      <c r="ED49">
        <v>2.7741899999999999</v>
      </c>
      <c r="EE49">
        <v>2.1426799999999999</v>
      </c>
      <c r="EF49">
        <v>22.731300000000001</v>
      </c>
      <c r="EG49">
        <v>18.540099999999999</v>
      </c>
      <c r="EH49">
        <v>1799.98</v>
      </c>
      <c r="EI49">
        <v>0.97800200000000004</v>
      </c>
      <c r="EJ49">
        <v>2.1997699999999999E-2</v>
      </c>
      <c r="EK49">
        <v>0</v>
      </c>
      <c r="EL49">
        <v>690.43200000000002</v>
      </c>
      <c r="EM49">
        <v>5.0011200000000002</v>
      </c>
      <c r="EN49">
        <v>13972.4</v>
      </c>
      <c r="EO49">
        <v>17210.7</v>
      </c>
      <c r="EP49">
        <v>47.186999999999998</v>
      </c>
      <c r="EQ49">
        <v>49.061999999999998</v>
      </c>
      <c r="ER49">
        <v>48.375</v>
      </c>
      <c r="ES49">
        <v>47.625</v>
      </c>
      <c r="ET49">
        <v>48</v>
      </c>
      <c r="EU49">
        <v>1755.49</v>
      </c>
      <c r="EV49">
        <v>39.49</v>
      </c>
      <c r="EW49">
        <v>0</v>
      </c>
      <c r="EX49">
        <v>104</v>
      </c>
      <c r="EY49">
        <v>0</v>
      </c>
      <c r="EZ49">
        <v>691.2423076923078</v>
      </c>
      <c r="FA49">
        <v>-3.51958973193311</v>
      </c>
      <c r="FB49">
        <v>-84.540171044889007</v>
      </c>
      <c r="FC49">
        <v>13982.77692307693</v>
      </c>
      <c r="FD49">
        <v>15</v>
      </c>
      <c r="FE49">
        <v>1689005176.5</v>
      </c>
      <c r="FF49" t="s">
        <v>591</v>
      </c>
      <c r="FG49">
        <v>1689005170.5</v>
      </c>
      <c r="FH49">
        <v>1689005176.5</v>
      </c>
      <c r="FI49">
        <v>37</v>
      </c>
      <c r="FJ49">
        <v>-6.9000000000000006E-2</v>
      </c>
      <c r="FK49">
        <v>-4.0000000000000001E-3</v>
      </c>
      <c r="FL49">
        <v>0.373</v>
      </c>
      <c r="FM49">
        <v>0.26700000000000002</v>
      </c>
      <c r="FN49">
        <v>200</v>
      </c>
      <c r="FO49">
        <v>22</v>
      </c>
      <c r="FP49">
        <v>0.05</v>
      </c>
      <c r="FQ49">
        <v>0.02</v>
      </c>
      <c r="FR49">
        <v>27.30365436258522</v>
      </c>
      <c r="FS49">
        <v>-0.28351135179837189</v>
      </c>
      <c r="FT49">
        <v>5.3617075486706682E-2</v>
      </c>
      <c r="FU49">
        <v>1</v>
      </c>
      <c r="FV49">
        <v>0.3798943766452757</v>
      </c>
      <c r="FW49">
        <v>3.4742651549781213E-2</v>
      </c>
      <c r="FX49">
        <v>4.0804702810433961E-3</v>
      </c>
      <c r="FY49">
        <v>1</v>
      </c>
      <c r="FZ49">
        <v>2</v>
      </c>
      <c r="GA49">
        <v>2</v>
      </c>
      <c r="GB49" t="s">
        <v>423</v>
      </c>
      <c r="GC49">
        <v>2.9270700000000001</v>
      </c>
      <c r="GD49">
        <v>2.8269600000000001</v>
      </c>
      <c r="GE49">
        <v>4.1989800000000001E-2</v>
      </c>
      <c r="GF49">
        <v>4.9873000000000001E-2</v>
      </c>
      <c r="GG49">
        <v>0.12511</v>
      </c>
      <c r="GH49">
        <v>0.10500900000000001</v>
      </c>
      <c r="GI49">
        <v>31383.599999999999</v>
      </c>
      <c r="GJ49">
        <v>25228.400000000001</v>
      </c>
      <c r="GK49">
        <v>31519.5</v>
      </c>
      <c r="GL49">
        <v>26186.1</v>
      </c>
      <c r="GM49">
        <v>37800.699999999997</v>
      </c>
      <c r="GN49">
        <v>31784.2</v>
      </c>
      <c r="GO49">
        <v>46812.6</v>
      </c>
      <c r="GP49">
        <v>38071.1</v>
      </c>
      <c r="GQ49">
        <v>1.9434</v>
      </c>
      <c r="GR49">
        <v>1.7700499999999999</v>
      </c>
      <c r="GS49">
        <v>2.4005800000000001E-2</v>
      </c>
      <c r="GT49">
        <v>0</v>
      </c>
      <c r="GU49">
        <v>29.597000000000001</v>
      </c>
      <c r="GV49">
        <v>999.9</v>
      </c>
      <c r="GW49">
        <v>39.4</v>
      </c>
      <c r="GX49">
        <v>42.4</v>
      </c>
      <c r="GY49">
        <v>33.435200000000002</v>
      </c>
      <c r="GZ49">
        <v>62.3065</v>
      </c>
      <c r="HA49">
        <v>22.407900000000001</v>
      </c>
      <c r="HB49">
        <v>1</v>
      </c>
      <c r="HC49">
        <v>0.33590399999999998</v>
      </c>
      <c r="HD49">
        <v>2.1686200000000002</v>
      </c>
      <c r="HE49">
        <v>20.2837</v>
      </c>
      <c r="HF49">
        <v>5.2273199999999997</v>
      </c>
      <c r="HG49">
        <v>12.059200000000001</v>
      </c>
      <c r="HH49">
        <v>4.9930500000000002</v>
      </c>
      <c r="HI49">
        <v>3.2919999999999998</v>
      </c>
      <c r="HJ49">
        <v>9999</v>
      </c>
      <c r="HK49">
        <v>9999</v>
      </c>
      <c r="HL49">
        <v>9999</v>
      </c>
      <c r="HM49">
        <v>462.6</v>
      </c>
      <c r="HN49">
        <v>1.86693</v>
      </c>
      <c r="HO49">
        <v>1.8704099999999999</v>
      </c>
      <c r="HP49">
        <v>1.8730199999999999</v>
      </c>
      <c r="HQ49">
        <v>1.87392</v>
      </c>
      <c r="HR49">
        <v>1.8707199999999999</v>
      </c>
      <c r="HS49">
        <v>1.8690500000000001</v>
      </c>
      <c r="HT49">
        <v>1.8705700000000001</v>
      </c>
      <c r="HU49">
        <v>1.8734900000000001</v>
      </c>
      <c r="HV49">
        <v>0</v>
      </c>
      <c r="HW49">
        <v>0</v>
      </c>
      <c r="HX49">
        <v>0</v>
      </c>
      <c r="HY49">
        <v>0</v>
      </c>
      <c r="HZ49" t="s">
        <v>424</v>
      </c>
      <c r="IA49" t="s">
        <v>425</v>
      </c>
      <c r="IB49" t="s">
        <v>426</v>
      </c>
      <c r="IC49" t="s">
        <v>426</v>
      </c>
      <c r="ID49" t="s">
        <v>426</v>
      </c>
      <c r="IE49" t="s">
        <v>426</v>
      </c>
      <c r="IF49">
        <v>0</v>
      </c>
      <c r="IG49">
        <v>100</v>
      </c>
      <c r="IH49">
        <v>100</v>
      </c>
      <c r="II49">
        <v>0.29899999999999999</v>
      </c>
      <c r="IJ49">
        <v>0.27650000000000002</v>
      </c>
      <c r="IK49">
        <v>-0.1407086233844021</v>
      </c>
      <c r="IL49">
        <v>3.042515301972944E-3</v>
      </c>
      <c r="IM49">
        <v>-2.5091471490852929E-6</v>
      </c>
      <c r="IN49">
        <v>8.1339755115576286E-10</v>
      </c>
      <c r="IO49">
        <v>0.27649940535854928</v>
      </c>
      <c r="IP49">
        <v>0</v>
      </c>
      <c r="IQ49">
        <v>0</v>
      </c>
      <c r="IR49">
        <v>0</v>
      </c>
      <c r="IS49">
        <v>3</v>
      </c>
      <c r="IT49">
        <v>2004</v>
      </c>
      <c r="IU49">
        <v>2</v>
      </c>
      <c r="IV49">
        <v>22</v>
      </c>
      <c r="IW49">
        <v>0.6</v>
      </c>
      <c r="IX49">
        <v>0.5</v>
      </c>
      <c r="IY49">
        <v>0.59814500000000004</v>
      </c>
      <c r="IZ49">
        <v>2.5805699999999998</v>
      </c>
      <c r="JA49">
        <v>1.64917</v>
      </c>
      <c r="JB49">
        <v>2.33643</v>
      </c>
      <c r="JC49">
        <v>1.5991200000000001</v>
      </c>
      <c r="JD49">
        <v>2.31812</v>
      </c>
      <c r="JE49">
        <v>46.269100000000002</v>
      </c>
      <c r="JF49">
        <v>24.035</v>
      </c>
      <c r="JG49">
        <v>18</v>
      </c>
      <c r="JH49">
        <v>517.24800000000005</v>
      </c>
      <c r="JI49">
        <v>453.01600000000002</v>
      </c>
      <c r="JJ49">
        <v>26.953499999999998</v>
      </c>
      <c r="JK49">
        <v>31.494700000000002</v>
      </c>
      <c r="JL49">
        <v>30.000299999999999</v>
      </c>
      <c r="JM49">
        <v>31.581099999999999</v>
      </c>
      <c r="JN49">
        <v>31.594899999999999</v>
      </c>
      <c r="JO49">
        <v>11.992000000000001</v>
      </c>
      <c r="JP49">
        <v>43.980400000000003</v>
      </c>
      <c r="JQ49">
        <v>0</v>
      </c>
      <c r="JR49">
        <v>26.956499999999998</v>
      </c>
      <c r="JS49">
        <v>200</v>
      </c>
      <c r="JT49">
        <v>21.477399999999999</v>
      </c>
      <c r="JU49">
        <v>99.907799999999995</v>
      </c>
      <c r="JV49">
        <v>99.559899999999999</v>
      </c>
    </row>
    <row r="50" spans="1:282" x14ac:dyDescent="0.25">
      <c r="A50">
        <v>34</v>
      </c>
      <c r="B50">
        <v>1689005316.5</v>
      </c>
      <c r="C50">
        <v>5721.4000000953674</v>
      </c>
      <c r="D50" t="s">
        <v>592</v>
      </c>
      <c r="E50" t="s">
        <v>593</v>
      </c>
      <c r="F50" t="s">
        <v>414</v>
      </c>
      <c r="G50" t="s">
        <v>415</v>
      </c>
      <c r="H50" t="s">
        <v>577</v>
      </c>
      <c r="I50" t="s">
        <v>416</v>
      </c>
      <c r="J50" t="s">
        <v>578</v>
      </c>
      <c r="K50">
        <v>1689005316.5</v>
      </c>
      <c r="L50">
        <f t="shared" si="46"/>
        <v>5.8527250162667913E-3</v>
      </c>
      <c r="M50">
        <f t="shared" si="47"/>
        <v>5.852725016266791</v>
      </c>
      <c r="N50">
        <f t="shared" si="48"/>
        <v>17.385294750771749</v>
      </c>
      <c r="O50">
        <f t="shared" si="49"/>
        <v>98.457599999999999</v>
      </c>
      <c r="P50">
        <f t="shared" si="50"/>
        <v>24.983684304462383</v>
      </c>
      <c r="Q50">
        <f t="shared" si="51"/>
        <v>2.4811742591689585</v>
      </c>
      <c r="R50">
        <f t="shared" si="52"/>
        <v>9.7779999043583992</v>
      </c>
      <c r="S50">
        <f t="shared" si="53"/>
        <v>0.4123193371104858</v>
      </c>
      <c r="T50">
        <f t="shared" si="54"/>
        <v>2.9157907382136328</v>
      </c>
      <c r="U50">
        <f t="shared" si="55"/>
        <v>0.38245138888430968</v>
      </c>
      <c r="V50">
        <f t="shared" si="56"/>
        <v>0.2415350880529426</v>
      </c>
      <c r="W50">
        <f t="shared" si="57"/>
        <v>289.55951927737345</v>
      </c>
      <c r="X50">
        <f t="shared" si="58"/>
        <v>30.087831315089307</v>
      </c>
      <c r="Y50">
        <f t="shared" si="59"/>
        <v>29.9559</v>
      </c>
      <c r="Z50">
        <f t="shared" si="60"/>
        <v>4.2496696687336062</v>
      </c>
      <c r="AA50">
        <f t="shared" si="61"/>
        <v>65.707496995469299</v>
      </c>
      <c r="AB50">
        <f t="shared" si="62"/>
        <v>2.7836993743416003</v>
      </c>
      <c r="AC50">
        <f t="shared" si="63"/>
        <v>4.2365019238726198</v>
      </c>
      <c r="AD50">
        <f t="shared" si="64"/>
        <v>1.4659702943920059</v>
      </c>
      <c r="AE50">
        <f t="shared" si="65"/>
        <v>-258.10517321736552</v>
      </c>
      <c r="AF50">
        <f t="shared" si="66"/>
        <v>-8.4885899550427268</v>
      </c>
      <c r="AG50">
        <f t="shared" si="67"/>
        <v>-0.64686333866925017</v>
      </c>
      <c r="AH50">
        <f t="shared" si="68"/>
        <v>22.318892766295932</v>
      </c>
      <c r="AI50">
        <v>0</v>
      </c>
      <c r="AJ50">
        <v>0</v>
      </c>
      <c r="AK50">
        <f t="shared" si="69"/>
        <v>1</v>
      </c>
      <c r="AL50">
        <f t="shared" si="70"/>
        <v>0</v>
      </c>
      <c r="AM50">
        <f t="shared" si="71"/>
        <v>51960.795709921687</v>
      </c>
      <c r="AN50" t="s">
        <v>418</v>
      </c>
      <c r="AO50">
        <v>10021</v>
      </c>
      <c r="AP50">
        <v>177.53923076923081</v>
      </c>
      <c r="AQ50">
        <v>655.56</v>
      </c>
      <c r="AR50">
        <f t="shared" si="72"/>
        <v>0.72917928066198234</v>
      </c>
      <c r="AS50">
        <v>-3.1115002560329539</v>
      </c>
      <c r="AT50" t="s">
        <v>594</v>
      </c>
      <c r="AU50">
        <v>8023.43</v>
      </c>
      <c r="AV50">
        <v>697.90791999999988</v>
      </c>
      <c r="AW50">
        <v>831.09583544767429</v>
      </c>
      <c r="AX50">
        <f t="shared" si="73"/>
        <v>0.16025578491309855</v>
      </c>
      <c r="AY50">
        <v>0.5</v>
      </c>
      <c r="AZ50">
        <f t="shared" si="74"/>
        <v>1513.1508058431987</v>
      </c>
      <c r="BA50">
        <f t="shared" si="75"/>
        <v>17.385294750771749</v>
      </c>
      <c r="BB50">
        <f t="shared" si="76"/>
        <v>121.24558504114469</v>
      </c>
      <c r="BC50">
        <f t="shared" si="77"/>
        <v>1.3545771464188545E-2</v>
      </c>
      <c r="BD50">
        <f t="shared" si="78"/>
        <v>-0.21121010112283983</v>
      </c>
      <c r="BE50">
        <f t="shared" si="79"/>
        <v>188.31061119722426</v>
      </c>
      <c r="BF50" t="s">
        <v>595</v>
      </c>
      <c r="BG50">
        <v>554.66999999999996</v>
      </c>
      <c r="BH50">
        <f t="shared" si="80"/>
        <v>554.66999999999996</v>
      </c>
      <c r="BI50">
        <f t="shared" si="81"/>
        <v>0.33260404355025563</v>
      </c>
      <c r="BJ50">
        <f t="shared" si="82"/>
        <v>0.48182151726872885</v>
      </c>
      <c r="BK50">
        <f t="shared" si="83"/>
        <v>-1.7398734805002911</v>
      </c>
      <c r="BL50">
        <f t="shared" si="84"/>
        <v>0.20378941088538802</v>
      </c>
      <c r="BM50">
        <f t="shared" si="85"/>
        <v>-0.36721382573009653</v>
      </c>
      <c r="BN50">
        <f t="shared" si="86"/>
        <v>0.38293295336646399</v>
      </c>
      <c r="BO50">
        <f t="shared" si="87"/>
        <v>0.61706704663353595</v>
      </c>
      <c r="BP50">
        <v>22533</v>
      </c>
      <c r="BQ50">
        <v>290.00000000000011</v>
      </c>
      <c r="BR50">
        <v>791.38</v>
      </c>
      <c r="BS50">
        <v>275</v>
      </c>
      <c r="BT50">
        <v>8023.43</v>
      </c>
      <c r="BU50">
        <v>791.96</v>
      </c>
      <c r="BV50">
        <v>-0.57999999999999996</v>
      </c>
      <c r="BW50">
        <v>300.00000000000011</v>
      </c>
      <c r="BX50">
        <v>19.399999999999999</v>
      </c>
      <c r="BY50">
        <v>831.09583544767429</v>
      </c>
      <c r="BZ50">
        <v>2.5018426019263251</v>
      </c>
      <c r="CA50">
        <v>-31.403770502428671</v>
      </c>
      <c r="CB50">
        <v>1.843851486214098</v>
      </c>
      <c r="CC50">
        <v>0.91197070850892481</v>
      </c>
      <c r="CD50">
        <v>-4.1422313681868852E-3</v>
      </c>
      <c r="CE50">
        <v>289.99999999999989</v>
      </c>
      <c r="CF50">
        <v>790.04</v>
      </c>
      <c r="CG50">
        <v>655</v>
      </c>
      <c r="CH50">
        <v>8013.23</v>
      </c>
      <c r="CI50">
        <v>791.91</v>
      </c>
      <c r="CJ50">
        <v>-1.87</v>
      </c>
      <c r="CX50">
        <f t="shared" si="88"/>
        <v>1799.96</v>
      </c>
      <c r="CY50">
        <f t="shared" si="89"/>
        <v>1513.1508058431987</v>
      </c>
      <c r="CZ50">
        <f t="shared" si="90"/>
        <v>0.84065801786884076</v>
      </c>
      <c r="DA50">
        <f t="shared" si="91"/>
        <v>0.16086997448686274</v>
      </c>
      <c r="DB50">
        <v>6</v>
      </c>
      <c r="DC50">
        <v>0.5</v>
      </c>
      <c r="DD50" t="s">
        <v>421</v>
      </c>
      <c r="DE50">
        <v>2</v>
      </c>
      <c r="DF50">
        <v>1689005316.5</v>
      </c>
      <c r="DG50">
        <v>98.457599999999999</v>
      </c>
      <c r="DH50">
        <v>120.01300000000001</v>
      </c>
      <c r="DI50">
        <v>28.029900000000001</v>
      </c>
      <c r="DJ50">
        <v>21.202999999999999</v>
      </c>
      <c r="DK50">
        <v>98.3078</v>
      </c>
      <c r="DL50">
        <v>27.749700000000001</v>
      </c>
      <c r="DM50">
        <v>499.964</v>
      </c>
      <c r="DN50">
        <v>99.211799999999997</v>
      </c>
      <c r="DO50">
        <v>9.9984000000000003E-2</v>
      </c>
      <c r="DP50">
        <v>29.901900000000001</v>
      </c>
      <c r="DQ50">
        <v>29.9559</v>
      </c>
      <c r="DR50">
        <v>999.9</v>
      </c>
      <c r="DS50">
        <v>0</v>
      </c>
      <c r="DT50">
        <v>0</v>
      </c>
      <c r="DU50">
        <v>10000.6</v>
      </c>
      <c r="DV50">
        <v>0</v>
      </c>
      <c r="DW50">
        <v>1857.46</v>
      </c>
      <c r="DX50">
        <v>-21.555199999999999</v>
      </c>
      <c r="DY50">
        <v>101.297</v>
      </c>
      <c r="DZ50">
        <v>122.613</v>
      </c>
      <c r="EA50">
        <v>6.8269299999999999</v>
      </c>
      <c r="EB50">
        <v>120.01300000000001</v>
      </c>
      <c r="EC50">
        <v>21.202999999999999</v>
      </c>
      <c r="ED50">
        <v>2.7808999999999999</v>
      </c>
      <c r="EE50">
        <v>2.1035900000000001</v>
      </c>
      <c r="EF50">
        <v>22.771100000000001</v>
      </c>
      <c r="EG50">
        <v>18.246400000000001</v>
      </c>
      <c r="EH50">
        <v>1799.96</v>
      </c>
      <c r="EI50">
        <v>0.97800200000000004</v>
      </c>
      <c r="EJ50">
        <v>2.1997699999999999E-2</v>
      </c>
      <c r="EK50">
        <v>0</v>
      </c>
      <c r="EL50">
        <v>697.29700000000003</v>
      </c>
      <c r="EM50">
        <v>5.0011200000000002</v>
      </c>
      <c r="EN50">
        <v>14117.4</v>
      </c>
      <c r="EO50">
        <v>17210.599999999999</v>
      </c>
      <c r="EP50">
        <v>47.311999999999998</v>
      </c>
      <c r="EQ50">
        <v>49.186999999999998</v>
      </c>
      <c r="ER50">
        <v>48.5</v>
      </c>
      <c r="ES50">
        <v>47.75</v>
      </c>
      <c r="ET50">
        <v>48.125</v>
      </c>
      <c r="EU50">
        <v>1755.47</v>
      </c>
      <c r="EV50">
        <v>39.479999999999997</v>
      </c>
      <c r="EW50">
        <v>0</v>
      </c>
      <c r="EX50">
        <v>107.5999999046326</v>
      </c>
      <c r="EY50">
        <v>0</v>
      </c>
      <c r="EZ50">
        <v>697.90791999999988</v>
      </c>
      <c r="FA50">
        <v>-5.2543846240005321</v>
      </c>
      <c r="FB50">
        <v>-96.784615533106717</v>
      </c>
      <c r="FC50">
        <v>14127.636</v>
      </c>
      <c r="FD50">
        <v>15</v>
      </c>
      <c r="FE50">
        <v>1689005287</v>
      </c>
      <c r="FF50" t="s">
        <v>596</v>
      </c>
      <c r="FG50">
        <v>1689005283.5</v>
      </c>
      <c r="FH50">
        <v>1689005287</v>
      </c>
      <c r="FI50">
        <v>38</v>
      </c>
      <c r="FJ50">
        <v>1.4999999999999999E-2</v>
      </c>
      <c r="FK50">
        <v>4.0000000000000001E-3</v>
      </c>
      <c r="FL50">
        <v>0.20399999999999999</v>
      </c>
      <c r="FM50">
        <v>0.26</v>
      </c>
      <c r="FN50">
        <v>120</v>
      </c>
      <c r="FO50">
        <v>21</v>
      </c>
      <c r="FP50">
        <v>0.12</v>
      </c>
      <c r="FQ50">
        <v>0.03</v>
      </c>
      <c r="FR50">
        <v>17.338743282052061</v>
      </c>
      <c r="FS50">
        <v>-0.35092027321661562</v>
      </c>
      <c r="FT50">
        <v>5.4582397880861347E-2</v>
      </c>
      <c r="FU50">
        <v>1</v>
      </c>
      <c r="FV50">
        <v>0.4158326402797774</v>
      </c>
      <c r="FW50">
        <v>-6.2632204079067933E-3</v>
      </c>
      <c r="FX50">
        <v>4.0232408441031528E-3</v>
      </c>
      <c r="FY50">
        <v>1</v>
      </c>
      <c r="FZ50">
        <v>2</v>
      </c>
      <c r="GA50">
        <v>2</v>
      </c>
      <c r="GB50" t="s">
        <v>423</v>
      </c>
      <c r="GC50">
        <v>2.9268000000000001</v>
      </c>
      <c r="GD50">
        <v>2.8272900000000001</v>
      </c>
      <c r="GE50">
        <v>2.5645899999999999E-2</v>
      </c>
      <c r="GF50">
        <v>3.1169700000000002E-2</v>
      </c>
      <c r="GG50">
        <v>0.12528700000000001</v>
      </c>
      <c r="GH50">
        <v>0.103635</v>
      </c>
      <c r="GI50">
        <v>31912.2</v>
      </c>
      <c r="GJ50">
        <v>25720.5</v>
      </c>
      <c r="GK50">
        <v>31513.7</v>
      </c>
      <c r="GL50">
        <v>26182.5</v>
      </c>
      <c r="GM50">
        <v>37786.300000000003</v>
      </c>
      <c r="GN50">
        <v>31829.200000000001</v>
      </c>
      <c r="GO50">
        <v>46804.3</v>
      </c>
      <c r="GP50">
        <v>38066.300000000003</v>
      </c>
      <c r="GQ50">
        <v>1.94295</v>
      </c>
      <c r="GR50">
        <v>1.76698</v>
      </c>
      <c r="GS50">
        <v>2.5160600000000002E-2</v>
      </c>
      <c r="GT50">
        <v>0</v>
      </c>
      <c r="GU50">
        <v>29.546299999999999</v>
      </c>
      <c r="GV50">
        <v>999.9</v>
      </c>
      <c r="GW50">
        <v>39.4</v>
      </c>
      <c r="GX50">
        <v>42.5</v>
      </c>
      <c r="GY50">
        <v>33.608699999999999</v>
      </c>
      <c r="GZ50">
        <v>62.206499999999998</v>
      </c>
      <c r="HA50">
        <v>22.816500000000001</v>
      </c>
      <c r="HB50">
        <v>1</v>
      </c>
      <c r="HC50">
        <v>0.34242899999999998</v>
      </c>
      <c r="HD50">
        <v>1.7853300000000001</v>
      </c>
      <c r="HE50">
        <v>20.2881</v>
      </c>
      <c r="HF50">
        <v>5.2238800000000003</v>
      </c>
      <c r="HG50">
        <v>12.0579</v>
      </c>
      <c r="HH50">
        <v>4.9932999999999996</v>
      </c>
      <c r="HI50">
        <v>3.2919999999999998</v>
      </c>
      <c r="HJ50">
        <v>9999</v>
      </c>
      <c r="HK50">
        <v>9999</v>
      </c>
      <c r="HL50">
        <v>9999</v>
      </c>
      <c r="HM50">
        <v>462.6</v>
      </c>
      <c r="HN50">
        <v>1.8669500000000001</v>
      </c>
      <c r="HO50">
        <v>1.87042</v>
      </c>
      <c r="HP50">
        <v>1.8730100000000001</v>
      </c>
      <c r="HQ50">
        <v>1.8739300000000001</v>
      </c>
      <c r="HR50">
        <v>1.87073</v>
      </c>
      <c r="HS50">
        <v>1.8690500000000001</v>
      </c>
      <c r="HT50">
        <v>1.8705700000000001</v>
      </c>
      <c r="HU50">
        <v>1.8734999999999999</v>
      </c>
      <c r="HV50">
        <v>0</v>
      </c>
      <c r="HW50">
        <v>0</v>
      </c>
      <c r="HX50">
        <v>0</v>
      </c>
      <c r="HY50">
        <v>0</v>
      </c>
      <c r="HZ50" t="s">
        <v>424</v>
      </c>
      <c r="IA50" t="s">
        <v>425</v>
      </c>
      <c r="IB50" t="s">
        <v>426</v>
      </c>
      <c r="IC50" t="s">
        <v>426</v>
      </c>
      <c r="ID50" t="s">
        <v>426</v>
      </c>
      <c r="IE50" t="s">
        <v>426</v>
      </c>
      <c r="IF50">
        <v>0</v>
      </c>
      <c r="IG50">
        <v>100</v>
      </c>
      <c r="IH50">
        <v>100</v>
      </c>
      <c r="II50">
        <v>0.15</v>
      </c>
      <c r="IJ50">
        <v>0.2802</v>
      </c>
      <c r="IK50">
        <v>-0.12581546084411541</v>
      </c>
      <c r="IL50">
        <v>3.042515301972944E-3</v>
      </c>
      <c r="IM50">
        <v>-2.5091471490852929E-6</v>
      </c>
      <c r="IN50">
        <v>8.1339755115576286E-10</v>
      </c>
      <c r="IO50">
        <v>0.28024037473165903</v>
      </c>
      <c r="IP50">
        <v>0</v>
      </c>
      <c r="IQ50">
        <v>0</v>
      </c>
      <c r="IR50">
        <v>0</v>
      </c>
      <c r="IS50">
        <v>3</v>
      </c>
      <c r="IT50">
        <v>2004</v>
      </c>
      <c r="IU50">
        <v>2</v>
      </c>
      <c r="IV50">
        <v>22</v>
      </c>
      <c r="IW50">
        <v>0.6</v>
      </c>
      <c r="IX50">
        <v>0.5</v>
      </c>
      <c r="IY50">
        <v>0.41503899999999999</v>
      </c>
      <c r="IZ50">
        <v>2.6086399999999998</v>
      </c>
      <c r="JA50">
        <v>1.64917</v>
      </c>
      <c r="JB50">
        <v>2.33643</v>
      </c>
      <c r="JC50">
        <v>1.5991200000000001</v>
      </c>
      <c r="JD50">
        <v>2.2741699999999998</v>
      </c>
      <c r="JE50">
        <v>46.444200000000002</v>
      </c>
      <c r="JF50">
        <v>24.043700000000001</v>
      </c>
      <c r="JG50">
        <v>18</v>
      </c>
      <c r="JH50">
        <v>517.625</v>
      </c>
      <c r="JI50">
        <v>451.61200000000002</v>
      </c>
      <c r="JJ50">
        <v>27.220700000000001</v>
      </c>
      <c r="JK50">
        <v>31.5898</v>
      </c>
      <c r="JL50">
        <v>30.000299999999999</v>
      </c>
      <c r="JM50">
        <v>31.6648</v>
      </c>
      <c r="JN50">
        <v>31.676300000000001</v>
      </c>
      <c r="JO50">
        <v>8.3056300000000007</v>
      </c>
      <c r="JP50">
        <v>44.904200000000003</v>
      </c>
      <c r="JQ50">
        <v>0</v>
      </c>
      <c r="JR50">
        <v>27.229800000000001</v>
      </c>
      <c r="JS50">
        <v>120</v>
      </c>
      <c r="JT50">
        <v>21.066800000000001</v>
      </c>
      <c r="JU50">
        <v>99.889799999999994</v>
      </c>
      <c r="JV50">
        <v>99.546999999999997</v>
      </c>
    </row>
    <row r="51" spans="1:282" x14ac:dyDescent="0.25">
      <c r="A51">
        <v>35</v>
      </c>
      <c r="B51">
        <v>1689005423.5</v>
      </c>
      <c r="C51">
        <v>5828.4000000953674</v>
      </c>
      <c r="D51" t="s">
        <v>597</v>
      </c>
      <c r="E51" t="s">
        <v>598</v>
      </c>
      <c r="F51" t="s">
        <v>414</v>
      </c>
      <c r="G51" t="s">
        <v>415</v>
      </c>
      <c r="H51" t="s">
        <v>577</v>
      </c>
      <c r="I51" t="s">
        <v>416</v>
      </c>
      <c r="J51" t="s">
        <v>578</v>
      </c>
      <c r="K51">
        <v>1689005423.5</v>
      </c>
      <c r="L51">
        <f t="shared" si="46"/>
        <v>6.3043495045621758E-3</v>
      </c>
      <c r="M51">
        <f t="shared" si="47"/>
        <v>6.3043495045621754</v>
      </c>
      <c r="N51">
        <f t="shared" si="48"/>
        <v>10.765615640321949</v>
      </c>
      <c r="O51">
        <f t="shared" si="49"/>
        <v>56.687800000000003</v>
      </c>
      <c r="P51">
        <f t="shared" si="50"/>
        <v>14.088102346277891</v>
      </c>
      <c r="Q51">
        <f t="shared" si="51"/>
        <v>1.3991246149563648</v>
      </c>
      <c r="R51">
        <f t="shared" si="52"/>
        <v>5.6298069390926999</v>
      </c>
      <c r="S51">
        <f t="shared" si="53"/>
        <v>0.44230995999494777</v>
      </c>
      <c r="T51">
        <f t="shared" si="54"/>
        <v>2.9191987798536294</v>
      </c>
      <c r="U51">
        <f t="shared" si="55"/>
        <v>0.40816855865085622</v>
      </c>
      <c r="V51">
        <f t="shared" si="56"/>
        <v>0.25795285548951935</v>
      </c>
      <c r="W51">
        <f t="shared" si="57"/>
        <v>289.56327757729201</v>
      </c>
      <c r="X51">
        <f t="shared" si="58"/>
        <v>30.08644373879147</v>
      </c>
      <c r="Y51">
        <f t="shared" si="59"/>
        <v>30.02</v>
      </c>
      <c r="Z51">
        <f t="shared" si="60"/>
        <v>4.265346557993702</v>
      </c>
      <c r="AA51">
        <f t="shared" si="61"/>
        <v>65.320517218339901</v>
      </c>
      <c r="AB51">
        <f t="shared" si="62"/>
        <v>2.7858744268194</v>
      </c>
      <c r="AC51">
        <f t="shared" si="63"/>
        <v>4.2649301405672517</v>
      </c>
      <c r="AD51">
        <f t="shared" si="64"/>
        <v>1.479472131174302</v>
      </c>
      <c r="AE51">
        <f t="shared" si="65"/>
        <v>-278.02181315119196</v>
      </c>
      <c r="AF51">
        <f t="shared" si="66"/>
        <v>-0.26754573585303271</v>
      </c>
      <c r="AG51">
        <f t="shared" si="67"/>
        <v>-2.0382422486966312E-2</v>
      </c>
      <c r="AH51">
        <f t="shared" si="68"/>
        <v>11.253536267760028</v>
      </c>
      <c r="AI51">
        <v>0</v>
      </c>
      <c r="AJ51">
        <v>0</v>
      </c>
      <c r="AK51">
        <f t="shared" si="69"/>
        <v>1</v>
      </c>
      <c r="AL51">
        <f t="shared" si="70"/>
        <v>0</v>
      </c>
      <c r="AM51">
        <f t="shared" si="71"/>
        <v>52037.919859074071</v>
      </c>
      <c r="AN51" t="s">
        <v>418</v>
      </c>
      <c r="AO51">
        <v>10021</v>
      </c>
      <c r="AP51">
        <v>177.53923076923081</v>
      </c>
      <c r="AQ51">
        <v>655.56</v>
      </c>
      <c r="AR51">
        <f t="shared" si="72"/>
        <v>0.72917928066198234</v>
      </c>
      <c r="AS51">
        <v>-3.1115002560329539</v>
      </c>
      <c r="AT51" t="s">
        <v>599</v>
      </c>
      <c r="AU51">
        <v>8023.93</v>
      </c>
      <c r="AV51">
        <v>709.7032307692308</v>
      </c>
      <c r="AW51">
        <v>803.15181770006529</v>
      </c>
      <c r="AX51">
        <f t="shared" si="73"/>
        <v>0.11635233198928352</v>
      </c>
      <c r="AY51">
        <v>0.5</v>
      </c>
      <c r="AZ51">
        <f t="shared" si="74"/>
        <v>1513.1678992628456</v>
      </c>
      <c r="BA51">
        <f t="shared" si="75"/>
        <v>10.765615640321949</v>
      </c>
      <c r="BB51">
        <f t="shared" si="76"/>
        <v>88.030306885278662</v>
      </c>
      <c r="BC51">
        <f t="shared" si="77"/>
        <v>9.1709029137581333E-3</v>
      </c>
      <c r="BD51">
        <f t="shared" si="78"/>
        <v>-0.18376577683994372</v>
      </c>
      <c r="BE51">
        <f t="shared" si="79"/>
        <v>186.83769045219111</v>
      </c>
      <c r="BF51" t="s">
        <v>600</v>
      </c>
      <c r="BG51">
        <v>576.42999999999995</v>
      </c>
      <c r="BH51">
        <f t="shared" si="80"/>
        <v>576.42999999999995</v>
      </c>
      <c r="BI51">
        <f t="shared" si="81"/>
        <v>0.28229011340510213</v>
      </c>
      <c r="BJ51">
        <f t="shared" si="82"/>
        <v>0.41217289045582473</v>
      </c>
      <c r="BK51">
        <f t="shared" si="83"/>
        <v>-1.8651815708336328</v>
      </c>
      <c r="BL51">
        <f t="shared" si="84"/>
        <v>0.14937133440565806</v>
      </c>
      <c r="BM51">
        <f t="shared" si="85"/>
        <v>-0.30875607756033291</v>
      </c>
      <c r="BN51">
        <f t="shared" si="86"/>
        <v>0.3347720694295474</v>
      </c>
      <c r="BO51">
        <f t="shared" si="87"/>
        <v>0.6652279305704526</v>
      </c>
      <c r="BP51">
        <v>22535</v>
      </c>
      <c r="BQ51">
        <v>290.00000000000011</v>
      </c>
      <c r="BR51">
        <v>774.51</v>
      </c>
      <c r="BS51">
        <v>265</v>
      </c>
      <c r="BT51">
        <v>8023.93</v>
      </c>
      <c r="BU51">
        <v>774.45</v>
      </c>
      <c r="BV51">
        <v>0.06</v>
      </c>
      <c r="BW51">
        <v>300.00000000000011</v>
      </c>
      <c r="BX51">
        <v>19.399999999999999</v>
      </c>
      <c r="BY51">
        <v>803.15181770006529</v>
      </c>
      <c r="BZ51">
        <v>2.1966850774257072</v>
      </c>
      <c r="CA51">
        <v>-23.02808408850483</v>
      </c>
      <c r="CB51">
        <v>1.6189314464655771</v>
      </c>
      <c r="CC51">
        <v>0.87843489847184597</v>
      </c>
      <c r="CD51">
        <v>-4.1421975528364878E-3</v>
      </c>
      <c r="CE51">
        <v>289.99999999999989</v>
      </c>
      <c r="CF51">
        <v>773.24</v>
      </c>
      <c r="CG51">
        <v>705</v>
      </c>
      <c r="CH51">
        <v>8011.74</v>
      </c>
      <c r="CI51">
        <v>774.41</v>
      </c>
      <c r="CJ51">
        <v>-1.17</v>
      </c>
      <c r="CX51">
        <f t="shared" si="88"/>
        <v>1799.98</v>
      </c>
      <c r="CY51">
        <f t="shared" si="89"/>
        <v>1513.1678992628456</v>
      </c>
      <c r="CZ51">
        <f t="shared" si="90"/>
        <v>0.84065817357017614</v>
      </c>
      <c r="DA51">
        <f t="shared" si="91"/>
        <v>0.1608702749904399</v>
      </c>
      <c r="DB51">
        <v>6</v>
      </c>
      <c r="DC51">
        <v>0.5</v>
      </c>
      <c r="DD51" t="s">
        <v>421</v>
      </c>
      <c r="DE51">
        <v>2</v>
      </c>
      <c r="DF51">
        <v>1689005423.5</v>
      </c>
      <c r="DG51">
        <v>56.687800000000003</v>
      </c>
      <c r="DH51">
        <v>70.034300000000002</v>
      </c>
      <c r="DI51">
        <v>28.051600000000001</v>
      </c>
      <c r="DJ51">
        <v>20.699200000000001</v>
      </c>
      <c r="DK51">
        <v>56.706699999999998</v>
      </c>
      <c r="DL51">
        <v>27.770700000000001</v>
      </c>
      <c r="DM51">
        <v>500.041</v>
      </c>
      <c r="DN51">
        <v>99.212699999999998</v>
      </c>
      <c r="DO51">
        <v>9.9796499999999996E-2</v>
      </c>
      <c r="DP51">
        <v>30.0183</v>
      </c>
      <c r="DQ51">
        <v>30.02</v>
      </c>
      <c r="DR51">
        <v>999.9</v>
      </c>
      <c r="DS51">
        <v>0</v>
      </c>
      <c r="DT51">
        <v>0</v>
      </c>
      <c r="DU51">
        <v>10020</v>
      </c>
      <c r="DV51">
        <v>0</v>
      </c>
      <c r="DW51">
        <v>1887.39</v>
      </c>
      <c r="DX51">
        <v>-13.346500000000001</v>
      </c>
      <c r="DY51">
        <v>58.323900000000002</v>
      </c>
      <c r="DZ51">
        <v>71.514600000000002</v>
      </c>
      <c r="EA51">
        <v>7.3522999999999996</v>
      </c>
      <c r="EB51">
        <v>70.034300000000002</v>
      </c>
      <c r="EC51">
        <v>20.699200000000001</v>
      </c>
      <c r="ED51">
        <v>2.7830699999999999</v>
      </c>
      <c r="EE51">
        <v>2.0536300000000001</v>
      </c>
      <c r="EF51">
        <v>22.783999999999999</v>
      </c>
      <c r="EG51">
        <v>17.864000000000001</v>
      </c>
      <c r="EH51">
        <v>1799.98</v>
      </c>
      <c r="EI51">
        <v>0.97800200000000004</v>
      </c>
      <c r="EJ51">
        <v>2.1997699999999999E-2</v>
      </c>
      <c r="EK51">
        <v>0</v>
      </c>
      <c r="EL51">
        <v>709.42399999999998</v>
      </c>
      <c r="EM51">
        <v>5.0011200000000002</v>
      </c>
      <c r="EN51">
        <v>14363.2</v>
      </c>
      <c r="EO51">
        <v>17210.7</v>
      </c>
      <c r="EP51">
        <v>47.311999999999998</v>
      </c>
      <c r="EQ51">
        <v>49.125</v>
      </c>
      <c r="ER51">
        <v>48.5</v>
      </c>
      <c r="ES51">
        <v>47.811999999999998</v>
      </c>
      <c r="ET51">
        <v>48.125</v>
      </c>
      <c r="EU51">
        <v>1755.49</v>
      </c>
      <c r="EV51">
        <v>39.49</v>
      </c>
      <c r="EW51">
        <v>0</v>
      </c>
      <c r="EX51">
        <v>105.2000000476837</v>
      </c>
      <c r="EY51">
        <v>0</v>
      </c>
      <c r="EZ51">
        <v>709.7032307692308</v>
      </c>
      <c r="FA51">
        <v>-1.9810598326624611</v>
      </c>
      <c r="FB51">
        <v>46.235897471173217</v>
      </c>
      <c r="FC51">
        <v>14362.24615384615</v>
      </c>
      <c r="FD51">
        <v>15</v>
      </c>
      <c r="FE51">
        <v>1689005394</v>
      </c>
      <c r="FF51" t="s">
        <v>601</v>
      </c>
      <c r="FG51">
        <v>1689005388.5</v>
      </c>
      <c r="FH51">
        <v>1689005394</v>
      </c>
      <c r="FI51">
        <v>39</v>
      </c>
      <c r="FJ51">
        <v>-5.8000000000000003E-2</v>
      </c>
      <c r="FK51">
        <v>1E-3</v>
      </c>
      <c r="FL51">
        <v>1.7000000000000001E-2</v>
      </c>
      <c r="FM51">
        <v>0.251</v>
      </c>
      <c r="FN51">
        <v>70</v>
      </c>
      <c r="FO51">
        <v>21</v>
      </c>
      <c r="FP51">
        <v>0.2</v>
      </c>
      <c r="FQ51">
        <v>0.02</v>
      </c>
      <c r="FR51">
        <v>10.773330934576769</v>
      </c>
      <c r="FS51">
        <v>-0.63641277560843745</v>
      </c>
      <c r="FT51">
        <v>7.6441983253486473E-2</v>
      </c>
      <c r="FU51">
        <v>1</v>
      </c>
      <c r="FV51">
        <v>0.44676695160632601</v>
      </c>
      <c r="FW51">
        <v>-4.4250697425752911E-2</v>
      </c>
      <c r="FX51">
        <v>3.4796659887134061E-3</v>
      </c>
      <c r="FY51">
        <v>1</v>
      </c>
      <c r="FZ51">
        <v>2</v>
      </c>
      <c r="GA51">
        <v>2</v>
      </c>
      <c r="GB51" t="s">
        <v>423</v>
      </c>
      <c r="GC51">
        <v>2.92692</v>
      </c>
      <c r="GD51">
        <v>2.8272699999999999</v>
      </c>
      <c r="GE51">
        <v>1.49648E-2</v>
      </c>
      <c r="GF51">
        <v>1.8525900000000001E-2</v>
      </c>
      <c r="GG51">
        <v>0.125333</v>
      </c>
      <c r="GH51">
        <v>0.101871</v>
      </c>
      <c r="GI51">
        <v>32256.799999999999</v>
      </c>
      <c r="GJ51">
        <v>26051.5</v>
      </c>
      <c r="GK51">
        <v>31509.200000000001</v>
      </c>
      <c r="GL51">
        <v>26178.6</v>
      </c>
      <c r="GM51">
        <v>37779.1</v>
      </c>
      <c r="GN51">
        <v>31887.9</v>
      </c>
      <c r="GO51">
        <v>46797.7</v>
      </c>
      <c r="GP51">
        <v>38061.300000000003</v>
      </c>
      <c r="GQ51">
        <v>1.9422299999999999</v>
      </c>
      <c r="GR51">
        <v>1.7645999999999999</v>
      </c>
      <c r="GS51">
        <v>3.5762799999999997E-2</v>
      </c>
      <c r="GT51">
        <v>0</v>
      </c>
      <c r="GU51">
        <v>29.437799999999999</v>
      </c>
      <c r="GV51">
        <v>999.9</v>
      </c>
      <c r="GW51">
        <v>39.299999999999997</v>
      </c>
      <c r="GX51">
        <v>42.6</v>
      </c>
      <c r="GY51">
        <v>33.701700000000002</v>
      </c>
      <c r="GZ51">
        <v>62.216500000000003</v>
      </c>
      <c r="HA51">
        <v>22.507999999999999</v>
      </c>
      <c r="HB51">
        <v>1</v>
      </c>
      <c r="HC51">
        <v>0.348412</v>
      </c>
      <c r="HD51">
        <v>1.7708900000000001</v>
      </c>
      <c r="HE51">
        <v>20.2879</v>
      </c>
      <c r="HF51">
        <v>5.2267200000000003</v>
      </c>
      <c r="HG51">
        <v>12.059100000000001</v>
      </c>
      <c r="HH51">
        <v>4.9930000000000003</v>
      </c>
      <c r="HI51">
        <v>3.2919999999999998</v>
      </c>
      <c r="HJ51">
        <v>9999</v>
      </c>
      <c r="HK51">
        <v>9999</v>
      </c>
      <c r="HL51">
        <v>9999</v>
      </c>
      <c r="HM51">
        <v>462.6</v>
      </c>
      <c r="HN51">
        <v>1.86693</v>
      </c>
      <c r="HO51">
        <v>1.87042</v>
      </c>
      <c r="HP51">
        <v>1.8730199999999999</v>
      </c>
      <c r="HQ51">
        <v>1.87392</v>
      </c>
      <c r="HR51">
        <v>1.8707100000000001</v>
      </c>
      <c r="HS51">
        <v>1.8690500000000001</v>
      </c>
      <c r="HT51">
        <v>1.8705700000000001</v>
      </c>
      <c r="HU51">
        <v>1.87348</v>
      </c>
      <c r="HV51">
        <v>0</v>
      </c>
      <c r="HW51">
        <v>0</v>
      </c>
      <c r="HX51">
        <v>0</v>
      </c>
      <c r="HY51">
        <v>0</v>
      </c>
      <c r="HZ51" t="s">
        <v>424</v>
      </c>
      <c r="IA51" t="s">
        <v>425</v>
      </c>
      <c r="IB51" t="s">
        <v>426</v>
      </c>
      <c r="IC51" t="s">
        <v>426</v>
      </c>
      <c r="ID51" t="s">
        <v>426</v>
      </c>
      <c r="IE51" t="s">
        <v>426</v>
      </c>
      <c r="IF51">
        <v>0</v>
      </c>
      <c r="IG51">
        <v>100</v>
      </c>
      <c r="IH51">
        <v>100</v>
      </c>
      <c r="II51">
        <v>-1.9E-2</v>
      </c>
      <c r="IJ51">
        <v>0.28089999999999998</v>
      </c>
      <c r="IK51">
        <v>-0.18344785996196741</v>
      </c>
      <c r="IL51">
        <v>3.042515301972944E-3</v>
      </c>
      <c r="IM51">
        <v>-2.5091471490852929E-6</v>
      </c>
      <c r="IN51">
        <v>8.1339755115576286E-10</v>
      </c>
      <c r="IO51">
        <v>0.28082548769093929</v>
      </c>
      <c r="IP51">
        <v>0</v>
      </c>
      <c r="IQ51">
        <v>0</v>
      </c>
      <c r="IR51">
        <v>0</v>
      </c>
      <c r="IS51">
        <v>3</v>
      </c>
      <c r="IT51">
        <v>2004</v>
      </c>
      <c r="IU51">
        <v>2</v>
      </c>
      <c r="IV51">
        <v>22</v>
      </c>
      <c r="IW51">
        <v>0.6</v>
      </c>
      <c r="IX51">
        <v>0.5</v>
      </c>
      <c r="IY51">
        <v>0.299072</v>
      </c>
      <c r="IZ51">
        <v>2.6122999999999998</v>
      </c>
      <c r="JA51">
        <v>1.64917</v>
      </c>
      <c r="JB51">
        <v>2.33643</v>
      </c>
      <c r="JC51">
        <v>1.5991200000000001</v>
      </c>
      <c r="JD51">
        <v>2.34253</v>
      </c>
      <c r="JE51">
        <v>46.5321</v>
      </c>
      <c r="JF51">
        <v>24.07</v>
      </c>
      <c r="JG51">
        <v>18</v>
      </c>
      <c r="JH51">
        <v>517.73900000000003</v>
      </c>
      <c r="JI51">
        <v>450.57600000000002</v>
      </c>
      <c r="JJ51">
        <v>27.486899999999999</v>
      </c>
      <c r="JK51">
        <v>31.663399999999999</v>
      </c>
      <c r="JL51">
        <v>30.000399999999999</v>
      </c>
      <c r="JM51">
        <v>31.738299999999999</v>
      </c>
      <c r="JN51">
        <v>31.7454</v>
      </c>
      <c r="JO51">
        <v>6.0027200000000001</v>
      </c>
      <c r="JP51">
        <v>46.277099999999997</v>
      </c>
      <c r="JQ51">
        <v>0</v>
      </c>
      <c r="JR51">
        <v>27.482399999999998</v>
      </c>
      <c r="JS51">
        <v>70</v>
      </c>
      <c r="JT51">
        <v>20.6005</v>
      </c>
      <c r="JU51">
        <v>99.875699999999995</v>
      </c>
      <c r="JV51">
        <v>99.533299999999997</v>
      </c>
    </row>
    <row r="52" spans="1:282" x14ac:dyDescent="0.25">
      <c r="A52">
        <v>36</v>
      </c>
      <c r="B52">
        <v>1689005532.0999999</v>
      </c>
      <c r="C52">
        <v>5937</v>
      </c>
      <c r="D52" t="s">
        <v>602</v>
      </c>
      <c r="E52" t="s">
        <v>603</v>
      </c>
      <c r="F52" t="s">
        <v>414</v>
      </c>
      <c r="G52" t="s">
        <v>415</v>
      </c>
      <c r="H52" t="s">
        <v>577</v>
      </c>
      <c r="I52" t="s">
        <v>416</v>
      </c>
      <c r="J52" t="s">
        <v>578</v>
      </c>
      <c r="K52">
        <v>1689005532.0999999</v>
      </c>
      <c r="L52">
        <f t="shared" si="46"/>
        <v>6.6165735534570811E-3</v>
      </c>
      <c r="M52">
        <f t="shared" si="47"/>
        <v>6.6165735534570809</v>
      </c>
      <c r="N52">
        <f t="shared" si="48"/>
        <v>4.7959710461624576</v>
      </c>
      <c r="O52">
        <f t="shared" si="49"/>
        <v>24.108599999999999</v>
      </c>
      <c r="P52">
        <f t="shared" si="50"/>
        <v>6.4373448215846212</v>
      </c>
      <c r="Q52">
        <f t="shared" si="51"/>
        <v>0.63934188910866074</v>
      </c>
      <c r="R52">
        <f t="shared" si="52"/>
        <v>2.3944092315953998</v>
      </c>
      <c r="S52">
        <f t="shared" si="53"/>
        <v>0.47773909249750024</v>
      </c>
      <c r="T52">
        <f t="shared" si="54"/>
        <v>2.9162219258927804</v>
      </c>
      <c r="U52">
        <f t="shared" si="55"/>
        <v>0.43813432523102347</v>
      </c>
      <c r="V52">
        <f t="shared" si="56"/>
        <v>0.27711816404982242</v>
      </c>
      <c r="W52">
        <f t="shared" si="57"/>
        <v>289.54514257756534</v>
      </c>
      <c r="X52">
        <f t="shared" si="58"/>
        <v>29.89712693422964</v>
      </c>
      <c r="Y52">
        <f t="shared" si="59"/>
        <v>29.939800000000002</v>
      </c>
      <c r="Z52">
        <f t="shared" si="60"/>
        <v>4.245740003155011</v>
      </c>
      <c r="AA52">
        <f t="shared" si="61"/>
        <v>66.038015776656493</v>
      </c>
      <c r="AB52">
        <f t="shared" si="62"/>
        <v>2.7990690199370003</v>
      </c>
      <c r="AC52">
        <f t="shared" si="63"/>
        <v>4.2385722632908536</v>
      </c>
      <c r="AD52">
        <f t="shared" si="64"/>
        <v>1.4466709832180107</v>
      </c>
      <c r="AE52">
        <f t="shared" si="65"/>
        <v>-291.79089370745726</v>
      </c>
      <c r="AF52">
        <f t="shared" si="66"/>
        <v>-4.6222490801811071</v>
      </c>
      <c r="AG52">
        <f t="shared" si="67"/>
        <v>-0.35216789576165114</v>
      </c>
      <c r="AH52">
        <f t="shared" si="68"/>
        <v>-7.2201681058346461</v>
      </c>
      <c r="AI52">
        <v>0</v>
      </c>
      <c r="AJ52">
        <v>0</v>
      </c>
      <c r="AK52">
        <f t="shared" si="69"/>
        <v>1</v>
      </c>
      <c r="AL52">
        <f t="shared" si="70"/>
        <v>0</v>
      </c>
      <c r="AM52">
        <f t="shared" si="71"/>
        <v>51971.73880083899</v>
      </c>
      <c r="AN52" t="s">
        <v>418</v>
      </c>
      <c r="AO52">
        <v>10021</v>
      </c>
      <c r="AP52">
        <v>177.53923076923081</v>
      </c>
      <c r="AQ52">
        <v>655.56</v>
      </c>
      <c r="AR52">
        <f t="shared" si="72"/>
        <v>0.72917928066198234</v>
      </c>
      <c r="AS52">
        <v>-3.1115002560329539</v>
      </c>
      <c r="AT52" t="s">
        <v>604</v>
      </c>
      <c r="AU52">
        <v>8029.73</v>
      </c>
      <c r="AV52">
        <v>725.04684615384622</v>
      </c>
      <c r="AW52">
        <v>794.06874340819854</v>
      </c>
      <c r="AX52">
        <f t="shared" si="73"/>
        <v>8.6921816061044654E-2</v>
      </c>
      <c r="AY52">
        <v>0.5</v>
      </c>
      <c r="AZ52">
        <f t="shared" si="74"/>
        <v>1513.0751992629871</v>
      </c>
      <c r="BA52">
        <f t="shared" si="75"/>
        <v>4.7959710461624576</v>
      </c>
      <c r="BB52">
        <f t="shared" si="76"/>
        <v>65.759622078432926</v>
      </c>
      <c r="BC52">
        <f t="shared" si="77"/>
        <v>5.2260927322363808E-3</v>
      </c>
      <c r="BD52">
        <f t="shared" si="78"/>
        <v>-0.17442915938701906</v>
      </c>
      <c r="BE52">
        <f t="shared" si="79"/>
        <v>186.34183854871335</v>
      </c>
      <c r="BF52" t="s">
        <v>605</v>
      </c>
      <c r="BG52">
        <v>596.67999999999995</v>
      </c>
      <c r="BH52">
        <f t="shared" si="80"/>
        <v>596.67999999999995</v>
      </c>
      <c r="BI52">
        <f t="shared" si="81"/>
        <v>0.24857891088999717</v>
      </c>
      <c r="BJ52">
        <f t="shared" si="82"/>
        <v>0.34967494124837456</v>
      </c>
      <c r="BK52">
        <f t="shared" si="83"/>
        <v>-2.3523903432098949</v>
      </c>
      <c r="BL52">
        <f t="shared" si="84"/>
        <v>0.11195230048098398</v>
      </c>
      <c r="BM52">
        <f t="shared" si="85"/>
        <v>-0.28975465570478626</v>
      </c>
      <c r="BN52">
        <f t="shared" si="86"/>
        <v>0.28776629406896059</v>
      </c>
      <c r="BO52">
        <f t="shared" si="87"/>
        <v>0.71223370593103941</v>
      </c>
      <c r="BP52">
        <v>22537</v>
      </c>
      <c r="BQ52">
        <v>290.00000000000011</v>
      </c>
      <c r="BR52">
        <v>773.01</v>
      </c>
      <c r="BS52">
        <v>175</v>
      </c>
      <c r="BT52">
        <v>8029.73</v>
      </c>
      <c r="BU52">
        <v>772.28</v>
      </c>
      <c r="BV52">
        <v>0.73</v>
      </c>
      <c r="BW52">
        <v>300.00000000000011</v>
      </c>
      <c r="BX52">
        <v>19.399999999999999</v>
      </c>
      <c r="BY52">
        <v>794.06874340819854</v>
      </c>
      <c r="BZ52">
        <v>1.799539122642505</v>
      </c>
      <c r="CA52">
        <v>-17.49901286365656</v>
      </c>
      <c r="CB52">
        <v>1.326108229846972</v>
      </c>
      <c r="CC52">
        <v>0.86147406820087924</v>
      </c>
      <c r="CD52">
        <v>-4.1419381535038984E-3</v>
      </c>
      <c r="CE52">
        <v>289.99999999999989</v>
      </c>
      <c r="CF52">
        <v>770.89</v>
      </c>
      <c r="CG52">
        <v>755</v>
      </c>
      <c r="CH52">
        <v>8009.65</v>
      </c>
      <c r="CI52">
        <v>772.22</v>
      </c>
      <c r="CJ52">
        <v>-1.33</v>
      </c>
      <c r="CX52">
        <f t="shared" si="88"/>
        <v>1799.87</v>
      </c>
      <c r="CY52">
        <f t="shared" si="89"/>
        <v>1513.0751992629871</v>
      </c>
      <c r="CZ52">
        <f t="shared" si="90"/>
        <v>0.84065804711617353</v>
      </c>
      <c r="DA52">
        <f t="shared" si="91"/>
        <v>0.1608700309342149</v>
      </c>
      <c r="DB52">
        <v>6</v>
      </c>
      <c r="DC52">
        <v>0.5</v>
      </c>
      <c r="DD52" t="s">
        <v>421</v>
      </c>
      <c r="DE52">
        <v>2</v>
      </c>
      <c r="DF52">
        <v>1689005532.0999999</v>
      </c>
      <c r="DG52">
        <v>24.108599999999999</v>
      </c>
      <c r="DH52">
        <v>30.054400000000001</v>
      </c>
      <c r="DI52">
        <v>28.183</v>
      </c>
      <c r="DJ52">
        <v>20.4679</v>
      </c>
      <c r="DK52">
        <v>23.999099999999999</v>
      </c>
      <c r="DL52">
        <v>27.9024</v>
      </c>
      <c r="DM52">
        <v>500.06599999999997</v>
      </c>
      <c r="DN52">
        <v>99.217399999999998</v>
      </c>
      <c r="DO52">
        <v>0.10023899999999999</v>
      </c>
      <c r="DP52">
        <v>29.910399999999999</v>
      </c>
      <c r="DQ52">
        <v>29.939800000000002</v>
      </c>
      <c r="DR52">
        <v>999.9</v>
      </c>
      <c r="DS52">
        <v>0</v>
      </c>
      <c r="DT52">
        <v>0</v>
      </c>
      <c r="DU52">
        <v>10002.5</v>
      </c>
      <c r="DV52">
        <v>0</v>
      </c>
      <c r="DW52">
        <v>1990.36</v>
      </c>
      <c r="DX52">
        <v>-5.9458200000000003</v>
      </c>
      <c r="DY52">
        <v>24.8078</v>
      </c>
      <c r="DZ52">
        <v>30.682400000000001</v>
      </c>
      <c r="EA52">
        <v>7.7151100000000001</v>
      </c>
      <c r="EB52">
        <v>30.054400000000001</v>
      </c>
      <c r="EC52">
        <v>20.4679</v>
      </c>
      <c r="ED52">
        <v>2.7962500000000001</v>
      </c>
      <c r="EE52">
        <v>2.03078</v>
      </c>
      <c r="EF52">
        <v>22.861899999999999</v>
      </c>
      <c r="EG52">
        <v>17.686299999999999</v>
      </c>
      <c r="EH52">
        <v>1799.87</v>
      </c>
      <c r="EI52">
        <v>0.97800200000000004</v>
      </c>
      <c r="EJ52">
        <v>2.1997699999999999E-2</v>
      </c>
      <c r="EK52">
        <v>0</v>
      </c>
      <c r="EL52">
        <v>724.71</v>
      </c>
      <c r="EM52">
        <v>5.0011200000000002</v>
      </c>
      <c r="EN52">
        <v>14688.5</v>
      </c>
      <c r="EO52">
        <v>17209.599999999999</v>
      </c>
      <c r="EP52">
        <v>47.436999999999998</v>
      </c>
      <c r="EQ52">
        <v>49.375</v>
      </c>
      <c r="ER52">
        <v>48.561999999999998</v>
      </c>
      <c r="ES52">
        <v>47.936999999999998</v>
      </c>
      <c r="ET52">
        <v>47.686999999999998</v>
      </c>
      <c r="EU52">
        <v>1755.39</v>
      </c>
      <c r="EV52">
        <v>39.479999999999997</v>
      </c>
      <c r="EW52">
        <v>0</v>
      </c>
      <c r="EX52">
        <v>106.7999999523163</v>
      </c>
      <c r="EY52">
        <v>0</v>
      </c>
      <c r="EZ52">
        <v>725.04684615384622</v>
      </c>
      <c r="FA52">
        <v>-0.59070084753449981</v>
      </c>
      <c r="FB52">
        <v>71.757264771045826</v>
      </c>
      <c r="FC52">
        <v>14678.51923076923</v>
      </c>
      <c r="FD52">
        <v>15</v>
      </c>
      <c r="FE52">
        <v>1689005502.5</v>
      </c>
      <c r="FF52" t="s">
        <v>606</v>
      </c>
      <c r="FG52">
        <v>1689005492</v>
      </c>
      <c r="FH52">
        <v>1689005502.5</v>
      </c>
      <c r="FI52">
        <v>40</v>
      </c>
      <c r="FJ52">
        <v>0.221</v>
      </c>
      <c r="FK52">
        <v>0</v>
      </c>
      <c r="FL52">
        <v>0.127</v>
      </c>
      <c r="FM52">
        <v>0.248</v>
      </c>
      <c r="FN52">
        <v>30</v>
      </c>
      <c r="FO52">
        <v>21</v>
      </c>
      <c r="FP52">
        <v>0.31</v>
      </c>
      <c r="FQ52">
        <v>0.02</v>
      </c>
      <c r="FR52">
        <v>4.8342105921097422</v>
      </c>
      <c r="FS52">
        <v>-0.6718103485111715</v>
      </c>
      <c r="FT52">
        <v>6.1831858451154728E-2</v>
      </c>
      <c r="FU52">
        <v>1</v>
      </c>
      <c r="FV52">
        <v>0.47307727528870552</v>
      </c>
      <c r="FW52">
        <v>4.8403736115548691E-2</v>
      </c>
      <c r="FX52">
        <v>3.680021386929739E-3</v>
      </c>
      <c r="FY52">
        <v>1</v>
      </c>
      <c r="FZ52">
        <v>2</v>
      </c>
      <c r="GA52">
        <v>2</v>
      </c>
      <c r="GB52" t="s">
        <v>423</v>
      </c>
      <c r="GC52">
        <v>2.92685</v>
      </c>
      <c r="GD52">
        <v>2.8275600000000001</v>
      </c>
      <c r="GE52">
        <v>6.3573299999999996E-3</v>
      </c>
      <c r="GF52">
        <v>8.0143000000000002E-3</v>
      </c>
      <c r="GG52">
        <v>0.125721</v>
      </c>
      <c r="GH52">
        <v>0.10104200000000001</v>
      </c>
      <c r="GI52">
        <v>32531.200000000001</v>
      </c>
      <c r="GJ52">
        <v>26326.2</v>
      </c>
      <c r="GK52">
        <v>31502.7</v>
      </c>
      <c r="GL52">
        <v>26175.4</v>
      </c>
      <c r="GM52">
        <v>37754.400000000001</v>
      </c>
      <c r="GN52">
        <v>31913.3</v>
      </c>
      <c r="GO52">
        <v>46787.7</v>
      </c>
      <c r="GP52">
        <v>38056.300000000003</v>
      </c>
      <c r="GQ52">
        <v>1.9417</v>
      </c>
      <c r="GR52">
        <v>1.7611699999999999</v>
      </c>
      <c r="GS52">
        <v>1.23158E-2</v>
      </c>
      <c r="GT52">
        <v>0</v>
      </c>
      <c r="GU52">
        <v>29.7393</v>
      </c>
      <c r="GV52">
        <v>999.9</v>
      </c>
      <c r="GW52">
        <v>39.200000000000003</v>
      </c>
      <c r="GX52">
        <v>42.8</v>
      </c>
      <c r="GY52">
        <v>33.966200000000001</v>
      </c>
      <c r="GZ52">
        <v>62.501100000000001</v>
      </c>
      <c r="HA52">
        <v>22.784500000000001</v>
      </c>
      <c r="HB52">
        <v>1</v>
      </c>
      <c r="HC52">
        <v>0.35694100000000001</v>
      </c>
      <c r="HD52">
        <v>1.5870200000000001</v>
      </c>
      <c r="HE52">
        <v>20.29</v>
      </c>
      <c r="HF52">
        <v>5.2268699999999999</v>
      </c>
      <c r="HG52">
        <v>12.0588</v>
      </c>
      <c r="HH52">
        <v>4.9930500000000002</v>
      </c>
      <c r="HI52">
        <v>3.2919999999999998</v>
      </c>
      <c r="HJ52">
        <v>9999</v>
      </c>
      <c r="HK52">
        <v>9999</v>
      </c>
      <c r="HL52">
        <v>9999</v>
      </c>
      <c r="HM52">
        <v>462.6</v>
      </c>
      <c r="HN52">
        <v>1.8669199999999999</v>
      </c>
      <c r="HO52">
        <v>1.8704000000000001</v>
      </c>
      <c r="HP52">
        <v>1.8730199999999999</v>
      </c>
      <c r="HQ52">
        <v>1.87392</v>
      </c>
      <c r="HR52">
        <v>1.87073</v>
      </c>
      <c r="HS52">
        <v>1.8690500000000001</v>
      </c>
      <c r="HT52">
        <v>1.87056</v>
      </c>
      <c r="HU52">
        <v>1.87347</v>
      </c>
      <c r="HV52">
        <v>0</v>
      </c>
      <c r="HW52">
        <v>0</v>
      </c>
      <c r="HX52">
        <v>0</v>
      </c>
      <c r="HY52">
        <v>0</v>
      </c>
      <c r="HZ52" t="s">
        <v>424</v>
      </c>
      <c r="IA52" t="s">
        <v>425</v>
      </c>
      <c r="IB52" t="s">
        <v>426</v>
      </c>
      <c r="IC52" t="s">
        <v>426</v>
      </c>
      <c r="ID52" t="s">
        <v>426</v>
      </c>
      <c r="IE52" t="s">
        <v>426</v>
      </c>
      <c r="IF52">
        <v>0</v>
      </c>
      <c r="IG52">
        <v>100</v>
      </c>
      <c r="IH52">
        <v>100</v>
      </c>
      <c r="II52">
        <v>0.11</v>
      </c>
      <c r="IJ52">
        <v>0.28060000000000002</v>
      </c>
      <c r="IK52">
        <v>3.79511788259786E-2</v>
      </c>
      <c r="IL52">
        <v>3.042515301972944E-3</v>
      </c>
      <c r="IM52">
        <v>-2.5091471490852929E-6</v>
      </c>
      <c r="IN52">
        <v>8.1339755115576286E-10</v>
      </c>
      <c r="IO52">
        <v>0.28065895795713819</v>
      </c>
      <c r="IP52">
        <v>0</v>
      </c>
      <c r="IQ52">
        <v>0</v>
      </c>
      <c r="IR52">
        <v>0</v>
      </c>
      <c r="IS52">
        <v>3</v>
      </c>
      <c r="IT52">
        <v>2004</v>
      </c>
      <c r="IU52">
        <v>2</v>
      </c>
      <c r="IV52">
        <v>22</v>
      </c>
      <c r="IW52">
        <v>0.7</v>
      </c>
      <c r="IX52">
        <v>0.5</v>
      </c>
      <c r="IY52">
        <v>0.20874000000000001</v>
      </c>
      <c r="IZ52">
        <v>2.63428</v>
      </c>
      <c r="JA52">
        <v>1.64917</v>
      </c>
      <c r="JB52">
        <v>2.33765</v>
      </c>
      <c r="JC52">
        <v>1.5991200000000001</v>
      </c>
      <c r="JD52">
        <v>2.3046899999999999</v>
      </c>
      <c r="JE52">
        <v>46.679000000000002</v>
      </c>
      <c r="JF52">
        <v>24.061199999999999</v>
      </c>
      <c r="JG52">
        <v>18</v>
      </c>
      <c r="JH52">
        <v>518.23500000000001</v>
      </c>
      <c r="JI52">
        <v>449.14</v>
      </c>
      <c r="JJ52">
        <v>27.071300000000001</v>
      </c>
      <c r="JK52">
        <v>31.7834</v>
      </c>
      <c r="JL52">
        <v>29.999500000000001</v>
      </c>
      <c r="JM52">
        <v>31.8432</v>
      </c>
      <c r="JN52">
        <v>31.852799999999998</v>
      </c>
      <c r="JO52">
        <v>4.1831100000000001</v>
      </c>
      <c r="JP52">
        <v>47.233600000000003</v>
      </c>
      <c r="JQ52">
        <v>0</v>
      </c>
      <c r="JR52">
        <v>27.086300000000001</v>
      </c>
      <c r="JS52">
        <v>30</v>
      </c>
      <c r="JT52">
        <v>20.304500000000001</v>
      </c>
      <c r="JU52">
        <v>99.854600000000005</v>
      </c>
      <c r="JV52">
        <v>99.520399999999995</v>
      </c>
    </row>
    <row r="53" spans="1:282" x14ac:dyDescent="0.25">
      <c r="A53">
        <v>37</v>
      </c>
      <c r="B53">
        <v>1689005652.5999999</v>
      </c>
      <c r="C53">
        <v>6057.5</v>
      </c>
      <c r="D53" t="s">
        <v>607</v>
      </c>
      <c r="E53" t="s">
        <v>608</v>
      </c>
      <c r="F53" t="s">
        <v>414</v>
      </c>
      <c r="G53" t="s">
        <v>415</v>
      </c>
      <c r="H53" t="s">
        <v>577</v>
      </c>
      <c r="I53" t="s">
        <v>416</v>
      </c>
      <c r="J53" t="s">
        <v>578</v>
      </c>
      <c r="K53">
        <v>1689005652.5999999</v>
      </c>
      <c r="L53">
        <f t="shared" si="46"/>
        <v>6.8305789588272992E-3</v>
      </c>
      <c r="M53">
        <f t="shared" si="47"/>
        <v>6.8305789588272994</v>
      </c>
      <c r="N53">
        <f t="shared" si="48"/>
        <v>1.6460503336787862</v>
      </c>
      <c r="O53">
        <f t="shared" si="49"/>
        <v>8.00596</v>
      </c>
      <c r="P53">
        <f t="shared" si="50"/>
        <v>1.9698457730924996</v>
      </c>
      <c r="Q53">
        <f t="shared" si="51"/>
        <v>0.19564595679507032</v>
      </c>
      <c r="R53">
        <f t="shared" si="52"/>
        <v>0.79515550184624006</v>
      </c>
      <c r="S53">
        <f t="shared" si="53"/>
        <v>0.48002500069940118</v>
      </c>
      <c r="T53">
        <f t="shared" si="54"/>
        <v>2.9156134006769245</v>
      </c>
      <c r="U53">
        <f t="shared" si="55"/>
        <v>0.44004969366532942</v>
      </c>
      <c r="V53">
        <f t="shared" si="56"/>
        <v>0.27834473222768746</v>
      </c>
      <c r="W53">
        <f t="shared" si="57"/>
        <v>289.5818505777471</v>
      </c>
      <c r="X53">
        <f t="shared" si="58"/>
        <v>30.034560575825651</v>
      </c>
      <c r="Y53">
        <f t="shared" si="59"/>
        <v>30.071899999999999</v>
      </c>
      <c r="Z53">
        <f t="shared" si="60"/>
        <v>4.2780766023721979</v>
      </c>
      <c r="AA53">
        <f t="shared" si="61"/>
        <v>65.127855085326388</v>
      </c>
      <c r="AB53">
        <f t="shared" si="62"/>
        <v>2.7912620299983999</v>
      </c>
      <c r="AC53">
        <f t="shared" si="63"/>
        <v>4.2858190651933263</v>
      </c>
      <c r="AD53">
        <f t="shared" si="64"/>
        <v>1.486814572373798</v>
      </c>
      <c r="AE53">
        <f t="shared" si="65"/>
        <v>-301.22853208428387</v>
      </c>
      <c r="AF53">
        <f t="shared" si="66"/>
        <v>4.9513763142049605</v>
      </c>
      <c r="AG53">
        <f t="shared" si="67"/>
        <v>0.37793048720550831</v>
      </c>
      <c r="AH53">
        <f t="shared" si="68"/>
        <v>-6.3173747051263014</v>
      </c>
      <c r="AI53">
        <v>0</v>
      </c>
      <c r="AJ53">
        <v>0</v>
      </c>
      <c r="AK53">
        <f t="shared" si="69"/>
        <v>1</v>
      </c>
      <c r="AL53">
        <f t="shared" si="70"/>
        <v>0</v>
      </c>
      <c r="AM53">
        <f t="shared" si="71"/>
        <v>51921.382783770801</v>
      </c>
      <c r="AN53" t="s">
        <v>418</v>
      </c>
      <c r="AO53">
        <v>10021</v>
      </c>
      <c r="AP53">
        <v>177.53923076923081</v>
      </c>
      <c r="AQ53">
        <v>655.56</v>
      </c>
      <c r="AR53">
        <f t="shared" si="72"/>
        <v>0.72917928066198234</v>
      </c>
      <c r="AS53">
        <v>-3.1115002560329539</v>
      </c>
      <c r="AT53" t="s">
        <v>609</v>
      </c>
      <c r="AU53">
        <v>8031.02</v>
      </c>
      <c r="AV53">
        <v>731.30796153846177</v>
      </c>
      <c r="AW53">
        <v>796.96993411933511</v>
      </c>
      <c r="AX53">
        <f t="shared" si="73"/>
        <v>8.2389522828650863E-2</v>
      </c>
      <c r="AY53">
        <v>0.5</v>
      </c>
      <c r="AZ53">
        <f t="shared" si="74"/>
        <v>1513.2683992630814</v>
      </c>
      <c r="BA53">
        <f t="shared" si="75"/>
        <v>1.6460503336787862</v>
      </c>
      <c r="BB53">
        <f t="shared" si="76"/>
        <v>62.338730663480796</v>
      </c>
      <c r="BC53">
        <f t="shared" si="77"/>
        <v>3.1438907942758416E-3</v>
      </c>
      <c r="BD53">
        <f t="shared" si="78"/>
        <v>-0.17743446529836218</v>
      </c>
      <c r="BE53">
        <f t="shared" si="79"/>
        <v>186.50115775985461</v>
      </c>
      <c r="BF53" t="s">
        <v>610</v>
      </c>
      <c r="BG53">
        <v>602.27</v>
      </c>
      <c r="BH53">
        <f t="shared" si="80"/>
        <v>602.27</v>
      </c>
      <c r="BI53">
        <f t="shared" si="81"/>
        <v>0.24430022486918757</v>
      </c>
      <c r="BJ53">
        <f t="shared" si="82"/>
        <v>0.33724702002532742</v>
      </c>
      <c r="BK53">
        <f t="shared" si="83"/>
        <v>-2.6535923084881827</v>
      </c>
      <c r="BL53">
        <f t="shared" si="84"/>
        <v>0.1060037421873823</v>
      </c>
      <c r="BM53">
        <f t="shared" si="85"/>
        <v>-0.29582382863173912</v>
      </c>
      <c r="BN53">
        <f t="shared" si="86"/>
        <v>0.27774039588378191</v>
      </c>
      <c r="BO53">
        <f t="shared" si="87"/>
        <v>0.72225960411621815</v>
      </c>
      <c r="BP53">
        <v>22539</v>
      </c>
      <c r="BQ53">
        <v>290.00000000000011</v>
      </c>
      <c r="BR53">
        <v>771.04</v>
      </c>
      <c r="BS53">
        <v>155</v>
      </c>
      <c r="BT53">
        <v>8031.02</v>
      </c>
      <c r="BU53">
        <v>770.69</v>
      </c>
      <c r="BV53">
        <v>0.35</v>
      </c>
      <c r="BW53">
        <v>300.00000000000011</v>
      </c>
      <c r="BX53">
        <v>19.399999999999999</v>
      </c>
      <c r="BY53">
        <v>796.96993411933511</v>
      </c>
      <c r="BZ53">
        <v>2.0980035908330188</v>
      </c>
      <c r="CA53">
        <v>-21.102452754774959</v>
      </c>
      <c r="CB53">
        <v>1.545958472369632</v>
      </c>
      <c r="CC53">
        <v>0.86935704804712743</v>
      </c>
      <c r="CD53">
        <v>-4.1416961067853239E-3</v>
      </c>
      <c r="CE53">
        <v>289.99999999999989</v>
      </c>
      <c r="CF53">
        <v>768.33</v>
      </c>
      <c r="CG53">
        <v>665</v>
      </c>
      <c r="CH53">
        <v>8011.49</v>
      </c>
      <c r="CI53">
        <v>770.63</v>
      </c>
      <c r="CJ53">
        <v>-2.2999999999999998</v>
      </c>
      <c r="CX53">
        <f t="shared" si="88"/>
        <v>1800.1</v>
      </c>
      <c r="CY53">
        <f t="shared" si="89"/>
        <v>1513.2683992630814</v>
      </c>
      <c r="CZ53">
        <f t="shared" si="90"/>
        <v>0.84065796303709872</v>
      </c>
      <c r="DA53">
        <f t="shared" si="91"/>
        <v>0.16086986866160052</v>
      </c>
      <c r="DB53">
        <v>6</v>
      </c>
      <c r="DC53">
        <v>0.5</v>
      </c>
      <c r="DD53" t="s">
        <v>421</v>
      </c>
      <c r="DE53">
        <v>2</v>
      </c>
      <c r="DF53">
        <v>1689005652.5999999</v>
      </c>
      <c r="DG53">
        <v>8.00596</v>
      </c>
      <c r="DH53">
        <v>10.0465</v>
      </c>
      <c r="DI53">
        <v>28.1036</v>
      </c>
      <c r="DJ53">
        <v>20.1386</v>
      </c>
      <c r="DK53">
        <v>7.8103499999999997</v>
      </c>
      <c r="DL53">
        <v>27.821100000000001</v>
      </c>
      <c r="DM53">
        <v>500.084</v>
      </c>
      <c r="DN53">
        <v>99.220100000000002</v>
      </c>
      <c r="DO53">
        <v>0.100344</v>
      </c>
      <c r="DP53">
        <v>30.103400000000001</v>
      </c>
      <c r="DQ53">
        <v>30.071899999999999</v>
      </c>
      <c r="DR53">
        <v>999.9</v>
      </c>
      <c r="DS53">
        <v>0</v>
      </c>
      <c r="DT53">
        <v>0</v>
      </c>
      <c r="DU53">
        <v>9998.75</v>
      </c>
      <c r="DV53">
        <v>0</v>
      </c>
      <c r="DW53">
        <v>1993.38</v>
      </c>
      <c r="DX53">
        <v>-2.04053</v>
      </c>
      <c r="DY53">
        <v>8.2374700000000001</v>
      </c>
      <c r="DZ53">
        <v>10.253</v>
      </c>
      <c r="EA53">
        <v>7.9649999999999999</v>
      </c>
      <c r="EB53">
        <v>10.0465</v>
      </c>
      <c r="EC53">
        <v>20.1386</v>
      </c>
      <c r="ED53">
        <v>2.7884500000000001</v>
      </c>
      <c r="EE53">
        <v>1.9981599999999999</v>
      </c>
      <c r="EF53">
        <v>22.815899999999999</v>
      </c>
      <c r="EG53">
        <v>17.4298</v>
      </c>
      <c r="EH53">
        <v>1800.1</v>
      </c>
      <c r="EI53">
        <v>0.97800600000000004</v>
      </c>
      <c r="EJ53">
        <v>2.1994E-2</v>
      </c>
      <c r="EK53">
        <v>0</v>
      </c>
      <c r="EL53">
        <v>731.04100000000005</v>
      </c>
      <c r="EM53">
        <v>5.0011200000000002</v>
      </c>
      <c r="EN53">
        <v>14830.2</v>
      </c>
      <c r="EO53">
        <v>17211.900000000001</v>
      </c>
      <c r="EP53">
        <v>47.561999999999998</v>
      </c>
      <c r="EQ53">
        <v>49.625</v>
      </c>
      <c r="ER53">
        <v>48.686999999999998</v>
      </c>
      <c r="ES53">
        <v>48.186999999999998</v>
      </c>
      <c r="ET53">
        <v>47.875</v>
      </c>
      <c r="EU53">
        <v>1755.62</v>
      </c>
      <c r="EV53">
        <v>39.479999999999997</v>
      </c>
      <c r="EW53">
        <v>0</v>
      </c>
      <c r="EX53">
        <v>118.7999999523163</v>
      </c>
      <c r="EY53">
        <v>0</v>
      </c>
      <c r="EZ53">
        <v>731.30796153846177</v>
      </c>
      <c r="FA53">
        <v>-2.1126495648149231</v>
      </c>
      <c r="FB53">
        <v>56.509401746086567</v>
      </c>
      <c r="FC53">
        <v>14822.82692307692</v>
      </c>
      <c r="FD53">
        <v>15</v>
      </c>
      <c r="FE53">
        <v>1689005621.5999999</v>
      </c>
      <c r="FF53" t="s">
        <v>611</v>
      </c>
      <c r="FG53">
        <v>1689005609.5999999</v>
      </c>
      <c r="FH53">
        <v>1689005621.5999999</v>
      </c>
      <c r="FI53">
        <v>41</v>
      </c>
      <c r="FJ53">
        <v>0.13400000000000001</v>
      </c>
      <c r="FK53">
        <v>2E-3</v>
      </c>
      <c r="FL53">
        <v>0.20100000000000001</v>
      </c>
      <c r="FM53">
        <v>0.23100000000000001</v>
      </c>
      <c r="FN53">
        <v>10</v>
      </c>
      <c r="FO53">
        <v>20</v>
      </c>
      <c r="FP53">
        <v>0.45</v>
      </c>
      <c r="FQ53">
        <v>0.01</v>
      </c>
      <c r="FR53">
        <v>1.6691197852744899</v>
      </c>
      <c r="FS53">
        <v>-0.59795726100671565</v>
      </c>
      <c r="FT53">
        <v>6.5739185320932689E-2</v>
      </c>
      <c r="FU53">
        <v>1</v>
      </c>
      <c r="FV53">
        <v>0.48440757971455672</v>
      </c>
      <c r="FW53">
        <v>-2.3401279387100661E-2</v>
      </c>
      <c r="FX53">
        <v>2.1872217134456758E-3</v>
      </c>
      <c r="FY53">
        <v>1</v>
      </c>
      <c r="FZ53">
        <v>2</v>
      </c>
      <c r="GA53">
        <v>2</v>
      </c>
      <c r="GB53" t="s">
        <v>423</v>
      </c>
      <c r="GC53">
        <v>2.9267500000000002</v>
      </c>
      <c r="GD53">
        <v>2.8276300000000001</v>
      </c>
      <c r="GE53">
        <v>2.0682600000000002E-3</v>
      </c>
      <c r="GF53">
        <v>2.6818200000000001E-3</v>
      </c>
      <c r="GG53">
        <v>0.12543399999999999</v>
      </c>
      <c r="GH53">
        <v>9.9859000000000003E-2</v>
      </c>
      <c r="GI53">
        <v>32660.9</v>
      </c>
      <c r="GJ53">
        <v>26461.200000000001</v>
      </c>
      <c r="GK53">
        <v>31493.1</v>
      </c>
      <c r="GL53">
        <v>26169.8</v>
      </c>
      <c r="GM53">
        <v>37755.300000000003</v>
      </c>
      <c r="GN53">
        <v>31948.7</v>
      </c>
      <c r="GO53">
        <v>46772.9</v>
      </c>
      <c r="GP53">
        <v>38048.1</v>
      </c>
      <c r="GQ53">
        <v>1.9402299999999999</v>
      </c>
      <c r="GR53">
        <v>1.75793</v>
      </c>
      <c r="GS53">
        <v>2.2202699999999999E-2</v>
      </c>
      <c r="GT53">
        <v>0</v>
      </c>
      <c r="GU53">
        <v>29.7105</v>
      </c>
      <c r="GV53">
        <v>999.9</v>
      </c>
      <c r="GW53">
        <v>39.200000000000003</v>
      </c>
      <c r="GX53">
        <v>42.9</v>
      </c>
      <c r="GY53">
        <v>34.143900000000002</v>
      </c>
      <c r="GZ53">
        <v>62.381100000000004</v>
      </c>
      <c r="HA53">
        <v>22.527999999999999</v>
      </c>
      <c r="HB53">
        <v>1</v>
      </c>
      <c r="HC53">
        <v>0.37054900000000002</v>
      </c>
      <c r="HD53">
        <v>2.34029</v>
      </c>
      <c r="HE53">
        <v>20.2806</v>
      </c>
      <c r="HF53">
        <v>5.2238800000000003</v>
      </c>
      <c r="HG53">
        <v>12.058299999999999</v>
      </c>
      <c r="HH53">
        <v>4.9931000000000001</v>
      </c>
      <c r="HI53">
        <v>3.2919999999999998</v>
      </c>
      <c r="HJ53">
        <v>9999</v>
      </c>
      <c r="HK53">
        <v>9999</v>
      </c>
      <c r="HL53">
        <v>9999</v>
      </c>
      <c r="HM53">
        <v>462.7</v>
      </c>
      <c r="HN53">
        <v>1.86693</v>
      </c>
      <c r="HO53">
        <v>1.8704099999999999</v>
      </c>
      <c r="HP53">
        <v>1.8730199999999999</v>
      </c>
      <c r="HQ53">
        <v>1.8739300000000001</v>
      </c>
      <c r="HR53">
        <v>1.8707199999999999</v>
      </c>
      <c r="HS53">
        <v>1.8690500000000001</v>
      </c>
      <c r="HT53">
        <v>1.8705499999999999</v>
      </c>
      <c r="HU53">
        <v>1.87348</v>
      </c>
      <c r="HV53">
        <v>0</v>
      </c>
      <c r="HW53">
        <v>0</v>
      </c>
      <c r="HX53">
        <v>0</v>
      </c>
      <c r="HY53">
        <v>0</v>
      </c>
      <c r="HZ53" t="s">
        <v>424</v>
      </c>
      <c r="IA53" t="s">
        <v>425</v>
      </c>
      <c r="IB53" t="s">
        <v>426</v>
      </c>
      <c r="IC53" t="s">
        <v>426</v>
      </c>
      <c r="ID53" t="s">
        <v>426</v>
      </c>
      <c r="IE53" t="s">
        <v>426</v>
      </c>
      <c r="IF53">
        <v>0</v>
      </c>
      <c r="IG53">
        <v>100</v>
      </c>
      <c r="IH53">
        <v>100</v>
      </c>
      <c r="II53">
        <v>0.19600000000000001</v>
      </c>
      <c r="IJ53">
        <v>0.28249999999999997</v>
      </c>
      <c r="IK53">
        <v>0.17200019484286341</v>
      </c>
      <c r="IL53">
        <v>3.042515301972944E-3</v>
      </c>
      <c r="IM53">
        <v>-2.5091471490852929E-6</v>
      </c>
      <c r="IN53">
        <v>8.1339755115576286E-10</v>
      </c>
      <c r="IO53">
        <v>0.28257185892602987</v>
      </c>
      <c r="IP53">
        <v>0</v>
      </c>
      <c r="IQ53">
        <v>0</v>
      </c>
      <c r="IR53">
        <v>0</v>
      </c>
      <c r="IS53">
        <v>3</v>
      </c>
      <c r="IT53">
        <v>2004</v>
      </c>
      <c r="IU53">
        <v>2</v>
      </c>
      <c r="IV53">
        <v>22</v>
      </c>
      <c r="IW53">
        <v>0.7</v>
      </c>
      <c r="IX53">
        <v>0.5</v>
      </c>
      <c r="IY53">
        <v>0.163574</v>
      </c>
      <c r="IZ53">
        <v>2.65259</v>
      </c>
      <c r="JA53">
        <v>1.64917</v>
      </c>
      <c r="JB53">
        <v>2.33765</v>
      </c>
      <c r="JC53">
        <v>1.5991200000000001</v>
      </c>
      <c r="JD53">
        <v>2.2973599999999998</v>
      </c>
      <c r="JE53">
        <v>46.8855</v>
      </c>
      <c r="JF53">
        <v>24.07</v>
      </c>
      <c r="JG53">
        <v>18</v>
      </c>
      <c r="JH53">
        <v>518.27099999999996</v>
      </c>
      <c r="JI53">
        <v>447.928</v>
      </c>
      <c r="JJ53">
        <v>27.340499999999999</v>
      </c>
      <c r="JK53">
        <v>31.9178</v>
      </c>
      <c r="JL53">
        <v>30.000900000000001</v>
      </c>
      <c r="JM53">
        <v>31.968800000000002</v>
      </c>
      <c r="JN53">
        <v>31.974499999999999</v>
      </c>
      <c r="JO53">
        <v>3.2903600000000002</v>
      </c>
      <c r="JP53">
        <v>47.826700000000002</v>
      </c>
      <c r="JQ53">
        <v>0</v>
      </c>
      <c r="JR53">
        <v>27.2972</v>
      </c>
      <c r="JS53">
        <v>10</v>
      </c>
      <c r="JT53">
        <v>20.1708</v>
      </c>
      <c r="JU53">
        <v>99.823400000000007</v>
      </c>
      <c r="JV53">
        <v>99.499099999999999</v>
      </c>
    </row>
    <row r="54" spans="1:282" x14ac:dyDescent="0.25">
      <c r="A54">
        <v>38</v>
      </c>
      <c r="B54">
        <v>1689005842.0999999</v>
      </c>
      <c r="C54">
        <v>6247</v>
      </c>
      <c r="D54" t="s">
        <v>612</v>
      </c>
      <c r="E54" t="s">
        <v>613</v>
      </c>
      <c r="F54" t="s">
        <v>414</v>
      </c>
      <c r="G54" t="s">
        <v>415</v>
      </c>
      <c r="H54" t="s">
        <v>577</v>
      </c>
      <c r="I54" t="s">
        <v>416</v>
      </c>
      <c r="J54" t="s">
        <v>578</v>
      </c>
      <c r="K54">
        <v>1689005842.0999999</v>
      </c>
      <c r="L54">
        <f t="shared" si="46"/>
        <v>5.9651040722736139E-3</v>
      </c>
      <c r="M54">
        <f t="shared" si="47"/>
        <v>5.9651040722736139</v>
      </c>
      <c r="N54">
        <f t="shared" si="48"/>
        <v>47.652870570146412</v>
      </c>
      <c r="O54">
        <f t="shared" si="49"/>
        <v>340.339</v>
      </c>
      <c r="P54">
        <f t="shared" si="50"/>
        <v>137.30665939998616</v>
      </c>
      <c r="Q54">
        <f t="shared" si="51"/>
        <v>13.637080590660766</v>
      </c>
      <c r="R54">
        <f t="shared" si="52"/>
        <v>33.801932050685103</v>
      </c>
      <c r="S54">
        <f t="shared" si="53"/>
        <v>0.41264181174971831</v>
      </c>
      <c r="T54">
        <f t="shared" si="54"/>
        <v>2.9177717601227746</v>
      </c>
      <c r="U54">
        <f t="shared" si="55"/>
        <v>0.38274767458265779</v>
      </c>
      <c r="V54">
        <f t="shared" si="56"/>
        <v>0.24172244411459248</v>
      </c>
      <c r="W54">
        <f t="shared" si="57"/>
        <v>289.58128427364005</v>
      </c>
      <c r="X54">
        <f t="shared" si="58"/>
        <v>30.205549764483475</v>
      </c>
      <c r="Y54">
        <f t="shared" si="59"/>
        <v>29.9666</v>
      </c>
      <c r="Z54">
        <f t="shared" si="60"/>
        <v>4.252283062857857</v>
      </c>
      <c r="AA54">
        <f t="shared" si="61"/>
        <v>64.577890640361773</v>
      </c>
      <c r="AB54">
        <f t="shared" si="62"/>
        <v>2.7590458689178199</v>
      </c>
      <c r="AC54">
        <f t="shared" si="63"/>
        <v>4.2724310775078047</v>
      </c>
      <c r="AD54">
        <f t="shared" si="64"/>
        <v>1.4932371939400371</v>
      </c>
      <c r="AE54">
        <f t="shared" si="65"/>
        <v>-263.06108958726639</v>
      </c>
      <c r="AF54">
        <f t="shared" si="66"/>
        <v>12.94602958614213</v>
      </c>
      <c r="AG54">
        <f t="shared" si="67"/>
        <v>0.98663769537779078</v>
      </c>
      <c r="AH54">
        <f t="shared" si="68"/>
        <v>40.452861967893583</v>
      </c>
      <c r="AI54">
        <v>0</v>
      </c>
      <c r="AJ54">
        <v>0</v>
      </c>
      <c r="AK54">
        <f t="shared" si="69"/>
        <v>1</v>
      </c>
      <c r="AL54">
        <f t="shared" si="70"/>
        <v>0</v>
      </c>
      <c r="AM54">
        <f t="shared" si="71"/>
        <v>51992.153458633642</v>
      </c>
      <c r="AN54" t="s">
        <v>418</v>
      </c>
      <c r="AO54">
        <v>10021</v>
      </c>
      <c r="AP54">
        <v>177.53923076923081</v>
      </c>
      <c r="AQ54">
        <v>655.56</v>
      </c>
      <c r="AR54">
        <f t="shared" si="72"/>
        <v>0.72917928066198234</v>
      </c>
      <c r="AS54">
        <v>-3.1115002560329539</v>
      </c>
      <c r="AT54" t="s">
        <v>614</v>
      </c>
      <c r="AU54">
        <v>8021.41</v>
      </c>
      <c r="AV54">
        <v>694.30372</v>
      </c>
      <c r="AW54">
        <v>1065.686480336039</v>
      </c>
      <c r="AX54">
        <f t="shared" si="73"/>
        <v>0.34849157532610553</v>
      </c>
      <c r="AY54">
        <v>0.5</v>
      </c>
      <c r="AZ54">
        <f t="shared" si="74"/>
        <v>1513.2681058412641</v>
      </c>
      <c r="BA54">
        <f t="shared" si="75"/>
        <v>47.652870570146412</v>
      </c>
      <c r="BB54">
        <f t="shared" si="76"/>
        <v>263.68059304768695</v>
      </c>
      <c r="BC54">
        <f t="shared" si="77"/>
        <v>3.3546184334571807E-2</v>
      </c>
      <c r="BD54">
        <f t="shared" si="78"/>
        <v>-0.38484722092628537</v>
      </c>
      <c r="BE54">
        <f t="shared" si="79"/>
        <v>198.19614493583234</v>
      </c>
      <c r="BF54" t="s">
        <v>615</v>
      </c>
      <c r="BG54">
        <v>555.04</v>
      </c>
      <c r="BH54">
        <f t="shared" si="80"/>
        <v>555.04</v>
      </c>
      <c r="BI54">
        <f t="shared" si="81"/>
        <v>0.47917139774074902</v>
      </c>
      <c r="BJ54">
        <f t="shared" si="82"/>
        <v>0.72727958506958612</v>
      </c>
      <c r="BK54">
        <f t="shared" si="83"/>
        <v>-4.080048550895734</v>
      </c>
      <c r="BL54">
        <f t="shared" si="84"/>
        <v>0.41815449016723311</v>
      </c>
      <c r="BM54">
        <f t="shared" si="85"/>
        <v>-0.85796791004711881</v>
      </c>
      <c r="BN54">
        <f t="shared" si="86"/>
        <v>0.58140155276284999</v>
      </c>
      <c r="BO54">
        <f t="shared" si="87"/>
        <v>0.41859844723715001</v>
      </c>
      <c r="BP54">
        <v>22541</v>
      </c>
      <c r="BQ54">
        <v>290.00000000000011</v>
      </c>
      <c r="BR54">
        <v>919.84</v>
      </c>
      <c r="BS54">
        <v>295</v>
      </c>
      <c r="BT54">
        <v>8021.41</v>
      </c>
      <c r="BU54">
        <v>922.03</v>
      </c>
      <c r="BV54">
        <v>-2.19</v>
      </c>
      <c r="BW54">
        <v>300.00000000000011</v>
      </c>
      <c r="BX54">
        <v>19.399999999999999</v>
      </c>
      <c r="BY54">
        <v>1065.686480336039</v>
      </c>
      <c r="BZ54">
        <v>3.9730292436690182</v>
      </c>
      <c r="CA54">
        <v>-115.2357123622409</v>
      </c>
      <c r="CB54">
        <v>2.927547205545356</v>
      </c>
      <c r="CC54">
        <v>0.98224938404098838</v>
      </c>
      <c r="CD54">
        <v>-4.1421045606229194E-3</v>
      </c>
      <c r="CE54">
        <v>289.99999999999989</v>
      </c>
      <c r="CF54">
        <v>908.48</v>
      </c>
      <c r="CG54">
        <v>655</v>
      </c>
      <c r="CH54">
        <v>8011.61</v>
      </c>
      <c r="CI54">
        <v>921.85</v>
      </c>
      <c r="CJ54">
        <v>-13.37</v>
      </c>
      <c r="CX54">
        <f t="shared" si="88"/>
        <v>1800.1</v>
      </c>
      <c r="CY54">
        <f t="shared" si="89"/>
        <v>1513.2681058412641</v>
      </c>
      <c r="CZ54">
        <f t="shared" si="90"/>
        <v>0.84065780003403379</v>
      </c>
      <c r="DA54">
        <f t="shared" si="91"/>
        <v>0.16086955406568529</v>
      </c>
      <c r="DB54">
        <v>6</v>
      </c>
      <c r="DC54">
        <v>0.5</v>
      </c>
      <c r="DD54" t="s">
        <v>421</v>
      </c>
      <c r="DE54">
        <v>2</v>
      </c>
      <c r="DF54">
        <v>1689005842.0999999</v>
      </c>
      <c r="DG54">
        <v>340.339</v>
      </c>
      <c r="DH54">
        <v>399.964</v>
      </c>
      <c r="DI54">
        <v>27.779800000000002</v>
      </c>
      <c r="DJ54">
        <v>20.819900000000001</v>
      </c>
      <c r="DK54">
        <v>339.37799999999999</v>
      </c>
      <c r="DL54">
        <v>27.496400000000001</v>
      </c>
      <c r="DM54">
        <v>499.95499999999998</v>
      </c>
      <c r="DN54">
        <v>99.218999999999994</v>
      </c>
      <c r="DO54">
        <v>9.9420900000000006E-2</v>
      </c>
      <c r="DP54">
        <v>30.0489</v>
      </c>
      <c r="DQ54">
        <v>29.9666</v>
      </c>
      <c r="DR54">
        <v>999.9</v>
      </c>
      <c r="DS54">
        <v>0</v>
      </c>
      <c r="DT54">
        <v>0</v>
      </c>
      <c r="DU54">
        <v>10011.200000000001</v>
      </c>
      <c r="DV54">
        <v>0</v>
      </c>
      <c r="DW54">
        <v>947.41800000000001</v>
      </c>
      <c r="DX54">
        <v>-59.625300000000003</v>
      </c>
      <c r="DY54">
        <v>350.06400000000002</v>
      </c>
      <c r="DZ54">
        <v>408.46899999999999</v>
      </c>
      <c r="EA54">
        <v>6.9599299999999999</v>
      </c>
      <c r="EB54">
        <v>399.964</v>
      </c>
      <c r="EC54">
        <v>20.819900000000001</v>
      </c>
      <c r="ED54">
        <v>2.7562899999999999</v>
      </c>
      <c r="EE54">
        <v>2.0657299999999998</v>
      </c>
      <c r="EF54">
        <v>22.624600000000001</v>
      </c>
      <c r="EG54">
        <v>17.9573</v>
      </c>
      <c r="EH54">
        <v>1800.1</v>
      </c>
      <c r="EI54">
        <v>0.97801000000000005</v>
      </c>
      <c r="EJ54">
        <v>2.19904E-2</v>
      </c>
      <c r="EK54">
        <v>0</v>
      </c>
      <c r="EL54">
        <v>695.41099999999994</v>
      </c>
      <c r="EM54">
        <v>5.0011200000000002</v>
      </c>
      <c r="EN54">
        <v>13772.3</v>
      </c>
      <c r="EO54">
        <v>17211.900000000001</v>
      </c>
      <c r="EP54">
        <v>47.75</v>
      </c>
      <c r="EQ54">
        <v>49.5</v>
      </c>
      <c r="ER54">
        <v>48.875</v>
      </c>
      <c r="ES54">
        <v>48.25</v>
      </c>
      <c r="ET54">
        <v>48.561999999999998</v>
      </c>
      <c r="EU54">
        <v>1755.62</v>
      </c>
      <c r="EV54">
        <v>39.47</v>
      </c>
      <c r="EW54">
        <v>0</v>
      </c>
      <c r="EX54">
        <v>187.79999995231631</v>
      </c>
      <c r="EY54">
        <v>0</v>
      </c>
      <c r="EZ54">
        <v>694.30372</v>
      </c>
      <c r="FA54">
        <v>7.9207692278126469</v>
      </c>
      <c r="FB54">
        <v>742.35384772175485</v>
      </c>
      <c r="FC54">
        <v>13701.28</v>
      </c>
      <c r="FD54">
        <v>15</v>
      </c>
      <c r="FE54">
        <v>1689005730.0999999</v>
      </c>
      <c r="FF54" t="s">
        <v>616</v>
      </c>
      <c r="FG54">
        <v>1689005725.0999999</v>
      </c>
      <c r="FH54">
        <v>1689005730.0999999</v>
      </c>
      <c r="FI54">
        <v>42</v>
      </c>
      <c r="FJ54">
        <v>1.4E-2</v>
      </c>
      <c r="FK54">
        <v>1E-3</v>
      </c>
      <c r="FL54">
        <v>1.0529999999999999</v>
      </c>
      <c r="FM54">
        <v>0.23499999999999999</v>
      </c>
      <c r="FN54">
        <v>400</v>
      </c>
      <c r="FO54">
        <v>20</v>
      </c>
      <c r="FP54">
        <v>0.05</v>
      </c>
      <c r="FQ54">
        <v>0.02</v>
      </c>
      <c r="FR54">
        <v>47.257443248432409</v>
      </c>
      <c r="FS54">
        <v>2.393770785824652</v>
      </c>
      <c r="FT54">
        <v>0.17535837955978001</v>
      </c>
      <c r="FU54">
        <v>0</v>
      </c>
      <c r="FV54">
        <v>0.42049770461580632</v>
      </c>
      <c r="FW54">
        <v>-8.9752702002605197E-2</v>
      </c>
      <c r="FX54">
        <v>6.5109449141378742E-3</v>
      </c>
      <c r="FY54">
        <v>0</v>
      </c>
      <c r="FZ54">
        <v>0</v>
      </c>
      <c r="GA54">
        <v>2</v>
      </c>
      <c r="GB54" t="s">
        <v>617</v>
      </c>
      <c r="GC54">
        <v>2.9262999999999999</v>
      </c>
      <c r="GD54">
        <v>2.82681</v>
      </c>
      <c r="GE54">
        <v>7.7690800000000004E-2</v>
      </c>
      <c r="GF54">
        <v>8.85991E-2</v>
      </c>
      <c r="GG54">
        <v>0.12438100000000001</v>
      </c>
      <c r="GH54">
        <v>0.102212</v>
      </c>
      <c r="GI54">
        <v>30182.400000000001</v>
      </c>
      <c r="GJ54">
        <v>24181.5</v>
      </c>
      <c r="GK54">
        <v>31487.3</v>
      </c>
      <c r="GL54">
        <v>26167.1</v>
      </c>
      <c r="GM54">
        <v>37795.699999999997</v>
      </c>
      <c r="GN54">
        <v>31863.7</v>
      </c>
      <c r="GO54">
        <v>46764.2</v>
      </c>
      <c r="GP54">
        <v>38045.199999999997</v>
      </c>
      <c r="GQ54">
        <v>1.9380500000000001</v>
      </c>
      <c r="GR54">
        <v>1.7578499999999999</v>
      </c>
      <c r="GS54">
        <v>2.6121700000000001E-2</v>
      </c>
      <c r="GT54">
        <v>0</v>
      </c>
      <c r="GU54">
        <v>29.5413</v>
      </c>
      <c r="GV54">
        <v>999.9</v>
      </c>
      <c r="GW54">
        <v>39</v>
      </c>
      <c r="GX54">
        <v>43.2</v>
      </c>
      <c r="GY54">
        <v>34.505699999999997</v>
      </c>
      <c r="GZ54">
        <v>62.491100000000003</v>
      </c>
      <c r="HA54">
        <v>22.616199999999999</v>
      </c>
      <c r="HB54">
        <v>1</v>
      </c>
      <c r="HC54">
        <v>0.37701699999999999</v>
      </c>
      <c r="HD54">
        <v>1.7767999999999999</v>
      </c>
      <c r="HE54">
        <v>20.287400000000002</v>
      </c>
      <c r="HF54">
        <v>5.2265699999999997</v>
      </c>
      <c r="HG54">
        <v>12.058</v>
      </c>
      <c r="HH54">
        <v>4.9932499999999997</v>
      </c>
      <c r="HI54">
        <v>3.2919999999999998</v>
      </c>
      <c r="HJ54">
        <v>9999</v>
      </c>
      <c r="HK54">
        <v>9999</v>
      </c>
      <c r="HL54">
        <v>9999</v>
      </c>
      <c r="HM54">
        <v>462.7</v>
      </c>
      <c r="HN54">
        <v>1.86693</v>
      </c>
      <c r="HO54">
        <v>1.87042</v>
      </c>
      <c r="HP54">
        <v>1.8730199999999999</v>
      </c>
      <c r="HQ54">
        <v>1.8739300000000001</v>
      </c>
      <c r="HR54">
        <v>1.8707100000000001</v>
      </c>
      <c r="HS54">
        <v>1.8690500000000001</v>
      </c>
      <c r="HT54">
        <v>1.8705700000000001</v>
      </c>
      <c r="HU54">
        <v>1.8734900000000001</v>
      </c>
      <c r="HV54">
        <v>0</v>
      </c>
      <c r="HW54">
        <v>0</v>
      </c>
      <c r="HX54">
        <v>0</v>
      </c>
      <c r="HY54">
        <v>0</v>
      </c>
      <c r="HZ54" t="s">
        <v>424</v>
      </c>
      <c r="IA54" t="s">
        <v>425</v>
      </c>
      <c r="IB54" t="s">
        <v>426</v>
      </c>
      <c r="IC54" t="s">
        <v>426</v>
      </c>
      <c r="ID54" t="s">
        <v>426</v>
      </c>
      <c r="IE54" t="s">
        <v>426</v>
      </c>
      <c r="IF54">
        <v>0</v>
      </c>
      <c r="IG54">
        <v>100</v>
      </c>
      <c r="IH54">
        <v>100</v>
      </c>
      <c r="II54">
        <v>0.96099999999999997</v>
      </c>
      <c r="IJ54">
        <v>0.28339999999999999</v>
      </c>
      <c r="IK54">
        <v>0.1860675649192825</v>
      </c>
      <c r="IL54">
        <v>3.042515301972944E-3</v>
      </c>
      <c r="IM54">
        <v>-2.5091471490852929E-6</v>
      </c>
      <c r="IN54">
        <v>8.1339755115576286E-10</v>
      </c>
      <c r="IO54">
        <v>0.28341845766562368</v>
      </c>
      <c r="IP54">
        <v>0</v>
      </c>
      <c r="IQ54">
        <v>0</v>
      </c>
      <c r="IR54">
        <v>0</v>
      </c>
      <c r="IS54">
        <v>3</v>
      </c>
      <c r="IT54">
        <v>2004</v>
      </c>
      <c r="IU54">
        <v>2</v>
      </c>
      <c r="IV54">
        <v>22</v>
      </c>
      <c r="IW54">
        <v>1.9</v>
      </c>
      <c r="IX54">
        <v>1.9</v>
      </c>
      <c r="IY54">
        <v>1.03149</v>
      </c>
      <c r="IZ54">
        <v>2.6074199999999998</v>
      </c>
      <c r="JA54">
        <v>1.64917</v>
      </c>
      <c r="JB54">
        <v>2.33765</v>
      </c>
      <c r="JC54">
        <v>1.5991200000000001</v>
      </c>
      <c r="JD54">
        <v>2.3046899999999999</v>
      </c>
      <c r="JE54">
        <v>47.033700000000003</v>
      </c>
      <c r="JF54">
        <v>24.087499999999999</v>
      </c>
      <c r="JG54">
        <v>18</v>
      </c>
      <c r="JH54">
        <v>517.80999999999995</v>
      </c>
      <c r="JI54">
        <v>448.84199999999998</v>
      </c>
      <c r="JJ54">
        <v>27.448499999999999</v>
      </c>
      <c r="JK54">
        <v>32.022399999999998</v>
      </c>
      <c r="JL54">
        <v>30.0001</v>
      </c>
      <c r="JM54">
        <v>32.0901</v>
      </c>
      <c r="JN54">
        <v>32.101700000000001</v>
      </c>
      <c r="JO54">
        <v>20.655200000000001</v>
      </c>
      <c r="JP54">
        <v>46.192999999999998</v>
      </c>
      <c r="JQ54">
        <v>0</v>
      </c>
      <c r="JR54">
        <v>27.463000000000001</v>
      </c>
      <c r="JS54">
        <v>400</v>
      </c>
      <c r="JT54">
        <v>20.903199999999998</v>
      </c>
      <c r="JU54">
        <v>99.805000000000007</v>
      </c>
      <c r="JV54">
        <v>99.490399999999994</v>
      </c>
    </row>
    <row r="55" spans="1:282" x14ac:dyDescent="0.25">
      <c r="A55">
        <v>39</v>
      </c>
      <c r="B55">
        <v>1689005943.5999999</v>
      </c>
      <c r="C55">
        <v>6348.5</v>
      </c>
      <c r="D55" t="s">
        <v>618</v>
      </c>
      <c r="E55" t="s">
        <v>619</v>
      </c>
      <c r="F55" t="s">
        <v>414</v>
      </c>
      <c r="G55" t="s">
        <v>415</v>
      </c>
      <c r="H55" t="s">
        <v>577</v>
      </c>
      <c r="I55" t="s">
        <v>416</v>
      </c>
      <c r="J55" t="s">
        <v>578</v>
      </c>
      <c r="K55">
        <v>1689005943.5999999</v>
      </c>
      <c r="L55">
        <f t="shared" si="46"/>
        <v>5.7781250877023439E-3</v>
      </c>
      <c r="M55">
        <f t="shared" si="47"/>
        <v>5.7781250877023442</v>
      </c>
      <c r="N55">
        <f t="shared" si="48"/>
        <v>50.46121491126253</v>
      </c>
      <c r="O55">
        <f t="shared" si="49"/>
        <v>337.17200000000003</v>
      </c>
      <c r="P55">
        <f t="shared" si="50"/>
        <v>118.57360372560814</v>
      </c>
      <c r="Q55">
        <f t="shared" si="51"/>
        <v>11.77662372435765</v>
      </c>
      <c r="R55">
        <f t="shared" si="52"/>
        <v>33.487619922372005</v>
      </c>
      <c r="S55">
        <f t="shared" si="53"/>
        <v>0.40382752444522024</v>
      </c>
      <c r="T55">
        <f t="shared" si="54"/>
        <v>2.915377014707869</v>
      </c>
      <c r="U55">
        <f t="shared" si="55"/>
        <v>0.37512753670570897</v>
      </c>
      <c r="V55">
        <f t="shared" si="56"/>
        <v>0.23686309390631449</v>
      </c>
      <c r="W55">
        <f t="shared" si="57"/>
        <v>289.60100257784188</v>
      </c>
      <c r="X55">
        <f t="shared" si="58"/>
        <v>30.331218198676986</v>
      </c>
      <c r="Y55">
        <f t="shared" si="59"/>
        <v>30.063800000000001</v>
      </c>
      <c r="Z55">
        <f t="shared" si="60"/>
        <v>4.2760876546386273</v>
      </c>
      <c r="AA55">
        <f t="shared" si="61"/>
        <v>65.266468290035746</v>
      </c>
      <c r="AB55">
        <f t="shared" si="62"/>
        <v>2.8007688524696999</v>
      </c>
      <c r="AC55">
        <f t="shared" si="63"/>
        <v>4.291282990866681</v>
      </c>
      <c r="AD55">
        <f t="shared" si="64"/>
        <v>1.4753188021689274</v>
      </c>
      <c r="AE55">
        <f t="shared" si="65"/>
        <v>-254.81531636767338</v>
      </c>
      <c r="AF55">
        <f t="shared" si="66"/>
        <v>9.7133411871260122</v>
      </c>
      <c r="AG55">
        <f t="shared" si="67"/>
        <v>0.74151537008772594</v>
      </c>
      <c r="AH55">
        <f t="shared" si="68"/>
        <v>45.24054276738223</v>
      </c>
      <c r="AI55">
        <v>0</v>
      </c>
      <c r="AJ55">
        <v>0</v>
      </c>
      <c r="AK55">
        <f t="shared" si="69"/>
        <v>1</v>
      </c>
      <c r="AL55">
        <f t="shared" si="70"/>
        <v>0</v>
      </c>
      <c r="AM55">
        <f t="shared" si="71"/>
        <v>51910.831492116646</v>
      </c>
      <c r="AN55" t="s">
        <v>418</v>
      </c>
      <c r="AO55">
        <v>10021</v>
      </c>
      <c r="AP55">
        <v>177.53923076923081</v>
      </c>
      <c r="AQ55">
        <v>655.56</v>
      </c>
      <c r="AR55">
        <f t="shared" si="72"/>
        <v>0.72917928066198234</v>
      </c>
      <c r="AS55">
        <v>-3.1115002560329539</v>
      </c>
      <c r="AT55" t="s">
        <v>620</v>
      </c>
      <c r="AU55">
        <v>8021.87</v>
      </c>
      <c r="AV55">
        <v>709.05269230769227</v>
      </c>
      <c r="AW55">
        <v>1089.1110895716549</v>
      </c>
      <c r="AX55">
        <f t="shared" si="73"/>
        <v>0.34896201214280065</v>
      </c>
      <c r="AY55">
        <v>0.5</v>
      </c>
      <c r="AZ55">
        <f t="shared" si="74"/>
        <v>1513.3691992631304</v>
      </c>
      <c r="BA55">
        <f t="shared" si="75"/>
        <v>50.46121491126253</v>
      </c>
      <c r="BB55">
        <f t="shared" si="76"/>
        <v>264.05418044490051</v>
      </c>
      <c r="BC55">
        <f t="shared" si="77"/>
        <v>3.53996336078337E-2</v>
      </c>
      <c r="BD55">
        <f t="shared" si="78"/>
        <v>-0.3980779313726111</v>
      </c>
      <c r="BE55">
        <f t="shared" si="79"/>
        <v>198.99212430154421</v>
      </c>
      <c r="BF55" t="s">
        <v>621</v>
      </c>
      <c r="BG55">
        <v>557.20000000000005</v>
      </c>
      <c r="BH55">
        <f t="shared" si="80"/>
        <v>557.20000000000005</v>
      </c>
      <c r="BI55">
        <f t="shared" si="81"/>
        <v>0.48839011434623658</v>
      </c>
      <c r="BJ55">
        <f t="shared" si="82"/>
        <v>0.71451489678476454</v>
      </c>
      <c r="BK55">
        <f t="shared" si="83"/>
        <v>-4.4077987959704696</v>
      </c>
      <c r="BL55">
        <f t="shared" si="84"/>
        <v>0.41692642614402742</v>
      </c>
      <c r="BM55">
        <f t="shared" si="85"/>
        <v>-0.90697123949096448</v>
      </c>
      <c r="BN55">
        <f t="shared" si="86"/>
        <v>0.56149240360786046</v>
      </c>
      <c r="BO55">
        <f t="shared" si="87"/>
        <v>0.43850759639213954</v>
      </c>
      <c r="BP55">
        <v>22543</v>
      </c>
      <c r="BQ55">
        <v>290.00000000000011</v>
      </c>
      <c r="BR55">
        <v>947.16</v>
      </c>
      <c r="BS55">
        <v>285</v>
      </c>
      <c r="BT55">
        <v>8021.87</v>
      </c>
      <c r="BU55">
        <v>950.3</v>
      </c>
      <c r="BV55">
        <v>-3.14</v>
      </c>
      <c r="BW55">
        <v>300.00000000000011</v>
      </c>
      <c r="BX55">
        <v>19.399999999999999</v>
      </c>
      <c r="BY55">
        <v>1089.1110895716549</v>
      </c>
      <c r="BZ55">
        <v>4.1219703348643089</v>
      </c>
      <c r="CA55">
        <v>-111.353194168494</v>
      </c>
      <c r="CB55">
        <v>3.0374674510842739</v>
      </c>
      <c r="CC55">
        <v>0.97959104607611558</v>
      </c>
      <c r="CD55">
        <v>-4.1423192436040078E-3</v>
      </c>
      <c r="CE55">
        <v>289.99999999999989</v>
      </c>
      <c r="CF55">
        <v>941.1</v>
      </c>
      <c r="CG55">
        <v>655</v>
      </c>
      <c r="CH55">
        <v>8012.1</v>
      </c>
      <c r="CI55">
        <v>950.13</v>
      </c>
      <c r="CJ55">
        <v>-9.0299999999999994</v>
      </c>
      <c r="CX55">
        <f t="shared" si="88"/>
        <v>1800.22</v>
      </c>
      <c r="CY55">
        <f t="shared" si="89"/>
        <v>1513.3691992631304</v>
      </c>
      <c r="CZ55">
        <f t="shared" si="90"/>
        <v>0.84065791917828403</v>
      </c>
      <c r="DA55">
        <f t="shared" si="91"/>
        <v>0.16086978401408822</v>
      </c>
      <c r="DB55">
        <v>6</v>
      </c>
      <c r="DC55">
        <v>0.5</v>
      </c>
      <c r="DD55" t="s">
        <v>421</v>
      </c>
      <c r="DE55">
        <v>2</v>
      </c>
      <c r="DF55">
        <v>1689005943.5999999</v>
      </c>
      <c r="DG55">
        <v>337.17200000000003</v>
      </c>
      <c r="DH55">
        <v>400.05099999999999</v>
      </c>
      <c r="DI55">
        <v>28.1997</v>
      </c>
      <c r="DJ55">
        <v>21.462800000000001</v>
      </c>
      <c r="DK55">
        <v>336.33100000000002</v>
      </c>
      <c r="DL55">
        <v>27.9178</v>
      </c>
      <c r="DM55">
        <v>500.09800000000001</v>
      </c>
      <c r="DN55">
        <v>99.219099999999997</v>
      </c>
      <c r="DO55">
        <v>0.10000100000000001</v>
      </c>
      <c r="DP55">
        <v>30.125599999999999</v>
      </c>
      <c r="DQ55">
        <v>30.063800000000001</v>
      </c>
      <c r="DR55">
        <v>999.9</v>
      </c>
      <c r="DS55">
        <v>0</v>
      </c>
      <c r="DT55">
        <v>0</v>
      </c>
      <c r="DU55">
        <v>9997.5</v>
      </c>
      <c r="DV55">
        <v>0</v>
      </c>
      <c r="DW55">
        <v>1960.3</v>
      </c>
      <c r="DX55">
        <v>-62.879300000000001</v>
      </c>
      <c r="DY55">
        <v>346.95600000000002</v>
      </c>
      <c r="DZ55">
        <v>408.82600000000002</v>
      </c>
      <c r="EA55">
        <v>6.7368800000000002</v>
      </c>
      <c r="EB55">
        <v>400.05099999999999</v>
      </c>
      <c r="EC55">
        <v>21.462800000000001</v>
      </c>
      <c r="ED55">
        <v>2.7979500000000002</v>
      </c>
      <c r="EE55">
        <v>2.1295199999999999</v>
      </c>
      <c r="EF55">
        <v>22.872</v>
      </c>
      <c r="EG55">
        <v>18.441700000000001</v>
      </c>
      <c r="EH55">
        <v>1800.22</v>
      </c>
      <c r="EI55">
        <v>0.97801000000000005</v>
      </c>
      <c r="EJ55">
        <v>2.1990300000000001E-2</v>
      </c>
      <c r="EK55">
        <v>0</v>
      </c>
      <c r="EL55">
        <v>710.00599999999997</v>
      </c>
      <c r="EM55">
        <v>5.0011200000000002</v>
      </c>
      <c r="EN55">
        <v>14440.7</v>
      </c>
      <c r="EO55">
        <v>17213</v>
      </c>
      <c r="EP55">
        <v>47.75</v>
      </c>
      <c r="EQ55">
        <v>49.436999999999998</v>
      </c>
      <c r="ER55">
        <v>48.875</v>
      </c>
      <c r="ES55">
        <v>48.125</v>
      </c>
      <c r="ET55">
        <v>48.561999999999998</v>
      </c>
      <c r="EU55">
        <v>1755.74</v>
      </c>
      <c r="EV55">
        <v>39.479999999999997</v>
      </c>
      <c r="EW55">
        <v>0</v>
      </c>
      <c r="EX55">
        <v>99.600000143051147</v>
      </c>
      <c r="EY55">
        <v>0</v>
      </c>
      <c r="EZ55">
        <v>709.05269230769227</v>
      </c>
      <c r="FA55">
        <v>6.4131965755661744</v>
      </c>
      <c r="FB55">
        <v>140.0307693134265</v>
      </c>
      <c r="FC55">
        <v>14424.142307692309</v>
      </c>
      <c r="FD55">
        <v>15</v>
      </c>
      <c r="FE55">
        <v>1689005915.0999999</v>
      </c>
      <c r="FF55" t="s">
        <v>622</v>
      </c>
      <c r="FG55">
        <v>1689005915.0999999</v>
      </c>
      <c r="FH55">
        <v>1689005914.5999999</v>
      </c>
      <c r="FI55">
        <v>43</v>
      </c>
      <c r="FJ55">
        <v>-0.11600000000000001</v>
      </c>
      <c r="FK55">
        <v>-2E-3</v>
      </c>
      <c r="FL55">
        <v>0.93700000000000006</v>
      </c>
      <c r="FM55">
        <v>0.25700000000000001</v>
      </c>
      <c r="FN55">
        <v>400</v>
      </c>
      <c r="FO55">
        <v>21</v>
      </c>
      <c r="FP55">
        <v>0.05</v>
      </c>
      <c r="FQ55">
        <v>0.01</v>
      </c>
      <c r="FR55">
        <v>50.419584062089719</v>
      </c>
      <c r="FS55">
        <v>-0.13590081881588739</v>
      </c>
      <c r="FT55">
        <v>0.1147029468679622</v>
      </c>
      <c r="FU55">
        <v>1</v>
      </c>
      <c r="FV55">
        <v>0.40330359992713999</v>
      </c>
      <c r="FW55">
        <v>2.6246203115282529E-2</v>
      </c>
      <c r="FX55">
        <v>4.648216089901464E-3</v>
      </c>
      <c r="FY55">
        <v>1</v>
      </c>
      <c r="FZ55">
        <v>2</v>
      </c>
      <c r="GA55">
        <v>2</v>
      </c>
      <c r="GB55" t="s">
        <v>423</v>
      </c>
      <c r="GC55">
        <v>2.9266999999999999</v>
      </c>
      <c r="GD55">
        <v>2.8272699999999999</v>
      </c>
      <c r="GE55">
        <v>7.7135800000000004E-2</v>
      </c>
      <c r="GF55">
        <v>8.8621500000000006E-2</v>
      </c>
      <c r="GG55">
        <v>0.12570300000000001</v>
      </c>
      <c r="GH55">
        <v>0.104436</v>
      </c>
      <c r="GI55">
        <v>30203.200000000001</v>
      </c>
      <c r="GJ55">
        <v>24183.200000000001</v>
      </c>
      <c r="GK55">
        <v>31489.9</v>
      </c>
      <c r="GL55">
        <v>26169.4</v>
      </c>
      <c r="GM55">
        <v>37741.5</v>
      </c>
      <c r="GN55">
        <v>31787</v>
      </c>
      <c r="GO55">
        <v>46768.3</v>
      </c>
      <c r="GP55">
        <v>38048.300000000003</v>
      </c>
      <c r="GQ55">
        <v>1.9377</v>
      </c>
      <c r="GR55">
        <v>1.7586999999999999</v>
      </c>
      <c r="GS55">
        <v>3.86313E-2</v>
      </c>
      <c r="GT55">
        <v>0</v>
      </c>
      <c r="GU55">
        <v>29.434899999999999</v>
      </c>
      <c r="GV55">
        <v>999.9</v>
      </c>
      <c r="GW55">
        <v>38.9</v>
      </c>
      <c r="GX55">
        <v>43.3</v>
      </c>
      <c r="GY55">
        <v>34.5991</v>
      </c>
      <c r="GZ55">
        <v>62.471200000000003</v>
      </c>
      <c r="HA55">
        <v>22.2316</v>
      </c>
      <c r="HB55">
        <v>1</v>
      </c>
      <c r="HC55">
        <v>0.37695400000000001</v>
      </c>
      <c r="HD55">
        <v>2.6612499999999999</v>
      </c>
      <c r="HE55">
        <v>20.275700000000001</v>
      </c>
      <c r="HF55">
        <v>5.2268699999999999</v>
      </c>
      <c r="HG55">
        <v>12.0579</v>
      </c>
      <c r="HH55">
        <v>4.9932999999999996</v>
      </c>
      <c r="HI55">
        <v>3.2919999999999998</v>
      </c>
      <c r="HJ55">
        <v>9999</v>
      </c>
      <c r="HK55">
        <v>9999</v>
      </c>
      <c r="HL55">
        <v>9999</v>
      </c>
      <c r="HM55">
        <v>462.8</v>
      </c>
      <c r="HN55">
        <v>1.8669100000000001</v>
      </c>
      <c r="HO55">
        <v>1.87042</v>
      </c>
      <c r="HP55">
        <v>1.8730100000000001</v>
      </c>
      <c r="HQ55">
        <v>1.87392</v>
      </c>
      <c r="HR55">
        <v>1.87066</v>
      </c>
      <c r="HS55">
        <v>1.8690500000000001</v>
      </c>
      <c r="HT55">
        <v>1.8705099999999999</v>
      </c>
      <c r="HU55">
        <v>1.87347</v>
      </c>
      <c r="HV55">
        <v>0</v>
      </c>
      <c r="HW55">
        <v>0</v>
      </c>
      <c r="HX55">
        <v>0</v>
      </c>
      <c r="HY55">
        <v>0</v>
      </c>
      <c r="HZ55" t="s">
        <v>424</v>
      </c>
      <c r="IA55" t="s">
        <v>425</v>
      </c>
      <c r="IB55" t="s">
        <v>426</v>
      </c>
      <c r="IC55" t="s">
        <v>426</v>
      </c>
      <c r="ID55" t="s">
        <v>426</v>
      </c>
      <c r="IE55" t="s">
        <v>426</v>
      </c>
      <c r="IF55">
        <v>0</v>
      </c>
      <c r="IG55">
        <v>100</v>
      </c>
      <c r="IH55">
        <v>100</v>
      </c>
      <c r="II55">
        <v>0.84099999999999997</v>
      </c>
      <c r="IJ55">
        <v>0.28189999999999998</v>
      </c>
      <c r="IK55">
        <v>7.0516014706515001E-2</v>
      </c>
      <c r="IL55">
        <v>3.042515301972944E-3</v>
      </c>
      <c r="IM55">
        <v>-2.5091471490852929E-6</v>
      </c>
      <c r="IN55">
        <v>8.1339755115576286E-10</v>
      </c>
      <c r="IO55">
        <v>0.28192611282188279</v>
      </c>
      <c r="IP55">
        <v>0</v>
      </c>
      <c r="IQ55">
        <v>0</v>
      </c>
      <c r="IR55">
        <v>0</v>
      </c>
      <c r="IS55">
        <v>3</v>
      </c>
      <c r="IT55">
        <v>2004</v>
      </c>
      <c r="IU55">
        <v>2</v>
      </c>
      <c r="IV55">
        <v>22</v>
      </c>
      <c r="IW55">
        <v>0.5</v>
      </c>
      <c r="IX55">
        <v>0.5</v>
      </c>
      <c r="IY55">
        <v>1.03149</v>
      </c>
      <c r="IZ55">
        <v>2.6147499999999999</v>
      </c>
      <c r="JA55">
        <v>1.64917</v>
      </c>
      <c r="JB55">
        <v>2.33765</v>
      </c>
      <c r="JC55">
        <v>1.5991200000000001</v>
      </c>
      <c r="JD55">
        <v>2.2253400000000001</v>
      </c>
      <c r="JE55">
        <v>46.974400000000003</v>
      </c>
      <c r="JF55">
        <v>24.061199999999999</v>
      </c>
      <c r="JG55">
        <v>18</v>
      </c>
      <c r="JH55">
        <v>517.553</v>
      </c>
      <c r="JI55">
        <v>449.38099999999997</v>
      </c>
      <c r="JJ55">
        <v>27.018899999999999</v>
      </c>
      <c r="JK55">
        <v>31.992999999999999</v>
      </c>
      <c r="JL55">
        <v>30.0001</v>
      </c>
      <c r="JM55">
        <v>32.086599999999997</v>
      </c>
      <c r="JN55">
        <v>32.0989</v>
      </c>
      <c r="JO55">
        <v>20.665800000000001</v>
      </c>
      <c r="JP55">
        <v>45.247500000000002</v>
      </c>
      <c r="JQ55">
        <v>0</v>
      </c>
      <c r="JR55">
        <v>27.005400000000002</v>
      </c>
      <c r="JS55">
        <v>400</v>
      </c>
      <c r="JT55">
        <v>21.444500000000001</v>
      </c>
      <c r="JU55">
        <v>99.813500000000005</v>
      </c>
      <c r="JV55">
        <v>99.498800000000003</v>
      </c>
    </row>
    <row r="56" spans="1:282" x14ac:dyDescent="0.25">
      <c r="A56">
        <v>40</v>
      </c>
      <c r="B56">
        <v>1689006052.0999999</v>
      </c>
      <c r="C56">
        <v>6457</v>
      </c>
      <c r="D56" t="s">
        <v>623</v>
      </c>
      <c r="E56" t="s">
        <v>624</v>
      </c>
      <c r="F56" t="s">
        <v>414</v>
      </c>
      <c r="G56" t="s">
        <v>415</v>
      </c>
      <c r="H56" t="s">
        <v>577</v>
      </c>
      <c r="I56" t="s">
        <v>416</v>
      </c>
      <c r="J56" t="s">
        <v>578</v>
      </c>
      <c r="K56">
        <v>1689006052.0999999</v>
      </c>
      <c r="L56">
        <f t="shared" si="46"/>
        <v>5.8974456865885381E-3</v>
      </c>
      <c r="M56">
        <f t="shared" si="47"/>
        <v>5.8974456865885383</v>
      </c>
      <c r="N56">
        <f t="shared" si="48"/>
        <v>51.157094532102384</v>
      </c>
      <c r="O56">
        <f t="shared" si="49"/>
        <v>336.34300000000002</v>
      </c>
      <c r="P56">
        <f t="shared" si="50"/>
        <v>121.52736373656641</v>
      </c>
      <c r="Q56">
        <f t="shared" si="51"/>
        <v>12.070247244973173</v>
      </c>
      <c r="R56">
        <f t="shared" si="52"/>
        <v>33.406000461889995</v>
      </c>
      <c r="S56">
        <f t="shared" si="53"/>
        <v>0.41760735773869417</v>
      </c>
      <c r="T56">
        <f t="shared" si="54"/>
        <v>2.9143076659592939</v>
      </c>
      <c r="U56">
        <f t="shared" si="55"/>
        <v>0.38698450049728877</v>
      </c>
      <c r="V56">
        <f t="shared" si="56"/>
        <v>0.24442926151115452</v>
      </c>
      <c r="W56">
        <f t="shared" si="57"/>
        <v>289.52062357780716</v>
      </c>
      <c r="X56">
        <f t="shared" si="58"/>
        <v>30.068226787927554</v>
      </c>
      <c r="Y56">
        <f t="shared" si="59"/>
        <v>29.919899999999998</v>
      </c>
      <c r="Z56">
        <f t="shared" si="60"/>
        <v>4.2408872155026591</v>
      </c>
      <c r="AA56">
        <f t="shared" si="61"/>
        <v>65.668162005250025</v>
      </c>
      <c r="AB56">
        <f t="shared" si="62"/>
        <v>2.7807858654170001</v>
      </c>
      <c r="AC56">
        <f t="shared" si="63"/>
        <v>4.2346028585278246</v>
      </c>
      <c r="AD56">
        <f t="shared" si="64"/>
        <v>1.460101350085659</v>
      </c>
      <c r="AE56">
        <f t="shared" si="65"/>
        <v>-260.07735477855454</v>
      </c>
      <c r="AF56">
        <f t="shared" si="66"/>
        <v>-4.0535967960891783</v>
      </c>
      <c r="AG56">
        <f t="shared" si="67"/>
        <v>-0.3089899023642802</v>
      </c>
      <c r="AH56">
        <f t="shared" si="68"/>
        <v>25.080682100799184</v>
      </c>
      <c r="AI56">
        <v>0</v>
      </c>
      <c r="AJ56">
        <v>0</v>
      </c>
      <c r="AK56">
        <f t="shared" si="69"/>
        <v>1</v>
      </c>
      <c r="AL56">
        <f t="shared" si="70"/>
        <v>0</v>
      </c>
      <c r="AM56">
        <f t="shared" si="71"/>
        <v>51920.084643947681</v>
      </c>
      <c r="AN56" t="s">
        <v>418</v>
      </c>
      <c r="AO56">
        <v>10021</v>
      </c>
      <c r="AP56">
        <v>177.53923076923081</v>
      </c>
      <c r="AQ56">
        <v>655.56</v>
      </c>
      <c r="AR56">
        <f t="shared" si="72"/>
        <v>0.72917928066198234</v>
      </c>
      <c r="AS56">
        <v>-3.1115002560329539</v>
      </c>
      <c r="AT56" t="s">
        <v>625</v>
      </c>
      <c r="AU56">
        <v>8021.82</v>
      </c>
      <c r="AV56">
        <v>714.30700000000013</v>
      </c>
      <c r="AW56">
        <v>1085.606853148663</v>
      </c>
      <c r="AX56">
        <f t="shared" si="73"/>
        <v>0.34202055013908161</v>
      </c>
      <c r="AY56">
        <v>0.5</v>
      </c>
      <c r="AZ56">
        <f t="shared" si="74"/>
        <v>1512.9488992631125</v>
      </c>
      <c r="BA56">
        <f t="shared" si="75"/>
        <v>51.157094532102384</v>
      </c>
      <c r="BB56">
        <f t="shared" si="76"/>
        <v>258.72980742914388</v>
      </c>
      <c r="BC56">
        <f t="shared" si="77"/>
        <v>3.5869416881539794E-2</v>
      </c>
      <c r="BD56">
        <f t="shared" si="78"/>
        <v>-0.39613498376633083</v>
      </c>
      <c r="BE56">
        <f t="shared" si="79"/>
        <v>198.87483339038573</v>
      </c>
      <c r="BF56" t="s">
        <v>626</v>
      </c>
      <c r="BG56">
        <v>563.66</v>
      </c>
      <c r="BH56">
        <f t="shared" si="80"/>
        <v>563.66</v>
      </c>
      <c r="BI56">
        <f t="shared" si="81"/>
        <v>0.48078809712265846</v>
      </c>
      <c r="BJ56">
        <f t="shared" si="82"/>
        <v>0.71137482850750655</v>
      </c>
      <c r="BK56">
        <f t="shared" si="83"/>
        <v>-4.6795087393760957</v>
      </c>
      <c r="BL56">
        <f t="shared" si="84"/>
        <v>0.40889009144025712</v>
      </c>
      <c r="BM56">
        <f t="shared" si="85"/>
        <v>-0.89964051947093082</v>
      </c>
      <c r="BN56">
        <f t="shared" si="86"/>
        <v>0.5613462220537403</v>
      </c>
      <c r="BO56">
        <f t="shared" si="87"/>
        <v>0.4386537779462597</v>
      </c>
      <c r="BP56">
        <v>22545</v>
      </c>
      <c r="BQ56">
        <v>290.00000000000011</v>
      </c>
      <c r="BR56">
        <v>960.57</v>
      </c>
      <c r="BS56">
        <v>275</v>
      </c>
      <c r="BT56">
        <v>8021.82</v>
      </c>
      <c r="BU56">
        <v>963.15</v>
      </c>
      <c r="BV56">
        <v>-2.58</v>
      </c>
      <c r="BW56">
        <v>300.00000000000011</v>
      </c>
      <c r="BX56">
        <v>19.399999999999999</v>
      </c>
      <c r="BY56">
        <v>1085.606853148663</v>
      </c>
      <c r="BZ56">
        <v>4.6598793058635373</v>
      </c>
      <c r="CA56">
        <v>-98.234058408753469</v>
      </c>
      <c r="CB56">
        <v>3.4335831447761689</v>
      </c>
      <c r="CC56">
        <v>0.96692338498898134</v>
      </c>
      <c r="CD56">
        <v>-4.1420002224694186E-3</v>
      </c>
      <c r="CE56">
        <v>289.99999999999989</v>
      </c>
      <c r="CF56">
        <v>957.56</v>
      </c>
      <c r="CG56">
        <v>635</v>
      </c>
      <c r="CH56">
        <v>8012.09</v>
      </c>
      <c r="CI56">
        <v>963</v>
      </c>
      <c r="CJ56">
        <v>-5.44</v>
      </c>
      <c r="CX56">
        <f t="shared" si="88"/>
        <v>1799.72</v>
      </c>
      <c r="CY56">
        <f t="shared" si="89"/>
        <v>1512.9488992631125</v>
      </c>
      <c r="CZ56">
        <f t="shared" si="90"/>
        <v>0.84065793526943777</v>
      </c>
      <c r="DA56">
        <f t="shared" si="91"/>
        <v>0.16086981507001485</v>
      </c>
      <c r="DB56">
        <v>6</v>
      </c>
      <c r="DC56">
        <v>0.5</v>
      </c>
      <c r="DD56" t="s">
        <v>421</v>
      </c>
      <c r="DE56">
        <v>2</v>
      </c>
      <c r="DF56">
        <v>1689006052.0999999</v>
      </c>
      <c r="DG56">
        <v>336.34300000000002</v>
      </c>
      <c r="DH56">
        <v>400.09699999999998</v>
      </c>
      <c r="DI56">
        <v>27.997900000000001</v>
      </c>
      <c r="DJ56">
        <v>21.120699999999999</v>
      </c>
      <c r="DK56">
        <v>335.52199999999999</v>
      </c>
      <c r="DL56">
        <v>27.717099999999999</v>
      </c>
      <c r="DM56">
        <v>500.11599999999999</v>
      </c>
      <c r="DN56">
        <v>99.220500000000001</v>
      </c>
      <c r="DO56">
        <v>0.10073</v>
      </c>
      <c r="DP56">
        <v>29.894100000000002</v>
      </c>
      <c r="DQ56">
        <v>29.919899999999998</v>
      </c>
      <c r="DR56">
        <v>999.9</v>
      </c>
      <c r="DS56">
        <v>0</v>
      </c>
      <c r="DT56">
        <v>0</v>
      </c>
      <c r="DU56">
        <v>9991.25</v>
      </c>
      <c r="DV56">
        <v>0</v>
      </c>
      <c r="DW56">
        <v>661.06200000000001</v>
      </c>
      <c r="DX56">
        <v>-63.754100000000001</v>
      </c>
      <c r="DY56">
        <v>346.03100000000001</v>
      </c>
      <c r="DZ56">
        <v>408.73</v>
      </c>
      <c r="EA56">
        <v>6.8772000000000002</v>
      </c>
      <c r="EB56">
        <v>400.09699999999998</v>
      </c>
      <c r="EC56">
        <v>21.120699999999999</v>
      </c>
      <c r="ED56">
        <v>2.7779600000000002</v>
      </c>
      <c r="EE56">
        <v>2.0956000000000001</v>
      </c>
      <c r="EF56">
        <v>22.753699999999998</v>
      </c>
      <c r="EG56">
        <v>18.1858</v>
      </c>
      <c r="EH56">
        <v>1799.72</v>
      </c>
      <c r="EI56">
        <v>0.97800600000000004</v>
      </c>
      <c r="EJ56">
        <v>2.1994E-2</v>
      </c>
      <c r="EK56">
        <v>0</v>
      </c>
      <c r="EL56">
        <v>714.53800000000001</v>
      </c>
      <c r="EM56">
        <v>5.0011200000000002</v>
      </c>
      <c r="EN56">
        <v>14009.3</v>
      </c>
      <c r="EO56">
        <v>17208.3</v>
      </c>
      <c r="EP56">
        <v>47.875</v>
      </c>
      <c r="EQ56">
        <v>49.625</v>
      </c>
      <c r="ER56">
        <v>49</v>
      </c>
      <c r="ES56">
        <v>48.311999999999998</v>
      </c>
      <c r="ET56">
        <v>48.625</v>
      </c>
      <c r="EU56">
        <v>1755.25</v>
      </c>
      <c r="EV56">
        <v>39.47</v>
      </c>
      <c r="EW56">
        <v>0</v>
      </c>
      <c r="EX56">
        <v>106.4000000953674</v>
      </c>
      <c r="EY56">
        <v>0</v>
      </c>
      <c r="EZ56">
        <v>714.30700000000013</v>
      </c>
      <c r="FA56">
        <v>1.4278974412024941</v>
      </c>
      <c r="FB56">
        <v>-886.74188121901648</v>
      </c>
      <c r="FC56">
        <v>14126.223076923079</v>
      </c>
      <c r="FD56">
        <v>15</v>
      </c>
      <c r="FE56">
        <v>1689006019.5999999</v>
      </c>
      <c r="FF56" t="s">
        <v>627</v>
      </c>
      <c r="FG56">
        <v>1689006019.5999999</v>
      </c>
      <c r="FH56">
        <v>1689006013.5999999</v>
      </c>
      <c r="FI56">
        <v>44</v>
      </c>
      <c r="FJ56">
        <v>-1.9E-2</v>
      </c>
      <c r="FK56">
        <v>-1E-3</v>
      </c>
      <c r="FL56">
        <v>0.91800000000000004</v>
      </c>
      <c r="FM56">
        <v>0.26500000000000001</v>
      </c>
      <c r="FN56">
        <v>400</v>
      </c>
      <c r="FO56">
        <v>21</v>
      </c>
      <c r="FP56">
        <v>0.04</v>
      </c>
      <c r="FQ56">
        <v>0.03</v>
      </c>
      <c r="FR56">
        <v>51.098461963772657</v>
      </c>
      <c r="FS56">
        <v>-0.43661504120180622</v>
      </c>
      <c r="FT56">
        <v>0.1187004503204947</v>
      </c>
      <c r="FU56">
        <v>1</v>
      </c>
      <c r="FV56">
        <v>0.41853931160092062</v>
      </c>
      <c r="FW56">
        <v>-1.400932967571865E-2</v>
      </c>
      <c r="FX56">
        <v>2.4820139529689441E-3</v>
      </c>
      <c r="FY56">
        <v>1</v>
      </c>
      <c r="FZ56">
        <v>2</v>
      </c>
      <c r="GA56">
        <v>2</v>
      </c>
      <c r="GB56" t="s">
        <v>423</v>
      </c>
      <c r="GC56">
        <v>2.9267099999999999</v>
      </c>
      <c r="GD56">
        <v>2.82796</v>
      </c>
      <c r="GE56">
        <v>7.6979000000000006E-2</v>
      </c>
      <c r="GF56">
        <v>8.8618500000000003E-2</v>
      </c>
      <c r="GG56">
        <v>0.12506700000000001</v>
      </c>
      <c r="GH56">
        <v>0.10324899999999999</v>
      </c>
      <c r="GI56">
        <v>30207.599999999999</v>
      </c>
      <c r="GJ56">
        <v>24181</v>
      </c>
      <c r="GK56">
        <v>31489.3</v>
      </c>
      <c r="GL56">
        <v>26167.1</v>
      </c>
      <c r="GM56">
        <v>37768.199999999997</v>
      </c>
      <c r="GN56">
        <v>31826.6</v>
      </c>
      <c r="GO56">
        <v>46767.1</v>
      </c>
      <c r="GP56">
        <v>38045</v>
      </c>
      <c r="GQ56">
        <v>1.9378</v>
      </c>
      <c r="GR56">
        <v>1.7567999999999999</v>
      </c>
      <c r="GS56">
        <v>1.21817E-2</v>
      </c>
      <c r="GT56">
        <v>0</v>
      </c>
      <c r="GU56">
        <v>29.721599999999999</v>
      </c>
      <c r="GV56">
        <v>999.9</v>
      </c>
      <c r="GW56">
        <v>38.9</v>
      </c>
      <c r="GX56">
        <v>43.4</v>
      </c>
      <c r="GY56">
        <v>34.777799999999999</v>
      </c>
      <c r="GZ56">
        <v>62.071199999999997</v>
      </c>
      <c r="HA56">
        <v>22.744399999999999</v>
      </c>
      <c r="HB56">
        <v>1</v>
      </c>
      <c r="HC56">
        <v>0.37620399999999998</v>
      </c>
      <c r="HD56">
        <v>1.96607</v>
      </c>
      <c r="HE56">
        <v>20.285799999999998</v>
      </c>
      <c r="HF56">
        <v>5.2261300000000004</v>
      </c>
      <c r="HG56">
        <v>12.0579</v>
      </c>
      <c r="HH56">
        <v>4.9930000000000003</v>
      </c>
      <c r="HI56">
        <v>3.2919999999999998</v>
      </c>
      <c r="HJ56">
        <v>9999</v>
      </c>
      <c r="HK56">
        <v>9999</v>
      </c>
      <c r="HL56">
        <v>9999</v>
      </c>
      <c r="HM56">
        <v>462.8</v>
      </c>
      <c r="HN56">
        <v>1.8669100000000001</v>
      </c>
      <c r="HO56">
        <v>1.87042</v>
      </c>
      <c r="HP56">
        <v>1.8730100000000001</v>
      </c>
      <c r="HQ56">
        <v>1.8739300000000001</v>
      </c>
      <c r="HR56">
        <v>1.8707100000000001</v>
      </c>
      <c r="HS56">
        <v>1.8690500000000001</v>
      </c>
      <c r="HT56">
        <v>1.8705700000000001</v>
      </c>
      <c r="HU56">
        <v>1.87347</v>
      </c>
      <c r="HV56">
        <v>0</v>
      </c>
      <c r="HW56">
        <v>0</v>
      </c>
      <c r="HX56">
        <v>0</v>
      </c>
      <c r="HY56">
        <v>0</v>
      </c>
      <c r="HZ56" t="s">
        <v>424</v>
      </c>
      <c r="IA56" t="s">
        <v>425</v>
      </c>
      <c r="IB56" t="s">
        <v>426</v>
      </c>
      <c r="IC56" t="s">
        <v>426</v>
      </c>
      <c r="ID56" t="s">
        <v>426</v>
      </c>
      <c r="IE56" t="s">
        <v>426</v>
      </c>
      <c r="IF56">
        <v>0</v>
      </c>
      <c r="IG56">
        <v>100</v>
      </c>
      <c r="IH56">
        <v>100</v>
      </c>
      <c r="II56">
        <v>0.82099999999999995</v>
      </c>
      <c r="IJ56">
        <v>0.28079999999999999</v>
      </c>
      <c r="IK56">
        <v>5.1929661001366617E-2</v>
      </c>
      <c r="IL56">
        <v>3.042515301972944E-3</v>
      </c>
      <c r="IM56">
        <v>-2.5091471490852929E-6</v>
      </c>
      <c r="IN56">
        <v>8.1339755115576286E-10</v>
      </c>
      <c r="IO56">
        <v>0.28071299238117853</v>
      </c>
      <c r="IP56">
        <v>0</v>
      </c>
      <c r="IQ56">
        <v>0</v>
      </c>
      <c r="IR56">
        <v>0</v>
      </c>
      <c r="IS56">
        <v>3</v>
      </c>
      <c r="IT56">
        <v>2004</v>
      </c>
      <c r="IU56">
        <v>2</v>
      </c>
      <c r="IV56">
        <v>22</v>
      </c>
      <c r="IW56">
        <v>0.5</v>
      </c>
      <c r="IX56">
        <v>0.6</v>
      </c>
      <c r="IY56">
        <v>1.03149</v>
      </c>
      <c r="IZ56">
        <v>2.6037599999999999</v>
      </c>
      <c r="JA56">
        <v>1.64917</v>
      </c>
      <c r="JB56">
        <v>2.33765</v>
      </c>
      <c r="JC56">
        <v>1.5991200000000001</v>
      </c>
      <c r="JD56">
        <v>2.3278799999999999</v>
      </c>
      <c r="JE56">
        <v>47.093200000000003</v>
      </c>
      <c r="JF56">
        <v>24.087499999999999</v>
      </c>
      <c r="JG56">
        <v>18</v>
      </c>
      <c r="JH56">
        <v>517.88400000000001</v>
      </c>
      <c r="JI56">
        <v>448.40699999999998</v>
      </c>
      <c r="JJ56">
        <v>26.901199999999999</v>
      </c>
      <c r="JK56">
        <v>32.026899999999998</v>
      </c>
      <c r="JL56">
        <v>29.999700000000001</v>
      </c>
      <c r="JM56">
        <v>32.119900000000001</v>
      </c>
      <c r="JN56">
        <v>32.135399999999997</v>
      </c>
      <c r="JO56">
        <v>20.6447</v>
      </c>
      <c r="JP56">
        <v>47.074300000000001</v>
      </c>
      <c r="JQ56">
        <v>0</v>
      </c>
      <c r="JR56">
        <v>26.943999999999999</v>
      </c>
      <c r="JS56">
        <v>400</v>
      </c>
      <c r="JT56">
        <v>21.116399999999999</v>
      </c>
      <c r="JU56">
        <v>99.811199999999999</v>
      </c>
      <c r="JV56">
        <v>99.490200000000002</v>
      </c>
    </row>
    <row r="57" spans="1:282" x14ac:dyDescent="0.25">
      <c r="A57">
        <v>41</v>
      </c>
      <c r="B57">
        <v>1689006168.5999999</v>
      </c>
      <c r="C57">
        <v>6573.5</v>
      </c>
      <c r="D57" t="s">
        <v>628</v>
      </c>
      <c r="E57" t="s">
        <v>629</v>
      </c>
      <c r="F57" t="s">
        <v>414</v>
      </c>
      <c r="G57" t="s">
        <v>415</v>
      </c>
      <c r="H57" t="s">
        <v>577</v>
      </c>
      <c r="I57" t="s">
        <v>416</v>
      </c>
      <c r="J57" t="s">
        <v>578</v>
      </c>
      <c r="K57">
        <v>1689006168.5999999</v>
      </c>
      <c r="L57">
        <f t="shared" si="46"/>
        <v>5.5750775575793754E-3</v>
      </c>
      <c r="M57">
        <f t="shared" si="47"/>
        <v>5.575077557579375</v>
      </c>
      <c r="N57">
        <f t="shared" si="48"/>
        <v>56.188427851143423</v>
      </c>
      <c r="O57">
        <f t="shared" si="49"/>
        <v>429.709</v>
      </c>
      <c r="P57">
        <f t="shared" si="50"/>
        <v>176.08575599745609</v>
      </c>
      <c r="Q57">
        <f t="shared" si="51"/>
        <v>17.487456896600346</v>
      </c>
      <c r="R57">
        <f t="shared" si="52"/>
        <v>42.675329262236303</v>
      </c>
      <c r="S57">
        <f t="shared" si="53"/>
        <v>0.38811641312199929</v>
      </c>
      <c r="T57">
        <f t="shared" si="54"/>
        <v>2.9174490278231806</v>
      </c>
      <c r="U57">
        <f t="shared" si="55"/>
        <v>0.36154484647284396</v>
      </c>
      <c r="V57">
        <f t="shared" si="56"/>
        <v>0.22820110377932568</v>
      </c>
      <c r="W57">
        <f t="shared" si="57"/>
        <v>289.57170827401586</v>
      </c>
      <c r="X57">
        <f t="shared" si="58"/>
        <v>30.309017535353025</v>
      </c>
      <c r="Y57">
        <f t="shared" si="59"/>
        <v>30.0108</v>
      </c>
      <c r="Z57">
        <f t="shared" si="60"/>
        <v>4.2630934277823389</v>
      </c>
      <c r="AA57">
        <f t="shared" si="61"/>
        <v>65.202454139051454</v>
      </c>
      <c r="AB57">
        <f t="shared" si="62"/>
        <v>2.7860338377653098</v>
      </c>
      <c r="AC57">
        <f t="shared" si="63"/>
        <v>4.2728972008074786</v>
      </c>
      <c r="AD57">
        <f t="shared" si="64"/>
        <v>1.4770595900170291</v>
      </c>
      <c r="AE57">
        <f t="shared" si="65"/>
        <v>-245.86092028925046</v>
      </c>
      <c r="AF57">
        <f t="shared" si="66"/>
        <v>6.2914204795200002</v>
      </c>
      <c r="AG57">
        <f t="shared" si="67"/>
        <v>0.47964173081402806</v>
      </c>
      <c r="AH57">
        <f t="shared" si="68"/>
        <v>50.481850195099426</v>
      </c>
      <c r="AI57">
        <v>0</v>
      </c>
      <c r="AJ57">
        <v>0</v>
      </c>
      <c r="AK57">
        <f t="shared" si="69"/>
        <v>1</v>
      </c>
      <c r="AL57">
        <f t="shared" si="70"/>
        <v>0</v>
      </c>
      <c r="AM57">
        <f t="shared" si="71"/>
        <v>51982.498462019088</v>
      </c>
      <c r="AN57" t="s">
        <v>418</v>
      </c>
      <c r="AO57">
        <v>10021</v>
      </c>
      <c r="AP57">
        <v>177.53923076923081</v>
      </c>
      <c r="AQ57">
        <v>655.56</v>
      </c>
      <c r="AR57">
        <f t="shared" si="72"/>
        <v>0.72917928066198234</v>
      </c>
      <c r="AS57">
        <v>-3.1115002560329539</v>
      </c>
      <c r="AT57" t="s">
        <v>630</v>
      </c>
      <c r="AU57">
        <v>8022.55</v>
      </c>
      <c r="AV57">
        <v>731.34620000000007</v>
      </c>
      <c r="AW57">
        <v>1146.374764749768</v>
      </c>
      <c r="AX57">
        <f t="shared" si="73"/>
        <v>0.36203567760876254</v>
      </c>
      <c r="AY57">
        <v>0.5</v>
      </c>
      <c r="AZ57">
        <f t="shared" si="74"/>
        <v>1513.2177058414588</v>
      </c>
      <c r="BA57">
        <f t="shared" si="75"/>
        <v>56.188427851143423</v>
      </c>
      <c r="BB57">
        <f t="shared" si="76"/>
        <v>273.91939875194481</v>
      </c>
      <c r="BC57">
        <f t="shared" si="77"/>
        <v>3.9187968709499942E-2</v>
      </c>
      <c r="BD57">
        <f t="shared" si="78"/>
        <v>-0.42814512308015057</v>
      </c>
      <c r="BE57">
        <f t="shared" si="79"/>
        <v>200.82500456126436</v>
      </c>
      <c r="BF57" t="s">
        <v>631</v>
      </c>
      <c r="BG57">
        <v>566.21</v>
      </c>
      <c r="BH57">
        <f t="shared" si="80"/>
        <v>566.21</v>
      </c>
      <c r="BI57">
        <f t="shared" si="81"/>
        <v>0.50608647589726652</v>
      </c>
      <c r="BJ57">
        <f t="shared" si="82"/>
        <v>0.71536327258477128</v>
      </c>
      <c r="BK57">
        <f t="shared" si="83"/>
        <v>-5.4931702825939404</v>
      </c>
      <c r="BL57">
        <f t="shared" si="84"/>
        <v>0.42837876006115339</v>
      </c>
      <c r="BM57">
        <f t="shared" si="85"/>
        <v>-1.0267645180764573</v>
      </c>
      <c r="BN57">
        <f t="shared" si="86"/>
        <v>0.55383597887050395</v>
      </c>
      <c r="BO57">
        <f t="shared" si="87"/>
        <v>0.44616402112949605</v>
      </c>
      <c r="BP57">
        <v>22547</v>
      </c>
      <c r="BQ57">
        <v>290.00000000000011</v>
      </c>
      <c r="BR57">
        <v>1012.72</v>
      </c>
      <c r="BS57">
        <v>265</v>
      </c>
      <c r="BT57">
        <v>8022.55</v>
      </c>
      <c r="BU57">
        <v>1015.77</v>
      </c>
      <c r="BV57">
        <v>-3.05</v>
      </c>
      <c r="BW57">
        <v>300.00000000000011</v>
      </c>
      <c r="BX57">
        <v>19.399999999999999</v>
      </c>
      <c r="BY57">
        <v>1146.374764749768</v>
      </c>
      <c r="BZ57">
        <v>4.6424516780447478</v>
      </c>
      <c r="CA57">
        <v>-104.78143986782359</v>
      </c>
      <c r="CB57">
        <v>3.4207710784378489</v>
      </c>
      <c r="CC57">
        <v>0.9710221300876003</v>
      </c>
      <c r="CD57">
        <v>-4.142113459399327E-3</v>
      </c>
      <c r="CE57">
        <v>289.99999999999989</v>
      </c>
      <c r="CF57">
        <v>1011.06</v>
      </c>
      <c r="CG57">
        <v>665</v>
      </c>
      <c r="CH57">
        <v>8011.25</v>
      </c>
      <c r="CI57">
        <v>1015.58</v>
      </c>
      <c r="CJ57">
        <v>-4.5199999999999996</v>
      </c>
      <c r="CX57">
        <f t="shared" si="88"/>
        <v>1800.04</v>
      </c>
      <c r="CY57">
        <f t="shared" si="89"/>
        <v>1513.2177058414588</v>
      </c>
      <c r="CZ57">
        <f t="shared" si="90"/>
        <v>0.84065782196032246</v>
      </c>
      <c r="DA57">
        <f t="shared" si="91"/>
        <v>0.16086959638342252</v>
      </c>
      <c r="DB57">
        <v>6</v>
      </c>
      <c r="DC57">
        <v>0.5</v>
      </c>
      <c r="DD57" t="s">
        <v>421</v>
      </c>
      <c r="DE57">
        <v>2</v>
      </c>
      <c r="DF57">
        <v>1689006168.5999999</v>
      </c>
      <c r="DG57">
        <v>429.709</v>
      </c>
      <c r="DH57">
        <v>500.01299999999998</v>
      </c>
      <c r="DI57">
        <v>28.0533</v>
      </c>
      <c r="DJ57">
        <v>21.550599999999999</v>
      </c>
      <c r="DK57">
        <v>428.56299999999999</v>
      </c>
      <c r="DL57">
        <v>27.768999999999998</v>
      </c>
      <c r="DM57">
        <v>499.97800000000001</v>
      </c>
      <c r="DN57">
        <v>99.212599999999995</v>
      </c>
      <c r="DO57">
        <v>9.9560700000000002E-2</v>
      </c>
      <c r="DP57">
        <v>30.050799999999999</v>
      </c>
      <c r="DQ57">
        <v>30.0108</v>
      </c>
      <c r="DR57">
        <v>999.9</v>
      </c>
      <c r="DS57">
        <v>0</v>
      </c>
      <c r="DT57">
        <v>0</v>
      </c>
      <c r="DU57">
        <v>10010</v>
      </c>
      <c r="DV57">
        <v>0</v>
      </c>
      <c r="DW57">
        <v>1705.59</v>
      </c>
      <c r="DX57">
        <v>-70.304000000000002</v>
      </c>
      <c r="DY57">
        <v>442.11200000000002</v>
      </c>
      <c r="DZ57">
        <v>511.02600000000001</v>
      </c>
      <c r="EA57">
        <v>6.5026400000000004</v>
      </c>
      <c r="EB57">
        <v>500.01299999999998</v>
      </c>
      <c r="EC57">
        <v>21.550599999999999</v>
      </c>
      <c r="ED57">
        <v>2.7832400000000002</v>
      </c>
      <c r="EE57">
        <v>2.13809</v>
      </c>
      <c r="EF57">
        <v>22.785</v>
      </c>
      <c r="EG57">
        <v>18.505800000000001</v>
      </c>
      <c r="EH57">
        <v>1800.04</v>
      </c>
      <c r="EI57">
        <v>0.97800900000000002</v>
      </c>
      <c r="EJ57">
        <v>2.1990900000000001E-2</v>
      </c>
      <c r="EK57">
        <v>0</v>
      </c>
      <c r="EL57">
        <v>731.54399999999998</v>
      </c>
      <c r="EM57">
        <v>5.0011200000000002</v>
      </c>
      <c r="EN57">
        <v>14822.3</v>
      </c>
      <c r="EO57">
        <v>17211.400000000001</v>
      </c>
      <c r="EP57">
        <v>47.75</v>
      </c>
      <c r="EQ57">
        <v>49.5</v>
      </c>
      <c r="ER57">
        <v>48.875</v>
      </c>
      <c r="ES57">
        <v>48.061999999999998</v>
      </c>
      <c r="ET57">
        <v>47.936999999999998</v>
      </c>
      <c r="EU57">
        <v>1755.56</v>
      </c>
      <c r="EV57">
        <v>39.47</v>
      </c>
      <c r="EW57">
        <v>0</v>
      </c>
      <c r="EX57">
        <v>114.6000001430511</v>
      </c>
      <c r="EY57">
        <v>0</v>
      </c>
      <c r="EZ57">
        <v>731.34620000000007</v>
      </c>
      <c r="FA57">
        <v>1.354846168160208</v>
      </c>
      <c r="FB57">
        <v>1124.915382478436</v>
      </c>
      <c r="FC57">
        <v>14671.028</v>
      </c>
      <c r="FD57">
        <v>15</v>
      </c>
      <c r="FE57">
        <v>1689006135.5999999</v>
      </c>
      <c r="FF57" t="s">
        <v>632</v>
      </c>
      <c r="FG57">
        <v>1689006134.5999999</v>
      </c>
      <c r="FH57">
        <v>1689006135.5999999</v>
      </c>
      <c r="FI57">
        <v>45</v>
      </c>
      <c r="FJ57">
        <v>0.187</v>
      </c>
      <c r="FK57">
        <v>4.0000000000000001E-3</v>
      </c>
      <c r="FL57">
        <v>1.2330000000000001</v>
      </c>
      <c r="FM57">
        <v>0.26100000000000001</v>
      </c>
      <c r="FN57">
        <v>500</v>
      </c>
      <c r="FO57">
        <v>21</v>
      </c>
      <c r="FP57">
        <v>0.09</v>
      </c>
      <c r="FQ57">
        <v>0.02</v>
      </c>
      <c r="FR57">
        <v>56.202238281002991</v>
      </c>
      <c r="FS57">
        <v>-0.6189876391550404</v>
      </c>
      <c r="FT57">
        <v>8.3979583506132049E-2</v>
      </c>
      <c r="FU57">
        <v>1</v>
      </c>
      <c r="FV57">
        <v>0.39200625665524441</v>
      </c>
      <c r="FW57">
        <v>-1.000641161265213E-2</v>
      </c>
      <c r="FX57">
        <v>1.7696743092790979E-3</v>
      </c>
      <c r="FY57">
        <v>1</v>
      </c>
      <c r="FZ57">
        <v>2</v>
      </c>
      <c r="GA57">
        <v>2</v>
      </c>
      <c r="GB57" t="s">
        <v>423</v>
      </c>
      <c r="GC57">
        <v>2.9263499999999998</v>
      </c>
      <c r="GD57">
        <v>2.82694</v>
      </c>
      <c r="GE57">
        <v>9.3200099999999994E-2</v>
      </c>
      <c r="GF57">
        <v>0.104825</v>
      </c>
      <c r="GG57">
        <v>0.12521699999999999</v>
      </c>
      <c r="GH57">
        <v>0.10471900000000001</v>
      </c>
      <c r="GI57">
        <v>29675.9</v>
      </c>
      <c r="GJ57">
        <v>23750.9</v>
      </c>
      <c r="GK57">
        <v>31488.2</v>
      </c>
      <c r="GL57">
        <v>26166.799999999999</v>
      </c>
      <c r="GM57">
        <v>37760.300000000003</v>
      </c>
      <c r="GN57">
        <v>31774.799999999999</v>
      </c>
      <c r="GO57">
        <v>46765</v>
      </c>
      <c r="GP57">
        <v>38045.5</v>
      </c>
      <c r="GQ57">
        <v>1.93747</v>
      </c>
      <c r="GR57">
        <v>1.7571000000000001</v>
      </c>
      <c r="GS57">
        <v>2.86847E-2</v>
      </c>
      <c r="GT57">
        <v>0</v>
      </c>
      <c r="GU57">
        <v>29.543900000000001</v>
      </c>
      <c r="GV57">
        <v>999.9</v>
      </c>
      <c r="GW57">
        <v>38.799999999999997</v>
      </c>
      <c r="GX57">
        <v>43.4</v>
      </c>
      <c r="GY57">
        <v>34.692599999999999</v>
      </c>
      <c r="GZ57">
        <v>62.441200000000002</v>
      </c>
      <c r="HA57">
        <v>22.580100000000002</v>
      </c>
      <c r="HB57">
        <v>1</v>
      </c>
      <c r="HC57">
        <v>0.380384</v>
      </c>
      <c r="HD57">
        <v>2.7726199999999999</v>
      </c>
      <c r="HE57">
        <v>20.2742</v>
      </c>
      <c r="HF57">
        <v>5.2280699999999998</v>
      </c>
      <c r="HG57">
        <v>12.0585</v>
      </c>
      <c r="HH57">
        <v>4.9934500000000002</v>
      </c>
      <c r="HI57">
        <v>3.2919999999999998</v>
      </c>
      <c r="HJ57">
        <v>9999</v>
      </c>
      <c r="HK57">
        <v>9999</v>
      </c>
      <c r="HL57">
        <v>9999</v>
      </c>
      <c r="HM57">
        <v>462.8</v>
      </c>
      <c r="HN57">
        <v>1.8669100000000001</v>
      </c>
      <c r="HO57">
        <v>1.87036</v>
      </c>
      <c r="HP57">
        <v>1.873</v>
      </c>
      <c r="HQ57">
        <v>1.87392</v>
      </c>
      <c r="HR57">
        <v>1.87069</v>
      </c>
      <c r="HS57">
        <v>1.8690500000000001</v>
      </c>
      <c r="HT57">
        <v>1.87053</v>
      </c>
      <c r="HU57">
        <v>1.87347</v>
      </c>
      <c r="HV57">
        <v>0</v>
      </c>
      <c r="HW57">
        <v>0</v>
      </c>
      <c r="HX57">
        <v>0</v>
      </c>
      <c r="HY57">
        <v>0</v>
      </c>
      <c r="HZ57" t="s">
        <v>424</v>
      </c>
      <c r="IA57" t="s">
        <v>425</v>
      </c>
      <c r="IB57" t="s">
        <v>426</v>
      </c>
      <c r="IC57" t="s">
        <v>426</v>
      </c>
      <c r="ID57" t="s">
        <v>426</v>
      </c>
      <c r="IE57" t="s">
        <v>426</v>
      </c>
      <c r="IF57">
        <v>0</v>
      </c>
      <c r="IG57">
        <v>100</v>
      </c>
      <c r="IH57">
        <v>100</v>
      </c>
      <c r="II57">
        <v>1.1459999999999999</v>
      </c>
      <c r="IJ57">
        <v>0.2843</v>
      </c>
      <c r="IK57">
        <v>0.2389659464623661</v>
      </c>
      <c r="IL57">
        <v>3.042515301972944E-3</v>
      </c>
      <c r="IM57">
        <v>-2.5091471490852929E-6</v>
      </c>
      <c r="IN57">
        <v>8.1339755115576286E-10</v>
      </c>
      <c r="IO57">
        <v>0.28430880292011379</v>
      </c>
      <c r="IP57">
        <v>0</v>
      </c>
      <c r="IQ57">
        <v>0</v>
      </c>
      <c r="IR57">
        <v>0</v>
      </c>
      <c r="IS57">
        <v>3</v>
      </c>
      <c r="IT57">
        <v>2004</v>
      </c>
      <c r="IU57">
        <v>2</v>
      </c>
      <c r="IV57">
        <v>22</v>
      </c>
      <c r="IW57">
        <v>0.6</v>
      </c>
      <c r="IX57">
        <v>0.6</v>
      </c>
      <c r="IY57">
        <v>1.2365699999999999</v>
      </c>
      <c r="IZ57">
        <v>2.6037599999999999</v>
      </c>
      <c r="JA57">
        <v>1.64917</v>
      </c>
      <c r="JB57">
        <v>2.33765</v>
      </c>
      <c r="JC57">
        <v>1.5991200000000001</v>
      </c>
      <c r="JD57">
        <v>2.2888199999999999</v>
      </c>
      <c r="JE57">
        <v>47.093200000000003</v>
      </c>
      <c r="JF57">
        <v>24.087499999999999</v>
      </c>
      <c r="JG57">
        <v>18</v>
      </c>
      <c r="JH57">
        <v>517.73800000000006</v>
      </c>
      <c r="JI57">
        <v>448.65600000000001</v>
      </c>
      <c r="JJ57">
        <v>26.7684</v>
      </c>
      <c r="JK57">
        <v>32.024099999999997</v>
      </c>
      <c r="JL57">
        <v>30.0002</v>
      </c>
      <c r="JM57">
        <v>32.128399999999999</v>
      </c>
      <c r="JN57">
        <v>32.142400000000002</v>
      </c>
      <c r="JO57">
        <v>24.7593</v>
      </c>
      <c r="JP57">
        <v>46.121299999999998</v>
      </c>
      <c r="JQ57">
        <v>0</v>
      </c>
      <c r="JR57">
        <v>26.775600000000001</v>
      </c>
      <c r="JS57">
        <v>500</v>
      </c>
      <c r="JT57">
        <v>21.607900000000001</v>
      </c>
      <c r="JU57">
        <v>99.807100000000005</v>
      </c>
      <c r="JV57">
        <v>99.490399999999994</v>
      </c>
    </row>
    <row r="58" spans="1:282" x14ac:dyDescent="0.25">
      <c r="A58">
        <v>42</v>
      </c>
      <c r="B58">
        <v>1689006299.5999999</v>
      </c>
      <c r="C58">
        <v>6704.5</v>
      </c>
      <c r="D58" t="s">
        <v>633</v>
      </c>
      <c r="E58" t="s">
        <v>634</v>
      </c>
      <c r="F58" t="s">
        <v>414</v>
      </c>
      <c r="G58" t="s">
        <v>415</v>
      </c>
      <c r="H58" t="s">
        <v>577</v>
      </c>
      <c r="I58" t="s">
        <v>416</v>
      </c>
      <c r="J58" t="s">
        <v>578</v>
      </c>
      <c r="K58">
        <v>1689006299.5999999</v>
      </c>
      <c r="L58">
        <f t="shared" si="46"/>
        <v>5.4527411712141129E-3</v>
      </c>
      <c r="M58">
        <f t="shared" si="47"/>
        <v>5.4527411712141127</v>
      </c>
      <c r="N58">
        <f t="shared" si="48"/>
        <v>60.807435850591936</v>
      </c>
      <c r="O58">
        <f t="shared" si="49"/>
        <v>622.91600000000005</v>
      </c>
      <c r="P58">
        <f t="shared" si="50"/>
        <v>337.41794784327959</v>
      </c>
      <c r="Q58">
        <f t="shared" si="51"/>
        <v>33.508348802933106</v>
      </c>
      <c r="R58">
        <f t="shared" si="52"/>
        <v>61.860629336240002</v>
      </c>
      <c r="S58">
        <f t="shared" si="53"/>
        <v>0.37723539947280355</v>
      </c>
      <c r="T58">
        <f t="shared" si="54"/>
        <v>2.9145231652974974</v>
      </c>
      <c r="U58">
        <f t="shared" si="55"/>
        <v>0.35205762621457631</v>
      </c>
      <c r="V58">
        <f t="shared" si="56"/>
        <v>0.22215795028799379</v>
      </c>
      <c r="W58">
        <f t="shared" si="57"/>
        <v>289.57488757807573</v>
      </c>
      <c r="X58">
        <f t="shared" si="58"/>
        <v>30.274391194369272</v>
      </c>
      <c r="Y58">
        <f t="shared" si="59"/>
        <v>30.006399999999999</v>
      </c>
      <c r="Z58">
        <f t="shared" si="60"/>
        <v>4.2620162104827797</v>
      </c>
      <c r="AA58">
        <f t="shared" si="61"/>
        <v>65.274516497263804</v>
      </c>
      <c r="AB58">
        <f t="shared" si="62"/>
        <v>2.7784332101059999</v>
      </c>
      <c r="AC58">
        <f t="shared" si="63"/>
        <v>4.2565358721921243</v>
      </c>
      <c r="AD58">
        <f t="shared" si="64"/>
        <v>1.4835830003767798</v>
      </c>
      <c r="AE58">
        <f t="shared" si="65"/>
        <v>-240.46588565054239</v>
      </c>
      <c r="AF58">
        <f t="shared" si="66"/>
        <v>-3.5196621126800309</v>
      </c>
      <c r="AG58">
        <f t="shared" si="67"/>
        <v>-0.26850471456781688</v>
      </c>
      <c r="AH58">
        <f t="shared" si="68"/>
        <v>45.320835100285485</v>
      </c>
      <c r="AI58">
        <v>0</v>
      </c>
      <c r="AJ58">
        <v>0</v>
      </c>
      <c r="AK58">
        <f t="shared" si="69"/>
        <v>1</v>
      </c>
      <c r="AL58">
        <f t="shared" si="70"/>
        <v>0</v>
      </c>
      <c r="AM58">
        <f t="shared" si="71"/>
        <v>51910.545188097094</v>
      </c>
      <c r="AN58" t="s">
        <v>418</v>
      </c>
      <c r="AO58">
        <v>10021</v>
      </c>
      <c r="AP58">
        <v>177.53923076923081</v>
      </c>
      <c r="AQ58">
        <v>655.56</v>
      </c>
      <c r="AR58">
        <f t="shared" si="72"/>
        <v>0.72917928066198234</v>
      </c>
      <c r="AS58">
        <v>-3.1115002560329539</v>
      </c>
      <c r="AT58" t="s">
        <v>635</v>
      </c>
      <c r="AU58">
        <v>8021.51</v>
      </c>
      <c r="AV58">
        <v>745.26155999999992</v>
      </c>
      <c r="AW58">
        <v>1215.888032002804</v>
      </c>
      <c r="AX58">
        <f t="shared" si="73"/>
        <v>0.38706398913030737</v>
      </c>
      <c r="AY58">
        <v>0.5</v>
      </c>
      <c r="AZ58">
        <f t="shared" si="74"/>
        <v>1513.2344992632516</v>
      </c>
      <c r="BA58">
        <f t="shared" si="75"/>
        <v>60.807435850591936</v>
      </c>
      <c r="BB58">
        <f t="shared" si="76"/>
        <v>292.85929088721866</v>
      </c>
      <c r="BC58">
        <f t="shared" si="77"/>
        <v>4.2239941091579067E-2</v>
      </c>
      <c r="BD58">
        <f t="shared" si="78"/>
        <v>-0.46083851247374719</v>
      </c>
      <c r="BE58">
        <f t="shared" si="79"/>
        <v>202.85668127189794</v>
      </c>
      <c r="BF58" t="s">
        <v>636</v>
      </c>
      <c r="BG58">
        <v>573.61</v>
      </c>
      <c r="BH58">
        <f t="shared" si="80"/>
        <v>573.61</v>
      </c>
      <c r="BI58">
        <f t="shared" si="81"/>
        <v>0.52823781063528297</v>
      </c>
      <c r="BJ58">
        <f t="shared" si="82"/>
        <v>0.73274570910553805</v>
      </c>
      <c r="BK58">
        <f t="shared" si="83"/>
        <v>-6.837437852383216</v>
      </c>
      <c r="BL58">
        <f t="shared" si="84"/>
        <v>0.45324506701764677</v>
      </c>
      <c r="BM58">
        <f t="shared" si="85"/>
        <v>-1.1721834448835431</v>
      </c>
      <c r="BN58">
        <f t="shared" si="86"/>
        <v>0.56397684887977817</v>
      </c>
      <c r="BO58">
        <f t="shared" si="87"/>
        <v>0.43602315112022183</v>
      </c>
      <c r="BP58">
        <v>22549</v>
      </c>
      <c r="BQ58">
        <v>290.00000000000011</v>
      </c>
      <c r="BR58">
        <v>1060.29</v>
      </c>
      <c r="BS58">
        <v>285</v>
      </c>
      <c r="BT58">
        <v>8021.51</v>
      </c>
      <c r="BU58">
        <v>1063.52</v>
      </c>
      <c r="BV58">
        <v>-3.23</v>
      </c>
      <c r="BW58">
        <v>300.00000000000011</v>
      </c>
      <c r="BX58">
        <v>19.399999999999999</v>
      </c>
      <c r="BY58">
        <v>1215.888032002804</v>
      </c>
      <c r="BZ58">
        <v>4.4856263517031456</v>
      </c>
      <c r="CA58">
        <v>-122.21925001144849</v>
      </c>
      <c r="CB58">
        <v>3.305297718517497</v>
      </c>
      <c r="CC58">
        <v>0.97993237049237047</v>
      </c>
      <c r="CD58">
        <v>-4.1422380422691894E-3</v>
      </c>
      <c r="CE58">
        <v>289.99999999999989</v>
      </c>
      <c r="CF58">
        <v>1057.42</v>
      </c>
      <c r="CG58">
        <v>645</v>
      </c>
      <c r="CH58">
        <v>8012.04</v>
      </c>
      <c r="CI58">
        <v>1063.3399999999999</v>
      </c>
      <c r="CJ58">
        <v>-5.92</v>
      </c>
      <c r="CX58">
        <f t="shared" si="88"/>
        <v>1800.06</v>
      </c>
      <c r="CY58">
        <f t="shared" si="89"/>
        <v>1513.2344992632516</v>
      </c>
      <c r="CZ58">
        <f t="shared" si="90"/>
        <v>0.84065781099699544</v>
      </c>
      <c r="DA58">
        <f t="shared" si="91"/>
        <v>0.16086957522420126</v>
      </c>
      <c r="DB58">
        <v>6</v>
      </c>
      <c r="DC58">
        <v>0.5</v>
      </c>
      <c r="DD58" t="s">
        <v>421</v>
      </c>
      <c r="DE58">
        <v>2</v>
      </c>
      <c r="DF58">
        <v>1689006299.5999999</v>
      </c>
      <c r="DG58">
        <v>622.91600000000005</v>
      </c>
      <c r="DH58">
        <v>699.96299999999997</v>
      </c>
      <c r="DI58">
        <v>27.977900000000002</v>
      </c>
      <c r="DJ58">
        <v>21.6175</v>
      </c>
      <c r="DK58">
        <v>621.55999999999995</v>
      </c>
      <c r="DL58">
        <v>27.689499999999999</v>
      </c>
      <c r="DM58">
        <v>499.98599999999999</v>
      </c>
      <c r="DN58">
        <v>99.207899999999995</v>
      </c>
      <c r="DO58">
        <v>0.10024</v>
      </c>
      <c r="DP58">
        <v>29.984000000000002</v>
      </c>
      <c r="DQ58">
        <v>30.006399999999999</v>
      </c>
      <c r="DR58">
        <v>999.9</v>
      </c>
      <c r="DS58">
        <v>0</v>
      </c>
      <c r="DT58">
        <v>0</v>
      </c>
      <c r="DU58">
        <v>9993.75</v>
      </c>
      <c r="DV58">
        <v>0</v>
      </c>
      <c r="DW58">
        <v>1801.37</v>
      </c>
      <c r="DX58">
        <v>-77.047300000000007</v>
      </c>
      <c r="DY58">
        <v>640.84500000000003</v>
      </c>
      <c r="DZ58">
        <v>715.42899999999997</v>
      </c>
      <c r="EA58">
        <v>6.3603800000000001</v>
      </c>
      <c r="EB58">
        <v>699.96299999999997</v>
      </c>
      <c r="EC58">
        <v>21.6175</v>
      </c>
      <c r="ED58">
        <v>2.77563</v>
      </c>
      <c r="EE58">
        <v>2.1446299999999998</v>
      </c>
      <c r="EF58">
        <v>22.739799999999999</v>
      </c>
      <c r="EG58">
        <v>18.554600000000001</v>
      </c>
      <c r="EH58">
        <v>1800.06</v>
      </c>
      <c r="EI58">
        <v>0.97801000000000005</v>
      </c>
      <c r="EJ58">
        <v>2.1990300000000001E-2</v>
      </c>
      <c r="EK58">
        <v>0</v>
      </c>
      <c r="EL58">
        <v>744.88699999999994</v>
      </c>
      <c r="EM58">
        <v>5.0011200000000002</v>
      </c>
      <c r="EN58">
        <v>15032.1</v>
      </c>
      <c r="EO58">
        <v>17211.5</v>
      </c>
      <c r="EP58">
        <v>47.75</v>
      </c>
      <c r="EQ58">
        <v>49.561999999999998</v>
      </c>
      <c r="ER58">
        <v>48.936999999999998</v>
      </c>
      <c r="ES58">
        <v>48.061999999999998</v>
      </c>
      <c r="ET58">
        <v>47.936999999999998</v>
      </c>
      <c r="EU58">
        <v>1755.59</v>
      </c>
      <c r="EV58">
        <v>39.47</v>
      </c>
      <c r="EW58">
        <v>0</v>
      </c>
      <c r="EX58">
        <v>129.20000004768369</v>
      </c>
      <c r="EY58">
        <v>0</v>
      </c>
      <c r="EZ58">
        <v>745.26155999999992</v>
      </c>
      <c r="FA58">
        <v>-1.1890769407093691</v>
      </c>
      <c r="FB58">
        <v>6.146153834031395</v>
      </c>
      <c r="FC58">
        <v>15033.424000000001</v>
      </c>
      <c r="FD58">
        <v>15</v>
      </c>
      <c r="FE58">
        <v>1689006268.5999999</v>
      </c>
      <c r="FF58" t="s">
        <v>637</v>
      </c>
      <c r="FG58">
        <v>1689006134.5999999</v>
      </c>
      <c r="FH58">
        <v>1689006260.5999999</v>
      </c>
      <c r="FI58">
        <v>46</v>
      </c>
      <c r="FJ58">
        <v>0.187</v>
      </c>
      <c r="FK58">
        <v>4.0000000000000001E-3</v>
      </c>
      <c r="FL58">
        <v>1.2330000000000001</v>
      </c>
      <c r="FM58">
        <v>0.27400000000000002</v>
      </c>
      <c r="FN58">
        <v>500</v>
      </c>
      <c r="FO58">
        <v>21</v>
      </c>
      <c r="FP58">
        <v>0.09</v>
      </c>
      <c r="FQ58">
        <v>0.16</v>
      </c>
      <c r="FR58">
        <v>60.828760095241691</v>
      </c>
      <c r="FS58">
        <v>-0.61428466123628844</v>
      </c>
      <c r="FT58">
        <v>0.1186181347940696</v>
      </c>
      <c r="FU58">
        <v>1</v>
      </c>
      <c r="FV58">
        <v>0.38536875229442841</v>
      </c>
      <c r="FW58">
        <v>-4.9708213777521583E-2</v>
      </c>
      <c r="FX58">
        <v>3.6869288891420988E-3</v>
      </c>
      <c r="FY58">
        <v>1</v>
      </c>
      <c r="FZ58">
        <v>2</v>
      </c>
      <c r="GA58">
        <v>2</v>
      </c>
      <c r="GB58" t="s">
        <v>423</v>
      </c>
      <c r="GC58">
        <v>2.9263300000000001</v>
      </c>
      <c r="GD58">
        <v>2.8274900000000001</v>
      </c>
      <c r="GE58">
        <v>0.12227499999999999</v>
      </c>
      <c r="GF58">
        <v>0.13309499999999999</v>
      </c>
      <c r="GG58">
        <v>0.12495100000000001</v>
      </c>
      <c r="GH58">
        <v>0.104934</v>
      </c>
      <c r="GI58">
        <v>28721.8</v>
      </c>
      <c r="GJ58">
        <v>22997.4</v>
      </c>
      <c r="GK58">
        <v>31485.7</v>
      </c>
      <c r="GL58">
        <v>26163.200000000001</v>
      </c>
      <c r="GM58">
        <v>37769.4</v>
      </c>
      <c r="GN58">
        <v>31763.4</v>
      </c>
      <c r="GO58">
        <v>46761.3</v>
      </c>
      <c r="GP58">
        <v>38040.400000000001</v>
      </c>
      <c r="GQ58">
        <v>1.9370799999999999</v>
      </c>
      <c r="GR58">
        <v>1.7562500000000001</v>
      </c>
      <c r="GS58">
        <v>1.82539E-2</v>
      </c>
      <c r="GT58">
        <v>0</v>
      </c>
      <c r="GU58">
        <v>29.709299999999999</v>
      </c>
      <c r="GV58">
        <v>999.9</v>
      </c>
      <c r="GW58">
        <v>38.9</v>
      </c>
      <c r="GX58">
        <v>43.5</v>
      </c>
      <c r="GY58">
        <v>34.964799999999997</v>
      </c>
      <c r="GZ58">
        <v>62.361199999999997</v>
      </c>
      <c r="HA58">
        <v>22.604199999999999</v>
      </c>
      <c r="HB58">
        <v>1</v>
      </c>
      <c r="HC58">
        <v>0.38195099999999998</v>
      </c>
      <c r="HD58">
        <v>2.2061899999999999</v>
      </c>
      <c r="HE58">
        <v>20.282900000000001</v>
      </c>
      <c r="HF58">
        <v>5.2264200000000001</v>
      </c>
      <c r="HG58">
        <v>12.058299999999999</v>
      </c>
      <c r="HH58">
        <v>4.9931999999999999</v>
      </c>
      <c r="HI58">
        <v>3.2919999999999998</v>
      </c>
      <c r="HJ58">
        <v>9999</v>
      </c>
      <c r="HK58">
        <v>9999</v>
      </c>
      <c r="HL58">
        <v>9999</v>
      </c>
      <c r="HM58">
        <v>462.9</v>
      </c>
      <c r="HN58">
        <v>1.8669100000000001</v>
      </c>
      <c r="HO58">
        <v>1.8703700000000001</v>
      </c>
      <c r="HP58">
        <v>1.8730100000000001</v>
      </c>
      <c r="HQ58">
        <v>1.87391</v>
      </c>
      <c r="HR58">
        <v>1.87069</v>
      </c>
      <c r="HS58">
        <v>1.8690500000000001</v>
      </c>
      <c r="HT58">
        <v>1.87053</v>
      </c>
      <c r="HU58">
        <v>1.87347</v>
      </c>
      <c r="HV58">
        <v>0</v>
      </c>
      <c r="HW58">
        <v>0</v>
      </c>
      <c r="HX58">
        <v>0</v>
      </c>
      <c r="HY58">
        <v>0</v>
      </c>
      <c r="HZ58" t="s">
        <v>424</v>
      </c>
      <c r="IA58" t="s">
        <v>425</v>
      </c>
      <c r="IB58" t="s">
        <v>426</v>
      </c>
      <c r="IC58" t="s">
        <v>426</v>
      </c>
      <c r="ID58" t="s">
        <v>426</v>
      </c>
      <c r="IE58" t="s">
        <v>426</v>
      </c>
      <c r="IF58">
        <v>0</v>
      </c>
      <c r="IG58">
        <v>100</v>
      </c>
      <c r="IH58">
        <v>100</v>
      </c>
      <c r="II58">
        <v>1.3560000000000001</v>
      </c>
      <c r="IJ58">
        <v>0.28839999999999999</v>
      </c>
      <c r="IK58">
        <v>0.2389659464623661</v>
      </c>
      <c r="IL58">
        <v>3.042515301972944E-3</v>
      </c>
      <c r="IM58">
        <v>-2.5091471490852929E-6</v>
      </c>
      <c r="IN58">
        <v>8.1339755115576286E-10</v>
      </c>
      <c r="IO58">
        <v>0.28839029579579673</v>
      </c>
      <c r="IP58">
        <v>0</v>
      </c>
      <c r="IQ58">
        <v>0</v>
      </c>
      <c r="IR58">
        <v>0</v>
      </c>
      <c r="IS58">
        <v>3</v>
      </c>
      <c r="IT58">
        <v>2004</v>
      </c>
      <c r="IU58">
        <v>2</v>
      </c>
      <c r="IV58">
        <v>22</v>
      </c>
      <c r="IW58">
        <v>2.8</v>
      </c>
      <c r="IX58">
        <v>0.7</v>
      </c>
      <c r="IY58">
        <v>1.62842</v>
      </c>
      <c r="IZ58">
        <v>2.5952099999999998</v>
      </c>
      <c r="JA58">
        <v>1.64917</v>
      </c>
      <c r="JB58">
        <v>2.33765</v>
      </c>
      <c r="JC58">
        <v>1.5991200000000001</v>
      </c>
      <c r="JD58">
        <v>2.3132299999999999</v>
      </c>
      <c r="JE58">
        <v>47.182499999999997</v>
      </c>
      <c r="JF58">
        <v>24.122499999999999</v>
      </c>
      <c r="JG58">
        <v>18</v>
      </c>
      <c r="JH58">
        <v>517.779</v>
      </c>
      <c r="JI58">
        <v>448.39499999999998</v>
      </c>
      <c r="JJ58">
        <v>27.0352</v>
      </c>
      <c r="JK58">
        <v>32.063600000000001</v>
      </c>
      <c r="JL58">
        <v>30.0002</v>
      </c>
      <c r="JM58">
        <v>32.166699999999999</v>
      </c>
      <c r="JN58">
        <v>32.181800000000003</v>
      </c>
      <c r="JO58">
        <v>32.593800000000002</v>
      </c>
      <c r="JP58">
        <v>46.433100000000003</v>
      </c>
      <c r="JQ58">
        <v>0</v>
      </c>
      <c r="JR58">
        <v>27.035299999999999</v>
      </c>
      <c r="JS58">
        <v>700</v>
      </c>
      <c r="JT58">
        <v>21.596599999999999</v>
      </c>
      <c r="JU58">
        <v>99.799199999999999</v>
      </c>
      <c r="JV58">
        <v>99.476900000000001</v>
      </c>
    </row>
    <row r="59" spans="1:282" x14ac:dyDescent="0.25">
      <c r="A59">
        <v>43</v>
      </c>
      <c r="B59">
        <v>1689006420.5999999</v>
      </c>
      <c r="C59">
        <v>6825.5</v>
      </c>
      <c r="D59" t="s">
        <v>638</v>
      </c>
      <c r="E59" t="s">
        <v>639</v>
      </c>
      <c r="F59" t="s">
        <v>414</v>
      </c>
      <c r="G59" t="s">
        <v>415</v>
      </c>
      <c r="H59" t="s">
        <v>577</v>
      </c>
      <c r="I59" t="s">
        <v>416</v>
      </c>
      <c r="J59" t="s">
        <v>578</v>
      </c>
      <c r="K59">
        <v>1689006420.5999999</v>
      </c>
      <c r="L59">
        <f t="shared" si="46"/>
        <v>5.0704640247382568E-3</v>
      </c>
      <c r="M59">
        <f t="shared" si="47"/>
        <v>5.0704640247382571</v>
      </c>
      <c r="N59">
        <f t="shared" si="48"/>
        <v>62.072659924445411</v>
      </c>
      <c r="O59">
        <f t="shared" si="49"/>
        <v>820.428</v>
      </c>
      <c r="P59">
        <f t="shared" si="50"/>
        <v>501.37922491735929</v>
      </c>
      <c r="Q59">
        <f t="shared" si="51"/>
        <v>49.788028481697431</v>
      </c>
      <c r="R59">
        <f t="shared" si="52"/>
        <v>81.470253654636011</v>
      </c>
      <c r="S59">
        <f t="shared" si="53"/>
        <v>0.34655879384263139</v>
      </c>
      <c r="T59">
        <f t="shared" si="54"/>
        <v>2.9165974940416848</v>
      </c>
      <c r="U59">
        <f t="shared" si="55"/>
        <v>0.32519917953107014</v>
      </c>
      <c r="V59">
        <f t="shared" si="56"/>
        <v>0.20505876538247325</v>
      </c>
      <c r="W59">
        <f t="shared" si="57"/>
        <v>289.56386928296104</v>
      </c>
      <c r="X59">
        <f t="shared" si="58"/>
        <v>30.303874574141364</v>
      </c>
      <c r="Y59">
        <f t="shared" si="59"/>
        <v>29.981000000000002</v>
      </c>
      <c r="Z59">
        <f t="shared" si="60"/>
        <v>4.2558023648553487</v>
      </c>
      <c r="AA59">
        <f t="shared" si="61"/>
        <v>65.154504289390601</v>
      </c>
      <c r="AB59">
        <f t="shared" si="62"/>
        <v>2.7622081032193999</v>
      </c>
      <c r="AC59">
        <f t="shared" si="63"/>
        <v>4.2394737452851476</v>
      </c>
      <c r="AD59">
        <f t="shared" si="64"/>
        <v>1.4935942616359488</v>
      </c>
      <c r="AE59">
        <f t="shared" si="65"/>
        <v>-223.60746349095712</v>
      </c>
      <c r="AF59">
        <f t="shared" si="66"/>
        <v>-10.519329514208133</v>
      </c>
      <c r="AG59">
        <f t="shared" si="67"/>
        <v>-0.80153982992989459</v>
      </c>
      <c r="AH59">
        <f t="shared" si="68"/>
        <v>54.63553644786591</v>
      </c>
      <c r="AI59">
        <v>0</v>
      </c>
      <c r="AJ59">
        <v>0</v>
      </c>
      <c r="AK59">
        <f t="shared" si="69"/>
        <v>1</v>
      </c>
      <c r="AL59">
        <f t="shared" si="70"/>
        <v>0</v>
      </c>
      <c r="AM59">
        <f t="shared" si="71"/>
        <v>51981.4710330218</v>
      </c>
      <c r="AN59" t="s">
        <v>418</v>
      </c>
      <c r="AO59">
        <v>10021</v>
      </c>
      <c r="AP59">
        <v>177.53923076923081</v>
      </c>
      <c r="AQ59">
        <v>655.56</v>
      </c>
      <c r="AR59">
        <f t="shared" si="72"/>
        <v>0.72917928066198234</v>
      </c>
      <c r="AS59">
        <v>-3.1115002560329539</v>
      </c>
      <c r="AT59" t="s">
        <v>640</v>
      </c>
      <c r="AU59">
        <v>8021.17</v>
      </c>
      <c r="AV59">
        <v>747.4975384615384</v>
      </c>
      <c r="AW59">
        <v>1236.632680853641</v>
      </c>
      <c r="AX59">
        <f t="shared" si="73"/>
        <v>0.39553793941015303</v>
      </c>
      <c r="AY59">
        <v>0.5</v>
      </c>
      <c r="AZ59">
        <f t="shared" si="74"/>
        <v>1513.1682058460938</v>
      </c>
      <c r="BA59">
        <f t="shared" si="75"/>
        <v>62.072659924445411</v>
      </c>
      <c r="BB59">
        <f t="shared" si="76"/>
        <v>299.25771706066109</v>
      </c>
      <c r="BC59">
        <f t="shared" si="77"/>
        <v>4.3077934051641259E-2</v>
      </c>
      <c r="BD59">
        <f t="shared" si="78"/>
        <v>-0.46988300556033313</v>
      </c>
      <c r="BE59">
        <f t="shared" si="79"/>
        <v>203.4260158933713</v>
      </c>
      <c r="BF59" t="s">
        <v>641</v>
      </c>
      <c r="BG59">
        <v>573.89</v>
      </c>
      <c r="BH59">
        <f t="shared" si="80"/>
        <v>573.89</v>
      </c>
      <c r="BI59">
        <f t="shared" si="81"/>
        <v>0.53592525178628891</v>
      </c>
      <c r="BJ59">
        <f t="shared" si="82"/>
        <v>0.73804684159178569</v>
      </c>
      <c r="BK59">
        <f t="shared" si="83"/>
        <v>-7.1148852804413041</v>
      </c>
      <c r="BL59">
        <f t="shared" si="84"/>
        <v>0.46184323239192759</v>
      </c>
      <c r="BM59">
        <f t="shared" si="85"/>
        <v>-1.2155804062419777</v>
      </c>
      <c r="BN59">
        <f t="shared" si="86"/>
        <v>0.56663424309443866</v>
      </c>
      <c r="BO59">
        <f t="shared" si="87"/>
        <v>0.43336575690556134</v>
      </c>
      <c r="BP59">
        <v>22551</v>
      </c>
      <c r="BQ59">
        <v>290.00000000000011</v>
      </c>
      <c r="BR59">
        <v>1073.56</v>
      </c>
      <c r="BS59">
        <v>295</v>
      </c>
      <c r="BT59">
        <v>8021.17</v>
      </c>
      <c r="BU59">
        <v>1077.3399999999999</v>
      </c>
      <c r="BV59">
        <v>-3.78</v>
      </c>
      <c r="BW59">
        <v>300.00000000000011</v>
      </c>
      <c r="BX59">
        <v>19.399999999999999</v>
      </c>
      <c r="BY59">
        <v>1236.632680853641</v>
      </c>
      <c r="BZ59">
        <v>5.0538755342057131</v>
      </c>
      <c r="CA59">
        <v>-127.7734903840323</v>
      </c>
      <c r="CB59">
        <v>3.7238510605603938</v>
      </c>
      <c r="CC59">
        <v>0.97676977941312604</v>
      </c>
      <c r="CD59">
        <v>-4.1422015572858701E-3</v>
      </c>
      <c r="CE59">
        <v>289.99999999999989</v>
      </c>
      <c r="CF59">
        <v>1072.1500000000001</v>
      </c>
      <c r="CG59">
        <v>645</v>
      </c>
      <c r="CH59">
        <v>8011.68</v>
      </c>
      <c r="CI59">
        <v>1077.1500000000001</v>
      </c>
      <c r="CJ59">
        <v>-5</v>
      </c>
      <c r="CX59">
        <f t="shared" si="88"/>
        <v>1799.98</v>
      </c>
      <c r="CY59">
        <f t="shared" si="89"/>
        <v>1513.1682058460938</v>
      </c>
      <c r="CZ59">
        <f t="shared" si="90"/>
        <v>0.84065834389609539</v>
      </c>
      <c r="DA59">
        <f t="shared" si="91"/>
        <v>0.16087060371946413</v>
      </c>
      <c r="DB59">
        <v>6</v>
      </c>
      <c r="DC59">
        <v>0.5</v>
      </c>
      <c r="DD59" t="s">
        <v>421</v>
      </c>
      <c r="DE59">
        <v>2</v>
      </c>
      <c r="DF59">
        <v>1689006420.5999999</v>
      </c>
      <c r="DG59">
        <v>820.428</v>
      </c>
      <c r="DH59">
        <v>899.90300000000002</v>
      </c>
      <c r="DI59">
        <v>27.816199999999998</v>
      </c>
      <c r="DJ59">
        <v>21.901199999999999</v>
      </c>
      <c r="DK59">
        <v>819.21600000000001</v>
      </c>
      <c r="DL59">
        <v>27.544</v>
      </c>
      <c r="DM59">
        <v>500.02600000000001</v>
      </c>
      <c r="DN59">
        <v>99.201999999999998</v>
      </c>
      <c r="DO59">
        <v>0.100137</v>
      </c>
      <c r="DP59">
        <v>29.914100000000001</v>
      </c>
      <c r="DQ59">
        <v>29.981000000000002</v>
      </c>
      <c r="DR59">
        <v>999.9</v>
      </c>
      <c r="DS59">
        <v>0</v>
      </c>
      <c r="DT59">
        <v>0</v>
      </c>
      <c r="DU59">
        <v>10006.200000000001</v>
      </c>
      <c r="DV59">
        <v>0</v>
      </c>
      <c r="DW59">
        <v>1773.95</v>
      </c>
      <c r="DX59">
        <v>-79.475200000000001</v>
      </c>
      <c r="DY59">
        <v>843.90200000000004</v>
      </c>
      <c r="DZ59">
        <v>920.05399999999997</v>
      </c>
      <c r="EA59">
        <v>5.9149200000000004</v>
      </c>
      <c r="EB59">
        <v>899.90300000000002</v>
      </c>
      <c r="EC59">
        <v>21.901199999999999</v>
      </c>
      <c r="ED59">
        <v>2.75942</v>
      </c>
      <c r="EE59">
        <v>2.17265</v>
      </c>
      <c r="EF59">
        <v>22.6433</v>
      </c>
      <c r="EG59">
        <v>18.762</v>
      </c>
      <c r="EH59">
        <v>1799.98</v>
      </c>
      <c r="EI59">
        <v>0.97799199999999997</v>
      </c>
      <c r="EJ59">
        <v>2.20085E-2</v>
      </c>
      <c r="EK59">
        <v>0</v>
      </c>
      <c r="EL59">
        <v>747.24400000000003</v>
      </c>
      <c r="EM59">
        <v>5.0011200000000002</v>
      </c>
      <c r="EN59">
        <v>15062.7</v>
      </c>
      <c r="EO59">
        <v>17210.7</v>
      </c>
      <c r="EP59">
        <v>48</v>
      </c>
      <c r="EQ59">
        <v>49.75</v>
      </c>
      <c r="ER59">
        <v>49.125</v>
      </c>
      <c r="ES59">
        <v>48.25</v>
      </c>
      <c r="ET59">
        <v>48.625</v>
      </c>
      <c r="EU59">
        <v>1755.47</v>
      </c>
      <c r="EV59">
        <v>39.5</v>
      </c>
      <c r="EW59">
        <v>0</v>
      </c>
      <c r="EX59">
        <v>118.7999999523163</v>
      </c>
      <c r="EY59">
        <v>0</v>
      </c>
      <c r="EZ59">
        <v>747.4975384615384</v>
      </c>
      <c r="FA59">
        <v>-1.298735046752383</v>
      </c>
      <c r="FB59">
        <v>-34.492307691441297</v>
      </c>
      <c r="FC59">
        <v>15067.234615384619</v>
      </c>
      <c r="FD59">
        <v>15</v>
      </c>
      <c r="FE59">
        <v>1689006377.5999999</v>
      </c>
      <c r="FF59" t="s">
        <v>642</v>
      </c>
      <c r="FG59">
        <v>1689006377.5999999</v>
      </c>
      <c r="FH59">
        <v>1689006370.5999999</v>
      </c>
      <c r="FI59">
        <v>47</v>
      </c>
      <c r="FJ59">
        <v>-0.28199999999999997</v>
      </c>
      <c r="FK59">
        <v>-1.6E-2</v>
      </c>
      <c r="FL59">
        <v>1.2549999999999999</v>
      </c>
      <c r="FM59">
        <v>0.26500000000000001</v>
      </c>
      <c r="FN59">
        <v>900</v>
      </c>
      <c r="FO59">
        <v>22</v>
      </c>
      <c r="FP59">
        <v>0.05</v>
      </c>
      <c r="FQ59">
        <v>0.03</v>
      </c>
      <c r="FR59">
        <v>62.164563650894323</v>
      </c>
      <c r="FS59">
        <v>0.6698645861342899</v>
      </c>
      <c r="FT59">
        <v>7.6124791706800629E-2</v>
      </c>
      <c r="FU59">
        <v>1</v>
      </c>
      <c r="FV59">
        <v>0.35177976579233722</v>
      </c>
      <c r="FW59">
        <v>-4.3240635046061869E-2</v>
      </c>
      <c r="FX59">
        <v>3.145070991505843E-3</v>
      </c>
      <c r="FY59">
        <v>1</v>
      </c>
      <c r="FZ59">
        <v>2</v>
      </c>
      <c r="GA59">
        <v>2</v>
      </c>
      <c r="GB59" t="s">
        <v>423</v>
      </c>
      <c r="GC59">
        <v>2.9263499999999998</v>
      </c>
      <c r="GD59">
        <v>2.8274900000000001</v>
      </c>
      <c r="GE59">
        <v>0.14766699999999999</v>
      </c>
      <c r="GF59">
        <v>0.15749299999999999</v>
      </c>
      <c r="GG59">
        <v>0.12447</v>
      </c>
      <c r="GH59">
        <v>0.105882</v>
      </c>
      <c r="GI59">
        <v>27884.6</v>
      </c>
      <c r="GJ59">
        <v>22346.5</v>
      </c>
      <c r="GK59">
        <v>31479.599999999999</v>
      </c>
      <c r="GL59">
        <v>26159.7</v>
      </c>
      <c r="GM59">
        <v>37783.800000000003</v>
      </c>
      <c r="GN59">
        <v>31724.799999999999</v>
      </c>
      <c r="GO59">
        <v>46752.4</v>
      </c>
      <c r="GP59">
        <v>38034.1</v>
      </c>
      <c r="GQ59">
        <v>1.9363300000000001</v>
      </c>
      <c r="GR59">
        <v>1.7555700000000001</v>
      </c>
      <c r="GS59">
        <v>1.35228E-2</v>
      </c>
      <c r="GT59">
        <v>0</v>
      </c>
      <c r="GU59">
        <v>29.760899999999999</v>
      </c>
      <c r="GV59">
        <v>999.9</v>
      </c>
      <c r="GW59">
        <v>38.9</v>
      </c>
      <c r="GX59">
        <v>43.7</v>
      </c>
      <c r="GY59">
        <v>35.331499999999998</v>
      </c>
      <c r="GZ59">
        <v>61.991199999999999</v>
      </c>
      <c r="HA59">
        <v>22.343800000000002</v>
      </c>
      <c r="HB59">
        <v>1</v>
      </c>
      <c r="HC59">
        <v>0.38805400000000001</v>
      </c>
      <c r="HD59">
        <v>2.1329799999999999</v>
      </c>
      <c r="HE59">
        <v>20.2837</v>
      </c>
      <c r="HF59">
        <v>5.2237299999999998</v>
      </c>
      <c r="HG59">
        <v>12.0579</v>
      </c>
      <c r="HH59">
        <v>4.9932999999999996</v>
      </c>
      <c r="HI59">
        <v>3.2919999999999998</v>
      </c>
      <c r="HJ59">
        <v>9999</v>
      </c>
      <c r="HK59">
        <v>9999</v>
      </c>
      <c r="HL59">
        <v>9999</v>
      </c>
      <c r="HM59">
        <v>462.9</v>
      </c>
      <c r="HN59">
        <v>1.8669100000000001</v>
      </c>
      <c r="HO59">
        <v>1.8703000000000001</v>
      </c>
      <c r="HP59">
        <v>1.8729199999999999</v>
      </c>
      <c r="HQ59">
        <v>1.87384</v>
      </c>
      <c r="HR59">
        <v>1.8706</v>
      </c>
      <c r="HS59">
        <v>1.8690100000000001</v>
      </c>
      <c r="HT59">
        <v>1.8704499999999999</v>
      </c>
      <c r="HU59">
        <v>1.8734599999999999</v>
      </c>
      <c r="HV59">
        <v>0</v>
      </c>
      <c r="HW59">
        <v>0</v>
      </c>
      <c r="HX59">
        <v>0</v>
      </c>
      <c r="HY59">
        <v>0</v>
      </c>
      <c r="HZ59" t="s">
        <v>424</v>
      </c>
      <c r="IA59" t="s">
        <v>425</v>
      </c>
      <c r="IB59" t="s">
        <v>426</v>
      </c>
      <c r="IC59" t="s">
        <v>426</v>
      </c>
      <c r="ID59" t="s">
        <v>426</v>
      </c>
      <c r="IE59" t="s">
        <v>426</v>
      </c>
      <c r="IF59">
        <v>0</v>
      </c>
      <c r="IG59">
        <v>100</v>
      </c>
      <c r="IH59">
        <v>100</v>
      </c>
      <c r="II59">
        <v>1.212</v>
      </c>
      <c r="IJ59">
        <v>0.2722</v>
      </c>
      <c r="IK59">
        <v>-4.3170077045911713E-2</v>
      </c>
      <c r="IL59">
        <v>3.042515301972944E-3</v>
      </c>
      <c r="IM59">
        <v>-2.5091471490852929E-6</v>
      </c>
      <c r="IN59">
        <v>8.1339755115576286E-10</v>
      </c>
      <c r="IO59">
        <v>0.27219690452812401</v>
      </c>
      <c r="IP59">
        <v>0</v>
      </c>
      <c r="IQ59">
        <v>0</v>
      </c>
      <c r="IR59">
        <v>0</v>
      </c>
      <c r="IS59">
        <v>3</v>
      </c>
      <c r="IT59">
        <v>2004</v>
      </c>
      <c r="IU59">
        <v>2</v>
      </c>
      <c r="IV59">
        <v>22</v>
      </c>
      <c r="IW59">
        <v>0.7</v>
      </c>
      <c r="IX59">
        <v>0.8</v>
      </c>
      <c r="IY59">
        <v>2.0031699999999999</v>
      </c>
      <c r="IZ59">
        <v>2.6000999999999999</v>
      </c>
      <c r="JA59">
        <v>1.64917</v>
      </c>
      <c r="JB59">
        <v>2.33643</v>
      </c>
      <c r="JC59">
        <v>1.5991200000000001</v>
      </c>
      <c r="JD59">
        <v>2.2485400000000002</v>
      </c>
      <c r="JE59">
        <v>47.242100000000001</v>
      </c>
      <c r="JF59">
        <v>24.122499999999999</v>
      </c>
      <c r="JG59">
        <v>18</v>
      </c>
      <c r="JH59">
        <v>517.79200000000003</v>
      </c>
      <c r="JI59">
        <v>448.42899999999997</v>
      </c>
      <c r="JJ59">
        <v>27.047999999999998</v>
      </c>
      <c r="JK59">
        <v>32.141500000000001</v>
      </c>
      <c r="JL59">
        <v>30.000499999999999</v>
      </c>
      <c r="JM59">
        <v>32.2303</v>
      </c>
      <c r="JN59">
        <v>32.245199999999997</v>
      </c>
      <c r="JO59">
        <v>40.073500000000003</v>
      </c>
      <c r="JP59">
        <v>46.002400000000002</v>
      </c>
      <c r="JQ59">
        <v>0</v>
      </c>
      <c r="JR59">
        <v>27.0486</v>
      </c>
      <c r="JS59">
        <v>900</v>
      </c>
      <c r="JT59">
        <v>21.925699999999999</v>
      </c>
      <c r="JU59">
        <v>99.780199999999994</v>
      </c>
      <c r="JV59">
        <v>99.461699999999993</v>
      </c>
    </row>
    <row r="60" spans="1:282" x14ac:dyDescent="0.25">
      <c r="A60">
        <v>44</v>
      </c>
      <c r="B60">
        <v>1689006583.5999999</v>
      </c>
      <c r="C60">
        <v>6988.5</v>
      </c>
      <c r="D60" t="s">
        <v>643</v>
      </c>
      <c r="E60" t="s">
        <v>644</v>
      </c>
      <c r="F60" t="s">
        <v>414</v>
      </c>
      <c r="G60" t="s">
        <v>415</v>
      </c>
      <c r="H60" t="s">
        <v>577</v>
      </c>
      <c r="I60" t="s">
        <v>416</v>
      </c>
      <c r="J60" t="s">
        <v>578</v>
      </c>
      <c r="K60">
        <v>1689006583.5999999</v>
      </c>
      <c r="L60">
        <f t="shared" si="46"/>
        <v>4.5755494518850137E-3</v>
      </c>
      <c r="M60">
        <f t="shared" si="47"/>
        <v>4.5755494518850135</v>
      </c>
      <c r="N60">
        <f t="shared" si="48"/>
        <v>62.134951587150063</v>
      </c>
      <c r="O60">
        <f t="shared" si="49"/>
        <v>1119.26</v>
      </c>
      <c r="P60">
        <f t="shared" si="50"/>
        <v>754.37508331407537</v>
      </c>
      <c r="Q60">
        <f t="shared" si="51"/>
        <v>74.915529808134607</v>
      </c>
      <c r="R60">
        <f t="shared" si="52"/>
        <v>111.1515448319</v>
      </c>
      <c r="S60">
        <f t="shared" si="53"/>
        <v>0.30572970158366702</v>
      </c>
      <c r="T60">
        <f t="shared" si="54"/>
        <v>2.9149625067220586</v>
      </c>
      <c r="U60">
        <f t="shared" si="55"/>
        <v>0.28896708069295246</v>
      </c>
      <c r="V60">
        <f t="shared" si="56"/>
        <v>0.18203385105547543</v>
      </c>
      <c r="W60">
        <f t="shared" si="57"/>
        <v>289.58620057704235</v>
      </c>
      <c r="X60">
        <f t="shared" si="58"/>
        <v>30.419063029467594</v>
      </c>
      <c r="Y60">
        <f t="shared" si="59"/>
        <v>30.0398</v>
      </c>
      <c r="Z60">
        <f t="shared" si="60"/>
        <v>4.2701992065501528</v>
      </c>
      <c r="AA60">
        <f t="shared" si="61"/>
        <v>64.998493888779066</v>
      </c>
      <c r="AB60">
        <f t="shared" si="62"/>
        <v>2.7533458945445002</v>
      </c>
      <c r="AC60">
        <f t="shared" si="63"/>
        <v>4.2360149132929692</v>
      </c>
      <c r="AD60">
        <f t="shared" si="64"/>
        <v>1.5168533120056527</v>
      </c>
      <c r="AE60">
        <f t="shared" si="65"/>
        <v>-201.7817308281291</v>
      </c>
      <c r="AF60">
        <f t="shared" si="66"/>
        <v>-21.985489066869832</v>
      </c>
      <c r="AG60">
        <f t="shared" si="67"/>
        <v>-1.6765350006135928</v>
      </c>
      <c r="AH60">
        <f t="shared" si="68"/>
        <v>64.142445681429848</v>
      </c>
      <c r="AI60">
        <v>0</v>
      </c>
      <c r="AJ60">
        <v>0</v>
      </c>
      <c r="AK60">
        <f t="shared" si="69"/>
        <v>1</v>
      </c>
      <c r="AL60">
        <f t="shared" si="70"/>
        <v>0</v>
      </c>
      <c r="AM60">
        <f t="shared" si="71"/>
        <v>51937.470424408923</v>
      </c>
      <c r="AN60" t="s">
        <v>418</v>
      </c>
      <c r="AO60">
        <v>10021</v>
      </c>
      <c r="AP60">
        <v>177.53923076923081</v>
      </c>
      <c r="AQ60">
        <v>655.56</v>
      </c>
      <c r="AR60">
        <f t="shared" si="72"/>
        <v>0.72917928066198234</v>
      </c>
      <c r="AS60">
        <v>-3.1115002560329539</v>
      </c>
      <c r="AT60" t="s">
        <v>645</v>
      </c>
      <c r="AU60">
        <v>8020.49</v>
      </c>
      <c r="AV60">
        <v>745.27743999999996</v>
      </c>
      <c r="AW60">
        <v>1243.1890183808871</v>
      </c>
      <c r="AX60">
        <f t="shared" si="73"/>
        <v>0.40051156422646061</v>
      </c>
      <c r="AY60">
        <v>0.5</v>
      </c>
      <c r="AZ60">
        <f t="shared" si="74"/>
        <v>1513.2857992627162</v>
      </c>
      <c r="BA60">
        <f t="shared" si="75"/>
        <v>62.134951587150063</v>
      </c>
      <c r="BB60">
        <f t="shared" si="76"/>
        <v>303.0442312922001</v>
      </c>
      <c r="BC60">
        <f t="shared" si="77"/>
        <v>4.3115749764500236E-2</v>
      </c>
      <c r="BD60">
        <f t="shared" si="78"/>
        <v>-0.47267873967082447</v>
      </c>
      <c r="BE60">
        <f t="shared" si="79"/>
        <v>203.60264950027505</v>
      </c>
      <c r="BF60" t="s">
        <v>646</v>
      </c>
      <c r="BG60">
        <v>572.63</v>
      </c>
      <c r="BH60">
        <f t="shared" si="80"/>
        <v>572.63</v>
      </c>
      <c r="BI60">
        <f t="shared" si="81"/>
        <v>0.53938621437809542</v>
      </c>
      <c r="BJ60">
        <f t="shared" si="82"/>
        <v>0.74253207358709516</v>
      </c>
      <c r="BK60">
        <f t="shared" si="83"/>
        <v>-7.0858437040984867</v>
      </c>
      <c r="BL60">
        <f t="shared" si="84"/>
        <v>0.46723753353980479</v>
      </c>
      <c r="BM60">
        <f t="shared" si="85"/>
        <v>-1.2292959975912754</v>
      </c>
      <c r="BN60">
        <f t="shared" si="86"/>
        <v>0.57052061216045713</v>
      </c>
      <c r="BO60">
        <f t="shared" si="87"/>
        <v>0.42947938783954287</v>
      </c>
      <c r="BP60">
        <v>22553</v>
      </c>
      <c r="BQ60">
        <v>290.00000000000011</v>
      </c>
      <c r="BR60">
        <v>1078.9100000000001</v>
      </c>
      <c r="BS60">
        <v>295</v>
      </c>
      <c r="BT60">
        <v>8020.49</v>
      </c>
      <c r="BU60">
        <v>1082.71</v>
      </c>
      <c r="BV60">
        <v>-3.8</v>
      </c>
      <c r="BW60">
        <v>300.00000000000011</v>
      </c>
      <c r="BX60">
        <v>19.399999999999999</v>
      </c>
      <c r="BY60">
        <v>1243.1890183808871</v>
      </c>
      <c r="BZ60">
        <v>5.0118379053736897</v>
      </c>
      <c r="CA60">
        <v>-128.71451537223689</v>
      </c>
      <c r="CB60">
        <v>3.69254350863</v>
      </c>
      <c r="CC60">
        <v>0.97747524937421104</v>
      </c>
      <c r="CD60">
        <v>-4.1419893214683064E-3</v>
      </c>
      <c r="CE60">
        <v>289.99999999999989</v>
      </c>
      <c r="CF60">
        <v>1077.68</v>
      </c>
      <c r="CG60">
        <v>645</v>
      </c>
      <c r="CH60">
        <v>8010.95</v>
      </c>
      <c r="CI60">
        <v>1082.52</v>
      </c>
      <c r="CJ60">
        <v>-4.84</v>
      </c>
      <c r="CX60">
        <f t="shared" si="88"/>
        <v>1800.12</v>
      </c>
      <c r="CY60">
        <f t="shared" si="89"/>
        <v>1513.2857992627162</v>
      </c>
      <c r="CZ60">
        <f t="shared" si="90"/>
        <v>0.84065828903779538</v>
      </c>
      <c r="DA60">
        <f t="shared" si="91"/>
        <v>0.16087049784294513</v>
      </c>
      <c r="DB60">
        <v>6</v>
      </c>
      <c r="DC60">
        <v>0.5</v>
      </c>
      <c r="DD60" t="s">
        <v>421</v>
      </c>
      <c r="DE60">
        <v>2</v>
      </c>
      <c r="DF60">
        <v>1689006583.5999999</v>
      </c>
      <c r="DG60">
        <v>1119.26</v>
      </c>
      <c r="DH60">
        <v>1199.97</v>
      </c>
      <c r="DI60">
        <v>27.725300000000001</v>
      </c>
      <c r="DJ60">
        <v>22.386700000000001</v>
      </c>
      <c r="DK60">
        <v>1118.08</v>
      </c>
      <c r="DL60">
        <v>27.453099999999999</v>
      </c>
      <c r="DM60">
        <v>499.98399999999998</v>
      </c>
      <c r="DN60">
        <v>99.207999999999998</v>
      </c>
      <c r="DO60">
        <v>0.100065</v>
      </c>
      <c r="DP60">
        <v>29.899899999999999</v>
      </c>
      <c r="DQ60">
        <v>30.0398</v>
      </c>
      <c r="DR60">
        <v>999.9</v>
      </c>
      <c r="DS60">
        <v>0</v>
      </c>
      <c r="DT60">
        <v>0</v>
      </c>
      <c r="DU60">
        <v>9996.25</v>
      </c>
      <c r="DV60">
        <v>0</v>
      </c>
      <c r="DW60">
        <v>1777.45</v>
      </c>
      <c r="DX60">
        <v>-80.713399999999993</v>
      </c>
      <c r="DY60">
        <v>1151.17</v>
      </c>
      <c r="DZ60">
        <v>1227.45</v>
      </c>
      <c r="EA60">
        <v>5.3385899999999999</v>
      </c>
      <c r="EB60">
        <v>1199.97</v>
      </c>
      <c r="EC60">
        <v>22.386700000000001</v>
      </c>
      <c r="ED60">
        <v>2.7505700000000002</v>
      </c>
      <c r="EE60">
        <v>2.2209400000000001</v>
      </c>
      <c r="EF60">
        <v>22.590399999999999</v>
      </c>
      <c r="EG60">
        <v>19.1142</v>
      </c>
      <c r="EH60">
        <v>1800.12</v>
      </c>
      <c r="EI60">
        <v>0.97799499999999995</v>
      </c>
      <c r="EJ60">
        <v>2.2004800000000001E-2</v>
      </c>
      <c r="EK60">
        <v>0</v>
      </c>
      <c r="EL60">
        <v>744.85400000000004</v>
      </c>
      <c r="EM60">
        <v>5.0011200000000002</v>
      </c>
      <c r="EN60">
        <v>15036.9</v>
      </c>
      <c r="EO60">
        <v>17212</v>
      </c>
      <c r="EP60">
        <v>48</v>
      </c>
      <c r="EQ60">
        <v>49.875</v>
      </c>
      <c r="ER60">
        <v>49.125</v>
      </c>
      <c r="ES60">
        <v>48.436999999999998</v>
      </c>
      <c r="ET60">
        <v>48.311999999999998</v>
      </c>
      <c r="EU60">
        <v>1755.62</v>
      </c>
      <c r="EV60">
        <v>39.5</v>
      </c>
      <c r="EW60">
        <v>0</v>
      </c>
      <c r="EX60">
        <v>160.79999995231631</v>
      </c>
      <c r="EY60">
        <v>0</v>
      </c>
      <c r="EZ60">
        <v>745.27743999999996</v>
      </c>
      <c r="FA60">
        <v>-1.7243846354726391</v>
      </c>
      <c r="FB60">
        <v>-19.46153855336274</v>
      </c>
      <c r="FC60">
        <v>15038.224</v>
      </c>
      <c r="FD60">
        <v>15</v>
      </c>
      <c r="FE60">
        <v>1689006496.0999999</v>
      </c>
      <c r="FF60" t="s">
        <v>647</v>
      </c>
      <c r="FG60">
        <v>1689006496.0999999</v>
      </c>
      <c r="FH60">
        <v>1689006494.5999999</v>
      </c>
      <c r="FI60">
        <v>48</v>
      </c>
      <c r="FJ60">
        <v>-0.186</v>
      </c>
      <c r="FK60">
        <v>0</v>
      </c>
      <c r="FL60">
        <v>1.2150000000000001</v>
      </c>
      <c r="FM60">
        <v>0.27200000000000002</v>
      </c>
      <c r="FN60">
        <v>1200</v>
      </c>
      <c r="FO60">
        <v>22</v>
      </c>
      <c r="FP60">
        <v>0.06</v>
      </c>
      <c r="FQ60">
        <v>0.03</v>
      </c>
      <c r="FR60">
        <v>62.235934753332558</v>
      </c>
      <c r="FS60">
        <v>-0.46188931023271501</v>
      </c>
      <c r="FT60">
        <v>0.1701188429191898</v>
      </c>
      <c r="FU60">
        <v>1</v>
      </c>
      <c r="FV60">
        <v>0.30804430380060482</v>
      </c>
      <c r="FW60">
        <v>-1.938440190519209E-2</v>
      </c>
      <c r="FX60">
        <v>1.405571310056994E-3</v>
      </c>
      <c r="FY60">
        <v>1</v>
      </c>
      <c r="FZ60">
        <v>2</v>
      </c>
      <c r="GA60">
        <v>2</v>
      </c>
      <c r="GB60" t="s">
        <v>423</v>
      </c>
      <c r="GC60">
        <v>2.92611</v>
      </c>
      <c r="GD60">
        <v>2.8273299999999999</v>
      </c>
      <c r="GE60">
        <v>0.180699</v>
      </c>
      <c r="GF60">
        <v>0.18931000000000001</v>
      </c>
      <c r="GG60">
        <v>0.124164</v>
      </c>
      <c r="GH60">
        <v>0.10750999999999999</v>
      </c>
      <c r="GI60">
        <v>26796</v>
      </c>
      <c r="GJ60">
        <v>21498.1</v>
      </c>
      <c r="GK60">
        <v>31472.3</v>
      </c>
      <c r="GL60">
        <v>26155.9</v>
      </c>
      <c r="GM60">
        <v>37788.9</v>
      </c>
      <c r="GN60">
        <v>31662.5</v>
      </c>
      <c r="GO60">
        <v>46741.1</v>
      </c>
      <c r="GP60">
        <v>38028.1</v>
      </c>
      <c r="GQ60">
        <v>1.93455</v>
      </c>
      <c r="GR60">
        <v>1.7549300000000001</v>
      </c>
      <c r="GS60">
        <v>1.9669499999999999E-2</v>
      </c>
      <c r="GT60">
        <v>0</v>
      </c>
      <c r="GU60">
        <v>29.7196</v>
      </c>
      <c r="GV60">
        <v>999.9</v>
      </c>
      <c r="GW60">
        <v>38.799999999999997</v>
      </c>
      <c r="GX60">
        <v>43.8</v>
      </c>
      <c r="GY60">
        <v>35.422800000000002</v>
      </c>
      <c r="GZ60">
        <v>62.341200000000001</v>
      </c>
      <c r="HA60">
        <v>22.4679</v>
      </c>
      <c r="HB60">
        <v>1</v>
      </c>
      <c r="HC60">
        <v>0.39896900000000002</v>
      </c>
      <c r="HD60">
        <v>2.6276799999999998</v>
      </c>
      <c r="HE60">
        <v>20.277000000000001</v>
      </c>
      <c r="HF60">
        <v>5.2241799999999996</v>
      </c>
      <c r="HG60">
        <v>12.058</v>
      </c>
      <c r="HH60">
        <v>4.9917999999999996</v>
      </c>
      <c r="HI60">
        <v>3.2919999999999998</v>
      </c>
      <c r="HJ60">
        <v>9999</v>
      </c>
      <c r="HK60">
        <v>9999</v>
      </c>
      <c r="HL60">
        <v>9999</v>
      </c>
      <c r="HM60">
        <v>462.9</v>
      </c>
      <c r="HN60">
        <v>1.8669100000000001</v>
      </c>
      <c r="HO60">
        <v>1.8702700000000001</v>
      </c>
      <c r="HP60">
        <v>1.8729199999999999</v>
      </c>
      <c r="HQ60">
        <v>1.87384</v>
      </c>
      <c r="HR60">
        <v>1.8705700000000001</v>
      </c>
      <c r="HS60">
        <v>1.8689499999999999</v>
      </c>
      <c r="HT60">
        <v>1.87042</v>
      </c>
      <c r="HU60">
        <v>1.8734299999999999</v>
      </c>
      <c r="HV60">
        <v>0</v>
      </c>
      <c r="HW60">
        <v>0</v>
      </c>
      <c r="HX60">
        <v>0</v>
      </c>
      <c r="HY60">
        <v>0</v>
      </c>
      <c r="HZ60" t="s">
        <v>424</v>
      </c>
      <c r="IA60" t="s">
        <v>425</v>
      </c>
      <c r="IB60" t="s">
        <v>426</v>
      </c>
      <c r="IC60" t="s">
        <v>426</v>
      </c>
      <c r="ID60" t="s">
        <v>426</v>
      </c>
      <c r="IE60" t="s">
        <v>426</v>
      </c>
      <c r="IF60">
        <v>0</v>
      </c>
      <c r="IG60">
        <v>100</v>
      </c>
      <c r="IH60">
        <v>100</v>
      </c>
      <c r="II60">
        <v>1.18</v>
      </c>
      <c r="IJ60">
        <v>0.2722</v>
      </c>
      <c r="IK60">
        <v>-0.22787355341029439</v>
      </c>
      <c r="IL60">
        <v>3.042515301972944E-3</v>
      </c>
      <c r="IM60">
        <v>-2.5091471490852929E-6</v>
      </c>
      <c r="IN60">
        <v>8.1339755115576286E-10</v>
      </c>
      <c r="IO60">
        <v>0.27223809523809811</v>
      </c>
      <c r="IP60">
        <v>0</v>
      </c>
      <c r="IQ60">
        <v>0</v>
      </c>
      <c r="IR60">
        <v>0</v>
      </c>
      <c r="IS60">
        <v>3</v>
      </c>
      <c r="IT60">
        <v>2004</v>
      </c>
      <c r="IU60">
        <v>2</v>
      </c>
      <c r="IV60">
        <v>22</v>
      </c>
      <c r="IW60">
        <v>1.5</v>
      </c>
      <c r="IX60">
        <v>1.5</v>
      </c>
      <c r="IY60">
        <v>2.5390600000000001</v>
      </c>
      <c r="IZ60">
        <v>2.5915499999999998</v>
      </c>
      <c r="JA60">
        <v>1.64917</v>
      </c>
      <c r="JB60">
        <v>2.33765</v>
      </c>
      <c r="JC60">
        <v>1.5991200000000001</v>
      </c>
      <c r="JD60">
        <v>2.2875999999999999</v>
      </c>
      <c r="JE60">
        <v>47.212299999999999</v>
      </c>
      <c r="JF60">
        <v>24.1313</v>
      </c>
      <c r="JG60">
        <v>18</v>
      </c>
      <c r="JH60">
        <v>517.41600000000005</v>
      </c>
      <c r="JI60">
        <v>448.74700000000001</v>
      </c>
      <c r="JJ60">
        <v>26.824200000000001</v>
      </c>
      <c r="JK60">
        <v>32.255899999999997</v>
      </c>
      <c r="JL60">
        <v>30.000599999999999</v>
      </c>
      <c r="JM60">
        <v>32.329900000000002</v>
      </c>
      <c r="JN60">
        <v>32.344099999999997</v>
      </c>
      <c r="JO60">
        <v>50.810400000000001</v>
      </c>
      <c r="JP60">
        <v>44.323500000000003</v>
      </c>
      <c r="JQ60">
        <v>0</v>
      </c>
      <c r="JR60">
        <v>26.780200000000001</v>
      </c>
      <c r="JS60">
        <v>1200</v>
      </c>
      <c r="JT60">
        <v>22.480699999999999</v>
      </c>
      <c r="JU60">
        <v>99.756500000000003</v>
      </c>
      <c r="JV60">
        <v>99.446600000000004</v>
      </c>
    </row>
    <row r="61" spans="1:282" x14ac:dyDescent="0.25">
      <c r="A61">
        <v>45</v>
      </c>
      <c r="B61">
        <v>1689006694.0999999</v>
      </c>
      <c r="C61">
        <v>7099</v>
      </c>
      <c r="D61" t="s">
        <v>648</v>
      </c>
      <c r="E61" t="s">
        <v>649</v>
      </c>
      <c r="F61" t="s">
        <v>414</v>
      </c>
      <c r="G61" t="s">
        <v>415</v>
      </c>
      <c r="H61" t="s">
        <v>577</v>
      </c>
      <c r="I61" t="s">
        <v>416</v>
      </c>
      <c r="J61" t="s">
        <v>578</v>
      </c>
      <c r="K61">
        <v>1689006694.0999999</v>
      </c>
      <c r="L61">
        <f t="shared" si="46"/>
        <v>4.352322152608579E-3</v>
      </c>
      <c r="M61">
        <f t="shared" si="47"/>
        <v>4.3523221526085791</v>
      </c>
      <c r="N61">
        <f t="shared" si="48"/>
        <v>61.487213042988635</v>
      </c>
      <c r="O61">
        <f t="shared" si="49"/>
        <v>1418.78</v>
      </c>
      <c r="P61">
        <f t="shared" si="50"/>
        <v>1035.0308915660837</v>
      </c>
      <c r="Q61">
        <f t="shared" si="51"/>
        <v>102.78704464252021</v>
      </c>
      <c r="R61">
        <f t="shared" si="52"/>
        <v>140.89647409195598</v>
      </c>
      <c r="S61">
        <f t="shared" si="53"/>
        <v>0.29185500359666017</v>
      </c>
      <c r="T61">
        <f t="shared" si="54"/>
        <v>2.9138772392528667</v>
      </c>
      <c r="U61">
        <f t="shared" si="55"/>
        <v>0.27653300207319614</v>
      </c>
      <c r="V61">
        <f t="shared" si="56"/>
        <v>0.17414268678446782</v>
      </c>
      <c r="W61">
        <f t="shared" si="57"/>
        <v>289.57662457699496</v>
      </c>
      <c r="X61">
        <f t="shared" si="58"/>
        <v>30.36935668909712</v>
      </c>
      <c r="Y61">
        <f t="shared" si="59"/>
        <v>29.966000000000001</v>
      </c>
      <c r="Z61">
        <f t="shared" si="60"/>
        <v>4.2521364803332258</v>
      </c>
      <c r="AA61">
        <f t="shared" si="61"/>
        <v>65.186381959323967</v>
      </c>
      <c r="AB61">
        <f t="shared" si="62"/>
        <v>2.7441931506156196</v>
      </c>
      <c r="AC61">
        <f t="shared" si="63"/>
        <v>4.2097644755433503</v>
      </c>
      <c r="AD61">
        <f t="shared" si="64"/>
        <v>1.5079433297176061</v>
      </c>
      <c r="AE61">
        <f t="shared" si="65"/>
        <v>-191.93740693003832</v>
      </c>
      <c r="AF61">
        <f t="shared" si="66"/>
        <v>-27.365591841677421</v>
      </c>
      <c r="AG61">
        <f t="shared" si="67"/>
        <v>-2.0857002624918208</v>
      </c>
      <c r="AH61">
        <f t="shared" si="68"/>
        <v>68.187925542787411</v>
      </c>
      <c r="AI61">
        <v>0</v>
      </c>
      <c r="AJ61">
        <v>0</v>
      </c>
      <c r="AK61">
        <f t="shared" si="69"/>
        <v>1</v>
      </c>
      <c r="AL61">
        <f t="shared" si="70"/>
        <v>0</v>
      </c>
      <c r="AM61">
        <f t="shared" si="71"/>
        <v>51925.111640205963</v>
      </c>
      <c r="AN61" t="s">
        <v>418</v>
      </c>
      <c r="AO61">
        <v>10021</v>
      </c>
      <c r="AP61">
        <v>177.53923076923081</v>
      </c>
      <c r="AQ61">
        <v>655.56</v>
      </c>
      <c r="AR61">
        <f t="shared" si="72"/>
        <v>0.72917928066198234</v>
      </c>
      <c r="AS61">
        <v>-3.1115002560329539</v>
      </c>
      <c r="AT61" t="s">
        <v>650</v>
      </c>
      <c r="AU61">
        <v>8020.7</v>
      </c>
      <c r="AV61">
        <v>744.90361538461525</v>
      </c>
      <c r="AW61">
        <v>1247.380653790126</v>
      </c>
      <c r="AX61">
        <f t="shared" si="73"/>
        <v>0.40282574279050298</v>
      </c>
      <c r="AY61">
        <v>0.5</v>
      </c>
      <c r="AZ61">
        <f t="shared" si="74"/>
        <v>1513.2353992626918</v>
      </c>
      <c r="BA61">
        <f t="shared" si="75"/>
        <v>61.487213042988635</v>
      </c>
      <c r="BB61">
        <f t="shared" si="76"/>
        <v>304.78508686243856</v>
      </c>
      <c r="BC61">
        <f t="shared" si="77"/>
        <v>4.268913701760918E-2</v>
      </c>
      <c r="BD61">
        <f t="shared" si="78"/>
        <v>-0.47445072359579893</v>
      </c>
      <c r="BE61">
        <f t="shared" si="79"/>
        <v>203.71476179887733</v>
      </c>
      <c r="BF61" t="s">
        <v>651</v>
      </c>
      <c r="BG61">
        <v>571.21</v>
      </c>
      <c r="BH61">
        <f t="shared" si="80"/>
        <v>571.21</v>
      </c>
      <c r="BI61">
        <f t="shared" si="81"/>
        <v>0.54207242331008032</v>
      </c>
      <c r="BJ61">
        <f t="shared" si="82"/>
        <v>0.74312163000418041</v>
      </c>
      <c r="BK61">
        <f t="shared" si="83"/>
        <v>-7.0162496003571624</v>
      </c>
      <c r="BL61">
        <f t="shared" si="84"/>
        <v>0.46967431583147518</v>
      </c>
      <c r="BM61">
        <f t="shared" si="85"/>
        <v>-1.2380647283223354</v>
      </c>
      <c r="BN61">
        <f t="shared" si="86"/>
        <v>0.56984353077077954</v>
      </c>
      <c r="BO61">
        <f t="shared" si="87"/>
        <v>0.43015646922922046</v>
      </c>
      <c r="BP61">
        <v>22555</v>
      </c>
      <c r="BQ61">
        <v>290.00000000000011</v>
      </c>
      <c r="BR61">
        <v>1080.8699999999999</v>
      </c>
      <c r="BS61">
        <v>275</v>
      </c>
      <c r="BT61">
        <v>8020.7</v>
      </c>
      <c r="BU61">
        <v>1084.45</v>
      </c>
      <c r="BV61">
        <v>-3.58</v>
      </c>
      <c r="BW61">
        <v>300.00000000000011</v>
      </c>
      <c r="BX61">
        <v>19.399999999999999</v>
      </c>
      <c r="BY61">
        <v>1247.380653790126</v>
      </c>
      <c r="BZ61">
        <v>5.0452868732705456</v>
      </c>
      <c r="CA61">
        <v>-130.68213137978901</v>
      </c>
      <c r="CB61">
        <v>3.7170092971503221</v>
      </c>
      <c r="CC61">
        <v>0.9778494305718004</v>
      </c>
      <c r="CD61">
        <v>-4.1417766407119043E-3</v>
      </c>
      <c r="CE61">
        <v>289.99999999999989</v>
      </c>
      <c r="CF61">
        <v>1079.8900000000001</v>
      </c>
      <c r="CG61">
        <v>635</v>
      </c>
      <c r="CH61">
        <v>8010.89</v>
      </c>
      <c r="CI61">
        <v>1084.25</v>
      </c>
      <c r="CJ61">
        <v>-4.3600000000000003</v>
      </c>
      <c r="CX61">
        <f t="shared" si="88"/>
        <v>1800.06</v>
      </c>
      <c r="CY61">
        <f t="shared" si="89"/>
        <v>1513.2353992626918</v>
      </c>
      <c r="CZ61">
        <f t="shared" si="90"/>
        <v>0.84065831098001831</v>
      </c>
      <c r="DA61">
        <f t="shared" si="91"/>
        <v>0.16087054019143526</v>
      </c>
      <c r="DB61">
        <v>6</v>
      </c>
      <c r="DC61">
        <v>0.5</v>
      </c>
      <c r="DD61" t="s">
        <v>421</v>
      </c>
      <c r="DE61">
        <v>2</v>
      </c>
      <c r="DF61">
        <v>1689006694.0999999</v>
      </c>
      <c r="DG61">
        <v>1418.78</v>
      </c>
      <c r="DH61">
        <v>1499.98</v>
      </c>
      <c r="DI61">
        <v>27.633099999999999</v>
      </c>
      <c r="DJ61">
        <v>22.554300000000001</v>
      </c>
      <c r="DK61">
        <v>1417.31</v>
      </c>
      <c r="DL61">
        <v>27.3553</v>
      </c>
      <c r="DM61">
        <v>499.96699999999998</v>
      </c>
      <c r="DN61">
        <v>99.208500000000001</v>
      </c>
      <c r="DO61">
        <v>9.9690200000000007E-2</v>
      </c>
      <c r="DP61">
        <v>29.791799999999999</v>
      </c>
      <c r="DQ61">
        <v>29.966000000000001</v>
      </c>
      <c r="DR61">
        <v>999.9</v>
      </c>
      <c r="DS61">
        <v>0</v>
      </c>
      <c r="DT61">
        <v>0</v>
      </c>
      <c r="DU61">
        <v>9990</v>
      </c>
      <c r="DV61">
        <v>0</v>
      </c>
      <c r="DW61">
        <v>1806.17</v>
      </c>
      <c r="DX61">
        <v>-81.195400000000006</v>
      </c>
      <c r="DY61">
        <v>1459.1</v>
      </c>
      <c r="DZ61">
        <v>1534.59</v>
      </c>
      <c r="EA61">
        <v>5.0787300000000002</v>
      </c>
      <c r="EB61">
        <v>1499.98</v>
      </c>
      <c r="EC61">
        <v>22.554300000000001</v>
      </c>
      <c r="ED61">
        <v>2.7414399999999999</v>
      </c>
      <c r="EE61">
        <v>2.2375799999999999</v>
      </c>
      <c r="EF61">
        <v>22.535599999999999</v>
      </c>
      <c r="EG61">
        <v>19.234000000000002</v>
      </c>
      <c r="EH61">
        <v>1800.06</v>
      </c>
      <c r="EI61">
        <v>0.97799499999999995</v>
      </c>
      <c r="EJ61">
        <v>2.2004800000000001E-2</v>
      </c>
      <c r="EK61">
        <v>0</v>
      </c>
      <c r="EL61">
        <v>744.92100000000005</v>
      </c>
      <c r="EM61">
        <v>5.0011200000000002</v>
      </c>
      <c r="EN61">
        <v>15055.3</v>
      </c>
      <c r="EO61">
        <v>17211.400000000001</v>
      </c>
      <c r="EP61">
        <v>48.125</v>
      </c>
      <c r="EQ61">
        <v>49.936999999999998</v>
      </c>
      <c r="ER61">
        <v>49.311999999999998</v>
      </c>
      <c r="ES61">
        <v>48.5</v>
      </c>
      <c r="ET61">
        <v>48.875</v>
      </c>
      <c r="EU61">
        <v>1755.56</v>
      </c>
      <c r="EV61">
        <v>39.5</v>
      </c>
      <c r="EW61">
        <v>0</v>
      </c>
      <c r="EX61">
        <v>108.6000001430511</v>
      </c>
      <c r="EY61">
        <v>0</v>
      </c>
      <c r="EZ61">
        <v>744.90361538461525</v>
      </c>
      <c r="FA61">
        <v>-2.172854692802392</v>
      </c>
      <c r="FB61">
        <v>-12.29401704686137</v>
      </c>
      <c r="FC61">
        <v>15057.36153846154</v>
      </c>
      <c r="FD61">
        <v>15</v>
      </c>
      <c r="FE61">
        <v>1689006660.0999999</v>
      </c>
      <c r="FF61" t="s">
        <v>652</v>
      </c>
      <c r="FG61">
        <v>1689006660.0999999</v>
      </c>
      <c r="FH61">
        <v>1689006652.0999999</v>
      </c>
      <c r="FI61">
        <v>49</v>
      </c>
      <c r="FJ61">
        <v>0.114</v>
      </c>
      <c r="FK61">
        <v>5.0000000000000001E-3</v>
      </c>
      <c r="FL61">
        <v>1.5489999999999999</v>
      </c>
      <c r="FM61">
        <v>0.27800000000000002</v>
      </c>
      <c r="FN61">
        <v>1500</v>
      </c>
      <c r="FO61">
        <v>22</v>
      </c>
      <c r="FP61">
        <v>0.09</v>
      </c>
      <c r="FQ61">
        <v>0.03</v>
      </c>
      <c r="FR61">
        <v>61.561035055520108</v>
      </c>
      <c r="FS61">
        <v>-0.28966652874823412</v>
      </c>
      <c r="FT61">
        <v>0.18346030342201</v>
      </c>
      <c r="FU61">
        <v>1</v>
      </c>
      <c r="FV61">
        <v>0.29744767413539269</v>
      </c>
      <c r="FW61">
        <v>5.0385510153181413E-3</v>
      </c>
      <c r="FX61">
        <v>1.1812160395646891E-3</v>
      </c>
      <c r="FY61">
        <v>1</v>
      </c>
      <c r="FZ61">
        <v>2</v>
      </c>
      <c r="GA61">
        <v>2</v>
      </c>
      <c r="GB61" t="s">
        <v>423</v>
      </c>
      <c r="GC61">
        <v>2.9260000000000002</v>
      </c>
      <c r="GD61">
        <v>2.8269000000000002</v>
      </c>
      <c r="GE61">
        <v>0.209341</v>
      </c>
      <c r="GF61">
        <v>0.21701999999999999</v>
      </c>
      <c r="GG61">
        <v>0.12384199999999999</v>
      </c>
      <c r="GH61">
        <v>0.10806200000000001</v>
      </c>
      <c r="GI61">
        <v>25854.799999999999</v>
      </c>
      <c r="GJ61">
        <v>20758.400000000001</v>
      </c>
      <c r="GK61">
        <v>31469.599999999999</v>
      </c>
      <c r="GL61">
        <v>26151.9</v>
      </c>
      <c r="GM61">
        <v>37800</v>
      </c>
      <c r="GN61">
        <v>31639.200000000001</v>
      </c>
      <c r="GO61">
        <v>46736.800000000003</v>
      </c>
      <c r="GP61">
        <v>38023.1</v>
      </c>
      <c r="GQ61">
        <v>1.93353</v>
      </c>
      <c r="GR61">
        <v>1.75502</v>
      </c>
      <c r="GS61">
        <v>1.5739400000000001E-2</v>
      </c>
      <c r="GT61">
        <v>0</v>
      </c>
      <c r="GU61">
        <v>29.709800000000001</v>
      </c>
      <c r="GV61">
        <v>999.9</v>
      </c>
      <c r="GW61">
        <v>38.9</v>
      </c>
      <c r="GX61">
        <v>43.8</v>
      </c>
      <c r="GY61">
        <v>35.517499999999998</v>
      </c>
      <c r="GZ61">
        <v>62.461199999999998</v>
      </c>
      <c r="HA61">
        <v>22.411899999999999</v>
      </c>
      <c r="HB61">
        <v>1</v>
      </c>
      <c r="HC61">
        <v>0.40179599999999999</v>
      </c>
      <c r="HD61">
        <v>2.2702800000000001</v>
      </c>
      <c r="HE61">
        <v>20.281199999999998</v>
      </c>
      <c r="HF61">
        <v>5.2229799999999997</v>
      </c>
      <c r="HG61">
        <v>12.0579</v>
      </c>
      <c r="HH61">
        <v>4.9919000000000002</v>
      </c>
      <c r="HI61">
        <v>3.2913299999999999</v>
      </c>
      <c r="HJ61">
        <v>9999</v>
      </c>
      <c r="HK61">
        <v>9999</v>
      </c>
      <c r="HL61">
        <v>9999</v>
      </c>
      <c r="HM61">
        <v>463</v>
      </c>
      <c r="HN61">
        <v>1.8668800000000001</v>
      </c>
      <c r="HO61">
        <v>1.8702700000000001</v>
      </c>
      <c r="HP61">
        <v>1.8728899999999999</v>
      </c>
      <c r="HQ61">
        <v>1.8737900000000001</v>
      </c>
      <c r="HR61">
        <v>1.8705700000000001</v>
      </c>
      <c r="HS61">
        <v>1.86896</v>
      </c>
      <c r="HT61">
        <v>1.87043</v>
      </c>
      <c r="HU61">
        <v>1.8734299999999999</v>
      </c>
      <c r="HV61">
        <v>0</v>
      </c>
      <c r="HW61">
        <v>0</v>
      </c>
      <c r="HX61">
        <v>0</v>
      </c>
      <c r="HY61">
        <v>0</v>
      </c>
      <c r="HZ61" t="s">
        <v>424</v>
      </c>
      <c r="IA61" t="s">
        <v>425</v>
      </c>
      <c r="IB61" t="s">
        <v>426</v>
      </c>
      <c r="IC61" t="s">
        <v>426</v>
      </c>
      <c r="ID61" t="s">
        <v>426</v>
      </c>
      <c r="IE61" t="s">
        <v>426</v>
      </c>
      <c r="IF61">
        <v>0</v>
      </c>
      <c r="IG61">
        <v>100</v>
      </c>
      <c r="IH61">
        <v>100</v>
      </c>
      <c r="II61">
        <v>1.47</v>
      </c>
      <c r="IJ61">
        <v>0.27779999999999999</v>
      </c>
      <c r="IK61">
        <v>-0.11240994347668561</v>
      </c>
      <c r="IL61">
        <v>3.042515301972944E-3</v>
      </c>
      <c r="IM61">
        <v>-2.5091471490852929E-6</v>
      </c>
      <c r="IN61">
        <v>8.1339755115576286E-10</v>
      </c>
      <c r="IO61">
        <v>0.27772500000000022</v>
      </c>
      <c r="IP61">
        <v>0</v>
      </c>
      <c r="IQ61">
        <v>0</v>
      </c>
      <c r="IR61">
        <v>0</v>
      </c>
      <c r="IS61">
        <v>3</v>
      </c>
      <c r="IT61">
        <v>2004</v>
      </c>
      <c r="IU61">
        <v>2</v>
      </c>
      <c r="IV61">
        <v>22</v>
      </c>
      <c r="IW61">
        <v>0.6</v>
      </c>
      <c r="IX61">
        <v>0.7</v>
      </c>
      <c r="IY61">
        <v>3.0493199999999998</v>
      </c>
      <c r="IZ61">
        <v>2.5891099999999998</v>
      </c>
      <c r="JA61">
        <v>1.64917</v>
      </c>
      <c r="JB61">
        <v>2.33765</v>
      </c>
      <c r="JC61">
        <v>1.5991200000000001</v>
      </c>
      <c r="JD61">
        <v>2.3144499999999999</v>
      </c>
      <c r="JE61">
        <v>47.122900000000001</v>
      </c>
      <c r="JF61">
        <v>24.1313</v>
      </c>
      <c r="JG61">
        <v>18</v>
      </c>
      <c r="JH61">
        <v>517.20799999999997</v>
      </c>
      <c r="JI61">
        <v>449.233</v>
      </c>
      <c r="JJ61">
        <v>26.755099999999999</v>
      </c>
      <c r="JK61">
        <v>32.313699999999997</v>
      </c>
      <c r="JL61">
        <v>29.9999</v>
      </c>
      <c r="JM61">
        <v>32.3887</v>
      </c>
      <c r="JN61">
        <v>32.399799999999999</v>
      </c>
      <c r="JO61">
        <v>60.996400000000001</v>
      </c>
      <c r="JP61">
        <v>44.026000000000003</v>
      </c>
      <c r="JQ61">
        <v>0</v>
      </c>
      <c r="JR61">
        <v>26.766400000000001</v>
      </c>
      <c r="JS61">
        <v>1500</v>
      </c>
      <c r="JT61">
        <v>22.639299999999999</v>
      </c>
      <c r="JU61">
        <v>99.747399999999999</v>
      </c>
      <c r="JV61">
        <v>99.432599999999994</v>
      </c>
    </row>
    <row r="62" spans="1:282" x14ac:dyDescent="0.25">
      <c r="A62">
        <v>46</v>
      </c>
      <c r="B62">
        <v>1689007713</v>
      </c>
      <c r="C62">
        <v>8117.9000000953674</v>
      </c>
      <c r="D62" t="s">
        <v>653</v>
      </c>
      <c r="E62" t="s">
        <v>654</v>
      </c>
      <c r="F62" t="s">
        <v>414</v>
      </c>
      <c r="G62" t="s">
        <v>415</v>
      </c>
      <c r="H62" t="s">
        <v>655</v>
      </c>
      <c r="I62" t="s">
        <v>416</v>
      </c>
      <c r="J62" t="s">
        <v>656</v>
      </c>
      <c r="K62">
        <v>1689007713</v>
      </c>
      <c r="L62">
        <f t="shared" si="46"/>
        <v>5.9213928732612438E-3</v>
      </c>
      <c r="M62">
        <f t="shared" si="47"/>
        <v>5.9213928732612437</v>
      </c>
      <c r="N62">
        <f t="shared" si="48"/>
        <v>55.988870699411528</v>
      </c>
      <c r="O62">
        <f t="shared" si="49"/>
        <v>330.46600000000001</v>
      </c>
      <c r="P62">
        <f t="shared" si="50"/>
        <v>103.41941714206838</v>
      </c>
      <c r="Q62">
        <f t="shared" si="51"/>
        <v>10.271233879390689</v>
      </c>
      <c r="R62">
        <f t="shared" si="52"/>
        <v>32.820660461893205</v>
      </c>
      <c r="S62">
        <f t="shared" si="53"/>
        <v>0.43186222569443961</v>
      </c>
      <c r="T62">
        <f t="shared" si="54"/>
        <v>2.9188360071879593</v>
      </c>
      <c r="U62">
        <f t="shared" si="55"/>
        <v>0.39924725421570595</v>
      </c>
      <c r="V62">
        <f t="shared" si="56"/>
        <v>0.25225428626550789</v>
      </c>
      <c r="W62">
        <f t="shared" si="57"/>
        <v>289.56226057692385</v>
      </c>
      <c r="X62">
        <f t="shared" si="58"/>
        <v>30.376748011911204</v>
      </c>
      <c r="Y62">
        <f t="shared" si="59"/>
        <v>29.948599999999999</v>
      </c>
      <c r="Z62">
        <f t="shared" si="60"/>
        <v>4.247887502286237</v>
      </c>
      <c r="AA62">
        <f t="shared" si="61"/>
        <v>65.571933011063024</v>
      </c>
      <c r="AB62">
        <f t="shared" si="62"/>
        <v>2.8273562973536399</v>
      </c>
      <c r="AC62">
        <f t="shared" si="63"/>
        <v>4.3118391780163323</v>
      </c>
      <c r="AD62">
        <f t="shared" si="64"/>
        <v>1.4205312049325971</v>
      </c>
      <c r="AE62">
        <f t="shared" si="65"/>
        <v>-261.13342571082086</v>
      </c>
      <c r="AF62">
        <f t="shared" si="66"/>
        <v>40.960882659120486</v>
      </c>
      <c r="AG62">
        <f t="shared" si="67"/>
        <v>3.1227510393578228</v>
      </c>
      <c r="AH62">
        <f t="shared" si="68"/>
        <v>72.512468564581283</v>
      </c>
      <c r="AI62">
        <v>0</v>
      </c>
      <c r="AJ62">
        <v>0</v>
      </c>
      <c r="AK62">
        <f t="shared" si="69"/>
        <v>1</v>
      </c>
      <c r="AL62">
        <f t="shared" si="70"/>
        <v>0</v>
      </c>
      <c r="AM62">
        <f t="shared" si="71"/>
        <v>51994.970125941647</v>
      </c>
      <c r="AN62" t="s">
        <v>418</v>
      </c>
      <c r="AO62">
        <v>10021</v>
      </c>
      <c r="AP62">
        <v>177.53923076923081</v>
      </c>
      <c r="AQ62">
        <v>655.56</v>
      </c>
      <c r="AR62">
        <f t="shared" si="72"/>
        <v>0.72917928066198234</v>
      </c>
      <c r="AS62">
        <v>-3.1115002560329539</v>
      </c>
      <c r="AT62" t="s">
        <v>657</v>
      </c>
      <c r="AU62">
        <v>8020.88</v>
      </c>
      <c r="AV62">
        <v>752.4254615384616</v>
      </c>
      <c r="AW62">
        <v>1197.6638578565639</v>
      </c>
      <c r="AX62">
        <f t="shared" si="73"/>
        <v>0.37175572544615065</v>
      </c>
      <c r="AY62">
        <v>0.5</v>
      </c>
      <c r="AZ62">
        <f t="shared" si="74"/>
        <v>1513.1597992626548</v>
      </c>
      <c r="BA62">
        <f t="shared" si="75"/>
        <v>55.988870699411528</v>
      </c>
      <c r="BB62">
        <f t="shared" si="76"/>
        <v>281.26290944541995</v>
      </c>
      <c r="BC62">
        <f t="shared" si="77"/>
        <v>3.9057587297946596E-2</v>
      </c>
      <c r="BD62">
        <f t="shared" si="78"/>
        <v>-0.45263439678872575</v>
      </c>
      <c r="BE62">
        <f t="shared" si="79"/>
        <v>202.34299634530663</v>
      </c>
      <c r="BF62" t="s">
        <v>658</v>
      </c>
      <c r="BG62">
        <v>577.16</v>
      </c>
      <c r="BH62">
        <f t="shared" si="80"/>
        <v>577.16</v>
      </c>
      <c r="BI62">
        <f t="shared" si="81"/>
        <v>0.51809516817771217</v>
      </c>
      <c r="BJ62">
        <f t="shared" si="82"/>
        <v>0.71754331690396012</v>
      </c>
      <c r="BK62">
        <f t="shared" si="83"/>
        <v>-6.914590023680665</v>
      </c>
      <c r="BL62">
        <f t="shared" si="84"/>
        <v>0.43645490413200794</v>
      </c>
      <c r="BM62">
        <f t="shared" si="85"/>
        <v>-1.134059214056572</v>
      </c>
      <c r="BN62">
        <f t="shared" si="86"/>
        <v>0.55040309233756601</v>
      </c>
      <c r="BO62">
        <f t="shared" si="87"/>
        <v>0.44959690766243399</v>
      </c>
      <c r="BP62">
        <v>22557</v>
      </c>
      <c r="BQ62">
        <v>290.00000000000011</v>
      </c>
      <c r="BR62">
        <v>1059.78</v>
      </c>
      <c r="BS62">
        <v>295</v>
      </c>
      <c r="BT62">
        <v>8020.88</v>
      </c>
      <c r="BU62">
        <v>1063.23</v>
      </c>
      <c r="BV62">
        <v>-3.45</v>
      </c>
      <c r="BW62">
        <v>300.00000000000011</v>
      </c>
      <c r="BX62">
        <v>19.399999999999999</v>
      </c>
      <c r="BY62">
        <v>1197.6638578565639</v>
      </c>
      <c r="BZ62">
        <v>5.5646686583708798</v>
      </c>
      <c r="CA62">
        <v>-107.8280995631084</v>
      </c>
      <c r="CB62">
        <v>4.099942147550192</v>
      </c>
      <c r="CC62">
        <v>0.96109409727347472</v>
      </c>
      <c r="CD62">
        <v>-4.1429130144605229E-3</v>
      </c>
      <c r="CE62">
        <v>289.99999999999989</v>
      </c>
      <c r="CF62">
        <v>1060.5899999999999</v>
      </c>
      <c r="CG62">
        <v>645</v>
      </c>
      <c r="CH62">
        <v>8011.03</v>
      </c>
      <c r="CI62">
        <v>1063.06</v>
      </c>
      <c r="CJ62">
        <v>-2.4700000000000002</v>
      </c>
      <c r="CX62">
        <f t="shared" si="88"/>
        <v>1799.97</v>
      </c>
      <c r="CY62">
        <f t="shared" si="89"/>
        <v>1513.1597992626548</v>
      </c>
      <c r="CZ62">
        <f t="shared" si="90"/>
        <v>0.84065834389609539</v>
      </c>
      <c r="DA62">
        <f t="shared" si="91"/>
        <v>0.16087060371946413</v>
      </c>
      <c r="DB62">
        <v>6</v>
      </c>
      <c r="DC62">
        <v>0.5</v>
      </c>
      <c r="DD62" t="s">
        <v>421</v>
      </c>
      <c r="DE62">
        <v>2</v>
      </c>
      <c r="DF62">
        <v>1689007713</v>
      </c>
      <c r="DG62">
        <v>330.46600000000001</v>
      </c>
      <c r="DH62">
        <v>400.005</v>
      </c>
      <c r="DI62">
        <v>28.4682</v>
      </c>
      <c r="DJ62">
        <v>21.564399999999999</v>
      </c>
      <c r="DK62">
        <v>329.96800000000002</v>
      </c>
      <c r="DL62">
        <v>28.220700000000001</v>
      </c>
      <c r="DM62">
        <v>499.97</v>
      </c>
      <c r="DN62">
        <v>99.216899999999995</v>
      </c>
      <c r="DO62">
        <v>9.9400199999999994E-2</v>
      </c>
      <c r="DP62">
        <v>30.2089</v>
      </c>
      <c r="DQ62">
        <v>29.948599999999999</v>
      </c>
      <c r="DR62">
        <v>999.9</v>
      </c>
      <c r="DS62">
        <v>0</v>
      </c>
      <c r="DT62">
        <v>0</v>
      </c>
      <c r="DU62">
        <v>10017.5</v>
      </c>
      <c r="DV62">
        <v>0</v>
      </c>
      <c r="DW62">
        <v>587.25900000000001</v>
      </c>
      <c r="DX62">
        <v>-69.538899999999998</v>
      </c>
      <c r="DY62">
        <v>340.149</v>
      </c>
      <c r="DZ62">
        <v>408.82100000000003</v>
      </c>
      <c r="EA62">
        <v>6.9038000000000004</v>
      </c>
      <c r="EB62">
        <v>400.005</v>
      </c>
      <c r="EC62">
        <v>21.564399999999999</v>
      </c>
      <c r="ED62">
        <v>2.8245300000000002</v>
      </c>
      <c r="EE62">
        <v>2.1395599999999999</v>
      </c>
      <c r="EF62">
        <v>23.028099999999998</v>
      </c>
      <c r="EG62">
        <v>18.5168</v>
      </c>
      <c r="EH62">
        <v>1799.97</v>
      </c>
      <c r="EI62">
        <v>0.97799199999999997</v>
      </c>
      <c r="EJ62">
        <v>2.20085E-2</v>
      </c>
      <c r="EK62">
        <v>0</v>
      </c>
      <c r="EL62">
        <v>753.23400000000004</v>
      </c>
      <c r="EM62">
        <v>5.0011200000000002</v>
      </c>
      <c r="EN62">
        <v>14848.6</v>
      </c>
      <c r="EO62">
        <v>17210.599999999999</v>
      </c>
      <c r="EP62">
        <v>49.311999999999998</v>
      </c>
      <c r="EQ62">
        <v>50.25</v>
      </c>
      <c r="ER62">
        <v>50</v>
      </c>
      <c r="ES62">
        <v>49.561999999999998</v>
      </c>
      <c r="ET62">
        <v>50</v>
      </c>
      <c r="EU62">
        <v>1755.47</v>
      </c>
      <c r="EV62">
        <v>39.5</v>
      </c>
      <c r="EW62">
        <v>0</v>
      </c>
      <c r="EX62">
        <v>1017.2000000476839</v>
      </c>
      <c r="EY62">
        <v>0</v>
      </c>
      <c r="EZ62">
        <v>752.4254615384616</v>
      </c>
      <c r="FA62">
        <v>4.9659487023428834</v>
      </c>
      <c r="FB62">
        <v>-1418.1128183616661</v>
      </c>
      <c r="FC62">
        <v>14948.969230769229</v>
      </c>
      <c r="FD62">
        <v>15</v>
      </c>
      <c r="FE62">
        <v>1689007681.5</v>
      </c>
      <c r="FF62" t="s">
        <v>659</v>
      </c>
      <c r="FG62">
        <v>1689007677</v>
      </c>
      <c r="FH62">
        <v>1689007681.5</v>
      </c>
      <c r="FI62">
        <v>51</v>
      </c>
      <c r="FJ62">
        <v>2.4E-2</v>
      </c>
      <c r="FK62">
        <v>-0.153</v>
      </c>
      <c r="FL62">
        <v>0.60399999999999998</v>
      </c>
      <c r="FM62">
        <v>0.23899999999999999</v>
      </c>
      <c r="FN62">
        <v>400</v>
      </c>
      <c r="FO62">
        <v>22</v>
      </c>
      <c r="FP62">
        <v>0.04</v>
      </c>
      <c r="FQ62">
        <v>0.02</v>
      </c>
      <c r="FR62">
        <v>56.005735770283053</v>
      </c>
      <c r="FS62">
        <v>-0.62368768566107158</v>
      </c>
      <c r="FT62">
        <v>8.6992408165502591E-2</v>
      </c>
      <c r="FU62">
        <v>1</v>
      </c>
      <c r="FV62">
        <v>0.4378052645367066</v>
      </c>
      <c r="FW62">
        <v>-5.8104379031704732E-3</v>
      </c>
      <c r="FX62">
        <v>1.8827444708303801E-3</v>
      </c>
      <c r="FY62">
        <v>1</v>
      </c>
      <c r="FZ62">
        <v>2</v>
      </c>
      <c r="GA62">
        <v>2</v>
      </c>
      <c r="GB62" t="s">
        <v>423</v>
      </c>
      <c r="GC62">
        <v>2.92441</v>
      </c>
      <c r="GD62">
        <v>2.8268499999999999</v>
      </c>
      <c r="GE62">
        <v>7.5630799999999998E-2</v>
      </c>
      <c r="GF62">
        <v>8.8248599999999996E-2</v>
      </c>
      <c r="GG62">
        <v>0.12617100000000001</v>
      </c>
      <c r="GH62">
        <v>0.10439</v>
      </c>
      <c r="GI62">
        <v>30138.799999999999</v>
      </c>
      <c r="GJ62">
        <v>24124</v>
      </c>
      <c r="GK62">
        <v>31376.6</v>
      </c>
      <c r="GL62">
        <v>26100.9</v>
      </c>
      <c r="GM62">
        <v>37589.5</v>
      </c>
      <c r="GN62">
        <v>31707.200000000001</v>
      </c>
      <c r="GO62">
        <v>46597.599999999999</v>
      </c>
      <c r="GP62">
        <v>37947.4</v>
      </c>
      <c r="GQ62">
        <v>1.9187700000000001</v>
      </c>
      <c r="GR62">
        <v>1.7335799999999999</v>
      </c>
      <c r="GS62">
        <v>-1.7553599999999999E-2</v>
      </c>
      <c r="GT62">
        <v>0</v>
      </c>
      <c r="GU62">
        <v>30.234200000000001</v>
      </c>
      <c r="GV62">
        <v>999.9</v>
      </c>
      <c r="GW62">
        <v>39.4</v>
      </c>
      <c r="GX62">
        <v>43.8</v>
      </c>
      <c r="GY62">
        <v>35.966999999999999</v>
      </c>
      <c r="GZ62">
        <v>62.1113</v>
      </c>
      <c r="HA62">
        <v>22.0473</v>
      </c>
      <c r="HB62">
        <v>1</v>
      </c>
      <c r="HC62">
        <v>0.527142</v>
      </c>
      <c r="HD62">
        <v>2.8611900000000001</v>
      </c>
      <c r="HE62">
        <v>20.3185</v>
      </c>
      <c r="HF62">
        <v>5.2208800000000002</v>
      </c>
      <c r="HG62">
        <v>12.0595</v>
      </c>
      <c r="HH62">
        <v>4.9913999999999996</v>
      </c>
      <c r="HI62">
        <v>3.2911999999999999</v>
      </c>
      <c r="HJ62">
        <v>9999</v>
      </c>
      <c r="HK62">
        <v>9999</v>
      </c>
      <c r="HL62">
        <v>9999</v>
      </c>
      <c r="HM62">
        <v>463.3</v>
      </c>
      <c r="HN62">
        <v>1.8666100000000001</v>
      </c>
      <c r="HO62">
        <v>1.87012</v>
      </c>
      <c r="HP62">
        <v>1.8727100000000001</v>
      </c>
      <c r="HQ62">
        <v>1.8736200000000001</v>
      </c>
      <c r="HR62">
        <v>1.8704099999999999</v>
      </c>
      <c r="HS62">
        <v>1.8687400000000001</v>
      </c>
      <c r="HT62">
        <v>1.8702700000000001</v>
      </c>
      <c r="HU62">
        <v>1.87317</v>
      </c>
      <c r="HV62">
        <v>0</v>
      </c>
      <c r="HW62">
        <v>0</v>
      </c>
      <c r="HX62">
        <v>0</v>
      </c>
      <c r="HY62">
        <v>0</v>
      </c>
      <c r="HZ62" t="s">
        <v>424</v>
      </c>
      <c r="IA62" t="s">
        <v>425</v>
      </c>
      <c r="IB62" t="s">
        <v>426</v>
      </c>
      <c r="IC62" t="s">
        <v>426</v>
      </c>
      <c r="ID62" t="s">
        <v>426</v>
      </c>
      <c r="IE62" t="s">
        <v>426</v>
      </c>
      <c r="IF62">
        <v>0</v>
      </c>
      <c r="IG62">
        <v>100</v>
      </c>
      <c r="IH62">
        <v>100</v>
      </c>
      <c r="II62">
        <v>0.498</v>
      </c>
      <c r="IJ62">
        <v>0.2475</v>
      </c>
      <c r="IK62">
        <v>-0.26240094289985011</v>
      </c>
      <c r="IL62">
        <v>3.042515301972944E-3</v>
      </c>
      <c r="IM62">
        <v>-2.5091471490852929E-6</v>
      </c>
      <c r="IN62">
        <v>8.1339755115576286E-10</v>
      </c>
      <c r="IO62">
        <v>0.24756996420628249</v>
      </c>
      <c r="IP62">
        <v>0</v>
      </c>
      <c r="IQ62">
        <v>0</v>
      </c>
      <c r="IR62">
        <v>0</v>
      </c>
      <c r="IS62">
        <v>3</v>
      </c>
      <c r="IT62">
        <v>2004</v>
      </c>
      <c r="IU62">
        <v>2</v>
      </c>
      <c r="IV62">
        <v>22</v>
      </c>
      <c r="IW62">
        <v>0.6</v>
      </c>
      <c r="IX62">
        <v>0.5</v>
      </c>
      <c r="IY62">
        <v>1.03271</v>
      </c>
      <c r="IZ62">
        <v>2.5866699999999998</v>
      </c>
      <c r="JA62">
        <v>1.64917</v>
      </c>
      <c r="JB62">
        <v>2.33643</v>
      </c>
      <c r="JC62">
        <v>1.5991200000000001</v>
      </c>
      <c r="JD62">
        <v>2.32544</v>
      </c>
      <c r="JE62">
        <v>46.385800000000003</v>
      </c>
      <c r="JF62">
        <v>16.145900000000001</v>
      </c>
      <c r="JG62">
        <v>18</v>
      </c>
      <c r="JH62">
        <v>517.96900000000005</v>
      </c>
      <c r="JI62">
        <v>444.89800000000002</v>
      </c>
      <c r="JJ62">
        <v>26.621200000000002</v>
      </c>
      <c r="JK62">
        <v>33.728000000000002</v>
      </c>
      <c r="JL62">
        <v>29.9999</v>
      </c>
      <c r="JM62">
        <v>33.730200000000004</v>
      </c>
      <c r="JN62">
        <v>33.723199999999999</v>
      </c>
      <c r="JO62">
        <v>20.6767</v>
      </c>
      <c r="JP62">
        <v>47.4694</v>
      </c>
      <c r="JQ62">
        <v>0</v>
      </c>
      <c r="JR62">
        <v>26.868600000000001</v>
      </c>
      <c r="JS62">
        <v>400</v>
      </c>
      <c r="JT62">
        <v>21.566299999999998</v>
      </c>
      <c r="JU62">
        <v>99.451300000000003</v>
      </c>
      <c r="JV62">
        <v>99.236199999999997</v>
      </c>
    </row>
    <row r="63" spans="1:282" x14ac:dyDescent="0.25">
      <c r="A63">
        <v>47</v>
      </c>
      <c r="B63">
        <v>1689007857</v>
      </c>
      <c r="C63">
        <v>8261.9000000953674</v>
      </c>
      <c r="D63" t="s">
        <v>660</v>
      </c>
      <c r="E63" t="s">
        <v>661</v>
      </c>
      <c r="F63" t="s">
        <v>414</v>
      </c>
      <c r="G63" t="s">
        <v>415</v>
      </c>
      <c r="H63" t="s">
        <v>655</v>
      </c>
      <c r="I63" t="s">
        <v>416</v>
      </c>
      <c r="J63" t="s">
        <v>656</v>
      </c>
      <c r="K63">
        <v>1689007857</v>
      </c>
      <c r="L63">
        <f t="shared" si="46"/>
        <v>5.9053664944548386E-3</v>
      </c>
      <c r="M63">
        <f t="shared" si="47"/>
        <v>5.9053664944548387</v>
      </c>
      <c r="N63">
        <f t="shared" si="48"/>
        <v>44.41046398172076</v>
      </c>
      <c r="O63">
        <f t="shared" si="49"/>
        <v>244.97399999999999</v>
      </c>
      <c r="P63">
        <f t="shared" si="50"/>
        <v>65.382800524134936</v>
      </c>
      <c r="Q63">
        <f t="shared" si="51"/>
        <v>6.4936716560138947</v>
      </c>
      <c r="R63">
        <f t="shared" si="52"/>
        <v>24.330262813889998</v>
      </c>
      <c r="S63">
        <f t="shared" si="53"/>
        <v>0.43211334810071489</v>
      </c>
      <c r="T63">
        <f t="shared" si="54"/>
        <v>2.9184131565213951</v>
      </c>
      <c r="U63">
        <f t="shared" si="55"/>
        <v>0.39945762347571218</v>
      </c>
      <c r="V63">
        <f t="shared" si="56"/>
        <v>0.25238903375876648</v>
      </c>
      <c r="W63">
        <f t="shared" si="57"/>
        <v>289.57343257697914</v>
      </c>
      <c r="X63">
        <f t="shared" si="58"/>
        <v>30.413306070685898</v>
      </c>
      <c r="Y63">
        <f t="shared" si="59"/>
        <v>29.9207</v>
      </c>
      <c r="Z63">
        <f t="shared" si="60"/>
        <v>4.2410822091409779</v>
      </c>
      <c r="AA63">
        <f t="shared" si="61"/>
        <v>65.397279127716658</v>
      </c>
      <c r="AB63">
        <f t="shared" si="62"/>
        <v>2.8250532449810004</v>
      </c>
      <c r="AC63">
        <f t="shared" si="63"/>
        <v>4.3198330001831637</v>
      </c>
      <c r="AD63">
        <f t="shared" si="64"/>
        <v>1.4160289641599775</v>
      </c>
      <c r="AE63">
        <f t="shared" si="65"/>
        <v>-260.42666240545839</v>
      </c>
      <c r="AF63">
        <f t="shared" si="66"/>
        <v>50.426665575249118</v>
      </c>
      <c r="AG63">
        <f t="shared" si="67"/>
        <v>3.8450387950750002</v>
      </c>
      <c r="AH63">
        <f t="shared" si="68"/>
        <v>83.418474541844901</v>
      </c>
      <c r="AI63">
        <v>0</v>
      </c>
      <c r="AJ63">
        <v>0</v>
      </c>
      <c r="AK63">
        <f t="shared" si="69"/>
        <v>1</v>
      </c>
      <c r="AL63">
        <f t="shared" si="70"/>
        <v>0</v>
      </c>
      <c r="AM63">
        <f t="shared" si="71"/>
        <v>51977.411598836952</v>
      </c>
      <c r="AN63" t="s">
        <v>418</v>
      </c>
      <c r="AO63">
        <v>10021</v>
      </c>
      <c r="AP63">
        <v>177.53923076923081</v>
      </c>
      <c r="AQ63">
        <v>655.56</v>
      </c>
      <c r="AR63">
        <f t="shared" si="72"/>
        <v>0.72917928066198234</v>
      </c>
      <c r="AS63">
        <v>-3.1115002560329539</v>
      </c>
      <c r="AT63" t="s">
        <v>662</v>
      </c>
      <c r="AU63">
        <v>8019.09</v>
      </c>
      <c r="AV63">
        <v>703.00083999999993</v>
      </c>
      <c r="AW63">
        <v>1045.2719387271941</v>
      </c>
      <c r="AX63">
        <f t="shared" si="73"/>
        <v>0.32744694088312609</v>
      </c>
      <c r="AY63">
        <v>0.5</v>
      </c>
      <c r="AZ63">
        <f t="shared" si="74"/>
        <v>1513.2185992626833</v>
      </c>
      <c r="BA63">
        <f t="shared" si="75"/>
        <v>44.41046398172076</v>
      </c>
      <c r="BB63">
        <f t="shared" si="76"/>
        <v>247.74940060800736</v>
      </c>
      <c r="BC63">
        <f t="shared" si="77"/>
        <v>3.1404559963054128E-2</v>
      </c>
      <c r="BD63">
        <f t="shared" si="78"/>
        <v>-0.37283306313736719</v>
      </c>
      <c r="BE63">
        <f t="shared" si="79"/>
        <v>197.4788517894857</v>
      </c>
      <c r="BF63" t="s">
        <v>663</v>
      </c>
      <c r="BG63">
        <v>556.97</v>
      </c>
      <c r="BH63">
        <f t="shared" si="80"/>
        <v>556.97</v>
      </c>
      <c r="BI63">
        <f t="shared" si="81"/>
        <v>0.46715301601015824</v>
      </c>
      <c r="BJ63">
        <f t="shared" si="82"/>
        <v>0.70094151094168633</v>
      </c>
      <c r="BK63">
        <f t="shared" si="83"/>
        <v>-3.9528546376629929</v>
      </c>
      <c r="BL63">
        <f t="shared" si="84"/>
        <v>0.39444300714751351</v>
      </c>
      <c r="BM63">
        <f t="shared" si="85"/>
        <v>-0.8152615196078582</v>
      </c>
      <c r="BN63">
        <f t="shared" si="86"/>
        <v>0.55533844504252805</v>
      </c>
      <c r="BO63">
        <f t="shared" si="87"/>
        <v>0.44466155495747195</v>
      </c>
      <c r="BP63">
        <v>22559</v>
      </c>
      <c r="BQ63">
        <v>290.00000000000011</v>
      </c>
      <c r="BR63">
        <v>935.27</v>
      </c>
      <c r="BS63">
        <v>295</v>
      </c>
      <c r="BT63">
        <v>8019.09</v>
      </c>
      <c r="BU63">
        <v>937.67</v>
      </c>
      <c r="BV63">
        <v>-2.4</v>
      </c>
      <c r="BW63">
        <v>300.00000000000011</v>
      </c>
      <c r="BX63">
        <v>19.399999999999999</v>
      </c>
      <c r="BY63">
        <v>1045.2719387271941</v>
      </c>
      <c r="BZ63">
        <v>3.7460743386873259</v>
      </c>
      <c r="CA63">
        <v>-86.284813223941015</v>
      </c>
      <c r="CB63">
        <v>2.759421479400046</v>
      </c>
      <c r="CC63">
        <v>0.97216037998202964</v>
      </c>
      <c r="CD63">
        <v>-4.1418627363737576E-3</v>
      </c>
      <c r="CE63">
        <v>289.99999999999989</v>
      </c>
      <c r="CF63">
        <v>934.74</v>
      </c>
      <c r="CG63">
        <v>675</v>
      </c>
      <c r="CH63">
        <v>8008.31</v>
      </c>
      <c r="CI63">
        <v>937.53</v>
      </c>
      <c r="CJ63">
        <v>-2.79</v>
      </c>
      <c r="CX63">
        <f t="shared" si="88"/>
        <v>1800.04</v>
      </c>
      <c r="CY63">
        <f t="shared" si="89"/>
        <v>1513.2185992626833</v>
      </c>
      <c r="CZ63">
        <f t="shared" si="90"/>
        <v>0.84065831829441751</v>
      </c>
      <c r="DA63">
        <f t="shared" si="91"/>
        <v>0.160870554308226</v>
      </c>
      <c r="DB63">
        <v>6</v>
      </c>
      <c r="DC63">
        <v>0.5</v>
      </c>
      <c r="DD63" t="s">
        <v>421</v>
      </c>
      <c r="DE63">
        <v>2</v>
      </c>
      <c r="DF63">
        <v>1689007857</v>
      </c>
      <c r="DG63">
        <v>244.97399999999999</v>
      </c>
      <c r="DH63">
        <v>300.00200000000001</v>
      </c>
      <c r="DI63">
        <v>28.444600000000001</v>
      </c>
      <c r="DJ63">
        <v>21.559799999999999</v>
      </c>
      <c r="DK63">
        <v>244.64500000000001</v>
      </c>
      <c r="DL63">
        <v>28.1953</v>
      </c>
      <c r="DM63">
        <v>500.005</v>
      </c>
      <c r="DN63">
        <v>99.217699999999994</v>
      </c>
      <c r="DO63">
        <v>0.100035</v>
      </c>
      <c r="DP63">
        <v>30.241199999999999</v>
      </c>
      <c r="DQ63">
        <v>29.9207</v>
      </c>
      <c r="DR63">
        <v>999.9</v>
      </c>
      <c r="DS63">
        <v>0</v>
      </c>
      <c r="DT63">
        <v>0</v>
      </c>
      <c r="DU63">
        <v>10015</v>
      </c>
      <c r="DV63">
        <v>0</v>
      </c>
      <c r="DW63">
        <v>522.30799999999999</v>
      </c>
      <c r="DX63">
        <v>-55.027799999999999</v>
      </c>
      <c r="DY63">
        <v>252.14599999999999</v>
      </c>
      <c r="DZ63">
        <v>306.613</v>
      </c>
      <c r="EA63">
        <v>6.8847699999999996</v>
      </c>
      <c r="EB63">
        <v>300.00200000000001</v>
      </c>
      <c r="EC63">
        <v>21.559799999999999</v>
      </c>
      <c r="ED63">
        <v>2.8222</v>
      </c>
      <c r="EE63">
        <v>2.1391100000000001</v>
      </c>
      <c r="EF63">
        <v>23.014500000000002</v>
      </c>
      <c r="EG63">
        <v>18.513500000000001</v>
      </c>
      <c r="EH63">
        <v>1800.04</v>
      </c>
      <c r="EI63">
        <v>0.97799499999999995</v>
      </c>
      <c r="EJ63">
        <v>2.2004800000000001E-2</v>
      </c>
      <c r="EK63">
        <v>0</v>
      </c>
      <c r="EL63">
        <v>703.01199999999994</v>
      </c>
      <c r="EM63">
        <v>5.0011200000000002</v>
      </c>
      <c r="EN63">
        <v>13862.4</v>
      </c>
      <c r="EO63">
        <v>17211.3</v>
      </c>
      <c r="EP63">
        <v>49.125</v>
      </c>
      <c r="EQ63">
        <v>50</v>
      </c>
      <c r="ER63">
        <v>49.875</v>
      </c>
      <c r="ES63">
        <v>49.436999999999998</v>
      </c>
      <c r="ET63">
        <v>49.25</v>
      </c>
      <c r="EU63">
        <v>1755.54</v>
      </c>
      <c r="EV63">
        <v>39.5</v>
      </c>
      <c r="EW63">
        <v>0</v>
      </c>
      <c r="EX63">
        <v>142.20000004768369</v>
      </c>
      <c r="EY63">
        <v>0</v>
      </c>
      <c r="EZ63">
        <v>703.00083999999993</v>
      </c>
      <c r="FA63">
        <v>-1.429307699643138</v>
      </c>
      <c r="FB63">
        <v>-6.2923077250733321</v>
      </c>
      <c r="FC63">
        <v>13862.404</v>
      </c>
      <c r="FD63">
        <v>15</v>
      </c>
      <c r="FE63">
        <v>1689007794.5</v>
      </c>
      <c r="FF63" t="s">
        <v>664</v>
      </c>
      <c r="FG63">
        <v>1689007782</v>
      </c>
      <c r="FH63">
        <v>1689007794.5</v>
      </c>
      <c r="FI63">
        <v>52</v>
      </c>
      <c r="FJ63">
        <v>-1.4999999999999999E-2</v>
      </c>
      <c r="FK63">
        <v>2E-3</v>
      </c>
      <c r="FL63">
        <v>0.43099999999999999</v>
      </c>
      <c r="FM63">
        <v>0.23300000000000001</v>
      </c>
      <c r="FN63">
        <v>300</v>
      </c>
      <c r="FO63">
        <v>21</v>
      </c>
      <c r="FP63">
        <v>0.04</v>
      </c>
      <c r="FQ63">
        <v>0.04</v>
      </c>
      <c r="FR63">
        <v>44.482894229224769</v>
      </c>
      <c r="FS63">
        <v>0.51341546002992922</v>
      </c>
      <c r="FT63">
        <v>8.8218137859658249E-2</v>
      </c>
      <c r="FU63">
        <v>1</v>
      </c>
      <c r="FV63">
        <v>0.43102070786339791</v>
      </c>
      <c r="FW63">
        <v>3.5903400106706222E-2</v>
      </c>
      <c r="FX63">
        <v>3.757042833648183E-3</v>
      </c>
      <c r="FY63">
        <v>1</v>
      </c>
      <c r="FZ63">
        <v>2</v>
      </c>
      <c r="GA63">
        <v>2</v>
      </c>
      <c r="GB63" t="s">
        <v>423</v>
      </c>
      <c r="GC63">
        <v>2.9244699999999999</v>
      </c>
      <c r="GD63">
        <v>2.8274699999999999</v>
      </c>
      <c r="GE63">
        <v>5.8937700000000003E-2</v>
      </c>
      <c r="GF63">
        <v>7.01349E-2</v>
      </c>
      <c r="GG63">
        <v>0.12607699999999999</v>
      </c>
      <c r="GH63">
        <v>0.10435999999999999</v>
      </c>
      <c r="GI63">
        <v>30680.7</v>
      </c>
      <c r="GJ63">
        <v>24601.3</v>
      </c>
      <c r="GK63">
        <v>31374.6</v>
      </c>
      <c r="GL63">
        <v>26099.3</v>
      </c>
      <c r="GM63">
        <v>37591.599999999999</v>
      </c>
      <c r="GN63">
        <v>31705.8</v>
      </c>
      <c r="GO63">
        <v>46595.4</v>
      </c>
      <c r="GP63">
        <v>37944.800000000003</v>
      </c>
      <c r="GQ63">
        <v>1.9186300000000001</v>
      </c>
      <c r="GR63">
        <v>1.73275</v>
      </c>
      <c r="GS63">
        <v>-4.6640600000000003E-3</v>
      </c>
      <c r="GT63">
        <v>0</v>
      </c>
      <c r="GU63">
        <v>29.996600000000001</v>
      </c>
      <c r="GV63">
        <v>999.9</v>
      </c>
      <c r="GW63">
        <v>39.5</v>
      </c>
      <c r="GX63">
        <v>43.8</v>
      </c>
      <c r="GY63">
        <v>36.061399999999999</v>
      </c>
      <c r="GZ63">
        <v>62.441400000000002</v>
      </c>
      <c r="HA63">
        <v>22.347799999999999</v>
      </c>
      <c r="HB63">
        <v>1</v>
      </c>
      <c r="HC63">
        <v>0.52651400000000004</v>
      </c>
      <c r="HD63">
        <v>2.53945</v>
      </c>
      <c r="HE63">
        <v>20.3263</v>
      </c>
      <c r="HF63">
        <v>5.2244799999999998</v>
      </c>
      <c r="HG63">
        <v>12.0588</v>
      </c>
      <c r="HH63">
        <v>4.9928999999999997</v>
      </c>
      <c r="HI63">
        <v>3.2919999999999998</v>
      </c>
      <c r="HJ63">
        <v>9999</v>
      </c>
      <c r="HK63">
        <v>9999</v>
      </c>
      <c r="HL63">
        <v>9999</v>
      </c>
      <c r="HM63">
        <v>463.3</v>
      </c>
      <c r="HN63">
        <v>1.8666199999999999</v>
      </c>
      <c r="HO63">
        <v>1.87012</v>
      </c>
      <c r="HP63">
        <v>1.8727100000000001</v>
      </c>
      <c r="HQ63">
        <v>1.8736299999999999</v>
      </c>
      <c r="HR63">
        <v>1.87042</v>
      </c>
      <c r="HS63">
        <v>1.8687400000000001</v>
      </c>
      <c r="HT63">
        <v>1.8702700000000001</v>
      </c>
      <c r="HU63">
        <v>1.8731800000000001</v>
      </c>
      <c r="HV63">
        <v>0</v>
      </c>
      <c r="HW63">
        <v>0</v>
      </c>
      <c r="HX63">
        <v>0</v>
      </c>
      <c r="HY63">
        <v>0</v>
      </c>
      <c r="HZ63" t="s">
        <v>424</v>
      </c>
      <c r="IA63" t="s">
        <v>425</v>
      </c>
      <c r="IB63" t="s">
        <v>426</v>
      </c>
      <c r="IC63" t="s">
        <v>426</v>
      </c>
      <c r="ID63" t="s">
        <v>426</v>
      </c>
      <c r="IE63" t="s">
        <v>426</v>
      </c>
      <c r="IF63">
        <v>0</v>
      </c>
      <c r="IG63">
        <v>100</v>
      </c>
      <c r="IH63">
        <v>100</v>
      </c>
      <c r="II63">
        <v>0.32900000000000001</v>
      </c>
      <c r="IJ63">
        <v>0.24929999999999999</v>
      </c>
      <c r="IK63">
        <v>-0.27724587843741633</v>
      </c>
      <c r="IL63">
        <v>3.042515301972944E-3</v>
      </c>
      <c r="IM63">
        <v>-2.5091471490852929E-6</v>
      </c>
      <c r="IN63">
        <v>8.1339755115576286E-10</v>
      </c>
      <c r="IO63">
        <v>0.24928152913633081</v>
      </c>
      <c r="IP63">
        <v>0</v>
      </c>
      <c r="IQ63">
        <v>0</v>
      </c>
      <c r="IR63">
        <v>0</v>
      </c>
      <c r="IS63">
        <v>3</v>
      </c>
      <c r="IT63">
        <v>2004</v>
      </c>
      <c r="IU63">
        <v>2</v>
      </c>
      <c r="IV63">
        <v>22</v>
      </c>
      <c r="IW63">
        <v>1.2</v>
      </c>
      <c r="IX63">
        <v>1</v>
      </c>
      <c r="IY63">
        <v>0.81909200000000004</v>
      </c>
      <c r="IZ63">
        <v>2.5854499999999998</v>
      </c>
      <c r="JA63">
        <v>1.64917</v>
      </c>
      <c r="JB63">
        <v>2.33643</v>
      </c>
      <c r="JC63">
        <v>1.5991200000000001</v>
      </c>
      <c r="JD63">
        <v>2.3303199999999999</v>
      </c>
      <c r="JE63">
        <v>46.298200000000001</v>
      </c>
      <c r="JF63">
        <v>16.119599999999998</v>
      </c>
      <c r="JG63">
        <v>18</v>
      </c>
      <c r="JH63">
        <v>518.32899999999995</v>
      </c>
      <c r="JI63">
        <v>444.79500000000002</v>
      </c>
      <c r="JJ63">
        <v>27.110800000000001</v>
      </c>
      <c r="JK63">
        <v>33.759599999999999</v>
      </c>
      <c r="JL63">
        <v>29.9998</v>
      </c>
      <c r="JM63">
        <v>33.7896</v>
      </c>
      <c r="JN63">
        <v>33.783799999999999</v>
      </c>
      <c r="JO63">
        <v>16.404199999999999</v>
      </c>
      <c r="JP63">
        <v>47.495100000000001</v>
      </c>
      <c r="JQ63">
        <v>0</v>
      </c>
      <c r="JR63">
        <v>27.143799999999999</v>
      </c>
      <c r="JS63">
        <v>300</v>
      </c>
      <c r="JT63">
        <v>21.6157</v>
      </c>
      <c r="JU63">
        <v>99.445999999999998</v>
      </c>
      <c r="JV63">
        <v>99.229799999999997</v>
      </c>
    </row>
    <row r="64" spans="1:282" x14ac:dyDescent="0.25">
      <c r="A64">
        <v>48</v>
      </c>
      <c r="B64">
        <v>1689007986</v>
      </c>
      <c r="C64">
        <v>8390.9000000953674</v>
      </c>
      <c r="D64" t="s">
        <v>665</v>
      </c>
      <c r="E64" t="s">
        <v>666</v>
      </c>
      <c r="F64" t="s">
        <v>414</v>
      </c>
      <c r="G64" t="s">
        <v>415</v>
      </c>
      <c r="H64" t="s">
        <v>655</v>
      </c>
      <c r="I64" t="s">
        <v>416</v>
      </c>
      <c r="J64" t="s">
        <v>656</v>
      </c>
      <c r="K64">
        <v>1689007986</v>
      </c>
      <c r="L64">
        <f t="shared" si="46"/>
        <v>6.2226616310781047E-3</v>
      </c>
      <c r="M64">
        <f t="shared" si="47"/>
        <v>6.2226616310781049</v>
      </c>
      <c r="N64">
        <f t="shared" si="48"/>
        <v>30.872223887293959</v>
      </c>
      <c r="O64">
        <f t="shared" si="49"/>
        <v>161.774</v>
      </c>
      <c r="P64">
        <f t="shared" si="50"/>
        <v>44.898186877205198</v>
      </c>
      <c r="Q64">
        <f t="shared" si="51"/>
        <v>4.4589462903400712</v>
      </c>
      <c r="R64">
        <f t="shared" si="52"/>
        <v>16.066162741633999</v>
      </c>
      <c r="S64">
        <f t="shared" si="53"/>
        <v>0.46391577952573398</v>
      </c>
      <c r="T64">
        <f t="shared" si="54"/>
        <v>2.9145989874739859</v>
      </c>
      <c r="U64">
        <f t="shared" si="55"/>
        <v>0.42645457172989065</v>
      </c>
      <c r="V64">
        <f t="shared" si="56"/>
        <v>0.26964731700243716</v>
      </c>
      <c r="W64">
        <f t="shared" si="57"/>
        <v>289.55108857686849</v>
      </c>
      <c r="X64">
        <f t="shared" si="58"/>
        <v>30.534045666384348</v>
      </c>
      <c r="Y64">
        <f t="shared" si="59"/>
        <v>29.947500000000002</v>
      </c>
      <c r="Z64">
        <f t="shared" si="60"/>
        <v>4.2476190131351093</v>
      </c>
      <c r="AA64">
        <f t="shared" si="61"/>
        <v>65.216695274360021</v>
      </c>
      <c r="AB64">
        <f t="shared" si="62"/>
        <v>2.8502755529390997</v>
      </c>
      <c r="AC64">
        <f t="shared" si="63"/>
        <v>4.3704691581630737</v>
      </c>
      <c r="AD64">
        <f t="shared" si="64"/>
        <v>1.3973434601960095</v>
      </c>
      <c r="AE64">
        <f t="shared" si="65"/>
        <v>-274.41937793054444</v>
      </c>
      <c r="AF64">
        <f t="shared" si="66"/>
        <v>78.110247910571886</v>
      </c>
      <c r="AG64">
        <f t="shared" si="67"/>
        <v>5.9705085328084877</v>
      </c>
      <c r="AH64">
        <f t="shared" si="68"/>
        <v>99.212467089704418</v>
      </c>
      <c r="AI64">
        <v>0</v>
      </c>
      <c r="AJ64">
        <v>0</v>
      </c>
      <c r="AK64">
        <f t="shared" si="69"/>
        <v>1</v>
      </c>
      <c r="AL64">
        <f t="shared" si="70"/>
        <v>0</v>
      </c>
      <c r="AM64">
        <f t="shared" si="71"/>
        <v>51833.996485180498</v>
      </c>
      <c r="AN64" t="s">
        <v>418</v>
      </c>
      <c r="AO64">
        <v>10021</v>
      </c>
      <c r="AP64">
        <v>177.53923076923081</v>
      </c>
      <c r="AQ64">
        <v>655.56</v>
      </c>
      <c r="AR64">
        <f t="shared" si="72"/>
        <v>0.72917928066198234</v>
      </c>
      <c r="AS64">
        <v>-3.1115002560329539</v>
      </c>
      <c r="AT64" t="s">
        <v>667</v>
      </c>
      <c r="AU64">
        <v>8019.14</v>
      </c>
      <c r="AV64">
        <v>684.23888461538456</v>
      </c>
      <c r="AW64">
        <v>924.46017600953564</v>
      </c>
      <c r="AX64">
        <f t="shared" si="73"/>
        <v>0.25985034036952748</v>
      </c>
      <c r="AY64">
        <v>0.5</v>
      </c>
      <c r="AZ64">
        <f t="shared" si="74"/>
        <v>1513.1009992626261</v>
      </c>
      <c r="BA64">
        <f t="shared" si="75"/>
        <v>30.872223887293959</v>
      </c>
      <c r="BB64">
        <f t="shared" si="76"/>
        <v>196.58990483593277</v>
      </c>
      <c r="BC64">
        <f t="shared" si="77"/>
        <v>2.2459653492984323E-2</v>
      </c>
      <c r="BD64">
        <f t="shared" si="78"/>
        <v>-0.29087264436879545</v>
      </c>
      <c r="BE64">
        <f t="shared" si="79"/>
        <v>192.72067447060289</v>
      </c>
      <c r="BF64" t="s">
        <v>668</v>
      </c>
      <c r="BG64">
        <v>540.66999999999996</v>
      </c>
      <c r="BH64">
        <f t="shared" si="80"/>
        <v>540.66999999999996</v>
      </c>
      <c r="BI64">
        <f t="shared" si="81"/>
        <v>0.41515057756860796</v>
      </c>
      <c r="BJ64">
        <f t="shared" si="82"/>
        <v>0.62591829184336001</v>
      </c>
      <c r="BK64">
        <f t="shared" si="83"/>
        <v>-2.3405011403040796</v>
      </c>
      <c r="BL64">
        <f t="shared" si="84"/>
        <v>0.32161541716689351</v>
      </c>
      <c r="BM64">
        <f t="shared" si="85"/>
        <v>-0.56252822747063846</v>
      </c>
      <c r="BN64">
        <f t="shared" si="86"/>
        <v>0.49458639440109425</v>
      </c>
      <c r="BO64">
        <f t="shared" si="87"/>
        <v>0.5054136055989058</v>
      </c>
      <c r="BP64">
        <v>22561</v>
      </c>
      <c r="BQ64">
        <v>290.00000000000011</v>
      </c>
      <c r="BR64">
        <v>852.65</v>
      </c>
      <c r="BS64">
        <v>285</v>
      </c>
      <c r="BT64">
        <v>8019.14</v>
      </c>
      <c r="BU64">
        <v>855.33</v>
      </c>
      <c r="BV64">
        <v>-2.68</v>
      </c>
      <c r="BW64">
        <v>300.00000000000011</v>
      </c>
      <c r="BX64">
        <v>19.399999999999999</v>
      </c>
      <c r="BY64">
        <v>924.46017600953564</v>
      </c>
      <c r="BZ64">
        <v>3.3698551056496902</v>
      </c>
      <c r="CA64">
        <v>-55.434231709574711</v>
      </c>
      <c r="CB64">
        <v>2.4823361687960559</v>
      </c>
      <c r="CC64">
        <v>0.94683828692383165</v>
      </c>
      <c r="CD64">
        <v>-4.1414780867630643E-3</v>
      </c>
      <c r="CE64">
        <v>289.99999999999989</v>
      </c>
      <c r="CF64">
        <v>852.3</v>
      </c>
      <c r="CG64">
        <v>645</v>
      </c>
      <c r="CH64">
        <v>8009.36</v>
      </c>
      <c r="CI64">
        <v>855.25</v>
      </c>
      <c r="CJ64">
        <v>-2.95</v>
      </c>
      <c r="CX64">
        <f t="shared" si="88"/>
        <v>1799.9</v>
      </c>
      <c r="CY64">
        <f t="shared" si="89"/>
        <v>1513.1009992626261</v>
      </c>
      <c r="CZ64">
        <f t="shared" si="90"/>
        <v>0.84065836949976447</v>
      </c>
      <c r="DA64">
        <f t="shared" si="91"/>
        <v>0.16087065313454552</v>
      </c>
      <c r="DB64">
        <v>6</v>
      </c>
      <c r="DC64">
        <v>0.5</v>
      </c>
      <c r="DD64" t="s">
        <v>421</v>
      </c>
      <c r="DE64">
        <v>2</v>
      </c>
      <c r="DF64">
        <v>1689007986</v>
      </c>
      <c r="DG64">
        <v>161.774</v>
      </c>
      <c r="DH64">
        <v>200.024</v>
      </c>
      <c r="DI64">
        <v>28.700099999999999</v>
      </c>
      <c r="DJ64">
        <v>21.4481</v>
      </c>
      <c r="DK64">
        <v>161.70500000000001</v>
      </c>
      <c r="DL64">
        <v>28.4499</v>
      </c>
      <c r="DM64">
        <v>500.06099999999998</v>
      </c>
      <c r="DN64">
        <v>99.212199999999996</v>
      </c>
      <c r="DO64">
        <v>0.100191</v>
      </c>
      <c r="DP64">
        <v>30.444600000000001</v>
      </c>
      <c r="DQ64">
        <v>29.947500000000002</v>
      </c>
      <c r="DR64">
        <v>999.9</v>
      </c>
      <c r="DS64">
        <v>0</v>
      </c>
      <c r="DT64">
        <v>0</v>
      </c>
      <c r="DU64">
        <v>9993.75</v>
      </c>
      <c r="DV64">
        <v>0</v>
      </c>
      <c r="DW64">
        <v>1507.73</v>
      </c>
      <c r="DX64">
        <v>-38.249699999999997</v>
      </c>
      <c r="DY64">
        <v>166.554</v>
      </c>
      <c r="DZ64">
        <v>204.40799999999999</v>
      </c>
      <c r="EA64">
        <v>7.25197</v>
      </c>
      <c r="EB64">
        <v>200.024</v>
      </c>
      <c r="EC64">
        <v>21.4481</v>
      </c>
      <c r="ED64">
        <v>2.8473999999999999</v>
      </c>
      <c r="EE64">
        <v>2.12791</v>
      </c>
      <c r="EF64">
        <v>23.1615</v>
      </c>
      <c r="EG64">
        <v>18.4297</v>
      </c>
      <c r="EH64">
        <v>1799.9</v>
      </c>
      <c r="EI64">
        <v>0.97799199999999997</v>
      </c>
      <c r="EJ64">
        <v>2.20085E-2</v>
      </c>
      <c r="EK64">
        <v>0</v>
      </c>
      <c r="EL64">
        <v>683.71299999999997</v>
      </c>
      <c r="EM64">
        <v>5.0011200000000002</v>
      </c>
      <c r="EN64">
        <v>14027.8</v>
      </c>
      <c r="EO64">
        <v>17209.900000000001</v>
      </c>
      <c r="EP64">
        <v>48.936999999999998</v>
      </c>
      <c r="EQ64">
        <v>49.625</v>
      </c>
      <c r="ER64">
        <v>49.625</v>
      </c>
      <c r="ES64">
        <v>49.186999999999998</v>
      </c>
      <c r="ET64">
        <v>49.125</v>
      </c>
      <c r="EU64">
        <v>1755.4</v>
      </c>
      <c r="EV64">
        <v>39.5</v>
      </c>
      <c r="EW64">
        <v>0</v>
      </c>
      <c r="EX64">
        <v>127.2000000476837</v>
      </c>
      <c r="EY64">
        <v>0</v>
      </c>
      <c r="EZ64">
        <v>684.23888461538456</v>
      </c>
      <c r="FA64">
        <v>-3.9184615229233088</v>
      </c>
      <c r="FB64">
        <v>1055.976066149296</v>
      </c>
      <c r="FC64">
        <v>13850.05</v>
      </c>
      <c r="FD64">
        <v>15</v>
      </c>
      <c r="FE64">
        <v>1689007956</v>
      </c>
      <c r="FF64" t="s">
        <v>669</v>
      </c>
      <c r="FG64">
        <v>1689007956</v>
      </c>
      <c r="FH64">
        <v>1689007950</v>
      </c>
      <c r="FI64">
        <v>53</v>
      </c>
      <c r="FJ64">
        <v>-8.4000000000000005E-2</v>
      </c>
      <c r="FK64">
        <v>1E-3</v>
      </c>
      <c r="FL64">
        <v>0.153</v>
      </c>
      <c r="FM64">
        <v>0.23300000000000001</v>
      </c>
      <c r="FN64">
        <v>200</v>
      </c>
      <c r="FO64">
        <v>21</v>
      </c>
      <c r="FP64">
        <v>0.13</v>
      </c>
      <c r="FQ64">
        <v>0.04</v>
      </c>
      <c r="FR64">
        <v>30.772833512309528</v>
      </c>
      <c r="FS64">
        <v>-0.30790437749407279</v>
      </c>
      <c r="FT64">
        <v>5.9498098154816423E-2</v>
      </c>
      <c r="FU64">
        <v>1</v>
      </c>
      <c r="FV64">
        <v>0.46803696359016023</v>
      </c>
      <c r="FW64">
        <v>1.739579625615973E-2</v>
      </c>
      <c r="FX64">
        <v>5.1854519640361927E-3</v>
      </c>
      <c r="FY64">
        <v>1</v>
      </c>
      <c r="FZ64">
        <v>2</v>
      </c>
      <c r="GA64">
        <v>2</v>
      </c>
      <c r="GB64" t="s">
        <v>423</v>
      </c>
      <c r="GC64">
        <v>2.92476</v>
      </c>
      <c r="GD64">
        <v>2.8274300000000001</v>
      </c>
      <c r="GE64">
        <v>4.0773299999999998E-2</v>
      </c>
      <c r="GF64">
        <v>4.95682E-2</v>
      </c>
      <c r="GG64">
        <v>0.12687699999999999</v>
      </c>
      <c r="GH64">
        <v>0.103989</v>
      </c>
      <c r="GI64">
        <v>31280</v>
      </c>
      <c r="GJ64">
        <v>25149.200000000001</v>
      </c>
      <c r="GK64">
        <v>31382</v>
      </c>
      <c r="GL64">
        <v>26103.4</v>
      </c>
      <c r="GM64">
        <v>37565.5</v>
      </c>
      <c r="GN64">
        <v>31723.599999999999</v>
      </c>
      <c r="GO64">
        <v>46606.8</v>
      </c>
      <c r="GP64">
        <v>37950.800000000003</v>
      </c>
      <c r="GQ64">
        <v>1.9204300000000001</v>
      </c>
      <c r="GR64">
        <v>1.7343999999999999</v>
      </c>
      <c r="GS64">
        <v>3.5680799999999999E-2</v>
      </c>
      <c r="GT64">
        <v>0</v>
      </c>
      <c r="GU64">
        <v>29.366499999999998</v>
      </c>
      <c r="GV64">
        <v>999.9</v>
      </c>
      <c r="GW64">
        <v>39.4</v>
      </c>
      <c r="GX64">
        <v>43.8</v>
      </c>
      <c r="GY64">
        <v>35.974299999999999</v>
      </c>
      <c r="GZ64">
        <v>62.321399999999997</v>
      </c>
      <c r="HA64">
        <v>22.459900000000001</v>
      </c>
      <c r="HB64">
        <v>1</v>
      </c>
      <c r="HC64">
        <v>0.51135699999999995</v>
      </c>
      <c r="HD64">
        <v>1.4829600000000001</v>
      </c>
      <c r="HE64">
        <v>20.3384</v>
      </c>
      <c r="HF64">
        <v>5.2232799999999999</v>
      </c>
      <c r="HG64">
        <v>12.0604</v>
      </c>
      <c r="HH64">
        <v>4.9919500000000001</v>
      </c>
      <c r="HI64">
        <v>3.2919999999999998</v>
      </c>
      <c r="HJ64">
        <v>9999</v>
      </c>
      <c r="HK64">
        <v>9999</v>
      </c>
      <c r="HL64">
        <v>9999</v>
      </c>
      <c r="HM64">
        <v>463.3</v>
      </c>
      <c r="HN64">
        <v>1.8666100000000001</v>
      </c>
      <c r="HO64">
        <v>1.87012</v>
      </c>
      <c r="HP64">
        <v>1.8727100000000001</v>
      </c>
      <c r="HQ64">
        <v>1.8736200000000001</v>
      </c>
      <c r="HR64">
        <v>1.87042</v>
      </c>
      <c r="HS64">
        <v>1.8687400000000001</v>
      </c>
      <c r="HT64">
        <v>1.8702700000000001</v>
      </c>
      <c r="HU64">
        <v>1.87317</v>
      </c>
      <c r="HV64">
        <v>0</v>
      </c>
      <c r="HW64">
        <v>0</v>
      </c>
      <c r="HX64">
        <v>0</v>
      </c>
      <c r="HY64">
        <v>0</v>
      </c>
      <c r="HZ64" t="s">
        <v>424</v>
      </c>
      <c r="IA64" t="s">
        <v>425</v>
      </c>
      <c r="IB64" t="s">
        <v>426</v>
      </c>
      <c r="IC64" t="s">
        <v>426</v>
      </c>
      <c r="ID64" t="s">
        <v>426</v>
      </c>
      <c r="IE64" t="s">
        <v>426</v>
      </c>
      <c r="IF64">
        <v>0</v>
      </c>
      <c r="IG64">
        <v>100</v>
      </c>
      <c r="IH64">
        <v>100</v>
      </c>
      <c r="II64">
        <v>6.9000000000000006E-2</v>
      </c>
      <c r="IJ64">
        <v>0.25019999999999998</v>
      </c>
      <c r="IK64">
        <v>-0.36091536132300572</v>
      </c>
      <c r="IL64">
        <v>3.042515301972944E-3</v>
      </c>
      <c r="IM64">
        <v>-2.5091471490852929E-6</v>
      </c>
      <c r="IN64">
        <v>8.1339755115576286E-10</v>
      </c>
      <c r="IO64">
        <v>0.25016742694789118</v>
      </c>
      <c r="IP64">
        <v>0</v>
      </c>
      <c r="IQ64">
        <v>0</v>
      </c>
      <c r="IR64">
        <v>0</v>
      </c>
      <c r="IS64">
        <v>3</v>
      </c>
      <c r="IT64">
        <v>2004</v>
      </c>
      <c r="IU64">
        <v>2</v>
      </c>
      <c r="IV64">
        <v>22</v>
      </c>
      <c r="IW64">
        <v>0.5</v>
      </c>
      <c r="IX64">
        <v>0.6</v>
      </c>
      <c r="IY64">
        <v>0.59692400000000001</v>
      </c>
      <c r="IZ64">
        <v>2.6000999999999999</v>
      </c>
      <c r="JA64">
        <v>1.64917</v>
      </c>
      <c r="JB64">
        <v>2.33643</v>
      </c>
      <c r="JC64">
        <v>1.5991200000000001</v>
      </c>
      <c r="JD64">
        <v>2.2717299999999998</v>
      </c>
      <c r="JE64">
        <v>46.0657</v>
      </c>
      <c r="JF64">
        <v>16.110900000000001</v>
      </c>
      <c r="JG64">
        <v>18</v>
      </c>
      <c r="JH64">
        <v>519.00199999999995</v>
      </c>
      <c r="JI64">
        <v>445.38900000000001</v>
      </c>
      <c r="JJ64">
        <v>28.0989</v>
      </c>
      <c r="JK64">
        <v>33.628799999999998</v>
      </c>
      <c r="JL64">
        <v>29.999199999999998</v>
      </c>
      <c r="JM64">
        <v>33.722099999999998</v>
      </c>
      <c r="JN64">
        <v>33.715800000000002</v>
      </c>
      <c r="JO64">
        <v>11.9567</v>
      </c>
      <c r="JP64">
        <v>48.354100000000003</v>
      </c>
      <c r="JQ64">
        <v>0</v>
      </c>
      <c r="JR64">
        <v>28.130600000000001</v>
      </c>
      <c r="JS64">
        <v>200</v>
      </c>
      <c r="JT64">
        <v>21.402000000000001</v>
      </c>
      <c r="JU64">
        <v>99.469800000000006</v>
      </c>
      <c r="JV64">
        <v>99.245500000000007</v>
      </c>
    </row>
    <row r="65" spans="1:282" x14ac:dyDescent="0.25">
      <c r="A65">
        <v>49</v>
      </c>
      <c r="B65">
        <v>1689008101.5</v>
      </c>
      <c r="C65">
        <v>8506.4000000953674</v>
      </c>
      <c r="D65" t="s">
        <v>670</v>
      </c>
      <c r="E65" t="s">
        <v>671</v>
      </c>
      <c r="F65" t="s">
        <v>414</v>
      </c>
      <c r="G65" t="s">
        <v>415</v>
      </c>
      <c r="H65" t="s">
        <v>655</v>
      </c>
      <c r="I65" t="s">
        <v>416</v>
      </c>
      <c r="J65" t="s">
        <v>656</v>
      </c>
      <c r="K65">
        <v>1689008101.5</v>
      </c>
      <c r="L65">
        <f t="shared" si="46"/>
        <v>7.005625898105051E-3</v>
      </c>
      <c r="M65">
        <f t="shared" si="47"/>
        <v>7.005625898105051</v>
      </c>
      <c r="N65">
        <f t="shared" si="48"/>
        <v>20.175696864867682</v>
      </c>
      <c r="O65">
        <f t="shared" si="49"/>
        <v>95.115799999999993</v>
      </c>
      <c r="P65">
        <f t="shared" si="50"/>
        <v>30.188221139733546</v>
      </c>
      <c r="Q65">
        <f t="shared" si="51"/>
        <v>2.9979616305307029</v>
      </c>
      <c r="R65">
        <f t="shared" si="52"/>
        <v>9.4458536505787993</v>
      </c>
      <c r="S65">
        <f t="shared" si="53"/>
        <v>0.55357876202806511</v>
      </c>
      <c r="T65">
        <f t="shared" si="54"/>
        <v>2.9154088294163856</v>
      </c>
      <c r="U65">
        <f t="shared" si="55"/>
        <v>0.5011267689195974</v>
      </c>
      <c r="V65">
        <f t="shared" si="56"/>
        <v>0.3175016499082759</v>
      </c>
      <c r="W65">
        <f t="shared" si="57"/>
        <v>289.56371557802044</v>
      </c>
      <c r="X65">
        <f t="shared" si="58"/>
        <v>30.252539489689571</v>
      </c>
      <c r="Y65">
        <f t="shared" si="59"/>
        <v>29.892800000000001</v>
      </c>
      <c r="Z65">
        <f t="shared" si="60"/>
        <v>4.2342864197802319</v>
      </c>
      <c r="AA65">
        <f t="shared" si="61"/>
        <v>66.553293091893053</v>
      </c>
      <c r="AB65">
        <f t="shared" si="62"/>
        <v>2.8958103081656006</v>
      </c>
      <c r="AC65">
        <f t="shared" si="63"/>
        <v>4.3511149841484604</v>
      </c>
      <c r="AD65">
        <f t="shared" si="64"/>
        <v>1.3384761116146313</v>
      </c>
      <c r="AE65">
        <f t="shared" si="65"/>
        <v>-308.94810210643277</v>
      </c>
      <c r="AF65">
        <f t="shared" si="66"/>
        <v>74.548349520892572</v>
      </c>
      <c r="AG65">
        <f t="shared" si="67"/>
        <v>5.6929397195909166</v>
      </c>
      <c r="AH65">
        <f t="shared" si="68"/>
        <v>60.856902712071161</v>
      </c>
      <c r="AI65">
        <v>0</v>
      </c>
      <c r="AJ65">
        <v>0</v>
      </c>
      <c r="AK65">
        <f t="shared" si="69"/>
        <v>1</v>
      </c>
      <c r="AL65">
        <f t="shared" si="70"/>
        <v>0</v>
      </c>
      <c r="AM65">
        <f t="shared" si="71"/>
        <v>51870.185493139499</v>
      </c>
      <c r="AN65" t="s">
        <v>418</v>
      </c>
      <c r="AO65">
        <v>10021</v>
      </c>
      <c r="AP65">
        <v>177.53923076923081</v>
      </c>
      <c r="AQ65">
        <v>655.56</v>
      </c>
      <c r="AR65">
        <f t="shared" si="72"/>
        <v>0.72917928066198234</v>
      </c>
      <c r="AS65">
        <v>-3.1115002560329539</v>
      </c>
      <c r="AT65" t="s">
        <v>672</v>
      </c>
      <c r="AU65">
        <v>8019.48</v>
      </c>
      <c r="AV65">
        <v>689.83034615384611</v>
      </c>
      <c r="AW65">
        <v>834.33801838727413</v>
      </c>
      <c r="AX65">
        <f t="shared" si="73"/>
        <v>0.17320039246533769</v>
      </c>
      <c r="AY65">
        <v>0.5</v>
      </c>
      <c r="AZ65">
        <f t="shared" si="74"/>
        <v>1513.1756992632231</v>
      </c>
      <c r="BA65">
        <f t="shared" si="75"/>
        <v>20.175696864867682</v>
      </c>
      <c r="BB65">
        <f t="shared" si="76"/>
        <v>131.04131249070102</v>
      </c>
      <c r="BC65">
        <f t="shared" si="77"/>
        <v>1.5389618754939926E-2</v>
      </c>
      <c r="BD65">
        <f t="shared" si="78"/>
        <v>-0.21427528705073454</v>
      </c>
      <c r="BE65">
        <f t="shared" si="79"/>
        <v>188.47656091500724</v>
      </c>
      <c r="BF65" t="s">
        <v>673</v>
      </c>
      <c r="BG65">
        <v>549.73</v>
      </c>
      <c r="BH65">
        <f t="shared" si="80"/>
        <v>549.73</v>
      </c>
      <c r="BI65">
        <f t="shared" si="81"/>
        <v>0.34111836224052761</v>
      </c>
      <c r="BJ65">
        <f t="shared" si="82"/>
        <v>0.50774280026359753</v>
      </c>
      <c r="BK65">
        <f t="shared" si="83"/>
        <v>-1.6892943247403791</v>
      </c>
      <c r="BL65">
        <f t="shared" si="84"/>
        <v>0.22001817749618843</v>
      </c>
      <c r="BM65">
        <f t="shared" si="85"/>
        <v>-0.37399634052504394</v>
      </c>
      <c r="BN65">
        <f t="shared" si="86"/>
        <v>0.40462332680078666</v>
      </c>
      <c r="BO65">
        <f t="shared" si="87"/>
        <v>0.59537667319921339</v>
      </c>
      <c r="BP65">
        <v>22563</v>
      </c>
      <c r="BQ65">
        <v>290.00000000000011</v>
      </c>
      <c r="BR65">
        <v>792.63</v>
      </c>
      <c r="BS65">
        <v>295</v>
      </c>
      <c r="BT65">
        <v>8019.48</v>
      </c>
      <c r="BU65">
        <v>793.3</v>
      </c>
      <c r="BV65">
        <v>-0.67</v>
      </c>
      <c r="BW65">
        <v>300.00000000000011</v>
      </c>
      <c r="BX65">
        <v>19.399999999999999</v>
      </c>
      <c r="BY65">
        <v>834.33801838727413</v>
      </c>
      <c r="BZ65">
        <v>3.2274233406844299</v>
      </c>
      <c r="CA65">
        <v>-32.908124454239378</v>
      </c>
      <c r="CB65">
        <v>2.3775083599730702</v>
      </c>
      <c r="CC65">
        <v>0.8724869037234334</v>
      </c>
      <c r="CD65">
        <v>-4.1417103448275986E-3</v>
      </c>
      <c r="CE65">
        <v>289.99999999999989</v>
      </c>
      <c r="CF65">
        <v>791.11</v>
      </c>
      <c r="CG65">
        <v>655</v>
      </c>
      <c r="CH65">
        <v>8009.38</v>
      </c>
      <c r="CI65">
        <v>793.25</v>
      </c>
      <c r="CJ65">
        <v>-2.14</v>
      </c>
      <c r="CX65">
        <f t="shared" si="88"/>
        <v>1799.99</v>
      </c>
      <c r="CY65">
        <f t="shared" si="89"/>
        <v>1513.1756992632231</v>
      </c>
      <c r="CZ65">
        <f t="shared" si="90"/>
        <v>0.84065783657866044</v>
      </c>
      <c r="DA65">
        <f t="shared" si="91"/>
        <v>0.16086962459681467</v>
      </c>
      <c r="DB65">
        <v>6</v>
      </c>
      <c r="DC65">
        <v>0.5</v>
      </c>
      <c r="DD65" t="s">
        <v>421</v>
      </c>
      <c r="DE65">
        <v>2</v>
      </c>
      <c r="DF65">
        <v>1689008101.5</v>
      </c>
      <c r="DG65">
        <v>95.115799999999993</v>
      </c>
      <c r="DH65">
        <v>120.121</v>
      </c>
      <c r="DI65">
        <v>29.159600000000001</v>
      </c>
      <c r="DJ65">
        <v>20.999700000000001</v>
      </c>
      <c r="DK65">
        <v>95.158500000000004</v>
      </c>
      <c r="DL65">
        <v>28.9084</v>
      </c>
      <c r="DM65">
        <v>500.10500000000002</v>
      </c>
      <c r="DN65">
        <v>99.208500000000001</v>
      </c>
      <c r="DO65">
        <v>0.10048600000000001</v>
      </c>
      <c r="DP65">
        <v>30.367100000000001</v>
      </c>
      <c r="DQ65">
        <v>29.892800000000001</v>
      </c>
      <c r="DR65">
        <v>999.9</v>
      </c>
      <c r="DS65">
        <v>0</v>
      </c>
      <c r="DT65">
        <v>0</v>
      </c>
      <c r="DU65">
        <v>9998.75</v>
      </c>
      <c r="DV65">
        <v>0</v>
      </c>
      <c r="DW65">
        <v>1716.95</v>
      </c>
      <c r="DX65">
        <v>-25.005099999999999</v>
      </c>
      <c r="DY65">
        <v>97.9726</v>
      </c>
      <c r="DZ65">
        <v>122.69799999999999</v>
      </c>
      <c r="EA65">
        <v>8.1598500000000005</v>
      </c>
      <c r="EB65">
        <v>120.121</v>
      </c>
      <c r="EC65">
        <v>20.999700000000001</v>
      </c>
      <c r="ED65">
        <v>2.8928699999999998</v>
      </c>
      <c r="EE65">
        <v>2.0833499999999998</v>
      </c>
      <c r="EF65">
        <v>23.4238</v>
      </c>
      <c r="EG65">
        <v>18.092400000000001</v>
      </c>
      <c r="EH65">
        <v>1799.99</v>
      </c>
      <c r="EI65">
        <v>0.97801000000000005</v>
      </c>
      <c r="EJ65">
        <v>2.1990300000000001E-2</v>
      </c>
      <c r="EK65">
        <v>0</v>
      </c>
      <c r="EL65">
        <v>689.755</v>
      </c>
      <c r="EM65">
        <v>5.0011200000000002</v>
      </c>
      <c r="EN65">
        <v>14191.4</v>
      </c>
      <c r="EO65">
        <v>17210.8</v>
      </c>
      <c r="EP65">
        <v>49.125</v>
      </c>
      <c r="EQ65">
        <v>49.811999999999998</v>
      </c>
      <c r="ER65">
        <v>49.811999999999998</v>
      </c>
      <c r="ES65">
        <v>49.25</v>
      </c>
      <c r="ET65">
        <v>49.811999999999998</v>
      </c>
      <c r="EU65">
        <v>1755.52</v>
      </c>
      <c r="EV65">
        <v>39.47</v>
      </c>
      <c r="EW65">
        <v>0</v>
      </c>
      <c r="EX65">
        <v>113.4000000953674</v>
      </c>
      <c r="EY65">
        <v>0</v>
      </c>
      <c r="EZ65">
        <v>689.83034615384611</v>
      </c>
      <c r="FA65">
        <v>-3.7112136550043848</v>
      </c>
      <c r="FB65">
        <v>-44.099145368904971</v>
      </c>
      <c r="FC65">
        <v>14196.811538461539</v>
      </c>
      <c r="FD65">
        <v>15</v>
      </c>
      <c r="FE65">
        <v>1689008069.5</v>
      </c>
      <c r="FF65" t="s">
        <v>674</v>
      </c>
      <c r="FG65">
        <v>1689008054</v>
      </c>
      <c r="FH65">
        <v>1689008069.5</v>
      </c>
      <c r="FI65">
        <v>54</v>
      </c>
      <c r="FJ65">
        <v>5.0999999999999997E-2</v>
      </c>
      <c r="FK65">
        <v>1E-3</v>
      </c>
      <c r="FL65">
        <v>0.02</v>
      </c>
      <c r="FM65">
        <v>0.23699999999999999</v>
      </c>
      <c r="FN65">
        <v>120</v>
      </c>
      <c r="FO65">
        <v>21</v>
      </c>
      <c r="FP65">
        <v>0.1</v>
      </c>
      <c r="FQ65">
        <v>0.02</v>
      </c>
      <c r="FR65">
        <v>20.045949548685979</v>
      </c>
      <c r="FS65">
        <v>-0.22405452150858471</v>
      </c>
      <c r="FT65">
        <v>3.5212054367959468E-2</v>
      </c>
      <c r="FU65">
        <v>1</v>
      </c>
      <c r="FV65">
        <v>0.53839325759283696</v>
      </c>
      <c r="FW65">
        <v>3.6043801447378232E-2</v>
      </c>
      <c r="FX65">
        <v>3.038329391950991E-3</v>
      </c>
      <c r="FY65">
        <v>1</v>
      </c>
      <c r="FZ65">
        <v>2</v>
      </c>
      <c r="GA65">
        <v>2</v>
      </c>
      <c r="GB65" t="s">
        <v>423</v>
      </c>
      <c r="GC65">
        <v>2.9249700000000001</v>
      </c>
      <c r="GD65">
        <v>2.8277700000000001</v>
      </c>
      <c r="GE65">
        <v>2.4696099999999999E-2</v>
      </c>
      <c r="GF65">
        <v>3.10046E-2</v>
      </c>
      <c r="GG65">
        <v>0.128305</v>
      </c>
      <c r="GH65">
        <v>0.10245799999999999</v>
      </c>
      <c r="GI65">
        <v>31813</v>
      </c>
      <c r="GJ65">
        <v>25644.6</v>
      </c>
      <c r="GK65">
        <v>31391</v>
      </c>
      <c r="GL65">
        <v>26108.3</v>
      </c>
      <c r="GM65">
        <v>37513.699999999997</v>
      </c>
      <c r="GN65">
        <v>31783</v>
      </c>
      <c r="GO65">
        <v>46619.4</v>
      </c>
      <c r="GP65">
        <v>37957.4</v>
      </c>
      <c r="GQ65">
        <v>1.9225000000000001</v>
      </c>
      <c r="GR65">
        <v>1.7350300000000001</v>
      </c>
      <c r="GS65">
        <v>-8.9220700000000007E-3</v>
      </c>
      <c r="GT65">
        <v>0</v>
      </c>
      <c r="GU65">
        <v>30.038</v>
      </c>
      <c r="GV65">
        <v>999.9</v>
      </c>
      <c r="GW65">
        <v>39.5</v>
      </c>
      <c r="GX65">
        <v>43.7</v>
      </c>
      <c r="GY65">
        <v>35.875700000000002</v>
      </c>
      <c r="GZ65">
        <v>62.491399999999999</v>
      </c>
      <c r="HA65">
        <v>22.063300000000002</v>
      </c>
      <c r="HB65">
        <v>1</v>
      </c>
      <c r="HC65">
        <v>0.50150899999999998</v>
      </c>
      <c r="HD65">
        <v>1.20702</v>
      </c>
      <c r="HE65">
        <v>20.339500000000001</v>
      </c>
      <c r="HF65">
        <v>5.22058</v>
      </c>
      <c r="HG65">
        <v>12.058199999999999</v>
      </c>
      <c r="HH65">
        <v>4.9897999999999998</v>
      </c>
      <c r="HI65">
        <v>3.2913299999999999</v>
      </c>
      <c r="HJ65">
        <v>9999</v>
      </c>
      <c r="HK65">
        <v>9999</v>
      </c>
      <c r="HL65">
        <v>9999</v>
      </c>
      <c r="HM65">
        <v>463.4</v>
      </c>
      <c r="HN65">
        <v>1.8666100000000001</v>
      </c>
      <c r="HO65">
        <v>1.87012</v>
      </c>
      <c r="HP65">
        <v>1.8727100000000001</v>
      </c>
      <c r="HQ65">
        <v>1.8736299999999999</v>
      </c>
      <c r="HR65">
        <v>1.87042</v>
      </c>
      <c r="HS65">
        <v>1.8687400000000001</v>
      </c>
      <c r="HT65">
        <v>1.8702700000000001</v>
      </c>
      <c r="HU65">
        <v>1.87317</v>
      </c>
      <c r="HV65">
        <v>0</v>
      </c>
      <c r="HW65">
        <v>0</v>
      </c>
      <c r="HX65">
        <v>0</v>
      </c>
      <c r="HY65">
        <v>0</v>
      </c>
      <c r="HZ65" t="s">
        <v>424</v>
      </c>
      <c r="IA65" t="s">
        <v>425</v>
      </c>
      <c r="IB65" t="s">
        <v>426</v>
      </c>
      <c r="IC65" t="s">
        <v>426</v>
      </c>
      <c r="ID65" t="s">
        <v>426</v>
      </c>
      <c r="IE65" t="s">
        <v>426</v>
      </c>
      <c r="IF65">
        <v>0</v>
      </c>
      <c r="IG65">
        <v>100</v>
      </c>
      <c r="IH65">
        <v>100</v>
      </c>
      <c r="II65">
        <v>-4.2999999999999997E-2</v>
      </c>
      <c r="IJ65">
        <v>0.25119999999999998</v>
      </c>
      <c r="IK65">
        <v>-0.31016015636539229</v>
      </c>
      <c r="IL65">
        <v>3.042515301972944E-3</v>
      </c>
      <c r="IM65">
        <v>-2.5091471490852929E-6</v>
      </c>
      <c r="IN65">
        <v>8.1339755115576286E-10</v>
      </c>
      <c r="IO65">
        <v>0.25112563803680238</v>
      </c>
      <c r="IP65">
        <v>0</v>
      </c>
      <c r="IQ65">
        <v>0</v>
      </c>
      <c r="IR65">
        <v>0</v>
      </c>
      <c r="IS65">
        <v>3</v>
      </c>
      <c r="IT65">
        <v>2004</v>
      </c>
      <c r="IU65">
        <v>2</v>
      </c>
      <c r="IV65">
        <v>22</v>
      </c>
      <c r="IW65">
        <v>0.8</v>
      </c>
      <c r="IX65">
        <v>0.5</v>
      </c>
      <c r="IY65">
        <v>0.41259800000000002</v>
      </c>
      <c r="IZ65">
        <v>2.6025399999999999</v>
      </c>
      <c r="JA65">
        <v>1.64917</v>
      </c>
      <c r="JB65">
        <v>2.33643</v>
      </c>
      <c r="JC65">
        <v>1.5991200000000001</v>
      </c>
      <c r="JD65">
        <v>2.33887</v>
      </c>
      <c r="JE65">
        <v>45.892099999999999</v>
      </c>
      <c r="JF65">
        <v>16.1021</v>
      </c>
      <c r="JG65">
        <v>18</v>
      </c>
      <c r="JH65">
        <v>519.79999999999995</v>
      </c>
      <c r="JI65">
        <v>445.35500000000002</v>
      </c>
      <c r="JJ65">
        <v>27.1936</v>
      </c>
      <c r="JK65">
        <v>33.556899999999999</v>
      </c>
      <c r="JL65">
        <v>29.994199999999999</v>
      </c>
      <c r="JM65">
        <v>33.647599999999997</v>
      </c>
      <c r="JN65">
        <v>33.654699999999998</v>
      </c>
      <c r="JO65">
        <v>8.2660300000000007</v>
      </c>
      <c r="JP65">
        <v>49.9925</v>
      </c>
      <c r="JQ65">
        <v>0</v>
      </c>
      <c r="JR65">
        <v>27.2666</v>
      </c>
      <c r="JS65">
        <v>120</v>
      </c>
      <c r="JT65">
        <v>20.683199999999999</v>
      </c>
      <c r="JU65">
        <v>99.497600000000006</v>
      </c>
      <c r="JV65">
        <v>99.263300000000001</v>
      </c>
    </row>
    <row r="66" spans="1:282" x14ac:dyDescent="0.25">
      <c r="A66">
        <v>50</v>
      </c>
      <c r="B66">
        <v>1689008218</v>
      </c>
      <c r="C66">
        <v>8622.9000000953674</v>
      </c>
      <c r="D66" t="s">
        <v>675</v>
      </c>
      <c r="E66" t="s">
        <v>676</v>
      </c>
      <c r="F66" t="s">
        <v>414</v>
      </c>
      <c r="G66" t="s">
        <v>415</v>
      </c>
      <c r="H66" t="s">
        <v>655</v>
      </c>
      <c r="I66" t="s">
        <v>416</v>
      </c>
      <c r="J66" t="s">
        <v>656</v>
      </c>
      <c r="K66">
        <v>1689008218</v>
      </c>
      <c r="L66">
        <f t="shared" si="46"/>
        <v>7.3041896631175236E-3</v>
      </c>
      <c r="M66">
        <f t="shared" si="47"/>
        <v>7.3041896631175236</v>
      </c>
      <c r="N66">
        <f t="shared" si="48"/>
        <v>12.207764959233327</v>
      </c>
      <c r="O66">
        <f t="shared" si="49"/>
        <v>54.976599999999998</v>
      </c>
      <c r="P66">
        <f t="shared" si="50"/>
        <v>15.70782201369587</v>
      </c>
      <c r="Q66">
        <f t="shared" si="51"/>
        <v>1.5599613655251483</v>
      </c>
      <c r="R66">
        <f t="shared" si="52"/>
        <v>5.4597876098388003</v>
      </c>
      <c r="S66">
        <f t="shared" si="53"/>
        <v>0.55352618417718746</v>
      </c>
      <c r="T66">
        <f t="shared" si="54"/>
        <v>2.9128285260575559</v>
      </c>
      <c r="U66">
        <f t="shared" si="55"/>
        <v>0.50104190308665719</v>
      </c>
      <c r="V66">
        <f t="shared" si="56"/>
        <v>0.31745095749832175</v>
      </c>
      <c r="W66">
        <f t="shared" si="57"/>
        <v>289.59098857706613</v>
      </c>
      <c r="X66">
        <f t="shared" si="58"/>
        <v>30.20133197064029</v>
      </c>
      <c r="Y66">
        <f t="shared" si="59"/>
        <v>29.962900000000001</v>
      </c>
      <c r="Z66">
        <f t="shared" si="60"/>
        <v>4.2513792074405856</v>
      </c>
      <c r="AA66">
        <f t="shared" si="61"/>
        <v>65.525178131245454</v>
      </c>
      <c r="AB66">
        <f t="shared" si="62"/>
        <v>2.8554230580714002</v>
      </c>
      <c r="AC66">
        <f t="shared" si="63"/>
        <v>4.3577494018437495</v>
      </c>
      <c r="AD66">
        <f t="shared" si="64"/>
        <v>1.3959561493691854</v>
      </c>
      <c r="AE66">
        <f t="shared" si="65"/>
        <v>-322.11476414348277</v>
      </c>
      <c r="AF66">
        <f t="shared" si="66"/>
        <v>67.651286072827546</v>
      </c>
      <c r="AG66">
        <f t="shared" si="67"/>
        <v>5.1732909635081539</v>
      </c>
      <c r="AH66">
        <f t="shared" si="68"/>
        <v>40.30080146991908</v>
      </c>
      <c r="AI66">
        <v>0</v>
      </c>
      <c r="AJ66">
        <v>0</v>
      </c>
      <c r="AK66">
        <f t="shared" si="69"/>
        <v>1</v>
      </c>
      <c r="AL66">
        <f t="shared" si="70"/>
        <v>0</v>
      </c>
      <c r="AM66">
        <f t="shared" si="71"/>
        <v>51792.348455051339</v>
      </c>
      <c r="AN66" t="s">
        <v>418</v>
      </c>
      <c r="AO66">
        <v>10021</v>
      </c>
      <c r="AP66">
        <v>177.53923076923081</v>
      </c>
      <c r="AQ66">
        <v>655.56</v>
      </c>
      <c r="AR66">
        <f t="shared" si="72"/>
        <v>0.72917928066198234</v>
      </c>
      <c r="AS66">
        <v>-3.1115002560329539</v>
      </c>
      <c r="AT66" t="s">
        <v>677</v>
      </c>
      <c r="AU66">
        <v>8019.94</v>
      </c>
      <c r="AV66">
        <v>704.96364000000005</v>
      </c>
      <c r="AW66">
        <v>803.12546589216083</v>
      </c>
      <c r="AX66">
        <f t="shared" si="73"/>
        <v>0.12222477067529747</v>
      </c>
      <c r="AY66">
        <v>0.5</v>
      </c>
      <c r="AZ66">
        <f t="shared" si="74"/>
        <v>1513.3109992627287</v>
      </c>
      <c r="BA66">
        <f t="shared" si="75"/>
        <v>12.207764959233327</v>
      </c>
      <c r="BB66">
        <f t="shared" si="76"/>
        <v>92.482044922646139</v>
      </c>
      <c r="BC66">
        <f t="shared" si="77"/>
        <v>1.0123011874445958E-2</v>
      </c>
      <c r="BD66">
        <f t="shared" si="78"/>
        <v>-0.18373899491312501</v>
      </c>
      <c r="BE66">
        <f t="shared" si="79"/>
        <v>186.83626433558177</v>
      </c>
      <c r="BF66" t="s">
        <v>678</v>
      </c>
      <c r="BG66">
        <v>571.24</v>
      </c>
      <c r="BH66">
        <f t="shared" si="80"/>
        <v>571.24</v>
      </c>
      <c r="BI66">
        <f t="shared" si="81"/>
        <v>0.28872881727709665</v>
      </c>
      <c r="BJ66">
        <f t="shared" si="82"/>
        <v>0.42332030390301084</v>
      </c>
      <c r="BK66">
        <f t="shared" si="83"/>
        <v>-1.7500648231992528</v>
      </c>
      <c r="BL66">
        <f t="shared" si="84"/>
        <v>0.15691174194852867</v>
      </c>
      <c r="BM66">
        <f t="shared" si="85"/>
        <v>-0.30870095065037279</v>
      </c>
      <c r="BN66">
        <f t="shared" si="86"/>
        <v>0.34302122362162663</v>
      </c>
      <c r="BO66">
        <f t="shared" si="87"/>
        <v>0.65697877637837343</v>
      </c>
      <c r="BP66">
        <v>22565</v>
      </c>
      <c r="BQ66">
        <v>290.00000000000011</v>
      </c>
      <c r="BR66">
        <v>773.44</v>
      </c>
      <c r="BS66">
        <v>265</v>
      </c>
      <c r="BT66">
        <v>8019.94</v>
      </c>
      <c r="BU66">
        <v>773.74</v>
      </c>
      <c r="BV66">
        <v>-0.3</v>
      </c>
      <c r="BW66">
        <v>300.00000000000011</v>
      </c>
      <c r="BX66">
        <v>19.399999999999999</v>
      </c>
      <c r="BY66">
        <v>803.12546589216083</v>
      </c>
      <c r="BZ66">
        <v>2.605692273100535</v>
      </c>
      <c r="CA66">
        <v>-23.570699601817392</v>
      </c>
      <c r="CB66">
        <v>1.9193088674570391</v>
      </c>
      <c r="CC66">
        <v>0.84341682790920447</v>
      </c>
      <c r="CD66">
        <v>-4.1412876529477172E-3</v>
      </c>
      <c r="CE66">
        <v>289.99999999999989</v>
      </c>
      <c r="CF66">
        <v>772.6</v>
      </c>
      <c r="CG66">
        <v>635</v>
      </c>
      <c r="CH66">
        <v>8009.17</v>
      </c>
      <c r="CI66">
        <v>773.7</v>
      </c>
      <c r="CJ66">
        <v>-1.1000000000000001</v>
      </c>
      <c r="CX66">
        <f t="shared" si="88"/>
        <v>1800.15</v>
      </c>
      <c r="CY66">
        <f t="shared" si="89"/>
        <v>1513.3109992627287</v>
      </c>
      <c r="CZ66">
        <f t="shared" si="90"/>
        <v>0.84065827806723259</v>
      </c>
      <c r="DA66">
        <f t="shared" si="91"/>
        <v>0.16087047666975871</v>
      </c>
      <c r="DB66">
        <v>6</v>
      </c>
      <c r="DC66">
        <v>0.5</v>
      </c>
      <c r="DD66" t="s">
        <v>421</v>
      </c>
      <c r="DE66">
        <v>2</v>
      </c>
      <c r="DF66">
        <v>1689008218</v>
      </c>
      <c r="DG66">
        <v>54.976599999999998</v>
      </c>
      <c r="DH66">
        <v>70.106700000000004</v>
      </c>
      <c r="DI66">
        <v>28.752300000000002</v>
      </c>
      <c r="DJ66">
        <v>20.239899999999999</v>
      </c>
      <c r="DK66">
        <v>55.190600000000003</v>
      </c>
      <c r="DL66">
        <v>28.5031</v>
      </c>
      <c r="DM66">
        <v>500.036</v>
      </c>
      <c r="DN66">
        <v>99.211100000000002</v>
      </c>
      <c r="DO66">
        <v>0.100018</v>
      </c>
      <c r="DP66">
        <v>30.393699999999999</v>
      </c>
      <c r="DQ66">
        <v>29.962900000000001</v>
      </c>
      <c r="DR66">
        <v>999.9</v>
      </c>
      <c r="DS66">
        <v>0</v>
      </c>
      <c r="DT66">
        <v>0</v>
      </c>
      <c r="DU66">
        <v>9983.75</v>
      </c>
      <c r="DV66">
        <v>0</v>
      </c>
      <c r="DW66">
        <v>624.96</v>
      </c>
      <c r="DX66">
        <v>-15.13</v>
      </c>
      <c r="DY66">
        <v>56.604100000000003</v>
      </c>
      <c r="DZ66">
        <v>71.554900000000004</v>
      </c>
      <c r="EA66">
        <v>8.5124399999999998</v>
      </c>
      <c r="EB66">
        <v>70.106700000000004</v>
      </c>
      <c r="EC66">
        <v>20.239899999999999</v>
      </c>
      <c r="ED66">
        <v>2.8525499999999999</v>
      </c>
      <c r="EE66">
        <v>2.0080200000000001</v>
      </c>
      <c r="EF66">
        <v>23.191400000000002</v>
      </c>
      <c r="EG66">
        <v>17.5077</v>
      </c>
      <c r="EH66">
        <v>1800.15</v>
      </c>
      <c r="EI66">
        <v>0.97799499999999995</v>
      </c>
      <c r="EJ66">
        <v>2.2004800000000001E-2</v>
      </c>
      <c r="EK66">
        <v>0</v>
      </c>
      <c r="EL66">
        <v>704.99599999999998</v>
      </c>
      <c r="EM66">
        <v>5.0011200000000002</v>
      </c>
      <c r="EN66">
        <v>13892.2</v>
      </c>
      <c r="EO66">
        <v>17212.3</v>
      </c>
      <c r="EP66">
        <v>49.186999999999998</v>
      </c>
      <c r="EQ66">
        <v>50</v>
      </c>
      <c r="ER66">
        <v>49.936999999999998</v>
      </c>
      <c r="ES66">
        <v>49.436999999999998</v>
      </c>
      <c r="ET66">
        <v>49.936999999999998</v>
      </c>
      <c r="EU66">
        <v>1755.65</v>
      </c>
      <c r="EV66">
        <v>39.5</v>
      </c>
      <c r="EW66">
        <v>0</v>
      </c>
      <c r="EX66">
        <v>114.7999999523163</v>
      </c>
      <c r="EY66">
        <v>0</v>
      </c>
      <c r="EZ66">
        <v>704.96364000000005</v>
      </c>
      <c r="FA66">
        <v>-0.90338461545703552</v>
      </c>
      <c r="FB66">
        <v>-3238.115391546331</v>
      </c>
      <c r="FC66">
        <v>14231.995999999999</v>
      </c>
      <c r="FD66">
        <v>15</v>
      </c>
      <c r="FE66">
        <v>1689008185</v>
      </c>
      <c r="FF66" t="s">
        <v>679</v>
      </c>
      <c r="FG66">
        <v>1689008180</v>
      </c>
      <c r="FH66">
        <v>1689008185</v>
      </c>
      <c r="FI66">
        <v>55</v>
      </c>
      <c r="FJ66">
        <v>-6.4000000000000001E-2</v>
      </c>
      <c r="FK66">
        <v>-2E-3</v>
      </c>
      <c r="FL66">
        <v>-0.17299999999999999</v>
      </c>
      <c r="FM66">
        <v>0.20200000000000001</v>
      </c>
      <c r="FN66">
        <v>70</v>
      </c>
      <c r="FO66">
        <v>20</v>
      </c>
      <c r="FP66">
        <v>0.08</v>
      </c>
      <c r="FQ66">
        <v>0.01</v>
      </c>
      <c r="FR66">
        <v>12.196222750713501</v>
      </c>
      <c r="FS66">
        <v>-0.43414177510255858</v>
      </c>
      <c r="FT66">
        <v>6.7897122820286898E-2</v>
      </c>
      <c r="FU66">
        <v>1</v>
      </c>
      <c r="FV66">
        <v>0.55434295739324058</v>
      </c>
      <c r="FW66">
        <v>-2.0464022381058791E-2</v>
      </c>
      <c r="FX66">
        <v>1.7905356640488209E-3</v>
      </c>
      <c r="FY66">
        <v>1</v>
      </c>
      <c r="FZ66">
        <v>2</v>
      </c>
      <c r="GA66">
        <v>2</v>
      </c>
      <c r="GB66" t="s">
        <v>423</v>
      </c>
      <c r="GC66">
        <v>2.9247100000000001</v>
      </c>
      <c r="GD66">
        <v>2.8271700000000002</v>
      </c>
      <c r="GE66">
        <v>1.4477E-2</v>
      </c>
      <c r="GF66">
        <v>1.8428900000000002E-2</v>
      </c>
      <c r="GG66">
        <v>0.12704799999999999</v>
      </c>
      <c r="GH66">
        <v>9.9807199999999999E-2</v>
      </c>
      <c r="GI66">
        <v>32139.3</v>
      </c>
      <c r="GJ66">
        <v>25971.8</v>
      </c>
      <c r="GK66">
        <v>31385</v>
      </c>
      <c r="GL66">
        <v>26103.7</v>
      </c>
      <c r="GM66">
        <v>37560.300000000003</v>
      </c>
      <c r="GN66">
        <v>31872</v>
      </c>
      <c r="GO66">
        <v>46610</v>
      </c>
      <c r="GP66">
        <v>37951.5</v>
      </c>
      <c r="GQ66">
        <v>1.92127</v>
      </c>
      <c r="GR66">
        <v>1.7330700000000001</v>
      </c>
      <c r="GS66">
        <v>-1.7449300000000001E-2</v>
      </c>
      <c r="GT66">
        <v>0</v>
      </c>
      <c r="GU66">
        <v>30.2468</v>
      </c>
      <c r="GV66">
        <v>999.9</v>
      </c>
      <c r="GW66">
        <v>39.700000000000003</v>
      </c>
      <c r="GX66">
        <v>43.5</v>
      </c>
      <c r="GY66">
        <v>35.682000000000002</v>
      </c>
      <c r="GZ66">
        <v>62.3414</v>
      </c>
      <c r="HA66">
        <v>22.475999999999999</v>
      </c>
      <c r="HB66">
        <v>1</v>
      </c>
      <c r="HC66">
        <v>0.51277200000000001</v>
      </c>
      <c r="HD66">
        <v>2.4511799999999999</v>
      </c>
      <c r="HE66">
        <v>20.327100000000002</v>
      </c>
      <c r="HF66">
        <v>5.2228300000000001</v>
      </c>
      <c r="HG66">
        <v>12.0579</v>
      </c>
      <c r="HH66">
        <v>4.9924499999999998</v>
      </c>
      <c r="HI66">
        <v>3.2919999999999998</v>
      </c>
      <c r="HJ66">
        <v>9999</v>
      </c>
      <c r="HK66">
        <v>9999</v>
      </c>
      <c r="HL66">
        <v>9999</v>
      </c>
      <c r="HM66">
        <v>463.4</v>
      </c>
      <c r="HN66">
        <v>1.8666100000000001</v>
      </c>
      <c r="HO66">
        <v>1.87012</v>
      </c>
      <c r="HP66">
        <v>1.8727</v>
      </c>
      <c r="HQ66">
        <v>1.8735599999999999</v>
      </c>
      <c r="HR66">
        <v>1.8704099999999999</v>
      </c>
      <c r="HS66">
        <v>1.8687400000000001</v>
      </c>
      <c r="HT66">
        <v>1.87026</v>
      </c>
      <c r="HU66">
        <v>1.87317</v>
      </c>
      <c r="HV66">
        <v>0</v>
      </c>
      <c r="HW66">
        <v>0</v>
      </c>
      <c r="HX66">
        <v>0</v>
      </c>
      <c r="HY66">
        <v>0</v>
      </c>
      <c r="HZ66" t="s">
        <v>424</v>
      </c>
      <c r="IA66" t="s">
        <v>425</v>
      </c>
      <c r="IB66" t="s">
        <v>426</v>
      </c>
      <c r="IC66" t="s">
        <v>426</v>
      </c>
      <c r="ID66" t="s">
        <v>426</v>
      </c>
      <c r="IE66" t="s">
        <v>426</v>
      </c>
      <c r="IF66">
        <v>0</v>
      </c>
      <c r="IG66">
        <v>100</v>
      </c>
      <c r="IH66">
        <v>100</v>
      </c>
      <c r="II66">
        <v>-0.214</v>
      </c>
      <c r="IJ66">
        <v>0.2492</v>
      </c>
      <c r="IK66">
        <v>-0.3744509059928679</v>
      </c>
      <c r="IL66">
        <v>3.042515301972944E-3</v>
      </c>
      <c r="IM66">
        <v>-2.5091471490852929E-6</v>
      </c>
      <c r="IN66">
        <v>8.1339755115576286E-10</v>
      </c>
      <c r="IO66">
        <v>0.24923238702702641</v>
      </c>
      <c r="IP66">
        <v>0</v>
      </c>
      <c r="IQ66">
        <v>0</v>
      </c>
      <c r="IR66">
        <v>0</v>
      </c>
      <c r="IS66">
        <v>3</v>
      </c>
      <c r="IT66">
        <v>2004</v>
      </c>
      <c r="IU66">
        <v>2</v>
      </c>
      <c r="IV66">
        <v>22</v>
      </c>
      <c r="IW66">
        <v>0.6</v>
      </c>
      <c r="IX66">
        <v>0.6</v>
      </c>
      <c r="IY66">
        <v>0.29785200000000001</v>
      </c>
      <c r="IZ66">
        <v>2.63062</v>
      </c>
      <c r="JA66">
        <v>1.64917</v>
      </c>
      <c r="JB66">
        <v>2.33643</v>
      </c>
      <c r="JC66">
        <v>1.5991200000000001</v>
      </c>
      <c r="JD66">
        <v>2.2595200000000002</v>
      </c>
      <c r="JE66">
        <v>45.805599999999998</v>
      </c>
      <c r="JF66">
        <v>16.075800000000001</v>
      </c>
      <c r="JG66">
        <v>18</v>
      </c>
      <c r="JH66">
        <v>519.33799999999997</v>
      </c>
      <c r="JI66">
        <v>444.36099999999999</v>
      </c>
      <c r="JJ66">
        <v>27.413499999999999</v>
      </c>
      <c r="JK66">
        <v>33.6297</v>
      </c>
      <c r="JL66">
        <v>30.000499999999999</v>
      </c>
      <c r="JM66">
        <v>33.692799999999998</v>
      </c>
      <c r="JN66">
        <v>33.694699999999997</v>
      </c>
      <c r="JO66">
        <v>5.9688999999999997</v>
      </c>
      <c r="JP66">
        <v>51.4086</v>
      </c>
      <c r="JQ66">
        <v>0</v>
      </c>
      <c r="JR66">
        <v>27.410599999999999</v>
      </c>
      <c r="JS66">
        <v>70</v>
      </c>
      <c r="JT66">
        <v>20.1676</v>
      </c>
      <c r="JU66">
        <v>99.477900000000005</v>
      </c>
      <c r="JV66">
        <v>99.247</v>
      </c>
    </row>
    <row r="67" spans="1:282" x14ac:dyDescent="0.25">
      <c r="A67">
        <v>51</v>
      </c>
      <c r="B67">
        <v>1689008331</v>
      </c>
      <c r="C67">
        <v>8735.9000000953674</v>
      </c>
      <c r="D67" t="s">
        <v>680</v>
      </c>
      <c r="E67" t="s">
        <v>681</v>
      </c>
      <c r="F67" t="s">
        <v>414</v>
      </c>
      <c r="G67" t="s">
        <v>415</v>
      </c>
      <c r="H67" t="s">
        <v>655</v>
      </c>
      <c r="I67" t="s">
        <v>416</v>
      </c>
      <c r="J67" t="s">
        <v>656</v>
      </c>
      <c r="K67">
        <v>1689008331</v>
      </c>
      <c r="L67">
        <f t="shared" si="46"/>
        <v>7.1077478076141381E-3</v>
      </c>
      <c r="M67">
        <f t="shared" si="47"/>
        <v>7.107747807614138</v>
      </c>
      <c r="N67">
        <f t="shared" si="48"/>
        <v>5.2878088303320325</v>
      </c>
      <c r="O67">
        <f t="shared" si="49"/>
        <v>23.497399999999999</v>
      </c>
      <c r="P67">
        <f t="shared" si="50"/>
        <v>6.3026600234438783</v>
      </c>
      <c r="Q67">
        <f t="shared" si="51"/>
        <v>0.62589586267680031</v>
      </c>
      <c r="R67">
        <f t="shared" si="52"/>
        <v>2.3334473680885197</v>
      </c>
      <c r="S67">
        <f t="shared" si="53"/>
        <v>0.54633055692324328</v>
      </c>
      <c r="T67">
        <f t="shared" si="54"/>
        <v>2.9158075293116337</v>
      </c>
      <c r="U67">
        <f t="shared" si="55"/>
        <v>0.49518155858515461</v>
      </c>
      <c r="V67">
        <f t="shared" si="56"/>
        <v>0.31368398087643101</v>
      </c>
      <c r="W67">
        <f t="shared" si="57"/>
        <v>289.59098857706613</v>
      </c>
      <c r="X67">
        <f t="shared" si="58"/>
        <v>30.347614777055242</v>
      </c>
      <c r="Y67">
        <f t="shared" si="59"/>
        <v>29.911300000000001</v>
      </c>
      <c r="Z67">
        <f t="shared" si="60"/>
        <v>4.2387915273169332</v>
      </c>
      <c r="AA67">
        <f t="shared" si="61"/>
        <v>65.373653989719955</v>
      </c>
      <c r="AB67">
        <f t="shared" si="62"/>
        <v>2.8643405575393199</v>
      </c>
      <c r="AC67">
        <f t="shared" si="63"/>
        <v>4.3814906812302992</v>
      </c>
      <c r="AD67">
        <f t="shared" si="64"/>
        <v>1.3744509697776133</v>
      </c>
      <c r="AE67">
        <f t="shared" si="65"/>
        <v>-313.45167831578351</v>
      </c>
      <c r="AF67">
        <f t="shared" si="66"/>
        <v>90.749837059839805</v>
      </c>
      <c r="AG67">
        <f t="shared" si="67"/>
        <v>6.9340341833848766</v>
      </c>
      <c r="AH67">
        <f t="shared" si="68"/>
        <v>73.823181504507303</v>
      </c>
      <c r="AI67">
        <v>0</v>
      </c>
      <c r="AJ67">
        <v>0</v>
      </c>
      <c r="AK67">
        <f t="shared" si="69"/>
        <v>1</v>
      </c>
      <c r="AL67">
        <f t="shared" si="70"/>
        <v>0</v>
      </c>
      <c r="AM67">
        <f t="shared" si="71"/>
        <v>51860.716234146952</v>
      </c>
      <c r="AN67" t="s">
        <v>418</v>
      </c>
      <c r="AO67">
        <v>10021</v>
      </c>
      <c r="AP67">
        <v>177.53923076923081</v>
      </c>
      <c r="AQ67">
        <v>655.56</v>
      </c>
      <c r="AR67">
        <f t="shared" si="72"/>
        <v>0.72917928066198234</v>
      </c>
      <c r="AS67">
        <v>-3.1115002560329539</v>
      </c>
      <c r="AT67" t="s">
        <v>682</v>
      </c>
      <c r="AU67">
        <v>8028.3</v>
      </c>
      <c r="AV67">
        <v>724.28084000000001</v>
      </c>
      <c r="AW67">
        <v>793.67755828437134</v>
      </c>
      <c r="AX67">
        <f t="shared" si="73"/>
        <v>8.7436916364853068E-2</v>
      </c>
      <c r="AY67">
        <v>0.5</v>
      </c>
      <c r="AZ67">
        <f t="shared" si="74"/>
        <v>1513.3109992627287</v>
      </c>
      <c r="BA67">
        <f t="shared" si="75"/>
        <v>5.2878088303320325</v>
      </c>
      <c r="BB67">
        <f t="shared" si="76"/>
        <v>66.159623638273715</v>
      </c>
      <c r="BC67">
        <f t="shared" si="77"/>
        <v>5.5502861543047354E-3</v>
      </c>
      <c r="BD67">
        <f t="shared" si="78"/>
        <v>-0.17402225480953371</v>
      </c>
      <c r="BE67">
        <f t="shared" si="79"/>
        <v>186.32028838107894</v>
      </c>
      <c r="BF67" t="s">
        <v>683</v>
      </c>
      <c r="BG67">
        <v>603.04999999999995</v>
      </c>
      <c r="BH67">
        <f t="shared" si="80"/>
        <v>603.04999999999995</v>
      </c>
      <c r="BI67">
        <f t="shared" si="81"/>
        <v>0.24018262365441656</v>
      </c>
      <c r="BJ67">
        <f t="shared" si="82"/>
        <v>0.36404347256469488</v>
      </c>
      <c r="BK67">
        <f t="shared" si="83"/>
        <v>-2.6303096226313354</v>
      </c>
      <c r="BL67">
        <f t="shared" si="84"/>
        <v>0.11263171788751614</v>
      </c>
      <c r="BM67">
        <f t="shared" si="85"/>
        <v>-0.28893631234188866</v>
      </c>
      <c r="BN67">
        <f t="shared" si="86"/>
        <v>0.30310951775300204</v>
      </c>
      <c r="BO67">
        <f t="shared" si="87"/>
        <v>0.6968904822469979</v>
      </c>
      <c r="BP67">
        <v>22567</v>
      </c>
      <c r="BQ67">
        <v>290.00000000000011</v>
      </c>
      <c r="BR67">
        <v>773.71</v>
      </c>
      <c r="BS67">
        <v>155</v>
      </c>
      <c r="BT67">
        <v>8028.3</v>
      </c>
      <c r="BU67">
        <v>772.72</v>
      </c>
      <c r="BV67">
        <v>0.99</v>
      </c>
      <c r="BW67">
        <v>300.00000000000011</v>
      </c>
      <c r="BX67">
        <v>19.399999999999999</v>
      </c>
      <c r="BY67">
        <v>793.67755828437134</v>
      </c>
      <c r="BZ67">
        <v>2.5211716427791102</v>
      </c>
      <c r="CA67">
        <v>-16.824317419756841</v>
      </c>
      <c r="CB67">
        <v>1.8570039614082421</v>
      </c>
      <c r="CC67">
        <v>0.74564473118071584</v>
      </c>
      <c r="CD67">
        <v>-4.1411354838709674E-3</v>
      </c>
      <c r="CE67">
        <v>289.99999999999989</v>
      </c>
      <c r="CF67">
        <v>771.48</v>
      </c>
      <c r="CG67">
        <v>705</v>
      </c>
      <c r="CH67">
        <v>8006.83</v>
      </c>
      <c r="CI67">
        <v>772.67</v>
      </c>
      <c r="CJ67">
        <v>-1.19</v>
      </c>
      <c r="CX67">
        <f t="shared" si="88"/>
        <v>1800.15</v>
      </c>
      <c r="CY67">
        <f t="shared" si="89"/>
        <v>1513.3109992627287</v>
      </c>
      <c r="CZ67">
        <f t="shared" si="90"/>
        <v>0.84065827806723259</v>
      </c>
      <c r="DA67">
        <f t="shared" si="91"/>
        <v>0.16087047666975871</v>
      </c>
      <c r="DB67">
        <v>6</v>
      </c>
      <c r="DC67">
        <v>0.5</v>
      </c>
      <c r="DD67" t="s">
        <v>421</v>
      </c>
      <c r="DE67">
        <v>2</v>
      </c>
      <c r="DF67">
        <v>1689008331</v>
      </c>
      <c r="DG67">
        <v>23.497399999999999</v>
      </c>
      <c r="DH67">
        <v>30.043199999999999</v>
      </c>
      <c r="DI67">
        <v>28.843399999999999</v>
      </c>
      <c r="DJ67">
        <v>20.560099999999998</v>
      </c>
      <c r="DK67">
        <v>23.5764</v>
      </c>
      <c r="DL67">
        <v>28.588200000000001</v>
      </c>
      <c r="DM67">
        <v>499.99900000000002</v>
      </c>
      <c r="DN67">
        <v>99.206800000000001</v>
      </c>
      <c r="DO67">
        <v>9.98198E-2</v>
      </c>
      <c r="DP67">
        <v>30.488600000000002</v>
      </c>
      <c r="DQ67">
        <v>29.911300000000001</v>
      </c>
      <c r="DR67">
        <v>999.9</v>
      </c>
      <c r="DS67">
        <v>0</v>
      </c>
      <c r="DT67">
        <v>0</v>
      </c>
      <c r="DU67">
        <v>10001.200000000001</v>
      </c>
      <c r="DV67">
        <v>0</v>
      </c>
      <c r="DW67">
        <v>531.67600000000004</v>
      </c>
      <c r="DX67">
        <v>-6.5457799999999997</v>
      </c>
      <c r="DY67">
        <v>24.1953</v>
      </c>
      <c r="DZ67">
        <v>30.6739</v>
      </c>
      <c r="EA67">
        <v>8.2832500000000007</v>
      </c>
      <c r="EB67">
        <v>30.043199999999999</v>
      </c>
      <c r="EC67">
        <v>20.560099999999998</v>
      </c>
      <c r="ED67">
        <v>2.8614600000000001</v>
      </c>
      <c r="EE67">
        <v>2.0396999999999998</v>
      </c>
      <c r="EF67">
        <v>23.242999999999999</v>
      </c>
      <c r="EG67">
        <v>17.7559</v>
      </c>
      <c r="EH67">
        <v>1800.15</v>
      </c>
      <c r="EI67">
        <v>0.97799499999999995</v>
      </c>
      <c r="EJ67">
        <v>2.2004900000000001E-2</v>
      </c>
      <c r="EK67">
        <v>0</v>
      </c>
      <c r="EL67">
        <v>724.03899999999999</v>
      </c>
      <c r="EM67">
        <v>5.0011200000000002</v>
      </c>
      <c r="EN67">
        <v>14243.7</v>
      </c>
      <c r="EO67">
        <v>17212.3</v>
      </c>
      <c r="EP67">
        <v>49.125</v>
      </c>
      <c r="EQ67">
        <v>49.686999999999998</v>
      </c>
      <c r="ER67">
        <v>49.875</v>
      </c>
      <c r="ES67">
        <v>49.25</v>
      </c>
      <c r="ET67">
        <v>49.811999999999998</v>
      </c>
      <c r="EU67">
        <v>1755.65</v>
      </c>
      <c r="EV67">
        <v>39.5</v>
      </c>
      <c r="EW67">
        <v>0</v>
      </c>
      <c r="EX67">
        <v>111</v>
      </c>
      <c r="EY67">
        <v>0</v>
      </c>
      <c r="EZ67">
        <v>724.28084000000001</v>
      </c>
      <c r="FA67">
        <v>1.289769227674965</v>
      </c>
      <c r="FB67">
        <v>48.207692464233361</v>
      </c>
      <c r="FC67">
        <v>14237.332</v>
      </c>
      <c r="FD67">
        <v>15</v>
      </c>
      <c r="FE67">
        <v>1689008299.5</v>
      </c>
      <c r="FF67" t="s">
        <v>684</v>
      </c>
      <c r="FG67">
        <v>1689008286</v>
      </c>
      <c r="FH67">
        <v>1689008299.5</v>
      </c>
      <c r="FI67">
        <v>56</v>
      </c>
      <c r="FJ67">
        <v>0.22500000000000001</v>
      </c>
      <c r="FK67">
        <v>6.0000000000000001E-3</v>
      </c>
      <c r="FL67">
        <v>-0.06</v>
      </c>
      <c r="FM67">
        <v>0.20499999999999999</v>
      </c>
      <c r="FN67">
        <v>30</v>
      </c>
      <c r="FO67">
        <v>20</v>
      </c>
      <c r="FP67">
        <v>0.33</v>
      </c>
      <c r="FQ67">
        <v>0.02</v>
      </c>
      <c r="FR67">
        <v>5.3283508572231346</v>
      </c>
      <c r="FS67">
        <v>-0.5877821284027307</v>
      </c>
      <c r="FT67">
        <v>6.0479999716630227E-2</v>
      </c>
      <c r="FU67">
        <v>1</v>
      </c>
      <c r="FV67">
        <v>0.549946819203739</v>
      </c>
      <c r="FW67">
        <v>1.900283724372832E-2</v>
      </c>
      <c r="FX67">
        <v>3.6633442323367039E-3</v>
      </c>
      <c r="FY67">
        <v>1</v>
      </c>
      <c r="FZ67">
        <v>2</v>
      </c>
      <c r="GA67">
        <v>2</v>
      </c>
      <c r="GB67" t="s">
        <v>423</v>
      </c>
      <c r="GC67">
        <v>2.9246599999999998</v>
      </c>
      <c r="GD67">
        <v>2.8271199999999999</v>
      </c>
      <c r="GE67">
        <v>6.2076199999999996E-3</v>
      </c>
      <c r="GF67">
        <v>7.96322E-3</v>
      </c>
      <c r="GG67">
        <v>0.12731100000000001</v>
      </c>
      <c r="GH67">
        <v>0.100928</v>
      </c>
      <c r="GI67">
        <v>32410.3</v>
      </c>
      <c r="GJ67">
        <v>26248.799999999999</v>
      </c>
      <c r="GK67">
        <v>31386.6</v>
      </c>
      <c r="GL67">
        <v>26104.2</v>
      </c>
      <c r="GM67">
        <v>37551</v>
      </c>
      <c r="GN67">
        <v>31833.1</v>
      </c>
      <c r="GO67">
        <v>46612.800000000003</v>
      </c>
      <c r="GP67">
        <v>37952.800000000003</v>
      </c>
      <c r="GQ67">
        <v>1.9213499999999999</v>
      </c>
      <c r="GR67">
        <v>1.73458</v>
      </c>
      <c r="GS67">
        <v>2.03103E-2</v>
      </c>
      <c r="GT67">
        <v>0</v>
      </c>
      <c r="GU67">
        <v>29.5806</v>
      </c>
      <c r="GV67">
        <v>999.9</v>
      </c>
      <c r="GW67">
        <v>39.799999999999997</v>
      </c>
      <c r="GX67">
        <v>43.4</v>
      </c>
      <c r="GY67">
        <v>35.587699999999998</v>
      </c>
      <c r="GZ67">
        <v>62.531399999999998</v>
      </c>
      <c r="HA67">
        <v>22.203499999999998</v>
      </c>
      <c r="HB67">
        <v>1</v>
      </c>
      <c r="HC67">
        <v>0.50882099999999997</v>
      </c>
      <c r="HD67">
        <v>1.8333200000000001</v>
      </c>
      <c r="HE67">
        <v>20.334599999999998</v>
      </c>
      <c r="HF67">
        <v>5.2234299999999996</v>
      </c>
      <c r="HG67">
        <v>12.0588</v>
      </c>
      <c r="HH67">
        <v>4.9918500000000003</v>
      </c>
      <c r="HI67">
        <v>3.2919999999999998</v>
      </c>
      <c r="HJ67">
        <v>9999</v>
      </c>
      <c r="HK67">
        <v>9999</v>
      </c>
      <c r="HL67">
        <v>9999</v>
      </c>
      <c r="HM67">
        <v>463.4</v>
      </c>
      <c r="HN67">
        <v>1.8666100000000001</v>
      </c>
      <c r="HO67">
        <v>1.87012</v>
      </c>
      <c r="HP67">
        <v>1.8726700000000001</v>
      </c>
      <c r="HQ67">
        <v>1.87355</v>
      </c>
      <c r="HR67">
        <v>1.8704000000000001</v>
      </c>
      <c r="HS67">
        <v>1.8687400000000001</v>
      </c>
      <c r="HT67">
        <v>1.87026</v>
      </c>
      <c r="HU67">
        <v>1.8731800000000001</v>
      </c>
      <c r="HV67">
        <v>0</v>
      </c>
      <c r="HW67">
        <v>0</v>
      </c>
      <c r="HX67">
        <v>0</v>
      </c>
      <c r="HY67">
        <v>0</v>
      </c>
      <c r="HZ67" t="s">
        <v>424</v>
      </c>
      <c r="IA67" t="s">
        <v>425</v>
      </c>
      <c r="IB67" t="s">
        <v>426</v>
      </c>
      <c r="IC67" t="s">
        <v>426</v>
      </c>
      <c r="ID67" t="s">
        <v>426</v>
      </c>
      <c r="IE67" t="s">
        <v>426</v>
      </c>
      <c r="IF67">
        <v>0</v>
      </c>
      <c r="IG67">
        <v>100</v>
      </c>
      <c r="IH67">
        <v>100</v>
      </c>
      <c r="II67">
        <v>-7.9000000000000001E-2</v>
      </c>
      <c r="IJ67">
        <v>0.25519999999999998</v>
      </c>
      <c r="IK67">
        <v>-0.1493215798239402</v>
      </c>
      <c r="IL67">
        <v>3.042515301972944E-3</v>
      </c>
      <c r="IM67">
        <v>-2.5091471490852929E-6</v>
      </c>
      <c r="IN67">
        <v>8.1339755115576286E-10</v>
      </c>
      <c r="IO67">
        <v>0.25517051276423919</v>
      </c>
      <c r="IP67">
        <v>0</v>
      </c>
      <c r="IQ67">
        <v>0</v>
      </c>
      <c r="IR67">
        <v>0</v>
      </c>
      <c r="IS67">
        <v>3</v>
      </c>
      <c r="IT67">
        <v>2004</v>
      </c>
      <c r="IU67">
        <v>2</v>
      </c>
      <c r="IV67">
        <v>22</v>
      </c>
      <c r="IW67">
        <v>0.8</v>
      </c>
      <c r="IX67">
        <v>0.5</v>
      </c>
      <c r="IY67">
        <v>0.20752000000000001</v>
      </c>
      <c r="IZ67">
        <v>2.63672</v>
      </c>
      <c r="JA67">
        <v>1.64917</v>
      </c>
      <c r="JB67">
        <v>2.33643</v>
      </c>
      <c r="JC67">
        <v>1.5991200000000001</v>
      </c>
      <c r="JD67">
        <v>2.3315399999999999</v>
      </c>
      <c r="JE67">
        <v>45.604500000000002</v>
      </c>
      <c r="JF67">
        <v>16.084599999999998</v>
      </c>
      <c r="JG67">
        <v>18</v>
      </c>
      <c r="JH67">
        <v>519.23900000000003</v>
      </c>
      <c r="JI67">
        <v>445.16899999999998</v>
      </c>
      <c r="JJ67">
        <v>27.877099999999999</v>
      </c>
      <c r="JK67">
        <v>33.584299999999999</v>
      </c>
      <c r="JL67">
        <v>29.999199999999998</v>
      </c>
      <c r="JM67">
        <v>33.673499999999997</v>
      </c>
      <c r="JN67">
        <v>33.669800000000002</v>
      </c>
      <c r="JO67">
        <v>4.1590499999999997</v>
      </c>
      <c r="JP67">
        <v>50.810099999999998</v>
      </c>
      <c r="JQ67">
        <v>0</v>
      </c>
      <c r="JR67">
        <v>27.945</v>
      </c>
      <c r="JS67">
        <v>30</v>
      </c>
      <c r="JT67">
        <v>20.625699999999998</v>
      </c>
      <c r="JU67">
        <v>99.483400000000003</v>
      </c>
      <c r="JV67">
        <v>99.249700000000004</v>
      </c>
    </row>
    <row r="68" spans="1:282" x14ac:dyDescent="0.25">
      <c r="A68">
        <v>52</v>
      </c>
      <c r="B68">
        <v>1689008449.5</v>
      </c>
      <c r="C68">
        <v>8854.4000000953674</v>
      </c>
      <c r="D68" t="s">
        <v>685</v>
      </c>
      <c r="E68" t="s">
        <v>686</v>
      </c>
      <c r="F68" t="s">
        <v>414</v>
      </c>
      <c r="G68" t="s">
        <v>415</v>
      </c>
      <c r="H68" t="s">
        <v>655</v>
      </c>
      <c r="I68" t="s">
        <v>416</v>
      </c>
      <c r="J68" t="s">
        <v>656</v>
      </c>
      <c r="K68">
        <v>1689008449.5</v>
      </c>
      <c r="L68">
        <f t="shared" si="46"/>
        <v>7.1145286757765009E-3</v>
      </c>
      <c r="M68">
        <f t="shared" si="47"/>
        <v>7.1145286757765005</v>
      </c>
      <c r="N68">
        <f t="shared" si="48"/>
        <v>1.5441424179216483</v>
      </c>
      <c r="O68">
        <f t="shared" si="49"/>
        <v>7.8010099999999998</v>
      </c>
      <c r="P68">
        <f t="shared" si="50"/>
        <v>2.8190495644249864</v>
      </c>
      <c r="Q68">
        <f t="shared" si="51"/>
        <v>0.27996341216933918</v>
      </c>
      <c r="R68">
        <f t="shared" si="52"/>
        <v>0.77472826498976999</v>
      </c>
      <c r="S68">
        <f t="shared" si="53"/>
        <v>0.55362044322794635</v>
      </c>
      <c r="T68">
        <f t="shared" si="54"/>
        <v>2.9161019898206</v>
      </c>
      <c r="U68">
        <f t="shared" si="55"/>
        <v>0.50117215799128256</v>
      </c>
      <c r="V68">
        <f t="shared" si="56"/>
        <v>0.31752977518253667</v>
      </c>
      <c r="W68">
        <f t="shared" si="57"/>
        <v>289.56386928296104</v>
      </c>
      <c r="X68">
        <f t="shared" si="58"/>
        <v>30.458812404357705</v>
      </c>
      <c r="Y68">
        <f t="shared" si="59"/>
        <v>29.9772</v>
      </c>
      <c r="Z68">
        <f t="shared" si="60"/>
        <v>4.2548734137049777</v>
      </c>
      <c r="AA68">
        <f t="shared" si="61"/>
        <v>65.666031242111302</v>
      </c>
      <c r="AB68">
        <f t="shared" si="62"/>
        <v>2.8958274571707001</v>
      </c>
      <c r="AC68">
        <f t="shared" si="63"/>
        <v>4.4099322014661677</v>
      </c>
      <c r="AD68">
        <f t="shared" si="64"/>
        <v>1.3590459565342776</v>
      </c>
      <c r="AE68">
        <f t="shared" si="65"/>
        <v>-313.75071460174371</v>
      </c>
      <c r="AF68">
        <f t="shared" si="66"/>
        <v>98.179450101767713</v>
      </c>
      <c r="AG68">
        <f t="shared" si="67"/>
        <v>7.5076058631873961</v>
      </c>
      <c r="AH68">
        <f t="shared" si="68"/>
        <v>81.500210646172434</v>
      </c>
      <c r="AI68">
        <v>0</v>
      </c>
      <c r="AJ68">
        <v>0</v>
      </c>
      <c r="AK68">
        <f t="shared" si="69"/>
        <v>1</v>
      </c>
      <c r="AL68">
        <f t="shared" si="70"/>
        <v>0</v>
      </c>
      <c r="AM68">
        <f t="shared" si="71"/>
        <v>51849.845491376102</v>
      </c>
      <c r="AN68" t="s">
        <v>418</v>
      </c>
      <c r="AO68">
        <v>10021</v>
      </c>
      <c r="AP68">
        <v>177.53923076923081</v>
      </c>
      <c r="AQ68">
        <v>655.56</v>
      </c>
      <c r="AR68">
        <f t="shared" si="72"/>
        <v>0.72917928066198234</v>
      </c>
      <c r="AS68">
        <v>-3.1115002560329539</v>
      </c>
      <c r="AT68" t="s">
        <v>687</v>
      </c>
      <c r="AU68">
        <v>8026.17</v>
      </c>
      <c r="AV68">
        <v>732.41461538461533</v>
      </c>
      <c r="AW68">
        <v>797.40858270762271</v>
      </c>
      <c r="AX68">
        <f t="shared" si="73"/>
        <v>8.1506480783438029E-2</v>
      </c>
      <c r="AY68">
        <v>0.5</v>
      </c>
      <c r="AZ68">
        <f t="shared" si="74"/>
        <v>1513.1682058460938</v>
      </c>
      <c r="BA68">
        <f t="shared" si="75"/>
        <v>1.5441424179216483</v>
      </c>
      <c r="BB68">
        <f t="shared" si="76"/>
        <v>61.666507645952024</v>
      </c>
      <c r="BC68">
        <f t="shared" si="77"/>
        <v>3.0767515838408606E-3</v>
      </c>
      <c r="BD68">
        <f t="shared" si="78"/>
        <v>-0.17788695254065615</v>
      </c>
      <c r="BE68">
        <f t="shared" si="79"/>
        <v>186.52516890463764</v>
      </c>
      <c r="BF68" t="s">
        <v>688</v>
      </c>
      <c r="BG68">
        <v>609.42999999999995</v>
      </c>
      <c r="BH68">
        <f t="shared" si="80"/>
        <v>609.42999999999995</v>
      </c>
      <c r="BI68">
        <f t="shared" si="81"/>
        <v>0.23573684405218753</v>
      </c>
      <c r="BJ68">
        <f t="shared" si="82"/>
        <v>0.34575198082058844</v>
      </c>
      <c r="BK68">
        <f t="shared" si="83"/>
        <v>-3.0749746955912158</v>
      </c>
      <c r="BL68">
        <f t="shared" si="84"/>
        <v>0.10485107405256432</v>
      </c>
      <c r="BM68">
        <f t="shared" si="85"/>
        <v>-0.29674146363114196</v>
      </c>
      <c r="BN68">
        <f t="shared" si="86"/>
        <v>0.28769446327998183</v>
      </c>
      <c r="BO68">
        <f t="shared" si="87"/>
        <v>0.71230553672001817</v>
      </c>
      <c r="BP68">
        <v>22569</v>
      </c>
      <c r="BQ68">
        <v>290.00000000000011</v>
      </c>
      <c r="BR68">
        <v>772.69</v>
      </c>
      <c r="BS68">
        <v>185</v>
      </c>
      <c r="BT68">
        <v>8026.17</v>
      </c>
      <c r="BU68">
        <v>771.81</v>
      </c>
      <c r="BV68">
        <v>0.88</v>
      </c>
      <c r="BW68">
        <v>300.00000000000011</v>
      </c>
      <c r="BX68">
        <v>19.399999999999999</v>
      </c>
      <c r="BY68">
        <v>797.40858270762271</v>
      </c>
      <c r="BZ68">
        <v>2.3516977664016832</v>
      </c>
      <c r="CA68">
        <v>-20.544793732127062</v>
      </c>
      <c r="CB68">
        <v>1.732290832680474</v>
      </c>
      <c r="CC68">
        <v>0.8339827732770998</v>
      </c>
      <c r="CD68">
        <v>-4.1413325917686273E-3</v>
      </c>
      <c r="CE68">
        <v>289.99999999999989</v>
      </c>
      <c r="CF68">
        <v>770.94</v>
      </c>
      <c r="CG68">
        <v>715</v>
      </c>
      <c r="CH68">
        <v>8007.12</v>
      </c>
      <c r="CI68">
        <v>771.75</v>
      </c>
      <c r="CJ68">
        <v>-0.81</v>
      </c>
      <c r="CX68">
        <f t="shared" si="88"/>
        <v>1799.98</v>
      </c>
      <c r="CY68">
        <f t="shared" si="89"/>
        <v>1513.1682058460938</v>
      </c>
      <c r="CZ68">
        <f t="shared" si="90"/>
        <v>0.84065834389609539</v>
      </c>
      <c r="DA68">
        <f t="shared" si="91"/>
        <v>0.16087060371946413</v>
      </c>
      <c r="DB68">
        <v>6</v>
      </c>
      <c r="DC68">
        <v>0.5</v>
      </c>
      <c r="DD68" t="s">
        <v>421</v>
      </c>
      <c r="DE68">
        <v>2</v>
      </c>
      <c r="DF68">
        <v>1689008449.5</v>
      </c>
      <c r="DG68">
        <v>7.8010099999999998</v>
      </c>
      <c r="DH68">
        <v>9.7201900000000006</v>
      </c>
      <c r="DI68">
        <v>29.159099999999999</v>
      </c>
      <c r="DJ68">
        <v>20.872299999999999</v>
      </c>
      <c r="DK68">
        <v>7.7702299999999997</v>
      </c>
      <c r="DL68">
        <v>28.9068</v>
      </c>
      <c r="DM68">
        <v>500.10199999999998</v>
      </c>
      <c r="DN68">
        <v>99.210599999999999</v>
      </c>
      <c r="DO68">
        <v>0.100677</v>
      </c>
      <c r="DP68">
        <v>30.601700000000001</v>
      </c>
      <c r="DQ68">
        <v>29.9772</v>
      </c>
      <c r="DR68">
        <v>999.9</v>
      </c>
      <c r="DS68">
        <v>0</v>
      </c>
      <c r="DT68">
        <v>0</v>
      </c>
      <c r="DU68">
        <v>10002.5</v>
      </c>
      <c r="DV68">
        <v>0</v>
      </c>
      <c r="DW68">
        <v>605.93799999999999</v>
      </c>
      <c r="DX68">
        <v>-1.9191800000000001</v>
      </c>
      <c r="DY68">
        <v>8.0353100000000008</v>
      </c>
      <c r="DZ68">
        <v>9.9274000000000004</v>
      </c>
      <c r="EA68">
        <v>8.2868200000000005</v>
      </c>
      <c r="EB68">
        <v>9.7201900000000006</v>
      </c>
      <c r="EC68">
        <v>20.872299999999999</v>
      </c>
      <c r="ED68">
        <v>2.89289</v>
      </c>
      <c r="EE68">
        <v>2.0707499999999999</v>
      </c>
      <c r="EF68">
        <v>23.4239</v>
      </c>
      <c r="EG68">
        <v>17.995999999999999</v>
      </c>
      <c r="EH68">
        <v>1799.98</v>
      </c>
      <c r="EI68">
        <v>0.97799199999999997</v>
      </c>
      <c r="EJ68">
        <v>2.20085E-2</v>
      </c>
      <c r="EK68">
        <v>0</v>
      </c>
      <c r="EL68">
        <v>732.20399999999995</v>
      </c>
      <c r="EM68">
        <v>5.0011200000000002</v>
      </c>
      <c r="EN68">
        <v>14441.7</v>
      </c>
      <c r="EO68">
        <v>17210.7</v>
      </c>
      <c r="EP68">
        <v>49</v>
      </c>
      <c r="EQ68">
        <v>49.5</v>
      </c>
      <c r="ER68">
        <v>49.686999999999998</v>
      </c>
      <c r="ES68">
        <v>48.936999999999998</v>
      </c>
      <c r="ET68">
        <v>49.186999999999998</v>
      </c>
      <c r="EU68">
        <v>1755.47</v>
      </c>
      <c r="EV68">
        <v>39.5</v>
      </c>
      <c r="EW68">
        <v>0</v>
      </c>
      <c r="EX68">
        <v>116.6000001430511</v>
      </c>
      <c r="EY68">
        <v>0</v>
      </c>
      <c r="EZ68">
        <v>732.41461538461533</v>
      </c>
      <c r="FA68">
        <v>-0.51870085960256351</v>
      </c>
      <c r="FB68">
        <v>-28.83418803930542</v>
      </c>
      <c r="FC68">
        <v>14444.92307692308</v>
      </c>
      <c r="FD68">
        <v>15</v>
      </c>
      <c r="FE68">
        <v>1689008418</v>
      </c>
      <c r="FF68" t="s">
        <v>689</v>
      </c>
      <c r="FG68">
        <v>1689008404.5</v>
      </c>
      <c r="FH68">
        <v>1689008418</v>
      </c>
      <c r="FI68">
        <v>57</v>
      </c>
      <c r="FJ68">
        <v>0.157</v>
      </c>
      <c r="FK68">
        <v>-3.0000000000000001E-3</v>
      </c>
      <c r="FL68">
        <v>3.7999999999999999E-2</v>
      </c>
      <c r="FM68">
        <v>0.21099999999999999</v>
      </c>
      <c r="FN68">
        <v>10</v>
      </c>
      <c r="FO68">
        <v>20</v>
      </c>
      <c r="FP68">
        <v>0.34</v>
      </c>
      <c r="FQ68">
        <v>0.02</v>
      </c>
      <c r="FR68">
        <v>1.8276842618407529</v>
      </c>
      <c r="FS68">
        <v>-0.66993793229081167</v>
      </c>
      <c r="FT68">
        <v>8.8700931302324884E-2</v>
      </c>
      <c r="FU68">
        <v>1</v>
      </c>
      <c r="FV68">
        <v>0.55522140460430325</v>
      </c>
      <c r="FW68">
        <v>8.9243251261324381E-3</v>
      </c>
      <c r="FX68">
        <v>1.171500688956606E-3</v>
      </c>
      <c r="FY68">
        <v>1</v>
      </c>
      <c r="FZ68">
        <v>2</v>
      </c>
      <c r="GA68">
        <v>2</v>
      </c>
      <c r="GB68" t="s">
        <v>423</v>
      </c>
      <c r="GC68">
        <v>2.9251200000000002</v>
      </c>
      <c r="GD68">
        <v>2.8279899999999998</v>
      </c>
      <c r="GE68">
        <v>2.0468700000000001E-3</v>
      </c>
      <c r="GF68">
        <v>2.5811599999999999E-3</v>
      </c>
      <c r="GG68">
        <v>0.128332</v>
      </c>
      <c r="GH68">
        <v>0.10204299999999999</v>
      </c>
      <c r="GI68">
        <v>32556.9</v>
      </c>
      <c r="GJ68">
        <v>26397.3</v>
      </c>
      <c r="GK68">
        <v>31396.799999999999</v>
      </c>
      <c r="GL68">
        <v>26109.8</v>
      </c>
      <c r="GM68">
        <v>37518.699999999997</v>
      </c>
      <c r="GN68">
        <v>31800.1</v>
      </c>
      <c r="GO68">
        <v>46628.3</v>
      </c>
      <c r="GP68">
        <v>37961</v>
      </c>
      <c r="GQ68">
        <v>1.9237</v>
      </c>
      <c r="GR68">
        <v>1.7379500000000001</v>
      </c>
      <c r="GS68">
        <v>3.9443400000000003E-2</v>
      </c>
      <c r="GT68">
        <v>0</v>
      </c>
      <c r="GU68">
        <v>29.334900000000001</v>
      </c>
      <c r="GV68">
        <v>999.9</v>
      </c>
      <c r="GW68">
        <v>39.9</v>
      </c>
      <c r="GX68">
        <v>43.2</v>
      </c>
      <c r="GY68">
        <v>35.302999999999997</v>
      </c>
      <c r="GZ68">
        <v>62.401400000000002</v>
      </c>
      <c r="HA68">
        <v>22.107399999999998</v>
      </c>
      <c r="HB68">
        <v>1</v>
      </c>
      <c r="HC68">
        <v>0.49464900000000001</v>
      </c>
      <c r="HD68">
        <v>1.58786</v>
      </c>
      <c r="HE68">
        <v>20.334</v>
      </c>
      <c r="HF68">
        <v>5.2244799999999998</v>
      </c>
      <c r="HG68">
        <v>12.0603</v>
      </c>
      <c r="HH68">
        <v>4.9927999999999999</v>
      </c>
      <c r="HI68">
        <v>3.2919200000000002</v>
      </c>
      <c r="HJ68">
        <v>9999</v>
      </c>
      <c r="HK68">
        <v>9999</v>
      </c>
      <c r="HL68">
        <v>9999</v>
      </c>
      <c r="HM68">
        <v>463.5</v>
      </c>
      <c r="HN68">
        <v>1.8666100000000001</v>
      </c>
      <c r="HO68">
        <v>1.8701000000000001</v>
      </c>
      <c r="HP68">
        <v>1.8726700000000001</v>
      </c>
      <c r="HQ68">
        <v>1.8735599999999999</v>
      </c>
      <c r="HR68">
        <v>1.8703799999999999</v>
      </c>
      <c r="HS68">
        <v>1.8687400000000001</v>
      </c>
      <c r="HT68">
        <v>1.8702700000000001</v>
      </c>
      <c r="HU68">
        <v>1.87317</v>
      </c>
      <c r="HV68">
        <v>0</v>
      </c>
      <c r="HW68">
        <v>0</v>
      </c>
      <c r="HX68">
        <v>0</v>
      </c>
      <c r="HY68">
        <v>0</v>
      </c>
      <c r="HZ68" t="s">
        <v>424</v>
      </c>
      <c r="IA68" t="s">
        <v>425</v>
      </c>
      <c r="IB68" t="s">
        <v>426</v>
      </c>
      <c r="IC68" t="s">
        <v>426</v>
      </c>
      <c r="ID68" t="s">
        <v>426</v>
      </c>
      <c r="IE68" t="s">
        <v>426</v>
      </c>
      <c r="IF68">
        <v>0</v>
      </c>
      <c r="IG68">
        <v>100</v>
      </c>
      <c r="IH68">
        <v>100</v>
      </c>
      <c r="II68">
        <v>3.1E-2</v>
      </c>
      <c r="IJ68">
        <v>0.25230000000000002</v>
      </c>
      <c r="IK68">
        <v>7.2931155370583936E-3</v>
      </c>
      <c r="IL68">
        <v>3.042515301972944E-3</v>
      </c>
      <c r="IM68">
        <v>-2.5091471490852929E-6</v>
      </c>
      <c r="IN68">
        <v>8.1339755115576286E-10</v>
      </c>
      <c r="IO68">
        <v>0.25228016276541149</v>
      </c>
      <c r="IP68">
        <v>0</v>
      </c>
      <c r="IQ68">
        <v>0</v>
      </c>
      <c r="IR68">
        <v>0</v>
      </c>
      <c r="IS68">
        <v>3</v>
      </c>
      <c r="IT68">
        <v>2004</v>
      </c>
      <c r="IU68">
        <v>2</v>
      </c>
      <c r="IV68">
        <v>22</v>
      </c>
      <c r="IW68">
        <v>0.8</v>
      </c>
      <c r="IX68">
        <v>0.5</v>
      </c>
      <c r="IY68">
        <v>0.162354</v>
      </c>
      <c r="IZ68">
        <v>2.65259</v>
      </c>
      <c r="JA68">
        <v>1.64917</v>
      </c>
      <c r="JB68">
        <v>2.33643</v>
      </c>
      <c r="JC68">
        <v>1.5991200000000001</v>
      </c>
      <c r="JD68">
        <v>2.32422</v>
      </c>
      <c r="JE68">
        <v>45.318800000000003</v>
      </c>
      <c r="JF68">
        <v>16.084599999999998</v>
      </c>
      <c r="JG68">
        <v>18</v>
      </c>
      <c r="JH68">
        <v>519.803</v>
      </c>
      <c r="JI68">
        <v>446.52600000000001</v>
      </c>
      <c r="JJ68">
        <v>27.639500000000002</v>
      </c>
      <c r="JK68">
        <v>33.405799999999999</v>
      </c>
      <c r="JL68">
        <v>29.999099999999999</v>
      </c>
      <c r="JM68">
        <v>33.545400000000001</v>
      </c>
      <c r="JN68">
        <v>33.551000000000002</v>
      </c>
      <c r="JO68">
        <v>3.2728899999999999</v>
      </c>
      <c r="JP68">
        <v>50.086199999999998</v>
      </c>
      <c r="JQ68">
        <v>0</v>
      </c>
      <c r="JR68">
        <v>28.032599999999999</v>
      </c>
      <c r="JS68">
        <v>10</v>
      </c>
      <c r="JT68">
        <v>20.726500000000001</v>
      </c>
      <c r="JU68">
        <v>99.516300000000001</v>
      </c>
      <c r="JV68">
        <v>99.271100000000004</v>
      </c>
    </row>
    <row r="69" spans="1:282" x14ac:dyDescent="0.25">
      <c r="A69">
        <v>53</v>
      </c>
      <c r="B69">
        <v>1689008639</v>
      </c>
      <c r="C69">
        <v>9043.9000000953674</v>
      </c>
      <c r="D69" t="s">
        <v>690</v>
      </c>
      <c r="E69" t="s">
        <v>691</v>
      </c>
      <c r="F69" t="s">
        <v>414</v>
      </c>
      <c r="G69" t="s">
        <v>415</v>
      </c>
      <c r="H69" t="s">
        <v>655</v>
      </c>
      <c r="I69" t="s">
        <v>416</v>
      </c>
      <c r="J69" t="s">
        <v>656</v>
      </c>
      <c r="K69">
        <v>1689008639</v>
      </c>
      <c r="L69">
        <f t="shared" si="46"/>
        <v>6.7685829739838775E-3</v>
      </c>
      <c r="M69">
        <f t="shared" si="47"/>
        <v>6.7685829739838779</v>
      </c>
      <c r="N69">
        <f t="shared" si="48"/>
        <v>52.901582740802091</v>
      </c>
      <c r="O69">
        <f t="shared" si="49"/>
        <v>333.85</v>
      </c>
      <c r="P69">
        <f t="shared" si="50"/>
        <v>151.79590458378925</v>
      </c>
      <c r="Q69">
        <f t="shared" si="51"/>
        <v>15.074614634400865</v>
      </c>
      <c r="R69">
        <f t="shared" si="52"/>
        <v>33.154123027849998</v>
      </c>
      <c r="S69">
        <f t="shared" si="53"/>
        <v>0.51981173087523957</v>
      </c>
      <c r="T69">
        <f t="shared" si="54"/>
        <v>2.912772118638562</v>
      </c>
      <c r="U69">
        <f t="shared" si="55"/>
        <v>0.47323776838295478</v>
      </c>
      <c r="V69">
        <f t="shared" si="56"/>
        <v>0.29960957437775171</v>
      </c>
      <c r="W69">
        <f t="shared" si="57"/>
        <v>289.54195057754953</v>
      </c>
      <c r="X69">
        <f t="shared" si="58"/>
        <v>30.503753522138275</v>
      </c>
      <c r="Y69">
        <f t="shared" si="59"/>
        <v>29.9024</v>
      </c>
      <c r="Z69">
        <f t="shared" si="60"/>
        <v>4.2366236841420912</v>
      </c>
      <c r="AA69">
        <f t="shared" si="61"/>
        <v>65.180892749873081</v>
      </c>
      <c r="AB69">
        <f t="shared" si="62"/>
        <v>2.8670446225140997</v>
      </c>
      <c r="AC69">
        <f t="shared" si="63"/>
        <v>4.39859673833584</v>
      </c>
      <c r="AD69">
        <f t="shared" si="64"/>
        <v>1.3695790616279915</v>
      </c>
      <c r="AE69">
        <f t="shared" si="65"/>
        <v>-298.49450915268898</v>
      </c>
      <c r="AF69">
        <f t="shared" si="66"/>
        <v>102.74693429200546</v>
      </c>
      <c r="AG69">
        <f t="shared" si="67"/>
        <v>7.8611963032493346</v>
      </c>
      <c r="AH69">
        <f t="shared" si="68"/>
        <v>101.65557202011537</v>
      </c>
      <c r="AI69">
        <v>0</v>
      </c>
      <c r="AJ69">
        <v>0</v>
      </c>
      <c r="AK69">
        <f t="shared" si="69"/>
        <v>1</v>
      </c>
      <c r="AL69">
        <f t="shared" si="70"/>
        <v>0</v>
      </c>
      <c r="AM69">
        <f t="shared" si="71"/>
        <v>51762.868024254218</v>
      </c>
      <c r="AN69" t="s">
        <v>418</v>
      </c>
      <c r="AO69">
        <v>10021</v>
      </c>
      <c r="AP69">
        <v>177.53923076923081</v>
      </c>
      <c r="AQ69">
        <v>655.56</v>
      </c>
      <c r="AR69">
        <f t="shared" si="72"/>
        <v>0.72917928066198234</v>
      </c>
      <c r="AS69">
        <v>-3.1115002560329539</v>
      </c>
      <c r="AT69" t="s">
        <v>692</v>
      </c>
      <c r="AU69">
        <v>8021.32</v>
      </c>
      <c r="AV69">
        <v>720.04599999999994</v>
      </c>
      <c r="AW69">
        <v>1153.8100539518441</v>
      </c>
      <c r="AX69">
        <f t="shared" si="73"/>
        <v>0.3759406086523388</v>
      </c>
      <c r="AY69">
        <v>0.5</v>
      </c>
      <c r="AZ69">
        <f t="shared" si="74"/>
        <v>1513.0583992629788</v>
      </c>
      <c r="BA69">
        <f t="shared" si="75"/>
        <v>52.901582740802091</v>
      </c>
      <c r="BB69">
        <f t="shared" si="76"/>
        <v>284.41004777272883</v>
      </c>
      <c r="BC69">
        <f t="shared" si="77"/>
        <v>3.7019775987575498E-2</v>
      </c>
      <c r="BD69">
        <f t="shared" si="78"/>
        <v>-0.43183022391364889</v>
      </c>
      <c r="BE69">
        <f t="shared" si="79"/>
        <v>201.05197173582363</v>
      </c>
      <c r="BF69" t="s">
        <v>693</v>
      </c>
      <c r="BG69">
        <v>568.86</v>
      </c>
      <c r="BH69">
        <f t="shared" si="80"/>
        <v>568.86</v>
      </c>
      <c r="BI69">
        <f t="shared" si="81"/>
        <v>0.50697257486045255</v>
      </c>
      <c r="BJ69">
        <f t="shared" si="82"/>
        <v>0.74154032642854273</v>
      </c>
      <c r="BK69">
        <f t="shared" si="83"/>
        <v>-5.7468287653038592</v>
      </c>
      <c r="BL69">
        <f t="shared" si="84"/>
        <v>0.44430709558418074</v>
      </c>
      <c r="BM69">
        <f t="shared" si="85"/>
        <v>-1.0423188405675929</v>
      </c>
      <c r="BN69">
        <f t="shared" si="86"/>
        <v>0.58584122416087425</v>
      </c>
      <c r="BO69">
        <f t="shared" si="87"/>
        <v>0.41415877583912575</v>
      </c>
      <c r="BP69">
        <v>22571</v>
      </c>
      <c r="BQ69">
        <v>290.00000000000011</v>
      </c>
      <c r="BR69">
        <v>987.11</v>
      </c>
      <c r="BS69">
        <v>295</v>
      </c>
      <c r="BT69">
        <v>8021.32</v>
      </c>
      <c r="BU69">
        <v>990.66</v>
      </c>
      <c r="BV69">
        <v>-3.55</v>
      </c>
      <c r="BW69">
        <v>300.00000000000011</v>
      </c>
      <c r="BX69">
        <v>19.399999999999999</v>
      </c>
      <c r="BY69">
        <v>1153.8100539518441</v>
      </c>
      <c r="BZ69">
        <v>5.2700149259421636</v>
      </c>
      <c r="CA69">
        <v>-130.86567269304729</v>
      </c>
      <c r="CB69">
        <v>3.883083328624986</v>
      </c>
      <c r="CC69">
        <v>0.97594067780051197</v>
      </c>
      <c r="CD69">
        <v>-4.1428496106785404E-3</v>
      </c>
      <c r="CE69">
        <v>289.99999999999989</v>
      </c>
      <c r="CF69">
        <v>976.05</v>
      </c>
      <c r="CG69">
        <v>625</v>
      </c>
      <c r="CH69">
        <v>8012.15</v>
      </c>
      <c r="CI69">
        <v>990.48</v>
      </c>
      <c r="CJ69">
        <v>-14.43</v>
      </c>
      <c r="CX69">
        <f t="shared" si="88"/>
        <v>1799.85</v>
      </c>
      <c r="CY69">
        <f t="shared" si="89"/>
        <v>1513.0583992629788</v>
      </c>
      <c r="CZ69">
        <f t="shared" si="90"/>
        <v>0.8406580544284129</v>
      </c>
      <c r="DA69">
        <f t="shared" si="91"/>
        <v>0.16087004504683697</v>
      </c>
      <c r="DB69">
        <v>6</v>
      </c>
      <c r="DC69">
        <v>0.5</v>
      </c>
      <c r="DD69" t="s">
        <v>421</v>
      </c>
      <c r="DE69">
        <v>2</v>
      </c>
      <c r="DF69">
        <v>1689008639</v>
      </c>
      <c r="DG69">
        <v>333.85</v>
      </c>
      <c r="DH69">
        <v>400.02499999999998</v>
      </c>
      <c r="DI69">
        <v>28.870100000000001</v>
      </c>
      <c r="DJ69">
        <v>20.984500000000001</v>
      </c>
      <c r="DK69">
        <v>333.21800000000002</v>
      </c>
      <c r="DL69">
        <v>28.6128</v>
      </c>
      <c r="DM69">
        <v>500.14</v>
      </c>
      <c r="DN69">
        <v>99.207899999999995</v>
      </c>
      <c r="DO69">
        <v>0.10054100000000001</v>
      </c>
      <c r="DP69">
        <v>30.556699999999999</v>
      </c>
      <c r="DQ69">
        <v>29.9024</v>
      </c>
      <c r="DR69">
        <v>999.9</v>
      </c>
      <c r="DS69">
        <v>0</v>
      </c>
      <c r="DT69">
        <v>0</v>
      </c>
      <c r="DU69">
        <v>9983.75</v>
      </c>
      <c r="DV69">
        <v>0</v>
      </c>
      <c r="DW69">
        <v>491.68799999999999</v>
      </c>
      <c r="DX69">
        <v>-66.1751</v>
      </c>
      <c r="DY69">
        <v>343.77499999999998</v>
      </c>
      <c r="DZ69">
        <v>408.59899999999999</v>
      </c>
      <c r="EA69">
        <v>7.8856700000000002</v>
      </c>
      <c r="EB69">
        <v>400.02499999999998</v>
      </c>
      <c r="EC69">
        <v>20.984500000000001</v>
      </c>
      <c r="ED69">
        <v>2.8641399999999999</v>
      </c>
      <c r="EE69">
        <v>2.08182</v>
      </c>
      <c r="EF69">
        <v>23.258500000000002</v>
      </c>
      <c r="EG69">
        <v>18.0808</v>
      </c>
      <c r="EH69">
        <v>1799.85</v>
      </c>
      <c r="EI69">
        <v>0.97800600000000004</v>
      </c>
      <c r="EJ69">
        <v>2.1994E-2</v>
      </c>
      <c r="EK69">
        <v>0</v>
      </c>
      <c r="EL69">
        <v>721.69799999999998</v>
      </c>
      <c r="EM69">
        <v>5.0011200000000002</v>
      </c>
      <c r="EN69">
        <v>14244</v>
      </c>
      <c r="EO69">
        <v>17209.5</v>
      </c>
      <c r="EP69">
        <v>48.75</v>
      </c>
      <c r="EQ69">
        <v>49.25</v>
      </c>
      <c r="ER69">
        <v>49.436999999999998</v>
      </c>
      <c r="ES69">
        <v>48.75</v>
      </c>
      <c r="ET69">
        <v>48.686999999999998</v>
      </c>
      <c r="EU69">
        <v>1755.37</v>
      </c>
      <c r="EV69">
        <v>39.479999999999997</v>
      </c>
      <c r="EW69">
        <v>0</v>
      </c>
      <c r="EX69">
        <v>187.4000000953674</v>
      </c>
      <c r="EY69">
        <v>0</v>
      </c>
      <c r="EZ69">
        <v>720.04599999999994</v>
      </c>
      <c r="FA69">
        <v>14.424923083872921</v>
      </c>
      <c r="FB69">
        <v>215.8846152745987</v>
      </c>
      <c r="FC69">
        <v>14218.424000000001</v>
      </c>
      <c r="FD69">
        <v>15</v>
      </c>
      <c r="FE69">
        <v>1689008565</v>
      </c>
      <c r="FF69" t="s">
        <v>694</v>
      </c>
      <c r="FG69">
        <v>1689008561</v>
      </c>
      <c r="FH69">
        <v>1689008565</v>
      </c>
      <c r="FI69">
        <v>58</v>
      </c>
      <c r="FJ69">
        <v>-0.14099999999999999</v>
      </c>
      <c r="FK69">
        <v>5.0000000000000001E-3</v>
      </c>
      <c r="FL69">
        <v>0.73299999999999998</v>
      </c>
      <c r="FM69">
        <v>0.22500000000000001</v>
      </c>
      <c r="FN69">
        <v>400</v>
      </c>
      <c r="FO69">
        <v>21</v>
      </c>
      <c r="FP69">
        <v>0.04</v>
      </c>
      <c r="FQ69">
        <v>0.02</v>
      </c>
      <c r="FR69">
        <v>52.154499557211032</v>
      </c>
      <c r="FS69">
        <v>4.4486865027962601</v>
      </c>
      <c r="FT69">
        <v>0.32182164083121939</v>
      </c>
      <c r="FU69">
        <v>0</v>
      </c>
      <c r="FV69">
        <v>0.52530245720861102</v>
      </c>
      <c r="FW69">
        <v>-5.735828427001604E-2</v>
      </c>
      <c r="FX69">
        <v>4.3517567754223913E-3</v>
      </c>
      <c r="FY69">
        <v>0</v>
      </c>
      <c r="FZ69">
        <v>0</v>
      </c>
      <c r="GA69">
        <v>2</v>
      </c>
      <c r="GB69" t="s">
        <v>617</v>
      </c>
      <c r="GC69">
        <v>2.9255100000000001</v>
      </c>
      <c r="GD69">
        <v>2.8277000000000001</v>
      </c>
      <c r="GE69">
        <v>7.6310600000000006E-2</v>
      </c>
      <c r="GF69">
        <v>8.8327500000000003E-2</v>
      </c>
      <c r="GG69">
        <v>0.12749199999999999</v>
      </c>
      <c r="GH69">
        <v>0.102481</v>
      </c>
      <c r="GI69">
        <v>30154.1</v>
      </c>
      <c r="GJ69">
        <v>24142.6</v>
      </c>
      <c r="GK69">
        <v>31413.8</v>
      </c>
      <c r="GL69">
        <v>26121.3</v>
      </c>
      <c r="GM69">
        <v>37576</v>
      </c>
      <c r="GN69">
        <v>31799.3</v>
      </c>
      <c r="GO69">
        <v>46654.2</v>
      </c>
      <c r="GP69">
        <v>37977.699999999997</v>
      </c>
      <c r="GQ69">
        <v>1.9272199999999999</v>
      </c>
      <c r="GR69">
        <v>1.74472</v>
      </c>
      <c r="GS69">
        <v>3.8705799999999999E-2</v>
      </c>
      <c r="GT69">
        <v>0</v>
      </c>
      <c r="GU69">
        <v>29.272099999999998</v>
      </c>
      <c r="GV69">
        <v>999.9</v>
      </c>
      <c r="GW69">
        <v>40</v>
      </c>
      <c r="GX69">
        <v>43</v>
      </c>
      <c r="GY69">
        <v>35.028399999999998</v>
      </c>
      <c r="GZ69">
        <v>62.541499999999999</v>
      </c>
      <c r="HA69">
        <v>22.443899999999999</v>
      </c>
      <c r="HB69">
        <v>1</v>
      </c>
      <c r="HC69">
        <v>0.46711599999999998</v>
      </c>
      <c r="HD69">
        <v>1.12422</v>
      </c>
      <c r="HE69">
        <v>20.341200000000001</v>
      </c>
      <c r="HF69">
        <v>5.2241799999999996</v>
      </c>
      <c r="HG69">
        <v>12.059100000000001</v>
      </c>
      <c r="HH69">
        <v>4.9930500000000002</v>
      </c>
      <c r="HI69">
        <v>3.2919999999999998</v>
      </c>
      <c r="HJ69">
        <v>9999</v>
      </c>
      <c r="HK69">
        <v>9999</v>
      </c>
      <c r="HL69">
        <v>9999</v>
      </c>
      <c r="HM69">
        <v>463.5</v>
      </c>
      <c r="HN69">
        <v>1.8666100000000001</v>
      </c>
      <c r="HO69">
        <v>1.8701000000000001</v>
      </c>
      <c r="HP69">
        <v>1.8726499999999999</v>
      </c>
      <c r="HQ69">
        <v>1.87354</v>
      </c>
      <c r="HR69">
        <v>1.87032</v>
      </c>
      <c r="HS69">
        <v>1.86873</v>
      </c>
      <c r="HT69">
        <v>1.8701700000000001</v>
      </c>
      <c r="HU69">
        <v>1.87317</v>
      </c>
      <c r="HV69">
        <v>0</v>
      </c>
      <c r="HW69">
        <v>0</v>
      </c>
      <c r="HX69">
        <v>0</v>
      </c>
      <c r="HY69">
        <v>0</v>
      </c>
      <c r="HZ69" t="s">
        <v>424</v>
      </c>
      <c r="IA69" t="s">
        <v>425</v>
      </c>
      <c r="IB69" t="s">
        <v>426</v>
      </c>
      <c r="IC69" t="s">
        <v>426</v>
      </c>
      <c r="ID69" t="s">
        <v>426</v>
      </c>
      <c r="IE69" t="s">
        <v>426</v>
      </c>
      <c r="IF69">
        <v>0</v>
      </c>
      <c r="IG69">
        <v>100</v>
      </c>
      <c r="IH69">
        <v>100</v>
      </c>
      <c r="II69">
        <v>0.63200000000000001</v>
      </c>
      <c r="IJ69">
        <v>0.25729999999999997</v>
      </c>
      <c r="IK69">
        <v>-0.13363772644520511</v>
      </c>
      <c r="IL69">
        <v>3.042515301972944E-3</v>
      </c>
      <c r="IM69">
        <v>-2.5091471490852929E-6</v>
      </c>
      <c r="IN69">
        <v>8.1339755115576286E-10</v>
      </c>
      <c r="IO69">
        <v>0.25730709575984778</v>
      </c>
      <c r="IP69">
        <v>0</v>
      </c>
      <c r="IQ69">
        <v>0</v>
      </c>
      <c r="IR69">
        <v>0</v>
      </c>
      <c r="IS69">
        <v>3</v>
      </c>
      <c r="IT69">
        <v>2004</v>
      </c>
      <c r="IU69">
        <v>2</v>
      </c>
      <c r="IV69">
        <v>22</v>
      </c>
      <c r="IW69">
        <v>1.3</v>
      </c>
      <c r="IX69">
        <v>1.2</v>
      </c>
      <c r="IY69">
        <v>1.03271</v>
      </c>
      <c r="IZ69">
        <v>2.6061999999999999</v>
      </c>
      <c r="JA69">
        <v>1.64917</v>
      </c>
      <c r="JB69">
        <v>2.33521</v>
      </c>
      <c r="JC69">
        <v>1.5991200000000001</v>
      </c>
      <c r="JD69">
        <v>2.2912599999999999</v>
      </c>
      <c r="JE69">
        <v>44.922199999999997</v>
      </c>
      <c r="JF69">
        <v>16.0671</v>
      </c>
      <c r="JG69">
        <v>18</v>
      </c>
      <c r="JH69">
        <v>520.30600000000004</v>
      </c>
      <c r="JI69">
        <v>449.37</v>
      </c>
      <c r="JJ69">
        <v>28.314299999999999</v>
      </c>
      <c r="JK69">
        <v>33.140300000000003</v>
      </c>
      <c r="JL69">
        <v>29.999400000000001</v>
      </c>
      <c r="JM69">
        <v>33.310499999999998</v>
      </c>
      <c r="JN69">
        <v>33.328899999999997</v>
      </c>
      <c r="JO69">
        <v>20.688400000000001</v>
      </c>
      <c r="JP69">
        <v>49.708799999999997</v>
      </c>
      <c r="JQ69">
        <v>0</v>
      </c>
      <c r="JR69">
        <v>28.371200000000002</v>
      </c>
      <c r="JS69">
        <v>400</v>
      </c>
      <c r="JT69">
        <v>21.023700000000002</v>
      </c>
      <c r="JU69">
        <v>99.570899999999995</v>
      </c>
      <c r="JV69">
        <v>99.314800000000005</v>
      </c>
    </row>
    <row r="70" spans="1:282" x14ac:dyDescent="0.25">
      <c r="A70">
        <v>54</v>
      </c>
      <c r="B70">
        <v>1689008747</v>
      </c>
      <c r="C70">
        <v>9151.9000000953674</v>
      </c>
      <c r="D70" t="s">
        <v>695</v>
      </c>
      <c r="E70" t="s">
        <v>696</v>
      </c>
      <c r="F70" t="s">
        <v>414</v>
      </c>
      <c r="G70" t="s">
        <v>415</v>
      </c>
      <c r="H70" t="s">
        <v>655</v>
      </c>
      <c r="I70" t="s">
        <v>416</v>
      </c>
      <c r="J70" t="s">
        <v>656</v>
      </c>
      <c r="K70">
        <v>1689008747</v>
      </c>
      <c r="L70">
        <f t="shared" si="46"/>
        <v>6.3871278526651358E-3</v>
      </c>
      <c r="M70">
        <f t="shared" si="47"/>
        <v>6.3871278526651354</v>
      </c>
      <c r="N70">
        <f t="shared" si="48"/>
        <v>57.125548610098654</v>
      </c>
      <c r="O70">
        <f t="shared" si="49"/>
        <v>328.95600000000002</v>
      </c>
      <c r="P70">
        <f t="shared" si="50"/>
        <v>121.37902244759444</v>
      </c>
      <c r="Q70">
        <f t="shared" si="51"/>
        <v>12.052930908646614</v>
      </c>
      <c r="R70">
        <f t="shared" si="52"/>
        <v>32.665314483782403</v>
      </c>
      <c r="S70">
        <f t="shared" si="53"/>
        <v>0.48706480640540095</v>
      </c>
      <c r="T70">
        <f t="shared" si="54"/>
        <v>2.9156875897353998</v>
      </c>
      <c r="U70">
        <f t="shared" si="55"/>
        <v>0.44596306820752535</v>
      </c>
      <c r="V70">
        <f t="shared" si="56"/>
        <v>0.28213014267329461</v>
      </c>
      <c r="W70">
        <f t="shared" si="57"/>
        <v>289.57387057770757</v>
      </c>
      <c r="X70">
        <f t="shared" si="58"/>
        <v>30.695484159038628</v>
      </c>
      <c r="Y70">
        <f t="shared" si="59"/>
        <v>29.9788</v>
      </c>
      <c r="Z70">
        <f t="shared" si="60"/>
        <v>4.2552645294903408</v>
      </c>
      <c r="AA70">
        <f t="shared" si="61"/>
        <v>65.226631407710741</v>
      </c>
      <c r="AB70">
        <f t="shared" si="62"/>
        <v>2.8842067793481601</v>
      </c>
      <c r="AC70">
        <f t="shared" si="63"/>
        <v>4.4218239039816556</v>
      </c>
      <c r="AD70">
        <f t="shared" si="64"/>
        <v>1.3710577501421808</v>
      </c>
      <c r="AE70">
        <f t="shared" si="65"/>
        <v>-281.67233830253247</v>
      </c>
      <c r="AF70">
        <f t="shared" si="66"/>
        <v>105.31766805633623</v>
      </c>
      <c r="AG70">
        <f t="shared" si="67"/>
        <v>8.0565386293320174</v>
      </c>
      <c r="AH70">
        <f t="shared" si="68"/>
        <v>121.27573896084334</v>
      </c>
      <c r="AI70">
        <v>0</v>
      </c>
      <c r="AJ70">
        <v>0</v>
      </c>
      <c r="AK70">
        <f t="shared" si="69"/>
        <v>1</v>
      </c>
      <c r="AL70">
        <f t="shared" si="70"/>
        <v>0</v>
      </c>
      <c r="AM70">
        <f t="shared" si="71"/>
        <v>51829.802543107027</v>
      </c>
      <c r="AN70" t="s">
        <v>418</v>
      </c>
      <c r="AO70">
        <v>10021</v>
      </c>
      <c r="AP70">
        <v>177.53923076923081</v>
      </c>
      <c r="AQ70">
        <v>655.56</v>
      </c>
      <c r="AR70">
        <f t="shared" si="72"/>
        <v>0.72917928066198234</v>
      </c>
      <c r="AS70">
        <v>-3.1115002560329539</v>
      </c>
      <c r="AT70" t="s">
        <v>697</v>
      </c>
      <c r="AU70">
        <v>8023.71</v>
      </c>
      <c r="AV70">
        <v>745.24592307692308</v>
      </c>
      <c r="AW70">
        <v>1182.075028624952</v>
      </c>
      <c r="AX70">
        <f t="shared" si="73"/>
        <v>0.36954431399855392</v>
      </c>
      <c r="AY70">
        <v>0.5</v>
      </c>
      <c r="AZ70">
        <f t="shared" si="74"/>
        <v>1513.2263992630608</v>
      </c>
      <c r="BA70">
        <f t="shared" si="75"/>
        <v>57.125548610098654</v>
      </c>
      <c r="BB70">
        <f t="shared" si="76"/>
        <v>279.60210582008483</v>
      </c>
      <c r="BC70">
        <f t="shared" si="77"/>
        <v>3.9807030128120265E-2</v>
      </c>
      <c r="BD70">
        <f t="shared" si="78"/>
        <v>-0.4454159134360704</v>
      </c>
      <c r="BE70">
        <f t="shared" si="79"/>
        <v>201.89317162341516</v>
      </c>
      <c r="BF70" t="s">
        <v>698</v>
      </c>
      <c r="BG70">
        <v>574.94000000000005</v>
      </c>
      <c r="BH70">
        <f t="shared" si="80"/>
        <v>574.94000000000005</v>
      </c>
      <c r="BI70">
        <f t="shared" si="81"/>
        <v>0.5136180140199742</v>
      </c>
      <c r="BJ70">
        <f t="shared" si="82"/>
        <v>0.71949250982498192</v>
      </c>
      <c r="BK70">
        <f t="shared" si="83"/>
        <v>-6.5308239720286867</v>
      </c>
      <c r="BL70">
        <f t="shared" si="84"/>
        <v>0.43485668353530343</v>
      </c>
      <c r="BM70">
        <f t="shared" si="85"/>
        <v>-1.1014480175667258</v>
      </c>
      <c r="BN70">
        <f t="shared" si="86"/>
        <v>0.55507183708011687</v>
      </c>
      <c r="BO70">
        <f t="shared" si="87"/>
        <v>0.44492816291988313</v>
      </c>
      <c r="BP70">
        <v>22573</v>
      </c>
      <c r="BQ70">
        <v>290.00000000000011</v>
      </c>
      <c r="BR70">
        <v>1034.49</v>
      </c>
      <c r="BS70">
        <v>265</v>
      </c>
      <c r="BT70">
        <v>8023.71</v>
      </c>
      <c r="BU70">
        <v>1037.3599999999999</v>
      </c>
      <c r="BV70">
        <v>-2.87</v>
      </c>
      <c r="BW70">
        <v>300.00000000000011</v>
      </c>
      <c r="BX70">
        <v>19.399999999999999</v>
      </c>
      <c r="BY70">
        <v>1182.075028624952</v>
      </c>
      <c r="BZ70">
        <v>4.1523388984937926</v>
      </c>
      <c r="CA70">
        <v>-116.1112303985568</v>
      </c>
      <c r="CB70">
        <v>3.060005020304208</v>
      </c>
      <c r="CC70">
        <v>0.98092391806566415</v>
      </c>
      <c r="CD70">
        <v>-4.1432805339265888E-3</v>
      </c>
      <c r="CE70">
        <v>289.99999999999989</v>
      </c>
      <c r="CF70">
        <v>1030.99</v>
      </c>
      <c r="CG70">
        <v>645</v>
      </c>
      <c r="CH70">
        <v>8012.75</v>
      </c>
      <c r="CI70">
        <v>1037.17</v>
      </c>
      <c r="CJ70">
        <v>-6.18</v>
      </c>
      <c r="CX70">
        <f t="shared" si="88"/>
        <v>1800.05</v>
      </c>
      <c r="CY70">
        <f t="shared" si="89"/>
        <v>1513.2263992630608</v>
      </c>
      <c r="CZ70">
        <f t="shared" si="90"/>
        <v>0.84065798131333069</v>
      </c>
      <c r="DA70">
        <f t="shared" si="91"/>
        <v>0.16086990393472825</v>
      </c>
      <c r="DB70">
        <v>6</v>
      </c>
      <c r="DC70">
        <v>0.5</v>
      </c>
      <c r="DD70" t="s">
        <v>421</v>
      </c>
      <c r="DE70">
        <v>2</v>
      </c>
      <c r="DF70">
        <v>1689008747</v>
      </c>
      <c r="DG70">
        <v>328.95600000000002</v>
      </c>
      <c r="DH70">
        <v>400.02</v>
      </c>
      <c r="DI70">
        <v>29.045400000000001</v>
      </c>
      <c r="DJ70">
        <v>21.604299999999999</v>
      </c>
      <c r="DK70">
        <v>328.41699999999997</v>
      </c>
      <c r="DL70">
        <v>28.779</v>
      </c>
      <c r="DM70">
        <v>500.05599999999998</v>
      </c>
      <c r="DN70">
        <v>99.2</v>
      </c>
      <c r="DO70">
        <v>9.9950399999999995E-2</v>
      </c>
      <c r="DP70">
        <v>30.648800000000001</v>
      </c>
      <c r="DQ70">
        <v>29.9788</v>
      </c>
      <c r="DR70">
        <v>999.9</v>
      </c>
      <c r="DS70">
        <v>0</v>
      </c>
      <c r="DT70">
        <v>0</v>
      </c>
      <c r="DU70">
        <v>10001.200000000001</v>
      </c>
      <c r="DV70">
        <v>0</v>
      </c>
      <c r="DW70">
        <v>453.09300000000002</v>
      </c>
      <c r="DX70">
        <v>-71.063999999999993</v>
      </c>
      <c r="DY70">
        <v>338.79599999999999</v>
      </c>
      <c r="DZ70">
        <v>408.85300000000001</v>
      </c>
      <c r="EA70">
        <v>7.44109</v>
      </c>
      <c r="EB70">
        <v>400.02</v>
      </c>
      <c r="EC70">
        <v>21.604299999999999</v>
      </c>
      <c r="ED70">
        <v>2.88131</v>
      </c>
      <c r="EE70">
        <v>2.1431499999999999</v>
      </c>
      <c r="EF70">
        <v>23.357399999999998</v>
      </c>
      <c r="EG70">
        <v>18.543600000000001</v>
      </c>
      <c r="EH70">
        <v>1800.05</v>
      </c>
      <c r="EI70">
        <v>0.97800600000000004</v>
      </c>
      <c r="EJ70">
        <v>2.1994E-2</v>
      </c>
      <c r="EK70">
        <v>0</v>
      </c>
      <c r="EL70">
        <v>746.07600000000002</v>
      </c>
      <c r="EM70">
        <v>5.0011200000000002</v>
      </c>
      <c r="EN70">
        <v>14706.6</v>
      </c>
      <c r="EO70">
        <v>17211.5</v>
      </c>
      <c r="EP70">
        <v>48.686999999999998</v>
      </c>
      <c r="EQ70">
        <v>48.936999999999998</v>
      </c>
      <c r="ER70">
        <v>49.375</v>
      </c>
      <c r="ES70">
        <v>48.5</v>
      </c>
      <c r="ET70">
        <v>49.375</v>
      </c>
      <c r="EU70">
        <v>1755.57</v>
      </c>
      <c r="EV70">
        <v>39.479999999999997</v>
      </c>
      <c r="EW70">
        <v>0</v>
      </c>
      <c r="EX70">
        <v>105.7999999523163</v>
      </c>
      <c r="EY70">
        <v>0</v>
      </c>
      <c r="EZ70">
        <v>745.24592307692308</v>
      </c>
      <c r="FA70">
        <v>7.707760675887366</v>
      </c>
      <c r="FB70">
        <v>156.98803421883019</v>
      </c>
      <c r="FC70">
        <v>14693.08846153846</v>
      </c>
      <c r="FD70">
        <v>15</v>
      </c>
      <c r="FE70">
        <v>1689008715.5</v>
      </c>
      <c r="FF70" t="s">
        <v>699</v>
      </c>
      <c r="FG70">
        <v>1689008706.5</v>
      </c>
      <c r="FH70">
        <v>1689008715.5</v>
      </c>
      <c r="FI70">
        <v>59</v>
      </c>
      <c r="FJ70">
        <v>-8.5000000000000006E-2</v>
      </c>
      <c r="FK70">
        <v>8.9999999999999993E-3</v>
      </c>
      <c r="FL70">
        <v>0.64900000000000002</v>
      </c>
      <c r="FM70">
        <v>0.24199999999999999</v>
      </c>
      <c r="FN70">
        <v>400</v>
      </c>
      <c r="FO70">
        <v>21</v>
      </c>
      <c r="FP70">
        <v>0.08</v>
      </c>
      <c r="FQ70">
        <v>0.03</v>
      </c>
      <c r="FR70">
        <v>57.082004738350463</v>
      </c>
      <c r="FS70">
        <v>-0.60796649757133181</v>
      </c>
      <c r="FT70">
        <v>8.7527450889636191E-2</v>
      </c>
      <c r="FU70">
        <v>1</v>
      </c>
      <c r="FV70">
        <v>0.49697248422904727</v>
      </c>
      <c r="FW70">
        <v>-3.831720855187995E-2</v>
      </c>
      <c r="FX70">
        <v>4.4766660697691711E-3</v>
      </c>
      <c r="FY70">
        <v>1</v>
      </c>
      <c r="FZ70">
        <v>2</v>
      </c>
      <c r="GA70">
        <v>2</v>
      </c>
      <c r="GB70" t="s">
        <v>423</v>
      </c>
      <c r="GC70">
        <v>2.9255100000000001</v>
      </c>
      <c r="GD70">
        <v>2.8272499999999998</v>
      </c>
      <c r="GE70">
        <v>7.5450000000000003E-2</v>
      </c>
      <c r="GF70">
        <v>8.8360999999999995E-2</v>
      </c>
      <c r="GG70">
        <v>0.12803999999999999</v>
      </c>
      <c r="GH70">
        <v>0.104643</v>
      </c>
      <c r="GI70">
        <v>30193.7</v>
      </c>
      <c r="GJ70">
        <v>24148.2</v>
      </c>
      <c r="GK70">
        <v>31425.200000000001</v>
      </c>
      <c r="GL70">
        <v>26127.5</v>
      </c>
      <c r="GM70">
        <v>37565.5</v>
      </c>
      <c r="GN70">
        <v>31730</v>
      </c>
      <c r="GO70">
        <v>46671.4</v>
      </c>
      <c r="GP70">
        <v>37987</v>
      </c>
      <c r="GQ70">
        <v>1.9285000000000001</v>
      </c>
      <c r="GR70">
        <v>1.7497</v>
      </c>
      <c r="GS70">
        <v>5.8781399999999998E-2</v>
      </c>
      <c r="GT70">
        <v>0</v>
      </c>
      <c r="GU70">
        <v>29.0215</v>
      </c>
      <c r="GV70">
        <v>999.9</v>
      </c>
      <c r="GW70">
        <v>40</v>
      </c>
      <c r="GX70">
        <v>42.9</v>
      </c>
      <c r="GY70">
        <v>34.846699999999998</v>
      </c>
      <c r="GZ70">
        <v>62.271500000000003</v>
      </c>
      <c r="HA70">
        <v>22.271599999999999</v>
      </c>
      <c r="HB70">
        <v>1</v>
      </c>
      <c r="HC70">
        <v>0.45283000000000001</v>
      </c>
      <c r="HD70">
        <v>1.3076000000000001</v>
      </c>
      <c r="HE70">
        <v>20.338799999999999</v>
      </c>
      <c r="HF70">
        <v>5.22478</v>
      </c>
      <c r="HG70">
        <v>12.0624</v>
      </c>
      <c r="HH70">
        <v>4.99275</v>
      </c>
      <c r="HI70">
        <v>3.2919999999999998</v>
      </c>
      <c r="HJ70">
        <v>9999</v>
      </c>
      <c r="HK70">
        <v>9999</v>
      </c>
      <c r="HL70">
        <v>9999</v>
      </c>
      <c r="HM70">
        <v>463.5</v>
      </c>
      <c r="HN70">
        <v>1.8666</v>
      </c>
      <c r="HO70">
        <v>1.8700300000000001</v>
      </c>
      <c r="HP70">
        <v>1.8725700000000001</v>
      </c>
      <c r="HQ70">
        <v>1.87347</v>
      </c>
      <c r="HR70">
        <v>1.8702700000000001</v>
      </c>
      <c r="HS70">
        <v>1.8686799999999999</v>
      </c>
      <c r="HT70">
        <v>1.8702099999999999</v>
      </c>
      <c r="HU70">
        <v>1.87317</v>
      </c>
      <c r="HV70">
        <v>0</v>
      </c>
      <c r="HW70">
        <v>0</v>
      </c>
      <c r="HX70">
        <v>0</v>
      </c>
      <c r="HY70">
        <v>0</v>
      </c>
      <c r="HZ70" t="s">
        <v>424</v>
      </c>
      <c r="IA70" t="s">
        <v>425</v>
      </c>
      <c r="IB70" t="s">
        <v>426</v>
      </c>
      <c r="IC70" t="s">
        <v>426</v>
      </c>
      <c r="ID70" t="s">
        <v>426</v>
      </c>
      <c r="IE70" t="s">
        <v>426</v>
      </c>
      <c r="IF70">
        <v>0</v>
      </c>
      <c r="IG70">
        <v>100</v>
      </c>
      <c r="IH70">
        <v>100</v>
      </c>
      <c r="II70">
        <v>0.53900000000000003</v>
      </c>
      <c r="IJ70">
        <v>0.26640000000000003</v>
      </c>
      <c r="IK70">
        <v>-0.21821814350061799</v>
      </c>
      <c r="IL70">
        <v>3.042515301972944E-3</v>
      </c>
      <c r="IM70">
        <v>-2.5091471490852929E-6</v>
      </c>
      <c r="IN70">
        <v>8.1339755115576286E-10</v>
      </c>
      <c r="IO70">
        <v>0.26644392443646192</v>
      </c>
      <c r="IP70">
        <v>0</v>
      </c>
      <c r="IQ70">
        <v>0</v>
      </c>
      <c r="IR70">
        <v>0</v>
      </c>
      <c r="IS70">
        <v>3</v>
      </c>
      <c r="IT70">
        <v>2004</v>
      </c>
      <c r="IU70">
        <v>2</v>
      </c>
      <c r="IV70">
        <v>22</v>
      </c>
      <c r="IW70">
        <v>0.7</v>
      </c>
      <c r="IX70">
        <v>0.5</v>
      </c>
      <c r="IY70">
        <v>1.0339400000000001</v>
      </c>
      <c r="IZ70">
        <v>2.6013199999999999</v>
      </c>
      <c r="JA70">
        <v>1.64917</v>
      </c>
      <c r="JB70">
        <v>2.33521</v>
      </c>
      <c r="JC70">
        <v>1.5991200000000001</v>
      </c>
      <c r="JD70">
        <v>2.33643</v>
      </c>
      <c r="JE70">
        <v>44.669199999999996</v>
      </c>
      <c r="JF70">
        <v>16.0671</v>
      </c>
      <c r="JG70">
        <v>18</v>
      </c>
      <c r="JH70">
        <v>519.88699999999994</v>
      </c>
      <c r="JI70">
        <v>451.46600000000001</v>
      </c>
      <c r="JJ70">
        <v>28.126999999999999</v>
      </c>
      <c r="JK70">
        <v>32.952199999999998</v>
      </c>
      <c r="JL70">
        <v>29.999199999999998</v>
      </c>
      <c r="JM70">
        <v>33.1492</v>
      </c>
      <c r="JN70">
        <v>33.166800000000002</v>
      </c>
      <c r="JO70">
        <v>20.7119</v>
      </c>
      <c r="JP70">
        <v>47.726900000000001</v>
      </c>
      <c r="JQ70">
        <v>0</v>
      </c>
      <c r="JR70">
        <v>28.415700000000001</v>
      </c>
      <c r="JS70">
        <v>400</v>
      </c>
      <c r="JT70">
        <v>21.6831</v>
      </c>
      <c r="JU70">
        <v>99.607399999999998</v>
      </c>
      <c r="JV70">
        <v>99.338999999999999</v>
      </c>
    </row>
    <row r="71" spans="1:282" x14ac:dyDescent="0.25">
      <c r="A71">
        <v>55</v>
      </c>
      <c r="B71">
        <v>1689008864.5</v>
      </c>
      <c r="C71">
        <v>9269.4000000953674</v>
      </c>
      <c r="D71" t="s">
        <v>700</v>
      </c>
      <c r="E71" t="s">
        <v>701</v>
      </c>
      <c r="F71" t="s">
        <v>414</v>
      </c>
      <c r="G71" t="s">
        <v>415</v>
      </c>
      <c r="H71" t="s">
        <v>655</v>
      </c>
      <c r="I71" t="s">
        <v>416</v>
      </c>
      <c r="J71" t="s">
        <v>656</v>
      </c>
      <c r="K71">
        <v>1689008864.5</v>
      </c>
      <c r="L71">
        <f t="shared" si="46"/>
        <v>6.264167829831341E-3</v>
      </c>
      <c r="M71">
        <f t="shared" si="47"/>
        <v>6.264167829831341</v>
      </c>
      <c r="N71">
        <f t="shared" si="48"/>
        <v>57.785187329871817</v>
      </c>
      <c r="O71">
        <f t="shared" si="49"/>
        <v>328.238</v>
      </c>
      <c r="P71">
        <f t="shared" si="50"/>
        <v>114.59994004919142</v>
      </c>
      <c r="Q71">
        <f t="shared" si="51"/>
        <v>11.379276912344775</v>
      </c>
      <c r="R71">
        <f t="shared" si="52"/>
        <v>32.592609503555998</v>
      </c>
      <c r="S71">
        <f t="shared" si="53"/>
        <v>0.47747918772884151</v>
      </c>
      <c r="T71">
        <f t="shared" si="54"/>
        <v>2.9156099788300152</v>
      </c>
      <c r="U71">
        <f t="shared" si="55"/>
        <v>0.43790802391333311</v>
      </c>
      <c r="V71">
        <f t="shared" si="56"/>
        <v>0.27697402294534512</v>
      </c>
      <c r="W71">
        <f t="shared" si="57"/>
        <v>289.53716257752581</v>
      </c>
      <c r="X71">
        <f t="shared" si="58"/>
        <v>30.748705693741343</v>
      </c>
      <c r="Y71">
        <f t="shared" si="59"/>
        <v>29.987400000000001</v>
      </c>
      <c r="Z71">
        <f t="shared" si="60"/>
        <v>4.2573673136991612</v>
      </c>
      <c r="AA71">
        <f t="shared" si="61"/>
        <v>65.234241133578593</v>
      </c>
      <c r="AB71">
        <f t="shared" si="62"/>
        <v>2.8880739066671999</v>
      </c>
      <c r="AC71">
        <f t="shared" si="63"/>
        <v>4.427236151568561</v>
      </c>
      <c r="AD71">
        <f t="shared" si="64"/>
        <v>1.3692934070319613</v>
      </c>
      <c r="AE71">
        <f t="shared" si="65"/>
        <v>-276.24980129556212</v>
      </c>
      <c r="AF71">
        <f t="shared" si="66"/>
        <v>107.32685014400533</v>
      </c>
      <c r="AG71">
        <f t="shared" si="67"/>
        <v>8.2116731497257209</v>
      </c>
      <c r="AH71">
        <f t="shared" si="68"/>
        <v>128.82588457569472</v>
      </c>
      <c r="AI71">
        <v>0</v>
      </c>
      <c r="AJ71">
        <v>0</v>
      </c>
      <c r="AK71">
        <f t="shared" si="69"/>
        <v>1</v>
      </c>
      <c r="AL71">
        <f t="shared" si="70"/>
        <v>0</v>
      </c>
      <c r="AM71">
        <f t="shared" si="71"/>
        <v>51823.851294780281</v>
      </c>
      <c r="AN71" t="s">
        <v>418</v>
      </c>
      <c r="AO71">
        <v>10021</v>
      </c>
      <c r="AP71">
        <v>177.53923076923081</v>
      </c>
      <c r="AQ71">
        <v>655.56</v>
      </c>
      <c r="AR71">
        <f t="shared" si="72"/>
        <v>0.72917928066198234</v>
      </c>
      <c r="AS71">
        <v>-3.1115002560329539</v>
      </c>
      <c r="AT71" t="s">
        <v>702</v>
      </c>
      <c r="AU71">
        <v>8023.06</v>
      </c>
      <c r="AV71">
        <v>752.65563999999995</v>
      </c>
      <c r="AW71">
        <v>1197.6754180342959</v>
      </c>
      <c r="AX71">
        <f t="shared" si="73"/>
        <v>0.37156960169115927</v>
      </c>
      <c r="AY71">
        <v>0.5</v>
      </c>
      <c r="AZ71">
        <f t="shared" si="74"/>
        <v>1513.0331992629667</v>
      </c>
      <c r="BA71">
        <f t="shared" si="75"/>
        <v>57.785187329871817</v>
      </c>
      <c r="BB71">
        <f t="shared" si="76"/>
        <v>281.09857159782047</v>
      </c>
      <c r="BC71">
        <f t="shared" si="77"/>
        <v>4.0248084189804259E-2</v>
      </c>
      <c r="BD71">
        <f t="shared" si="78"/>
        <v>-0.45263968005960387</v>
      </c>
      <c r="BE71">
        <f t="shared" si="79"/>
        <v>202.3433263100159</v>
      </c>
      <c r="BF71" t="s">
        <v>703</v>
      </c>
      <c r="BG71">
        <v>576.74</v>
      </c>
      <c r="BH71">
        <f t="shared" si="80"/>
        <v>576.74</v>
      </c>
      <c r="BI71">
        <f t="shared" si="81"/>
        <v>0.5184504989285128</v>
      </c>
      <c r="BJ71">
        <f t="shared" si="82"/>
        <v>0.71669253373096586</v>
      </c>
      <c r="BK71">
        <f t="shared" si="83"/>
        <v>-6.8778916269258623</v>
      </c>
      <c r="BL71">
        <f t="shared" si="84"/>
        <v>0.43623565518969787</v>
      </c>
      <c r="BM71">
        <f t="shared" si="85"/>
        <v>-1.1340833974780384</v>
      </c>
      <c r="BN71">
        <f t="shared" si="86"/>
        <v>0.54918242810749063</v>
      </c>
      <c r="BO71">
        <f t="shared" si="87"/>
        <v>0.45081757189250937</v>
      </c>
      <c r="BP71">
        <v>22575</v>
      </c>
      <c r="BQ71">
        <v>290.00000000000011</v>
      </c>
      <c r="BR71">
        <v>1051.29</v>
      </c>
      <c r="BS71">
        <v>295</v>
      </c>
      <c r="BT71">
        <v>8023.06</v>
      </c>
      <c r="BU71">
        <v>1054.23</v>
      </c>
      <c r="BV71">
        <v>-2.94</v>
      </c>
      <c r="BW71">
        <v>300.00000000000011</v>
      </c>
      <c r="BX71">
        <v>19.399999999999999</v>
      </c>
      <c r="BY71">
        <v>1197.6754180342959</v>
      </c>
      <c r="BZ71">
        <v>5.5232262959003524</v>
      </c>
      <c r="CA71">
        <v>-115.0907509346814</v>
      </c>
      <c r="CB71">
        <v>4.0705864374218867</v>
      </c>
      <c r="CC71">
        <v>0.96615925880842757</v>
      </c>
      <c r="CD71">
        <v>-4.1433997775305919E-3</v>
      </c>
      <c r="CE71">
        <v>289.99999999999989</v>
      </c>
      <c r="CF71">
        <v>1048.31</v>
      </c>
      <c r="CG71">
        <v>625</v>
      </c>
      <c r="CH71">
        <v>8014.04</v>
      </c>
      <c r="CI71">
        <v>1054.06</v>
      </c>
      <c r="CJ71">
        <v>-5.75</v>
      </c>
      <c r="CX71">
        <f t="shared" si="88"/>
        <v>1799.82</v>
      </c>
      <c r="CY71">
        <f t="shared" si="89"/>
        <v>1513.0331992629667</v>
      </c>
      <c r="CZ71">
        <f t="shared" si="90"/>
        <v>0.84065806539707677</v>
      </c>
      <c r="DA71">
        <f t="shared" si="91"/>
        <v>0.16087006621635819</v>
      </c>
      <c r="DB71">
        <v>6</v>
      </c>
      <c r="DC71">
        <v>0.5</v>
      </c>
      <c r="DD71" t="s">
        <v>421</v>
      </c>
      <c r="DE71">
        <v>2</v>
      </c>
      <c r="DF71">
        <v>1689008864.5</v>
      </c>
      <c r="DG71">
        <v>328.238</v>
      </c>
      <c r="DH71">
        <v>400.04399999999998</v>
      </c>
      <c r="DI71">
        <v>29.085599999999999</v>
      </c>
      <c r="DJ71">
        <v>21.787600000000001</v>
      </c>
      <c r="DK71">
        <v>327.56599999999997</v>
      </c>
      <c r="DL71">
        <v>28.8231</v>
      </c>
      <c r="DM71">
        <v>500.02499999999998</v>
      </c>
      <c r="DN71">
        <v>99.195599999999999</v>
      </c>
      <c r="DO71">
        <v>0.100062</v>
      </c>
      <c r="DP71">
        <v>30.670200000000001</v>
      </c>
      <c r="DQ71">
        <v>29.987400000000001</v>
      </c>
      <c r="DR71">
        <v>999.9</v>
      </c>
      <c r="DS71">
        <v>0</v>
      </c>
      <c r="DT71">
        <v>0</v>
      </c>
      <c r="DU71">
        <v>10001.200000000001</v>
      </c>
      <c r="DV71">
        <v>0</v>
      </c>
      <c r="DW71">
        <v>571.00199999999995</v>
      </c>
      <c r="DX71">
        <v>-71.805999999999997</v>
      </c>
      <c r="DY71">
        <v>338.07100000000003</v>
      </c>
      <c r="DZ71">
        <v>408.95400000000001</v>
      </c>
      <c r="EA71">
        <v>7.2979700000000003</v>
      </c>
      <c r="EB71">
        <v>400.04399999999998</v>
      </c>
      <c r="EC71">
        <v>21.787600000000001</v>
      </c>
      <c r="ED71">
        <v>2.8851599999999999</v>
      </c>
      <c r="EE71">
        <v>2.1612399999999998</v>
      </c>
      <c r="EF71">
        <v>23.3796</v>
      </c>
      <c r="EG71">
        <v>18.677800000000001</v>
      </c>
      <c r="EH71">
        <v>1799.82</v>
      </c>
      <c r="EI71">
        <v>0.97800200000000004</v>
      </c>
      <c r="EJ71">
        <v>2.1997699999999999E-2</v>
      </c>
      <c r="EK71">
        <v>0</v>
      </c>
      <c r="EL71">
        <v>752.46199999999999</v>
      </c>
      <c r="EM71">
        <v>5.0011200000000002</v>
      </c>
      <c r="EN71">
        <v>14894</v>
      </c>
      <c r="EO71">
        <v>17209.2</v>
      </c>
      <c r="EP71">
        <v>48.311999999999998</v>
      </c>
      <c r="EQ71">
        <v>48.625</v>
      </c>
      <c r="ER71">
        <v>49.061999999999998</v>
      </c>
      <c r="ES71">
        <v>48.25</v>
      </c>
      <c r="ET71">
        <v>48.375</v>
      </c>
      <c r="EU71">
        <v>1755.34</v>
      </c>
      <c r="EV71">
        <v>39.479999999999997</v>
      </c>
      <c r="EW71">
        <v>0</v>
      </c>
      <c r="EX71">
        <v>115.7999999523163</v>
      </c>
      <c r="EY71">
        <v>0</v>
      </c>
      <c r="EZ71">
        <v>752.65563999999995</v>
      </c>
      <c r="FA71">
        <v>8.3076931047334268E-2</v>
      </c>
      <c r="FB71">
        <v>161.876923121793</v>
      </c>
      <c r="FC71">
        <v>14855.244000000001</v>
      </c>
      <c r="FD71">
        <v>15</v>
      </c>
      <c r="FE71">
        <v>1689008823.5</v>
      </c>
      <c r="FF71" t="s">
        <v>704</v>
      </c>
      <c r="FG71">
        <v>1689008804.5</v>
      </c>
      <c r="FH71">
        <v>1689008823.5</v>
      </c>
      <c r="FI71">
        <v>60</v>
      </c>
      <c r="FJ71">
        <v>0.13400000000000001</v>
      </c>
      <c r="FK71">
        <v>-4.0000000000000001E-3</v>
      </c>
      <c r="FL71">
        <v>0.78300000000000003</v>
      </c>
      <c r="FM71">
        <v>0.255</v>
      </c>
      <c r="FN71">
        <v>400</v>
      </c>
      <c r="FO71">
        <v>22</v>
      </c>
      <c r="FP71">
        <v>0.04</v>
      </c>
      <c r="FQ71">
        <v>0.02</v>
      </c>
      <c r="FR71">
        <v>57.768846881368077</v>
      </c>
      <c r="FS71">
        <v>0.11277702541777521</v>
      </c>
      <c r="FT71">
        <v>2.9027251764401091E-2</v>
      </c>
      <c r="FU71">
        <v>1</v>
      </c>
      <c r="FV71">
        <v>0.48289553344237102</v>
      </c>
      <c r="FW71">
        <v>-4.2215087053277263E-2</v>
      </c>
      <c r="FX71">
        <v>3.0996361110052742E-3</v>
      </c>
      <c r="FY71">
        <v>1</v>
      </c>
      <c r="FZ71">
        <v>2</v>
      </c>
      <c r="GA71">
        <v>2</v>
      </c>
      <c r="GB71" t="s">
        <v>423</v>
      </c>
      <c r="GC71">
        <v>2.9256899999999999</v>
      </c>
      <c r="GD71">
        <v>2.8273700000000002</v>
      </c>
      <c r="GE71">
        <v>7.5331599999999999E-2</v>
      </c>
      <c r="GF71">
        <v>8.8409199999999993E-2</v>
      </c>
      <c r="GG71">
        <v>0.12823200000000001</v>
      </c>
      <c r="GH71">
        <v>0.105314</v>
      </c>
      <c r="GI71">
        <v>30212.1</v>
      </c>
      <c r="GJ71">
        <v>24155.4</v>
      </c>
      <c r="GK71">
        <v>31439.7</v>
      </c>
      <c r="GL71">
        <v>26135.8</v>
      </c>
      <c r="GM71">
        <v>37574</v>
      </c>
      <c r="GN71">
        <v>31716.2</v>
      </c>
      <c r="GO71">
        <v>46693.3</v>
      </c>
      <c r="GP71">
        <v>37999.4</v>
      </c>
      <c r="GQ71">
        <v>1.93163</v>
      </c>
      <c r="GR71">
        <v>1.7549999999999999</v>
      </c>
      <c r="GS71">
        <v>7.0549500000000001E-2</v>
      </c>
      <c r="GT71">
        <v>0</v>
      </c>
      <c r="GU71">
        <v>28.838200000000001</v>
      </c>
      <c r="GV71">
        <v>999.9</v>
      </c>
      <c r="GW71">
        <v>39.9</v>
      </c>
      <c r="GX71">
        <v>42.7</v>
      </c>
      <c r="GY71">
        <v>34.398299999999999</v>
      </c>
      <c r="GZ71">
        <v>62.451500000000003</v>
      </c>
      <c r="HA71">
        <v>22.255600000000001</v>
      </c>
      <c r="HB71">
        <v>1</v>
      </c>
      <c r="HC71">
        <v>0.43188300000000002</v>
      </c>
      <c r="HD71">
        <v>1.0510200000000001</v>
      </c>
      <c r="HE71">
        <v>20.342500000000001</v>
      </c>
      <c r="HF71">
        <v>5.2249299999999996</v>
      </c>
      <c r="HG71">
        <v>12.061199999999999</v>
      </c>
      <c r="HH71">
        <v>4.9931999999999999</v>
      </c>
      <c r="HI71">
        <v>3.2919999999999998</v>
      </c>
      <c r="HJ71">
        <v>9999</v>
      </c>
      <c r="HK71">
        <v>9999</v>
      </c>
      <c r="HL71">
        <v>9999</v>
      </c>
      <c r="HM71">
        <v>463.6</v>
      </c>
      <c r="HN71">
        <v>1.8665799999999999</v>
      </c>
      <c r="HO71">
        <v>1.87</v>
      </c>
      <c r="HP71">
        <v>1.87256</v>
      </c>
      <c r="HQ71">
        <v>1.87347</v>
      </c>
      <c r="HR71">
        <v>1.87029</v>
      </c>
      <c r="HS71">
        <v>1.8686799999999999</v>
      </c>
      <c r="HT71">
        <v>1.8701399999999999</v>
      </c>
      <c r="HU71">
        <v>1.87317</v>
      </c>
      <c r="HV71">
        <v>0</v>
      </c>
      <c r="HW71">
        <v>0</v>
      </c>
      <c r="HX71">
        <v>0</v>
      </c>
      <c r="HY71">
        <v>0</v>
      </c>
      <c r="HZ71" t="s">
        <v>424</v>
      </c>
      <c r="IA71" t="s">
        <v>425</v>
      </c>
      <c r="IB71" t="s">
        <v>426</v>
      </c>
      <c r="IC71" t="s">
        <v>426</v>
      </c>
      <c r="ID71" t="s">
        <v>426</v>
      </c>
      <c r="IE71" t="s">
        <v>426</v>
      </c>
      <c r="IF71">
        <v>0</v>
      </c>
      <c r="IG71">
        <v>100</v>
      </c>
      <c r="IH71">
        <v>100</v>
      </c>
      <c r="II71">
        <v>0.67200000000000004</v>
      </c>
      <c r="IJ71">
        <v>0.26250000000000001</v>
      </c>
      <c r="IK71">
        <v>-8.3782771785335136E-2</v>
      </c>
      <c r="IL71">
        <v>3.042515301972944E-3</v>
      </c>
      <c r="IM71">
        <v>-2.5091471490852929E-6</v>
      </c>
      <c r="IN71">
        <v>8.1339755115576286E-10</v>
      </c>
      <c r="IO71">
        <v>0.26254688036645307</v>
      </c>
      <c r="IP71">
        <v>0</v>
      </c>
      <c r="IQ71">
        <v>0</v>
      </c>
      <c r="IR71">
        <v>0</v>
      </c>
      <c r="IS71">
        <v>3</v>
      </c>
      <c r="IT71">
        <v>2004</v>
      </c>
      <c r="IU71">
        <v>2</v>
      </c>
      <c r="IV71">
        <v>22</v>
      </c>
      <c r="IW71">
        <v>1</v>
      </c>
      <c r="IX71">
        <v>0.7</v>
      </c>
      <c r="IY71">
        <v>1.0339400000000001</v>
      </c>
      <c r="IZ71">
        <v>2.6110799999999998</v>
      </c>
      <c r="JA71">
        <v>1.64917</v>
      </c>
      <c r="JB71">
        <v>2.3339799999999999</v>
      </c>
      <c r="JC71">
        <v>1.5991200000000001</v>
      </c>
      <c r="JD71">
        <v>2.2522000000000002</v>
      </c>
      <c r="JE71">
        <v>44.334200000000003</v>
      </c>
      <c r="JF71">
        <v>16.049600000000002</v>
      </c>
      <c r="JG71">
        <v>18</v>
      </c>
      <c r="JH71">
        <v>520.27</v>
      </c>
      <c r="JI71">
        <v>453.43099999999998</v>
      </c>
      <c r="JJ71">
        <v>28.474399999999999</v>
      </c>
      <c r="JK71">
        <v>32.717500000000001</v>
      </c>
      <c r="JL71">
        <v>29.999199999999998</v>
      </c>
      <c r="JM71">
        <v>32.934899999999999</v>
      </c>
      <c r="JN71">
        <v>32.9587</v>
      </c>
      <c r="JO71">
        <v>20.713100000000001</v>
      </c>
      <c r="JP71">
        <v>47.831499999999998</v>
      </c>
      <c r="JQ71">
        <v>0</v>
      </c>
      <c r="JR71">
        <v>28.4861</v>
      </c>
      <c r="JS71">
        <v>400</v>
      </c>
      <c r="JT71">
        <v>21.795000000000002</v>
      </c>
      <c r="JU71">
        <v>99.653800000000004</v>
      </c>
      <c r="JV71">
        <v>99.370999999999995</v>
      </c>
    </row>
    <row r="72" spans="1:282" x14ac:dyDescent="0.25">
      <c r="A72">
        <v>56</v>
      </c>
      <c r="B72">
        <v>1689008988.0999999</v>
      </c>
      <c r="C72">
        <v>9393</v>
      </c>
      <c r="D72" t="s">
        <v>705</v>
      </c>
      <c r="E72" t="s">
        <v>706</v>
      </c>
      <c r="F72" t="s">
        <v>414</v>
      </c>
      <c r="G72" t="s">
        <v>415</v>
      </c>
      <c r="H72" t="s">
        <v>655</v>
      </c>
      <c r="I72" t="s">
        <v>416</v>
      </c>
      <c r="J72" t="s">
        <v>656</v>
      </c>
      <c r="K72">
        <v>1689008988.0999999</v>
      </c>
      <c r="L72">
        <f t="shared" si="46"/>
        <v>6.617157237264951E-3</v>
      </c>
      <c r="M72">
        <f t="shared" si="47"/>
        <v>6.6171572372649514</v>
      </c>
      <c r="N72">
        <f t="shared" si="48"/>
        <v>62.843293625398751</v>
      </c>
      <c r="O72">
        <f t="shared" si="49"/>
        <v>421.43700000000001</v>
      </c>
      <c r="P72">
        <f t="shared" si="50"/>
        <v>201.53214209782507</v>
      </c>
      <c r="Q72">
        <f t="shared" si="51"/>
        <v>20.01071889339082</v>
      </c>
      <c r="R72">
        <f t="shared" si="52"/>
        <v>41.845718754780002</v>
      </c>
      <c r="S72">
        <f t="shared" si="53"/>
        <v>0.51140618990319753</v>
      </c>
      <c r="T72">
        <f t="shared" si="54"/>
        <v>2.9145824237841085</v>
      </c>
      <c r="U72">
        <f t="shared" si="55"/>
        <v>0.46628170223598375</v>
      </c>
      <c r="V72">
        <f t="shared" si="56"/>
        <v>0.29514780450136435</v>
      </c>
      <c r="W72">
        <f t="shared" si="57"/>
        <v>289.57764157736312</v>
      </c>
      <c r="X72">
        <f t="shared" si="58"/>
        <v>30.527865829471104</v>
      </c>
      <c r="Y72">
        <f t="shared" si="59"/>
        <v>29.963000000000001</v>
      </c>
      <c r="Z72">
        <f t="shared" si="60"/>
        <v>4.2514036337636858</v>
      </c>
      <c r="AA72">
        <f t="shared" si="61"/>
        <v>65.829677722093876</v>
      </c>
      <c r="AB72">
        <f t="shared" si="62"/>
        <v>2.8929990998399999</v>
      </c>
      <c r="AC72">
        <f t="shared" si="63"/>
        <v>4.3946730410151265</v>
      </c>
      <c r="AD72">
        <f t="shared" si="64"/>
        <v>1.3584045339236859</v>
      </c>
      <c r="AE72">
        <f t="shared" si="65"/>
        <v>-291.81663416338432</v>
      </c>
      <c r="AF72">
        <f t="shared" si="66"/>
        <v>90.837412387509232</v>
      </c>
      <c r="AG72">
        <f t="shared" si="67"/>
        <v>6.9472231877959816</v>
      </c>
      <c r="AH72">
        <f t="shared" si="68"/>
        <v>95.545642989284033</v>
      </c>
      <c r="AI72">
        <v>0</v>
      </c>
      <c r="AJ72">
        <v>0</v>
      </c>
      <c r="AK72">
        <f t="shared" si="69"/>
        <v>1</v>
      </c>
      <c r="AL72">
        <f t="shared" si="70"/>
        <v>0</v>
      </c>
      <c r="AM72">
        <f t="shared" si="71"/>
        <v>51816.632089697669</v>
      </c>
      <c r="AN72" t="s">
        <v>418</v>
      </c>
      <c r="AO72">
        <v>10021</v>
      </c>
      <c r="AP72">
        <v>177.53923076923081</v>
      </c>
      <c r="AQ72">
        <v>655.56</v>
      </c>
      <c r="AR72">
        <f t="shared" si="72"/>
        <v>0.72917928066198234</v>
      </c>
      <c r="AS72">
        <v>-3.1115002560329539</v>
      </c>
      <c r="AT72" t="s">
        <v>707</v>
      </c>
      <c r="AU72">
        <v>8025.23</v>
      </c>
      <c r="AV72">
        <v>782.32957692307696</v>
      </c>
      <c r="AW72">
        <v>1268.7513716271351</v>
      </c>
      <c r="AX72">
        <f t="shared" si="73"/>
        <v>0.38338622174669013</v>
      </c>
      <c r="AY72">
        <v>0.5</v>
      </c>
      <c r="AZ72">
        <f t="shared" si="74"/>
        <v>1513.2434992628823</v>
      </c>
      <c r="BA72">
        <f t="shared" si="75"/>
        <v>62.843293625398751</v>
      </c>
      <c r="BB72">
        <f t="shared" si="76"/>
        <v>290.07835388256836</v>
      </c>
      <c r="BC72">
        <f t="shared" si="77"/>
        <v>4.3585050200816329E-2</v>
      </c>
      <c r="BD72">
        <f t="shared" si="78"/>
        <v>-0.48330302164776051</v>
      </c>
      <c r="BE72">
        <f t="shared" si="79"/>
        <v>204.27669527509232</v>
      </c>
      <c r="BF72" t="s">
        <v>708</v>
      </c>
      <c r="BG72">
        <v>586.89</v>
      </c>
      <c r="BH72">
        <f t="shared" si="80"/>
        <v>586.89</v>
      </c>
      <c r="BI72">
        <f t="shared" si="81"/>
        <v>0.53742710106604141</v>
      </c>
      <c r="BJ72">
        <f t="shared" si="82"/>
        <v>0.71337344355393406</v>
      </c>
      <c r="BK72">
        <f t="shared" si="83"/>
        <v>-8.9295379587466943</v>
      </c>
      <c r="BL72">
        <f t="shared" si="84"/>
        <v>0.44576281411388657</v>
      </c>
      <c r="BM72">
        <f t="shared" si="85"/>
        <v>-1.2827714005269739</v>
      </c>
      <c r="BN72">
        <f t="shared" si="86"/>
        <v>0.53516031176274259</v>
      </c>
      <c r="BO72">
        <f t="shared" si="87"/>
        <v>0.46483968823725741</v>
      </c>
      <c r="BP72">
        <v>22577</v>
      </c>
      <c r="BQ72">
        <v>290.00000000000011</v>
      </c>
      <c r="BR72">
        <v>1127.72</v>
      </c>
      <c r="BS72">
        <v>275</v>
      </c>
      <c r="BT72">
        <v>8025.23</v>
      </c>
      <c r="BU72">
        <v>1131.1600000000001</v>
      </c>
      <c r="BV72">
        <v>-3.44</v>
      </c>
      <c r="BW72">
        <v>300.00000000000011</v>
      </c>
      <c r="BX72">
        <v>19.399999999999999</v>
      </c>
      <c r="BY72">
        <v>1268.7513716271351</v>
      </c>
      <c r="BZ72">
        <v>6.6132907413410358</v>
      </c>
      <c r="CA72">
        <v>-110.4235221613141</v>
      </c>
      <c r="CB72">
        <v>4.8749146173620161</v>
      </c>
      <c r="CC72">
        <v>0.94825210563636753</v>
      </c>
      <c r="CD72">
        <v>-4.1443225806451628E-3</v>
      </c>
      <c r="CE72">
        <v>289.99999999999989</v>
      </c>
      <c r="CF72">
        <v>1130.3699999999999</v>
      </c>
      <c r="CG72">
        <v>635</v>
      </c>
      <c r="CH72">
        <v>8015.33</v>
      </c>
      <c r="CI72">
        <v>1130.99</v>
      </c>
      <c r="CJ72">
        <v>-0.62</v>
      </c>
      <c r="CX72">
        <f t="shared" si="88"/>
        <v>1800.07</v>
      </c>
      <c r="CY72">
        <f t="shared" si="89"/>
        <v>1513.2434992628823</v>
      </c>
      <c r="CZ72">
        <f t="shared" si="90"/>
        <v>0.84065814066279776</v>
      </c>
      <c r="DA72">
        <f t="shared" si="91"/>
        <v>0.16087021147919978</v>
      </c>
      <c r="DB72">
        <v>6</v>
      </c>
      <c r="DC72">
        <v>0.5</v>
      </c>
      <c r="DD72" t="s">
        <v>421</v>
      </c>
      <c r="DE72">
        <v>2</v>
      </c>
      <c r="DF72">
        <v>1689008988.0999999</v>
      </c>
      <c r="DG72">
        <v>421.43700000000001</v>
      </c>
      <c r="DH72">
        <v>500.19099999999997</v>
      </c>
      <c r="DI72">
        <v>29.135999999999999</v>
      </c>
      <c r="DJ72">
        <v>21.427199999999999</v>
      </c>
      <c r="DK72">
        <v>420.67099999999999</v>
      </c>
      <c r="DL72">
        <v>28.874199999999998</v>
      </c>
      <c r="DM72">
        <v>500.02800000000002</v>
      </c>
      <c r="DN72">
        <v>99.192700000000002</v>
      </c>
      <c r="DO72">
        <v>0.10024</v>
      </c>
      <c r="DP72">
        <v>30.5411</v>
      </c>
      <c r="DQ72">
        <v>29.963000000000001</v>
      </c>
      <c r="DR72">
        <v>999.9</v>
      </c>
      <c r="DS72">
        <v>0</v>
      </c>
      <c r="DT72">
        <v>0</v>
      </c>
      <c r="DU72">
        <v>9995.6200000000008</v>
      </c>
      <c r="DV72">
        <v>0</v>
      </c>
      <c r="DW72">
        <v>1748.42</v>
      </c>
      <c r="DX72">
        <v>-78.754099999999994</v>
      </c>
      <c r="DY72">
        <v>434.084</v>
      </c>
      <c r="DZ72">
        <v>511.14299999999997</v>
      </c>
      <c r="EA72">
        <v>7.7088000000000001</v>
      </c>
      <c r="EB72">
        <v>500.19099999999997</v>
      </c>
      <c r="EC72">
        <v>21.427199999999999</v>
      </c>
      <c r="ED72">
        <v>2.8900800000000002</v>
      </c>
      <c r="EE72">
        <v>2.1254200000000001</v>
      </c>
      <c r="EF72">
        <v>23.407800000000002</v>
      </c>
      <c r="EG72">
        <v>18.411000000000001</v>
      </c>
      <c r="EH72">
        <v>1800.07</v>
      </c>
      <c r="EI72">
        <v>0.97800200000000004</v>
      </c>
      <c r="EJ72">
        <v>2.1997699999999999E-2</v>
      </c>
      <c r="EK72">
        <v>0</v>
      </c>
      <c r="EL72">
        <v>782.79899999999998</v>
      </c>
      <c r="EM72">
        <v>5.0011200000000002</v>
      </c>
      <c r="EN72">
        <v>15985.4</v>
      </c>
      <c r="EO72">
        <v>17211.599999999999</v>
      </c>
      <c r="EP72">
        <v>48.436999999999998</v>
      </c>
      <c r="EQ72">
        <v>48.936999999999998</v>
      </c>
      <c r="ER72">
        <v>49.061999999999998</v>
      </c>
      <c r="ES72">
        <v>48.436999999999998</v>
      </c>
      <c r="ET72">
        <v>49.061999999999998</v>
      </c>
      <c r="EU72">
        <v>1755.58</v>
      </c>
      <c r="EV72">
        <v>39.49</v>
      </c>
      <c r="EW72">
        <v>0</v>
      </c>
      <c r="EX72">
        <v>121.7999999523163</v>
      </c>
      <c r="EY72">
        <v>0</v>
      </c>
      <c r="EZ72">
        <v>782.32957692307696</v>
      </c>
      <c r="FA72">
        <v>3.593811971881729</v>
      </c>
      <c r="FB72">
        <v>65.049572777189567</v>
      </c>
      <c r="FC72">
        <v>15980.196153846149</v>
      </c>
      <c r="FD72">
        <v>15</v>
      </c>
      <c r="FE72">
        <v>1689008951.5999999</v>
      </c>
      <c r="FF72" t="s">
        <v>709</v>
      </c>
      <c r="FG72">
        <v>1689008951.5999999</v>
      </c>
      <c r="FH72">
        <v>1689008941.0999999</v>
      </c>
      <c r="FI72">
        <v>61</v>
      </c>
      <c r="FJ72">
        <v>-4.7E-2</v>
      </c>
      <c r="FK72">
        <v>-1E-3</v>
      </c>
      <c r="FL72">
        <v>0.86399999999999999</v>
      </c>
      <c r="FM72">
        <v>0.25700000000000001</v>
      </c>
      <c r="FN72">
        <v>500</v>
      </c>
      <c r="FO72">
        <v>22</v>
      </c>
      <c r="FP72">
        <v>0.04</v>
      </c>
      <c r="FQ72">
        <v>0.01</v>
      </c>
      <c r="FR72">
        <v>62.71602181146703</v>
      </c>
      <c r="FS72">
        <v>-0.51545244028727111</v>
      </c>
      <c r="FT72">
        <v>9.4220164540190263E-2</v>
      </c>
      <c r="FU72">
        <v>1</v>
      </c>
      <c r="FV72">
        <v>0.51675586089009584</v>
      </c>
      <c r="FW72">
        <v>2.773735066592526E-2</v>
      </c>
      <c r="FX72">
        <v>4.2800026166367649E-3</v>
      </c>
      <c r="FY72">
        <v>1</v>
      </c>
      <c r="FZ72">
        <v>2</v>
      </c>
      <c r="GA72">
        <v>2</v>
      </c>
      <c r="GB72" t="s">
        <v>423</v>
      </c>
      <c r="GC72">
        <v>2.9258199999999999</v>
      </c>
      <c r="GD72">
        <v>2.8275000000000001</v>
      </c>
      <c r="GE72">
        <v>9.1730000000000006E-2</v>
      </c>
      <c r="GF72">
        <v>0.10466</v>
      </c>
      <c r="GG72">
        <v>0.12842899999999999</v>
      </c>
      <c r="GH72">
        <v>0.104113</v>
      </c>
      <c r="GI72">
        <v>29684.9</v>
      </c>
      <c r="GJ72">
        <v>23729.1</v>
      </c>
      <c r="GK72">
        <v>31448.400000000001</v>
      </c>
      <c r="GL72">
        <v>26140.1</v>
      </c>
      <c r="GM72">
        <v>37576</v>
      </c>
      <c r="GN72">
        <v>31762.9</v>
      </c>
      <c r="GO72">
        <v>46706.5</v>
      </c>
      <c r="GP72">
        <v>38004.199999999997</v>
      </c>
      <c r="GQ72">
        <v>1.9329499999999999</v>
      </c>
      <c r="GR72">
        <v>1.75773</v>
      </c>
      <c r="GS72">
        <v>1.5273699999999999E-2</v>
      </c>
      <c r="GT72">
        <v>0</v>
      </c>
      <c r="GU72">
        <v>29.714400000000001</v>
      </c>
      <c r="GV72">
        <v>999.9</v>
      </c>
      <c r="GW72">
        <v>40.1</v>
      </c>
      <c r="GX72">
        <v>42.5</v>
      </c>
      <c r="GY72">
        <v>34.212400000000002</v>
      </c>
      <c r="GZ72">
        <v>62.466099999999997</v>
      </c>
      <c r="HA72">
        <v>21.899000000000001</v>
      </c>
      <c r="HB72">
        <v>1</v>
      </c>
      <c r="HC72">
        <v>0.42986000000000002</v>
      </c>
      <c r="HD72">
        <v>2.18208</v>
      </c>
      <c r="HE72">
        <v>20.313099999999999</v>
      </c>
      <c r="HF72">
        <v>5.2192400000000001</v>
      </c>
      <c r="HG72">
        <v>12.061299999999999</v>
      </c>
      <c r="HH72">
        <v>4.992</v>
      </c>
      <c r="HI72">
        <v>3.2913299999999999</v>
      </c>
      <c r="HJ72">
        <v>9999</v>
      </c>
      <c r="HK72">
        <v>9999</v>
      </c>
      <c r="HL72">
        <v>9999</v>
      </c>
      <c r="HM72">
        <v>463.6</v>
      </c>
      <c r="HN72">
        <v>1.8665</v>
      </c>
      <c r="HO72">
        <v>1.86998</v>
      </c>
      <c r="HP72">
        <v>1.87256</v>
      </c>
      <c r="HQ72">
        <v>1.87347</v>
      </c>
      <c r="HR72">
        <v>1.8702799999999999</v>
      </c>
      <c r="HS72">
        <v>1.8686100000000001</v>
      </c>
      <c r="HT72">
        <v>1.87012</v>
      </c>
      <c r="HU72">
        <v>1.87317</v>
      </c>
      <c r="HV72">
        <v>0</v>
      </c>
      <c r="HW72">
        <v>0</v>
      </c>
      <c r="HX72">
        <v>0</v>
      </c>
      <c r="HY72">
        <v>0</v>
      </c>
      <c r="HZ72" t="s">
        <v>424</v>
      </c>
      <c r="IA72" t="s">
        <v>425</v>
      </c>
      <c r="IB72" t="s">
        <v>426</v>
      </c>
      <c r="IC72" t="s">
        <v>426</v>
      </c>
      <c r="ID72" t="s">
        <v>426</v>
      </c>
      <c r="IE72" t="s">
        <v>426</v>
      </c>
      <c r="IF72">
        <v>0</v>
      </c>
      <c r="IG72">
        <v>100</v>
      </c>
      <c r="IH72">
        <v>100</v>
      </c>
      <c r="II72">
        <v>0.76600000000000001</v>
      </c>
      <c r="IJ72">
        <v>0.26179999999999998</v>
      </c>
      <c r="IK72">
        <v>-0.1303151175966637</v>
      </c>
      <c r="IL72">
        <v>3.042515301972944E-3</v>
      </c>
      <c r="IM72">
        <v>-2.5091471490852929E-6</v>
      </c>
      <c r="IN72">
        <v>8.1339755115576286E-10</v>
      </c>
      <c r="IO72">
        <v>0.26179628994978232</v>
      </c>
      <c r="IP72">
        <v>0</v>
      </c>
      <c r="IQ72">
        <v>0</v>
      </c>
      <c r="IR72">
        <v>0</v>
      </c>
      <c r="IS72">
        <v>3</v>
      </c>
      <c r="IT72">
        <v>2004</v>
      </c>
      <c r="IU72">
        <v>2</v>
      </c>
      <c r="IV72">
        <v>22</v>
      </c>
      <c r="IW72">
        <v>0.6</v>
      </c>
      <c r="IX72">
        <v>0.8</v>
      </c>
      <c r="IY72">
        <v>1.2402299999999999</v>
      </c>
      <c r="IZ72">
        <v>2.6025399999999999</v>
      </c>
      <c r="JA72">
        <v>1.64917</v>
      </c>
      <c r="JB72">
        <v>2.3339799999999999</v>
      </c>
      <c r="JC72">
        <v>1.5991200000000001</v>
      </c>
      <c r="JD72">
        <v>2.33643</v>
      </c>
      <c r="JE72">
        <v>44.195399999999999</v>
      </c>
      <c r="JF72">
        <v>16.040800000000001</v>
      </c>
      <c r="JG72">
        <v>18</v>
      </c>
      <c r="JH72">
        <v>519.98199999999997</v>
      </c>
      <c r="JI72">
        <v>454.19299999999998</v>
      </c>
      <c r="JJ72">
        <v>26.5761</v>
      </c>
      <c r="JK72">
        <v>32.612200000000001</v>
      </c>
      <c r="JL72">
        <v>29.9999</v>
      </c>
      <c r="JM72">
        <v>32.787399999999998</v>
      </c>
      <c r="JN72">
        <v>32.819299999999998</v>
      </c>
      <c r="JO72">
        <v>24.8215</v>
      </c>
      <c r="JP72">
        <v>47.696800000000003</v>
      </c>
      <c r="JQ72">
        <v>0</v>
      </c>
      <c r="JR72">
        <v>27.6509</v>
      </c>
      <c r="JS72">
        <v>500</v>
      </c>
      <c r="JT72">
        <v>21.4681</v>
      </c>
      <c r="JU72">
        <v>99.681700000000006</v>
      </c>
      <c r="JV72">
        <v>99.385099999999994</v>
      </c>
    </row>
    <row r="73" spans="1:282" x14ac:dyDescent="0.25">
      <c r="A73">
        <v>57</v>
      </c>
      <c r="B73">
        <v>1689009123.5999999</v>
      </c>
      <c r="C73">
        <v>9528.5</v>
      </c>
      <c r="D73" t="s">
        <v>710</v>
      </c>
      <c r="E73" t="s">
        <v>711</v>
      </c>
      <c r="F73" t="s">
        <v>414</v>
      </c>
      <c r="G73" t="s">
        <v>415</v>
      </c>
      <c r="H73" t="s">
        <v>655</v>
      </c>
      <c r="I73" t="s">
        <v>416</v>
      </c>
      <c r="J73" t="s">
        <v>656</v>
      </c>
      <c r="K73">
        <v>1689009123.5999999</v>
      </c>
      <c r="L73">
        <f t="shared" si="46"/>
        <v>6.3913695503983953E-3</v>
      </c>
      <c r="M73">
        <f t="shared" si="47"/>
        <v>6.3913695503983954</v>
      </c>
      <c r="N73">
        <f t="shared" si="48"/>
        <v>64.370171038354869</v>
      </c>
      <c r="O73">
        <f t="shared" si="49"/>
        <v>618.06899999999996</v>
      </c>
      <c r="P73">
        <f t="shared" si="50"/>
        <v>370.64699109616311</v>
      </c>
      <c r="Q73">
        <f t="shared" si="51"/>
        <v>36.802482597753986</v>
      </c>
      <c r="R73">
        <f t="shared" si="52"/>
        <v>61.369643253922199</v>
      </c>
      <c r="S73">
        <f t="shared" si="53"/>
        <v>0.4699360231212763</v>
      </c>
      <c r="T73">
        <f t="shared" si="54"/>
        <v>2.9197175283937868</v>
      </c>
      <c r="U73">
        <f t="shared" si="55"/>
        <v>0.43160074996773951</v>
      </c>
      <c r="V73">
        <f t="shared" si="56"/>
        <v>0.2729336649446697</v>
      </c>
      <c r="W73">
        <f t="shared" si="57"/>
        <v>289.57125757733149</v>
      </c>
      <c r="X73">
        <f t="shared" si="58"/>
        <v>30.734003849086161</v>
      </c>
      <c r="Y73">
        <f t="shared" si="59"/>
        <v>30.111899999999999</v>
      </c>
      <c r="Z73">
        <f t="shared" si="60"/>
        <v>4.2879103921234281</v>
      </c>
      <c r="AA73">
        <f t="shared" si="61"/>
        <v>64.770360737511453</v>
      </c>
      <c r="AB73">
        <f t="shared" si="62"/>
        <v>2.8705375120036201</v>
      </c>
      <c r="AC73">
        <f t="shared" si="63"/>
        <v>4.4318689587615054</v>
      </c>
      <c r="AD73">
        <f t="shared" si="64"/>
        <v>1.417372880119808</v>
      </c>
      <c r="AE73">
        <f t="shared" si="65"/>
        <v>-281.85939717256923</v>
      </c>
      <c r="AF73">
        <f t="shared" si="66"/>
        <v>90.761344047916012</v>
      </c>
      <c r="AG73">
        <f t="shared" si="67"/>
        <v>6.939357622037492</v>
      </c>
      <c r="AH73">
        <f t="shared" si="68"/>
        <v>105.41256207471578</v>
      </c>
      <c r="AI73">
        <v>0</v>
      </c>
      <c r="AJ73">
        <v>0</v>
      </c>
      <c r="AK73">
        <f t="shared" si="69"/>
        <v>1</v>
      </c>
      <c r="AL73">
        <f t="shared" si="70"/>
        <v>0</v>
      </c>
      <c r="AM73">
        <f t="shared" si="71"/>
        <v>51937.391169097697</v>
      </c>
      <c r="AN73" t="s">
        <v>418</v>
      </c>
      <c r="AO73">
        <v>10021</v>
      </c>
      <c r="AP73">
        <v>177.53923076923081</v>
      </c>
      <c r="AQ73">
        <v>655.56</v>
      </c>
      <c r="AR73">
        <f t="shared" si="72"/>
        <v>0.72917928066198234</v>
      </c>
      <c r="AS73">
        <v>-3.1115002560329539</v>
      </c>
      <c r="AT73" t="s">
        <v>712</v>
      </c>
      <c r="AU73">
        <v>8024.52</v>
      </c>
      <c r="AV73">
        <v>786.78111538461542</v>
      </c>
      <c r="AW73">
        <v>1308.8442429934021</v>
      </c>
      <c r="AX73">
        <f t="shared" si="73"/>
        <v>0.39887338039154163</v>
      </c>
      <c r="AY73">
        <v>0.5</v>
      </c>
      <c r="AZ73">
        <f t="shared" si="74"/>
        <v>1513.209899262866</v>
      </c>
      <c r="BA73">
        <f t="shared" si="75"/>
        <v>64.370171038354869</v>
      </c>
      <c r="BB73">
        <f t="shared" si="76"/>
        <v>301.78957388046177</v>
      </c>
      <c r="BC73">
        <f t="shared" si="77"/>
        <v>4.4595050116484403E-2</v>
      </c>
      <c r="BD73">
        <f t="shared" si="78"/>
        <v>-0.49913062344171943</v>
      </c>
      <c r="BE73">
        <f t="shared" si="79"/>
        <v>205.2891778264343</v>
      </c>
      <c r="BF73" t="s">
        <v>713</v>
      </c>
      <c r="BG73">
        <v>592.04999999999995</v>
      </c>
      <c r="BH73">
        <f t="shared" si="80"/>
        <v>592.04999999999995</v>
      </c>
      <c r="BI73">
        <f t="shared" si="81"/>
        <v>0.54765434988203976</v>
      </c>
      <c r="BJ73">
        <f t="shared" si="82"/>
        <v>0.72833052540796162</v>
      </c>
      <c r="BK73">
        <f t="shared" si="83"/>
        <v>-10.286320941480117</v>
      </c>
      <c r="BL73">
        <f t="shared" si="84"/>
        <v>0.4614698264108269</v>
      </c>
      <c r="BM73">
        <f t="shared" si="85"/>
        <v>-1.3666440561665698</v>
      </c>
      <c r="BN73">
        <f t="shared" si="86"/>
        <v>0.54806613826386641</v>
      </c>
      <c r="BO73">
        <f t="shared" si="87"/>
        <v>0.45193386173613359</v>
      </c>
      <c r="BP73">
        <v>22579</v>
      </c>
      <c r="BQ73">
        <v>290.00000000000011</v>
      </c>
      <c r="BR73">
        <v>1147.51</v>
      </c>
      <c r="BS73">
        <v>285</v>
      </c>
      <c r="BT73">
        <v>8024.52</v>
      </c>
      <c r="BU73">
        <v>1150.55</v>
      </c>
      <c r="BV73">
        <v>-3.04</v>
      </c>
      <c r="BW73">
        <v>300.00000000000011</v>
      </c>
      <c r="BX73">
        <v>19.399999999999999</v>
      </c>
      <c r="BY73">
        <v>1308.8442429934021</v>
      </c>
      <c r="BZ73">
        <v>4.9320834184414633</v>
      </c>
      <c r="CA73">
        <v>-127.0245413422145</v>
      </c>
      <c r="CB73">
        <v>3.635584984317433</v>
      </c>
      <c r="CC73">
        <v>0.97757757434069803</v>
      </c>
      <c r="CD73">
        <v>-4.1442854282536254E-3</v>
      </c>
      <c r="CE73">
        <v>289.99999999999989</v>
      </c>
      <c r="CF73">
        <v>1148.46</v>
      </c>
      <c r="CG73">
        <v>675</v>
      </c>
      <c r="CH73">
        <v>8014.02</v>
      </c>
      <c r="CI73">
        <v>1150.3399999999999</v>
      </c>
      <c r="CJ73">
        <v>-1.88</v>
      </c>
      <c r="CX73">
        <f t="shared" si="88"/>
        <v>1800.03</v>
      </c>
      <c r="CY73">
        <f t="shared" si="89"/>
        <v>1513.209899262866</v>
      </c>
      <c r="CZ73">
        <f t="shared" si="90"/>
        <v>0.84065815528789301</v>
      </c>
      <c r="DA73">
        <f t="shared" si="91"/>
        <v>0.16087023970563352</v>
      </c>
      <c r="DB73">
        <v>6</v>
      </c>
      <c r="DC73">
        <v>0.5</v>
      </c>
      <c r="DD73" t="s">
        <v>421</v>
      </c>
      <c r="DE73">
        <v>2</v>
      </c>
      <c r="DF73">
        <v>1689009123.5999999</v>
      </c>
      <c r="DG73">
        <v>618.06899999999996</v>
      </c>
      <c r="DH73">
        <v>700.03800000000001</v>
      </c>
      <c r="DI73">
        <v>28.9099</v>
      </c>
      <c r="DJ73">
        <v>21.4634</v>
      </c>
      <c r="DK73">
        <v>617.20000000000005</v>
      </c>
      <c r="DL73">
        <v>28.644400000000001</v>
      </c>
      <c r="DM73">
        <v>500.09500000000003</v>
      </c>
      <c r="DN73">
        <v>99.192599999999999</v>
      </c>
      <c r="DO73">
        <v>9.9943799999999999E-2</v>
      </c>
      <c r="DP73">
        <v>30.688500000000001</v>
      </c>
      <c r="DQ73">
        <v>30.111899999999999</v>
      </c>
      <c r="DR73">
        <v>999.9</v>
      </c>
      <c r="DS73">
        <v>0</v>
      </c>
      <c r="DT73">
        <v>0</v>
      </c>
      <c r="DU73">
        <v>10025</v>
      </c>
      <c r="DV73">
        <v>0</v>
      </c>
      <c r="DW73">
        <v>1738.57</v>
      </c>
      <c r="DX73">
        <v>-81.968999999999994</v>
      </c>
      <c r="DY73">
        <v>636.46900000000005</v>
      </c>
      <c r="DZ73">
        <v>715.39300000000003</v>
      </c>
      <c r="EA73">
        <v>7.4464699999999997</v>
      </c>
      <c r="EB73">
        <v>700.03800000000001</v>
      </c>
      <c r="EC73">
        <v>21.4634</v>
      </c>
      <c r="ED73">
        <v>2.8676499999999998</v>
      </c>
      <c r="EE73">
        <v>2.1290200000000001</v>
      </c>
      <c r="EF73">
        <v>23.2788</v>
      </c>
      <c r="EG73">
        <v>18.437899999999999</v>
      </c>
      <c r="EH73">
        <v>1800.03</v>
      </c>
      <c r="EI73">
        <v>0.97800200000000004</v>
      </c>
      <c r="EJ73">
        <v>2.1997699999999999E-2</v>
      </c>
      <c r="EK73">
        <v>0</v>
      </c>
      <c r="EL73">
        <v>787.09100000000001</v>
      </c>
      <c r="EM73">
        <v>5.0011200000000002</v>
      </c>
      <c r="EN73">
        <v>16015.7</v>
      </c>
      <c r="EO73">
        <v>17211.2</v>
      </c>
      <c r="EP73">
        <v>48.25</v>
      </c>
      <c r="EQ73">
        <v>48.875</v>
      </c>
      <c r="ER73">
        <v>49</v>
      </c>
      <c r="ES73">
        <v>48.375</v>
      </c>
      <c r="ET73">
        <v>48.375</v>
      </c>
      <c r="EU73">
        <v>1755.54</v>
      </c>
      <c r="EV73">
        <v>39.49</v>
      </c>
      <c r="EW73">
        <v>0</v>
      </c>
      <c r="EX73">
        <v>133.79999995231631</v>
      </c>
      <c r="EY73">
        <v>0</v>
      </c>
      <c r="EZ73">
        <v>786.78111538461542</v>
      </c>
      <c r="FA73">
        <v>0.99654700180009403</v>
      </c>
      <c r="FB73">
        <v>-19.114530012593249</v>
      </c>
      <c r="FC73">
        <v>16020.76538461539</v>
      </c>
      <c r="FD73">
        <v>15</v>
      </c>
      <c r="FE73">
        <v>1689009091.5999999</v>
      </c>
      <c r="FF73" t="s">
        <v>714</v>
      </c>
      <c r="FG73">
        <v>1689009090.5999999</v>
      </c>
      <c r="FH73">
        <v>1689009091.5999999</v>
      </c>
      <c r="FI73">
        <v>62</v>
      </c>
      <c r="FJ73">
        <v>-0.114</v>
      </c>
      <c r="FK73">
        <v>4.0000000000000001E-3</v>
      </c>
      <c r="FL73">
        <v>0.93400000000000005</v>
      </c>
      <c r="FM73">
        <v>0.23400000000000001</v>
      </c>
      <c r="FN73">
        <v>700</v>
      </c>
      <c r="FO73">
        <v>21</v>
      </c>
      <c r="FP73">
        <v>0.04</v>
      </c>
      <c r="FQ73">
        <v>0.01</v>
      </c>
      <c r="FR73">
        <v>64.325513588381739</v>
      </c>
      <c r="FS73">
        <v>-0.48279096994628901</v>
      </c>
      <c r="FT73">
        <v>0.1025115283232004</v>
      </c>
      <c r="FU73">
        <v>1</v>
      </c>
      <c r="FV73">
        <v>0.47256233872003672</v>
      </c>
      <c r="FW73">
        <v>-2.5180562719695609E-3</v>
      </c>
      <c r="FX73">
        <v>2.0429450922181029E-3</v>
      </c>
      <c r="FY73">
        <v>1</v>
      </c>
      <c r="FZ73">
        <v>2</v>
      </c>
      <c r="GA73">
        <v>2</v>
      </c>
      <c r="GB73" t="s">
        <v>423</v>
      </c>
      <c r="GC73">
        <v>2.9259499999999998</v>
      </c>
      <c r="GD73">
        <v>2.8274599999999999</v>
      </c>
      <c r="GE73">
        <v>0.12149600000000001</v>
      </c>
      <c r="GF73">
        <v>0.13289999999999999</v>
      </c>
      <c r="GG73">
        <v>0.127724</v>
      </c>
      <c r="GH73">
        <v>0.104244</v>
      </c>
      <c r="GI73">
        <v>28707.1</v>
      </c>
      <c r="GJ73">
        <v>22977.5</v>
      </c>
      <c r="GK73">
        <v>31443.3</v>
      </c>
      <c r="GL73">
        <v>26136.9</v>
      </c>
      <c r="GM73">
        <v>37600.9</v>
      </c>
      <c r="GN73">
        <v>31755.4</v>
      </c>
      <c r="GO73">
        <v>46698.8</v>
      </c>
      <c r="GP73">
        <v>38000.300000000003</v>
      </c>
      <c r="GQ73">
        <v>1.9321299999999999</v>
      </c>
      <c r="GR73">
        <v>1.7587999999999999</v>
      </c>
      <c r="GS73">
        <v>3.7491299999999998E-2</v>
      </c>
      <c r="GT73">
        <v>0</v>
      </c>
      <c r="GU73">
        <v>29.5016</v>
      </c>
      <c r="GV73">
        <v>999.9</v>
      </c>
      <c r="GW73">
        <v>40.1</v>
      </c>
      <c r="GX73">
        <v>42.4</v>
      </c>
      <c r="GY73">
        <v>34.037300000000002</v>
      </c>
      <c r="GZ73">
        <v>62.1661</v>
      </c>
      <c r="HA73">
        <v>22.379799999999999</v>
      </c>
      <c r="HB73">
        <v>1</v>
      </c>
      <c r="HC73">
        <v>0.43213400000000002</v>
      </c>
      <c r="HD73">
        <v>2.8843000000000001</v>
      </c>
      <c r="HE73">
        <v>20.319800000000001</v>
      </c>
      <c r="HF73">
        <v>5.2214799999999997</v>
      </c>
      <c r="HG73">
        <v>12.0634</v>
      </c>
      <c r="HH73">
        <v>4.9923500000000001</v>
      </c>
      <c r="HI73">
        <v>3.29155</v>
      </c>
      <c r="HJ73">
        <v>9999</v>
      </c>
      <c r="HK73">
        <v>9999</v>
      </c>
      <c r="HL73">
        <v>9999</v>
      </c>
      <c r="HM73">
        <v>463.6</v>
      </c>
      <c r="HN73">
        <v>1.8664799999999999</v>
      </c>
      <c r="HO73">
        <v>1.86998</v>
      </c>
      <c r="HP73">
        <v>1.87256</v>
      </c>
      <c r="HQ73">
        <v>1.87347</v>
      </c>
      <c r="HR73">
        <v>1.8702700000000001</v>
      </c>
      <c r="HS73">
        <v>1.8686100000000001</v>
      </c>
      <c r="HT73">
        <v>1.87012</v>
      </c>
      <c r="HU73">
        <v>1.87317</v>
      </c>
      <c r="HV73">
        <v>0</v>
      </c>
      <c r="HW73">
        <v>0</v>
      </c>
      <c r="HX73">
        <v>0</v>
      </c>
      <c r="HY73">
        <v>0</v>
      </c>
      <c r="HZ73" t="s">
        <v>424</v>
      </c>
      <c r="IA73" t="s">
        <v>425</v>
      </c>
      <c r="IB73" t="s">
        <v>426</v>
      </c>
      <c r="IC73" t="s">
        <v>426</v>
      </c>
      <c r="ID73" t="s">
        <v>426</v>
      </c>
      <c r="IE73" t="s">
        <v>426</v>
      </c>
      <c r="IF73">
        <v>0</v>
      </c>
      <c r="IG73">
        <v>100</v>
      </c>
      <c r="IH73">
        <v>100</v>
      </c>
      <c r="II73">
        <v>0.86899999999999999</v>
      </c>
      <c r="IJ73">
        <v>0.26550000000000001</v>
      </c>
      <c r="IK73">
        <v>-0.24437365657150151</v>
      </c>
      <c r="IL73">
        <v>3.042515301972944E-3</v>
      </c>
      <c r="IM73">
        <v>-2.5091471490852929E-6</v>
      </c>
      <c r="IN73">
        <v>8.1339755115576286E-10</v>
      </c>
      <c r="IO73">
        <v>0.2655063928829749</v>
      </c>
      <c r="IP73">
        <v>0</v>
      </c>
      <c r="IQ73">
        <v>0</v>
      </c>
      <c r="IR73">
        <v>0</v>
      </c>
      <c r="IS73">
        <v>3</v>
      </c>
      <c r="IT73">
        <v>2004</v>
      </c>
      <c r="IU73">
        <v>2</v>
      </c>
      <c r="IV73">
        <v>22</v>
      </c>
      <c r="IW73">
        <v>0.6</v>
      </c>
      <c r="IX73">
        <v>0.5</v>
      </c>
      <c r="IY73">
        <v>1.6333</v>
      </c>
      <c r="IZ73">
        <v>2.6013199999999999</v>
      </c>
      <c r="JA73">
        <v>1.64917</v>
      </c>
      <c r="JB73">
        <v>2.33521</v>
      </c>
      <c r="JC73">
        <v>1.5991200000000001</v>
      </c>
      <c r="JD73">
        <v>2.2143600000000001</v>
      </c>
      <c r="JE73">
        <v>44.112400000000001</v>
      </c>
      <c r="JF73">
        <v>16.023299999999999</v>
      </c>
      <c r="JG73">
        <v>18</v>
      </c>
      <c r="JH73">
        <v>519.35299999999995</v>
      </c>
      <c r="JI73">
        <v>454.69099999999997</v>
      </c>
      <c r="JJ73">
        <v>27.521999999999998</v>
      </c>
      <c r="JK73">
        <v>32.6496</v>
      </c>
      <c r="JL73">
        <v>29.999500000000001</v>
      </c>
      <c r="JM73">
        <v>32.776899999999998</v>
      </c>
      <c r="JN73">
        <v>32.790300000000002</v>
      </c>
      <c r="JO73">
        <v>32.696300000000001</v>
      </c>
      <c r="JP73">
        <v>46.664000000000001</v>
      </c>
      <c r="JQ73">
        <v>0</v>
      </c>
      <c r="JR73">
        <v>27.495899999999999</v>
      </c>
      <c r="JS73">
        <v>700</v>
      </c>
      <c r="JT73">
        <v>21.510400000000001</v>
      </c>
      <c r="JU73">
        <v>99.665400000000005</v>
      </c>
      <c r="JV73">
        <v>99.373999999999995</v>
      </c>
    </row>
    <row r="74" spans="1:282" x14ac:dyDescent="0.25">
      <c r="A74">
        <v>58</v>
      </c>
      <c r="B74">
        <v>1689009251.5999999</v>
      </c>
      <c r="C74">
        <v>9656.5</v>
      </c>
      <c r="D74" t="s">
        <v>715</v>
      </c>
      <c r="E74" t="s">
        <v>716</v>
      </c>
      <c r="F74" t="s">
        <v>414</v>
      </c>
      <c r="G74" t="s">
        <v>415</v>
      </c>
      <c r="H74" t="s">
        <v>655</v>
      </c>
      <c r="I74" t="s">
        <v>416</v>
      </c>
      <c r="J74" t="s">
        <v>656</v>
      </c>
      <c r="K74">
        <v>1689009251.5999999</v>
      </c>
      <c r="L74">
        <f t="shared" si="46"/>
        <v>6.4836002576113489E-3</v>
      </c>
      <c r="M74">
        <f t="shared" si="47"/>
        <v>6.4836002576113492</v>
      </c>
      <c r="N74">
        <f t="shared" si="48"/>
        <v>63.734126933445076</v>
      </c>
      <c r="O74">
        <f t="shared" si="49"/>
        <v>817.33500000000004</v>
      </c>
      <c r="P74">
        <f t="shared" si="50"/>
        <v>574.28751746644662</v>
      </c>
      <c r="Q74">
        <f t="shared" si="51"/>
        <v>57.025766729900724</v>
      </c>
      <c r="R74">
        <f t="shared" si="52"/>
        <v>81.159965405144987</v>
      </c>
      <c r="S74">
        <f t="shared" si="53"/>
        <v>0.4845723796250031</v>
      </c>
      <c r="T74">
        <f t="shared" si="54"/>
        <v>2.9156523123379157</v>
      </c>
      <c r="U74">
        <f t="shared" si="55"/>
        <v>0.4438709601587662</v>
      </c>
      <c r="V74">
        <f t="shared" si="56"/>
        <v>0.28079076680168935</v>
      </c>
      <c r="W74">
        <f t="shared" si="57"/>
        <v>289.53875857753377</v>
      </c>
      <c r="X74">
        <f t="shared" si="58"/>
        <v>30.368245265464278</v>
      </c>
      <c r="Y74">
        <f t="shared" si="59"/>
        <v>29.9788</v>
      </c>
      <c r="Z74">
        <f t="shared" si="60"/>
        <v>4.2552645294903408</v>
      </c>
      <c r="AA74">
        <f t="shared" si="61"/>
        <v>65.7318846909141</v>
      </c>
      <c r="AB74">
        <f t="shared" si="62"/>
        <v>2.8567620678464998</v>
      </c>
      <c r="AC74">
        <f t="shared" si="63"/>
        <v>4.3460826983428644</v>
      </c>
      <c r="AD74">
        <f t="shared" si="64"/>
        <v>1.3985024616438411</v>
      </c>
      <c r="AE74">
        <f t="shared" si="65"/>
        <v>-285.9267713606605</v>
      </c>
      <c r="AF74">
        <f t="shared" si="66"/>
        <v>57.861141131042892</v>
      </c>
      <c r="AG74">
        <f t="shared" si="67"/>
        <v>4.419677416262549</v>
      </c>
      <c r="AH74">
        <f t="shared" si="68"/>
        <v>65.892805764178746</v>
      </c>
      <c r="AI74">
        <v>0</v>
      </c>
      <c r="AJ74">
        <v>0</v>
      </c>
      <c r="AK74">
        <f t="shared" si="69"/>
        <v>1</v>
      </c>
      <c r="AL74">
        <f t="shared" si="70"/>
        <v>0</v>
      </c>
      <c r="AM74">
        <f t="shared" si="71"/>
        <v>51880.339132880923</v>
      </c>
      <c r="AN74" t="s">
        <v>418</v>
      </c>
      <c r="AO74">
        <v>10021</v>
      </c>
      <c r="AP74">
        <v>177.53923076923081</v>
      </c>
      <c r="AQ74">
        <v>655.56</v>
      </c>
      <c r="AR74">
        <f t="shared" si="72"/>
        <v>0.72917928066198234</v>
      </c>
      <c r="AS74">
        <v>-3.1115002560329539</v>
      </c>
      <c r="AT74" t="s">
        <v>717</v>
      </c>
      <c r="AU74">
        <v>8023.74</v>
      </c>
      <c r="AV74">
        <v>784.98634615384628</v>
      </c>
      <c r="AW74">
        <v>1312.328638297322</v>
      </c>
      <c r="AX74">
        <f t="shared" si="73"/>
        <v>0.40183706790676677</v>
      </c>
      <c r="AY74">
        <v>0.5</v>
      </c>
      <c r="AZ74">
        <f t="shared" si="74"/>
        <v>1513.0415992629707</v>
      </c>
      <c r="BA74">
        <f t="shared" si="75"/>
        <v>63.734126933445076</v>
      </c>
      <c r="BB74">
        <f t="shared" si="76"/>
        <v>303.99809993439868</v>
      </c>
      <c r="BC74">
        <f t="shared" si="77"/>
        <v>4.4179636053654908E-2</v>
      </c>
      <c r="BD74">
        <f t="shared" si="78"/>
        <v>-0.50046049375973778</v>
      </c>
      <c r="BE74">
        <f t="shared" si="79"/>
        <v>205.37470612975744</v>
      </c>
      <c r="BF74" t="s">
        <v>718</v>
      </c>
      <c r="BG74">
        <v>590.46</v>
      </c>
      <c r="BH74">
        <f t="shared" si="80"/>
        <v>590.46</v>
      </c>
      <c r="BI74">
        <f t="shared" si="81"/>
        <v>0.5500669704456872</v>
      </c>
      <c r="BJ74">
        <f t="shared" si="82"/>
        <v>0.73052389890122216</v>
      </c>
      <c r="BK74">
        <f t="shared" si="83"/>
        <v>-10.088611955412027</v>
      </c>
      <c r="BL74">
        <f t="shared" si="84"/>
        <v>0.4647049828321751</v>
      </c>
      <c r="BM74">
        <f t="shared" si="85"/>
        <v>-1.3739332693727804</v>
      </c>
      <c r="BN74">
        <f t="shared" si="86"/>
        <v>0.54949381407543374</v>
      </c>
      <c r="BO74">
        <f t="shared" si="87"/>
        <v>0.45050618592456626</v>
      </c>
      <c r="BP74">
        <v>22581</v>
      </c>
      <c r="BQ74">
        <v>290.00000000000011</v>
      </c>
      <c r="BR74">
        <v>1147.6600000000001</v>
      </c>
      <c r="BS74">
        <v>295</v>
      </c>
      <c r="BT74">
        <v>8023.74</v>
      </c>
      <c r="BU74">
        <v>1151.04</v>
      </c>
      <c r="BV74">
        <v>-3.38</v>
      </c>
      <c r="BW74">
        <v>300.00000000000011</v>
      </c>
      <c r="BX74">
        <v>19.399999999999999</v>
      </c>
      <c r="BY74">
        <v>1312.328638297322</v>
      </c>
      <c r="BZ74">
        <v>5.5450645917424417</v>
      </c>
      <c r="CA74">
        <v>-129.4176600083639</v>
      </c>
      <c r="CB74">
        <v>4.0870033236353036</v>
      </c>
      <c r="CC74">
        <v>0.97283436687349689</v>
      </c>
      <c r="CD74">
        <v>-4.1441187986651891E-3</v>
      </c>
      <c r="CE74">
        <v>289.99999999999989</v>
      </c>
      <c r="CF74">
        <v>1148.9100000000001</v>
      </c>
      <c r="CG74">
        <v>645</v>
      </c>
      <c r="CH74">
        <v>8014.07</v>
      </c>
      <c r="CI74">
        <v>1150.8399999999999</v>
      </c>
      <c r="CJ74">
        <v>-1.93</v>
      </c>
      <c r="CX74">
        <f t="shared" si="88"/>
        <v>1799.83</v>
      </c>
      <c r="CY74">
        <f t="shared" si="89"/>
        <v>1513.0415992629707</v>
      </c>
      <c r="CZ74">
        <f t="shared" si="90"/>
        <v>0.84065806174081492</v>
      </c>
      <c r="DA74">
        <f t="shared" si="91"/>
        <v>0.16087005915977273</v>
      </c>
      <c r="DB74">
        <v>6</v>
      </c>
      <c r="DC74">
        <v>0.5</v>
      </c>
      <c r="DD74" t="s">
        <v>421</v>
      </c>
      <c r="DE74">
        <v>2</v>
      </c>
      <c r="DF74">
        <v>1689009251.5999999</v>
      </c>
      <c r="DG74">
        <v>817.33500000000004</v>
      </c>
      <c r="DH74">
        <v>900.16099999999994</v>
      </c>
      <c r="DI74">
        <v>28.769500000000001</v>
      </c>
      <c r="DJ74">
        <v>21.214300000000001</v>
      </c>
      <c r="DK74">
        <v>816.52800000000002</v>
      </c>
      <c r="DL74">
        <v>28.509399999999999</v>
      </c>
      <c r="DM74">
        <v>500.08499999999998</v>
      </c>
      <c r="DN74">
        <v>99.197999999999993</v>
      </c>
      <c r="DO74">
        <v>0.100287</v>
      </c>
      <c r="DP74">
        <v>30.346900000000002</v>
      </c>
      <c r="DQ74">
        <v>29.9788</v>
      </c>
      <c r="DR74">
        <v>999.9</v>
      </c>
      <c r="DS74">
        <v>0</v>
      </c>
      <c r="DT74">
        <v>0</v>
      </c>
      <c r="DU74">
        <v>10001.200000000001</v>
      </c>
      <c r="DV74">
        <v>0</v>
      </c>
      <c r="DW74">
        <v>1689.59</v>
      </c>
      <c r="DX74">
        <v>-82.826099999999997</v>
      </c>
      <c r="DY74">
        <v>841.54600000000005</v>
      </c>
      <c r="DZ74">
        <v>919.67200000000003</v>
      </c>
      <c r="EA74">
        <v>7.5551500000000003</v>
      </c>
      <c r="EB74">
        <v>900.16099999999994</v>
      </c>
      <c r="EC74">
        <v>21.214300000000001</v>
      </c>
      <c r="ED74">
        <v>2.8538700000000001</v>
      </c>
      <c r="EE74">
        <v>2.1044200000000002</v>
      </c>
      <c r="EF74">
        <v>23.199100000000001</v>
      </c>
      <c r="EG74">
        <v>18.252700000000001</v>
      </c>
      <c r="EH74">
        <v>1799.83</v>
      </c>
      <c r="EI74">
        <v>0.97800200000000004</v>
      </c>
      <c r="EJ74">
        <v>2.1997699999999999E-2</v>
      </c>
      <c r="EK74">
        <v>0</v>
      </c>
      <c r="EL74">
        <v>784.70100000000002</v>
      </c>
      <c r="EM74">
        <v>5.0011200000000002</v>
      </c>
      <c r="EN74">
        <v>15924.3</v>
      </c>
      <c r="EO74">
        <v>17209.3</v>
      </c>
      <c r="EP74">
        <v>48.625</v>
      </c>
      <c r="EQ74">
        <v>49.375</v>
      </c>
      <c r="ER74">
        <v>49.311999999999998</v>
      </c>
      <c r="ES74">
        <v>48.75</v>
      </c>
      <c r="ET74">
        <v>49.311999999999998</v>
      </c>
      <c r="EU74">
        <v>1755.35</v>
      </c>
      <c r="EV74">
        <v>39.479999999999997</v>
      </c>
      <c r="EW74">
        <v>0</v>
      </c>
      <c r="EX74">
        <v>126</v>
      </c>
      <c r="EY74">
        <v>0</v>
      </c>
      <c r="EZ74">
        <v>784.98634615384628</v>
      </c>
      <c r="FA74">
        <v>-3.224512809157265</v>
      </c>
      <c r="FB74">
        <v>-68.875213611939174</v>
      </c>
      <c r="FC74">
        <v>15934.23076923077</v>
      </c>
      <c r="FD74">
        <v>15</v>
      </c>
      <c r="FE74">
        <v>1689009212.0999999</v>
      </c>
      <c r="FF74" t="s">
        <v>719</v>
      </c>
      <c r="FG74">
        <v>1689009202.0999999</v>
      </c>
      <c r="FH74">
        <v>1689009212.0999999</v>
      </c>
      <c r="FI74">
        <v>63</v>
      </c>
      <c r="FJ74">
        <v>-0.20300000000000001</v>
      </c>
      <c r="FK74">
        <v>-5.0000000000000001E-3</v>
      </c>
      <c r="FL74">
        <v>0.85099999999999998</v>
      </c>
      <c r="FM74">
        <v>0.248</v>
      </c>
      <c r="FN74">
        <v>900</v>
      </c>
      <c r="FO74">
        <v>22</v>
      </c>
      <c r="FP74">
        <v>0.06</v>
      </c>
      <c r="FQ74">
        <v>0.01</v>
      </c>
      <c r="FR74">
        <v>63.844650249771277</v>
      </c>
      <c r="FS74">
        <v>0.50730793783938477</v>
      </c>
      <c r="FT74">
        <v>9.7010855805952728E-2</v>
      </c>
      <c r="FU74">
        <v>1</v>
      </c>
      <c r="FV74">
        <v>0.48111113209519002</v>
      </c>
      <c r="FW74">
        <v>-2.8550760913585028E-2</v>
      </c>
      <c r="FX74">
        <v>3.2999496871911321E-3</v>
      </c>
      <c r="FY74">
        <v>1</v>
      </c>
      <c r="FZ74">
        <v>2</v>
      </c>
      <c r="GA74">
        <v>2</v>
      </c>
      <c r="GB74" t="s">
        <v>423</v>
      </c>
      <c r="GC74">
        <v>2.9257599999999999</v>
      </c>
      <c r="GD74">
        <v>2.8275899999999998</v>
      </c>
      <c r="GE74">
        <v>0.14715800000000001</v>
      </c>
      <c r="GF74">
        <v>0.15729399999999999</v>
      </c>
      <c r="GG74">
        <v>0.12729299999999999</v>
      </c>
      <c r="GH74">
        <v>0.103376</v>
      </c>
      <c r="GI74">
        <v>27860.9</v>
      </c>
      <c r="GJ74">
        <v>22326.7</v>
      </c>
      <c r="GK74">
        <v>31436</v>
      </c>
      <c r="GL74">
        <v>26132.9</v>
      </c>
      <c r="GM74">
        <v>37611.699999999997</v>
      </c>
      <c r="GN74">
        <v>31780</v>
      </c>
      <c r="GO74">
        <v>46687.8</v>
      </c>
      <c r="GP74">
        <v>37992.199999999997</v>
      </c>
      <c r="GQ74">
        <v>1.9310700000000001</v>
      </c>
      <c r="GR74">
        <v>1.75797</v>
      </c>
      <c r="GS74">
        <v>-1.55382E-2</v>
      </c>
      <c r="GT74">
        <v>0</v>
      </c>
      <c r="GU74">
        <v>30.2316</v>
      </c>
      <c r="GV74">
        <v>999.9</v>
      </c>
      <c r="GW74">
        <v>40.299999999999997</v>
      </c>
      <c r="GX74">
        <v>42.3</v>
      </c>
      <c r="GY74">
        <v>34.023000000000003</v>
      </c>
      <c r="GZ74">
        <v>62.446100000000001</v>
      </c>
      <c r="HA74">
        <v>21.9071</v>
      </c>
      <c r="HB74">
        <v>1</v>
      </c>
      <c r="HC74">
        <v>0.43977899999999998</v>
      </c>
      <c r="HD74">
        <v>1.92499</v>
      </c>
      <c r="HE74">
        <v>20.334199999999999</v>
      </c>
      <c r="HF74">
        <v>5.2253800000000004</v>
      </c>
      <c r="HG74">
        <v>12.0616</v>
      </c>
      <c r="HH74">
        <v>4.9932999999999996</v>
      </c>
      <c r="HI74">
        <v>3.2919999999999998</v>
      </c>
      <c r="HJ74">
        <v>9999</v>
      </c>
      <c r="HK74">
        <v>9999</v>
      </c>
      <c r="HL74">
        <v>9999</v>
      </c>
      <c r="HM74">
        <v>463.7</v>
      </c>
      <c r="HN74">
        <v>1.86649</v>
      </c>
      <c r="HO74">
        <v>1.87002</v>
      </c>
      <c r="HP74">
        <v>1.8725700000000001</v>
      </c>
      <c r="HQ74">
        <v>1.87347</v>
      </c>
      <c r="HR74">
        <v>1.8702700000000001</v>
      </c>
      <c r="HS74">
        <v>1.8686199999999999</v>
      </c>
      <c r="HT74">
        <v>1.87012</v>
      </c>
      <c r="HU74">
        <v>1.87317</v>
      </c>
      <c r="HV74">
        <v>0</v>
      </c>
      <c r="HW74">
        <v>0</v>
      </c>
      <c r="HX74">
        <v>0</v>
      </c>
      <c r="HY74">
        <v>0</v>
      </c>
      <c r="HZ74" t="s">
        <v>424</v>
      </c>
      <c r="IA74" t="s">
        <v>425</v>
      </c>
      <c r="IB74" t="s">
        <v>426</v>
      </c>
      <c r="IC74" t="s">
        <v>426</v>
      </c>
      <c r="ID74" t="s">
        <v>426</v>
      </c>
      <c r="IE74" t="s">
        <v>426</v>
      </c>
      <c r="IF74">
        <v>0</v>
      </c>
      <c r="IG74">
        <v>100</v>
      </c>
      <c r="IH74">
        <v>100</v>
      </c>
      <c r="II74">
        <v>0.80700000000000005</v>
      </c>
      <c r="IJ74">
        <v>0.2601</v>
      </c>
      <c r="IK74">
        <v>-0.4471266614301147</v>
      </c>
      <c r="IL74">
        <v>3.042515301972944E-3</v>
      </c>
      <c r="IM74">
        <v>-2.5091471490852929E-6</v>
      </c>
      <c r="IN74">
        <v>8.1339755115576286E-10</v>
      </c>
      <c r="IO74">
        <v>0.26004332657907259</v>
      </c>
      <c r="IP74">
        <v>0</v>
      </c>
      <c r="IQ74">
        <v>0</v>
      </c>
      <c r="IR74">
        <v>0</v>
      </c>
      <c r="IS74">
        <v>3</v>
      </c>
      <c r="IT74">
        <v>2004</v>
      </c>
      <c r="IU74">
        <v>2</v>
      </c>
      <c r="IV74">
        <v>22</v>
      </c>
      <c r="IW74">
        <v>0.8</v>
      </c>
      <c r="IX74">
        <v>0.7</v>
      </c>
      <c r="IY74">
        <v>2.00684</v>
      </c>
      <c r="IZ74">
        <v>2.5830099999999998</v>
      </c>
      <c r="JA74">
        <v>1.64917</v>
      </c>
      <c r="JB74">
        <v>2.33521</v>
      </c>
      <c r="JC74">
        <v>1.5991200000000001</v>
      </c>
      <c r="JD74">
        <v>2.32422</v>
      </c>
      <c r="JE74">
        <v>44.195399999999999</v>
      </c>
      <c r="JF74">
        <v>16.0321</v>
      </c>
      <c r="JG74">
        <v>18</v>
      </c>
      <c r="JH74">
        <v>519.23299999999995</v>
      </c>
      <c r="JI74">
        <v>454.654</v>
      </c>
      <c r="JJ74">
        <v>26.934699999999999</v>
      </c>
      <c r="JK74">
        <v>32.802100000000003</v>
      </c>
      <c r="JL74">
        <v>29.997399999999999</v>
      </c>
      <c r="JM74">
        <v>32.849800000000002</v>
      </c>
      <c r="JN74">
        <v>32.858199999999997</v>
      </c>
      <c r="JO74">
        <v>40.170099999999998</v>
      </c>
      <c r="JP74">
        <v>47.494999999999997</v>
      </c>
      <c r="JQ74">
        <v>0</v>
      </c>
      <c r="JR74">
        <v>27.078299999999999</v>
      </c>
      <c r="JS74">
        <v>900</v>
      </c>
      <c r="JT74">
        <v>21.113700000000001</v>
      </c>
      <c r="JU74">
        <v>99.642099999999999</v>
      </c>
      <c r="JV74">
        <v>99.355400000000003</v>
      </c>
    </row>
    <row r="75" spans="1:282" x14ac:dyDescent="0.25">
      <c r="A75">
        <v>59</v>
      </c>
      <c r="B75">
        <v>1689009358.5999999</v>
      </c>
      <c r="C75">
        <v>9763.5</v>
      </c>
      <c r="D75" t="s">
        <v>720</v>
      </c>
      <c r="E75" t="s">
        <v>721</v>
      </c>
      <c r="F75" t="s">
        <v>414</v>
      </c>
      <c r="G75" t="s">
        <v>415</v>
      </c>
      <c r="H75" t="s">
        <v>655</v>
      </c>
      <c r="I75" t="s">
        <v>416</v>
      </c>
      <c r="J75" t="s">
        <v>656</v>
      </c>
      <c r="K75">
        <v>1689009358.5999999</v>
      </c>
      <c r="L75">
        <f t="shared" si="46"/>
        <v>6.3857204508970724E-3</v>
      </c>
      <c r="M75">
        <f t="shared" si="47"/>
        <v>6.3857204508970726</v>
      </c>
      <c r="N75">
        <f t="shared" si="48"/>
        <v>62.259944214847089</v>
      </c>
      <c r="O75">
        <f t="shared" si="49"/>
        <v>1116.78</v>
      </c>
      <c r="P75">
        <f t="shared" si="50"/>
        <v>865.63150945860252</v>
      </c>
      <c r="Q75">
        <f t="shared" si="51"/>
        <v>85.958734737900954</v>
      </c>
      <c r="R75">
        <f t="shared" si="52"/>
        <v>110.89822254810602</v>
      </c>
      <c r="S75">
        <f t="shared" si="53"/>
        <v>0.47030983833000534</v>
      </c>
      <c r="T75">
        <f t="shared" si="54"/>
        <v>2.9148531689271482</v>
      </c>
      <c r="U75">
        <f t="shared" si="55"/>
        <v>0.43185775620565409</v>
      </c>
      <c r="V75">
        <f t="shared" si="56"/>
        <v>0.27310340160122526</v>
      </c>
      <c r="W75">
        <f t="shared" si="57"/>
        <v>289.55471857761273</v>
      </c>
      <c r="X75">
        <f t="shared" si="58"/>
        <v>30.189466909229726</v>
      </c>
      <c r="Y75">
        <f t="shared" si="59"/>
        <v>29.925799999999999</v>
      </c>
      <c r="Z75">
        <f t="shared" si="60"/>
        <v>4.2423254772841519</v>
      </c>
      <c r="AA75">
        <f t="shared" si="61"/>
        <v>65.796356815443801</v>
      </c>
      <c r="AB75">
        <f t="shared" si="62"/>
        <v>2.8262473285572405</v>
      </c>
      <c r="AC75">
        <f t="shared" si="63"/>
        <v>4.2954465343495434</v>
      </c>
      <c r="AD75">
        <f t="shared" si="64"/>
        <v>1.4160781487269114</v>
      </c>
      <c r="AE75">
        <f t="shared" si="65"/>
        <v>-281.61027188456092</v>
      </c>
      <c r="AF75">
        <f t="shared" si="66"/>
        <v>34.05344372816144</v>
      </c>
      <c r="AG75">
        <f t="shared" si="67"/>
        <v>2.59854557627868</v>
      </c>
      <c r="AH75">
        <f t="shared" si="68"/>
        <v>44.596435997491952</v>
      </c>
      <c r="AI75">
        <v>0</v>
      </c>
      <c r="AJ75">
        <v>0</v>
      </c>
      <c r="AK75">
        <f t="shared" si="69"/>
        <v>1</v>
      </c>
      <c r="AL75">
        <f t="shared" si="70"/>
        <v>0</v>
      </c>
      <c r="AM75">
        <f t="shared" si="71"/>
        <v>51892.66248111461</v>
      </c>
      <c r="AN75" t="s">
        <v>418</v>
      </c>
      <c r="AO75">
        <v>10021</v>
      </c>
      <c r="AP75">
        <v>177.53923076923081</v>
      </c>
      <c r="AQ75">
        <v>655.56</v>
      </c>
      <c r="AR75">
        <f t="shared" si="72"/>
        <v>0.72917928066198234</v>
      </c>
      <c r="AS75">
        <v>-3.1115002560329539</v>
      </c>
      <c r="AT75" t="s">
        <v>722</v>
      </c>
      <c r="AU75">
        <v>8022.53</v>
      </c>
      <c r="AV75">
        <v>781.3863846153846</v>
      </c>
      <c r="AW75">
        <v>1309.3907511638749</v>
      </c>
      <c r="AX75">
        <f t="shared" si="73"/>
        <v>0.40324430738430406</v>
      </c>
      <c r="AY75">
        <v>0.5</v>
      </c>
      <c r="AZ75">
        <f t="shared" si="74"/>
        <v>1513.1255992630117</v>
      </c>
      <c r="BA75">
        <f t="shared" si="75"/>
        <v>62.259944214847089</v>
      </c>
      <c r="BB75">
        <f t="shared" si="76"/>
        <v>305.07964213013662</v>
      </c>
      <c r="BC75">
        <f t="shared" si="77"/>
        <v>4.3202920169165125E-2</v>
      </c>
      <c r="BD75">
        <f t="shared" si="78"/>
        <v>-0.49933967425896819</v>
      </c>
      <c r="BE75">
        <f t="shared" si="79"/>
        <v>205.30261784800322</v>
      </c>
      <c r="BF75" t="s">
        <v>723</v>
      </c>
      <c r="BG75">
        <v>590.09</v>
      </c>
      <c r="BH75">
        <f t="shared" si="80"/>
        <v>590.09</v>
      </c>
      <c r="BI75">
        <f t="shared" si="81"/>
        <v>0.54934002743223276</v>
      </c>
      <c r="BJ75">
        <f t="shared" si="82"/>
        <v>0.73405229411222672</v>
      </c>
      <c r="BK75">
        <f t="shared" si="83"/>
        <v>-9.9867229443084753</v>
      </c>
      <c r="BL75">
        <f t="shared" si="84"/>
        <v>0.46649614108782611</v>
      </c>
      <c r="BM75">
        <f t="shared" si="85"/>
        <v>-1.3677873290234213</v>
      </c>
      <c r="BN75">
        <f t="shared" si="86"/>
        <v>0.55434408221214804</v>
      </c>
      <c r="BO75">
        <f t="shared" si="87"/>
        <v>0.44565591778785196</v>
      </c>
      <c r="BP75">
        <v>22583</v>
      </c>
      <c r="BQ75">
        <v>290.00000000000011</v>
      </c>
      <c r="BR75">
        <v>1142.99</v>
      </c>
      <c r="BS75">
        <v>295</v>
      </c>
      <c r="BT75">
        <v>8022.53</v>
      </c>
      <c r="BU75">
        <v>1146.83</v>
      </c>
      <c r="BV75">
        <v>-3.84</v>
      </c>
      <c r="BW75">
        <v>300.00000000000011</v>
      </c>
      <c r="BX75">
        <v>19.399999999999999</v>
      </c>
      <c r="BY75">
        <v>1309.3907511638749</v>
      </c>
      <c r="BZ75">
        <v>4.9066482919696304</v>
      </c>
      <c r="CA75">
        <v>-130.4188496890674</v>
      </c>
      <c r="CB75">
        <v>3.6158838200986749</v>
      </c>
      <c r="CC75">
        <v>0.9789303163543428</v>
      </c>
      <c r="CD75">
        <v>-4.1435523915461653E-3</v>
      </c>
      <c r="CE75">
        <v>289.99999999999989</v>
      </c>
      <c r="CF75">
        <v>1144.8399999999999</v>
      </c>
      <c r="CG75">
        <v>675</v>
      </c>
      <c r="CH75">
        <v>8011.87</v>
      </c>
      <c r="CI75">
        <v>1146.6099999999999</v>
      </c>
      <c r="CJ75">
        <v>-1.77</v>
      </c>
      <c r="CX75">
        <f t="shared" si="88"/>
        <v>1799.93</v>
      </c>
      <c r="CY75">
        <f t="shared" si="89"/>
        <v>1513.1255992630117</v>
      </c>
      <c r="CZ75">
        <f t="shared" si="90"/>
        <v>0.8406580251804302</v>
      </c>
      <c r="DA75">
        <f t="shared" si="91"/>
        <v>0.16086998859823035</v>
      </c>
      <c r="DB75">
        <v>6</v>
      </c>
      <c r="DC75">
        <v>0.5</v>
      </c>
      <c r="DD75" t="s">
        <v>421</v>
      </c>
      <c r="DE75">
        <v>2</v>
      </c>
      <c r="DF75">
        <v>1689009358.5999999</v>
      </c>
      <c r="DG75">
        <v>1116.78</v>
      </c>
      <c r="DH75">
        <v>1200.05</v>
      </c>
      <c r="DI75">
        <v>28.461200000000002</v>
      </c>
      <c r="DJ75">
        <v>21.016400000000001</v>
      </c>
      <c r="DK75">
        <v>1116.04</v>
      </c>
      <c r="DL75">
        <v>28.2104</v>
      </c>
      <c r="DM75">
        <v>499.99799999999999</v>
      </c>
      <c r="DN75">
        <v>99.201800000000006</v>
      </c>
      <c r="DO75">
        <v>9.9962700000000002E-2</v>
      </c>
      <c r="DP75">
        <v>30.142499999999998</v>
      </c>
      <c r="DQ75">
        <v>29.925799999999999</v>
      </c>
      <c r="DR75">
        <v>999.9</v>
      </c>
      <c r="DS75">
        <v>0</v>
      </c>
      <c r="DT75">
        <v>0</v>
      </c>
      <c r="DU75">
        <v>9996.25</v>
      </c>
      <c r="DV75">
        <v>0</v>
      </c>
      <c r="DW75">
        <v>1684.15</v>
      </c>
      <c r="DX75">
        <v>-83.261799999999994</v>
      </c>
      <c r="DY75">
        <v>1149.5</v>
      </c>
      <c r="DZ75">
        <v>1225.81</v>
      </c>
      <c r="EA75">
        <v>7.4447900000000002</v>
      </c>
      <c r="EB75">
        <v>1200.05</v>
      </c>
      <c r="EC75">
        <v>21.016400000000001</v>
      </c>
      <c r="ED75">
        <v>2.8233999999999999</v>
      </c>
      <c r="EE75">
        <v>2.08487</v>
      </c>
      <c r="EF75">
        <v>23.021599999999999</v>
      </c>
      <c r="EG75">
        <v>18.103999999999999</v>
      </c>
      <c r="EH75">
        <v>1799.93</v>
      </c>
      <c r="EI75">
        <v>0.97800600000000004</v>
      </c>
      <c r="EJ75">
        <v>2.1994E-2</v>
      </c>
      <c r="EK75">
        <v>0</v>
      </c>
      <c r="EL75">
        <v>780.79700000000003</v>
      </c>
      <c r="EM75">
        <v>5.0011200000000002</v>
      </c>
      <c r="EN75">
        <v>15849.8</v>
      </c>
      <c r="EO75">
        <v>17210.2</v>
      </c>
      <c r="EP75">
        <v>48.75</v>
      </c>
      <c r="EQ75">
        <v>49.875</v>
      </c>
      <c r="ER75">
        <v>49.5</v>
      </c>
      <c r="ES75">
        <v>49.125</v>
      </c>
      <c r="ET75">
        <v>49</v>
      </c>
      <c r="EU75">
        <v>1755.45</v>
      </c>
      <c r="EV75">
        <v>39.479999999999997</v>
      </c>
      <c r="EW75">
        <v>0</v>
      </c>
      <c r="EX75">
        <v>105.19999980926509</v>
      </c>
      <c r="EY75">
        <v>0</v>
      </c>
      <c r="EZ75">
        <v>781.3863846153846</v>
      </c>
      <c r="FA75">
        <v>-3.3083077006033861</v>
      </c>
      <c r="FB75">
        <v>-90.707692539215358</v>
      </c>
      <c r="FC75">
        <v>15858.346153846151</v>
      </c>
      <c r="FD75">
        <v>15</v>
      </c>
      <c r="FE75">
        <v>1689009327.0999999</v>
      </c>
      <c r="FF75" t="s">
        <v>724</v>
      </c>
      <c r="FG75">
        <v>1689009327.0999999</v>
      </c>
      <c r="FH75">
        <v>1689009317.0999999</v>
      </c>
      <c r="FI75">
        <v>64</v>
      </c>
      <c r="FJ75">
        <v>-0.21</v>
      </c>
      <c r="FK75">
        <v>-8.9999999999999993E-3</v>
      </c>
      <c r="FL75">
        <v>0.78800000000000003</v>
      </c>
      <c r="FM75">
        <v>0.22800000000000001</v>
      </c>
      <c r="FN75">
        <v>1200</v>
      </c>
      <c r="FO75">
        <v>21</v>
      </c>
      <c r="FP75">
        <v>0.04</v>
      </c>
      <c r="FQ75">
        <v>0.02</v>
      </c>
      <c r="FR75">
        <v>62.593689903678253</v>
      </c>
      <c r="FS75">
        <v>0.46571598464263481</v>
      </c>
      <c r="FT75">
        <v>0.16114841577762251</v>
      </c>
      <c r="FU75">
        <v>1</v>
      </c>
      <c r="FV75">
        <v>0.46886200950863349</v>
      </c>
      <c r="FW75">
        <v>3.2455238910704592E-2</v>
      </c>
      <c r="FX75">
        <v>2.8638738368565761E-3</v>
      </c>
      <c r="FY75">
        <v>1</v>
      </c>
      <c r="FZ75">
        <v>2</v>
      </c>
      <c r="GA75">
        <v>2</v>
      </c>
      <c r="GB75" t="s">
        <v>423</v>
      </c>
      <c r="GC75">
        <v>2.9252199999999999</v>
      </c>
      <c r="GD75">
        <v>2.8272200000000001</v>
      </c>
      <c r="GE75">
        <v>0.180231</v>
      </c>
      <c r="GF75">
        <v>0.188996</v>
      </c>
      <c r="GG75">
        <v>0.12631600000000001</v>
      </c>
      <c r="GH75">
        <v>0.10265299999999999</v>
      </c>
      <c r="GI75">
        <v>26763.7</v>
      </c>
      <c r="GJ75">
        <v>21475.8</v>
      </c>
      <c r="GK75">
        <v>31419.3</v>
      </c>
      <c r="GL75">
        <v>26122.3</v>
      </c>
      <c r="GM75">
        <v>37635.199999999997</v>
      </c>
      <c r="GN75">
        <v>31794.3</v>
      </c>
      <c r="GO75">
        <v>46662.7</v>
      </c>
      <c r="GP75">
        <v>37977.599999999999</v>
      </c>
      <c r="GQ75">
        <v>1.9269799999999999</v>
      </c>
      <c r="GR75">
        <v>1.7553000000000001</v>
      </c>
      <c r="GS75">
        <v>-4.4293699999999998E-2</v>
      </c>
      <c r="GT75">
        <v>0</v>
      </c>
      <c r="GU75">
        <v>30.6463</v>
      </c>
      <c r="GV75">
        <v>999.9</v>
      </c>
      <c r="GW75">
        <v>40.4</v>
      </c>
      <c r="GX75">
        <v>42.3</v>
      </c>
      <c r="GY75">
        <v>34.106299999999997</v>
      </c>
      <c r="GZ75">
        <v>62.336100000000002</v>
      </c>
      <c r="HA75">
        <v>22.071300000000001</v>
      </c>
      <c r="HB75">
        <v>1</v>
      </c>
      <c r="HC75">
        <v>0.46297500000000003</v>
      </c>
      <c r="HD75">
        <v>2.5482900000000002</v>
      </c>
      <c r="HE75">
        <v>20.327300000000001</v>
      </c>
      <c r="HF75">
        <v>5.2273199999999997</v>
      </c>
      <c r="HG75">
        <v>12.059200000000001</v>
      </c>
      <c r="HH75">
        <v>4.9931999999999999</v>
      </c>
      <c r="HI75">
        <v>3.2919999999999998</v>
      </c>
      <c r="HJ75">
        <v>9999</v>
      </c>
      <c r="HK75">
        <v>9999</v>
      </c>
      <c r="HL75">
        <v>9999</v>
      </c>
      <c r="HM75">
        <v>463.7</v>
      </c>
      <c r="HN75">
        <v>1.8665499999999999</v>
      </c>
      <c r="HO75">
        <v>1.8700300000000001</v>
      </c>
      <c r="HP75">
        <v>1.8725700000000001</v>
      </c>
      <c r="HQ75">
        <v>1.87347</v>
      </c>
      <c r="HR75">
        <v>1.8702700000000001</v>
      </c>
      <c r="HS75">
        <v>1.86863</v>
      </c>
      <c r="HT75">
        <v>1.87015</v>
      </c>
      <c r="HU75">
        <v>1.87317</v>
      </c>
      <c r="HV75">
        <v>0</v>
      </c>
      <c r="HW75">
        <v>0</v>
      </c>
      <c r="HX75">
        <v>0</v>
      </c>
      <c r="HY75">
        <v>0</v>
      </c>
      <c r="HZ75" t="s">
        <v>424</v>
      </c>
      <c r="IA75" t="s">
        <v>425</v>
      </c>
      <c r="IB75" t="s">
        <v>426</v>
      </c>
      <c r="IC75" t="s">
        <v>426</v>
      </c>
      <c r="ID75" t="s">
        <v>426</v>
      </c>
      <c r="IE75" t="s">
        <v>426</v>
      </c>
      <c r="IF75">
        <v>0</v>
      </c>
      <c r="IG75">
        <v>100</v>
      </c>
      <c r="IH75">
        <v>100</v>
      </c>
      <c r="II75">
        <v>0.74</v>
      </c>
      <c r="IJ75">
        <v>0.25080000000000002</v>
      </c>
      <c r="IK75">
        <v>-0.6552123030546354</v>
      </c>
      <c r="IL75">
        <v>3.042515301972944E-3</v>
      </c>
      <c r="IM75">
        <v>-2.5091471490852929E-6</v>
      </c>
      <c r="IN75">
        <v>8.1339755115576286E-10</v>
      </c>
      <c r="IO75">
        <v>0.25076384014149372</v>
      </c>
      <c r="IP75">
        <v>0</v>
      </c>
      <c r="IQ75">
        <v>0</v>
      </c>
      <c r="IR75">
        <v>0</v>
      </c>
      <c r="IS75">
        <v>3</v>
      </c>
      <c r="IT75">
        <v>2004</v>
      </c>
      <c r="IU75">
        <v>2</v>
      </c>
      <c r="IV75">
        <v>22</v>
      </c>
      <c r="IW75">
        <v>0.5</v>
      </c>
      <c r="IX75">
        <v>0.7</v>
      </c>
      <c r="IY75">
        <v>2.5439500000000002</v>
      </c>
      <c r="IZ75">
        <v>2.5878899999999998</v>
      </c>
      <c r="JA75">
        <v>1.64917</v>
      </c>
      <c r="JB75">
        <v>2.33521</v>
      </c>
      <c r="JC75">
        <v>1.5991200000000001</v>
      </c>
      <c r="JD75">
        <v>2.3034699999999999</v>
      </c>
      <c r="JE75">
        <v>44.389899999999997</v>
      </c>
      <c r="JF75">
        <v>16.014600000000002</v>
      </c>
      <c r="JG75">
        <v>18</v>
      </c>
      <c r="JH75">
        <v>518.077</v>
      </c>
      <c r="JI75">
        <v>454.26900000000001</v>
      </c>
      <c r="JJ75">
        <v>26.623899999999999</v>
      </c>
      <c r="JK75">
        <v>33.072800000000001</v>
      </c>
      <c r="JL75">
        <v>29.9984</v>
      </c>
      <c r="JM75">
        <v>33.047400000000003</v>
      </c>
      <c r="JN75">
        <v>33.043599999999998</v>
      </c>
      <c r="JO75">
        <v>50.891800000000003</v>
      </c>
      <c r="JP75">
        <v>48.078000000000003</v>
      </c>
      <c r="JQ75">
        <v>0</v>
      </c>
      <c r="JR75">
        <v>26.645099999999999</v>
      </c>
      <c r="JS75">
        <v>1200</v>
      </c>
      <c r="JT75">
        <v>21.013300000000001</v>
      </c>
      <c r="JU75">
        <v>99.588800000000006</v>
      </c>
      <c r="JV75">
        <v>99.316199999999995</v>
      </c>
    </row>
    <row r="76" spans="1:282" x14ac:dyDescent="0.25">
      <c r="A76">
        <v>60</v>
      </c>
      <c r="B76">
        <v>1689009487.5999999</v>
      </c>
      <c r="C76">
        <v>9892.5</v>
      </c>
      <c r="D76" t="s">
        <v>725</v>
      </c>
      <c r="E76" t="s">
        <v>726</v>
      </c>
      <c r="F76" t="s">
        <v>414</v>
      </c>
      <c r="G76" t="s">
        <v>415</v>
      </c>
      <c r="H76" t="s">
        <v>655</v>
      </c>
      <c r="I76" t="s">
        <v>416</v>
      </c>
      <c r="J76" t="s">
        <v>656</v>
      </c>
      <c r="K76">
        <v>1689009487.5999999</v>
      </c>
      <c r="L76">
        <f t="shared" si="46"/>
        <v>5.8711291121032036E-3</v>
      </c>
      <c r="M76">
        <f t="shared" si="47"/>
        <v>5.8711291121032039</v>
      </c>
      <c r="N76">
        <f t="shared" si="48"/>
        <v>61.644576585312585</v>
      </c>
      <c r="O76">
        <f t="shared" si="49"/>
        <v>1416.17</v>
      </c>
      <c r="P76">
        <f t="shared" si="50"/>
        <v>1132.7977098386827</v>
      </c>
      <c r="Q76">
        <f t="shared" si="51"/>
        <v>112.48029933998893</v>
      </c>
      <c r="R76">
        <f t="shared" si="52"/>
        <v>140.61753844735102</v>
      </c>
      <c r="S76">
        <f t="shared" si="53"/>
        <v>0.41671068844039</v>
      </c>
      <c r="T76">
        <f t="shared" si="54"/>
        <v>2.9157112742685807</v>
      </c>
      <c r="U76">
        <f t="shared" si="55"/>
        <v>0.38622757906784477</v>
      </c>
      <c r="V76">
        <f t="shared" si="56"/>
        <v>0.24394493833353453</v>
      </c>
      <c r="W76">
        <f t="shared" si="57"/>
        <v>289.55747257690012</v>
      </c>
      <c r="X76">
        <f t="shared" si="58"/>
        <v>30.352291969706471</v>
      </c>
      <c r="Y76">
        <f t="shared" si="59"/>
        <v>29.991800000000001</v>
      </c>
      <c r="Z76">
        <f t="shared" si="60"/>
        <v>4.2584435069290389</v>
      </c>
      <c r="AA76">
        <f t="shared" si="61"/>
        <v>65.141261815830219</v>
      </c>
      <c r="AB76">
        <f t="shared" si="62"/>
        <v>2.8027192266679202</v>
      </c>
      <c r="AC76">
        <f t="shared" si="63"/>
        <v>4.3025252329189927</v>
      </c>
      <c r="AD76">
        <f t="shared" si="64"/>
        <v>1.4557242802611188</v>
      </c>
      <c r="AE76">
        <f t="shared" si="65"/>
        <v>-258.91679384375129</v>
      </c>
      <c r="AF76">
        <f t="shared" si="66"/>
        <v>28.20021362357479</v>
      </c>
      <c r="AG76">
        <f t="shared" si="67"/>
        <v>2.1522732691253621</v>
      </c>
      <c r="AH76">
        <f t="shared" si="68"/>
        <v>60.993165625848995</v>
      </c>
      <c r="AI76">
        <v>0</v>
      </c>
      <c r="AJ76">
        <v>0</v>
      </c>
      <c r="AK76">
        <f t="shared" si="69"/>
        <v>1</v>
      </c>
      <c r="AL76">
        <f t="shared" si="70"/>
        <v>0</v>
      </c>
      <c r="AM76">
        <f t="shared" si="71"/>
        <v>51912.006531961168</v>
      </c>
      <c r="AN76" t="s">
        <v>418</v>
      </c>
      <c r="AO76">
        <v>10021</v>
      </c>
      <c r="AP76">
        <v>177.53923076923081</v>
      </c>
      <c r="AQ76">
        <v>655.56</v>
      </c>
      <c r="AR76">
        <f t="shared" si="72"/>
        <v>0.72917928066198234</v>
      </c>
      <c r="AS76">
        <v>-3.1115002560329539</v>
      </c>
      <c r="AT76" t="s">
        <v>727</v>
      </c>
      <c r="AU76">
        <v>8021</v>
      </c>
      <c r="AV76">
        <v>776.17211999999995</v>
      </c>
      <c r="AW76">
        <v>1302.7896986783689</v>
      </c>
      <c r="AX76">
        <f t="shared" si="73"/>
        <v>0.4042230140540739</v>
      </c>
      <c r="AY76">
        <v>0.5</v>
      </c>
      <c r="AZ76">
        <f t="shared" si="74"/>
        <v>1513.1345992626427</v>
      </c>
      <c r="BA76">
        <f t="shared" si="75"/>
        <v>61.644576585312585</v>
      </c>
      <c r="BB76">
        <f t="shared" si="76"/>
        <v>305.82191419172437</v>
      </c>
      <c r="BC76">
        <f t="shared" si="77"/>
        <v>4.2795979202974711E-2</v>
      </c>
      <c r="BD76">
        <f t="shared" si="78"/>
        <v>-0.496802898683463</v>
      </c>
      <c r="BE76">
        <f t="shared" si="79"/>
        <v>205.13964558765397</v>
      </c>
      <c r="BF76" t="s">
        <v>728</v>
      </c>
      <c r="BG76">
        <v>589.4</v>
      </c>
      <c r="BH76">
        <f t="shared" si="80"/>
        <v>589.4</v>
      </c>
      <c r="BI76">
        <f t="shared" si="81"/>
        <v>0.54758622930629242</v>
      </c>
      <c r="BJ76">
        <f t="shared" si="82"/>
        <v>0.73819061258381591</v>
      </c>
      <c r="BK76">
        <f t="shared" si="83"/>
        <v>-9.7827947200479031</v>
      </c>
      <c r="BL76">
        <f t="shared" si="84"/>
        <v>0.46800031965940264</v>
      </c>
      <c r="BM76">
        <f t="shared" si="85"/>
        <v>-1.3539781958007615</v>
      </c>
      <c r="BN76">
        <f t="shared" si="86"/>
        <v>0.56055807190923213</v>
      </c>
      <c r="BO76">
        <f t="shared" si="87"/>
        <v>0.43944192809076787</v>
      </c>
      <c r="BP76">
        <v>22585</v>
      </c>
      <c r="BQ76">
        <v>290.00000000000011</v>
      </c>
      <c r="BR76">
        <v>1137.1300000000001</v>
      </c>
      <c r="BS76">
        <v>295</v>
      </c>
      <c r="BT76">
        <v>8021</v>
      </c>
      <c r="BU76">
        <v>1140.69</v>
      </c>
      <c r="BV76">
        <v>-3.56</v>
      </c>
      <c r="BW76">
        <v>300.00000000000011</v>
      </c>
      <c r="BX76">
        <v>19.399999999999999</v>
      </c>
      <c r="BY76">
        <v>1302.7896986783689</v>
      </c>
      <c r="BZ76">
        <v>5.1170901795154906</v>
      </c>
      <c r="CA76">
        <v>-130.0164596771229</v>
      </c>
      <c r="CB76">
        <v>3.7702307348483282</v>
      </c>
      <c r="CC76">
        <v>0.97699669112572829</v>
      </c>
      <c r="CD76">
        <v>-4.1430289210233661E-3</v>
      </c>
      <c r="CE76">
        <v>289.99999999999989</v>
      </c>
      <c r="CF76">
        <v>1137.76</v>
      </c>
      <c r="CG76">
        <v>685</v>
      </c>
      <c r="CH76">
        <v>8009.98</v>
      </c>
      <c r="CI76">
        <v>1140.47</v>
      </c>
      <c r="CJ76">
        <v>-2.71</v>
      </c>
      <c r="CX76">
        <f t="shared" si="88"/>
        <v>1799.94</v>
      </c>
      <c r="CY76">
        <f t="shared" si="89"/>
        <v>1513.1345992626427</v>
      </c>
      <c r="CZ76">
        <f t="shared" si="90"/>
        <v>0.84065835486885265</v>
      </c>
      <c r="DA76">
        <f t="shared" si="91"/>
        <v>0.16087062489688553</v>
      </c>
      <c r="DB76">
        <v>6</v>
      </c>
      <c r="DC76">
        <v>0.5</v>
      </c>
      <c r="DD76" t="s">
        <v>421</v>
      </c>
      <c r="DE76">
        <v>2</v>
      </c>
      <c r="DF76">
        <v>1689009487.5999999</v>
      </c>
      <c r="DG76">
        <v>1416.17</v>
      </c>
      <c r="DH76">
        <v>1500.11</v>
      </c>
      <c r="DI76">
        <v>28.226400000000002</v>
      </c>
      <c r="DJ76">
        <v>21.380800000000001</v>
      </c>
      <c r="DK76">
        <v>1415.32</v>
      </c>
      <c r="DL76">
        <v>27.971299999999999</v>
      </c>
      <c r="DM76">
        <v>500.065</v>
      </c>
      <c r="DN76">
        <v>99.194400000000002</v>
      </c>
      <c r="DO76">
        <v>9.9850300000000003E-2</v>
      </c>
      <c r="DP76">
        <v>30.171199999999999</v>
      </c>
      <c r="DQ76">
        <v>29.991800000000001</v>
      </c>
      <c r="DR76">
        <v>999.9</v>
      </c>
      <c r="DS76">
        <v>0</v>
      </c>
      <c r="DT76">
        <v>0</v>
      </c>
      <c r="DU76">
        <v>10001.9</v>
      </c>
      <c r="DV76">
        <v>0</v>
      </c>
      <c r="DW76">
        <v>1657.02</v>
      </c>
      <c r="DX76">
        <v>-83.936800000000005</v>
      </c>
      <c r="DY76">
        <v>1457.31</v>
      </c>
      <c r="DZ76">
        <v>1532.88</v>
      </c>
      <c r="EA76">
        <v>6.8455899999999996</v>
      </c>
      <c r="EB76">
        <v>1500.11</v>
      </c>
      <c r="EC76">
        <v>21.380800000000001</v>
      </c>
      <c r="ED76">
        <v>2.7999000000000001</v>
      </c>
      <c r="EE76">
        <v>2.12086</v>
      </c>
      <c r="EF76">
        <v>22.883500000000002</v>
      </c>
      <c r="EG76">
        <v>18.3767</v>
      </c>
      <c r="EH76">
        <v>1799.94</v>
      </c>
      <c r="EI76">
        <v>0.97799199999999997</v>
      </c>
      <c r="EJ76">
        <v>2.20085E-2</v>
      </c>
      <c r="EK76">
        <v>0</v>
      </c>
      <c r="EL76">
        <v>776.12699999999995</v>
      </c>
      <c r="EM76">
        <v>5.0011200000000002</v>
      </c>
      <c r="EN76">
        <v>15740.9</v>
      </c>
      <c r="EO76">
        <v>17210.3</v>
      </c>
      <c r="EP76">
        <v>49.186999999999998</v>
      </c>
      <c r="EQ76">
        <v>50.311999999999998</v>
      </c>
      <c r="ER76">
        <v>49.936999999999998</v>
      </c>
      <c r="ES76">
        <v>49.5</v>
      </c>
      <c r="ET76">
        <v>49.875</v>
      </c>
      <c r="EU76">
        <v>1755.44</v>
      </c>
      <c r="EV76">
        <v>39.5</v>
      </c>
      <c r="EW76">
        <v>0</v>
      </c>
      <c r="EX76">
        <v>127.19999980926509</v>
      </c>
      <c r="EY76">
        <v>0</v>
      </c>
      <c r="EZ76">
        <v>776.17211999999995</v>
      </c>
      <c r="FA76">
        <v>-0.96661539583666423</v>
      </c>
      <c r="FB76">
        <v>-64.638461530648286</v>
      </c>
      <c r="FC76">
        <v>15749.9</v>
      </c>
      <c r="FD76">
        <v>15</v>
      </c>
      <c r="FE76">
        <v>1689009456.0999999</v>
      </c>
      <c r="FF76" t="s">
        <v>729</v>
      </c>
      <c r="FG76">
        <v>1689009456.0999999</v>
      </c>
      <c r="FH76">
        <v>1689009448.5999999</v>
      </c>
      <c r="FI76">
        <v>65</v>
      </c>
      <c r="FJ76">
        <v>-8.2000000000000003E-2</v>
      </c>
      <c r="FK76">
        <v>4.0000000000000001E-3</v>
      </c>
      <c r="FL76">
        <v>0.92500000000000004</v>
      </c>
      <c r="FM76">
        <v>0.22600000000000001</v>
      </c>
      <c r="FN76">
        <v>1500</v>
      </c>
      <c r="FO76">
        <v>21</v>
      </c>
      <c r="FP76">
        <v>7.0000000000000007E-2</v>
      </c>
      <c r="FQ76">
        <v>0.01</v>
      </c>
      <c r="FR76">
        <v>61.602768828136917</v>
      </c>
      <c r="FS76">
        <v>0.34842718511095622</v>
      </c>
      <c r="FT76">
        <v>0.18238373729981031</v>
      </c>
      <c r="FU76">
        <v>1</v>
      </c>
      <c r="FV76">
        <v>0.42094427902449988</v>
      </c>
      <c r="FW76">
        <v>-1.7593553829080288E-2</v>
      </c>
      <c r="FX76">
        <v>1.688641041851014E-3</v>
      </c>
      <c r="FY76">
        <v>1</v>
      </c>
      <c r="FZ76">
        <v>2</v>
      </c>
      <c r="GA76">
        <v>2</v>
      </c>
      <c r="GB76" t="s">
        <v>423</v>
      </c>
      <c r="GC76">
        <v>2.9250799999999999</v>
      </c>
      <c r="GD76">
        <v>2.8271600000000001</v>
      </c>
      <c r="GE76">
        <v>0.20877399999999999</v>
      </c>
      <c r="GF76">
        <v>0.216582</v>
      </c>
      <c r="GG76">
        <v>0.12549199999999999</v>
      </c>
      <c r="GH76">
        <v>0.103843</v>
      </c>
      <c r="GI76">
        <v>25812.7</v>
      </c>
      <c r="GJ76">
        <v>20734.099999999999</v>
      </c>
      <c r="GK76">
        <v>31400</v>
      </c>
      <c r="GL76">
        <v>26111.7</v>
      </c>
      <c r="GM76">
        <v>37648.699999999997</v>
      </c>
      <c r="GN76">
        <v>31740.2</v>
      </c>
      <c r="GO76">
        <v>46633.4</v>
      </c>
      <c r="GP76">
        <v>37962.400000000001</v>
      </c>
      <c r="GQ76">
        <v>1.9233199999999999</v>
      </c>
      <c r="GR76">
        <v>1.7524999999999999</v>
      </c>
      <c r="GS76">
        <v>-2.70829E-2</v>
      </c>
      <c r="GT76">
        <v>0</v>
      </c>
      <c r="GU76">
        <v>30.432400000000001</v>
      </c>
      <c r="GV76">
        <v>999.9</v>
      </c>
      <c r="GW76">
        <v>40.5</v>
      </c>
      <c r="GX76">
        <v>42.4</v>
      </c>
      <c r="GY76">
        <v>34.369700000000002</v>
      </c>
      <c r="GZ76">
        <v>62.156100000000002</v>
      </c>
      <c r="HA76">
        <v>21.9511</v>
      </c>
      <c r="HB76">
        <v>1</v>
      </c>
      <c r="HC76">
        <v>0.49520599999999998</v>
      </c>
      <c r="HD76">
        <v>3.5377999999999998</v>
      </c>
      <c r="HE76">
        <v>20.3079</v>
      </c>
      <c r="HF76">
        <v>5.2264200000000001</v>
      </c>
      <c r="HG76">
        <v>12.063599999999999</v>
      </c>
      <c r="HH76">
        <v>4.99315</v>
      </c>
      <c r="HI76">
        <v>3.2919999999999998</v>
      </c>
      <c r="HJ76">
        <v>9999</v>
      </c>
      <c r="HK76">
        <v>9999</v>
      </c>
      <c r="HL76">
        <v>9999</v>
      </c>
      <c r="HM76">
        <v>463.7</v>
      </c>
      <c r="HN76">
        <v>1.86656</v>
      </c>
      <c r="HO76">
        <v>1.87002</v>
      </c>
      <c r="HP76">
        <v>1.8725700000000001</v>
      </c>
      <c r="HQ76">
        <v>1.87347</v>
      </c>
      <c r="HR76">
        <v>1.8702700000000001</v>
      </c>
      <c r="HS76">
        <v>1.8686700000000001</v>
      </c>
      <c r="HT76">
        <v>1.87012</v>
      </c>
      <c r="HU76">
        <v>1.87317</v>
      </c>
      <c r="HV76">
        <v>0</v>
      </c>
      <c r="HW76">
        <v>0</v>
      </c>
      <c r="HX76">
        <v>0</v>
      </c>
      <c r="HY76">
        <v>0</v>
      </c>
      <c r="HZ76" t="s">
        <v>424</v>
      </c>
      <c r="IA76" t="s">
        <v>425</v>
      </c>
      <c r="IB76" t="s">
        <v>426</v>
      </c>
      <c r="IC76" t="s">
        <v>426</v>
      </c>
      <c r="ID76" t="s">
        <v>426</v>
      </c>
      <c r="IE76" t="s">
        <v>426</v>
      </c>
      <c r="IF76">
        <v>0</v>
      </c>
      <c r="IG76">
        <v>100</v>
      </c>
      <c r="IH76">
        <v>100</v>
      </c>
      <c r="II76">
        <v>0.85</v>
      </c>
      <c r="IJ76">
        <v>0.25509999999999999</v>
      </c>
      <c r="IK76">
        <v>-0.73766230230712393</v>
      </c>
      <c r="IL76">
        <v>3.042515301972944E-3</v>
      </c>
      <c r="IM76">
        <v>-2.5091471490852929E-6</v>
      </c>
      <c r="IN76">
        <v>8.1339755115576286E-10</v>
      </c>
      <c r="IO76">
        <v>0.2551350959146958</v>
      </c>
      <c r="IP76">
        <v>0</v>
      </c>
      <c r="IQ76">
        <v>0</v>
      </c>
      <c r="IR76">
        <v>0</v>
      </c>
      <c r="IS76">
        <v>3</v>
      </c>
      <c r="IT76">
        <v>2004</v>
      </c>
      <c r="IU76">
        <v>2</v>
      </c>
      <c r="IV76">
        <v>22</v>
      </c>
      <c r="IW76">
        <v>0.5</v>
      </c>
      <c r="IX76">
        <v>0.7</v>
      </c>
      <c r="IY76">
        <v>3.0505399999999998</v>
      </c>
      <c r="IZ76">
        <v>2.5805699999999998</v>
      </c>
      <c r="JA76">
        <v>1.64917</v>
      </c>
      <c r="JB76">
        <v>2.33521</v>
      </c>
      <c r="JC76">
        <v>1.5991200000000001</v>
      </c>
      <c r="JD76">
        <v>2.2534200000000002</v>
      </c>
      <c r="JE76">
        <v>44.5852</v>
      </c>
      <c r="JF76">
        <v>15.988300000000001</v>
      </c>
      <c r="JG76">
        <v>18</v>
      </c>
      <c r="JH76">
        <v>517.64800000000002</v>
      </c>
      <c r="JI76">
        <v>454.21499999999997</v>
      </c>
      <c r="JJ76">
        <v>26.5017</v>
      </c>
      <c r="JK76">
        <v>33.359900000000003</v>
      </c>
      <c r="JL76">
        <v>30.000800000000002</v>
      </c>
      <c r="JM76">
        <v>33.301099999999998</v>
      </c>
      <c r="JN76">
        <v>33.284799999999997</v>
      </c>
      <c r="JO76">
        <v>61.034399999999998</v>
      </c>
      <c r="JP76">
        <v>47.534399999999998</v>
      </c>
      <c r="JQ76">
        <v>0</v>
      </c>
      <c r="JR76">
        <v>26.500900000000001</v>
      </c>
      <c r="JS76">
        <v>1500</v>
      </c>
      <c r="JT76">
        <v>21.442399999999999</v>
      </c>
      <c r="JU76">
        <v>99.526899999999998</v>
      </c>
      <c r="JV76">
        <v>99.276300000000006</v>
      </c>
    </row>
    <row r="77" spans="1:282" x14ac:dyDescent="0.25">
      <c r="A77">
        <v>61</v>
      </c>
      <c r="B77">
        <v>1689010944</v>
      </c>
      <c r="C77">
        <v>11348.900000095369</v>
      </c>
      <c r="D77" t="s">
        <v>730</v>
      </c>
      <c r="E77" t="s">
        <v>731</v>
      </c>
      <c r="F77" t="s">
        <v>414</v>
      </c>
      <c r="G77" t="s">
        <v>415</v>
      </c>
      <c r="H77" t="s">
        <v>732</v>
      </c>
      <c r="I77" t="s">
        <v>416</v>
      </c>
      <c r="J77" t="s">
        <v>578</v>
      </c>
      <c r="K77">
        <v>1689010944</v>
      </c>
      <c r="L77">
        <f t="shared" si="46"/>
        <v>5.5184100146640812E-3</v>
      </c>
      <c r="M77">
        <f t="shared" si="47"/>
        <v>5.5184100146640809</v>
      </c>
      <c r="N77">
        <f t="shared" si="48"/>
        <v>50.095659929387551</v>
      </c>
      <c r="O77">
        <f t="shared" si="49"/>
        <v>337.726</v>
      </c>
      <c r="P77">
        <f t="shared" si="50"/>
        <v>121.80399627109036</v>
      </c>
      <c r="Q77">
        <f t="shared" si="51"/>
        <v>12.093773599393007</v>
      </c>
      <c r="R77">
        <f t="shared" si="52"/>
        <v>33.532411970608003</v>
      </c>
      <c r="S77">
        <f t="shared" si="53"/>
        <v>0.40570234360643825</v>
      </c>
      <c r="T77">
        <f t="shared" si="54"/>
        <v>2.912430122557125</v>
      </c>
      <c r="U77">
        <f t="shared" si="55"/>
        <v>0.37671843512084352</v>
      </c>
      <c r="V77">
        <f t="shared" si="56"/>
        <v>0.23788032951289706</v>
      </c>
      <c r="W77">
        <f t="shared" si="57"/>
        <v>289.55587657689222</v>
      </c>
      <c r="X77">
        <f t="shared" si="58"/>
        <v>30.889914926385103</v>
      </c>
      <c r="Y77">
        <f t="shared" si="59"/>
        <v>30.080500000000001</v>
      </c>
      <c r="Z77">
        <f t="shared" si="60"/>
        <v>4.2801892070113023</v>
      </c>
      <c r="AA77">
        <f t="shared" si="61"/>
        <v>65.209764637659291</v>
      </c>
      <c r="AB77">
        <f t="shared" si="62"/>
        <v>2.8781740374232001</v>
      </c>
      <c r="AC77">
        <f t="shared" si="63"/>
        <v>4.4137163405141715</v>
      </c>
      <c r="AD77">
        <f t="shared" si="64"/>
        <v>1.4020151695881022</v>
      </c>
      <c r="AE77">
        <f t="shared" si="65"/>
        <v>-243.36188164668599</v>
      </c>
      <c r="AF77">
        <f t="shared" si="66"/>
        <v>84.191406949826259</v>
      </c>
      <c r="AG77">
        <f t="shared" si="67"/>
        <v>6.4498525284759944</v>
      </c>
      <c r="AH77">
        <f t="shared" si="68"/>
        <v>136.83525440850849</v>
      </c>
      <c r="AI77">
        <v>0</v>
      </c>
      <c r="AJ77">
        <v>0</v>
      </c>
      <c r="AK77">
        <f t="shared" si="69"/>
        <v>1</v>
      </c>
      <c r="AL77">
        <f t="shared" si="70"/>
        <v>0</v>
      </c>
      <c r="AM77">
        <f t="shared" si="71"/>
        <v>51742.51859729705</v>
      </c>
      <c r="AN77" t="s">
        <v>418</v>
      </c>
      <c r="AO77">
        <v>10021</v>
      </c>
      <c r="AP77">
        <v>177.53923076923081</v>
      </c>
      <c r="AQ77">
        <v>655.56</v>
      </c>
      <c r="AR77">
        <f t="shared" si="72"/>
        <v>0.72917928066198234</v>
      </c>
      <c r="AS77">
        <v>-3.1115002560329539</v>
      </c>
      <c r="AT77" t="s">
        <v>733</v>
      </c>
      <c r="AU77">
        <v>8020.4</v>
      </c>
      <c r="AV77">
        <v>784.02211538461529</v>
      </c>
      <c r="AW77">
        <v>1153.915696568748</v>
      </c>
      <c r="AX77">
        <f t="shared" si="73"/>
        <v>0.3205551170540778</v>
      </c>
      <c r="AY77">
        <v>0.5</v>
      </c>
      <c r="AZ77">
        <f t="shared" si="74"/>
        <v>1513.1261992626385</v>
      </c>
      <c r="BA77">
        <f t="shared" si="75"/>
        <v>50.095659929387551</v>
      </c>
      <c r="BB77">
        <f t="shared" si="76"/>
        <v>242.52017296111347</v>
      </c>
      <c r="BC77">
        <f t="shared" si="77"/>
        <v>3.5163729377859484E-2</v>
      </c>
      <c r="BD77">
        <f t="shared" si="78"/>
        <v>-0.43188224066164005</v>
      </c>
      <c r="BE77">
        <f t="shared" si="79"/>
        <v>201.05517914488834</v>
      </c>
      <c r="BF77" t="s">
        <v>734</v>
      </c>
      <c r="BG77">
        <v>591.19000000000005</v>
      </c>
      <c r="BH77">
        <f t="shared" si="80"/>
        <v>591.19000000000005</v>
      </c>
      <c r="BI77">
        <f t="shared" si="81"/>
        <v>0.48766621187496939</v>
      </c>
      <c r="BJ77">
        <f t="shared" si="82"/>
        <v>0.65732484483928832</v>
      </c>
      <c r="BK77">
        <f t="shared" si="83"/>
        <v>-7.7420490378864208</v>
      </c>
      <c r="BL77">
        <f t="shared" si="84"/>
        <v>0.37884319639068836</v>
      </c>
      <c r="BM77">
        <f t="shared" si="85"/>
        <v>-1.0425398406238746</v>
      </c>
      <c r="BN77">
        <f t="shared" si="86"/>
        <v>0.4956542263223056</v>
      </c>
      <c r="BO77">
        <f t="shared" si="87"/>
        <v>0.5043457736776944</v>
      </c>
      <c r="BP77">
        <v>22587</v>
      </c>
      <c r="BQ77">
        <v>290.00000000000011</v>
      </c>
      <c r="BR77">
        <v>1030.29</v>
      </c>
      <c r="BS77">
        <v>295</v>
      </c>
      <c r="BT77">
        <v>8020.4</v>
      </c>
      <c r="BU77">
        <v>1033.42</v>
      </c>
      <c r="BV77">
        <v>-3.13</v>
      </c>
      <c r="BW77">
        <v>300.00000000000011</v>
      </c>
      <c r="BX77">
        <v>19.399999999999999</v>
      </c>
      <c r="BY77">
        <v>1153.915696568748</v>
      </c>
      <c r="BZ77">
        <v>3.8507493358288039</v>
      </c>
      <c r="CA77">
        <v>-96.642424456605283</v>
      </c>
      <c r="CB77">
        <v>2.8370717227689148</v>
      </c>
      <c r="CC77">
        <v>0.97643823576701616</v>
      </c>
      <c r="CD77">
        <v>-4.1417385984427232E-3</v>
      </c>
      <c r="CE77">
        <v>289.99999999999989</v>
      </c>
      <c r="CF77">
        <v>1029.46</v>
      </c>
      <c r="CG77">
        <v>635</v>
      </c>
      <c r="CH77">
        <v>8011.2</v>
      </c>
      <c r="CI77">
        <v>1033.28</v>
      </c>
      <c r="CJ77">
        <v>-3.82</v>
      </c>
      <c r="CX77">
        <f t="shared" si="88"/>
        <v>1799.93</v>
      </c>
      <c r="CY77">
        <f t="shared" si="89"/>
        <v>1513.1261992626385</v>
      </c>
      <c r="CZ77">
        <f t="shared" si="90"/>
        <v>0.8406583585265196</v>
      </c>
      <c r="DA77">
        <f t="shared" si="91"/>
        <v>0.16087063195618287</v>
      </c>
      <c r="DB77">
        <v>6</v>
      </c>
      <c r="DC77">
        <v>0.5</v>
      </c>
      <c r="DD77" t="s">
        <v>421</v>
      </c>
      <c r="DE77">
        <v>2</v>
      </c>
      <c r="DF77">
        <v>1689010944</v>
      </c>
      <c r="DG77">
        <v>337.726</v>
      </c>
      <c r="DH77">
        <v>400.07499999999999</v>
      </c>
      <c r="DI77">
        <v>28.9879</v>
      </c>
      <c r="DJ77">
        <v>22.558</v>
      </c>
      <c r="DK77">
        <v>336.86700000000002</v>
      </c>
      <c r="DL77">
        <v>28.714500000000001</v>
      </c>
      <c r="DM77">
        <v>500.01799999999997</v>
      </c>
      <c r="DN77">
        <v>99.188500000000005</v>
      </c>
      <c r="DO77">
        <v>0.10030799999999999</v>
      </c>
      <c r="DP77">
        <v>30.616700000000002</v>
      </c>
      <c r="DQ77">
        <v>30.080500000000001</v>
      </c>
      <c r="DR77">
        <v>999.9</v>
      </c>
      <c r="DS77">
        <v>0</v>
      </c>
      <c r="DT77">
        <v>0</v>
      </c>
      <c r="DU77">
        <v>9983.75</v>
      </c>
      <c r="DV77">
        <v>0</v>
      </c>
      <c r="DW77">
        <v>2141.84</v>
      </c>
      <c r="DX77">
        <v>-62.349699999999999</v>
      </c>
      <c r="DY77">
        <v>347.80799999999999</v>
      </c>
      <c r="DZ77">
        <v>409.30900000000003</v>
      </c>
      <c r="EA77">
        <v>6.4298500000000001</v>
      </c>
      <c r="EB77">
        <v>400.07499999999999</v>
      </c>
      <c r="EC77">
        <v>22.558</v>
      </c>
      <c r="ED77">
        <v>2.8752599999999999</v>
      </c>
      <c r="EE77">
        <v>2.2374900000000002</v>
      </c>
      <c r="EF77">
        <v>23.322700000000001</v>
      </c>
      <c r="EG77">
        <v>19.2333</v>
      </c>
      <c r="EH77">
        <v>1799.93</v>
      </c>
      <c r="EI77">
        <v>0.97799199999999997</v>
      </c>
      <c r="EJ77">
        <v>2.20085E-2</v>
      </c>
      <c r="EK77">
        <v>0</v>
      </c>
      <c r="EL77">
        <v>783.86800000000005</v>
      </c>
      <c r="EM77">
        <v>5.0011200000000002</v>
      </c>
      <c r="EN77">
        <v>15941.8</v>
      </c>
      <c r="EO77">
        <v>17210.2</v>
      </c>
      <c r="EP77">
        <v>48.125</v>
      </c>
      <c r="EQ77">
        <v>49.75</v>
      </c>
      <c r="ER77">
        <v>49.125</v>
      </c>
      <c r="ES77">
        <v>48.5</v>
      </c>
      <c r="ET77">
        <v>48.875</v>
      </c>
      <c r="EU77">
        <v>1755.43</v>
      </c>
      <c r="EV77">
        <v>39.5</v>
      </c>
      <c r="EW77">
        <v>0</v>
      </c>
      <c r="EX77">
        <v>1454.3999998569491</v>
      </c>
      <c r="EY77">
        <v>0</v>
      </c>
      <c r="EZ77">
        <v>784.02211538461529</v>
      </c>
      <c r="FA77">
        <v>0.83059826731051822</v>
      </c>
      <c r="FB77">
        <v>39.350427438709559</v>
      </c>
      <c r="FC77">
        <v>15936.823076923079</v>
      </c>
      <c r="FD77">
        <v>15</v>
      </c>
      <c r="FE77">
        <v>1689010913</v>
      </c>
      <c r="FF77" t="s">
        <v>735</v>
      </c>
      <c r="FG77">
        <v>1689010906.5</v>
      </c>
      <c r="FH77">
        <v>1689010913</v>
      </c>
      <c r="FI77">
        <v>67</v>
      </c>
      <c r="FJ77">
        <v>0.10299999999999999</v>
      </c>
      <c r="FK77">
        <v>-0.127</v>
      </c>
      <c r="FL77">
        <v>0.95299999999999996</v>
      </c>
      <c r="FM77">
        <v>0.27300000000000002</v>
      </c>
      <c r="FN77">
        <v>400</v>
      </c>
      <c r="FO77">
        <v>22</v>
      </c>
      <c r="FP77">
        <v>0.05</v>
      </c>
      <c r="FQ77">
        <v>0.01</v>
      </c>
      <c r="FR77">
        <v>49.948037276171867</v>
      </c>
      <c r="FS77">
        <v>-7.038421061877613E-2</v>
      </c>
      <c r="FT77">
        <v>6.478551927735067E-2</v>
      </c>
      <c r="FU77">
        <v>1</v>
      </c>
      <c r="FV77">
        <v>0.41010377118583552</v>
      </c>
      <c r="FW77">
        <v>-7.8539612222689736E-3</v>
      </c>
      <c r="FX77">
        <v>2.3024029456321649E-3</v>
      </c>
      <c r="FY77">
        <v>1</v>
      </c>
      <c r="FZ77">
        <v>2</v>
      </c>
      <c r="GA77">
        <v>2</v>
      </c>
      <c r="GB77" t="s">
        <v>423</v>
      </c>
      <c r="GC77">
        <v>2.9255100000000001</v>
      </c>
      <c r="GD77">
        <v>2.8274599999999999</v>
      </c>
      <c r="GE77">
        <v>7.7021000000000006E-2</v>
      </c>
      <c r="GF77">
        <v>8.8387499999999994E-2</v>
      </c>
      <c r="GG77">
        <v>0.127857</v>
      </c>
      <c r="GH77">
        <v>0.10788300000000001</v>
      </c>
      <c r="GI77">
        <v>30151.7</v>
      </c>
      <c r="GJ77">
        <v>24140.3</v>
      </c>
      <c r="GK77">
        <v>31434.7</v>
      </c>
      <c r="GL77">
        <v>26119.3</v>
      </c>
      <c r="GM77">
        <v>37584</v>
      </c>
      <c r="GN77">
        <v>31605.4</v>
      </c>
      <c r="GO77">
        <v>46684.800000000003</v>
      </c>
      <c r="GP77">
        <v>37975.699999999997</v>
      </c>
      <c r="GQ77">
        <v>1.9260999999999999</v>
      </c>
      <c r="GR77">
        <v>1.74102</v>
      </c>
      <c r="GS77">
        <v>-1.1749600000000001E-2</v>
      </c>
      <c r="GT77">
        <v>0</v>
      </c>
      <c r="GU77">
        <v>30.271699999999999</v>
      </c>
      <c r="GV77">
        <v>999.9</v>
      </c>
      <c r="GW77">
        <v>39.299999999999997</v>
      </c>
      <c r="GX77">
        <v>44</v>
      </c>
      <c r="GY77">
        <v>36.265300000000003</v>
      </c>
      <c r="GZ77">
        <v>62.496299999999998</v>
      </c>
      <c r="HA77">
        <v>22.215499999999999</v>
      </c>
      <c r="HB77">
        <v>1</v>
      </c>
      <c r="HC77">
        <v>0.44965699999999997</v>
      </c>
      <c r="HD77">
        <v>3.1128399999999998</v>
      </c>
      <c r="HE77">
        <v>20.266300000000001</v>
      </c>
      <c r="HF77">
        <v>5.2274700000000003</v>
      </c>
      <c r="HG77">
        <v>12.0616</v>
      </c>
      <c r="HH77">
        <v>4.9937500000000004</v>
      </c>
      <c r="HI77">
        <v>3.2919999999999998</v>
      </c>
      <c r="HJ77">
        <v>9999</v>
      </c>
      <c r="HK77">
        <v>9999</v>
      </c>
      <c r="HL77">
        <v>9999</v>
      </c>
      <c r="HM77">
        <v>464.2</v>
      </c>
      <c r="HN77">
        <v>1.8672</v>
      </c>
      <c r="HO77">
        <v>1.87059</v>
      </c>
      <c r="HP77">
        <v>1.8731899999999999</v>
      </c>
      <c r="HQ77">
        <v>1.87408</v>
      </c>
      <c r="HR77">
        <v>1.8708800000000001</v>
      </c>
      <c r="HS77">
        <v>1.8692299999999999</v>
      </c>
      <c r="HT77">
        <v>1.87073</v>
      </c>
      <c r="HU77">
        <v>1.87368</v>
      </c>
      <c r="HV77">
        <v>0</v>
      </c>
      <c r="HW77">
        <v>0</v>
      </c>
      <c r="HX77">
        <v>0</v>
      </c>
      <c r="HY77">
        <v>0</v>
      </c>
      <c r="HZ77" t="s">
        <v>424</v>
      </c>
      <c r="IA77" t="s">
        <v>425</v>
      </c>
      <c r="IB77" t="s">
        <v>426</v>
      </c>
      <c r="IC77" t="s">
        <v>426</v>
      </c>
      <c r="ID77" t="s">
        <v>426</v>
      </c>
      <c r="IE77" t="s">
        <v>426</v>
      </c>
      <c r="IF77">
        <v>0</v>
      </c>
      <c r="IG77">
        <v>100</v>
      </c>
      <c r="IH77">
        <v>100</v>
      </c>
      <c r="II77">
        <v>0.85899999999999999</v>
      </c>
      <c r="IJ77">
        <v>0.27339999999999998</v>
      </c>
      <c r="IK77">
        <v>8.7045282902088433E-2</v>
      </c>
      <c r="IL77">
        <v>3.042515301972944E-3</v>
      </c>
      <c r="IM77">
        <v>-2.5091471490852929E-6</v>
      </c>
      <c r="IN77">
        <v>8.1339755115576286E-10</v>
      </c>
      <c r="IO77">
        <v>0.27336666666666792</v>
      </c>
      <c r="IP77">
        <v>0</v>
      </c>
      <c r="IQ77">
        <v>0</v>
      </c>
      <c r="IR77">
        <v>0</v>
      </c>
      <c r="IS77">
        <v>3</v>
      </c>
      <c r="IT77">
        <v>2004</v>
      </c>
      <c r="IU77">
        <v>2</v>
      </c>
      <c r="IV77">
        <v>22</v>
      </c>
      <c r="IW77">
        <v>0.6</v>
      </c>
      <c r="IX77">
        <v>0.5</v>
      </c>
      <c r="IY77">
        <v>1.02783</v>
      </c>
      <c r="IZ77">
        <v>2.5854499999999998</v>
      </c>
      <c r="JA77">
        <v>1.64917</v>
      </c>
      <c r="JB77">
        <v>2.33765</v>
      </c>
      <c r="JC77">
        <v>1.5991200000000001</v>
      </c>
      <c r="JD77">
        <v>2.34009</v>
      </c>
      <c r="JE77">
        <v>48.117400000000004</v>
      </c>
      <c r="JF77">
        <v>24.017499999999998</v>
      </c>
      <c r="JG77">
        <v>18</v>
      </c>
      <c r="JH77">
        <v>517.49699999999996</v>
      </c>
      <c r="JI77">
        <v>445.09199999999998</v>
      </c>
      <c r="JJ77">
        <v>27.3506</v>
      </c>
      <c r="JK77">
        <v>32.8733</v>
      </c>
      <c r="JL77">
        <v>30.000699999999998</v>
      </c>
      <c r="JM77">
        <v>33.046900000000001</v>
      </c>
      <c r="JN77">
        <v>33.080800000000004</v>
      </c>
      <c r="JO77">
        <v>20.590800000000002</v>
      </c>
      <c r="JP77">
        <v>47.843600000000002</v>
      </c>
      <c r="JQ77">
        <v>0</v>
      </c>
      <c r="JR77">
        <v>27.279399999999999</v>
      </c>
      <c r="JS77">
        <v>400</v>
      </c>
      <c r="JT77">
        <v>22.549399999999999</v>
      </c>
      <c r="JU77">
        <v>99.636600000000001</v>
      </c>
      <c r="JV77">
        <v>99.308700000000002</v>
      </c>
    </row>
    <row r="78" spans="1:282" x14ac:dyDescent="0.25">
      <c r="A78">
        <v>62</v>
      </c>
      <c r="B78">
        <v>1689011044.5</v>
      </c>
      <c r="C78">
        <v>11449.400000095369</v>
      </c>
      <c r="D78" t="s">
        <v>736</v>
      </c>
      <c r="E78" t="s">
        <v>737</v>
      </c>
      <c r="F78" t="s">
        <v>414</v>
      </c>
      <c r="G78" t="s">
        <v>415</v>
      </c>
      <c r="H78" t="s">
        <v>732</v>
      </c>
      <c r="I78" t="s">
        <v>416</v>
      </c>
      <c r="J78" t="s">
        <v>578</v>
      </c>
      <c r="K78">
        <v>1689011044.5</v>
      </c>
      <c r="L78">
        <f t="shared" si="46"/>
        <v>5.5381420959707056E-3</v>
      </c>
      <c r="M78">
        <f t="shared" si="47"/>
        <v>5.5381420959707057</v>
      </c>
      <c r="N78">
        <f t="shared" si="48"/>
        <v>39.906738290643197</v>
      </c>
      <c r="O78">
        <f t="shared" si="49"/>
        <v>250.46</v>
      </c>
      <c r="P78">
        <f t="shared" si="50"/>
        <v>80.726640627471696</v>
      </c>
      <c r="Q78">
        <f t="shared" si="51"/>
        <v>8.0150791344444379</v>
      </c>
      <c r="R78">
        <f t="shared" si="52"/>
        <v>24.867338767096001</v>
      </c>
      <c r="S78">
        <f t="shared" si="53"/>
        <v>0.41046472243601939</v>
      </c>
      <c r="T78">
        <f t="shared" si="54"/>
        <v>2.9160162815427766</v>
      </c>
      <c r="U78">
        <f t="shared" si="55"/>
        <v>0.38085663603483416</v>
      </c>
      <c r="V78">
        <f t="shared" si="56"/>
        <v>0.24051734897372024</v>
      </c>
      <c r="W78">
        <f t="shared" si="57"/>
        <v>289.56545257693961</v>
      </c>
      <c r="X78">
        <f t="shared" si="58"/>
        <v>30.766840782522959</v>
      </c>
      <c r="Y78">
        <f t="shared" si="59"/>
        <v>29.967400000000001</v>
      </c>
      <c r="Z78">
        <f t="shared" si="60"/>
        <v>4.2524785130744585</v>
      </c>
      <c r="AA78">
        <f t="shared" si="61"/>
        <v>65.245761249843454</v>
      </c>
      <c r="AB78">
        <f t="shared" si="62"/>
        <v>2.8604389648892399</v>
      </c>
      <c r="AC78">
        <f t="shared" si="63"/>
        <v>4.3840993040695091</v>
      </c>
      <c r="AD78">
        <f t="shared" si="64"/>
        <v>1.3920395481852186</v>
      </c>
      <c r="AE78">
        <f t="shared" si="65"/>
        <v>-244.2320664323081</v>
      </c>
      <c r="AF78">
        <f t="shared" si="66"/>
        <v>83.571916210015559</v>
      </c>
      <c r="AG78">
        <f t="shared" si="67"/>
        <v>6.3872248395492237</v>
      </c>
      <c r="AH78">
        <f t="shared" si="68"/>
        <v>135.29252719419628</v>
      </c>
      <c r="AI78">
        <v>0</v>
      </c>
      <c r="AJ78">
        <v>0</v>
      </c>
      <c r="AK78">
        <f t="shared" si="69"/>
        <v>1</v>
      </c>
      <c r="AL78">
        <f t="shared" si="70"/>
        <v>0</v>
      </c>
      <c r="AM78">
        <f t="shared" si="71"/>
        <v>51864.446940943613</v>
      </c>
      <c r="AN78" t="s">
        <v>418</v>
      </c>
      <c r="AO78">
        <v>10021</v>
      </c>
      <c r="AP78">
        <v>177.53923076923081</v>
      </c>
      <c r="AQ78">
        <v>655.56</v>
      </c>
      <c r="AR78">
        <f t="shared" si="72"/>
        <v>0.72917928066198234</v>
      </c>
      <c r="AS78">
        <v>-3.1115002560329539</v>
      </c>
      <c r="AT78" t="s">
        <v>738</v>
      </c>
      <c r="AU78">
        <v>8019.1</v>
      </c>
      <c r="AV78">
        <v>783.57692307692298</v>
      </c>
      <c r="AW78">
        <v>1076.435126898255</v>
      </c>
      <c r="AX78">
        <f t="shared" si="73"/>
        <v>0.27206303148541999</v>
      </c>
      <c r="AY78">
        <v>0.5</v>
      </c>
      <c r="AZ78">
        <f t="shared" si="74"/>
        <v>1513.1765992626629</v>
      </c>
      <c r="BA78">
        <f t="shared" si="75"/>
        <v>39.906738290643197</v>
      </c>
      <c r="BB78">
        <f t="shared" si="76"/>
        <v>205.83970638409929</v>
      </c>
      <c r="BC78">
        <f t="shared" si="77"/>
        <v>2.8429093185579249E-2</v>
      </c>
      <c r="BD78">
        <f t="shared" si="78"/>
        <v>-0.39098977391327394</v>
      </c>
      <c r="BE78">
        <f t="shared" si="79"/>
        <v>198.5648967299943</v>
      </c>
      <c r="BF78" t="s">
        <v>739</v>
      </c>
      <c r="BG78">
        <v>580.67999999999995</v>
      </c>
      <c r="BH78">
        <f t="shared" si="80"/>
        <v>580.67999999999995</v>
      </c>
      <c r="BI78">
        <f t="shared" si="81"/>
        <v>0.46055272120928659</v>
      </c>
      <c r="BJ78">
        <f t="shared" si="82"/>
        <v>0.59073156873561894</v>
      </c>
      <c r="BK78">
        <f t="shared" si="83"/>
        <v>-5.6206614169104583</v>
      </c>
      <c r="BL78">
        <f t="shared" si="84"/>
        <v>0.32579768700968265</v>
      </c>
      <c r="BM78">
        <f t="shared" si="85"/>
        <v>-0.88045364132509807</v>
      </c>
      <c r="BN78">
        <f t="shared" si="86"/>
        <v>0.43776941003624303</v>
      </c>
      <c r="BO78">
        <f t="shared" si="87"/>
        <v>0.56223058996375697</v>
      </c>
      <c r="BP78">
        <v>22589</v>
      </c>
      <c r="BQ78">
        <v>290.00000000000011</v>
      </c>
      <c r="BR78">
        <v>985.75</v>
      </c>
      <c r="BS78">
        <v>295</v>
      </c>
      <c r="BT78">
        <v>8019.1</v>
      </c>
      <c r="BU78">
        <v>987.37</v>
      </c>
      <c r="BV78">
        <v>-1.62</v>
      </c>
      <c r="BW78">
        <v>300.00000000000011</v>
      </c>
      <c r="BX78">
        <v>19.399999999999999</v>
      </c>
      <c r="BY78">
        <v>1076.435126898255</v>
      </c>
      <c r="BZ78">
        <v>3.4623475879454499</v>
      </c>
      <c r="CA78">
        <v>-71.420999598322979</v>
      </c>
      <c r="CB78">
        <v>2.5504967291948422</v>
      </c>
      <c r="CC78">
        <v>0.96552385236306337</v>
      </c>
      <c r="CD78">
        <v>-4.1410614015572906E-3</v>
      </c>
      <c r="CE78">
        <v>289.99999999999989</v>
      </c>
      <c r="CF78">
        <v>986.58</v>
      </c>
      <c r="CG78">
        <v>655</v>
      </c>
      <c r="CH78">
        <v>8009.27</v>
      </c>
      <c r="CI78">
        <v>987.26</v>
      </c>
      <c r="CJ78">
        <v>-0.68</v>
      </c>
      <c r="CX78">
        <f t="shared" si="88"/>
        <v>1799.99</v>
      </c>
      <c r="CY78">
        <f t="shared" si="89"/>
        <v>1513.1765992626629</v>
      </c>
      <c r="CZ78">
        <f t="shared" si="90"/>
        <v>0.8406583365811271</v>
      </c>
      <c r="DA78">
        <f t="shared" si="91"/>
        <v>0.16087058960157535</v>
      </c>
      <c r="DB78">
        <v>6</v>
      </c>
      <c r="DC78">
        <v>0.5</v>
      </c>
      <c r="DD78" t="s">
        <v>421</v>
      </c>
      <c r="DE78">
        <v>2</v>
      </c>
      <c r="DF78">
        <v>1689011044.5</v>
      </c>
      <c r="DG78">
        <v>250.46</v>
      </c>
      <c r="DH78">
        <v>300.01100000000002</v>
      </c>
      <c r="DI78">
        <v>28.809899999999999</v>
      </c>
      <c r="DJ78">
        <v>22.355799999999999</v>
      </c>
      <c r="DK78">
        <v>249.827</v>
      </c>
      <c r="DL78">
        <v>28.546199999999999</v>
      </c>
      <c r="DM78">
        <v>500.01600000000002</v>
      </c>
      <c r="DN78">
        <v>99.186899999999994</v>
      </c>
      <c r="DO78">
        <v>9.9767599999999998E-2</v>
      </c>
      <c r="DP78">
        <v>30.498999999999999</v>
      </c>
      <c r="DQ78">
        <v>29.967400000000001</v>
      </c>
      <c r="DR78">
        <v>999.9</v>
      </c>
      <c r="DS78">
        <v>0</v>
      </c>
      <c r="DT78">
        <v>0</v>
      </c>
      <c r="DU78">
        <v>10004.4</v>
      </c>
      <c r="DV78">
        <v>0</v>
      </c>
      <c r="DW78">
        <v>2180.89</v>
      </c>
      <c r="DX78">
        <v>-49.551400000000001</v>
      </c>
      <c r="DY78">
        <v>257.89</v>
      </c>
      <c r="DZ78">
        <v>306.87200000000001</v>
      </c>
      <c r="EA78">
        <v>6.4541000000000004</v>
      </c>
      <c r="EB78">
        <v>300.01100000000002</v>
      </c>
      <c r="EC78">
        <v>22.355799999999999</v>
      </c>
      <c r="ED78">
        <v>2.8575599999999999</v>
      </c>
      <c r="EE78">
        <v>2.2174</v>
      </c>
      <c r="EF78">
        <v>23.220400000000001</v>
      </c>
      <c r="EG78">
        <v>19.0886</v>
      </c>
      <c r="EH78">
        <v>1799.99</v>
      </c>
      <c r="EI78">
        <v>0.97799499999999995</v>
      </c>
      <c r="EJ78">
        <v>2.2004800000000001E-2</v>
      </c>
      <c r="EK78">
        <v>0</v>
      </c>
      <c r="EL78">
        <v>783.07100000000003</v>
      </c>
      <c r="EM78">
        <v>5.0011200000000002</v>
      </c>
      <c r="EN78">
        <v>15935.2</v>
      </c>
      <c r="EO78">
        <v>17210.8</v>
      </c>
      <c r="EP78">
        <v>48.186999999999998</v>
      </c>
      <c r="EQ78">
        <v>49.875</v>
      </c>
      <c r="ER78">
        <v>49.186999999999998</v>
      </c>
      <c r="ES78">
        <v>48.686999999999998</v>
      </c>
      <c r="ET78">
        <v>48.625</v>
      </c>
      <c r="EU78">
        <v>1755.49</v>
      </c>
      <c r="EV78">
        <v>39.5</v>
      </c>
      <c r="EW78">
        <v>0</v>
      </c>
      <c r="EX78">
        <v>98.599999904632568</v>
      </c>
      <c r="EY78">
        <v>0</v>
      </c>
      <c r="EZ78">
        <v>783.57692307692298</v>
      </c>
      <c r="FA78">
        <v>-4.0038290493987434</v>
      </c>
      <c r="FB78">
        <v>-126.62222210529021</v>
      </c>
      <c r="FC78">
        <v>15953.41923076923</v>
      </c>
      <c r="FD78">
        <v>15</v>
      </c>
      <c r="FE78">
        <v>1689011015</v>
      </c>
      <c r="FF78" t="s">
        <v>740</v>
      </c>
      <c r="FG78">
        <v>1689011015</v>
      </c>
      <c r="FH78">
        <v>1689011014</v>
      </c>
      <c r="FI78">
        <v>68</v>
      </c>
      <c r="FJ78">
        <v>-7.0000000000000007E-2</v>
      </c>
      <c r="FK78">
        <v>-0.01</v>
      </c>
      <c r="FL78">
        <v>0.72399999999999998</v>
      </c>
      <c r="FM78">
        <v>0.26400000000000001</v>
      </c>
      <c r="FN78">
        <v>300</v>
      </c>
      <c r="FO78">
        <v>22</v>
      </c>
      <c r="FP78">
        <v>7.0000000000000007E-2</v>
      </c>
      <c r="FQ78">
        <v>0.02</v>
      </c>
      <c r="FR78">
        <v>39.729331251568681</v>
      </c>
      <c r="FS78">
        <v>-0.35272582705455929</v>
      </c>
      <c r="FT78">
        <v>9.5385310910658161E-2</v>
      </c>
      <c r="FU78">
        <v>1</v>
      </c>
      <c r="FV78">
        <v>0.41528729120674279</v>
      </c>
      <c r="FW78">
        <v>4.6003756888436227E-2</v>
      </c>
      <c r="FX78">
        <v>8.5024053146042725E-3</v>
      </c>
      <c r="FY78">
        <v>1</v>
      </c>
      <c r="FZ78">
        <v>2</v>
      </c>
      <c r="GA78">
        <v>2</v>
      </c>
      <c r="GB78" t="s">
        <v>423</v>
      </c>
      <c r="GC78">
        <v>2.9254199999999999</v>
      </c>
      <c r="GD78">
        <v>2.8271000000000002</v>
      </c>
      <c r="GE78">
        <v>6.0108500000000002E-2</v>
      </c>
      <c r="GF78">
        <v>7.0249099999999995E-2</v>
      </c>
      <c r="GG78">
        <v>0.127328</v>
      </c>
      <c r="GH78">
        <v>0.107197</v>
      </c>
      <c r="GI78">
        <v>30699</v>
      </c>
      <c r="GJ78">
        <v>24617.3</v>
      </c>
      <c r="GK78">
        <v>31430</v>
      </c>
      <c r="GL78">
        <v>26116.3</v>
      </c>
      <c r="GM78">
        <v>37600.699999999997</v>
      </c>
      <c r="GN78">
        <v>31625.5</v>
      </c>
      <c r="GO78">
        <v>46677.2</v>
      </c>
      <c r="GP78">
        <v>37970.800000000003</v>
      </c>
      <c r="GQ78">
        <v>1.9252800000000001</v>
      </c>
      <c r="GR78">
        <v>1.7384999999999999</v>
      </c>
      <c r="GS78">
        <v>-7.1339300000000001E-3</v>
      </c>
      <c r="GT78">
        <v>0</v>
      </c>
      <c r="GU78">
        <v>30.083500000000001</v>
      </c>
      <c r="GV78">
        <v>999.9</v>
      </c>
      <c r="GW78">
        <v>39.299999999999997</v>
      </c>
      <c r="GX78">
        <v>44.1</v>
      </c>
      <c r="GY78">
        <v>36.455100000000002</v>
      </c>
      <c r="GZ78">
        <v>62.576300000000003</v>
      </c>
      <c r="HA78">
        <v>22.211500000000001</v>
      </c>
      <c r="HB78">
        <v>1</v>
      </c>
      <c r="HC78">
        <v>0.450762</v>
      </c>
      <c r="HD78">
        <v>1.5971</v>
      </c>
      <c r="HE78">
        <v>20.287700000000001</v>
      </c>
      <c r="HF78">
        <v>5.2235800000000001</v>
      </c>
      <c r="HG78">
        <v>12.058299999999999</v>
      </c>
      <c r="HH78">
        <v>4.9916999999999998</v>
      </c>
      <c r="HI78">
        <v>3.2919999999999998</v>
      </c>
      <c r="HJ78">
        <v>9999</v>
      </c>
      <c r="HK78">
        <v>9999</v>
      </c>
      <c r="HL78">
        <v>9999</v>
      </c>
      <c r="HM78">
        <v>464.2</v>
      </c>
      <c r="HN78">
        <v>1.8671199999999999</v>
      </c>
      <c r="HO78">
        <v>1.8705700000000001</v>
      </c>
      <c r="HP78">
        <v>1.87317</v>
      </c>
      <c r="HQ78">
        <v>1.87408</v>
      </c>
      <c r="HR78">
        <v>1.8708800000000001</v>
      </c>
      <c r="HS78">
        <v>1.8692</v>
      </c>
      <c r="HT78">
        <v>1.87073</v>
      </c>
      <c r="HU78">
        <v>1.8736299999999999</v>
      </c>
      <c r="HV78">
        <v>0</v>
      </c>
      <c r="HW78">
        <v>0</v>
      </c>
      <c r="HX78">
        <v>0</v>
      </c>
      <c r="HY78">
        <v>0</v>
      </c>
      <c r="HZ78" t="s">
        <v>424</v>
      </c>
      <c r="IA78" t="s">
        <v>425</v>
      </c>
      <c r="IB78" t="s">
        <v>426</v>
      </c>
      <c r="IC78" t="s">
        <v>426</v>
      </c>
      <c r="ID78" t="s">
        <v>426</v>
      </c>
      <c r="IE78" t="s">
        <v>426</v>
      </c>
      <c r="IF78">
        <v>0</v>
      </c>
      <c r="IG78">
        <v>100</v>
      </c>
      <c r="IH78">
        <v>100</v>
      </c>
      <c r="II78">
        <v>0.63300000000000001</v>
      </c>
      <c r="IJ78">
        <v>0.26369999999999999</v>
      </c>
      <c r="IK78">
        <v>1.7030879273505641E-2</v>
      </c>
      <c r="IL78">
        <v>3.042515301972944E-3</v>
      </c>
      <c r="IM78">
        <v>-2.5091471490852929E-6</v>
      </c>
      <c r="IN78">
        <v>8.1339755115576286E-10</v>
      </c>
      <c r="IO78">
        <v>0.26368000000000441</v>
      </c>
      <c r="IP78">
        <v>0</v>
      </c>
      <c r="IQ78">
        <v>0</v>
      </c>
      <c r="IR78">
        <v>0</v>
      </c>
      <c r="IS78">
        <v>3</v>
      </c>
      <c r="IT78">
        <v>2004</v>
      </c>
      <c r="IU78">
        <v>2</v>
      </c>
      <c r="IV78">
        <v>22</v>
      </c>
      <c r="IW78">
        <v>0.5</v>
      </c>
      <c r="IX78">
        <v>0.5</v>
      </c>
      <c r="IY78">
        <v>0.81542999999999999</v>
      </c>
      <c r="IZ78">
        <v>2.5952099999999998</v>
      </c>
      <c r="JA78">
        <v>1.64917</v>
      </c>
      <c r="JB78">
        <v>2.33887</v>
      </c>
      <c r="JC78">
        <v>1.5991200000000001</v>
      </c>
      <c r="JD78">
        <v>2.2168000000000001</v>
      </c>
      <c r="JE78">
        <v>48.209000000000003</v>
      </c>
      <c r="JF78">
        <v>24.043700000000001</v>
      </c>
      <c r="JG78">
        <v>18</v>
      </c>
      <c r="JH78">
        <v>517.16</v>
      </c>
      <c r="JI78">
        <v>443.54300000000001</v>
      </c>
      <c r="JJ78">
        <v>28.1386</v>
      </c>
      <c r="JK78">
        <v>32.941800000000001</v>
      </c>
      <c r="JL78">
        <v>30.000499999999999</v>
      </c>
      <c r="JM78">
        <v>33.073399999999999</v>
      </c>
      <c r="JN78">
        <v>33.095399999999998</v>
      </c>
      <c r="JO78">
        <v>16.328499999999998</v>
      </c>
      <c r="JP78">
        <v>48.397199999999998</v>
      </c>
      <c r="JQ78">
        <v>0</v>
      </c>
      <c r="JR78">
        <v>28.143899999999999</v>
      </c>
      <c r="JS78">
        <v>300</v>
      </c>
      <c r="JT78">
        <v>22.294599999999999</v>
      </c>
      <c r="JU78">
        <v>99.620900000000006</v>
      </c>
      <c r="JV78">
        <v>99.296400000000006</v>
      </c>
    </row>
    <row r="79" spans="1:282" x14ac:dyDescent="0.25">
      <c r="A79">
        <v>63</v>
      </c>
      <c r="B79">
        <v>1689011148</v>
      </c>
      <c r="C79">
        <v>11552.900000095369</v>
      </c>
      <c r="D79" t="s">
        <v>741</v>
      </c>
      <c r="E79" t="s">
        <v>742</v>
      </c>
      <c r="F79" t="s">
        <v>414</v>
      </c>
      <c r="G79" t="s">
        <v>415</v>
      </c>
      <c r="H79" t="s">
        <v>732</v>
      </c>
      <c r="I79" t="s">
        <v>416</v>
      </c>
      <c r="J79" t="s">
        <v>578</v>
      </c>
      <c r="K79">
        <v>1689011148</v>
      </c>
      <c r="L79">
        <f t="shared" si="46"/>
        <v>6.155182621670004E-3</v>
      </c>
      <c r="M79">
        <f t="shared" si="47"/>
        <v>6.1551826216700043</v>
      </c>
      <c r="N79">
        <f t="shared" si="48"/>
        <v>29.235464731664681</v>
      </c>
      <c r="O79">
        <f t="shared" si="49"/>
        <v>163.90899999999999</v>
      </c>
      <c r="P79">
        <f t="shared" si="50"/>
        <v>56.004821295930476</v>
      </c>
      <c r="Q79">
        <f t="shared" si="51"/>
        <v>5.5607382521555691</v>
      </c>
      <c r="R79">
        <f t="shared" si="52"/>
        <v>16.274581814240996</v>
      </c>
      <c r="S79">
        <f t="shared" si="53"/>
        <v>0.47794037895326219</v>
      </c>
      <c r="T79">
        <f t="shared" si="54"/>
        <v>2.9139939966079123</v>
      </c>
      <c r="U79">
        <f t="shared" si="55"/>
        <v>0.43827610068782641</v>
      </c>
      <c r="V79">
        <f t="shared" si="56"/>
        <v>0.27721141068366656</v>
      </c>
      <c r="W79">
        <f t="shared" si="57"/>
        <v>289.58300857702659</v>
      </c>
      <c r="X79">
        <f t="shared" si="58"/>
        <v>30.627339842658589</v>
      </c>
      <c r="Y79">
        <f t="shared" si="59"/>
        <v>29.953099999999999</v>
      </c>
      <c r="Z79">
        <f t="shared" si="60"/>
        <v>4.2489860210200483</v>
      </c>
      <c r="AA79">
        <f t="shared" si="61"/>
        <v>66.177189412165376</v>
      </c>
      <c r="AB79">
        <f t="shared" si="62"/>
        <v>2.9047788761346003</v>
      </c>
      <c r="AC79">
        <f t="shared" si="63"/>
        <v>4.3893959564269638</v>
      </c>
      <c r="AD79">
        <f t="shared" si="64"/>
        <v>1.344207144885448</v>
      </c>
      <c r="AE79">
        <f t="shared" si="65"/>
        <v>-271.4435536156472</v>
      </c>
      <c r="AF79">
        <f t="shared" si="66"/>
        <v>89.075271543686341</v>
      </c>
      <c r="AG79">
        <f t="shared" si="67"/>
        <v>6.8127891051386085</v>
      </c>
      <c r="AH79">
        <f t="shared" si="68"/>
        <v>114.02751561020435</v>
      </c>
      <c r="AI79">
        <v>0</v>
      </c>
      <c r="AJ79">
        <v>0</v>
      </c>
      <c r="AK79">
        <f t="shared" si="69"/>
        <v>1</v>
      </c>
      <c r="AL79">
        <f t="shared" si="70"/>
        <v>0</v>
      </c>
      <c r="AM79">
        <f t="shared" si="71"/>
        <v>51803.447466409052</v>
      </c>
      <c r="AN79" t="s">
        <v>418</v>
      </c>
      <c r="AO79">
        <v>10021</v>
      </c>
      <c r="AP79">
        <v>177.53923076923081</v>
      </c>
      <c r="AQ79">
        <v>655.56</v>
      </c>
      <c r="AR79">
        <f t="shared" si="72"/>
        <v>0.72917928066198234</v>
      </c>
      <c r="AS79">
        <v>-3.1115002560329539</v>
      </c>
      <c r="AT79" t="s">
        <v>743</v>
      </c>
      <c r="AU79">
        <v>8018.86</v>
      </c>
      <c r="AV79">
        <v>796.22142307692309</v>
      </c>
      <c r="AW79">
        <v>1016.265262586717</v>
      </c>
      <c r="AX79">
        <f t="shared" si="73"/>
        <v>0.21652205148655046</v>
      </c>
      <c r="AY79">
        <v>0.5</v>
      </c>
      <c r="AZ79">
        <f t="shared" si="74"/>
        <v>1513.2689992627081</v>
      </c>
      <c r="BA79">
        <f t="shared" si="75"/>
        <v>29.235464731664681</v>
      </c>
      <c r="BB79">
        <f t="shared" si="76"/>
        <v>163.82805408568038</v>
      </c>
      <c r="BC79">
        <f t="shared" si="77"/>
        <v>2.1375555174564242E-2</v>
      </c>
      <c r="BD79">
        <f t="shared" si="78"/>
        <v>-0.35493219719879815</v>
      </c>
      <c r="BE79">
        <f t="shared" si="79"/>
        <v>196.41967810526307</v>
      </c>
      <c r="BF79" t="s">
        <v>744</v>
      </c>
      <c r="BG79">
        <v>574.37</v>
      </c>
      <c r="BH79">
        <f t="shared" si="80"/>
        <v>574.37</v>
      </c>
      <c r="BI79">
        <f t="shared" si="81"/>
        <v>0.43482275627718847</v>
      </c>
      <c r="BJ79">
        <f t="shared" si="82"/>
        <v>0.49795473755868286</v>
      </c>
      <c r="BK79">
        <f t="shared" si="83"/>
        <v>-4.4427301710397495</v>
      </c>
      <c r="BL79">
        <f t="shared" si="84"/>
        <v>0.26235484671075199</v>
      </c>
      <c r="BM79">
        <f t="shared" si="85"/>
        <v>-0.75458073331659592</v>
      </c>
      <c r="BN79">
        <f t="shared" si="86"/>
        <v>0.35920945395606263</v>
      </c>
      <c r="BO79">
        <f t="shared" si="87"/>
        <v>0.64079054604393737</v>
      </c>
      <c r="BP79">
        <v>22591</v>
      </c>
      <c r="BQ79">
        <v>290.00000000000011</v>
      </c>
      <c r="BR79">
        <v>954.96</v>
      </c>
      <c r="BS79">
        <v>285</v>
      </c>
      <c r="BT79">
        <v>8018.86</v>
      </c>
      <c r="BU79">
        <v>956.39</v>
      </c>
      <c r="BV79">
        <v>-1.43</v>
      </c>
      <c r="BW79">
        <v>300.00000000000011</v>
      </c>
      <c r="BX79">
        <v>19.399999999999999</v>
      </c>
      <c r="BY79">
        <v>1016.265262586717</v>
      </c>
      <c r="BZ79">
        <v>3.3614320407240639</v>
      </c>
      <c r="CA79">
        <v>-48.0125576567604</v>
      </c>
      <c r="CB79">
        <v>2.4760868350993839</v>
      </c>
      <c r="CC79">
        <v>0.93069159834525927</v>
      </c>
      <c r="CD79">
        <v>-4.1408596218020094E-3</v>
      </c>
      <c r="CE79">
        <v>289.99999999999989</v>
      </c>
      <c r="CF79">
        <v>956.62</v>
      </c>
      <c r="CG79">
        <v>655</v>
      </c>
      <c r="CH79">
        <v>8009</v>
      </c>
      <c r="CI79">
        <v>956.32</v>
      </c>
      <c r="CJ79">
        <v>0.3</v>
      </c>
      <c r="CX79">
        <f t="shared" si="88"/>
        <v>1800.1</v>
      </c>
      <c r="CY79">
        <f t="shared" si="89"/>
        <v>1513.2689992627081</v>
      </c>
      <c r="CZ79">
        <f t="shared" si="90"/>
        <v>0.84065829635170719</v>
      </c>
      <c r="DA79">
        <f t="shared" si="91"/>
        <v>0.16087051195879484</v>
      </c>
      <c r="DB79">
        <v>6</v>
      </c>
      <c r="DC79">
        <v>0.5</v>
      </c>
      <c r="DD79" t="s">
        <v>421</v>
      </c>
      <c r="DE79">
        <v>2</v>
      </c>
      <c r="DF79">
        <v>1689011148</v>
      </c>
      <c r="DG79">
        <v>163.90899999999999</v>
      </c>
      <c r="DH79">
        <v>200.197</v>
      </c>
      <c r="DI79">
        <v>29.255400000000002</v>
      </c>
      <c r="DJ79">
        <v>22.086300000000001</v>
      </c>
      <c r="DK79">
        <v>163.577</v>
      </c>
      <c r="DL79">
        <v>28.984999999999999</v>
      </c>
      <c r="DM79">
        <v>500.072</v>
      </c>
      <c r="DN79">
        <v>99.190299999999993</v>
      </c>
      <c r="DO79">
        <v>0.100049</v>
      </c>
      <c r="DP79">
        <v>30.520099999999999</v>
      </c>
      <c r="DQ79">
        <v>29.953099999999999</v>
      </c>
      <c r="DR79">
        <v>999.9</v>
      </c>
      <c r="DS79">
        <v>0</v>
      </c>
      <c r="DT79">
        <v>0</v>
      </c>
      <c r="DU79">
        <v>9992.5</v>
      </c>
      <c r="DV79">
        <v>0</v>
      </c>
      <c r="DW79">
        <v>2204.92</v>
      </c>
      <c r="DX79">
        <v>-36.287999999999997</v>
      </c>
      <c r="DY79">
        <v>168.84899999999999</v>
      </c>
      <c r="DZ79">
        <v>204.71899999999999</v>
      </c>
      <c r="EA79">
        <v>7.16906</v>
      </c>
      <c r="EB79">
        <v>200.197</v>
      </c>
      <c r="EC79">
        <v>22.086300000000001</v>
      </c>
      <c r="ED79">
        <v>2.90185</v>
      </c>
      <c r="EE79">
        <v>2.19075</v>
      </c>
      <c r="EF79">
        <v>23.475200000000001</v>
      </c>
      <c r="EG79">
        <v>18.8948</v>
      </c>
      <c r="EH79">
        <v>1800.1</v>
      </c>
      <c r="EI79">
        <v>0.97799499999999995</v>
      </c>
      <c r="EJ79">
        <v>2.2004800000000001E-2</v>
      </c>
      <c r="EK79">
        <v>0</v>
      </c>
      <c r="EL79">
        <v>796.25800000000004</v>
      </c>
      <c r="EM79">
        <v>5.0011200000000002</v>
      </c>
      <c r="EN79">
        <v>16195.2</v>
      </c>
      <c r="EO79">
        <v>17211.8</v>
      </c>
      <c r="EP79">
        <v>48.25</v>
      </c>
      <c r="EQ79">
        <v>50.186999999999998</v>
      </c>
      <c r="ER79">
        <v>49.375</v>
      </c>
      <c r="ES79">
        <v>48.875</v>
      </c>
      <c r="ET79">
        <v>48.75</v>
      </c>
      <c r="EU79">
        <v>1755.6</v>
      </c>
      <c r="EV79">
        <v>39.5</v>
      </c>
      <c r="EW79">
        <v>0</v>
      </c>
      <c r="EX79">
        <v>101.5999999046326</v>
      </c>
      <c r="EY79">
        <v>0</v>
      </c>
      <c r="EZ79">
        <v>796.22142307692309</v>
      </c>
      <c r="FA79">
        <v>-1.980341875974539</v>
      </c>
      <c r="FB79">
        <v>-32.499145435343323</v>
      </c>
      <c r="FC79">
        <v>16197.42307692308</v>
      </c>
      <c r="FD79">
        <v>15</v>
      </c>
      <c r="FE79">
        <v>1689011120</v>
      </c>
      <c r="FF79" t="s">
        <v>745</v>
      </c>
      <c r="FG79">
        <v>1689011120</v>
      </c>
      <c r="FH79">
        <v>1689011120</v>
      </c>
      <c r="FI79">
        <v>69</v>
      </c>
      <c r="FJ79">
        <v>-0.11899999999999999</v>
      </c>
      <c r="FK79">
        <v>7.0000000000000001E-3</v>
      </c>
      <c r="FL79">
        <v>0.41099999999999998</v>
      </c>
      <c r="FM79">
        <v>0.27</v>
      </c>
      <c r="FN79">
        <v>200</v>
      </c>
      <c r="FO79">
        <v>22</v>
      </c>
      <c r="FP79">
        <v>0.09</v>
      </c>
      <c r="FQ79">
        <v>0.01</v>
      </c>
      <c r="FR79">
        <v>29.121585306245411</v>
      </c>
      <c r="FS79">
        <v>-0.21377013281952109</v>
      </c>
      <c r="FT79">
        <v>9.2346871219544255E-2</v>
      </c>
      <c r="FU79">
        <v>1</v>
      </c>
      <c r="FV79">
        <v>0.46437971651647469</v>
      </c>
      <c r="FW79">
        <v>4.983330539329358E-2</v>
      </c>
      <c r="FX79">
        <v>5.7602371295126468E-3</v>
      </c>
      <c r="FY79">
        <v>1</v>
      </c>
      <c r="FZ79">
        <v>2</v>
      </c>
      <c r="GA79">
        <v>2</v>
      </c>
      <c r="GB79" t="s">
        <v>423</v>
      </c>
      <c r="GC79">
        <v>2.9254799999999999</v>
      </c>
      <c r="GD79">
        <v>2.82728</v>
      </c>
      <c r="GE79">
        <v>4.1272499999999997E-2</v>
      </c>
      <c r="GF79">
        <v>4.9680200000000001E-2</v>
      </c>
      <c r="GG79">
        <v>0.128668</v>
      </c>
      <c r="GH79">
        <v>0.10628</v>
      </c>
      <c r="GI79">
        <v>31307.200000000001</v>
      </c>
      <c r="GJ79">
        <v>25157.1</v>
      </c>
      <c r="GK79">
        <v>31423.599999999999</v>
      </c>
      <c r="GL79">
        <v>26112.400000000001</v>
      </c>
      <c r="GM79">
        <v>37535.300000000003</v>
      </c>
      <c r="GN79">
        <v>31653.3</v>
      </c>
      <c r="GO79">
        <v>46668</v>
      </c>
      <c r="GP79">
        <v>37965.199999999997</v>
      </c>
      <c r="GQ79">
        <v>1.92455</v>
      </c>
      <c r="GR79">
        <v>1.7356199999999999</v>
      </c>
      <c r="GS79">
        <v>-2.7589499999999999E-2</v>
      </c>
      <c r="GT79">
        <v>0</v>
      </c>
      <c r="GU79">
        <v>30.402000000000001</v>
      </c>
      <c r="GV79">
        <v>999.9</v>
      </c>
      <c r="GW79">
        <v>39.200000000000003</v>
      </c>
      <c r="GX79">
        <v>44.2</v>
      </c>
      <c r="GY79">
        <v>36.548200000000001</v>
      </c>
      <c r="GZ79">
        <v>62.526299999999999</v>
      </c>
      <c r="HA79">
        <v>22.095400000000001</v>
      </c>
      <c r="HB79">
        <v>1</v>
      </c>
      <c r="HC79">
        <v>0.46545500000000001</v>
      </c>
      <c r="HD79">
        <v>2.6849099999999999</v>
      </c>
      <c r="HE79">
        <v>20.264600000000002</v>
      </c>
      <c r="HF79">
        <v>5.2201399999999998</v>
      </c>
      <c r="HG79">
        <v>12.0601</v>
      </c>
      <c r="HH79">
        <v>4.99085</v>
      </c>
      <c r="HI79">
        <v>3.2912499999999998</v>
      </c>
      <c r="HJ79">
        <v>9999</v>
      </c>
      <c r="HK79">
        <v>9999</v>
      </c>
      <c r="HL79">
        <v>9999</v>
      </c>
      <c r="HM79">
        <v>464.2</v>
      </c>
      <c r="HN79">
        <v>1.8670800000000001</v>
      </c>
      <c r="HO79">
        <v>1.8705700000000001</v>
      </c>
      <c r="HP79">
        <v>1.87317</v>
      </c>
      <c r="HQ79">
        <v>1.87408</v>
      </c>
      <c r="HR79">
        <v>1.87087</v>
      </c>
      <c r="HS79">
        <v>1.8692</v>
      </c>
      <c r="HT79">
        <v>1.8707100000000001</v>
      </c>
      <c r="HU79">
        <v>1.8736299999999999</v>
      </c>
      <c r="HV79">
        <v>0</v>
      </c>
      <c r="HW79">
        <v>0</v>
      </c>
      <c r="HX79">
        <v>0</v>
      </c>
      <c r="HY79">
        <v>0</v>
      </c>
      <c r="HZ79" t="s">
        <v>424</v>
      </c>
      <c r="IA79" t="s">
        <v>425</v>
      </c>
      <c r="IB79" t="s">
        <v>426</v>
      </c>
      <c r="IC79" t="s">
        <v>426</v>
      </c>
      <c r="ID79" t="s">
        <v>426</v>
      </c>
      <c r="IE79" t="s">
        <v>426</v>
      </c>
      <c r="IF79">
        <v>0</v>
      </c>
      <c r="IG79">
        <v>100</v>
      </c>
      <c r="IH79">
        <v>100</v>
      </c>
      <c r="II79">
        <v>0.33200000000000002</v>
      </c>
      <c r="IJ79">
        <v>0.27039999999999997</v>
      </c>
      <c r="IK79">
        <v>-0.1020874722191847</v>
      </c>
      <c r="IL79">
        <v>3.042515301972944E-3</v>
      </c>
      <c r="IM79">
        <v>-2.5091471490852929E-6</v>
      </c>
      <c r="IN79">
        <v>8.1339755115576286E-10</v>
      </c>
      <c r="IO79">
        <v>0.27034499999999889</v>
      </c>
      <c r="IP79">
        <v>0</v>
      </c>
      <c r="IQ79">
        <v>0</v>
      </c>
      <c r="IR79">
        <v>0</v>
      </c>
      <c r="IS79">
        <v>3</v>
      </c>
      <c r="IT79">
        <v>2004</v>
      </c>
      <c r="IU79">
        <v>2</v>
      </c>
      <c r="IV79">
        <v>22</v>
      </c>
      <c r="IW79">
        <v>0.5</v>
      </c>
      <c r="IX79">
        <v>0.5</v>
      </c>
      <c r="IY79">
        <v>0.59204100000000004</v>
      </c>
      <c r="IZ79">
        <v>2.5915499999999998</v>
      </c>
      <c r="JA79">
        <v>1.64917</v>
      </c>
      <c r="JB79">
        <v>2.33887</v>
      </c>
      <c r="JC79">
        <v>1.5991200000000001</v>
      </c>
      <c r="JD79">
        <v>2.32056</v>
      </c>
      <c r="JE79">
        <v>48.300899999999999</v>
      </c>
      <c r="JF79">
        <v>24.07</v>
      </c>
      <c r="JG79">
        <v>18</v>
      </c>
      <c r="JH79">
        <v>517.06799999999998</v>
      </c>
      <c r="JI79">
        <v>441.97699999999998</v>
      </c>
      <c r="JJ79">
        <v>26.6432</v>
      </c>
      <c r="JK79">
        <v>33.019199999999998</v>
      </c>
      <c r="JL79">
        <v>29.9998</v>
      </c>
      <c r="JM79">
        <v>33.122900000000001</v>
      </c>
      <c r="JN79">
        <v>33.1387</v>
      </c>
      <c r="JO79">
        <v>11.8751</v>
      </c>
      <c r="JP79">
        <v>49.402900000000002</v>
      </c>
      <c r="JQ79">
        <v>0</v>
      </c>
      <c r="JR79">
        <v>27.422599999999999</v>
      </c>
      <c r="JS79">
        <v>200</v>
      </c>
      <c r="JT79">
        <v>21.922899999999998</v>
      </c>
      <c r="JU79">
        <v>99.601100000000002</v>
      </c>
      <c r="JV79">
        <v>99.281599999999997</v>
      </c>
    </row>
    <row r="80" spans="1:282" x14ac:dyDescent="0.25">
      <c r="A80">
        <v>64</v>
      </c>
      <c r="B80">
        <v>1689011272.5</v>
      </c>
      <c r="C80">
        <v>11677.400000095369</v>
      </c>
      <c r="D80" t="s">
        <v>746</v>
      </c>
      <c r="E80" t="s">
        <v>747</v>
      </c>
      <c r="F80" t="s">
        <v>414</v>
      </c>
      <c r="G80" t="s">
        <v>415</v>
      </c>
      <c r="H80" t="s">
        <v>732</v>
      </c>
      <c r="I80" t="s">
        <v>416</v>
      </c>
      <c r="J80" t="s">
        <v>578</v>
      </c>
      <c r="K80">
        <v>1689011272.5</v>
      </c>
      <c r="L80">
        <f t="shared" si="46"/>
        <v>6.5202037970732186E-3</v>
      </c>
      <c r="M80">
        <f t="shared" si="47"/>
        <v>6.5202037970732185</v>
      </c>
      <c r="N80">
        <f t="shared" si="48"/>
        <v>18.229122025088852</v>
      </c>
      <c r="O80">
        <f t="shared" si="49"/>
        <v>97.442899999999995</v>
      </c>
      <c r="P80">
        <f t="shared" si="50"/>
        <v>31.703391680438035</v>
      </c>
      <c r="Q80">
        <f t="shared" si="51"/>
        <v>3.1480198217838171</v>
      </c>
      <c r="R80">
        <f t="shared" si="52"/>
        <v>9.6756897111855</v>
      </c>
      <c r="S80">
        <f t="shared" si="53"/>
        <v>0.48996548615179902</v>
      </c>
      <c r="T80">
        <f t="shared" si="54"/>
        <v>2.9171490939429177</v>
      </c>
      <c r="U80">
        <f t="shared" si="55"/>
        <v>0.44841402941759573</v>
      </c>
      <c r="V80">
        <f t="shared" si="56"/>
        <v>0.28369777280849429</v>
      </c>
      <c r="W80">
        <f t="shared" si="57"/>
        <v>289.54630057684471</v>
      </c>
      <c r="X80">
        <f t="shared" si="58"/>
        <v>30.613942750076024</v>
      </c>
      <c r="Y80">
        <f t="shared" si="59"/>
        <v>30.008099999999999</v>
      </c>
      <c r="Z80">
        <f t="shared" si="60"/>
        <v>4.2624323799518171</v>
      </c>
      <c r="AA80">
        <f t="shared" si="61"/>
        <v>65.089500095496874</v>
      </c>
      <c r="AB80">
        <f t="shared" si="62"/>
        <v>2.8704684826590001</v>
      </c>
      <c r="AC80">
        <f t="shared" si="63"/>
        <v>4.4100330751466155</v>
      </c>
      <c r="AD80">
        <f t="shared" si="64"/>
        <v>1.391963897292817</v>
      </c>
      <c r="AE80">
        <f t="shared" si="65"/>
        <v>-287.54098745092892</v>
      </c>
      <c r="AF80">
        <f t="shared" si="66"/>
        <v>93.417989119874633</v>
      </c>
      <c r="AG80">
        <f t="shared" si="67"/>
        <v>7.1420461368038772</v>
      </c>
      <c r="AH80">
        <f t="shared" si="68"/>
        <v>102.56534838259428</v>
      </c>
      <c r="AI80">
        <v>0</v>
      </c>
      <c r="AJ80">
        <v>0</v>
      </c>
      <c r="AK80">
        <f t="shared" si="69"/>
        <v>1</v>
      </c>
      <c r="AL80">
        <f t="shared" si="70"/>
        <v>0</v>
      </c>
      <c r="AM80">
        <f t="shared" si="71"/>
        <v>51879.214350087022</v>
      </c>
      <c r="AN80" t="s">
        <v>418</v>
      </c>
      <c r="AO80">
        <v>10021</v>
      </c>
      <c r="AP80">
        <v>177.53923076923081</v>
      </c>
      <c r="AQ80">
        <v>655.56</v>
      </c>
      <c r="AR80">
        <f t="shared" si="72"/>
        <v>0.72917928066198234</v>
      </c>
      <c r="AS80">
        <v>-3.1115002560329539</v>
      </c>
      <c r="AT80" t="s">
        <v>748</v>
      </c>
      <c r="AU80">
        <v>8017.65</v>
      </c>
      <c r="AV80">
        <v>814.5258</v>
      </c>
      <c r="AW80">
        <v>985.44829962566109</v>
      </c>
      <c r="AX80">
        <f t="shared" si="73"/>
        <v>0.17344644025525113</v>
      </c>
      <c r="AY80">
        <v>0.5</v>
      </c>
      <c r="AZ80">
        <f t="shared" si="74"/>
        <v>1513.0757992626138</v>
      </c>
      <c r="BA80">
        <f t="shared" si="75"/>
        <v>18.229122025088852</v>
      </c>
      <c r="BB80">
        <f t="shared" si="76"/>
        <v>131.21880560923466</v>
      </c>
      <c r="BC80">
        <f t="shared" si="77"/>
        <v>1.4104132979670945E-2</v>
      </c>
      <c r="BD80">
        <f t="shared" si="78"/>
        <v>-0.33475962133272208</v>
      </c>
      <c r="BE80">
        <f t="shared" si="79"/>
        <v>195.23962413937176</v>
      </c>
      <c r="BF80" t="s">
        <v>749</v>
      </c>
      <c r="BG80">
        <v>589.99</v>
      </c>
      <c r="BH80">
        <f t="shared" si="80"/>
        <v>589.99</v>
      </c>
      <c r="BI80">
        <f t="shared" si="81"/>
        <v>0.40129786593155881</v>
      </c>
      <c r="BJ80">
        <f t="shared" si="82"/>
        <v>0.43221371200820796</v>
      </c>
      <c r="BK80">
        <f t="shared" si="83"/>
        <v>-5.0310858567280992</v>
      </c>
      <c r="BL80">
        <f t="shared" si="84"/>
        <v>0.21156155589093273</v>
      </c>
      <c r="BM80">
        <f t="shared" si="85"/>
        <v>-0.69011290065182163</v>
      </c>
      <c r="BN80">
        <f t="shared" si="86"/>
        <v>0.31306776034316236</v>
      </c>
      <c r="BO80">
        <f t="shared" si="87"/>
        <v>0.68693223965683758</v>
      </c>
      <c r="BP80">
        <v>22593</v>
      </c>
      <c r="BQ80">
        <v>290.00000000000011</v>
      </c>
      <c r="BR80">
        <v>924.4</v>
      </c>
      <c r="BS80">
        <v>285</v>
      </c>
      <c r="BT80">
        <v>8017.65</v>
      </c>
      <c r="BU80">
        <v>926.13</v>
      </c>
      <c r="BV80">
        <v>-1.73</v>
      </c>
      <c r="BW80">
        <v>300.00000000000011</v>
      </c>
      <c r="BX80">
        <v>19.399999999999999</v>
      </c>
      <c r="BY80">
        <v>985.44829962566109</v>
      </c>
      <c r="BZ80">
        <v>3.270822537818753</v>
      </c>
      <c r="CA80">
        <v>-47.555444739558553</v>
      </c>
      <c r="CB80">
        <v>2.4089700327536621</v>
      </c>
      <c r="CC80">
        <v>0.93296729412755042</v>
      </c>
      <c r="CD80">
        <v>-4.1403114571746487E-3</v>
      </c>
      <c r="CE80">
        <v>289.99999999999989</v>
      </c>
      <c r="CF80">
        <v>920.41</v>
      </c>
      <c r="CG80">
        <v>635</v>
      </c>
      <c r="CH80">
        <v>8008.35</v>
      </c>
      <c r="CI80">
        <v>926.07</v>
      </c>
      <c r="CJ80">
        <v>-5.66</v>
      </c>
      <c r="CX80">
        <f t="shared" si="88"/>
        <v>1799.87</v>
      </c>
      <c r="CY80">
        <f t="shared" si="89"/>
        <v>1513.0757992626138</v>
      </c>
      <c r="CZ80">
        <f t="shared" si="90"/>
        <v>0.84065838047337527</v>
      </c>
      <c r="DA80">
        <f t="shared" si="91"/>
        <v>0.16087067431361418</v>
      </c>
      <c r="DB80">
        <v>6</v>
      </c>
      <c r="DC80">
        <v>0.5</v>
      </c>
      <c r="DD80" t="s">
        <v>421</v>
      </c>
      <c r="DE80">
        <v>2</v>
      </c>
      <c r="DF80">
        <v>1689011272.5</v>
      </c>
      <c r="DG80">
        <v>97.442899999999995</v>
      </c>
      <c r="DH80">
        <v>120.078</v>
      </c>
      <c r="DI80">
        <v>28.908200000000001</v>
      </c>
      <c r="DJ80">
        <v>21.3109</v>
      </c>
      <c r="DK80">
        <v>97.292299999999997</v>
      </c>
      <c r="DL80">
        <v>28.650600000000001</v>
      </c>
      <c r="DM80">
        <v>500.05</v>
      </c>
      <c r="DN80">
        <v>99.195599999999999</v>
      </c>
      <c r="DO80">
        <v>0.100395</v>
      </c>
      <c r="DP80">
        <v>30.6021</v>
      </c>
      <c r="DQ80">
        <v>30.008099999999999</v>
      </c>
      <c r="DR80">
        <v>999.9</v>
      </c>
      <c r="DS80">
        <v>0</v>
      </c>
      <c r="DT80">
        <v>0</v>
      </c>
      <c r="DU80">
        <v>10010</v>
      </c>
      <c r="DV80">
        <v>0</v>
      </c>
      <c r="DW80">
        <v>1011.76</v>
      </c>
      <c r="DX80">
        <v>-22.6355</v>
      </c>
      <c r="DY80">
        <v>100.34399999999999</v>
      </c>
      <c r="DZ80">
        <v>122.693</v>
      </c>
      <c r="EA80">
        <v>7.5973499999999996</v>
      </c>
      <c r="EB80">
        <v>120.078</v>
      </c>
      <c r="EC80">
        <v>21.3109</v>
      </c>
      <c r="ED80">
        <v>2.8675700000000002</v>
      </c>
      <c r="EE80">
        <v>2.1139399999999999</v>
      </c>
      <c r="EF80">
        <v>23.278300000000002</v>
      </c>
      <c r="EG80">
        <v>18.3246</v>
      </c>
      <c r="EH80">
        <v>1799.87</v>
      </c>
      <c r="EI80">
        <v>0.97799499999999995</v>
      </c>
      <c r="EJ80">
        <v>2.2004800000000001E-2</v>
      </c>
      <c r="EK80">
        <v>0</v>
      </c>
      <c r="EL80">
        <v>813.69799999999998</v>
      </c>
      <c r="EM80">
        <v>5.0011200000000002</v>
      </c>
      <c r="EN80">
        <v>16231.2</v>
      </c>
      <c r="EO80">
        <v>17209.599999999999</v>
      </c>
      <c r="EP80">
        <v>48.436999999999998</v>
      </c>
      <c r="EQ80">
        <v>50.061999999999998</v>
      </c>
      <c r="ER80">
        <v>49.561999999999998</v>
      </c>
      <c r="ES80">
        <v>48.936999999999998</v>
      </c>
      <c r="ET80">
        <v>49.186999999999998</v>
      </c>
      <c r="EU80">
        <v>1755.37</v>
      </c>
      <c r="EV80">
        <v>39.5</v>
      </c>
      <c r="EW80">
        <v>0</v>
      </c>
      <c r="EX80">
        <v>122.3999998569489</v>
      </c>
      <c r="EY80">
        <v>0</v>
      </c>
      <c r="EZ80">
        <v>814.5258</v>
      </c>
      <c r="FA80">
        <v>-3.898615404667682</v>
      </c>
      <c r="FB80">
        <v>-556.69230872388437</v>
      </c>
      <c r="FC80">
        <v>16145.368</v>
      </c>
      <c r="FD80">
        <v>15</v>
      </c>
      <c r="FE80">
        <v>1689011241.5</v>
      </c>
      <c r="FF80" t="s">
        <v>750</v>
      </c>
      <c r="FG80">
        <v>1689011230.5</v>
      </c>
      <c r="FH80">
        <v>1689011241.5</v>
      </c>
      <c r="FI80">
        <v>70</v>
      </c>
      <c r="FJ80">
        <v>-0.02</v>
      </c>
      <c r="FK80">
        <v>-1.2999999999999999E-2</v>
      </c>
      <c r="FL80">
        <v>0.20699999999999999</v>
      </c>
      <c r="FM80">
        <v>0.23400000000000001</v>
      </c>
      <c r="FN80">
        <v>120</v>
      </c>
      <c r="FO80">
        <v>21</v>
      </c>
      <c r="FP80">
        <v>7.0000000000000007E-2</v>
      </c>
      <c r="FQ80">
        <v>0.01</v>
      </c>
      <c r="FR80">
        <v>18.151891293258441</v>
      </c>
      <c r="FS80">
        <v>-0.54301174373404149</v>
      </c>
      <c r="FT80">
        <v>5.8530029657371301E-2</v>
      </c>
      <c r="FU80">
        <v>1</v>
      </c>
      <c r="FV80">
        <v>0.4945836656798035</v>
      </c>
      <c r="FW80">
        <v>-1.463562001937492E-2</v>
      </c>
      <c r="FX80">
        <v>1.824108926217153E-3</v>
      </c>
      <c r="FY80">
        <v>1</v>
      </c>
      <c r="FZ80">
        <v>2</v>
      </c>
      <c r="GA80">
        <v>2</v>
      </c>
      <c r="GB80" t="s">
        <v>423</v>
      </c>
      <c r="GC80">
        <v>2.9253100000000001</v>
      </c>
      <c r="GD80">
        <v>2.8277800000000002</v>
      </c>
      <c r="GE80">
        <v>2.52637E-2</v>
      </c>
      <c r="GF80">
        <v>3.10338E-2</v>
      </c>
      <c r="GG80">
        <v>0.12762599999999999</v>
      </c>
      <c r="GH80">
        <v>0.10362399999999999</v>
      </c>
      <c r="GI80">
        <v>31822</v>
      </c>
      <c r="GJ80">
        <v>25646.400000000001</v>
      </c>
      <c r="GK80">
        <v>31416.9</v>
      </c>
      <c r="GL80">
        <v>26109.200000000001</v>
      </c>
      <c r="GM80">
        <v>37572.400000000001</v>
      </c>
      <c r="GN80">
        <v>31743.200000000001</v>
      </c>
      <c r="GO80">
        <v>46657.9</v>
      </c>
      <c r="GP80">
        <v>37960</v>
      </c>
      <c r="GQ80">
        <v>1.9242999999999999</v>
      </c>
      <c r="GR80">
        <v>1.7318800000000001</v>
      </c>
      <c r="GS80">
        <v>-1.0848E-2</v>
      </c>
      <c r="GT80">
        <v>0</v>
      </c>
      <c r="GU80">
        <v>30.1846</v>
      </c>
      <c r="GV80">
        <v>999.9</v>
      </c>
      <c r="GW80">
        <v>39.1</v>
      </c>
      <c r="GX80">
        <v>44.3</v>
      </c>
      <c r="GY80">
        <v>36.644799999999996</v>
      </c>
      <c r="GZ80">
        <v>62.426299999999998</v>
      </c>
      <c r="HA80">
        <v>22.463899999999999</v>
      </c>
      <c r="HB80">
        <v>1</v>
      </c>
      <c r="HC80">
        <v>0.46607700000000002</v>
      </c>
      <c r="HD80">
        <v>1.5521100000000001</v>
      </c>
      <c r="HE80">
        <v>20.2879</v>
      </c>
      <c r="HF80">
        <v>5.2231300000000003</v>
      </c>
      <c r="HG80">
        <v>12.0579</v>
      </c>
      <c r="HH80">
        <v>4.9923000000000002</v>
      </c>
      <c r="HI80">
        <v>3.2919999999999998</v>
      </c>
      <c r="HJ80">
        <v>9999</v>
      </c>
      <c r="HK80">
        <v>9999</v>
      </c>
      <c r="HL80">
        <v>9999</v>
      </c>
      <c r="HM80">
        <v>464.2</v>
      </c>
      <c r="HN80">
        <v>1.86707</v>
      </c>
      <c r="HO80">
        <v>1.8705499999999999</v>
      </c>
      <c r="HP80">
        <v>1.87317</v>
      </c>
      <c r="HQ80">
        <v>1.8740600000000001</v>
      </c>
      <c r="HR80">
        <v>1.87076</v>
      </c>
      <c r="HS80">
        <v>1.8691899999999999</v>
      </c>
      <c r="HT80">
        <v>1.8706799999999999</v>
      </c>
      <c r="HU80">
        <v>1.8736299999999999</v>
      </c>
      <c r="HV80">
        <v>0</v>
      </c>
      <c r="HW80">
        <v>0</v>
      </c>
      <c r="HX80">
        <v>0</v>
      </c>
      <c r="HY80">
        <v>0</v>
      </c>
      <c r="HZ80" t="s">
        <v>424</v>
      </c>
      <c r="IA80" t="s">
        <v>425</v>
      </c>
      <c r="IB80" t="s">
        <v>426</v>
      </c>
      <c r="IC80" t="s">
        <v>426</v>
      </c>
      <c r="ID80" t="s">
        <v>426</v>
      </c>
      <c r="IE80" t="s">
        <v>426</v>
      </c>
      <c r="IF80">
        <v>0</v>
      </c>
      <c r="IG80">
        <v>100</v>
      </c>
      <c r="IH80">
        <v>100</v>
      </c>
      <c r="II80">
        <v>0.151</v>
      </c>
      <c r="IJ80">
        <v>0.2576</v>
      </c>
      <c r="IK80">
        <v>-0.12242687393004641</v>
      </c>
      <c r="IL80">
        <v>3.042515301972944E-3</v>
      </c>
      <c r="IM80">
        <v>-2.5091471490852929E-6</v>
      </c>
      <c r="IN80">
        <v>8.1339755115576286E-10</v>
      </c>
      <c r="IO80">
        <v>0.25760305928480992</v>
      </c>
      <c r="IP80">
        <v>0</v>
      </c>
      <c r="IQ80">
        <v>0</v>
      </c>
      <c r="IR80">
        <v>0</v>
      </c>
      <c r="IS80">
        <v>3</v>
      </c>
      <c r="IT80">
        <v>2004</v>
      </c>
      <c r="IU80">
        <v>2</v>
      </c>
      <c r="IV80">
        <v>22</v>
      </c>
      <c r="IW80">
        <v>0.7</v>
      </c>
      <c r="IX80">
        <v>0.5</v>
      </c>
      <c r="IY80">
        <v>0.40893600000000002</v>
      </c>
      <c r="IZ80">
        <v>2.6122999999999998</v>
      </c>
      <c r="JA80">
        <v>1.64917</v>
      </c>
      <c r="JB80">
        <v>2.33765</v>
      </c>
      <c r="JC80">
        <v>1.5991200000000001</v>
      </c>
      <c r="JD80">
        <v>2.2814899999999998</v>
      </c>
      <c r="JE80">
        <v>48.270299999999999</v>
      </c>
      <c r="JF80">
        <v>24.105</v>
      </c>
      <c r="JG80">
        <v>18</v>
      </c>
      <c r="JH80">
        <v>517.48199999999997</v>
      </c>
      <c r="JI80">
        <v>439.99700000000001</v>
      </c>
      <c r="JJ80">
        <v>28.4253</v>
      </c>
      <c r="JK80">
        <v>33.121499999999997</v>
      </c>
      <c r="JL80">
        <v>30.0002</v>
      </c>
      <c r="JM80">
        <v>33.197200000000002</v>
      </c>
      <c r="JN80">
        <v>33.2029</v>
      </c>
      <c r="JO80">
        <v>8.2018599999999999</v>
      </c>
      <c r="JP80">
        <v>50.991799999999998</v>
      </c>
      <c r="JQ80">
        <v>0</v>
      </c>
      <c r="JR80">
        <v>28.421399999999998</v>
      </c>
      <c r="JS80">
        <v>120</v>
      </c>
      <c r="JT80">
        <v>21.327200000000001</v>
      </c>
      <c r="JU80">
        <v>99.579599999999999</v>
      </c>
      <c r="JV80">
        <v>99.268699999999995</v>
      </c>
    </row>
    <row r="81" spans="1:282" x14ac:dyDescent="0.25">
      <c r="A81">
        <v>65</v>
      </c>
      <c r="B81">
        <v>1689011392</v>
      </c>
      <c r="C81">
        <v>11796.900000095369</v>
      </c>
      <c r="D81" t="s">
        <v>751</v>
      </c>
      <c r="E81" t="s">
        <v>752</v>
      </c>
      <c r="F81" t="s">
        <v>414</v>
      </c>
      <c r="G81" t="s">
        <v>415</v>
      </c>
      <c r="H81" t="s">
        <v>732</v>
      </c>
      <c r="I81" t="s">
        <v>416</v>
      </c>
      <c r="J81" t="s">
        <v>578</v>
      </c>
      <c r="K81">
        <v>1689011392</v>
      </c>
      <c r="L81">
        <f t="shared" ref="L81:L112" si="92">(M81)/1000</f>
        <v>7.0564301464701865E-3</v>
      </c>
      <c r="M81">
        <f t="shared" ref="M81:M112" si="93">1000*DM81*AK81*(DI81-DJ81)/(100*DB81*(1000-AK81*DI81))</f>
        <v>7.0564301464701868</v>
      </c>
      <c r="N81">
        <f t="shared" ref="N81:N112" si="94">DM81*AK81*(DH81-DG81*(1000-AK81*DJ81)/(1000-AK81*DI81))/(100*DB81)</f>
        <v>11.568461690174335</v>
      </c>
      <c r="O81">
        <f t="shared" ref="O81:O112" si="95">DG81 - IF(AK81&gt;1, N81*DB81*100/(AM81*DU81), 0)</f>
        <v>55.715499999999999</v>
      </c>
      <c r="P81">
        <f t="shared" ref="P81:P112" si="96">((V81-L81/2)*O81-N81)/(V81+L81/2)</f>
        <v>18.625997649034641</v>
      </c>
      <c r="Q81">
        <f t="shared" ref="Q81:Q112" si="97">P81*(DN81+DO81)/1000</f>
        <v>1.8494368096168869</v>
      </c>
      <c r="R81">
        <f t="shared" ref="R81:R112" si="98">(DG81 - IF(AK81&gt;1, N81*DB81*100/(AM81*DU81), 0))*(DN81+DO81)/1000</f>
        <v>5.5321759675810007</v>
      </c>
      <c r="S81">
        <f t="shared" ref="S81:S112" si="99">2/((1/U81-1/T81)+SIGN(U81)*SQRT((1/U81-1/T81)*(1/U81-1/T81) + 4*DC81/((DC81+1)*(DC81+1))*(2*1/U81*1/T81-1/T81*1/T81)))</f>
        <v>0.55638894245436044</v>
      </c>
      <c r="T81">
        <f t="shared" ref="T81:T112" si="100">IF(LEFT(DD81,1)&lt;&gt;"0",IF(LEFT(DD81,1)="1",3,DE81),$D$5+$E$5*(DU81*DN81/($K$5*1000))+$F$5*(DU81*DN81/($K$5*1000))*MAX(MIN(DB81,$J$5),$I$5)*MAX(MIN(DB81,$J$5),$I$5)+$G$5*MAX(MIN(DB81,$J$5),$I$5)*(DU81*DN81/($K$5*1000))+$H$5*(DU81*DN81/($K$5*1000))*(DU81*DN81/($K$5*1000)))</f>
        <v>2.9151389824002307</v>
      </c>
      <c r="U81">
        <f t="shared" ref="U81:U112" si="101">L81*(1000-(1000*0.61365*EXP(17.502*Y81/(240.97+Y81))/(DN81+DO81)+DI81)/2)/(1000*0.61365*EXP(17.502*Y81/(240.97+Y81))/(DN81+DO81)-DI81)</f>
        <v>0.5034258932828195</v>
      </c>
      <c r="V81">
        <f t="shared" ref="V81:V112" si="102">1/((DC81+1)/(S81/1.6)+1/(T81/1.37)) + DC81/((DC81+1)/(S81/1.6) + DC81/(T81/1.37))</f>
        <v>0.31897851771631014</v>
      </c>
      <c r="W81">
        <f t="shared" ref="W81:W112" si="103">(CX81*DA81)</f>
        <v>289.56704857694757</v>
      </c>
      <c r="X81">
        <f t="shared" ref="X81:X112" si="104">(DP81+(W81+2*0.95*0.0000000567*(((DP81+$B$7)+273)^4-(DP81+273)^4)-44100*L81)/(1.84*29.3*T81+8*0.95*0.0000000567*(DP81+273)^3))</f>
        <v>30.550735184410875</v>
      </c>
      <c r="Y81">
        <f t="shared" ref="Y81:Y112" si="105">($C$7*DQ81+$D$7*DR81+$E$7*X81)</f>
        <v>30.0063</v>
      </c>
      <c r="Z81">
        <f t="shared" ref="Z81:Z112" si="106">0.61365*EXP(17.502*Y81/(240.97+Y81))</f>
        <v>4.2619917310286093</v>
      </c>
      <c r="AA81">
        <f t="shared" ref="AA81:AA112" si="107">(AB81/AC81*100)</f>
        <v>65.936588475940425</v>
      </c>
      <c r="AB81">
        <f t="shared" ref="AB81:AB112" si="108">DI81*(DN81+DO81)/1000</f>
        <v>2.9205536090468005</v>
      </c>
      <c r="AC81">
        <f t="shared" ref="AC81:AC112" si="109">0.61365*EXP(17.502*DP81/(240.97+DP81))</f>
        <v>4.4293368470412755</v>
      </c>
      <c r="AD81">
        <f t="shared" ref="AD81:AD112" si="110">(Z81-DI81*(DN81+DO81)/1000)</f>
        <v>1.3414381219818088</v>
      </c>
      <c r="AE81">
        <f t="shared" ref="AE81:AE112" si="111">(-L81*44100)</f>
        <v>-311.18856945933521</v>
      </c>
      <c r="AF81">
        <f t="shared" ref="AF81:AF112" si="112">2*29.3*T81*0.92*(DP81-Y81)</f>
        <v>105.64360592904022</v>
      </c>
      <c r="AG81">
        <f t="shared" ref="AG81:AG112" si="113">2*0.95*0.0000000567*(((DP81+$B$7)+273)^4-(Y81+273)^4)</f>
        <v>8.0852796934132432</v>
      </c>
      <c r="AH81">
        <f t="shared" ref="AH81:AH112" si="114">W81+AG81+AE81+AF81</f>
        <v>92.107364740065847</v>
      </c>
      <c r="AI81">
        <v>0</v>
      </c>
      <c r="AJ81">
        <v>0</v>
      </c>
      <c r="AK81">
        <f t="shared" ref="AK81:AK112" si="115">IF(AI81*$H$13&gt;=AM81,1,(AM81/(AM81-AI81*$H$13)))</f>
        <v>1</v>
      </c>
      <c r="AL81">
        <f t="shared" ref="AL81:AL112" si="116">(AK81-1)*100</f>
        <v>0</v>
      </c>
      <c r="AM81">
        <f t="shared" ref="AM81:AM112" si="117">MAX(0,($B$13+$C$13*DU81)/(1+$D$13*DU81)*DN81/(DP81+273)*$E$13)</f>
        <v>51809.005175987892</v>
      </c>
      <c r="AN81" t="s">
        <v>418</v>
      </c>
      <c r="AO81">
        <v>10021</v>
      </c>
      <c r="AP81">
        <v>177.53923076923081</v>
      </c>
      <c r="AQ81">
        <v>655.56</v>
      </c>
      <c r="AR81">
        <f t="shared" ref="AR81:AR112" si="118">1-AP81/AQ81</f>
        <v>0.72917928066198234</v>
      </c>
      <c r="AS81">
        <v>-3.1115002560329539</v>
      </c>
      <c r="AT81" t="s">
        <v>753</v>
      </c>
      <c r="AU81">
        <v>8020.49</v>
      </c>
      <c r="AV81">
        <v>821.04615999999999</v>
      </c>
      <c r="AW81">
        <v>932.23966538473621</v>
      </c>
      <c r="AX81">
        <f t="shared" ref="AX81:AX112" si="119">1-AV81/AW81</f>
        <v>0.11927566430982806</v>
      </c>
      <c r="AY81">
        <v>0.5</v>
      </c>
      <c r="AZ81">
        <f t="shared" ref="AZ81:AZ112" si="120">CY81</f>
        <v>1513.1849992626671</v>
      </c>
      <c r="BA81">
        <f t="shared" ref="BA81:BA112" si="121">N81</f>
        <v>11.568461690174335</v>
      </c>
      <c r="BB81">
        <f t="shared" ref="BB81:BB112" si="122">AX81*AY81*AZ81</f>
        <v>90.243073005360642</v>
      </c>
      <c r="BC81">
        <f t="shared" ref="BC81:BC112" si="123">(BA81-AS81)/AZ81</f>
        <v>9.7013662925289536E-3</v>
      </c>
      <c r="BD81">
        <f t="shared" ref="BD81:BD112" si="124">(AQ81-AW81)/AW81</f>
        <v>-0.29679027363693039</v>
      </c>
      <c r="BE81">
        <f t="shared" ref="BE81:BE112" si="125">AP81/(AR81+AP81/AW81)</f>
        <v>193.05652659697901</v>
      </c>
      <c r="BF81" t="s">
        <v>754</v>
      </c>
      <c r="BG81">
        <v>602.51</v>
      </c>
      <c r="BH81">
        <f t="shared" ref="BH81:BH112" si="126">IF(BG81&lt;&gt;0, BG81, BE81)</f>
        <v>602.51</v>
      </c>
      <c r="BI81">
        <f t="shared" ref="BI81:BI112" si="127">1-BH81/AW81</f>
        <v>0.35369624102902386</v>
      </c>
      <c r="BJ81">
        <f t="shared" ref="BJ81:BJ112" si="128">(AW81-AV81)/(AW81-BH81)</f>
        <v>0.33722627066325095</v>
      </c>
      <c r="BK81">
        <f t="shared" ref="BK81:BK112" si="129">(AQ81-AW81)/(AQ81-BH81)</f>
        <v>-5.2154508083833457</v>
      </c>
      <c r="BL81">
        <f t="shared" ref="BL81:BL112" si="130">(AW81-AV81)/(AW81-AP81)</f>
        <v>0.14733462481889995</v>
      </c>
      <c r="BM81">
        <f t="shared" ref="BM81:BM112" si="131">(AQ81-AW81)/(AQ81-AP81)</f>
        <v>-0.57880260271947825</v>
      </c>
      <c r="BN81">
        <f t="shared" ref="BN81:BN112" si="132">(BJ81*BH81/AV81)</f>
        <v>0.2474674509619719</v>
      </c>
      <c r="BO81">
        <f t="shared" ref="BO81:BO112" si="133">(1-BN81)</f>
        <v>0.75253254903802813</v>
      </c>
      <c r="BP81">
        <v>22595</v>
      </c>
      <c r="BQ81">
        <v>290.00000000000011</v>
      </c>
      <c r="BR81">
        <v>892.11</v>
      </c>
      <c r="BS81">
        <v>245</v>
      </c>
      <c r="BT81">
        <v>8020.49</v>
      </c>
      <c r="BU81">
        <v>892.37</v>
      </c>
      <c r="BV81">
        <v>-0.26</v>
      </c>
      <c r="BW81">
        <v>300.00000000000011</v>
      </c>
      <c r="BX81">
        <v>19.399999999999999</v>
      </c>
      <c r="BY81">
        <v>932.23966538473621</v>
      </c>
      <c r="BZ81">
        <v>2.0738917609013541</v>
      </c>
      <c r="CA81">
        <v>-31.979939887508781</v>
      </c>
      <c r="CB81">
        <v>1.527485183170241</v>
      </c>
      <c r="CC81">
        <v>0.93995669321139952</v>
      </c>
      <c r="CD81">
        <v>-4.1403942157953334E-3</v>
      </c>
      <c r="CE81">
        <v>289.99999999999989</v>
      </c>
      <c r="CF81">
        <v>888.69</v>
      </c>
      <c r="CG81">
        <v>665</v>
      </c>
      <c r="CH81">
        <v>8007.72</v>
      </c>
      <c r="CI81">
        <v>892.3</v>
      </c>
      <c r="CJ81">
        <v>-3.61</v>
      </c>
      <c r="CX81">
        <f t="shared" ref="CX81:CX112" si="134">$B$11*DV81+$C$11*DW81+$F$11*EH81*(1-EK81)</f>
        <v>1800</v>
      </c>
      <c r="CY81">
        <f t="shared" ref="CY81:CY112" si="135">CX81*CZ81</f>
        <v>1513.1849992626671</v>
      </c>
      <c r="CZ81">
        <f t="shared" ref="CZ81:CZ112" si="136">($B$11*$D$9+$C$11*$D$9+$F$11*((EU81+EM81)/MAX(EU81+EM81+EV81, 0.1)*$I$9+EV81/MAX(EU81+EM81+EV81, 0.1)*$J$9))/($B$11+$C$11+$F$11)</f>
        <v>0.84065833292370395</v>
      </c>
      <c r="DA81">
        <f t="shared" ref="DA81:DA112" si="137">($B$11*$K$9+$C$11*$K$9+$F$11*((EU81+EM81)/MAX(EU81+EM81+EV81, 0.1)*$P$9+EV81/MAX(EU81+EM81+EV81, 0.1)*$Q$9))/($B$11+$C$11+$F$11)</f>
        <v>0.16087058254274864</v>
      </c>
      <c r="DB81">
        <v>6</v>
      </c>
      <c r="DC81">
        <v>0.5</v>
      </c>
      <c r="DD81" t="s">
        <v>421</v>
      </c>
      <c r="DE81">
        <v>2</v>
      </c>
      <c r="DF81">
        <v>1689011392</v>
      </c>
      <c r="DG81">
        <v>55.715499999999999</v>
      </c>
      <c r="DH81">
        <v>70.067599999999999</v>
      </c>
      <c r="DI81">
        <v>29.413399999999999</v>
      </c>
      <c r="DJ81">
        <v>21.195799999999998</v>
      </c>
      <c r="DK81">
        <v>55.626899999999999</v>
      </c>
      <c r="DL81">
        <v>29.1523</v>
      </c>
      <c r="DM81">
        <v>500.06400000000002</v>
      </c>
      <c r="DN81">
        <v>99.193200000000004</v>
      </c>
      <c r="DO81">
        <v>0.100102</v>
      </c>
      <c r="DP81">
        <v>30.6785</v>
      </c>
      <c r="DQ81">
        <v>30.0063</v>
      </c>
      <c r="DR81">
        <v>999.9</v>
      </c>
      <c r="DS81">
        <v>0</v>
      </c>
      <c r="DT81">
        <v>0</v>
      </c>
      <c r="DU81">
        <v>9998.75</v>
      </c>
      <c r="DV81">
        <v>0</v>
      </c>
      <c r="DW81">
        <v>2188.44</v>
      </c>
      <c r="DX81">
        <v>-14.3521</v>
      </c>
      <c r="DY81">
        <v>57.4039</v>
      </c>
      <c r="DZ81">
        <v>71.584900000000005</v>
      </c>
      <c r="EA81">
        <v>8.2176100000000005</v>
      </c>
      <c r="EB81">
        <v>70.067599999999999</v>
      </c>
      <c r="EC81">
        <v>21.195799999999998</v>
      </c>
      <c r="ED81">
        <v>2.9176099999999998</v>
      </c>
      <c r="EE81">
        <v>2.1024799999999999</v>
      </c>
      <c r="EF81">
        <v>23.565000000000001</v>
      </c>
      <c r="EG81">
        <v>18.238</v>
      </c>
      <c r="EH81">
        <v>1800</v>
      </c>
      <c r="EI81">
        <v>0.97799499999999995</v>
      </c>
      <c r="EJ81">
        <v>2.2004800000000001E-2</v>
      </c>
      <c r="EK81">
        <v>0</v>
      </c>
      <c r="EL81">
        <v>820.67499999999995</v>
      </c>
      <c r="EM81">
        <v>5.0011200000000002</v>
      </c>
      <c r="EN81">
        <v>16659.7</v>
      </c>
      <c r="EO81">
        <v>17210.8</v>
      </c>
      <c r="EP81">
        <v>48.436999999999998</v>
      </c>
      <c r="EQ81">
        <v>50.125</v>
      </c>
      <c r="ER81">
        <v>49.5</v>
      </c>
      <c r="ES81">
        <v>48.936999999999998</v>
      </c>
      <c r="ET81">
        <v>49.25</v>
      </c>
      <c r="EU81">
        <v>1755.5</v>
      </c>
      <c r="EV81">
        <v>39.5</v>
      </c>
      <c r="EW81">
        <v>0</v>
      </c>
      <c r="EX81">
        <v>117.7999999523163</v>
      </c>
      <c r="EY81">
        <v>0</v>
      </c>
      <c r="EZ81">
        <v>821.04615999999999</v>
      </c>
      <c r="FA81">
        <v>-3.4084615500161348</v>
      </c>
      <c r="FB81">
        <v>25.561538482374651</v>
      </c>
      <c r="FC81">
        <v>16652.632000000001</v>
      </c>
      <c r="FD81">
        <v>15</v>
      </c>
      <c r="FE81">
        <v>1689011363</v>
      </c>
      <c r="FF81" t="s">
        <v>755</v>
      </c>
      <c r="FG81">
        <v>1689011354.5</v>
      </c>
      <c r="FH81">
        <v>1689011363</v>
      </c>
      <c r="FI81">
        <v>71</v>
      </c>
      <c r="FJ81">
        <v>4.9000000000000002E-2</v>
      </c>
      <c r="FK81">
        <v>3.0000000000000001E-3</v>
      </c>
      <c r="FL81">
        <v>0.128</v>
      </c>
      <c r="FM81">
        <v>0.24399999999999999</v>
      </c>
      <c r="FN81">
        <v>70</v>
      </c>
      <c r="FO81">
        <v>21</v>
      </c>
      <c r="FP81">
        <v>0.28000000000000003</v>
      </c>
      <c r="FQ81">
        <v>0.02</v>
      </c>
      <c r="FR81">
        <v>11.53093114948194</v>
      </c>
      <c r="FS81">
        <v>-0.34751994591089508</v>
      </c>
      <c r="FT81">
        <v>5.6028835627483523E-2</v>
      </c>
      <c r="FU81">
        <v>1</v>
      </c>
      <c r="FV81">
        <v>0.55909821631854417</v>
      </c>
      <c r="FW81">
        <v>4.5000287217608513E-3</v>
      </c>
      <c r="FX81">
        <v>1.3188789554699669E-3</v>
      </c>
      <c r="FY81">
        <v>1</v>
      </c>
      <c r="FZ81">
        <v>2</v>
      </c>
      <c r="GA81">
        <v>2</v>
      </c>
      <c r="GB81" t="s">
        <v>423</v>
      </c>
      <c r="GC81">
        <v>2.9253399999999998</v>
      </c>
      <c r="GD81">
        <v>2.8273899999999998</v>
      </c>
      <c r="GE81">
        <v>1.4610400000000001E-2</v>
      </c>
      <c r="GF81">
        <v>1.8443600000000001E-2</v>
      </c>
      <c r="GG81">
        <v>0.129158</v>
      </c>
      <c r="GH81">
        <v>0.10322099999999999</v>
      </c>
      <c r="GI81">
        <v>32168.799999999999</v>
      </c>
      <c r="GJ81">
        <v>25979.4</v>
      </c>
      <c r="GK81">
        <v>31416.400000000001</v>
      </c>
      <c r="GL81">
        <v>26109.7</v>
      </c>
      <c r="GM81">
        <v>37505.300000000003</v>
      </c>
      <c r="GN81">
        <v>31758.5</v>
      </c>
      <c r="GO81">
        <v>46657.1</v>
      </c>
      <c r="GP81">
        <v>37961.5</v>
      </c>
      <c r="GQ81">
        <v>1.92465</v>
      </c>
      <c r="GR81">
        <v>1.73123</v>
      </c>
      <c r="GS81">
        <v>-2.0712600000000001E-2</v>
      </c>
      <c r="GT81">
        <v>0</v>
      </c>
      <c r="GU81">
        <v>30.3432</v>
      </c>
      <c r="GV81">
        <v>999.9</v>
      </c>
      <c r="GW81">
        <v>39</v>
      </c>
      <c r="GX81">
        <v>44.3</v>
      </c>
      <c r="GY81">
        <v>36.5505</v>
      </c>
      <c r="GZ81">
        <v>62.396299999999997</v>
      </c>
      <c r="HA81">
        <v>22.0593</v>
      </c>
      <c r="HB81">
        <v>1</v>
      </c>
      <c r="HC81">
        <v>0.47308699999999998</v>
      </c>
      <c r="HD81">
        <v>3.2587000000000002</v>
      </c>
      <c r="HE81">
        <v>20.263400000000001</v>
      </c>
      <c r="HF81">
        <v>5.2264200000000001</v>
      </c>
      <c r="HG81">
        <v>12.062099999999999</v>
      </c>
      <c r="HH81">
        <v>4.9930000000000003</v>
      </c>
      <c r="HI81">
        <v>3.2919999999999998</v>
      </c>
      <c r="HJ81">
        <v>9999</v>
      </c>
      <c r="HK81">
        <v>9999</v>
      </c>
      <c r="HL81">
        <v>9999</v>
      </c>
      <c r="HM81">
        <v>464.3</v>
      </c>
      <c r="HN81">
        <v>1.86707</v>
      </c>
      <c r="HO81">
        <v>1.87052</v>
      </c>
      <c r="HP81">
        <v>1.8731599999999999</v>
      </c>
      <c r="HQ81">
        <v>1.8740300000000001</v>
      </c>
      <c r="HR81">
        <v>1.8707499999999999</v>
      </c>
      <c r="HS81">
        <v>1.8692</v>
      </c>
      <c r="HT81">
        <v>1.87063</v>
      </c>
      <c r="HU81">
        <v>1.8736299999999999</v>
      </c>
      <c r="HV81">
        <v>0</v>
      </c>
      <c r="HW81">
        <v>0</v>
      </c>
      <c r="HX81">
        <v>0</v>
      </c>
      <c r="HY81">
        <v>0</v>
      </c>
      <c r="HZ81" t="s">
        <v>424</v>
      </c>
      <c r="IA81" t="s">
        <v>425</v>
      </c>
      <c r="IB81" t="s">
        <v>426</v>
      </c>
      <c r="IC81" t="s">
        <v>426</v>
      </c>
      <c r="ID81" t="s">
        <v>426</v>
      </c>
      <c r="IE81" t="s">
        <v>426</v>
      </c>
      <c r="IF81">
        <v>0</v>
      </c>
      <c r="IG81">
        <v>100</v>
      </c>
      <c r="IH81">
        <v>100</v>
      </c>
      <c r="II81">
        <v>8.8999999999999996E-2</v>
      </c>
      <c r="IJ81">
        <v>0.2611</v>
      </c>
      <c r="IK81">
        <v>-7.2989618271352974E-2</v>
      </c>
      <c r="IL81">
        <v>3.042515301972944E-3</v>
      </c>
      <c r="IM81">
        <v>-2.5091471490852929E-6</v>
      </c>
      <c r="IN81">
        <v>8.1339755115576286E-10</v>
      </c>
      <c r="IO81">
        <v>0.26105685513184818</v>
      </c>
      <c r="IP81">
        <v>0</v>
      </c>
      <c r="IQ81">
        <v>0</v>
      </c>
      <c r="IR81">
        <v>0</v>
      </c>
      <c r="IS81">
        <v>3</v>
      </c>
      <c r="IT81">
        <v>2004</v>
      </c>
      <c r="IU81">
        <v>2</v>
      </c>
      <c r="IV81">
        <v>22</v>
      </c>
      <c r="IW81">
        <v>0.6</v>
      </c>
      <c r="IX81">
        <v>0.5</v>
      </c>
      <c r="IY81">
        <v>0.29418899999999998</v>
      </c>
      <c r="IZ81">
        <v>2.6355</v>
      </c>
      <c r="JA81">
        <v>1.64917</v>
      </c>
      <c r="JB81">
        <v>2.33887</v>
      </c>
      <c r="JC81">
        <v>1.5991200000000001</v>
      </c>
      <c r="JD81">
        <v>2.2277800000000001</v>
      </c>
      <c r="JE81">
        <v>48.239600000000003</v>
      </c>
      <c r="JF81">
        <v>24.113800000000001</v>
      </c>
      <c r="JG81">
        <v>18</v>
      </c>
      <c r="JH81">
        <v>517.82899999999995</v>
      </c>
      <c r="JI81">
        <v>439.709</v>
      </c>
      <c r="JJ81">
        <v>27.163799999999998</v>
      </c>
      <c r="JK81">
        <v>33.130000000000003</v>
      </c>
      <c r="JL81">
        <v>30.000299999999999</v>
      </c>
      <c r="JM81">
        <v>33.212000000000003</v>
      </c>
      <c r="JN81">
        <v>33.221499999999999</v>
      </c>
      <c r="JO81">
        <v>5.8999199999999998</v>
      </c>
      <c r="JP81">
        <v>51.801600000000001</v>
      </c>
      <c r="JQ81">
        <v>0</v>
      </c>
      <c r="JR81">
        <v>27.152999999999999</v>
      </c>
      <c r="JS81">
        <v>70</v>
      </c>
      <c r="JT81">
        <v>21.0533</v>
      </c>
      <c r="JU81">
        <v>99.5779</v>
      </c>
      <c r="JV81">
        <v>99.271699999999996</v>
      </c>
    </row>
    <row r="82" spans="1:282" x14ac:dyDescent="0.25">
      <c r="A82">
        <v>66</v>
      </c>
      <c r="B82">
        <v>1689011533</v>
      </c>
      <c r="C82">
        <v>11937.900000095369</v>
      </c>
      <c r="D82" t="s">
        <v>756</v>
      </c>
      <c r="E82" t="s">
        <v>757</v>
      </c>
      <c r="F82" t="s">
        <v>414</v>
      </c>
      <c r="G82" t="s">
        <v>415</v>
      </c>
      <c r="H82" t="s">
        <v>732</v>
      </c>
      <c r="I82" t="s">
        <v>416</v>
      </c>
      <c r="J82" t="s">
        <v>578</v>
      </c>
      <c r="K82">
        <v>1689011533</v>
      </c>
      <c r="L82">
        <f t="shared" si="92"/>
        <v>7.5532846684045387E-3</v>
      </c>
      <c r="M82">
        <f t="shared" si="93"/>
        <v>7.5532846684045385</v>
      </c>
      <c r="N82">
        <f t="shared" si="94"/>
        <v>5.3343711636730333</v>
      </c>
      <c r="O82">
        <f t="shared" si="95"/>
        <v>23.4222</v>
      </c>
      <c r="P82">
        <f t="shared" si="96"/>
        <v>7.2760375106999051</v>
      </c>
      <c r="Q82">
        <f t="shared" si="97"/>
        <v>0.7224602219271703</v>
      </c>
      <c r="R82">
        <f t="shared" si="98"/>
        <v>2.3256625306203</v>
      </c>
      <c r="S82">
        <f t="shared" si="99"/>
        <v>0.59186667132394788</v>
      </c>
      <c r="T82">
        <f t="shared" si="100"/>
        <v>2.9162323689231449</v>
      </c>
      <c r="U82">
        <f t="shared" si="101"/>
        <v>0.53234018680916984</v>
      </c>
      <c r="V82">
        <f t="shared" si="102"/>
        <v>0.33756054608351704</v>
      </c>
      <c r="W82">
        <f t="shared" si="103"/>
        <v>289.56385657693176</v>
      </c>
      <c r="X82">
        <f t="shared" si="104"/>
        <v>30.496142379242595</v>
      </c>
      <c r="Y82">
        <f t="shared" si="105"/>
        <v>30.0472</v>
      </c>
      <c r="Z82">
        <f t="shared" si="106"/>
        <v>4.2720140573813321</v>
      </c>
      <c r="AA82">
        <f t="shared" si="107"/>
        <v>65.511271063838279</v>
      </c>
      <c r="AB82">
        <f t="shared" si="108"/>
        <v>2.9141428663798501</v>
      </c>
      <c r="AC82">
        <f t="shared" si="109"/>
        <v>4.4483076256299885</v>
      </c>
      <c r="AD82">
        <f t="shared" si="110"/>
        <v>1.357871191001482</v>
      </c>
      <c r="AE82">
        <f t="shared" si="111"/>
        <v>-333.09985387664017</v>
      </c>
      <c r="AF82">
        <f t="shared" si="112"/>
        <v>111.01298514015674</v>
      </c>
      <c r="AG82">
        <f t="shared" si="113"/>
        <v>8.4978929065081541</v>
      </c>
      <c r="AH82">
        <f t="shared" si="114"/>
        <v>75.974880746956458</v>
      </c>
      <c r="AI82">
        <v>0</v>
      </c>
      <c r="AJ82">
        <v>0</v>
      </c>
      <c r="AK82">
        <f t="shared" si="115"/>
        <v>1</v>
      </c>
      <c r="AL82">
        <f t="shared" si="116"/>
        <v>0</v>
      </c>
      <c r="AM82">
        <f t="shared" si="117"/>
        <v>51827.298600142334</v>
      </c>
      <c r="AN82" t="s">
        <v>418</v>
      </c>
      <c r="AO82">
        <v>10021</v>
      </c>
      <c r="AP82">
        <v>177.53923076923081</v>
      </c>
      <c r="AQ82">
        <v>655.56</v>
      </c>
      <c r="AR82">
        <f t="shared" si="118"/>
        <v>0.72917928066198234</v>
      </c>
      <c r="AS82">
        <v>-3.1115002560329539</v>
      </c>
      <c r="AT82" t="s">
        <v>758</v>
      </c>
      <c r="AU82">
        <v>8021.69</v>
      </c>
      <c r="AV82">
        <v>827.89876000000004</v>
      </c>
      <c r="AW82">
        <v>900.79699410804881</v>
      </c>
      <c r="AX82">
        <f t="shared" si="119"/>
        <v>8.0926373627868475E-2</v>
      </c>
      <c r="AY82">
        <v>0.5</v>
      </c>
      <c r="AZ82">
        <f t="shared" si="120"/>
        <v>1513.1681992626591</v>
      </c>
      <c r="BA82">
        <f t="shared" si="121"/>
        <v>5.3343711636730333</v>
      </c>
      <c r="BB82">
        <f t="shared" si="122"/>
        <v>61.227607527669441</v>
      </c>
      <c r="BC82">
        <f t="shared" si="123"/>
        <v>5.5815813627470602E-3</v>
      </c>
      <c r="BD82">
        <f t="shared" si="124"/>
        <v>-0.27224446319437118</v>
      </c>
      <c r="BE82">
        <f t="shared" si="125"/>
        <v>191.67102863502186</v>
      </c>
      <c r="BF82" t="s">
        <v>759</v>
      </c>
      <c r="BG82">
        <v>622.69000000000005</v>
      </c>
      <c r="BH82">
        <f t="shared" si="126"/>
        <v>622.69000000000005</v>
      </c>
      <c r="BI82">
        <f t="shared" si="127"/>
        <v>0.30873437181417851</v>
      </c>
      <c r="BJ82">
        <f t="shared" si="128"/>
        <v>0.2621229801927481</v>
      </c>
      <c r="BK82">
        <f t="shared" si="129"/>
        <v>-7.4608151538804286</v>
      </c>
      <c r="BL82">
        <f t="shared" si="130"/>
        <v>0.10079149896922544</v>
      </c>
      <c r="BM82">
        <f t="shared" si="131"/>
        <v>-0.51302581371659672</v>
      </c>
      <c r="BN82">
        <f t="shared" si="132"/>
        <v>0.19715135040934514</v>
      </c>
      <c r="BO82">
        <f t="shared" si="133"/>
        <v>0.80284864959065483</v>
      </c>
      <c r="BP82">
        <v>22597</v>
      </c>
      <c r="BQ82">
        <v>290.00000000000011</v>
      </c>
      <c r="BR82">
        <v>875.36</v>
      </c>
      <c r="BS82">
        <v>225</v>
      </c>
      <c r="BT82">
        <v>8021.69</v>
      </c>
      <c r="BU82">
        <v>874.84</v>
      </c>
      <c r="BV82">
        <v>0.52</v>
      </c>
      <c r="BW82">
        <v>300.00000000000011</v>
      </c>
      <c r="BX82">
        <v>19.399999999999999</v>
      </c>
      <c r="BY82">
        <v>900.79699410804881</v>
      </c>
      <c r="BZ82">
        <v>3.2979211010149898</v>
      </c>
      <c r="CA82">
        <v>-20.82311837907762</v>
      </c>
      <c r="CB82">
        <v>2.4289523309337859</v>
      </c>
      <c r="CC82">
        <v>0.72412239012114132</v>
      </c>
      <c r="CD82">
        <v>-4.1402573971078991E-3</v>
      </c>
      <c r="CE82">
        <v>289.99999999999989</v>
      </c>
      <c r="CF82">
        <v>873.32</v>
      </c>
      <c r="CG82">
        <v>635</v>
      </c>
      <c r="CH82">
        <v>8008.44</v>
      </c>
      <c r="CI82">
        <v>874.8</v>
      </c>
      <c r="CJ82">
        <v>-1.48</v>
      </c>
      <c r="CX82">
        <f t="shared" si="134"/>
        <v>1799.98</v>
      </c>
      <c r="CY82">
        <f t="shared" si="135"/>
        <v>1513.1681992626591</v>
      </c>
      <c r="CZ82">
        <f t="shared" si="136"/>
        <v>0.84065834023859098</v>
      </c>
      <c r="DA82">
        <f t="shared" si="137"/>
        <v>0.16087059666048054</v>
      </c>
      <c r="DB82">
        <v>6</v>
      </c>
      <c r="DC82">
        <v>0.5</v>
      </c>
      <c r="DD82" t="s">
        <v>421</v>
      </c>
      <c r="DE82">
        <v>2</v>
      </c>
      <c r="DF82">
        <v>1689011533</v>
      </c>
      <c r="DG82">
        <v>23.4222</v>
      </c>
      <c r="DH82">
        <v>30.036100000000001</v>
      </c>
      <c r="DI82">
        <v>29.3489</v>
      </c>
      <c r="DJ82">
        <v>20.5505</v>
      </c>
      <c r="DK82">
        <v>23.308900000000001</v>
      </c>
      <c r="DL82">
        <v>29.087599999999998</v>
      </c>
      <c r="DM82">
        <v>499.97300000000001</v>
      </c>
      <c r="DN82">
        <v>99.193200000000004</v>
      </c>
      <c r="DO82">
        <v>9.9886500000000003E-2</v>
      </c>
      <c r="DP82">
        <v>30.753299999999999</v>
      </c>
      <c r="DQ82">
        <v>30.0472</v>
      </c>
      <c r="DR82">
        <v>999.9</v>
      </c>
      <c r="DS82">
        <v>0</v>
      </c>
      <c r="DT82">
        <v>0</v>
      </c>
      <c r="DU82">
        <v>10005</v>
      </c>
      <c r="DV82">
        <v>0</v>
      </c>
      <c r="DW82">
        <v>2157.98</v>
      </c>
      <c r="DX82">
        <v>-6.61388</v>
      </c>
      <c r="DY82">
        <v>24.130400000000002</v>
      </c>
      <c r="DZ82">
        <v>30.6663</v>
      </c>
      <c r="EA82">
        <v>8.7984200000000001</v>
      </c>
      <c r="EB82">
        <v>30.036100000000001</v>
      </c>
      <c r="EC82">
        <v>20.5505</v>
      </c>
      <c r="ED82">
        <v>2.9112100000000001</v>
      </c>
      <c r="EE82">
        <v>2.0384699999999998</v>
      </c>
      <c r="EF82">
        <v>23.528600000000001</v>
      </c>
      <c r="EG82">
        <v>17.746300000000002</v>
      </c>
      <c r="EH82">
        <v>1799.98</v>
      </c>
      <c r="EI82">
        <v>0.97799499999999995</v>
      </c>
      <c r="EJ82">
        <v>2.2004800000000001E-2</v>
      </c>
      <c r="EK82">
        <v>0</v>
      </c>
      <c r="EL82">
        <v>827.899</v>
      </c>
      <c r="EM82">
        <v>5.0011200000000002</v>
      </c>
      <c r="EN82">
        <v>16765.3</v>
      </c>
      <c r="EO82">
        <v>17210.7</v>
      </c>
      <c r="EP82">
        <v>48.561999999999998</v>
      </c>
      <c r="EQ82">
        <v>50.186999999999998</v>
      </c>
      <c r="ER82">
        <v>49.561999999999998</v>
      </c>
      <c r="ES82">
        <v>49</v>
      </c>
      <c r="ET82">
        <v>49.311999999999998</v>
      </c>
      <c r="EU82">
        <v>1755.48</v>
      </c>
      <c r="EV82">
        <v>39.5</v>
      </c>
      <c r="EW82">
        <v>0</v>
      </c>
      <c r="EX82">
        <v>139.19999980926511</v>
      </c>
      <c r="EY82">
        <v>0</v>
      </c>
      <c r="EZ82">
        <v>827.89876000000004</v>
      </c>
      <c r="FA82">
        <v>8.6923063557860624E-3</v>
      </c>
      <c r="FB82">
        <v>1.9461539101543781</v>
      </c>
      <c r="FC82">
        <v>16762.472000000002</v>
      </c>
      <c r="FD82">
        <v>15</v>
      </c>
      <c r="FE82">
        <v>1689011503.5</v>
      </c>
      <c r="FF82" t="s">
        <v>760</v>
      </c>
      <c r="FG82">
        <v>1689011493.5</v>
      </c>
      <c r="FH82">
        <v>1689011503.5</v>
      </c>
      <c r="FI82">
        <v>72</v>
      </c>
      <c r="FJ82">
        <v>0.11700000000000001</v>
      </c>
      <c r="FK82">
        <v>0</v>
      </c>
      <c r="FL82">
        <v>0.13200000000000001</v>
      </c>
      <c r="FM82">
        <v>0.219</v>
      </c>
      <c r="FN82">
        <v>30</v>
      </c>
      <c r="FO82">
        <v>20</v>
      </c>
      <c r="FP82">
        <v>0.44</v>
      </c>
      <c r="FQ82">
        <v>0.03</v>
      </c>
      <c r="FR82">
        <v>5.3780666935514514</v>
      </c>
      <c r="FS82">
        <v>-0.42531628147099021</v>
      </c>
      <c r="FT82">
        <v>4.4626640887394077E-2</v>
      </c>
      <c r="FU82">
        <v>1</v>
      </c>
      <c r="FV82">
        <v>0.59223184408367302</v>
      </c>
      <c r="FW82">
        <v>-7.9865432270716328E-3</v>
      </c>
      <c r="FX82">
        <v>1.801146389838423E-3</v>
      </c>
      <c r="FY82">
        <v>1</v>
      </c>
      <c r="FZ82">
        <v>2</v>
      </c>
      <c r="GA82">
        <v>2</v>
      </c>
      <c r="GB82" t="s">
        <v>423</v>
      </c>
      <c r="GC82">
        <v>2.92502</v>
      </c>
      <c r="GD82">
        <v>2.8272300000000001</v>
      </c>
      <c r="GE82">
        <v>6.1443000000000001E-3</v>
      </c>
      <c r="GF82">
        <v>7.9701700000000004E-3</v>
      </c>
      <c r="GG82">
        <v>0.12894</v>
      </c>
      <c r="GH82">
        <v>0.10097</v>
      </c>
      <c r="GI82">
        <v>32441.3</v>
      </c>
      <c r="GJ82">
        <v>26251.599999999999</v>
      </c>
      <c r="GK82">
        <v>31413.4</v>
      </c>
      <c r="GL82">
        <v>26105.7</v>
      </c>
      <c r="GM82">
        <v>37510.9</v>
      </c>
      <c r="GN82">
        <v>31833.599999999999</v>
      </c>
      <c r="GO82">
        <v>46652.1</v>
      </c>
      <c r="GP82">
        <v>37955.699999999997</v>
      </c>
      <c r="GQ82">
        <v>1.9240999999999999</v>
      </c>
      <c r="GR82">
        <v>1.72763</v>
      </c>
      <c r="GS82">
        <v>-1.51992E-2</v>
      </c>
      <c r="GT82">
        <v>0</v>
      </c>
      <c r="GU82">
        <v>30.294499999999999</v>
      </c>
      <c r="GV82">
        <v>999.9</v>
      </c>
      <c r="GW82">
        <v>38.9</v>
      </c>
      <c r="GX82">
        <v>44.5</v>
      </c>
      <c r="GY82">
        <v>36.835099999999997</v>
      </c>
      <c r="GZ82">
        <v>62.366399999999999</v>
      </c>
      <c r="HA82">
        <v>22.52</v>
      </c>
      <c r="HB82">
        <v>1</v>
      </c>
      <c r="HC82">
        <v>0.47861300000000001</v>
      </c>
      <c r="HD82">
        <v>2.9571299999999998</v>
      </c>
      <c r="HE82">
        <v>20.268699999999999</v>
      </c>
      <c r="HF82">
        <v>5.2234299999999996</v>
      </c>
      <c r="HG82">
        <v>12.0604</v>
      </c>
      <c r="HH82">
        <v>4.9916</v>
      </c>
      <c r="HI82">
        <v>3.2919999999999998</v>
      </c>
      <c r="HJ82">
        <v>9999</v>
      </c>
      <c r="HK82">
        <v>9999</v>
      </c>
      <c r="HL82">
        <v>9999</v>
      </c>
      <c r="HM82">
        <v>464.3</v>
      </c>
      <c r="HN82">
        <v>1.86707</v>
      </c>
      <c r="HO82">
        <v>1.8705099999999999</v>
      </c>
      <c r="HP82">
        <v>1.8731199999999999</v>
      </c>
      <c r="HQ82">
        <v>1.8740000000000001</v>
      </c>
      <c r="HR82">
        <v>1.8707400000000001</v>
      </c>
      <c r="HS82">
        <v>1.8691800000000001</v>
      </c>
      <c r="HT82">
        <v>1.87059</v>
      </c>
      <c r="HU82">
        <v>1.87361</v>
      </c>
      <c r="HV82">
        <v>0</v>
      </c>
      <c r="HW82">
        <v>0</v>
      </c>
      <c r="HX82">
        <v>0</v>
      </c>
      <c r="HY82">
        <v>0</v>
      </c>
      <c r="HZ82" t="s">
        <v>424</v>
      </c>
      <c r="IA82" t="s">
        <v>425</v>
      </c>
      <c r="IB82" t="s">
        <v>426</v>
      </c>
      <c r="IC82" t="s">
        <v>426</v>
      </c>
      <c r="ID82" t="s">
        <v>426</v>
      </c>
      <c r="IE82" t="s">
        <v>426</v>
      </c>
      <c r="IF82">
        <v>0</v>
      </c>
      <c r="IG82">
        <v>100</v>
      </c>
      <c r="IH82">
        <v>100</v>
      </c>
      <c r="II82">
        <v>0.113</v>
      </c>
      <c r="IJ82">
        <v>0.26129999999999998</v>
      </c>
      <c r="IK82">
        <v>4.3712674507462343E-2</v>
      </c>
      <c r="IL82">
        <v>3.042515301972944E-3</v>
      </c>
      <c r="IM82">
        <v>-2.5091471490852929E-6</v>
      </c>
      <c r="IN82">
        <v>8.1339755115576286E-10</v>
      </c>
      <c r="IO82">
        <v>0.26124200547707138</v>
      </c>
      <c r="IP82">
        <v>0</v>
      </c>
      <c r="IQ82">
        <v>0</v>
      </c>
      <c r="IR82">
        <v>0</v>
      </c>
      <c r="IS82">
        <v>3</v>
      </c>
      <c r="IT82">
        <v>2004</v>
      </c>
      <c r="IU82">
        <v>2</v>
      </c>
      <c r="IV82">
        <v>22</v>
      </c>
      <c r="IW82">
        <v>0.7</v>
      </c>
      <c r="IX82">
        <v>0.5</v>
      </c>
      <c r="IY82">
        <v>0.20263700000000001</v>
      </c>
      <c r="IZ82">
        <v>2.6464799999999999</v>
      </c>
      <c r="JA82">
        <v>1.64917</v>
      </c>
      <c r="JB82">
        <v>2.33887</v>
      </c>
      <c r="JC82">
        <v>1.5991200000000001</v>
      </c>
      <c r="JD82">
        <v>2.3144499999999999</v>
      </c>
      <c r="JE82">
        <v>48.300899999999999</v>
      </c>
      <c r="JF82">
        <v>24.14</v>
      </c>
      <c r="JG82">
        <v>18</v>
      </c>
      <c r="JH82">
        <v>518.005</v>
      </c>
      <c r="JI82">
        <v>437.84699999999998</v>
      </c>
      <c r="JJ82">
        <v>27.549800000000001</v>
      </c>
      <c r="JK82">
        <v>33.207000000000001</v>
      </c>
      <c r="JL82">
        <v>30.000299999999999</v>
      </c>
      <c r="JM82">
        <v>33.281100000000002</v>
      </c>
      <c r="JN82">
        <v>33.2879</v>
      </c>
      <c r="JO82">
        <v>4.0776300000000001</v>
      </c>
      <c r="JP82">
        <v>53.4953</v>
      </c>
      <c r="JQ82">
        <v>0</v>
      </c>
      <c r="JR82">
        <v>27.541399999999999</v>
      </c>
      <c r="JS82">
        <v>30</v>
      </c>
      <c r="JT82">
        <v>20.4391</v>
      </c>
      <c r="JU82">
        <v>99.567700000000002</v>
      </c>
      <c r="JV82">
        <v>99.256600000000006</v>
      </c>
    </row>
    <row r="83" spans="1:282" x14ac:dyDescent="0.25">
      <c r="A83">
        <v>67</v>
      </c>
      <c r="B83">
        <v>1689011650.5</v>
      </c>
      <c r="C83">
        <v>12055.400000095369</v>
      </c>
      <c r="D83" t="s">
        <v>761</v>
      </c>
      <c r="E83" t="s">
        <v>762</v>
      </c>
      <c r="F83" t="s">
        <v>414</v>
      </c>
      <c r="G83" t="s">
        <v>415</v>
      </c>
      <c r="H83" t="s">
        <v>732</v>
      </c>
      <c r="I83" t="s">
        <v>416</v>
      </c>
      <c r="J83" t="s">
        <v>578</v>
      </c>
      <c r="K83">
        <v>1689011650.5</v>
      </c>
      <c r="L83">
        <f t="shared" si="92"/>
        <v>7.8016312751051069E-3</v>
      </c>
      <c r="M83">
        <f t="shared" si="93"/>
        <v>7.8016312751051071</v>
      </c>
      <c r="N83">
        <f t="shared" si="94"/>
        <v>1.8000057642640093</v>
      </c>
      <c r="O83">
        <f t="shared" si="95"/>
        <v>7.8831600000000002</v>
      </c>
      <c r="P83">
        <f t="shared" si="96"/>
        <v>2.6235558157201764</v>
      </c>
      <c r="Q83">
        <f t="shared" si="97"/>
        <v>0.2604923238363146</v>
      </c>
      <c r="R83">
        <f t="shared" si="98"/>
        <v>0.78271735454188807</v>
      </c>
      <c r="S83">
        <f t="shared" si="99"/>
        <v>0.61587575710616926</v>
      </c>
      <c r="T83">
        <f t="shared" si="100"/>
        <v>2.9166149009941273</v>
      </c>
      <c r="U83">
        <f t="shared" si="101"/>
        <v>0.55170909500766063</v>
      </c>
      <c r="V83">
        <f t="shared" si="102"/>
        <v>0.35002453818097923</v>
      </c>
      <c r="W83">
        <f t="shared" si="103"/>
        <v>289.56385657693176</v>
      </c>
      <c r="X83">
        <f t="shared" si="104"/>
        <v>30.41538635657766</v>
      </c>
      <c r="Y83">
        <f t="shared" si="105"/>
        <v>30.0076</v>
      </c>
      <c r="Z83">
        <f t="shared" si="106"/>
        <v>4.2623099734906358</v>
      </c>
      <c r="AA83">
        <f t="shared" si="107"/>
        <v>65.455213101092681</v>
      </c>
      <c r="AB83">
        <f t="shared" si="108"/>
        <v>2.9089726086870402</v>
      </c>
      <c r="AC83">
        <f t="shared" si="109"/>
        <v>4.4442183759974334</v>
      </c>
      <c r="AD83">
        <f t="shared" si="110"/>
        <v>1.3533373648035956</v>
      </c>
      <c r="AE83">
        <f t="shared" si="111"/>
        <v>-344.05193923213523</v>
      </c>
      <c r="AF83">
        <f t="shared" si="112"/>
        <v>114.72269983893192</v>
      </c>
      <c r="AG83">
        <f t="shared" si="113"/>
        <v>8.7782977269891269</v>
      </c>
      <c r="AH83">
        <f t="shared" si="114"/>
        <v>69.012914910717583</v>
      </c>
      <c r="AI83">
        <v>0</v>
      </c>
      <c r="AJ83">
        <v>0</v>
      </c>
      <c r="AK83">
        <f t="shared" si="115"/>
        <v>1</v>
      </c>
      <c r="AL83">
        <f t="shared" si="116"/>
        <v>0</v>
      </c>
      <c r="AM83">
        <f t="shared" si="117"/>
        <v>51840.845267945158</v>
      </c>
      <c r="AN83" t="s">
        <v>418</v>
      </c>
      <c r="AO83">
        <v>10021</v>
      </c>
      <c r="AP83">
        <v>177.53923076923081</v>
      </c>
      <c r="AQ83">
        <v>655.56</v>
      </c>
      <c r="AR83">
        <f t="shared" si="118"/>
        <v>0.72917928066198234</v>
      </c>
      <c r="AS83">
        <v>-3.1115002560329539</v>
      </c>
      <c r="AT83" t="s">
        <v>763</v>
      </c>
      <c r="AU83">
        <v>8026.38</v>
      </c>
      <c r="AV83">
        <v>831.13672000000008</v>
      </c>
      <c r="AW83">
        <v>888.94355740047979</v>
      </c>
      <c r="AX83">
        <f t="shared" si="119"/>
        <v>6.5028692675970445E-2</v>
      </c>
      <c r="AY83">
        <v>0.5</v>
      </c>
      <c r="AZ83">
        <f t="shared" si="120"/>
        <v>1513.1681992626591</v>
      </c>
      <c r="BA83">
        <f t="shared" si="121"/>
        <v>1.8000057642640093</v>
      </c>
      <c r="BB83">
        <f t="shared" si="122"/>
        <v>49.199674898451534</v>
      </c>
      <c r="BC83">
        <f t="shared" si="123"/>
        <v>3.2458427441775847E-3</v>
      </c>
      <c r="BD83">
        <f t="shared" si="124"/>
        <v>-0.26254035529877601</v>
      </c>
      <c r="BE83">
        <f t="shared" si="125"/>
        <v>191.12874605436409</v>
      </c>
      <c r="BF83" t="s">
        <v>764</v>
      </c>
      <c r="BG83">
        <v>635.87</v>
      </c>
      <c r="BH83">
        <f t="shared" si="126"/>
        <v>635.87</v>
      </c>
      <c r="BI83">
        <f t="shared" si="127"/>
        <v>0.28469024303470725</v>
      </c>
      <c r="BJ83">
        <f t="shared" si="128"/>
        <v>0.22841911258631603</v>
      </c>
      <c r="BK83">
        <f t="shared" si="129"/>
        <v>-11.852897785702414</v>
      </c>
      <c r="BL83">
        <f t="shared" si="130"/>
        <v>8.1257359895764936E-2</v>
      </c>
      <c r="BM83">
        <f t="shared" si="131"/>
        <v>-0.48822890640513505</v>
      </c>
      <c r="BN83">
        <f t="shared" si="132"/>
        <v>0.17475447495601054</v>
      </c>
      <c r="BO83">
        <f t="shared" si="133"/>
        <v>0.8252455250439894</v>
      </c>
      <c r="BP83">
        <v>22599</v>
      </c>
      <c r="BQ83">
        <v>290.00000000000011</v>
      </c>
      <c r="BR83">
        <v>870.62</v>
      </c>
      <c r="BS83">
        <v>165</v>
      </c>
      <c r="BT83">
        <v>8026.38</v>
      </c>
      <c r="BU83">
        <v>869.19</v>
      </c>
      <c r="BV83">
        <v>1.43</v>
      </c>
      <c r="BW83">
        <v>300.00000000000011</v>
      </c>
      <c r="BX83">
        <v>19.399999999999999</v>
      </c>
      <c r="BY83">
        <v>888.94355740047979</v>
      </c>
      <c r="BZ83">
        <v>2.374198077530612</v>
      </c>
      <c r="CA83">
        <v>-15.85596616352449</v>
      </c>
      <c r="CB83">
        <v>1.7485832707847611</v>
      </c>
      <c r="CC83">
        <v>0.74597802731631557</v>
      </c>
      <c r="CD83">
        <v>-4.1402518353726384E-3</v>
      </c>
      <c r="CE83">
        <v>289.99999999999989</v>
      </c>
      <c r="CF83">
        <v>867.29</v>
      </c>
      <c r="CG83">
        <v>625</v>
      </c>
      <c r="CH83">
        <v>8008.57</v>
      </c>
      <c r="CI83">
        <v>869.14</v>
      </c>
      <c r="CJ83">
        <v>-1.85</v>
      </c>
      <c r="CX83">
        <f t="shared" si="134"/>
        <v>1799.98</v>
      </c>
      <c r="CY83">
        <f t="shared" si="135"/>
        <v>1513.1681992626591</v>
      </c>
      <c r="CZ83">
        <f t="shared" si="136"/>
        <v>0.84065834023859098</v>
      </c>
      <c r="DA83">
        <f t="shared" si="137"/>
        <v>0.16087059666048054</v>
      </c>
      <c r="DB83">
        <v>6</v>
      </c>
      <c r="DC83">
        <v>0.5</v>
      </c>
      <c r="DD83" t="s">
        <v>421</v>
      </c>
      <c r="DE83">
        <v>2</v>
      </c>
      <c r="DF83">
        <v>1689011650.5</v>
      </c>
      <c r="DG83">
        <v>7.8831600000000002</v>
      </c>
      <c r="DH83">
        <v>10.117000000000001</v>
      </c>
      <c r="DI83">
        <v>29.297799999999999</v>
      </c>
      <c r="DJ83">
        <v>20.21</v>
      </c>
      <c r="DK83">
        <v>7.6236699999999997</v>
      </c>
      <c r="DL83">
        <v>29.032699999999998</v>
      </c>
      <c r="DM83">
        <v>499.99299999999999</v>
      </c>
      <c r="DN83">
        <v>99.190100000000001</v>
      </c>
      <c r="DO83">
        <v>9.9696800000000002E-2</v>
      </c>
      <c r="DP83">
        <v>30.737200000000001</v>
      </c>
      <c r="DQ83">
        <v>30.0076</v>
      </c>
      <c r="DR83">
        <v>999.9</v>
      </c>
      <c r="DS83">
        <v>0</v>
      </c>
      <c r="DT83">
        <v>0</v>
      </c>
      <c r="DU83">
        <v>10007.5</v>
      </c>
      <c r="DV83">
        <v>0</v>
      </c>
      <c r="DW83">
        <v>2087.83</v>
      </c>
      <c r="DX83">
        <v>-2.23387</v>
      </c>
      <c r="DY83">
        <v>8.1210900000000006</v>
      </c>
      <c r="DZ83">
        <v>10.325699999999999</v>
      </c>
      <c r="EA83">
        <v>9.08779</v>
      </c>
      <c r="EB83">
        <v>10.117000000000001</v>
      </c>
      <c r="EC83">
        <v>20.21</v>
      </c>
      <c r="ED83">
        <v>2.90605</v>
      </c>
      <c r="EE83">
        <v>2.0046300000000001</v>
      </c>
      <c r="EF83">
        <v>23.499199999999998</v>
      </c>
      <c r="EG83">
        <v>17.481000000000002</v>
      </c>
      <c r="EH83">
        <v>1799.98</v>
      </c>
      <c r="EI83">
        <v>0.97799499999999995</v>
      </c>
      <c r="EJ83">
        <v>2.2004800000000001E-2</v>
      </c>
      <c r="EK83">
        <v>0</v>
      </c>
      <c r="EL83">
        <v>831.13499999999999</v>
      </c>
      <c r="EM83">
        <v>5.0011200000000002</v>
      </c>
      <c r="EN83">
        <v>16775.400000000001</v>
      </c>
      <c r="EO83">
        <v>17210.7</v>
      </c>
      <c r="EP83">
        <v>48.5</v>
      </c>
      <c r="EQ83">
        <v>50.311999999999998</v>
      </c>
      <c r="ER83">
        <v>49.561999999999998</v>
      </c>
      <c r="ES83">
        <v>49.061999999999998</v>
      </c>
      <c r="ET83">
        <v>48.5</v>
      </c>
      <c r="EU83">
        <v>1755.48</v>
      </c>
      <c r="EV83">
        <v>39.5</v>
      </c>
      <c r="EW83">
        <v>0</v>
      </c>
      <c r="EX83">
        <v>115.7999999523163</v>
      </c>
      <c r="EY83">
        <v>0</v>
      </c>
      <c r="EZ83">
        <v>831.13672000000008</v>
      </c>
      <c r="FA83">
        <v>-0.42699998449009491</v>
      </c>
      <c r="FB83">
        <v>-34.530769268662539</v>
      </c>
      <c r="FC83">
        <v>16781.78</v>
      </c>
      <c r="FD83">
        <v>15</v>
      </c>
      <c r="FE83">
        <v>1689011618.5</v>
      </c>
      <c r="FF83" t="s">
        <v>765</v>
      </c>
      <c r="FG83">
        <v>1689011605.5</v>
      </c>
      <c r="FH83">
        <v>1689011618.5</v>
      </c>
      <c r="FI83">
        <v>73</v>
      </c>
      <c r="FJ83">
        <v>0.193</v>
      </c>
      <c r="FK83">
        <v>4.0000000000000001E-3</v>
      </c>
      <c r="FL83">
        <v>0.26600000000000001</v>
      </c>
      <c r="FM83">
        <v>0.215</v>
      </c>
      <c r="FN83">
        <v>10</v>
      </c>
      <c r="FO83">
        <v>20</v>
      </c>
      <c r="FP83">
        <v>0.44</v>
      </c>
      <c r="FQ83">
        <v>0.01</v>
      </c>
      <c r="FR83">
        <v>1.8285067840235589</v>
      </c>
      <c r="FS83">
        <v>-0.5041554432030797</v>
      </c>
      <c r="FT83">
        <v>6.634272967783425E-2</v>
      </c>
      <c r="FU83">
        <v>1</v>
      </c>
      <c r="FV83">
        <v>0.61827229340360734</v>
      </c>
      <c r="FW83">
        <v>3.7144657713326268E-3</v>
      </c>
      <c r="FX83">
        <v>1.4103663281240951E-3</v>
      </c>
      <c r="FY83">
        <v>1</v>
      </c>
      <c r="FZ83">
        <v>2</v>
      </c>
      <c r="GA83">
        <v>2</v>
      </c>
      <c r="GB83" t="s">
        <v>423</v>
      </c>
      <c r="GC83">
        <v>2.9249900000000002</v>
      </c>
      <c r="GD83">
        <v>2.8270599999999999</v>
      </c>
      <c r="GE83">
        <v>2.0091599999999999E-3</v>
      </c>
      <c r="GF83">
        <v>2.6877400000000001E-3</v>
      </c>
      <c r="GG83">
        <v>0.12875</v>
      </c>
      <c r="GH83">
        <v>9.9761299999999997E-2</v>
      </c>
      <c r="GI83">
        <v>32570.5</v>
      </c>
      <c r="GJ83">
        <v>26388.7</v>
      </c>
      <c r="GK83">
        <v>31408.3</v>
      </c>
      <c r="GL83">
        <v>26103.7</v>
      </c>
      <c r="GM83">
        <v>37513.199999999997</v>
      </c>
      <c r="GN83">
        <v>31874</v>
      </c>
      <c r="GO83">
        <v>46644.4</v>
      </c>
      <c r="GP83">
        <v>37952.800000000003</v>
      </c>
      <c r="GQ83">
        <v>1.9237200000000001</v>
      </c>
      <c r="GR83">
        <v>1.72532</v>
      </c>
      <c r="GS83">
        <v>-2.1867500000000002E-2</v>
      </c>
      <c r="GT83">
        <v>0</v>
      </c>
      <c r="GU83">
        <v>30.363399999999999</v>
      </c>
      <c r="GV83">
        <v>999.9</v>
      </c>
      <c r="GW83">
        <v>38.9</v>
      </c>
      <c r="GX83">
        <v>44.6</v>
      </c>
      <c r="GY83">
        <v>37.022500000000001</v>
      </c>
      <c r="GZ83">
        <v>62.246400000000001</v>
      </c>
      <c r="HA83">
        <v>22.524000000000001</v>
      </c>
      <c r="HB83">
        <v>1</v>
      </c>
      <c r="HC83">
        <v>0.48495899999999997</v>
      </c>
      <c r="HD83">
        <v>2.8907400000000001</v>
      </c>
      <c r="HE83">
        <v>20.27</v>
      </c>
      <c r="HF83">
        <v>5.22553</v>
      </c>
      <c r="HG83">
        <v>12.0604</v>
      </c>
      <c r="HH83">
        <v>4.9928499999999998</v>
      </c>
      <c r="HI83">
        <v>3.2919999999999998</v>
      </c>
      <c r="HJ83">
        <v>9999</v>
      </c>
      <c r="HK83">
        <v>9999</v>
      </c>
      <c r="HL83">
        <v>9999</v>
      </c>
      <c r="HM83">
        <v>464.3</v>
      </c>
      <c r="HN83">
        <v>1.86707</v>
      </c>
      <c r="HO83">
        <v>1.87049</v>
      </c>
      <c r="HP83">
        <v>1.87314</v>
      </c>
      <c r="HQ83">
        <v>1.8739600000000001</v>
      </c>
      <c r="HR83">
        <v>1.87073</v>
      </c>
      <c r="HS83">
        <v>1.8692</v>
      </c>
      <c r="HT83">
        <v>1.8705799999999999</v>
      </c>
      <c r="HU83">
        <v>1.87358</v>
      </c>
      <c r="HV83">
        <v>0</v>
      </c>
      <c r="HW83">
        <v>0</v>
      </c>
      <c r="HX83">
        <v>0</v>
      </c>
      <c r="HY83">
        <v>0</v>
      </c>
      <c r="HZ83" t="s">
        <v>424</v>
      </c>
      <c r="IA83" t="s">
        <v>425</v>
      </c>
      <c r="IB83" t="s">
        <v>426</v>
      </c>
      <c r="IC83" t="s">
        <v>426</v>
      </c>
      <c r="ID83" t="s">
        <v>426</v>
      </c>
      <c r="IE83" t="s">
        <v>426</v>
      </c>
      <c r="IF83">
        <v>0</v>
      </c>
      <c r="IG83">
        <v>100</v>
      </c>
      <c r="IH83">
        <v>100</v>
      </c>
      <c r="II83">
        <v>0.25900000000000001</v>
      </c>
      <c r="IJ83">
        <v>0.2651</v>
      </c>
      <c r="IK83">
        <v>0.2364337545111449</v>
      </c>
      <c r="IL83">
        <v>3.042515301972944E-3</v>
      </c>
      <c r="IM83">
        <v>-2.5091471490852929E-6</v>
      </c>
      <c r="IN83">
        <v>8.1339755115576286E-10</v>
      </c>
      <c r="IO83">
        <v>0.26507992209871828</v>
      </c>
      <c r="IP83">
        <v>0</v>
      </c>
      <c r="IQ83">
        <v>0</v>
      </c>
      <c r="IR83">
        <v>0</v>
      </c>
      <c r="IS83">
        <v>3</v>
      </c>
      <c r="IT83">
        <v>2004</v>
      </c>
      <c r="IU83">
        <v>2</v>
      </c>
      <c r="IV83">
        <v>22</v>
      </c>
      <c r="IW83">
        <v>0.8</v>
      </c>
      <c r="IX83">
        <v>0.5</v>
      </c>
      <c r="IY83">
        <v>0.157471</v>
      </c>
      <c r="IZ83">
        <v>2.66357</v>
      </c>
      <c r="JA83">
        <v>1.64917</v>
      </c>
      <c r="JB83">
        <v>2.33887</v>
      </c>
      <c r="JC83">
        <v>1.5991200000000001</v>
      </c>
      <c r="JD83">
        <v>2.33643</v>
      </c>
      <c r="JE83">
        <v>48.4238</v>
      </c>
      <c r="JF83">
        <v>24.14</v>
      </c>
      <c r="JG83">
        <v>18</v>
      </c>
      <c r="JH83">
        <v>518.25699999999995</v>
      </c>
      <c r="JI83">
        <v>436.80799999999999</v>
      </c>
      <c r="JJ83">
        <v>27.605499999999999</v>
      </c>
      <c r="JK83">
        <v>33.277900000000002</v>
      </c>
      <c r="JL83">
        <v>30.000699999999998</v>
      </c>
      <c r="JM83">
        <v>33.345300000000002</v>
      </c>
      <c r="JN83">
        <v>33.350999999999999</v>
      </c>
      <c r="JO83">
        <v>3.1715900000000001</v>
      </c>
      <c r="JP83">
        <v>54.225700000000003</v>
      </c>
      <c r="JQ83">
        <v>0</v>
      </c>
      <c r="JR83">
        <v>27.582100000000001</v>
      </c>
      <c r="JS83">
        <v>10</v>
      </c>
      <c r="JT83">
        <v>20.180399999999999</v>
      </c>
      <c r="JU83">
        <v>99.551500000000004</v>
      </c>
      <c r="JV83">
        <v>99.248999999999995</v>
      </c>
    </row>
    <row r="84" spans="1:282" x14ac:dyDescent="0.25">
      <c r="A84">
        <v>68</v>
      </c>
      <c r="B84">
        <v>1689011840</v>
      </c>
      <c r="C84">
        <v>12244.900000095369</v>
      </c>
      <c r="D84" t="s">
        <v>766</v>
      </c>
      <c r="E84" t="s">
        <v>767</v>
      </c>
      <c r="F84" t="s">
        <v>414</v>
      </c>
      <c r="G84" t="s">
        <v>415</v>
      </c>
      <c r="H84" t="s">
        <v>732</v>
      </c>
      <c r="I84" t="s">
        <v>416</v>
      </c>
      <c r="J84" t="s">
        <v>578</v>
      </c>
      <c r="K84">
        <v>1689011840</v>
      </c>
      <c r="L84">
        <f t="shared" si="92"/>
        <v>7.1371862817146709E-3</v>
      </c>
      <c r="M84">
        <f t="shared" si="93"/>
        <v>7.137186281714671</v>
      </c>
      <c r="N84">
        <f t="shared" si="94"/>
        <v>49.405191279321237</v>
      </c>
      <c r="O84">
        <f t="shared" si="95"/>
        <v>337.77699999999999</v>
      </c>
      <c r="P84">
        <f t="shared" si="96"/>
        <v>174.9471288233745</v>
      </c>
      <c r="Q84">
        <f t="shared" si="97"/>
        <v>17.369002873450125</v>
      </c>
      <c r="R84">
        <f t="shared" si="98"/>
        <v>33.534986958879998</v>
      </c>
      <c r="S84">
        <f t="shared" si="99"/>
        <v>0.54818528080592677</v>
      </c>
      <c r="T84">
        <f t="shared" si="100"/>
        <v>2.9147068305382615</v>
      </c>
      <c r="U84">
        <f t="shared" si="101"/>
        <v>0.49668841083840859</v>
      </c>
      <c r="V84">
        <f t="shared" si="102"/>
        <v>0.31465292405111994</v>
      </c>
      <c r="W84">
        <f t="shared" si="103"/>
        <v>289.56168157728411</v>
      </c>
      <c r="X84">
        <f t="shared" si="104"/>
        <v>30.418826831911314</v>
      </c>
      <c r="Y84">
        <f t="shared" si="105"/>
        <v>29.858000000000001</v>
      </c>
      <c r="Z84">
        <f t="shared" si="106"/>
        <v>4.2258232544012717</v>
      </c>
      <c r="AA84">
        <f t="shared" si="107"/>
        <v>64.753375432050589</v>
      </c>
      <c r="AB84">
        <f t="shared" si="108"/>
        <v>2.8500325855040001</v>
      </c>
      <c r="AC84">
        <f t="shared" si="109"/>
        <v>4.4013652824858562</v>
      </c>
      <c r="AD84">
        <f t="shared" si="110"/>
        <v>1.3757906688972716</v>
      </c>
      <c r="AE84">
        <f t="shared" si="111"/>
        <v>-314.74991502361701</v>
      </c>
      <c r="AF84">
        <f t="shared" si="112"/>
        <v>111.52060769767021</v>
      </c>
      <c r="AG84">
        <f t="shared" si="113"/>
        <v>8.5254018478765605</v>
      </c>
      <c r="AH84">
        <f t="shared" si="114"/>
        <v>94.857776099213851</v>
      </c>
      <c r="AI84">
        <v>0</v>
      </c>
      <c r="AJ84">
        <v>0</v>
      </c>
      <c r="AK84">
        <f t="shared" si="115"/>
        <v>1</v>
      </c>
      <c r="AL84">
        <f t="shared" si="116"/>
        <v>0</v>
      </c>
      <c r="AM84">
        <f t="shared" si="117"/>
        <v>51815.378877474017</v>
      </c>
      <c r="AN84" t="s">
        <v>418</v>
      </c>
      <c r="AO84">
        <v>10021</v>
      </c>
      <c r="AP84">
        <v>177.53923076923081</v>
      </c>
      <c r="AQ84">
        <v>655.56</v>
      </c>
      <c r="AR84">
        <f t="shared" si="118"/>
        <v>0.72917928066198234</v>
      </c>
      <c r="AS84">
        <v>-3.1115002560329539</v>
      </c>
      <c r="AT84" t="s">
        <v>768</v>
      </c>
      <c r="AU84">
        <v>8019.41</v>
      </c>
      <c r="AV84">
        <v>765.25753846153862</v>
      </c>
      <c r="AW84">
        <v>1198.4549141077191</v>
      </c>
      <c r="AX84">
        <f t="shared" si="119"/>
        <v>0.36146322281026921</v>
      </c>
      <c r="AY84">
        <v>0.5</v>
      </c>
      <c r="AZ84">
        <f t="shared" si="120"/>
        <v>1513.1594992628413</v>
      </c>
      <c r="BA84">
        <f t="shared" si="121"/>
        <v>49.405191279321237</v>
      </c>
      <c r="BB84">
        <f t="shared" si="122"/>
        <v>273.47575461475992</v>
      </c>
      <c r="BC84">
        <f t="shared" si="123"/>
        <v>3.4706646299308495E-2</v>
      </c>
      <c r="BD84">
        <f t="shared" si="124"/>
        <v>-0.45299569280160912</v>
      </c>
      <c r="BE84">
        <f t="shared" si="125"/>
        <v>202.36556343264519</v>
      </c>
      <c r="BF84" t="s">
        <v>769</v>
      </c>
      <c r="BG84">
        <v>589.12</v>
      </c>
      <c r="BH84">
        <f t="shared" si="126"/>
        <v>589.12</v>
      </c>
      <c r="BI84">
        <f t="shared" si="127"/>
        <v>0.50843373992202689</v>
      </c>
      <c r="BJ84">
        <f t="shared" si="128"/>
        <v>0.71093476775499398</v>
      </c>
      <c r="BK84">
        <f t="shared" si="129"/>
        <v>-8.1712058113744686</v>
      </c>
      <c r="BL84">
        <f t="shared" si="130"/>
        <v>0.42432238304889702</v>
      </c>
      <c r="BM84">
        <f t="shared" si="131"/>
        <v>-1.1357140715482834</v>
      </c>
      <c r="BN84">
        <f t="shared" si="132"/>
        <v>0.54730057442076674</v>
      </c>
      <c r="BO84">
        <f t="shared" si="133"/>
        <v>0.45269942557923326</v>
      </c>
      <c r="BP84">
        <v>22601</v>
      </c>
      <c r="BQ84">
        <v>290.00000000000011</v>
      </c>
      <c r="BR84">
        <v>999.64</v>
      </c>
      <c r="BS84">
        <v>255</v>
      </c>
      <c r="BT84">
        <v>8019.41</v>
      </c>
      <c r="BU84">
        <v>1001.77</v>
      </c>
      <c r="BV84">
        <v>-2.13</v>
      </c>
      <c r="BW84">
        <v>300.00000000000011</v>
      </c>
      <c r="BX84">
        <v>19.399999999999999</v>
      </c>
      <c r="BY84">
        <v>1198.4549141077191</v>
      </c>
      <c r="BZ84">
        <v>4.4253438998781096</v>
      </c>
      <c r="CA84">
        <v>-157.7330356297729</v>
      </c>
      <c r="CB84">
        <v>3.2591793020286479</v>
      </c>
      <c r="CC84">
        <v>0.98818678099369506</v>
      </c>
      <c r="CD84">
        <v>-4.1408313681868831E-3</v>
      </c>
      <c r="CE84">
        <v>289.99999999999989</v>
      </c>
      <c r="CF84">
        <v>979.41</v>
      </c>
      <c r="CG84">
        <v>635</v>
      </c>
      <c r="CH84">
        <v>8008.06</v>
      </c>
      <c r="CI84">
        <v>1001.49</v>
      </c>
      <c r="CJ84">
        <v>-22.08</v>
      </c>
      <c r="CX84">
        <f t="shared" si="134"/>
        <v>1799.97</v>
      </c>
      <c r="CY84">
        <f t="shared" si="135"/>
        <v>1513.1594992628413</v>
      </c>
      <c r="CZ84">
        <f t="shared" si="136"/>
        <v>0.84065817722675451</v>
      </c>
      <c r="DA84">
        <f t="shared" si="137"/>
        <v>0.1608702820476364</v>
      </c>
      <c r="DB84">
        <v>6</v>
      </c>
      <c r="DC84">
        <v>0.5</v>
      </c>
      <c r="DD84" t="s">
        <v>421</v>
      </c>
      <c r="DE84">
        <v>2</v>
      </c>
      <c r="DF84">
        <v>1689011840</v>
      </c>
      <c r="DG84">
        <v>337.77699999999999</v>
      </c>
      <c r="DH84">
        <v>399.94</v>
      </c>
      <c r="DI84">
        <v>28.706600000000002</v>
      </c>
      <c r="DJ84">
        <v>20.39</v>
      </c>
      <c r="DK84">
        <v>336.84899999999999</v>
      </c>
      <c r="DL84">
        <v>28.433299999999999</v>
      </c>
      <c r="DM84">
        <v>500.13</v>
      </c>
      <c r="DN84">
        <v>99.181100000000001</v>
      </c>
      <c r="DO84">
        <v>0.10034</v>
      </c>
      <c r="DP84">
        <v>30.567699999999999</v>
      </c>
      <c r="DQ84">
        <v>29.858000000000001</v>
      </c>
      <c r="DR84">
        <v>999.9</v>
      </c>
      <c r="DS84">
        <v>0</v>
      </c>
      <c r="DT84">
        <v>0</v>
      </c>
      <c r="DU84">
        <v>9997.5</v>
      </c>
      <c r="DV84">
        <v>0</v>
      </c>
      <c r="DW84">
        <v>613.58600000000001</v>
      </c>
      <c r="DX84">
        <v>-62.163200000000003</v>
      </c>
      <c r="DY84">
        <v>347.76</v>
      </c>
      <c r="DZ84">
        <v>408.26499999999999</v>
      </c>
      <c r="EA84">
        <v>8.3165600000000008</v>
      </c>
      <c r="EB84">
        <v>399.94</v>
      </c>
      <c r="EC84">
        <v>20.39</v>
      </c>
      <c r="ED84">
        <v>2.8471500000000001</v>
      </c>
      <c r="EE84">
        <v>2.0223</v>
      </c>
      <c r="EF84">
        <v>23.16</v>
      </c>
      <c r="EG84">
        <v>17.62</v>
      </c>
      <c r="EH84">
        <v>1799.97</v>
      </c>
      <c r="EI84">
        <v>0.97799899999999995</v>
      </c>
      <c r="EJ84">
        <v>2.2001099999999999E-2</v>
      </c>
      <c r="EK84">
        <v>0</v>
      </c>
      <c r="EL84">
        <v>764.75900000000001</v>
      </c>
      <c r="EM84">
        <v>5.0011200000000002</v>
      </c>
      <c r="EN84">
        <v>15004.7</v>
      </c>
      <c r="EO84">
        <v>17210.599999999999</v>
      </c>
      <c r="EP84">
        <v>48.75</v>
      </c>
      <c r="EQ84">
        <v>50.375</v>
      </c>
      <c r="ER84">
        <v>49.811999999999998</v>
      </c>
      <c r="ES84">
        <v>49.25</v>
      </c>
      <c r="ET84">
        <v>49.5</v>
      </c>
      <c r="EU84">
        <v>1755.48</v>
      </c>
      <c r="EV84">
        <v>39.49</v>
      </c>
      <c r="EW84">
        <v>0</v>
      </c>
      <c r="EX84">
        <v>187.79999995231631</v>
      </c>
      <c r="EY84">
        <v>0</v>
      </c>
      <c r="EZ84">
        <v>765.25753846153862</v>
      </c>
      <c r="FA84">
        <v>-5.3748376065707424</v>
      </c>
      <c r="FB84">
        <v>-86.923076924845901</v>
      </c>
      <c r="FC84">
        <v>15015.196153846149</v>
      </c>
      <c r="FD84">
        <v>15</v>
      </c>
      <c r="FE84">
        <v>1689011745</v>
      </c>
      <c r="FF84" t="s">
        <v>770</v>
      </c>
      <c r="FG84">
        <v>1689011732</v>
      </c>
      <c r="FH84">
        <v>1689011745</v>
      </c>
      <c r="FI84">
        <v>74</v>
      </c>
      <c r="FJ84">
        <v>-7.9000000000000001E-2</v>
      </c>
      <c r="FK84">
        <v>8.0000000000000002E-3</v>
      </c>
      <c r="FL84">
        <v>1.0229999999999999</v>
      </c>
      <c r="FM84">
        <v>0.217</v>
      </c>
      <c r="FN84">
        <v>400</v>
      </c>
      <c r="FO84">
        <v>20</v>
      </c>
      <c r="FP84">
        <v>0.04</v>
      </c>
      <c r="FQ84">
        <v>0.01</v>
      </c>
      <c r="FR84">
        <v>48.741334001095836</v>
      </c>
      <c r="FS84">
        <v>3.954542663522548</v>
      </c>
      <c r="FT84">
        <v>0.30278150667755288</v>
      </c>
      <c r="FU84">
        <v>0</v>
      </c>
      <c r="FV84">
        <v>0.55605469457729406</v>
      </c>
      <c r="FW84">
        <v>-3.6748972743260451E-2</v>
      </c>
      <c r="FX84">
        <v>2.840596293273608E-3</v>
      </c>
      <c r="FY84">
        <v>1</v>
      </c>
      <c r="FZ84">
        <v>1</v>
      </c>
      <c r="GA84">
        <v>2</v>
      </c>
      <c r="GB84" t="s">
        <v>462</v>
      </c>
      <c r="GC84">
        <v>2.9252500000000001</v>
      </c>
      <c r="GD84">
        <v>2.82761</v>
      </c>
      <c r="GE84">
        <v>7.6932E-2</v>
      </c>
      <c r="GF84">
        <v>8.8260199999999997E-2</v>
      </c>
      <c r="GG84">
        <v>0.12686900000000001</v>
      </c>
      <c r="GH84">
        <v>0.10036200000000001</v>
      </c>
      <c r="GI84">
        <v>30123</v>
      </c>
      <c r="GJ84">
        <v>24124.799999999999</v>
      </c>
      <c r="GK84">
        <v>31403.3</v>
      </c>
      <c r="GL84">
        <v>26101.1</v>
      </c>
      <c r="GM84">
        <v>37590.5</v>
      </c>
      <c r="GN84">
        <v>31851.599999999999</v>
      </c>
      <c r="GO84">
        <v>46637.7</v>
      </c>
      <c r="GP84">
        <v>37950.1</v>
      </c>
      <c r="GQ84">
        <v>1.92245</v>
      </c>
      <c r="GR84">
        <v>1.7249699999999999</v>
      </c>
      <c r="GS84">
        <v>-2.88151E-2</v>
      </c>
      <c r="GT84">
        <v>0</v>
      </c>
      <c r="GU84">
        <v>30.326899999999998</v>
      </c>
      <c r="GV84">
        <v>999.9</v>
      </c>
      <c r="GW84">
        <v>38.6</v>
      </c>
      <c r="GX84">
        <v>44.8</v>
      </c>
      <c r="GY84">
        <v>37.125100000000003</v>
      </c>
      <c r="GZ84">
        <v>62.5364</v>
      </c>
      <c r="HA84">
        <v>21.9511</v>
      </c>
      <c r="HB84">
        <v>1</v>
      </c>
      <c r="HC84">
        <v>0.419657</v>
      </c>
      <c r="HD84">
        <v>1.4659599999999999</v>
      </c>
      <c r="HE84">
        <v>20.288599999999999</v>
      </c>
      <c r="HF84">
        <v>5.2250800000000002</v>
      </c>
      <c r="HG84">
        <v>12.061</v>
      </c>
      <c r="HH84">
        <v>4.9932999999999996</v>
      </c>
      <c r="HI84">
        <v>3.2919999999999998</v>
      </c>
      <c r="HJ84">
        <v>9999</v>
      </c>
      <c r="HK84">
        <v>9999</v>
      </c>
      <c r="HL84">
        <v>9999</v>
      </c>
      <c r="HM84">
        <v>464.4</v>
      </c>
      <c r="HN84">
        <v>1.86704</v>
      </c>
      <c r="HO84">
        <v>1.87042</v>
      </c>
      <c r="HP84">
        <v>1.87304</v>
      </c>
      <c r="HQ84">
        <v>1.8739399999999999</v>
      </c>
      <c r="HR84">
        <v>1.87073</v>
      </c>
      <c r="HS84">
        <v>1.8690800000000001</v>
      </c>
      <c r="HT84">
        <v>1.8705700000000001</v>
      </c>
      <c r="HU84">
        <v>1.87354</v>
      </c>
      <c r="HV84">
        <v>0</v>
      </c>
      <c r="HW84">
        <v>0</v>
      </c>
      <c r="HX84">
        <v>0</v>
      </c>
      <c r="HY84">
        <v>0</v>
      </c>
      <c r="HZ84" t="s">
        <v>424</v>
      </c>
      <c r="IA84" t="s">
        <v>425</v>
      </c>
      <c r="IB84" t="s">
        <v>426</v>
      </c>
      <c r="IC84" t="s">
        <v>426</v>
      </c>
      <c r="ID84" t="s">
        <v>426</v>
      </c>
      <c r="IE84" t="s">
        <v>426</v>
      </c>
      <c r="IF84">
        <v>0</v>
      </c>
      <c r="IG84">
        <v>100</v>
      </c>
      <c r="IH84">
        <v>100</v>
      </c>
      <c r="II84">
        <v>0.92800000000000005</v>
      </c>
      <c r="IJ84">
        <v>0.27329999999999999</v>
      </c>
      <c r="IK84">
        <v>0.15693292619314769</v>
      </c>
      <c r="IL84">
        <v>3.042515301972944E-3</v>
      </c>
      <c r="IM84">
        <v>-2.5091471490852929E-6</v>
      </c>
      <c r="IN84">
        <v>8.1339755115576286E-10</v>
      </c>
      <c r="IO84">
        <v>0.27321297081550022</v>
      </c>
      <c r="IP84">
        <v>0</v>
      </c>
      <c r="IQ84">
        <v>0</v>
      </c>
      <c r="IR84">
        <v>0</v>
      </c>
      <c r="IS84">
        <v>3</v>
      </c>
      <c r="IT84">
        <v>2004</v>
      </c>
      <c r="IU84">
        <v>2</v>
      </c>
      <c r="IV84">
        <v>22</v>
      </c>
      <c r="IW84">
        <v>1.8</v>
      </c>
      <c r="IX84">
        <v>1.6</v>
      </c>
      <c r="IY84">
        <v>1.02661</v>
      </c>
      <c r="IZ84">
        <v>2.6208499999999999</v>
      </c>
      <c r="JA84">
        <v>1.64917</v>
      </c>
      <c r="JB84">
        <v>2.33765</v>
      </c>
      <c r="JC84">
        <v>1.5991200000000001</v>
      </c>
      <c r="JD84">
        <v>2.2448700000000001</v>
      </c>
      <c r="JE84">
        <v>48.546999999999997</v>
      </c>
      <c r="JF84">
        <v>24.1663</v>
      </c>
      <c r="JG84">
        <v>18</v>
      </c>
      <c r="JH84">
        <v>518.11099999999999</v>
      </c>
      <c r="JI84">
        <v>437.22199999999998</v>
      </c>
      <c r="JJ84">
        <v>28.2361</v>
      </c>
      <c r="JK84">
        <v>33.371099999999998</v>
      </c>
      <c r="JL84">
        <v>29.999600000000001</v>
      </c>
      <c r="JM84">
        <v>33.434699999999999</v>
      </c>
      <c r="JN84">
        <v>33.440100000000001</v>
      </c>
      <c r="JO84">
        <v>20.5611</v>
      </c>
      <c r="JP84">
        <v>53.113799999999998</v>
      </c>
      <c r="JQ84">
        <v>0</v>
      </c>
      <c r="JR84">
        <v>28.319500000000001</v>
      </c>
      <c r="JS84">
        <v>400</v>
      </c>
      <c r="JT84">
        <v>20.612200000000001</v>
      </c>
      <c r="JU84">
        <v>99.536500000000004</v>
      </c>
      <c r="JV84">
        <v>99.240700000000004</v>
      </c>
    </row>
    <row r="85" spans="1:282" x14ac:dyDescent="0.25">
      <c r="A85">
        <v>69</v>
      </c>
      <c r="B85">
        <v>1689011966.5</v>
      </c>
      <c r="C85">
        <v>12371.400000095369</v>
      </c>
      <c r="D85" t="s">
        <v>771</v>
      </c>
      <c r="E85" t="s">
        <v>772</v>
      </c>
      <c r="F85" t="s">
        <v>414</v>
      </c>
      <c r="G85" t="s">
        <v>415</v>
      </c>
      <c r="H85" t="s">
        <v>732</v>
      </c>
      <c r="I85" t="s">
        <v>416</v>
      </c>
      <c r="J85" t="s">
        <v>578</v>
      </c>
      <c r="K85">
        <v>1689011966.5</v>
      </c>
      <c r="L85">
        <f t="shared" si="92"/>
        <v>6.4447498735678201E-3</v>
      </c>
      <c r="M85">
        <f t="shared" si="93"/>
        <v>6.4447498735678197</v>
      </c>
      <c r="N85">
        <f t="shared" si="94"/>
        <v>53.047382643119299</v>
      </c>
      <c r="O85">
        <f t="shared" si="95"/>
        <v>333.79700000000003</v>
      </c>
      <c r="P85">
        <f t="shared" si="96"/>
        <v>142.6348632049268</v>
      </c>
      <c r="Q85">
        <f t="shared" si="97"/>
        <v>14.161960393846909</v>
      </c>
      <c r="R85">
        <f t="shared" si="98"/>
        <v>33.142106967167003</v>
      </c>
      <c r="S85">
        <f t="shared" si="99"/>
        <v>0.49345044407444849</v>
      </c>
      <c r="T85">
        <f t="shared" si="100"/>
        <v>2.9120919902229407</v>
      </c>
      <c r="U85">
        <f t="shared" si="101"/>
        <v>0.45126654170615538</v>
      </c>
      <c r="V85">
        <f t="shared" si="102"/>
        <v>0.2855305221698215</v>
      </c>
      <c r="W85">
        <f t="shared" si="103"/>
        <v>289.59896857710567</v>
      </c>
      <c r="X85">
        <f t="shared" si="104"/>
        <v>31.033947369678245</v>
      </c>
      <c r="Y85">
        <f t="shared" si="105"/>
        <v>30.045000000000002</v>
      </c>
      <c r="Z85">
        <f t="shared" si="106"/>
        <v>4.271474436933647</v>
      </c>
      <c r="AA85">
        <f t="shared" si="107"/>
        <v>64.379180944649079</v>
      </c>
      <c r="AB85">
        <f t="shared" si="108"/>
        <v>2.9047361857316001</v>
      </c>
      <c r="AC85">
        <f t="shared" si="109"/>
        <v>4.5119185163740871</v>
      </c>
      <c r="AD85">
        <f t="shared" si="110"/>
        <v>1.3667382512020469</v>
      </c>
      <c r="AE85">
        <f t="shared" si="111"/>
        <v>-284.21346942434087</v>
      </c>
      <c r="AF85">
        <f t="shared" si="112"/>
        <v>150.26154480202973</v>
      </c>
      <c r="AG85">
        <f t="shared" si="113"/>
        <v>11.532732697285789</v>
      </c>
      <c r="AH85">
        <f t="shared" si="114"/>
        <v>167.17977665208031</v>
      </c>
      <c r="AI85">
        <v>0</v>
      </c>
      <c r="AJ85">
        <v>0</v>
      </c>
      <c r="AK85">
        <f t="shared" si="115"/>
        <v>1</v>
      </c>
      <c r="AL85">
        <f t="shared" si="116"/>
        <v>0</v>
      </c>
      <c r="AM85">
        <f t="shared" si="117"/>
        <v>51667.321511672097</v>
      </c>
      <c r="AN85" t="s">
        <v>418</v>
      </c>
      <c r="AO85">
        <v>10021</v>
      </c>
      <c r="AP85">
        <v>177.53923076923081</v>
      </c>
      <c r="AQ85">
        <v>655.56</v>
      </c>
      <c r="AR85">
        <f t="shared" si="118"/>
        <v>0.72917928066198234</v>
      </c>
      <c r="AS85">
        <v>-3.1115002560329539</v>
      </c>
      <c r="AT85" t="s">
        <v>773</v>
      </c>
      <c r="AU85">
        <v>8018.6</v>
      </c>
      <c r="AV85">
        <v>765.55396000000007</v>
      </c>
      <c r="AW85">
        <v>1155.0944706827081</v>
      </c>
      <c r="AX85">
        <f t="shared" si="119"/>
        <v>0.33723692786138404</v>
      </c>
      <c r="AY85">
        <v>0.5</v>
      </c>
      <c r="AZ85">
        <f t="shared" si="120"/>
        <v>1513.3529992627491</v>
      </c>
      <c r="BA85">
        <f t="shared" si="121"/>
        <v>53.047382643119299</v>
      </c>
      <c r="BB85">
        <f t="shared" si="122"/>
        <v>255.17925812059045</v>
      </c>
      <c r="BC85">
        <f t="shared" si="123"/>
        <v>3.710891175192492E-2</v>
      </c>
      <c r="BD85">
        <f t="shared" si="124"/>
        <v>-0.43246200493667225</v>
      </c>
      <c r="BE85">
        <f t="shared" si="125"/>
        <v>201.09093496654432</v>
      </c>
      <c r="BF85" t="s">
        <v>774</v>
      </c>
      <c r="BG85">
        <v>590.83000000000004</v>
      </c>
      <c r="BH85">
        <f t="shared" si="126"/>
        <v>590.83000000000004</v>
      </c>
      <c r="BI85">
        <f t="shared" si="127"/>
        <v>0.48850071141731344</v>
      </c>
      <c r="BJ85">
        <f t="shared" si="128"/>
        <v>0.69035094520730655</v>
      </c>
      <c r="BK85">
        <f t="shared" si="129"/>
        <v>-7.7172017717087735</v>
      </c>
      <c r="BL85">
        <f t="shared" si="130"/>
        <v>0.39848439738012759</v>
      </c>
      <c r="BM85">
        <f t="shared" si="131"/>
        <v>-1.0450057881094976</v>
      </c>
      <c r="BN85">
        <f t="shared" si="132"/>
        <v>0.53279072445374454</v>
      </c>
      <c r="BO85">
        <f t="shared" si="133"/>
        <v>0.46720927554625546</v>
      </c>
      <c r="BP85">
        <v>22603</v>
      </c>
      <c r="BQ85">
        <v>290.00000000000011</v>
      </c>
      <c r="BR85">
        <v>1010.73</v>
      </c>
      <c r="BS85">
        <v>295</v>
      </c>
      <c r="BT85">
        <v>8018.6</v>
      </c>
      <c r="BU85">
        <v>1012.87</v>
      </c>
      <c r="BV85">
        <v>-2.14</v>
      </c>
      <c r="BW85">
        <v>300.00000000000011</v>
      </c>
      <c r="BX85">
        <v>19.399999999999999</v>
      </c>
      <c r="BY85">
        <v>1155.0944706827081</v>
      </c>
      <c r="BZ85">
        <v>4.119529153455427</v>
      </c>
      <c r="CA85">
        <v>-114.04057512296539</v>
      </c>
      <c r="CB85">
        <v>3.0343888196630302</v>
      </c>
      <c r="CC85">
        <v>0.98056177293340641</v>
      </c>
      <c r="CD85">
        <v>-4.1410200222469409E-3</v>
      </c>
      <c r="CE85">
        <v>289.99999999999989</v>
      </c>
      <c r="CF85">
        <v>1003.31</v>
      </c>
      <c r="CG85">
        <v>645</v>
      </c>
      <c r="CH85">
        <v>8008.95</v>
      </c>
      <c r="CI85">
        <v>1012.7</v>
      </c>
      <c r="CJ85">
        <v>-9.39</v>
      </c>
      <c r="CX85">
        <f t="shared" si="134"/>
        <v>1800.2</v>
      </c>
      <c r="CY85">
        <f t="shared" si="135"/>
        <v>1513.3529992627491</v>
      </c>
      <c r="CZ85">
        <f t="shared" si="136"/>
        <v>0.84065825978377351</v>
      </c>
      <c r="DA85">
        <f t="shared" si="137"/>
        <v>0.16087044138268283</v>
      </c>
      <c r="DB85">
        <v>6</v>
      </c>
      <c r="DC85">
        <v>0.5</v>
      </c>
      <c r="DD85" t="s">
        <v>421</v>
      </c>
      <c r="DE85">
        <v>2</v>
      </c>
      <c r="DF85">
        <v>1689011966.5</v>
      </c>
      <c r="DG85">
        <v>333.79700000000003</v>
      </c>
      <c r="DH85">
        <v>400.02699999999999</v>
      </c>
      <c r="DI85">
        <v>29.255600000000001</v>
      </c>
      <c r="DJ85">
        <v>21.749099999999999</v>
      </c>
      <c r="DK85">
        <v>332.91899999999998</v>
      </c>
      <c r="DL85">
        <v>28.985399999999998</v>
      </c>
      <c r="DM85">
        <v>500.06299999999999</v>
      </c>
      <c r="DN85">
        <v>99.187899999999999</v>
      </c>
      <c r="DO85">
        <v>0.100311</v>
      </c>
      <c r="DP85">
        <v>31.002099999999999</v>
      </c>
      <c r="DQ85">
        <v>30.045000000000002</v>
      </c>
      <c r="DR85">
        <v>999.9</v>
      </c>
      <c r="DS85">
        <v>0</v>
      </c>
      <c r="DT85">
        <v>0</v>
      </c>
      <c r="DU85">
        <v>9981.8799999999992</v>
      </c>
      <c r="DV85">
        <v>0</v>
      </c>
      <c r="DW85">
        <v>1375.18</v>
      </c>
      <c r="DX85">
        <v>-66.230500000000006</v>
      </c>
      <c r="DY85">
        <v>343.85700000000003</v>
      </c>
      <c r="DZ85">
        <v>408.92099999999999</v>
      </c>
      <c r="EA85">
        <v>7.5064900000000003</v>
      </c>
      <c r="EB85">
        <v>400.02699999999999</v>
      </c>
      <c r="EC85">
        <v>21.749099999999999</v>
      </c>
      <c r="ED85">
        <v>2.9018000000000002</v>
      </c>
      <c r="EE85">
        <v>2.1572499999999999</v>
      </c>
      <c r="EF85">
        <v>23.474900000000002</v>
      </c>
      <c r="EG85">
        <v>18.648299999999999</v>
      </c>
      <c r="EH85">
        <v>1800.2</v>
      </c>
      <c r="EI85">
        <v>0.97799899999999995</v>
      </c>
      <c r="EJ85">
        <v>2.2001199999999999E-2</v>
      </c>
      <c r="EK85">
        <v>0</v>
      </c>
      <c r="EL85">
        <v>765.53700000000003</v>
      </c>
      <c r="EM85">
        <v>5.0011200000000002</v>
      </c>
      <c r="EN85">
        <v>15380</v>
      </c>
      <c r="EO85">
        <v>17212.8</v>
      </c>
      <c r="EP85">
        <v>48.436999999999998</v>
      </c>
      <c r="EQ85">
        <v>49.625</v>
      </c>
      <c r="ER85">
        <v>49.436999999999998</v>
      </c>
      <c r="ES85">
        <v>48.875</v>
      </c>
      <c r="ET85">
        <v>49.25</v>
      </c>
      <c r="EU85">
        <v>1755.7</v>
      </c>
      <c r="EV85">
        <v>39.5</v>
      </c>
      <c r="EW85">
        <v>0</v>
      </c>
      <c r="EX85">
        <v>124.7999999523163</v>
      </c>
      <c r="EY85">
        <v>0</v>
      </c>
      <c r="EZ85">
        <v>765.55396000000007</v>
      </c>
      <c r="FA85">
        <v>2.3272307702215991</v>
      </c>
      <c r="FB85">
        <v>1253.5846154751009</v>
      </c>
      <c r="FC85">
        <v>15164.98</v>
      </c>
      <c r="FD85">
        <v>15</v>
      </c>
      <c r="FE85">
        <v>1689011933</v>
      </c>
      <c r="FF85" t="s">
        <v>775</v>
      </c>
      <c r="FG85">
        <v>1689011918.5</v>
      </c>
      <c r="FH85">
        <v>1689011933</v>
      </c>
      <c r="FI85">
        <v>75</v>
      </c>
      <c r="FJ85">
        <v>-4.3999999999999997E-2</v>
      </c>
      <c r="FK85">
        <v>-3.0000000000000001E-3</v>
      </c>
      <c r="FL85">
        <v>0.97899999999999998</v>
      </c>
      <c r="FM85">
        <v>0.24199999999999999</v>
      </c>
      <c r="FN85">
        <v>400</v>
      </c>
      <c r="FO85">
        <v>21</v>
      </c>
      <c r="FP85">
        <v>7.0000000000000007E-2</v>
      </c>
      <c r="FQ85">
        <v>0.02</v>
      </c>
      <c r="FR85">
        <v>53.001914936029323</v>
      </c>
      <c r="FS85">
        <v>-0.45282662572141469</v>
      </c>
      <c r="FT85">
        <v>8.0421604426488033E-2</v>
      </c>
      <c r="FU85">
        <v>1</v>
      </c>
      <c r="FV85">
        <v>0.49892359404004921</v>
      </c>
      <c r="FW85">
        <v>-4.0876547072711267E-2</v>
      </c>
      <c r="FX85">
        <v>3.1666114899008909E-3</v>
      </c>
      <c r="FY85">
        <v>1</v>
      </c>
      <c r="FZ85">
        <v>2</v>
      </c>
      <c r="GA85">
        <v>2</v>
      </c>
      <c r="GB85" t="s">
        <v>423</v>
      </c>
      <c r="GC85">
        <v>2.9252899999999999</v>
      </c>
      <c r="GD85">
        <v>2.8274499999999998</v>
      </c>
      <c r="GE85">
        <v>7.62433E-2</v>
      </c>
      <c r="GF85">
        <v>8.8320700000000002E-2</v>
      </c>
      <c r="GG85">
        <v>0.12861300000000001</v>
      </c>
      <c r="GH85">
        <v>0.105089</v>
      </c>
      <c r="GI85">
        <v>30156.5</v>
      </c>
      <c r="GJ85">
        <v>24130</v>
      </c>
      <c r="GK85">
        <v>31414</v>
      </c>
      <c r="GL85">
        <v>26107.5</v>
      </c>
      <c r="GM85">
        <v>37527.5</v>
      </c>
      <c r="GN85">
        <v>31691.4</v>
      </c>
      <c r="GO85">
        <v>46653.9</v>
      </c>
      <c r="GP85">
        <v>37959.4</v>
      </c>
      <c r="GQ85">
        <v>1.92265</v>
      </c>
      <c r="GR85">
        <v>1.7301500000000001</v>
      </c>
      <c r="GS85">
        <v>3.9040999999999999E-2</v>
      </c>
      <c r="GT85">
        <v>0</v>
      </c>
      <c r="GU85">
        <v>29.409400000000002</v>
      </c>
      <c r="GV85">
        <v>999.9</v>
      </c>
      <c r="GW85">
        <v>38.200000000000003</v>
      </c>
      <c r="GX85">
        <v>44.8</v>
      </c>
      <c r="GY85">
        <v>36.739100000000001</v>
      </c>
      <c r="GZ85">
        <v>62.446399999999997</v>
      </c>
      <c r="HA85">
        <v>22.255600000000001</v>
      </c>
      <c r="HB85">
        <v>1</v>
      </c>
      <c r="HC85">
        <v>0.47342000000000001</v>
      </c>
      <c r="HD85">
        <v>2.0593499999999998</v>
      </c>
      <c r="HE85">
        <v>20.281700000000001</v>
      </c>
      <c r="HF85">
        <v>5.22478</v>
      </c>
      <c r="HG85">
        <v>12.060700000000001</v>
      </c>
      <c r="HH85">
        <v>4.99275</v>
      </c>
      <c r="HI85">
        <v>3.2919999999999998</v>
      </c>
      <c r="HJ85">
        <v>9999</v>
      </c>
      <c r="HK85">
        <v>9999</v>
      </c>
      <c r="HL85">
        <v>9999</v>
      </c>
      <c r="HM85">
        <v>464.4</v>
      </c>
      <c r="HN85">
        <v>1.867</v>
      </c>
      <c r="HO85">
        <v>1.87042</v>
      </c>
      <c r="HP85">
        <v>1.8730199999999999</v>
      </c>
      <c r="HQ85">
        <v>1.8739300000000001</v>
      </c>
      <c r="HR85">
        <v>1.8707199999999999</v>
      </c>
      <c r="HS85">
        <v>1.8690599999999999</v>
      </c>
      <c r="HT85">
        <v>1.8705700000000001</v>
      </c>
      <c r="HU85">
        <v>1.87351</v>
      </c>
      <c r="HV85">
        <v>0</v>
      </c>
      <c r="HW85">
        <v>0</v>
      </c>
      <c r="HX85">
        <v>0</v>
      </c>
      <c r="HY85">
        <v>0</v>
      </c>
      <c r="HZ85" t="s">
        <v>424</v>
      </c>
      <c r="IA85" t="s">
        <v>425</v>
      </c>
      <c r="IB85" t="s">
        <v>426</v>
      </c>
      <c r="IC85" t="s">
        <v>426</v>
      </c>
      <c r="ID85" t="s">
        <v>426</v>
      </c>
      <c r="IE85" t="s">
        <v>426</v>
      </c>
      <c r="IF85">
        <v>0</v>
      </c>
      <c r="IG85">
        <v>100</v>
      </c>
      <c r="IH85">
        <v>100</v>
      </c>
      <c r="II85">
        <v>0.878</v>
      </c>
      <c r="IJ85">
        <v>0.2702</v>
      </c>
      <c r="IK85">
        <v>0.11303172054690031</v>
      </c>
      <c r="IL85">
        <v>3.042515301972944E-3</v>
      </c>
      <c r="IM85">
        <v>-2.5091471490852929E-6</v>
      </c>
      <c r="IN85">
        <v>8.1339755115576286E-10</v>
      </c>
      <c r="IO85">
        <v>0.27023112452001968</v>
      </c>
      <c r="IP85">
        <v>0</v>
      </c>
      <c r="IQ85">
        <v>0</v>
      </c>
      <c r="IR85">
        <v>0</v>
      </c>
      <c r="IS85">
        <v>3</v>
      </c>
      <c r="IT85">
        <v>2004</v>
      </c>
      <c r="IU85">
        <v>2</v>
      </c>
      <c r="IV85">
        <v>22</v>
      </c>
      <c r="IW85">
        <v>0.8</v>
      </c>
      <c r="IX85">
        <v>0.6</v>
      </c>
      <c r="IY85">
        <v>1.02783</v>
      </c>
      <c r="IZ85">
        <v>2.6184099999999999</v>
      </c>
      <c r="JA85">
        <v>1.64917</v>
      </c>
      <c r="JB85">
        <v>2.33765</v>
      </c>
      <c r="JC85">
        <v>1.5991200000000001</v>
      </c>
      <c r="JD85">
        <v>2.32178</v>
      </c>
      <c r="JE85">
        <v>48.239600000000003</v>
      </c>
      <c r="JF85">
        <v>24.1751</v>
      </c>
      <c r="JG85">
        <v>18</v>
      </c>
      <c r="JH85">
        <v>517.25599999999997</v>
      </c>
      <c r="JI85">
        <v>439.66399999999999</v>
      </c>
      <c r="JJ85">
        <v>28.872699999999998</v>
      </c>
      <c r="JK85">
        <v>33.170299999999997</v>
      </c>
      <c r="JL85">
        <v>30.0002</v>
      </c>
      <c r="JM85">
        <v>33.307699999999997</v>
      </c>
      <c r="JN85">
        <v>33.311799999999998</v>
      </c>
      <c r="JO85">
        <v>20.5961</v>
      </c>
      <c r="JP85">
        <v>49.359900000000003</v>
      </c>
      <c r="JQ85">
        <v>0</v>
      </c>
      <c r="JR85">
        <v>28.861699999999999</v>
      </c>
      <c r="JS85">
        <v>400</v>
      </c>
      <c r="JT85">
        <v>21.947800000000001</v>
      </c>
      <c r="JU85">
        <v>99.570800000000006</v>
      </c>
      <c r="JV85">
        <v>99.265000000000001</v>
      </c>
    </row>
    <row r="86" spans="1:282" x14ac:dyDescent="0.25">
      <c r="A86">
        <v>70</v>
      </c>
      <c r="B86">
        <v>1689012071</v>
      </c>
      <c r="C86">
        <v>12475.900000095369</v>
      </c>
      <c r="D86" t="s">
        <v>776</v>
      </c>
      <c r="E86" t="s">
        <v>777</v>
      </c>
      <c r="F86" t="s">
        <v>414</v>
      </c>
      <c r="G86" t="s">
        <v>415</v>
      </c>
      <c r="H86" t="s">
        <v>732</v>
      </c>
      <c r="I86" t="s">
        <v>416</v>
      </c>
      <c r="J86" t="s">
        <v>578</v>
      </c>
      <c r="K86">
        <v>1689012071</v>
      </c>
      <c r="L86">
        <f t="shared" si="92"/>
        <v>6.2929041813360462E-3</v>
      </c>
      <c r="M86">
        <f t="shared" si="93"/>
        <v>6.2929041813360458</v>
      </c>
      <c r="N86">
        <f t="shared" si="94"/>
        <v>53.051505976397202</v>
      </c>
      <c r="O86">
        <f t="shared" si="95"/>
        <v>333.93700000000001</v>
      </c>
      <c r="P86">
        <f t="shared" si="96"/>
        <v>144.13329474469799</v>
      </c>
      <c r="Q86">
        <f t="shared" si="97"/>
        <v>14.309669486315899</v>
      </c>
      <c r="R86">
        <f t="shared" si="98"/>
        <v>33.153534079103906</v>
      </c>
      <c r="S86">
        <f t="shared" si="99"/>
        <v>0.49694115954958823</v>
      </c>
      <c r="T86">
        <f t="shared" si="100"/>
        <v>2.9164561055208185</v>
      </c>
      <c r="U86">
        <f t="shared" si="101"/>
        <v>0.45424408524082599</v>
      </c>
      <c r="V86">
        <f t="shared" si="102"/>
        <v>0.28743238274195376</v>
      </c>
      <c r="W86">
        <f t="shared" si="103"/>
        <v>289.55428057688431</v>
      </c>
      <c r="X86">
        <f t="shared" si="104"/>
        <v>30.915891496522768</v>
      </c>
      <c r="Y86">
        <f t="shared" si="105"/>
        <v>29.951699999999999</v>
      </c>
      <c r="Z86">
        <f t="shared" si="106"/>
        <v>4.2486442331081626</v>
      </c>
      <c r="AA86">
        <f t="shared" si="107"/>
        <v>65.366302516924875</v>
      </c>
      <c r="AB86">
        <f t="shared" si="108"/>
        <v>2.9229261711726999</v>
      </c>
      <c r="AC86">
        <f t="shared" si="109"/>
        <v>4.4716100783211434</v>
      </c>
      <c r="AD86">
        <f t="shared" si="110"/>
        <v>1.3257180619354627</v>
      </c>
      <c r="AE86">
        <f t="shared" si="111"/>
        <v>-277.51707439691961</v>
      </c>
      <c r="AF86">
        <f t="shared" si="112"/>
        <v>140.4238827319848</v>
      </c>
      <c r="AG86">
        <f t="shared" si="113"/>
        <v>10.748228624355384</v>
      </c>
      <c r="AH86">
        <f t="shared" si="114"/>
        <v>163.20931753630487</v>
      </c>
      <c r="AI86">
        <v>0</v>
      </c>
      <c r="AJ86">
        <v>0</v>
      </c>
      <c r="AK86">
        <f t="shared" si="115"/>
        <v>1</v>
      </c>
      <c r="AL86">
        <f t="shared" si="116"/>
        <v>0</v>
      </c>
      <c r="AM86">
        <f t="shared" si="117"/>
        <v>51817.784858604151</v>
      </c>
      <c r="AN86" t="s">
        <v>418</v>
      </c>
      <c r="AO86">
        <v>10021</v>
      </c>
      <c r="AP86">
        <v>177.53923076923081</v>
      </c>
      <c r="AQ86">
        <v>655.56</v>
      </c>
      <c r="AR86">
        <f t="shared" si="118"/>
        <v>0.72917928066198234</v>
      </c>
      <c r="AS86">
        <v>-3.1115002560329539</v>
      </c>
      <c r="AT86" t="s">
        <v>778</v>
      </c>
      <c r="AU86">
        <v>8019.64</v>
      </c>
      <c r="AV86">
        <v>768.59263999999996</v>
      </c>
      <c r="AW86">
        <v>1172.598744762493</v>
      </c>
      <c r="AX86">
        <f t="shared" si="119"/>
        <v>0.34453909026171048</v>
      </c>
      <c r="AY86">
        <v>0.5</v>
      </c>
      <c r="AZ86">
        <f t="shared" si="120"/>
        <v>1513.1177992626344</v>
      </c>
      <c r="BA86">
        <f t="shared" si="121"/>
        <v>53.051505976397202</v>
      </c>
      <c r="BB86">
        <f t="shared" si="122"/>
        <v>260.66411500837478</v>
      </c>
      <c r="BC86">
        <f t="shared" si="123"/>
        <v>3.7117405042620774E-2</v>
      </c>
      <c r="BD86">
        <f t="shared" si="124"/>
        <v>-0.44093407661562689</v>
      </c>
      <c r="BE86">
        <f t="shared" si="125"/>
        <v>201.61488788887377</v>
      </c>
      <c r="BF86" t="s">
        <v>779</v>
      </c>
      <c r="BG86">
        <v>592.30999999999995</v>
      </c>
      <c r="BH86">
        <f t="shared" si="126"/>
        <v>592.30999999999995</v>
      </c>
      <c r="BI86">
        <f t="shared" si="127"/>
        <v>0.49487409683354988</v>
      </c>
      <c r="BJ86">
        <f t="shared" si="128"/>
        <v>0.69621564851796169</v>
      </c>
      <c r="BK86">
        <f t="shared" si="129"/>
        <v>-8.1745256088931697</v>
      </c>
      <c r="BL86">
        <f t="shared" si="130"/>
        <v>0.40601200137384813</v>
      </c>
      <c r="BM86">
        <f t="shared" si="131"/>
        <v>-1.0816240172880178</v>
      </c>
      <c r="BN86">
        <f t="shared" si="132"/>
        <v>0.53653322880332799</v>
      </c>
      <c r="BO86">
        <f t="shared" si="133"/>
        <v>0.46346677119667201</v>
      </c>
      <c r="BP86">
        <v>22605</v>
      </c>
      <c r="BQ86">
        <v>290.00000000000011</v>
      </c>
      <c r="BR86">
        <v>1021.9</v>
      </c>
      <c r="BS86">
        <v>275</v>
      </c>
      <c r="BT86">
        <v>8019.64</v>
      </c>
      <c r="BU86">
        <v>1024.06</v>
      </c>
      <c r="BV86">
        <v>-2.16</v>
      </c>
      <c r="BW86">
        <v>300.00000000000011</v>
      </c>
      <c r="BX86">
        <v>19.399999999999999</v>
      </c>
      <c r="BY86">
        <v>1172.598744762493</v>
      </c>
      <c r="BZ86">
        <v>4.4662265126489418</v>
      </c>
      <c r="CA86">
        <v>-119.1208203445015</v>
      </c>
      <c r="CB86">
        <v>3.2899533347440468</v>
      </c>
      <c r="CC86">
        <v>0.97908855095201919</v>
      </c>
      <c r="CD86">
        <v>-4.1411428253615122E-3</v>
      </c>
      <c r="CE86">
        <v>289.99999999999989</v>
      </c>
      <c r="CF86">
        <v>1013.57</v>
      </c>
      <c r="CG86">
        <v>655</v>
      </c>
      <c r="CH86">
        <v>8009.13</v>
      </c>
      <c r="CI86">
        <v>1023.87</v>
      </c>
      <c r="CJ86">
        <v>-10.3</v>
      </c>
      <c r="CX86">
        <f t="shared" si="134"/>
        <v>1799.92</v>
      </c>
      <c r="CY86">
        <f t="shared" si="135"/>
        <v>1513.1177992626344</v>
      </c>
      <c r="CZ86">
        <f t="shared" si="136"/>
        <v>0.84065836218422729</v>
      </c>
      <c r="DA86">
        <f t="shared" si="137"/>
        <v>0.16087063901555862</v>
      </c>
      <c r="DB86">
        <v>6</v>
      </c>
      <c r="DC86">
        <v>0.5</v>
      </c>
      <c r="DD86" t="s">
        <v>421</v>
      </c>
      <c r="DE86">
        <v>2</v>
      </c>
      <c r="DF86">
        <v>1689012071</v>
      </c>
      <c r="DG86">
        <v>333.93700000000001</v>
      </c>
      <c r="DH86">
        <v>400.12900000000002</v>
      </c>
      <c r="DI86">
        <v>29.440999999999999</v>
      </c>
      <c r="DJ86">
        <v>22.110900000000001</v>
      </c>
      <c r="DK86">
        <v>333.00400000000002</v>
      </c>
      <c r="DL86">
        <v>29.187100000000001</v>
      </c>
      <c r="DM86">
        <v>499.93599999999998</v>
      </c>
      <c r="DN86">
        <v>99.181100000000001</v>
      </c>
      <c r="DO86">
        <v>9.9704699999999993E-2</v>
      </c>
      <c r="DP86">
        <v>30.844799999999999</v>
      </c>
      <c r="DQ86">
        <v>29.951699999999999</v>
      </c>
      <c r="DR86">
        <v>999.9</v>
      </c>
      <c r="DS86">
        <v>0</v>
      </c>
      <c r="DT86">
        <v>0</v>
      </c>
      <c r="DU86">
        <v>10007.5</v>
      </c>
      <c r="DV86">
        <v>0</v>
      </c>
      <c r="DW86">
        <v>780.35699999999997</v>
      </c>
      <c r="DX86">
        <v>-66.192499999999995</v>
      </c>
      <c r="DY86">
        <v>344.06700000000001</v>
      </c>
      <c r="DZ86">
        <v>409.17700000000002</v>
      </c>
      <c r="EA86">
        <v>7.3300299999999998</v>
      </c>
      <c r="EB86">
        <v>400.12900000000002</v>
      </c>
      <c r="EC86">
        <v>22.110900000000001</v>
      </c>
      <c r="ED86">
        <v>2.9199899999999999</v>
      </c>
      <c r="EE86">
        <v>2.19299</v>
      </c>
      <c r="EF86">
        <v>23.578499999999998</v>
      </c>
      <c r="EG86">
        <v>18.911200000000001</v>
      </c>
      <c r="EH86">
        <v>1799.92</v>
      </c>
      <c r="EI86">
        <v>0.97799499999999995</v>
      </c>
      <c r="EJ86">
        <v>2.2004699999999999E-2</v>
      </c>
      <c r="EK86">
        <v>0</v>
      </c>
      <c r="EL86">
        <v>768.96500000000003</v>
      </c>
      <c r="EM86">
        <v>5.0011200000000002</v>
      </c>
      <c r="EN86">
        <v>15164.1</v>
      </c>
      <c r="EO86">
        <v>17210.099999999999</v>
      </c>
      <c r="EP86">
        <v>48.186999999999998</v>
      </c>
      <c r="EQ86">
        <v>49.186999999999998</v>
      </c>
      <c r="ER86">
        <v>49.186999999999998</v>
      </c>
      <c r="ES86">
        <v>48.375</v>
      </c>
      <c r="ET86">
        <v>48.875</v>
      </c>
      <c r="EU86">
        <v>1755.42</v>
      </c>
      <c r="EV86">
        <v>39.5</v>
      </c>
      <c r="EW86">
        <v>0</v>
      </c>
      <c r="EX86">
        <v>102.5999999046326</v>
      </c>
      <c r="EY86">
        <v>0</v>
      </c>
      <c r="EZ86">
        <v>768.59263999999996</v>
      </c>
      <c r="FA86">
        <v>1.887846141743992</v>
      </c>
      <c r="FB86">
        <v>382.77692265515839</v>
      </c>
      <c r="FC86">
        <v>15070.456</v>
      </c>
      <c r="FD86">
        <v>15</v>
      </c>
      <c r="FE86">
        <v>1689012028.5</v>
      </c>
      <c r="FF86" t="s">
        <v>780</v>
      </c>
      <c r="FG86">
        <v>1689012028.5</v>
      </c>
      <c r="FH86">
        <v>1689012028.5</v>
      </c>
      <c r="FI86">
        <v>76</v>
      </c>
      <c r="FJ86">
        <v>5.5E-2</v>
      </c>
      <c r="FK86">
        <v>-1.6E-2</v>
      </c>
      <c r="FL86">
        <v>1.034</v>
      </c>
      <c r="FM86">
        <v>0.254</v>
      </c>
      <c r="FN86">
        <v>400</v>
      </c>
      <c r="FO86">
        <v>22</v>
      </c>
      <c r="FP86">
        <v>0.19</v>
      </c>
      <c r="FQ86">
        <v>0.13</v>
      </c>
      <c r="FR86">
        <v>52.978109216084889</v>
      </c>
      <c r="FS86">
        <v>-0.58747027825253018</v>
      </c>
      <c r="FT86">
        <v>6.5553869153729225E-2</v>
      </c>
      <c r="FU86">
        <v>1</v>
      </c>
      <c r="FV86">
        <v>0.49826260700270197</v>
      </c>
      <c r="FW86">
        <v>-3.8429662514056502E-2</v>
      </c>
      <c r="FX86">
        <v>4.0996946872172736E-3</v>
      </c>
      <c r="FY86">
        <v>1</v>
      </c>
      <c r="FZ86">
        <v>2</v>
      </c>
      <c r="GA86">
        <v>2</v>
      </c>
      <c r="GB86" t="s">
        <v>423</v>
      </c>
      <c r="GC86">
        <v>2.9252099999999999</v>
      </c>
      <c r="GD86">
        <v>2.82707</v>
      </c>
      <c r="GE86">
        <v>7.6291800000000007E-2</v>
      </c>
      <c r="GF86">
        <v>8.8372900000000004E-2</v>
      </c>
      <c r="GG86">
        <v>0.129275</v>
      </c>
      <c r="GH86">
        <v>0.106353</v>
      </c>
      <c r="GI86">
        <v>30170.9</v>
      </c>
      <c r="GJ86">
        <v>24137.4</v>
      </c>
      <c r="GK86">
        <v>31430</v>
      </c>
      <c r="GL86">
        <v>26116.1</v>
      </c>
      <c r="GM86">
        <v>37517.599999999999</v>
      </c>
      <c r="GN86">
        <v>31656.6</v>
      </c>
      <c r="GO86">
        <v>46678.2</v>
      </c>
      <c r="GP86">
        <v>37971.800000000003</v>
      </c>
      <c r="GQ86">
        <v>1.9257</v>
      </c>
      <c r="GR86">
        <v>1.73458</v>
      </c>
      <c r="GS86">
        <v>2.82004E-2</v>
      </c>
      <c r="GT86">
        <v>0</v>
      </c>
      <c r="GU86">
        <v>29.492599999999999</v>
      </c>
      <c r="GV86">
        <v>999.9</v>
      </c>
      <c r="GW86">
        <v>38</v>
      </c>
      <c r="GX86">
        <v>44.8</v>
      </c>
      <c r="GY86">
        <v>36.551900000000003</v>
      </c>
      <c r="GZ86">
        <v>62.086399999999998</v>
      </c>
      <c r="HA86">
        <v>22.4679</v>
      </c>
      <c r="HB86">
        <v>1</v>
      </c>
      <c r="HC86">
        <v>0.44960600000000001</v>
      </c>
      <c r="HD86">
        <v>1.3609100000000001</v>
      </c>
      <c r="HE86">
        <v>20.290199999999999</v>
      </c>
      <c r="HF86">
        <v>5.2265699999999997</v>
      </c>
      <c r="HG86">
        <v>12.0601</v>
      </c>
      <c r="HH86">
        <v>4.99315</v>
      </c>
      <c r="HI86">
        <v>3.2919999999999998</v>
      </c>
      <c r="HJ86">
        <v>9999</v>
      </c>
      <c r="HK86">
        <v>9999</v>
      </c>
      <c r="HL86">
        <v>9999</v>
      </c>
      <c r="HM86">
        <v>464.5</v>
      </c>
      <c r="HN86">
        <v>1.8669500000000001</v>
      </c>
      <c r="HO86">
        <v>1.87042</v>
      </c>
      <c r="HP86">
        <v>1.87303</v>
      </c>
      <c r="HQ86">
        <v>1.8739300000000001</v>
      </c>
      <c r="HR86">
        <v>1.8707199999999999</v>
      </c>
      <c r="HS86">
        <v>1.8690500000000001</v>
      </c>
      <c r="HT86">
        <v>1.87056</v>
      </c>
      <c r="HU86">
        <v>1.8734900000000001</v>
      </c>
      <c r="HV86">
        <v>0</v>
      </c>
      <c r="HW86">
        <v>0</v>
      </c>
      <c r="HX86">
        <v>0</v>
      </c>
      <c r="HY86">
        <v>0</v>
      </c>
      <c r="HZ86" t="s">
        <v>424</v>
      </c>
      <c r="IA86" t="s">
        <v>425</v>
      </c>
      <c r="IB86" t="s">
        <v>426</v>
      </c>
      <c r="IC86" t="s">
        <v>426</v>
      </c>
      <c r="ID86" t="s">
        <v>426</v>
      </c>
      <c r="IE86" t="s">
        <v>426</v>
      </c>
      <c r="IF86">
        <v>0</v>
      </c>
      <c r="IG86">
        <v>100</v>
      </c>
      <c r="IH86">
        <v>100</v>
      </c>
      <c r="II86">
        <v>0.93300000000000005</v>
      </c>
      <c r="IJ86">
        <v>0.25390000000000001</v>
      </c>
      <c r="IK86">
        <v>0.16812176965727449</v>
      </c>
      <c r="IL86">
        <v>3.042515301972944E-3</v>
      </c>
      <c r="IM86">
        <v>-2.5091471490852929E-6</v>
      </c>
      <c r="IN86">
        <v>8.1339755115576286E-10</v>
      </c>
      <c r="IO86">
        <v>0.25387142857143269</v>
      </c>
      <c r="IP86">
        <v>0</v>
      </c>
      <c r="IQ86">
        <v>0</v>
      </c>
      <c r="IR86">
        <v>0</v>
      </c>
      <c r="IS86">
        <v>3</v>
      </c>
      <c r="IT86">
        <v>2004</v>
      </c>
      <c r="IU86">
        <v>2</v>
      </c>
      <c r="IV86">
        <v>22</v>
      </c>
      <c r="IW86">
        <v>0.7</v>
      </c>
      <c r="IX86">
        <v>0.7</v>
      </c>
      <c r="IY86">
        <v>1.02905</v>
      </c>
      <c r="IZ86">
        <v>2.6171899999999999</v>
      </c>
      <c r="JA86">
        <v>1.64917</v>
      </c>
      <c r="JB86">
        <v>2.33765</v>
      </c>
      <c r="JC86">
        <v>1.5991200000000001</v>
      </c>
      <c r="JD86">
        <v>2.323</v>
      </c>
      <c r="JE86">
        <v>47.934699999999999</v>
      </c>
      <c r="JF86">
        <v>24.192599999999999</v>
      </c>
      <c r="JG86">
        <v>18</v>
      </c>
      <c r="JH86">
        <v>517.84100000000001</v>
      </c>
      <c r="JI86">
        <v>441.32100000000003</v>
      </c>
      <c r="JJ86">
        <v>28.502199999999998</v>
      </c>
      <c r="JK86">
        <v>32.941899999999997</v>
      </c>
      <c r="JL86">
        <v>29.999300000000002</v>
      </c>
      <c r="JM86">
        <v>33.124499999999998</v>
      </c>
      <c r="JN86">
        <v>33.142600000000002</v>
      </c>
      <c r="JO86">
        <v>20.603200000000001</v>
      </c>
      <c r="JP86">
        <v>48.833300000000001</v>
      </c>
      <c r="JQ86">
        <v>0</v>
      </c>
      <c r="JR86">
        <v>28.517399999999999</v>
      </c>
      <c r="JS86">
        <v>400</v>
      </c>
      <c r="JT86">
        <v>22.230499999999999</v>
      </c>
      <c r="JU86">
        <v>99.622200000000007</v>
      </c>
      <c r="JV86">
        <v>99.297600000000003</v>
      </c>
    </row>
    <row r="87" spans="1:282" x14ac:dyDescent="0.25">
      <c r="A87">
        <v>71</v>
      </c>
      <c r="B87">
        <v>1689012194.5</v>
      </c>
      <c r="C87">
        <v>12599.400000095369</v>
      </c>
      <c r="D87" t="s">
        <v>781</v>
      </c>
      <c r="E87" t="s">
        <v>782</v>
      </c>
      <c r="F87" t="s">
        <v>414</v>
      </c>
      <c r="G87" t="s">
        <v>415</v>
      </c>
      <c r="H87" t="s">
        <v>732</v>
      </c>
      <c r="I87" t="s">
        <v>416</v>
      </c>
      <c r="J87" t="s">
        <v>578</v>
      </c>
      <c r="K87">
        <v>1689012194.5</v>
      </c>
      <c r="L87">
        <f t="shared" si="92"/>
        <v>6.4912357073963877E-3</v>
      </c>
      <c r="M87">
        <f t="shared" si="93"/>
        <v>6.4912357073963873</v>
      </c>
      <c r="N87">
        <f t="shared" si="94"/>
        <v>56.4470567177055</v>
      </c>
      <c r="O87">
        <f t="shared" si="95"/>
        <v>428.995</v>
      </c>
      <c r="P87">
        <f t="shared" si="96"/>
        <v>230.8984413530292</v>
      </c>
      <c r="Q87">
        <f t="shared" si="97"/>
        <v>22.923451006455984</v>
      </c>
      <c r="R87">
        <f t="shared" si="98"/>
        <v>42.590351874566991</v>
      </c>
      <c r="S87">
        <f t="shared" si="99"/>
        <v>0.51250362422024021</v>
      </c>
      <c r="T87">
        <f t="shared" si="100"/>
        <v>2.9179505444530407</v>
      </c>
      <c r="U87">
        <f t="shared" si="101"/>
        <v>0.46724179837976043</v>
      </c>
      <c r="V87">
        <f t="shared" si="102"/>
        <v>0.29575889178827569</v>
      </c>
      <c r="W87">
        <f t="shared" si="103"/>
        <v>289.54789657685268</v>
      </c>
      <c r="X87">
        <f t="shared" si="104"/>
        <v>30.694490702573251</v>
      </c>
      <c r="Y87">
        <f t="shared" si="105"/>
        <v>29.956800000000001</v>
      </c>
      <c r="Z87">
        <f t="shared" si="106"/>
        <v>4.2498894329995398</v>
      </c>
      <c r="AA87">
        <f t="shared" si="107"/>
        <v>65.946872401917304</v>
      </c>
      <c r="AB87">
        <f t="shared" si="108"/>
        <v>2.9204415596522395</v>
      </c>
      <c r="AC87">
        <f t="shared" si="109"/>
        <v>4.4284762162084466</v>
      </c>
      <c r="AD87">
        <f t="shared" si="110"/>
        <v>1.3294478733473003</v>
      </c>
      <c r="AE87">
        <f t="shared" si="111"/>
        <v>-286.26349469618071</v>
      </c>
      <c r="AF87">
        <f t="shared" si="112"/>
        <v>112.99760448725823</v>
      </c>
      <c r="AG87">
        <f t="shared" si="113"/>
        <v>8.6375161404892129</v>
      </c>
      <c r="AH87">
        <f t="shared" si="114"/>
        <v>124.91952250841939</v>
      </c>
      <c r="AI87">
        <v>0</v>
      </c>
      <c r="AJ87">
        <v>0</v>
      </c>
      <c r="AK87">
        <f t="shared" si="115"/>
        <v>1</v>
      </c>
      <c r="AL87">
        <f t="shared" si="116"/>
        <v>0</v>
      </c>
      <c r="AM87">
        <f t="shared" si="117"/>
        <v>51889.173932513433</v>
      </c>
      <c r="AN87" t="s">
        <v>418</v>
      </c>
      <c r="AO87">
        <v>10021</v>
      </c>
      <c r="AP87">
        <v>177.53923076923081</v>
      </c>
      <c r="AQ87">
        <v>655.56</v>
      </c>
      <c r="AR87">
        <f t="shared" si="118"/>
        <v>0.72917928066198234</v>
      </c>
      <c r="AS87">
        <v>-3.1115002560329539</v>
      </c>
      <c r="AT87" t="s">
        <v>783</v>
      </c>
      <c r="AU87">
        <v>8020.32</v>
      </c>
      <c r="AV87">
        <v>780.45846153846162</v>
      </c>
      <c r="AW87">
        <v>1213.974724655382</v>
      </c>
      <c r="AX87">
        <f t="shared" si="119"/>
        <v>0.35710485095971434</v>
      </c>
      <c r="AY87">
        <v>0.5</v>
      </c>
      <c r="AZ87">
        <f t="shared" si="120"/>
        <v>1513.0841992626179</v>
      </c>
      <c r="BA87">
        <f t="shared" si="121"/>
        <v>56.4470567177055</v>
      </c>
      <c r="BB87">
        <f t="shared" si="122"/>
        <v>270.1648537335879</v>
      </c>
      <c r="BC87">
        <f t="shared" si="123"/>
        <v>3.9362354720750871E-2</v>
      </c>
      <c r="BD87">
        <f t="shared" si="124"/>
        <v>-0.45998875702614195</v>
      </c>
      <c r="BE87">
        <f t="shared" si="125"/>
        <v>202.80335441817809</v>
      </c>
      <c r="BF87" t="s">
        <v>784</v>
      </c>
      <c r="BG87">
        <v>598.30999999999995</v>
      </c>
      <c r="BH87">
        <f t="shared" si="126"/>
        <v>598.30999999999995</v>
      </c>
      <c r="BI87">
        <f t="shared" si="127"/>
        <v>0.5071478937340762</v>
      </c>
      <c r="BJ87">
        <f t="shared" si="128"/>
        <v>0.70414341727891072</v>
      </c>
      <c r="BK87">
        <f t="shared" si="129"/>
        <v>-9.7539689896136608</v>
      </c>
      <c r="BL87">
        <f t="shared" si="130"/>
        <v>0.41827616448317112</v>
      </c>
      <c r="BM87">
        <f t="shared" si="131"/>
        <v>-1.1681808837594712</v>
      </c>
      <c r="BN87">
        <f t="shared" si="132"/>
        <v>0.53980585611394927</v>
      </c>
      <c r="BO87">
        <f t="shared" si="133"/>
        <v>0.46019414388605073</v>
      </c>
      <c r="BP87">
        <v>22607</v>
      </c>
      <c r="BQ87">
        <v>290.00000000000011</v>
      </c>
      <c r="BR87">
        <v>1060.95</v>
      </c>
      <c r="BS87">
        <v>285</v>
      </c>
      <c r="BT87">
        <v>8020.32</v>
      </c>
      <c r="BU87">
        <v>1063.22</v>
      </c>
      <c r="BV87">
        <v>-2.27</v>
      </c>
      <c r="BW87">
        <v>300.00000000000011</v>
      </c>
      <c r="BX87">
        <v>19.399999999999999</v>
      </c>
      <c r="BY87">
        <v>1213.974724655382</v>
      </c>
      <c r="BZ87">
        <v>4.4822008819449293</v>
      </c>
      <c r="CA87">
        <v>-120.9091685839894</v>
      </c>
      <c r="CB87">
        <v>3.302252381098377</v>
      </c>
      <c r="CC87">
        <v>0.9795410783505748</v>
      </c>
      <c r="CD87">
        <v>-4.1418238042269231E-3</v>
      </c>
      <c r="CE87">
        <v>289.99999999999989</v>
      </c>
      <c r="CF87">
        <v>1054.52</v>
      </c>
      <c r="CG87">
        <v>645</v>
      </c>
      <c r="CH87">
        <v>8010.75</v>
      </c>
      <c r="CI87">
        <v>1063.04</v>
      </c>
      <c r="CJ87">
        <v>-8.52</v>
      </c>
      <c r="CX87">
        <f t="shared" si="134"/>
        <v>1799.88</v>
      </c>
      <c r="CY87">
        <f t="shared" si="135"/>
        <v>1513.0841992626179</v>
      </c>
      <c r="CZ87">
        <f t="shared" si="136"/>
        <v>0.84065837681546429</v>
      </c>
      <c r="DA87">
        <f t="shared" si="137"/>
        <v>0.16087066725384619</v>
      </c>
      <c r="DB87">
        <v>6</v>
      </c>
      <c r="DC87">
        <v>0.5</v>
      </c>
      <c r="DD87" t="s">
        <v>421</v>
      </c>
      <c r="DE87">
        <v>2</v>
      </c>
      <c r="DF87">
        <v>1689012194.5</v>
      </c>
      <c r="DG87">
        <v>428.995</v>
      </c>
      <c r="DH87">
        <v>500.06799999999998</v>
      </c>
      <c r="DI87">
        <v>29.416399999999999</v>
      </c>
      <c r="DJ87">
        <v>21.8566</v>
      </c>
      <c r="DK87">
        <v>427.89</v>
      </c>
      <c r="DL87">
        <v>29.1465</v>
      </c>
      <c r="DM87">
        <v>500.036</v>
      </c>
      <c r="DN87">
        <v>99.179599999999994</v>
      </c>
      <c r="DO87">
        <v>9.9766599999999997E-2</v>
      </c>
      <c r="DP87">
        <v>30.6751</v>
      </c>
      <c r="DQ87">
        <v>29.956800000000001</v>
      </c>
      <c r="DR87">
        <v>999.9</v>
      </c>
      <c r="DS87">
        <v>0</v>
      </c>
      <c r="DT87">
        <v>0</v>
      </c>
      <c r="DU87">
        <v>10016.200000000001</v>
      </c>
      <c r="DV87">
        <v>0</v>
      </c>
      <c r="DW87">
        <v>2040.88</v>
      </c>
      <c r="DX87">
        <v>-71.072900000000004</v>
      </c>
      <c r="DY87">
        <v>441.99700000000001</v>
      </c>
      <c r="DZ87">
        <v>511.24200000000002</v>
      </c>
      <c r="EA87">
        <v>7.5598200000000002</v>
      </c>
      <c r="EB87">
        <v>500.06799999999998</v>
      </c>
      <c r="EC87">
        <v>21.8566</v>
      </c>
      <c r="ED87">
        <v>2.91751</v>
      </c>
      <c r="EE87">
        <v>2.1677300000000002</v>
      </c>
      <c r="EF87">
        <v>23.564499999999999</v>
      </c>
      <c r="EG87">
        <v>18.7258</v>
      </c>
      <c r="EH87">
        <v>1799.88</v>
      </c>
      <c r="EI87">
        <v>0.97799199999999997</v>
      </c>
      <c r="EJ87">
        <v>2.20085E-2</v>
      </c>
      <c r="EK87">
        <v>0</v>
      </c>
      <c r="EL87">
        <v>780.66899999999998</v>
      </c>
      <c r="EM87">
        <v>5.0011200000000002</v>
      </c>
      <c r="EN87">
        <v>15776.4</v>
      </c>
      <c r="EO87">
        <v>17209.7</v>
      </c>
      <c r="EP87">
        <v>48.125</v>
      </c>
      <c r="EQ87">
        <v>49.436999999999998</v>
      </c>
      <c r="ER87">
        <v>49.125</v>
      </c>
      <c r="ES87">
        <v>48.375</v>
      </c>
      <c r="ET87">
        <v>48.936999999999998</v>
      </c>
      <c r="EU87">
        <v>1755.38</v>
      </c>
      <c r="EV87">
        <v>39.5</v>
      </c>
      <c r="EW87">
        <v>0</v>
      </c>
      <c r="EX87">
        <v>121.3999998569489</v>
      </c>
      <c r="EY87">
        <v>0</v>
      </c>
      <c r="EZ87">
        <v>780.45846153846162</v>
      </c>
      <c r="FA87">
        <v>1.833230776752381</v>
      </c>
      <c r="FB87">
        <v>13.822222161869851</v>
      </c>
      <c r="FC87">
        <v>15777.45</v>
      </c>
      <c r="FD87">
        <v>15</v>
      </c>
      <c r="FE87">
        <v>1689012158.5</v>
      </c>
      <c r="FF87" t="s">
        <v>785</v>
      </c>
      <c r="FG87">
        <v>1689012158.5</v>
      </c>
      <c r="FH87">
        <v>1689012151.5</v>
      </c>
      <c r="FI87">
        <v>77</v>
      </c>
      <c r="FJ87">
        <v>0.03</v>
      </c>
      <c r="FK87">
        <v>1.6E-2</v>
      </c>
      <c r="FL87">
        <v>1.1919999999999999</v>
      </c>
      <c r="FM87">
        <v>0.27</v>
      </c>
      <c r="FN87">
        <v>500</v>
      </c>
      <c r="FO87">
        <v>22</v>
      </c>
      <c r="FP87">
        <v>0.08</v>
      </c>
      <c r="FQ87">
        <v>0.01</v>
      </c>
      <c r="FR87">
        <v>56.439069900001599</v>
      </c>
      <c r="FS87">
        <v>-0.54267970517412889</v>
      </c>
      <c r="FT87">
        <v>5.0267811589354991E-2</v>
      </c>
      <c r="FU87">
        <v>1</v>
      </c>
      <c r="FV87">
        <v>0.51390157609746856</v>
      </c>
      <c r="FW87">
        <v>-2.213883756039834E-2</v>
      </c>
      <c r="FX87">
        <v>2.9995265252904658E-3</v>
      </c>
      <c r="FY87">
        <v>1</v>
      </c>
      <c r="FZ87">
        <v>2</v>
      </c>
      <c r="GA87">
        <v>2</v>
      </c>
      <c r="GB87" t="s">
        <v>423</v>
      </c>
      <c r="GC87">
        <v>2.92564</v>
      </c>
      <c r="GD87">
        <v>2.8271999999999999</v>
      </c>
      <c r="GE87">
        <v>9.2875700000000005E-2</v>
      </c>
      <c r="GF87">
        <v>0.104587</v>
      </c>
      <c r="GG87">
        <v>0.129192</v>
      </c>
      <c r="GH87">
        <v>0.105522</v>
      </c>
      <c r="GI87">
        <v>29640</v>
      </c>
      <c r="GJ87">
        <v>23714.400000000001</v>
      </c>
      <c r="GK87">
        <v>31440.9</v>
      </c>
      <c r="GL87">
        <v>26122.400000000001</v>
      </c>
      <c r="GM87">
        <v>37534.1</v>
      </c>
      <c r="GN87">
        <v>31693</v>
      </c>
      <c r="GO87">
        <v>46694.6</v>
      </c>
      <c r="GP87">
        <v>37980.1</v>
      </c>
      <c r="GQ87">
        <v>1.9282999999999999</v>
      </c>
      <c r="GR87">
        <v>1.7363999999999999</v>
      </c>
      <c r="GS87">
        <v>-5.32717E-3</v>
      </c>
      <c r="GT87">
        <v>0</v>
      </c>
      <c r="GU87">
        <v>30.043500000000002</v>
      </c>
      <c r="GV87">
        <v>999.9</v>
      </c>
      <c r="GW87">
        <v>38</v>
      </c>
      <c r="GX87">
        <v>44.7</v>
      </c>
      <c r="GY87">
        <v>36.363599999999998</v>
      </c>
      <c r="GZ87">
        <v>62.296399999999998</v>
      </c>
      <c r="HA87">
        <v>22.4679</v>
      </c>
      <c r="HB87">
        <v>1</v>
      </c>
      <c r="HC87">
        <v>0.436247</v>
      </c>
      <c r="HD87">
        <v>1.5244899999999999</v>
      </c>
      <c r="HE87">
        <v>20.289200000000001</v>
      </c>
      <c r="HF87">
        <v>5.2228300000000001</v>
      </c>
      <c r="HG87">
        <v>12.058199999999999</v>
      </c>
      <c r="HH87">
        <v>4.9914500000000004</v>
      </c>
      <c r="HI87">
        <v>3.2916300000000001</v>
      </c>
      <c r="HJ87">
        <v>9999</v>
      </c>
      <c r="HK87">
        <v>9999</v>
      </c>
      <c r="HL87">
        <v>9999</v>
      </c>
      <c r="HM87">
        <v>464.5</v>
      </c>
      <c r="HN87">
        <v>1.8669100000000001</v>
      </c>
      <c r="HO87">
        <v>1.87042</v>
      </c>
      <c r="HP87">
        <v>1.8730199999999999</v>
      </c>
      <c r="HQ87">
        <v>1.8739300000000001</v>
      </c>
      <c r="HR87">
        <v>1.8707100000000001</v>
      </c>
      <c r="HS87">
        <v>1.8690500000000001</v>
      </c>
      <c r="HT87">
        <v>1.87056</v>
      </c>
      <c r="HU87">
        <v>1.87348</v>
      </c>
      <c r="HV87">
        <v>0</v>
      </c>
      <c r="HW87">
        <v>0</v>
      </c>
      <c r="HX87">
        <v>0</v>
      </c>
      <c r="HY87">
        <v>0</v>
      </c>
      <c r="HZ87" t="s">
        <v>424</v>
      </c>
      <c r="IA87" t="s">
        <v>425</v>
      </c>
      <c r="IB87" t="s">
        <v>426</v>
      </c>
      <c r="IC87" t="s">
        <v>426</v>
      </c>
      <c r="ID87" t="s">
        <v>426</v>
      </c>
      <c r="IE87" t="s">
        <v>426</v>
      </c>
      <c r="IF87">
        <v>0</v>
      </c>
      <c r="IG87">
        <v>100</v>
      </c>
      <c r="IH87">
        <v>100</v>
      </c>
      <c r="II87">
        <v>1.105</v>
      </c>
      <c r="IJ87">
        <v>0.26989999999999997</v>
      </c>
      <c r="IK87">
        <v>0.19803536854143911</v>
      </c>
      <c r="IL87">
        <v>3.042515301972944E-3</v>
      </c>
      <c r="IM87">
        <v>-2.5091471490852929E-6</v>
      </c>
      <c r="IN87">
        <v>8.1339755115576286E-10</v>
      </c>
      <c r="IO87">
        <v>0.26997000000000432</v>
      </c>
      <c r="IP87">
        <v>0</v>
      </c>
      <c r="IQ87">
        <v>0</v>
      </c>
      <c r="IR87">
        <v>0</v>
      </c>
      <c r="IS87">
        <v>3</v>
      </c>
      <c r="IT87">
        <v>2004</v>
      </c>
      <c r="IU87">
        <v>2</v>
      </c>
      <c r="IV87">
        <v>22</v>
      </c>
      <c r="IW87">
        <v>0.6</v>
      </c>
      <c r="IX87">
        <v>0.7</v>
      </c>
      <c r="IY87">
        <v>1.2353499999999999</v>
      </c>
      <c r="IZ87">
        <v>2.6135299999999999</v>
      </c>
      <c r="JA87">
        <v>1.64917</v>
      </c>
      <c r="JB87">
        <v>2.33765</v>
      </c>
      <c r="JC87">
        <v>1.5991200000000001</v>
      </c>
      <c r="JD87">
        <v>2.3059099999999999</v>
      </c>
      <c r="JE87">
        <v>47.752800000000001</v>
      </c>
      <c r="JF87">
        <v>24.183800000000002</v>
      </c>
      <c r="JG87">
        <v>18</v>
      </c>
      <c r="JH87">
        <v>518.37599999999998</v>
      </c>
      <c r="JI87">
        <v>441.48399999999998</v>
      </c>
      <c r="JJ87">
        <v>27.920200000000001</v>
      </c>
      <c r="JK87">
        <v>32.795699999999997</v>
      </c>
      <c r="JL87">
        <v>29.998699999999999</v>
      </c>
      <c r="JM87">
        <v>32.973700000000001</v>
      </c>
      <c r="JN87">
        <v>33.002099999999999</v>
      </c>
      <c r="JO87">
        <v>24.720500000000001</v>
      </c>
      <c r="JP87">
        <v>49.7087</v>
      </c>
      <c r="JQ87">
        <v>0</v>
      </c>
      <c r="JR87">
        <v>27.913599999999999</v>
      </c>
      <c r="JS87">
        <v>500</v>
      </c>
      <c r="JT87">
        <v>21.591999999999999</v>
      </c>
      <c r="JU87">
        <v>99.6571</v>
      </c>
      <c r="JV87">
        <v>99.3202</v>
      </c>
    </row>
    <row r="88" spans="1:282" x14ac:dyDescent="0.25">
      <c r="A88">
        <v>72</v>
      </c>
      <c r="B88">
        <v>1689012321.0999999</v>
      </c>
      <c r="C88">
        <v>12726</v>
      </c>
      <c r="D88" t="s">
        <v>786</v>
      </c>
      <c r="E88" t="s">
        <v>787</v>
      </c>
      <c r="F88" t="s">
        <v>414</v>
      </c>
      <c r="G88" t="s">
        <v>415</v>
      </c>
      <c r="H88" t="s">
        <v>732</v>
      </c>
      <c r="I88" t="s">
        <v>416</v>
      </c>
      <c r="J88" t="s">
        <v>578</v>
      </c>
      <c r="K88">
        <v>1689012321.0999999</v>
      </c>
      <c r="L88">
        <f t="shared" si="92"/>
        <v>6.3166802567035975E-3</v>
      </c>
      <c r="M88">
        <f t="shared" si="93"/>
        <v>6.3166802567035978</v>
      </c>
      <c r="N88">
        <f t="shared" si="94"/>
        <v>57.542745741865922</v>
      </c>
      <c r="O88">
        <f t="shared" si="95"/>
        <v>626.30200000000002</v>
      </c>
      <c r="P88">
        <f t="shared" si="96"/>
        <v>407.89251379360906</v>
      </c>
      <c r="Q88">
        <f t="shared" si="97"/>
        <v>40.495565506289402</v>
      </c>
      <c r="R88">
        <f t="shared" si="98"/>
        <v>62.179257549584008</v>
      </c>
      <c r="S88">
        <f t="shared" si="99"/>
        <v>0.4801516135368849</v>
      </c>
      <c r="T88">
        <f t="shared" si="100"/>
        <v>2.9163282446866177</v>
      </c>
      <c r="U88">
        <f t="shared" si="101"/>
        <v>0.44016508576688929</v>
      </c>
      <c r="V88">
        <f t="shared" si="102"/>
        <v>0.27841777768681097</v>
      </c>
      <c r="W88">
        <f t="shared" si="103"/>
        <v>289.53353257678151</v>
      </c>
      <c r="X88">
        <f t="shared" si="104"/>
        <v>30.65599060204665</v>
      </c>
      <c r="Y88">
        <f t="shared" si="105"/>
        <v>29.985700000000001</v>
      </c>
      <c r="Z88">
        <f t="shared" si="106"/>
        <v>4.2569515752549085</v>
      </c>
      <c r="AA88">
        <f t="shared" si="107"/>
        <v>65.424595520129188</v>
      </c>
      <c r="AB88">
        <f t="shared" si="108"/>
        <v>2.8834483756512004</v>
      </c>
      <c r="AC88">
        <f t="shared" si="109"/>
        <v>4.4072849862160011</v>
      </c>
      <c r="AD88">
        <f t="shared" si="110"/>
        <v>1.3735031996037081</v>
      </c>
      <c r="AE88">
        <f t="shared" si="111"/>
        <v>-278.56559932062862</v>
      </c>
      <c r="AF88">
        <f t="shared" si="112"/>
        <v>95.199790982328338</v>
      </c>
      <c r="AG88">
        <f t="shared" si="113"/>
        <v>7.2791194493062603</v>
      </c>
      <c r="AH88">
        <f t="shared" si="114"/>
        <v>113.44684368778751</v>
      </c>
      <c r="AI88">
        <v>0</v>
      </c>
      <c r="AJ88">
        <v>0</v>
      </c>
      <c r="AK88">
        <f t="shared" si="115"/>
        <v>1</v>
      </c>
      <c r="AL88">
        <f t="shared" si="116"/>
        <v>0</v>
      </c>
      <c r="AM88">
        <f t="shared" si="117"/>
        <v>51857.408575721049</v>
      </c>
      <c r="AN88" t="s">
        <v>418</v>
      </c>
      <c r="AO88">
        <v>10021</v>
      </c>
      <c r="AP88">
        <v>177.53923076923081</v>
      </c>
      <c r="AQ88">
        <v>655.56</v>
      </c>
      <c r="AR88">
        <f t="shared" si="118"/>
        <v>0.72917928066198234</v>
      </c>
      <c r="AS88">
        <v>-3.1115002560329539</v>
      </c>
      <c r="AT88" t="s">
        <v>788</v>
      </c>
      <c r="AU88">
        <v>8020.14</v>
      </c>
      <c r="AV88">
        <v>782.47615999999994</v>
      </c>
      <c r="AW88">
        <v>1243.5657746663769</v>
      </c>
      <c r="AX88">
        <f t="shared" si="119"/>
        <v>0.37078023861671316</v>
      </c>
      <c r="AY88">
        <v>0.5</v>
      </c>
      <c r="AZ88">
        <f t="shared" si="120"/>
        <v>1513.0085992625809</v>
      </c>
      <c r="BA88">
        <f t="shared" si="121"/>
        <v>57.542745741865922</v>
      </c>
      <c r="BB88">
        <f t="shared" si="122"/>
        <v>280.49684473185937</v>
      </c>
      <c r="BC88">
        <f t="shared" si="123"/>
        <v>4.0088500506514572E-2</v>
      </c>
      <c r="BD88">
        <f t="shared" si="124"/>
        <v>-0.47283849929379634</v>
      </c>
      <c r="BE88">
        <f t="shared" si="125"/>
        <v>203.61275232876105</v>
      </c>
      <c r="BF88" t="s">
        <v>789</v>
      </c>
      <c r="BG88">
        <v>596.99</v>
      </c>
      <c r="BH88">
        <f t="shared" si="126"/>
        <v>596.99</v>
      </c>
      <c r="BI88">
        <f t="shared" si="127"/>
        <v>0.51993693284124021</v>
      </c>
      <c r="BJ88">
        <f t="shared" si="128"/>
        <v>0.7131254104042053</v>
      </c>
      <c r="BK88">
        <f t="shared" si="129"/>
        <v>-10.039367844739246</v>
      </c>
      <c r="BL88">
        <f t="shared" si="130"/>
        <v>0.43253108218181902</v>
      </c>
      <c r="BM88">
        <f t="shared" si="131"/>
        <v>-1.2300841564114373</v>
      </c>
      <c r="BN88">
        <f t="shared" si="132"/>
        <v>0.54407886210514911</v>
      </c>
      <c r="BO88">
        <f t="shared" si="133"/>
        <v>0.45592113789485089</v>
      </c>
      <c r="BP88">
        <v>22609</v>
      </c>
      <c r="BQ88">
        <v>290.00000000000011</v>
      </c>
      <c r="BR88">
        <v>1071.32</v>
      </c>
      <c r="BS88">
        <v>285</v>
      </c>
      <c r="BT88">
        <v>8020.14</v>
      </c>
      <c r="BU88">
        <v>1074.6300000000001</v>
      </c>
      <c r="BV88">
        <v>-3.31</v>
      </c>
      <c r="BW88">
        <v>300.00000000000011</v>
      </c>
      <c r="BX88">
        <v>19.399999999999999</v>
      </c>
      <c r="BY88">
        <v>1243.5657746663769</v>
      </c>
      <c r="BZ88">
        <v>3.9911291852446049</v>
      </c>
      <c r="CA88">
        <v>-135.49141605815171</v>
      </c>
      <c r="CB88">
        <v>2.9403873328247569</v>
      </c>
      <c r="CC88">
        <v>0.9869847061641096</v>
      </c>
      <c r="CD88">
        <v>-4.1417895439377081E-3</v>
      </c>
      <c r="CE88">
        <v>289.99999999999989</v>
      </c>
      <c r="CF88">
        <v>1064.2</v>
      </c>
      <c r="CG88">
        <v>645</v>
      </c>
      <c r="CH88">
        <v>8010.56</v>
      </c>
      <c r="CI88">
        <v>1074.42</v>
      </c>
      <c r="CJ88">
        <v>-10.220000000000001</v>
      </c>
      <c r="CX88">
        <f t="shared" si="134"/>
        <v>1799.79</v>
      </c>
      <c r="CY88">
        <f t="shared" si="135"/>
        <v>1513.0085992625809</v>
      </c>
      <c r="CZ88">
        <f t="shared" si="136"/>
        <v>0.84065840973812556</v>
      </c>
      <c r="DA88">
        <f t="shared" si="137"/>
        <v>0.16087073079458242</v>
      </c>
      <c r="DB88">
        <v>6</v>
      </c>
      <c r="DC88">
        <v>0.5</v>
      </c>
      <c r="DD88" t="s">
        <v>421</v>
      </c>
      <c r="DE88">
        <v>2</v>
      </c>
      <c r="DF88">
        <v>1689012321.0999999</v>
      </c>
      <c r="DG88">
        <v>626.30200000000002</v>
      </c>
      <c r="DH88">
        <v>700.09299999999996</v>
      </c>
      <c r="DI88">
        <v>29.043600000000001</v>
      </c>
      <c r="DJ88">
        <v>21.6845</v>
      </c>
      <c r="DK88">
        <v>625.09699999999998</v>
      </c>
      <c r="DL88">
        <v>28.775500000000001</v>
      </c>
      <c r="DM88">
        <v>500.05200000000002</v>
      </c>
      <c r="DN88">
        <v>99.1798</v>
      </c>
      <c r="DO88">
        <v>0.100192</v>
      </c>
      <c r="DP88">
        <v>30.591200000000001</v>
      </c>
      <c r="DQ88">
        <v>29.985700000000001</v>
      </c>
      <c r="DR88">
        <v>999.9</v>
      </c>
      <c r="DS88">
        <v>0</v>
      </c>
      <c r="DT88">
        <v>0</v>
      </c>
      <c r="DU88">
        <v>10006.9</v>
      </c>
      <c r="DV88">
        <v>0</v>
      </c>
      <c r="DW88">
        <v>1987.63</v>
      </c>
      <c r="DX88">
        <v>-73.790499999999994</v>
      </c>
      <c r="DY88">
        <v>645.03599999999994</v>
      </c>
      <c r="DZ88">
        <v>715.61</v>
      </c>
      <c r="EA88">
        <v>7.3590999999999998</v>
      </c>
      <c r="EB88">
        <v>700.09299999999996</v>
      </c>
      <c r="EC88">
        <v>21.6845</v>
      </c>
      <c r="ED88">
        <v>2.8805399999999999</v>
      </c>
      <c r="EE88">
        <v>2.1506699999999999</v>
      </c>
      <c r="EF88">
        <v>23.353000000000002</v>
      </c>
      <c r="EG88">
        <v>18.599499999999999</v>
      </c>
      <c r="EH88">
        <v>1799.79</v>
      </c>
      <c r="EI88">
        <v>0.97799199999999997</v>
      </c>
      <c r="EJ88">
        <v>2.20085E-2</v>
      </c>
      <c r="EK88">
        <v>0</v>
      </c>
      <c r="EL88">
        <v>782.23400000000004</v>
      </c>
      <c r="EM88">
        <v>5.0011200000000002</v>
      </c>
      <c r="EN88">
        <v>15804.5</v>
      </c>
      <c r="EO88">
        <v>17208.900000000001</v>
      </c>
      <c r="EP88">
        <v>48.186999999999998</v>
      </c>
      <c r="EQ88">
        <v>49.686999999999998</v>
      </c>
      <c r="ER88">
        <v>49.186999999999998</v>
      </c>
      <c r="ES88">
        <v>48.561999999999998</v>
      </c>
      <c r="ET88">
        <v>48.936999999999998</v>
      </c>
      <c r="EU88">
        <v>1755.29</v>
      </c>
      <c r="EV88">
        <v>39.5</v>
      </c>
      <c r="EW88">
        <v>0</v>
      </c>
      <c r="EX88">
        <v>124.3999998569489</v>
      </c>
      <c r="EY88">
        <v>0</v>
      </c>
      <c r="EZ88">
        <v>782.47615999999994</v>
      </c>
      <c r="FA88">
        <v>-1.7146153727578499</v>
      </c>
      <c r="FB88">
        <v>-34.299999980759729</v>
      </c>
      <c r="FC88">
        <v>15808.2</v>
      </c>
      <c r="FD88">
        <v>15</v>
      </c>
      <c r="FE88">
        <v>1689012281.0999999</v>
      </c>
      <c r="FF88" t="s">
        <v>790</v>
      </c>
      <c r="FG88">
        <v>1689012281.0999999</v>
      </c>
      <c r="FH88">
        <v>1689012278.0999999</v>
      </c>
      <c r="FI88">
        <v>78</v>
      </c>
      <c r="FJ88">
        <v>-0.113</v>
      </c>
      <c r="FK88">
        <v>-2E-3</v>
      </c>
      <c r="FL88">
        <v>1.2629999999999999</v>
      </c>
      <c r="FM88">
        <v>0.252</v>
      </c>
      <c r="FN88">
        <v>699</v>
      </c>
      <c r="FO88">
        <v>21</v>
      </c>
      <c r="FP88">
        <v>7.0000000000000007E-2</v>
      </c>
      <c r="FQ88">
        <v>0.02</v>
      </c>
      <c r="FR88">
        <v>57.504436712688872</v>
      </c>
      <c r="FS88">
        <v>0.2921396311549318</v>
      </c>
      <c r="FT88">
        <v>6.4511075425436826E-2</v>
      </c>
      <c r="FU88">
        <v>1</v>
      </c>
      <c r="FV88">
        <v>0.48665472878188859</v>
      </c>
      <c r="FW88">
        <v>-4.8948767111915537E-2</v>
      </c>
      <c r="FX88">
        <v>3.6651062724551002E-3</v>
      </c>
      <c r="FY88">
        <v>1</v>
      </c>
      <c r="FZ88">
        <v>2</v>
      </c>
      <c r="GA88">
        <v>2</v>
      </c>
      <c r="GB88" t="s">
        <v>423</v>
      </c>
      <c r="GC88">
        <v>2.92564</v>
      </c>
      <c r="GD88">
        <v>2.82755</v>
      </c>
      <c r="GE88">
        <v>0.12252200000000001</v>
      </c>
      <c r="GF88">
        <v>0.13283700000000001</v>
      </c>
      <c r="GG88">
        <v>0.12805900000000001</v>
      </c>
      <c r="GH88">
        <v>0.10494000000000001</v>
      </c>
      <c r="GI88">
        <v>28669.1</v>
      </c>
      <c r="GJ88">
        <v>22965.3</v>
      </c>
      <c r="GK88">
        <v>31439</v>
      </c>
      <c r="GL88">
        <v>26121.599999999999</v>
      </c>
      <c r="GM88">
        <v>37581.300000000003</v>
      </c>
      <c r="GN88">
        <v>31713.5</v>
      </c>
      <c r="GO88">
        <v>46691.5</v>
      </c>
      <c r="GP88">
        <v>37979.4</v>
      </c>
      <c r="GQ88">
        <v>1.9278200000000001</v>
      </c>
      <c r="GR88">
        <v>1.73675</v>
      </c>
      <c r="GS88">
        <v>-1.8663699999999998E-2</v>
      </c>
      <c r="GT88">
        <v>0</v>
      </c>
      <c r="GU88">
        <v>30.289400000000001</v>
      </c>
      <c r="GV88">
        <v>999.9</v>
      </c>
      <c r="GW88">
        <v>38</v>
      </c>
      <c r="GX88">
        <v>44.7</v>
      </c>
      <c r="GY88">
        <v>36.360599999999998</v>
      </c>
      <c r="GZ88">
        <v>62.324599999999997</v>
      </c>
      <c r="HA88">
        <v>22.119399999999999</v>
      </c>
      <c r="HB88">
        <v>1</v>
      </c>
      <c r="HC88">
        <v>0.44030000000000002</v>
      </c>
      <c r="HD88">
        <v>2.01973</v>
      </c>
      <c r="HE88">
        <v>20.283799999999999</v>
      </c>
      <c r="HF88">
        <v>5.2232799999999999</v>
      </c>
      <c r="HG88">
        <v>12.059200000000001</v>
      </c>
      <c r="HH88">
        <v>4.99315</v>
      </c>
      <c r="HI88">
        <v>3.2919999999999998</v>
      </c>
      <c r="HJ88">
        <v>9999</v>
      </c>
      <c r="HK88">
        <v>9999</v>
      </c>
      <c r="HL88">
        <v>9999</v>
      </c>
      <c r="HM88">
        <v>464.5</v>
      </c>
      <c r="HN88">
        <v>1.8669100000000001</v>
      </c>
      <c r="HO88">
        <v>1.8703799999999999</v>
      </c>
      <c r="HP88">
        <v>1.8730199999999999</v>
      </c>
      <c r="HQ88">
        <v>1.8738900000000001</v>
      </c>
      <c r="HR88">
        <v>1.87063</v>
      </c>
      <c r="HS88">
        <v>1.8690500000000001</v>
      </c>
      <c r="HT88">
        <v>1.8705099999999999</v>
      </c>
      <c r="HU88">
        <v>1.87347</v>
      </c>
      <c r="HV88">
        <v>0</v>
      </c>
      <c r="HW88">
        <v>0</v>
      </c>
      <c r="HX88">
        <v>0</v>
      </c>
      <c r="HY88">
        <v>0</v>
      </c>
      <c r="HZ88" t="s">
        <v>424</v>
      </c>
      <c r="IA88" t="s">
        <v>425</v>
      </c>
      <c r="IB88" t="s">
        <v>426</v>
      </c>
      <c r="IC88" t="s">
        <v>426</v>
      </c>
      <c r="ID88" t="s">
        <v>426</v>
      </c>
      <c r="IE88" t="s">
        <v>426</v>
      </c>
      <c r="IF88">
        <v>0</v>
      </c>
      <c r="IG88">
        <v>100</v>
      </c>
      <c r="IH88">
        <v>100</v>
      </c>
      <c r="II88">
        <v>1.2050000000000001</v>
      </c>
      <c r="IJ88">
        <v>0.2681</v>
      </c>
      <c r="IK88">
        <v>8.5516861854820186E-2</v>
      </c>
      <c r="IL88">
        <v>3.042515301972944E-3</v>
      </c>
      <c r="IM88">
        <v>-2.5091471490852929E-6</v>
      </c>
      <c r="IN88">
        <v>8.1339755115576286E-10</v>
      </c>
      <c r="IO88">
        <v>0.26816703817430981</v>
      </c>
      <c r="IP88">
        <v>0</v>
      </c>
      <c r="IQ88">
        <v>0</v>
      </c>
      <c r="IR88">
        <v>0</v>
      </c>
      <c r="IS88">
        <v>3</v>
      </c>
      <c r="IT88">
        <v>2004</v>
      </c>
      <c r="IU88">
        <v>2</v>
      </c>
      <c r="IV88">
        <v>22</v>
      </c>
      <c r="IW88">
        <v>0.7</v>
      </c>
      <c r="IX88">
        <v>0.7</v>
      </c>
      <c r="IY88">
        <v>1.62842</v>
      </c>
      <c r="IZ88">
        <v>2.6025399999999999</v>
      </c>
      <c r="JA88">
        <v>1.64917</v>
      </c>
      <c r="JB88">
        <v>2.33765</v>
      </c>
      <c r="JC88">
        <v>1.5991200000000001</v>
      </c>
      <c r="JD88">
        <v>2.3278799999999999</v>
      </c>
      <c r="JE88">
        <v>47.692399999999999</v>
      </c>
      <c r="JF88">
        <v>24.218800000000002</v>
      </c>
      <c r="JG88">
        <v>18</v>
      </c>
      <c r="JH88">
        <v>517.947</v>
      </c>
      <c r="JI88">
        <v>441.57</v>
      </c>
      <c r="JJ88">
        <v>27.744700000000002</v>
      </c>
      <c r="JK88">
        <v>32.826799999999999</v>
      </c>
      <c r="JL88">
        <v>30</v>
      </c>
      <c r="JM88">
        <v>32.959000000000003</v>
      </c>
      <c r="JN88">
        <v>32.982700000000001</v>
      </c>
      <c r="JO88">
        <v>32.596200000000003</v>
      </c>
      <c r="JP88">
        <v>49.630400000000002</v>
      </c>
      <c r="JQ88">
        <v>0</v>
      </c>
      <c r="JR88">
        <v>27.727900000000002</v>
      </c>
      <c r="JS88">
        <v>700</v>
      </c>
      <c r="JT88">
        <v>21.5411</v>
      </c>
      <c r="JU88">
        <v>99.650700000000001</v>
      </c>
      <c r="JV88">
        <v>99.318100000000001</v>
      </c>
    </row>
    <row r="89" spans="1:282" x14ac:dyDescent="0.25">
      <c r="A89">
        <v>73</v>
      </c>
      <c r="B89">
        <v>1689012441.0999999</v>
      </c>
      <c r="C89">
        <v>12846</v>
      </c>
      <c r="D89" t="s">
        <v>791</v>
      </c>
      <c r="E89" t="s">
        <v>792</v>
      </c>
      <c r="F89" t="s">
        <v>414</v>
      </c>
      <c r="G89" t="s">
        <v>415</v>
      </c>
      <c r="H89" t="s">
        <v>732</v>
      </c>
      <c r="I89" t="s">
        <v>416</v>
      </c>
      <c r="J89" t="s">
        <v>578</v>
      </c>
      <c r="K89">
        <v>1689012441.0999999</v>
      </c>
      <c r="L89">
        <f t="shared" si="92"/>
        <v>5.8148709519804647E-3</v>
      </c>
      <c r="M89">
        <f t="shared" si="93"/>
        <v>5.8148709519804651</v>
      </c>
      <c r="N89">
        <f t="shared" si="94"/>
        <v>57.134952907755903</v>
      </c>
      <c r="O89">
        <f t="shared" si="95"/>
        <v>825.68299999999999</v>
      </c>
      <c r="P89">
        <f t="shared" si="96"/>
        <v>582.4506488865386</v>
      </c>
      <c r="Q89">
        <f t="shared" si="97"/>
        <v>57.827825026687499</v>
      </c>
      <c r="R89">
        <f t="shared" si="98"/>
        <v>81.976820083879105</v>
      </c>
      <c r="S89">
        <f t="shared" si="99"/>
        <v>0.43092954538570177</v>
      </c>
      <c r="T89">
        <f t="shared" si="100"/>
        <v>2.9162764038603877</v>
      </c>
      <c r="U89">
        <f t="shared" si="101"/>
        <v>0.39842341792238706</v>
      </c>
      <c r="V89">
        <f t="shared" si="102"/>
        <v>0.25173053811786117</v>
      </c>
      <c r="W89">
        <f t="shared" si="103"/>
        <v>289.59418057708194</v>
      </c>
      <c r="X89">
        <f t="shared" si="104"/>
        <v>30.659696425146091</v>
      </c>
      <c r="Y89">
        <f t="shared" si="105"/>
        <v>29.984000000000002</v>
      </c>
      <c r="Z89">
        <f t="shared" si="106"/>
        <v>4.2565358721921243</v>
      </c>
      <c r="AA89">
        <f t="shared" si="107"/>
        <v>65.354705802880886</v>
      </c>
      <c r="AB89">
        <f t="shared" si="108"/>
        <v>2.8594484806781604</v>
      </c>
      <c r="AC89">
        <f t="shared" si="109"/>
        <v>4.3752755758746202</v>
      </c>
      <c r="AD89">
        <f t="shared" si="110"/>
        <v>1.3970873915139639</v>
      </c>
      <c r="AE89">
        <f t="shared" si="111"/>
        <v>-256.43580898233847</v>
      </c>
      <c r="AF89">
        <f t="shared" si="112"/>
        <v>75.435256414064781</v>
      </c>
      <c r="AG89">
        <f t="shared" si="113"/>
        <v>5.7643116671239776</v>
      </c>
      <c r="AH89">
        <f t="shared" si="114"/>
        <v>114.35793967593224</v>
      </c>
      <c r="AI89">
        <v>0</v>
      </c>
      <c r="AJ89">
        <v>0</v>
      </c>
      <c r="AK89">
        <f t="shared" si="115"/>
        <v>1</v>
      </c>
      <c r="AL89">
        <f t="shared" si="116"/>
        <v>0</v>
      </c>
      <c r="AM89">
        <f t="shared" si="117"/>
        <v>51877.791368870014</v>
      </c>
      <c r="AN89" t="s">
        <v>418</v>
      </c>
      <c r="AO89">
        <v>10021</v>
      </c>
      <c r="AP89">
        <v>177.53923076923081</v>
      </c>
      <c r="AQ89">
        <v>655.56</v>
      </c>
      <c r="AR89">
        <f t="shared" si="118"/>
        <v>0.72917928066198234</v>
      </c>
      <c r="AS89">
        <v>-3.1115002560329539</v>
      </c>
      <c r="AT89" t="s">
        <v>793</v>
      </c>
      <c r="AU89">
        <v>8019.08</v>
      </c>
      <c r="AV89">
        <v>781.80376923076915</v>
      </c>
      <c r="AW89">
        <v>1237.3412075621729</v>
      </c>
      <c r="AX89">
        <f t="shared" si="119"/>
        <v>0.36815830229149971</v>
      </c>
      <c r="AY89">
        <v>0.5</v>
      </c>
      <c r="AZ89">
        <f t="shared" si="120"/>
        <v>1513.3277992627366</v>
      </c>
      <c r="BA89">
        <f t="shared" si="121"/>
        <v>57.134952907755903</v>
      </c>
      <c r="BB89">
        <f t="shared" si="122"/>
        <v>278.57209669355029</v>
      </c>
      <c r="BC89">
        <f t="shared" si="123"/>
        <v>3.9810577188326111E-2</v>
      </c>
      <c r="BD89">
        <f t="shared" si="124"/>
        <v>-0.47018656131917447</v>
      </c>
      <c r="BE89">
        <f t="shared" si="125"/>
        <v>203.44517961826102</v>
      </c>
      <c r="BF89" t="s">
        <v>794</v>
      </c>
      <c r="BG89">
        <v>595.82000000000005</v>
      </c>
      <c r="BH89">
        <f t="shared" si="126"/>
        <v>595.82000000000005</v>
      </c>
      <c r="BI89">
        <f t="shared" si="127"/>
        <v>0.51846750406551723</v>
      </c>
      <c r="BJ89">
        <f t="shared" si="128"/>
        <v>0.71008944515252903</v>
      </c>
      <c r="BK89">
        <f t="shared" si="129"/>
        <v>-9.7385538594270837</v>
      </c>
      <c r="BL89">
        <f t="shared" si="130"/>
        <v>0.4298325992086765</v>
      </c>
      <c r="BM89">
        <f t="shared" si="131"/>
        <v>-1.2170626152884008</v>
      </c>
      <c r="BN89">
        <f t="shared" si="132"/>
        <v>0.54116583964165499</v>
      </c>
      <c r="BO89">
        <f t="shared" si="133"/>
        <v>0.45883416035834501</v>
      </c>
      <c r="BP89">
        <v>22611</v>
      </c>
      <c r="BQ89">
        <v>290.00000000000011</v>
      </c>
      <c r="BR89">
        <v>1072.78</v>
      </c>
      <c r="BS89">
        <v>295</v>
      </c>
      <c r="BT89">
        <v>8019.08</v>
      </c>
      <c r="BU89">
        <v>1075.67</v>
      </c>
      <c r="BV89">
        <v>-2.89</v>
      </c>
      <c r="BW89">
        <v>300.00000000000011</v>
      </c>
      <c r="BX89">
        <v>19.399999999999999</v>
      </c>
      <c r="BY89">
        <v>1237.3412075621729</v>
      </c>
      <c r="BZ89">
        <v>4.5548762568009993</v>
      </c>
      <c r="CA89">
        <v>-129.6440863291823</v>
      </c>
      <c r="CB89">
        <v>3.3552663351333329</v>
      </c>
      <c r="CC89">
        <v>0.98159070967876216</v>
      </c>
      <c r="CD89">
        <v>-4.1412200222469484E-3</v>
      </c>
      <c r="CE89">
        <v>289.99999999999989</v>
      </c>
      <c r="CF89">
        <v>1065.69</v>
      </c>
      <c r="CG89">
        <v>645</v>
      </c>
      <c r="CH89">
        <v>8009.48</v>
      </c>
      <c r="CI89">
        <v>1075.48</v>
      </c>
      <c r="CJ89">
        <v>-9.7899999999999991</v>
      </c>
      <c r="CX89">
        <f t="shared" si="134"/>
        <v>1800.17</v>
      </c>
      <c r="CY89">
        <f t="shared" si="135"/>
        <v>1513.3277992627366</v>
      </c>
      <c r="CZ89">
        <f t="shared" si="136"/>
        <v>0.8406582707537269</v>
      </c>
      <c r="DA89">
        <f t="shared" si="137"/>
        <v>0.16087046255469312</v>
      </c>
      <c r="DB89">
        <v>6</v>
      </c>
      <c r="DC89">
        <v>0.5</v>
      </c>
      <c r="DD89" t="s">
        <v>421</v>
      </c>
      <c r="DE89">
        <v>2</v>
      </c>
      <c r="DF89">
        <v>1689012441.0999999</v>
      </c>
      <c r="DG89">
        <v>825.68299999999999</v>
      </c>
      <c r="DH89">
        <v>899.99900000000002</v>
      </c>
      <c r="DI89">
        <v>28.800799999999999</v>
      </c>
      <c r="DJ89">
        <v>22.0246</v>
      </c>
      <c r="DK89">
        <v>824.48599999999999</v>
      </c>
      <c r="DL89">
        <v>28.534500000000001</v>
      </c>
      <c r="DM89">
        <v>500.05</v>
      </c>
      <c r="DN89">
        <v>99.183800000000005</v>
      </c>
      <c r="DO89">
        <v>9.9847699999999998E-2</v>
      </c>
      <c r="DP89">
        <v>30.463799999999999</v>
      </c>
      <c r="DQ89">
        <v>29.984000000000002</v>
      </c>
      <c r="DR89">
        <v>999.9</v>
      </c>
      <c r="DS89">
        <v>0</v>
      </c>
      <c r="DT89">
        <v>0</v>
      </c>
      <c r="DU89">
        <v>10006.200000000001</v>
      </c>
      <c r="DV89">
        <v>0</v>
      </c>
      <c r="DW89">
        <v>1954.6</v>
      </c>
      <c r="DX89">
        <v>-74.316599999999994</v>
      </c>
      <c r="DY89">
        <v>850.16800000000001</v>
      </c>
      <c r="DZ89">
        <v>920.26800000000003</v>
      </c>
      <c r="EA89">
        <v>6.7762099999999998</v>
      </c>
      <c r="EB89">
        <v>899.99900000000002</v>
      </c>
      <c r="EC89">
        <v>22.0246</v>
      </c>
      <c r="ED89">
        <v>2.8565700000000001</v>
      </c>
      <c r="EE89">
        <v>2.1844800000000002</v>
      </c>
      <c r="EF89">
        <v>23.214700000000001</v>
      </c>
      <c r="EG89">
        <v>18.849</v>
      </c>
      <c r="EH89">
        <v>1800.17</v>
      </c>
      <c r="EI89">
        <v>0.97799899999999995</v>
      </c>
      <c r="EJ89">
        <v>2.2001099999999999E-2</v>
      </c>
      <c r="EK89">
        <v>0</v>
      </c>
      <c r="EL89">
        <v>781.68100000000004</v>
      </c>
      <c r="EM89">
        <v>5.0011200000000002</v>
      </c>
      <c r="EN89">
        <v>15797.3</v>
      </c>
      <c r="EO89">
        <v>17212.599999999999</v>
      </c>
      <c r="EP89">
        <v>48.311999999999998</v>
      </c>
      <c r="EQ89">
        <v>50</v>
      </c>
      <c r="ER89">
        <v>49.375</v>
      </c>
      <c r="ES89">
        <v>48.811999999999998</v>
      </c>
      <c r="ET89">
        <v>49.125</v>
      </c>
      <c r="EU89">
        <v>1755.67</v>
      </c>
      <c r="EV89">
        <v>39.5</v>
      </c>
      <c r="EW89">
        <v>0</v>
      </c>
      <c r="EX89">
        <v>118.2000000476837</v>
      </c>
      <c r="EY89">
        <v>0</v>
      </c>
      <c r="EZ89">
        <v>781.80376923076915</v>
      </c>
      <c r="FA89">
        <v>-0.38618804079773572</v>
      </c>
      <c r="FB89">
        <v>10.864957272446709</v>
      </c>
      <c r="FC89">
        <v>15792.13846153846</v>
      </c>
      <c r="FD89">
        <v>15</v>
      </c>
      <c r="FE89">
        <v>1689012397.5999999</v>
      </c>
      <c r="FF89" t="s">
        <v>795</v>
      </c>
      <c r="FG89">
        <v>1689012386.5999999</v>
      </c>
      <c r="FH89">
        <v>1689012397.5999999</v>
      </c>
      <c r="FI89">
        <v>79</v>
      </c>
      <c r="FJ89">
        <v>-0.14799999999999999</v>
      </c>
      <c r="FK89">
        <v>-2E-3</v>
      </c>
      <c r="FL89">
        <v>1.236</v>
      </c>
      <c r="FM89">
        <v>0.26100000000000001</v>
      </c>
      <c r="FN89">
        <v>900</v>
      </c>
      <c r="FO89">
        <v>22</v>
      </c>
      <c r="FP89">
        <v>0.03</v>
      </c>
      <c r="FQ89">
        <v>0.03</v>
      </c>
      <c r="FR89">
        <v>57.227525506871473</v>
      </c>
      <c r="FS89">
        <v>-0.20073810010676771</v>
      </c>
      <c r="FT89">
        <v>7.5959121602029334E-2</v>
      </c>
      <c r="FU89">
        <v>1</v>
      </c>
      <c r="FV89">
        <v>0.4351770904125653</v>
      </c>
      <c r="FW89">
        <v>-4.0918786120924797E-2</v>
      </c>
      <c r="FX89">
        <v>3.6829816518533271E-3</v>
      </c>
      <c r="FY89">
        <v>1</v>
      </c>
      <c r="FZ89">
        <v>2</v>
      </c>
      <c r="GA89">
        <v>2</v>
      </c>
      <c r="GB89" t="s">
        <v>423</v>
      </c>
      <c r="GC89">
        <v>2.9255</v>
      </c>
      <c r="GD89">
        <v>2.8271999999999999</v>
      </c>
      <c r="GE89">
        <v>0.148035</v>
      </c>
      <c r="GF89">
        <v>0.15720799999999999</v>
      </c>
      <c r="GG89">
        <v>0.127301</v>
      </c>
      <c r="GH89">
        <v>0.106086</v>
      </c>
      <c r="GI89">
        <v>27826.2</v>
      </c>
      <c r="GJ89">
        <v>22312.5</v>
      </c>
      <c r="GK89">
        <v>31429.7</v>
      </c>
      <c r="GL89">
        <v>26114.2</v>
      </c>
      <c r="GM89">
        <v>37602.199999999997</v>
      </c>
      <c r="GN89">
        <v>31663.5</v>
      </c>
      <c r="GO89">
        <v>46675.7</v>
      </c>
      <c r="GP89">
        <v>37967.599999999999</v>
      </c>
      <c r="GQ89">
        <v>1.9262999999999999</v>
      </c>
      <c r="GR89">
        <v>1.7361500000000001</v>
      </c>
      <c r="GS89">
        <v>-3.4961800000000001E-2</v>
      </c>
      <c r="GT89">
        <v>0</v>
      </c>
      <c r="GU89">
        <v>30.552700000000002</v>
      </c>
      <c r="GV89">
        <v>999.9</v>
      </c>
      <c r="GW89">
        <v>37.9</v>
      </c>
      <c r="GX89">
        <v>44.7</v>
      </c>
      <c r="GY89">
        <v>36.262599999999999</v>
      </c>
      <c r="GZ89">
        <v>62.4146</v>
      </c>
      <c r="HA89">
        <v>22.051300000000001</v>
      </c>
      <c r="HB89">
        <v>1</v>
      </c>
      <c r="HC89">
        <v>0.45658500000000002</v>
      </c>
      <c r="HD89">
        <v>1.68272</v>
      </c>
      <c r="HE89">
        <v>20.281400000000001</v>
      </c>
      <c r="HF89">
        <v>5.2243300000000001</v>
      </c>
      <c r="HG89">
        <v>12.06</v>
      </c>
      <c r="HH89">
        <v>4.9925499999999996</v>
      </c>
      <c r="HI89">
        <v>3.2919999999999998</v>
      </c>
      <c r="HJ89">
        <v>9999</v>
      </c>
      <c r="HK89">
        <v>9999</v>
      </c>
      <c r="HL89">
        <v>9999</v>
      </c>
      <c r="HM89">
        <v>464.6</v>
      </c>
      <c r="HN89">
        <v>1.8669100000000001</v>
      </c>
      <c r="HO89">
        <v>1.8704000000000001</v>
      </c>
      <c r="HP89">
        <v>1.873</v>
      </c>
      <c r="HQ89">
        <v>1.87392</v>
      </c>
      <c r="HR89">
        <v>1.8706100000000001</v>
      </c>
      <c r="HS89">
        <v>1.86903</v>
      </c>
      <c r="HT89">
        <v>1.8704700000000001</v>
      </c>
      <c r="HU89">
        <v>1.87347</v>
      </c>
      <c r="HV89">
        <v>0</v>
      </c>
      <c r="HW89">
        <v>0</v>
      </c>
      <c r="HX89">
        <v>0</v>
      </c>
      <c r="HY89">
        <v>0</v>
      </c>
      <c r="HZ89" t="s">
        <v>424</v>
      </c>
      <c r="IA89" t="s">
        <v>425</v>
      </c>
      <c r="IB89" t="s">
        <v>426</v>
      </c>
      <c r="IC89" t="s">
        <v>426</v>
      </c>
      <c r="ID89" t="s">
        <v>426</v>
      </c>
      <c r="IE89" t="s">
        <v>426</v>
      </c>
      <c r="IF89">
        <v>0</v>
      </c>
      <c r="IG89">
        <v>100</v>
      </c>
      <c r="IH89">
        <v>100</v>
      </c>
      <c r="II89">
        <v>1.1970000000000001</v>
      </c>
      <c r="IJ89">
        <v>0.26629999999999998</v>
      </c>
      <c r="IK89">
        <v>-6.2284980188964799E-2</v>
      </c>
      <c r="IL89">
        <v>3.042515301972944E-3</v>
      </c>
      <c r="IM89">
        <v>-2.5091471490852929E-6</v>
      </c>
      <c r="IN89">
        <v>8.1339755115576286E-10</v>
      </c>
      <c r="IO89">
        <v>0.26628232661767981</v>
      </c>
      <c r="IP89">
        <v>0</v>
      </c>
      <c r="IQ89">
        <v>0</v>
      </c>
      <c r="IR89">
        <v>0</v>
      </c>
      <c r="IS89">
        <v>3</v>
      </c>
      <c r="IT89">
        <v>2004</v>
      </c>
      <c r="IU89">
        <v>2</v>
      </c>
      <c r="IV89">
        <v>22</v>
      </c>
      <c r="IW89">
        <v>0.9</v>
      </c>
      <c r="IX89">
        <v>0.7</v>
      </c>
      <c r="IY89">
        <v>2.0043899999999999</v>
      </c>
      <c r="IZ89">
        <v>2.6037599999999999</v>
      </c>
      <c r="JA89">
        <v>1.64917</v>
      </c>
      <c r="JB89">
        <v>2.33765</v>
      </c>
      <c r="JC89">
        <v>1.5991200000000001</v>
      </c>
      <c r="JD89">
        <v>2.34253</v>
      </c>
      <c r="JE89">
        <v>47.632100000000001</v>
      </c>
      <c r="JF89">
        <v>24.218800000000002</v>
      </c>
      <c r="JG89">
        <v>18</v>
      </c>
      <c r="JH89">
        <v>517.49</v>
      </c>
      <c r="JI89">
        <v>441.65300000000002</v>
      </c>
      <c r="JJ89">
        <v>26.7271</v>
      </c>
      <c r="JK89">
        <v>32.950000000000003</v>
      </c>
      <c r="JL89">
        <v>29.9984</v>
      </c>
      <c r="JM89">
        <v>33.029400000000003</v>
      </c>
      <c r="JN89">
        <v>33.047499999999999</v>
      </c>
      <c r="JO89">
        <v>40.113900000000001</v>
      </c>
      <c r="JP89">
        <v>47.7562</v>
      </c>
      <c r="JQ89">
        <v>0</v>
      </c>
      <c r="JR89">
        <v>27.217600000000001</v>
      </c>
      <c r="JS89">
        <v>900</v>
      </c>
      <c r="JT89">
        <v>22.027699999999999</v>
      </c>
      <c r="JU89">
        <v>99.618700000000004</v>
      </c>
      <c r="JV89">
        <v>99.288200000000003</v>
      </c>
    </row>
    <row r="90" spans="1:282" x14ac:dyDescent="0.25">
      <c r="A90">
        <v>74</v>
      </c>
      <c r="B90">
        <v>1689012588.0999999</v>
      </c>
      <c r="C90">
        <v>12993</v>
      </c>
      <c r="D90" t="s">
        <v>796</v>
      </c>
      <c r="E90" t="s">
        <v>797</v>
      </c>
      <c r="F90" t="s">
        <v>414</v>
      </c>
      <c r="G90" t="s">
        <v>415</v>
      </c>
      <c r="H90" t="s">
        <v>732</v>
      </c>
      <c r="I90" t="s">
        <v>416</v>
      </c>
      <c r="J90" t="s">
        <v>578</v>
      </c>
      <c r="K90">
        <v>1689012588.0999999</v>
      </c>
      <c r="L90">
        <f t="shared" si="92"/>
        <v>5.2680719425951244E-3</v>
      </c>
      <c r="M90">
        <f t="shared" si="93"/>
        <v>5.2680719425951246</v>
      </c>
      <c r="N90">
        <f t="shared" si="94"/>
        <v>55.727484780551364</v>
      </c>
      <c r="O90">
        <f t="shared" si="95"/>
        <v>1125.8900000000001</v>
      </c>
      <c r="P90">
        <f t="shared" si="96"/>
        <v>850.50090889017133</v>
      </c>
      <c r="Q90">
        <f t="shared" si="97"/>
        <v>84.442969320214971</v>
      </c>
      <c r="R90">
        <f t="shared" si="98"/>
        <v>111.78529468240001</v>
      </c>
      <c r="S90">
        <f t="shared" si="99"/>
        <v>0.3756022694517715</v>
      </c>
      <c r="T90">
        <f t="shared" si="100"/>
        <v>2.9171912709985457</v>
      </c>
      <c r="U90">
        <f t="shared" si="101"/>
        <v>0.35065549731700152</v>
      </c>
      <c r="V90">
        <f t="shared" si="102"/>
        <v>0.2212628295563549</v>
      </c>
      <c r="W90">
        <f t="shared" si="103"/>
        <v>289.59577657708985</v>
      </c>
      <c r="X90">
        <f t="shared" si="104"/>
        <v>30.813966647740436</v>
      </c>
      <c r="Y90">
        <f t="shared" si="105"/>
        <v>29.995699999999999</v>
      </c>
      <c r="Z90">
        <f t="shared" si="106"/>
        <v>4.2593976036717143</v>
      </c>
      <c r="AA90">
        <f t="shared" si="107"/>
        <v>64.431077927384422</v>
      </c>
      <c r="AB90">
        <f t="shared" si="108"/>
        <v>2.8209580923840001</v>
      </c>
      <c r="AC90">
        <f t="shared" si="109"/>
        <v>4.3782568647435891</v>
      </c>
      <c r="AD90">
        <f t="shared" si="110"/>
        <v>1.4384395112877142</v>
      </c>
      <c r="AE90">
        <f t="shared" si="111"/>
        <v>-232.321972668445</v>
      </c>
      <c r="AF90">
        <f t="shared" si="112"/>
        <v>75.490375584995391</v>
      </c>
      <c r="AG90">
        <f t="shared" si="113"/>
        <v>5.7673877312189603</v>
      </c>
      <c r="AH90">
        <f t="shared" si="114"/>
        <v>138.5315672248592</v>
      </c>
      <c r="AI90">
        <v>0</v>
      </c>
      <c r="AJ90">
        <v>0</v>
      </c>
      <c r="AK90">
        <f t="shared" si="115"/>
        <v>1</v>
      </c>
      <c r="AL90">
        <f t="shared" si="116"/>
        <v>0</v>
      </c>
      <c r="AM90">
        <f t="shared" si="117"/>
        <v>51901.817285621219</v>
      </c>
      <c r="AN90" t="s">
        <v>418</v>
      </c>
      <c r="AO90">
        <v>10021</v>
      </c>
      <c r="AP90">
        <v>177.53923076923081</v>
      </c>
      <c r="AQ90">
        <v>655.56</v>
      </c>
      <c r="AR90">
        <f t="shared" si="118"/>
        <v>0.72917928066198234</v>
      </c>
      <c r="AS90">
        <v>-3.1115002560329539</v>
      </c>
      <c r="AT90" t="s">
        <v>798</v>
      </c>
      <c r="AU90">
        <v>8018.89</v>
      </c>
      <c r="AV90">
        <v>781.28603846153828</v>
      </c>
      <c r="AW90">
        <v>1228.7758882799001</v>
      </c>
      <c r="AX90">
        <f t="shared" si="119"/>
        <v>0.36417531796199198</v>
      </c>
      <c r="AY90">
        <v>0.5</v>
      </c>
      <c r="AZ90">
        <f t="shared" si="120"/>
        <v>1513.3361992627408</v>
      </c>
      <c r="BA90">
        <f t="shared" si="121"/>
        <v>55.727484780551364</v>
      </c>
      <c r="BB90">
        <f t="shared" si="122"/>
        <v>275.55984577495053</v>
      </c>
      <c r="BC90">
        <f t="shared" si="123"/>
        <v>3.888031295706082E-2</v>
      </c>
      <c r="BD90">
        <f t="shared" si="124"/>
        <v>-0.46649343769457868</v>
      </c>
      <c r="BE90">
        <f t="shared" si="125"/>
        <v>203.21227465668593</v>
      </c>
      <c r="BF90" t="s">
        <v>799</v>
      </c>
      <c r="BG90">
        <v>596.47</v>
      </c>
      <c r="BH90">
        <f t="shared" si="126"/>
        <v>596.47</v>
      </c>
      <c r="BI90">
        <f t="shared" si="127"/>
        <v>0.51458194639954435</v>
      </c>
      <c r="BJ90">
        <f t="shared" si="128"/>
        <v>0.70771102738849312</v>
      </c>
      <c r="BK90">
        <f t="shared" si="129"/>
        <v>-9.7007258128262137</v>
      </c>
      <c r="BL90">
        <f t="shared" si="130"/>
        <v>0.42567945725753009</v>
      </c>
      <c r="BM90">
        <f t="shared" si="131"/>
        <v>-1.1991443158470267</v>
      </c>
      <c r="BN90">
        <f t="shared" si="132"/>
        <v>0.54029942393139962</v>
      </c>
      <c r="BO90">
        <f t="shared" si="133"/>
        <v>0.45970057606860038</v>
      </c>
      <c r="BP90">
        <v>22613</v>
      </c>
      <c r="BQ90">
        <v>290.00000000000011</v>
      </c>
      <c r="BR90">
        <v>1073.3</v>
      </c>
      <c r="BS90">
        <v>285</v>
      </c>
      <c r="BT90">
        <v>8018.89</v>
      </c>
      <c r="BU90">
        <v>1074.81</v>
      </c>
      <c r="BV90">
        <v>-1.51</v>
      </c>
      <c r="BW90">
        <v>300.00000000000011</v>
      </c>
      <c r="BX90">
        <v>19.399999999999999</v>
      </c>
      <c r="BY90">
        <v>1228.7758882799001</v>
      </c>
      <c r="BZ90">
        <v>5.2355205126404449</v>
      </c>
      <c r="CA90">
        <v>-123.467533371831</v>
      </c>
      <c r="CB90">
        <v>3.85655805098874</v>
      </c>
      <c r="CC90">
        <v>0.97340822991067255</v>
      </c>
      <c r="CD90">
        <v>-4.141268075639597E-3</v>
      </c>
      <c r="CE90">
        <v>289.99999999999989</v>
      </c>
      <c r="CF90">
        <v>1066.6099999999999</v>
      </c>
      <c r="CG90">
        <v>665</v>
      </c>
      <c r="CH90">
        <v>8008.66</v>
      </c>
      <c r="CI90">
        <v>1074.6099999999999</v>
      </c>
      <c r="CJ90">
        <v>-8</v>
      </c>
      <c r="CX90">
        <f t="shared" si="134"/>
        <v>1800.18</v>
      </c>
      <c r="CY90">
        <f t="shared" si="135"/>
        <v>1513.3361992627408</v>
      </c>
      <c r="CZ90">
        <f t="shared" si="136"/>
        <v>0.84065826709703517</v>
      </c>
      <c r="DA90">
        <f t="shared" si="137"/>
        <v>0.16087045549727796</v>
      </c>
      <c r="DB90">
        <v>6</v>
      </c>
      <c r="DC90">
        <v>0.5</v>
      </c>
      <c r="DD90" t="s">
        <v>421</v>
      </c>
      <c r="DE90">
        <v>2</v>
      </c>
      <c r="DF90">
        <v>1689012588.0999999</v>
      </c>
      <c r="DG90">
        <v>1125.8900000000001</v>
      </c>
      <c r="DH90">
        <v>1199.8699999999999</v>
      </c>
      <c r="DI90">
        <v>28.412400000000002</v>
      </c>
      <c r="DJ90">
        <v>22.2712</v>
      </c>
      <c r="DK90">
        <v>1124.55</v>
      </c>
      <c r="DL90">
        <v>28.150099999999998</v>
      </c>
      <c r="DM90">
        <v>500.07100000000003</v>
      </c>
      <c r="DN90">
        <v>99.186099999999996</v>
      </c>
      <c r="DO90">
        <v>0.10006</v>
      </c>
      <c r="DP90">
        <v>30.4757</v>
      </c>
      <c r="DQ90">
        <v>29.995699999999999</v>
      </c>
      <c r="DR90">
        <v>999.9</v>
      </c>
      <c r="DS90">
        <v>0</v>
      </c>
      <c r="DT90">
        <v>0</v>
      </c>
      <c r="DU90">
        <v>10011.200000000001</v>
      </c>
      <c r="DV90">
        <v>0</v>
      </c>
      <c r="DW90">
        <v>1907.4</v>
      </c>
      <c r="DX90">
        <v>-73.976799999999997</v>
      </c>
      <c r="DY90">
        <v>1158.82</v>
      </c>
      <c r="DZ90">
        <v>1227.2</v>
      </c>
      <c r="EA90">
        <v>6.1412100000000001</v>
      </c>
      <c r="EB90">
        <v>1199.8699999999999</v>
      </c>
      <c r="EC90">
        <v>22.2712</v>
      </c>
      <c r="ED90">
        <v>2.81812</v>
      </c>
      <c r="EE90">
        <v>2.2090000000000001</v>
      </c>
      <c r="EF90">
        <v>22.990600000000001</v>
      </c>
      <c r="EG90">
        <v>19.027699999999999</v>
      </c>
      <c r="EH90">
        <v>1800.18</v>
      </c>
      <c r="EI90">
        <v>0.97799899999999995</v>
      </c>
      <c r="EJ90">
        <v>2.2001099999999999E-2</v>
      </c>
      <c r="EK90">
        <v>0</v>
      </c>
      <c r="EL90">
        <v>781.36699999999996</v>
      </c>
      <c r="EM90">
        <v>5.0011200000000002</v>
      </c>
      <c r="EN90">
        <v>15779</v>
      </c>
      <c r="EO90">
        <v>17212.7</v>
      </c>
      <c r="EP90">
        <v>48.311999999999998</v>
      </c>
      <c r="EQ90">
        <v>50</v>
      </c>
      <c r="ER90">
        <v>49.25</v>
      </c>
      <c r="ES90">
        <v>48.875</v>
      </c>
      <c r="ET90">
        <v>48.561999999999998</v>
      </c>
      <c r="EU90">
        <v>1755.68</v>
      </c>
      <c r="EV90">
        <v>39.5</v>
      </c>
      <c r="EW90">
        <v>0</v>
      </c>
      <c r="EX90">
        <v>145.20000004768369</v>
      </c>
      <c r="EY90">
        <v>0</v>
      </c>
      <c r="EZ90">
        <v>781.28603846153828</v>
      </c>
      <c r="FA90">
        <v>1.2801025760439779</v>
      </c>
      <c r="FB90">
        <v>-15.8358975526967</v>
      </c>
      <c r="FC90">
        <v>15783.33076923077</v>
      </c>
      <c r="FD90">
        <v>15</v>
      </c>
      <c r="FE90">
        <v>1689012542.0999999</v>
      </c>
      <c r="FF90" t="s">
        <v>800</v>
      </c>
      <c r="FG90">
        <v>1689012386.5999999</v>
      </c>
      <c r="FH90">
        <v>1689012539.5999999</v>
      </c>
      <c r="FI90">
        <v>80</v>
      </c>
      <c r="FJ90">
        <v>-0.14799999999999999</v>
      </c>
      <c r="FK90">
        <v>-4.0000000000000001E-3</v>
      </c>
      <c r="FL90">
        <v>1.236</v>
      </c>
      <c r="FM90">
        <v>0.25600000000000001</v>
      </c>
      <c r="FN90">
        <v>900</v>
      </c>
      <c r="FO90">
        <v>22</v>
      </c>
      <c r="FP90">
        <v>0.03</v>
      </c>
      <c r="FQ90">
        <v>0.06</v>
      </c>
      <c r="FR90">
        <v>55.877712433233931</v>
      </c>
      <c r="FS90">
        <v>0.22259946621793111</v>
      </c>
      <c r="FT90">
        <v>0.14389948003749939</v>
      </c>
      <c r="FU90">
        <v>1</v>
      </c>
      <c r="FV90">
        <v>0.38191984546976671</v>
      </c>
      <c r="FW90">
        <v>-4.7126338338563681E-2</v>
      </c>
      <c r="FX90">
        <v>3.5326490024147721E-3</v>
      </c>
      <c r="FY90">
        <v>1</v>
      </c>
      <c r="FZ90">
        <v>2</v>
      </c>
      <c r="GA90">
        <v>2</v>
      </c>
      <c r="GB90" t="s">
        <v>423</v>
      </c>
      <c r="GC90">
        <v>2.9253800000000001</v>
      </c>
      <c r="GD90">
        <v>2.8274499999999998</v>
      </c>
      <c r="GE90">
        <v>0.18103</v>
      </c>
      <c r="GF90">
        <v>0.188941</v>
      </c>
      <c r="GG90">
        <v>0.126079</v>
      </c>
      <c r="GH90">
        <v>0.106896</v>
      </c>
      <c r="GI90">
        <v>26736.2</v>
      </c>
      <c r="GJ90">
        <v>21465.3</v>
      </c>
      <c r="GK90">
        <v>31417.9</v>
      </c>
      <c r="GL90">
        <v>26107.8</v>
      </c>
      <c r="GM90">
        <v>37642.6</v>
      </c>
      <c r="GN90">
        <v>31628.400000000001</v>
      </c>
      <c r="GO90">
        <v>46659</v>
      </c>
      <c r="GP90">
        <v>37959.1</v>
      </c>
      <c r="GQ90">
        <v>1.9238299999999999</v>
      </c>
      <c r="GR90">
        <v>1.73563</v>
      </c>
      <c r="GS90">
        <v>-1.5407799999999999E-2</v>
      </c>
      <c r="GT90">
        <v>0</v>
      </c>
      <c r="GU90">
        <v>30.246400000000001</v>
      </c>
      <c r="GV90">
        <v>999.9</v>
      </c>
      <c r="GW90">
        <v>37.9</v>
      </c>
      <c r="GX90">
        <v>44.7</v>
      </c>
      <c r="GY90">
        <v>36.263399999999997</v>
      </c>
      <c r="GZ90">
        <v>62.294699999999999</v>
      </c>
      <c r="HA90">
        <v>21.927099999999999</v>
      </c>
      <c r="HB90">
        <v>1</v>
      </c>
      <c r="HC90">
        <v>0.47245399999999999</v>
      </c>
      <c r="HD90">
        <v>3.29006</v>
      </c>
      <c r="HE90">
        <v>20.262699999999999</v>
      </c>
      <c r="HF90">
        <v>5.2261300000000004</v>
      </c>
      <c r="HG90">
        <v>12.063000000000001</v>
      </c>
      <c r="HH90">
        <v>4.9928999999999997</v>
      </c>
      <c r="HI90">
        <v>3.2919999999999998</v>
      </c>
      <c r="HJ90">
        <v>9999</v>
      </c>
      <c r="HK90">
        <v>9999</v>
      </c>
      <c r="HL90">
        <v>9999</v>
      </c>
      <c r="HM90">
        <v>464.6</v>
      </c>
      <c r="HN90">
        <v>1.8669100000000001</v>
      </c>
      <c r="HO90">
        <v>1.87036</v>
      </c>
      <c r="HP90">
        <v>1.8729499999999999</v>
      </c>
      <c r="HQ90">
        <v>1.8738300000000001</v>
      </c>
      <c r="HR90">
        <v>1.8705799999999999</v>
      </c>
      <c r="HS90">
        <v>1.8690100000000001</v>
      </c>
      <c r="HT90">
        <v>1.87043</v>
      </c>
      <c r="HU90">
        <v>1.87347</v>
      </c>
      <c r="HV90">
        <v>0</v>
      </c>
      <c r="HW90">
        <v>0</v>
      </c>
      <c r="HX90">
        <v>0</v>
      </c>
      <c r="HY90">
        <v>0</v>
      </c>
      <c r="HZ90" t="s">
        <v>424</v>
      </c>
      <c r="IA90" t="s">
        <v>425</v>
      </c>
      <c r="IB90" t="s">
        <v>426</v>
      </c>
      <c r="IC90" t="s">
        <v>426</v>
      </c>
      <c r="ID90" t="s">
        <v>426</v>
      </c>
      <c r="IE90" t="s">
        <v>426</v>
      </c>
      <c r="IF90">
        <v>0</v>
      </c>
      <c r="IG90">
        <v>100</v>
      </c>
      <c r="IH90">
        <v>100</v>
      </c>
      <c r="II90">
        <v>1.34</v>
      </c>
      <c r="IJ90">
        <v>0.26229999999999998</v>
      </c>
      <c r="IK90">
        <v>-6.2284980188964799E-2</v>
      </c>
      <c r="IL90">
        <v>3.042515301972944E-3</v>
      </c>
      <c r="IM90">
        <v>-2.5091471490852929E-6</v>
      </c>
      <c r="IN90">
        <v>8.1339755115576286E-10</v>
      </c>
      <c r="IO90">
        <v>0.26230825466284657</v>
      </c>
      <c r="IP90">
        <v>0</v>
      </c>
      <c r="IQ90">
        <v>0</v>
      </c>
      <c r="IR90">
        <v>0</v>
      </c>
      <c r="IS90">
        <v>3</v>
      </c>
      <c r="IT90">
        <v>2004</v>
      </c>
      <c r="IU90">
        <v>2</v>
      </c>
      <c r="IV90">
        <v>22</v>
      </c>
      <c r="IW90">
        <v>3.4</v>
      </c>
      <c r="IX90">
        <v>0.8</v>
      </c>
      <c r="IY90">
        <v>2.5415000000000001</v>
      </c>
      <c r="IZ90">
        <v>2.5964399999999999</v>
      </c>
      <c r="JA90">
        <v>1.64917</v>
      </c>
      <c r="JB90">
        <v>2.33765</v>
      </c>
      <c r="JC90">
        <v>1.5991200000000001</v>
      </c>
      <c r="JD90">
        <v>2.32544</v>
      </c>
      <c r="JE90">
        <v>47.601900000000001</v>
      </c>
      <c r="JF90">
        <v>24.210100000000001</v>
      </c>
      <c r="JG90">
        <v>18</v>
      </c>
      <c r="JH90">
        <v>516.83199999999999</v>
      </c>
      <c r="JI90">
        <v>442.11799999999999</v>
      </c>
      <c r="JJ90">
        <v>27.332899999999999</v>
      </c>
      <c r="JK90">
        <v>33.107900000000001</v>
      </c>
      <c r="JL90">
        <v>30.0017</v>
      </c>
      <c r="JM90">
        <v>33.1541</v>
      </c>
      <c r="JN90">
        <v>33.158000000000001</v>
      </c>
      <c r="JO90">
        <v>50.872700000000002</v>
      </c>
      <c r="JP90">
        <v>47.668799999999997</v>
      </c>
      <c r="JQ90">
        <v>0</v>
      </c>
      <c r="JR90">
        <v>27.3262</v>
      </c>
      <c r="JS90">
        <v>1200</v>
      </c>
      <c r="JT90">
        <v>22.465699999999998</v>
      </c>
      <c r="JU90">
        <v>99.582300000000004</v>
      </c>
      <c r="JV90">
        <v>99.265100000000004</v>
      </c>
    </row>
    <row r="91" spans="1:282" x14ac:dyDescent="0.25">
      <c r="A91">
        <v>75</v>
      </c>
      <c r="B91">
        <v>1689012736.5999999</v>
      </c>
      <c r="C91">
        <v>13141.5</v>
      </c>
      <c r="D91" t="s">
        <v>801</v>
      </c>
      <c r="E91" t="s">
        <v>802</v>
      </c>
      <c r="F91" t="s">
        <v>414</v>
      </c>
      <c r="G91" t="s">
        <v>415</v>
      </c>
      <c r="H91" t="s">
        <v>732</v>
      </c>
      <c r="I91" t="s">
        <v>416</v>
      </c>
      <c r="J91" t="s">
        <v>578</v>
      </c>
      <c r="K91">
        <v>1689012736.5999999</v>
      </c>
      <c r="L91">
        <f t="shared" si="92"/>
        <v>4.6565985766813308E-3</v>
      </c>
      <c r="M91">
        <f t="shared" si="93"/>
        <v>4.6565985766813309</v>
      </c>
      <c r="N91">
        <f t="shared" si="94"/>
        <v>54.839776435780394</v>
      </c>
      <c r="O91">
        <f t="shared" si="95"/>
        <v>1426.09</v>
      </c>
      <c r="P91">
        <f t="shared" si="96"/>
        <v>1117.1695753068839</v>
      </c>
      <c r="Q91">
        <f t="shared" si="97"/>
        <v>110.91814832784149</v>
      </c>
      <c r="R91">
        <f t="shared" si="98"/>
        <v>141.58930358034502</v>
      </c>
      <c r="S91">
        <f t="shared" si="99"/>
        <v>0.33167261624138461</v>
      </c>
      <c r="T91">
        <f t="shared" si="100"/>
        <v>2.9136870031436279</v>
      </c>
      <c r="U91">
        <f t="shared" si="101"/>
        <v>0.31203447599818063</v>
      </c>
      <c r="V91">
        <f t="shared" si="102"/>
        <v>0.19668898861379486</v>
      </c>
      <c r="W91">
        <f t="shared" si="103"/>
        <v>289.57764157736312</v>
      </c>
      <c r="X91">
        <f t="shared" si="104"/>
        <v>30.876413897674851</v>
      </c>
      <c r="Y91">
        <f t="shared" si="105"/>
        <v>30.006799999999998</v>
      </c>
      <c r="Z91">
        <f t="shared" si="106"/>
        <v>4.2621141295248082</v>
      </c>
      <c r="AA91">
        <f t="shared" si="107"/>
        <v>65.076677824224177</v>
      </c>
      <c r="AB91">
        <f t="shared" si="108"/>
        <v>2.8333944881290001</v>
      </c>
      <c r="AC91">
        <f t="shared" si="109"/>
        <v>4.3539322885875649</v>
      </c>
      <c r="AD91">
        <f t="shared" si="110"/>
        <v>1.4287196413958081</v>
      </c>
      <c r="AE91">
        <f t="shared" si="111"/>
        <v>-205.35599723164668</v>
      </c>
      <c r="AF91">
        <f t="shared" si="112"/>
        <v>58.371928983929024</v>
      </c>
      <c r="AG91">
        <f t="shared" si="113"/>
        <v>4.4630146401904804</v>
      </c>
      <c r="AH91">
        <f t="shared" si="114"/>
        <v>147.05658796983593</v>
      </c>
      <c r="AI91">
        <v>0</v>
      </c>
      <c r="AJ91">
        <v>0</v>
      </c>
      <c r="AK91">
        <f t="shared" si="115"/>
        <v>1</v>
      </c>
      <c r="AL91">
        <f t="shared" si="116"/>
        <v>0</v>
      </c>
      <c r="AM91">
        <f t="shared" si="117"/>
        <v>51818.811647773895</v>
      </c>
      <c r="AN91" t="s">
        <v>418</v>
      </c>
      <c r="AO91">
        <v>10021</v>
      </c>
      <c r="AP91">
        <v>177.53923076923081</v>
      </c>
      <c r="AQ91">
        <v>655.56</v>
      </c>
      <c r="AR91">
        <f t="shared" si="118"/>
        <v>0.72917928066198234</v>
      </c>
      <c r="AS91">
        <v>-3.1115002560329539</v>
      </c>
      <c r="AT91" t="s">
        <v>803</v>
      </c>
      <c r="AU91">
        <v>8018.43</v>
      </c>
      <c r="AV91">
        <v>781.69871999999998</v>
      </c>
      <c r="AW91">
        <v>1237.5403510897111</v>
      </c>
      <c r="AX91">
        <f t="shared" si="119"/>
        <v>0.36834486300856506</v>
      </c>
      <c r="AY91">
        <v>0.5</v>
      </c>
      <c r="AZ91">
        <f t="shared" si="120"/>
        <v>1513.2434992628823</v>
      </c>
      <c r="BA91">
        <f t="shared" si="121"/>
        <v>54.839776435780394</v>
      </c>
      <c r="BB91">
        <f t="shared" si="122"/>
        <v>278.697734717294</v>
      </c>
      <c r="BC91">
        <f t="shared" si="123"/>
        <v>3.829606849131819E-2</v>
      </c>
      <c r="BD91">
        <f t="shared" si="124"/>
        <v>-0.47027181827020892</v>
      </c>
      <c r="BE91">
        <f t="shared" si="125"/>
        <v>203.45056260921703</v>
      </c>
      <c r="BF91" t="s">
        <v>804</v>
      </c>
      <c r="BG91">
        <v>595.51</v>
      </c>
      <c r="BH91">
        <f t="shared" si="126"/>
        <v>595.51</v>
      </c>
      <c r="BI91">
        <f t="shared" si="127"/>
        <v>0.51879548858699742</v>
      </c>
      <c r="BJ91">
        <f t="shared" si="128"/>
        <v>0.71000012743325314</v>
      </c>
      <c r="BK91">
        <f t="shared" si="129"/>
        <v>-9.6915961880051888</v>
      </c>
      <c r="BL91">
        <f t="shared" si="130"/>
        <v>0.43003882010227695</v>
      </c>
      <c r="BM91">
        <f t="shared" si="131"/>
        <v>-1.2174792154454579</v>
      </c>
      <c r="BN91">
        <f t="shared" si="132"/>
        <v>0.54088891931123617</v>
      </c>
      <c r="BO91">
        <f t="shared" si="133"/>
        <v>0.45911108068876383</v>
      </c>
      <c r="BP91">
        <v>22615</v>
      </c>
      <c r="BQ91">
        <v>290.00000000000011</v>
      </c>
      <c r="BR91">
        <v>1071.78</v>
      </c>
      <c r="BS91">
        <v>295</v>
      </c>
      <c r="BT91">
        <v>8018.43</v>
      </c>
      <c r="BU91">
        <v>1075.3800000000001</v>
      </c>
      <c r="BV91">
        <v>-3.6</v>
      </c>
      <c r="BW91">
        <v>300.00000000000011</v>
      </c>
      <c r="BX91">
        <v>19.399999999999999</v>
      </c>
      <c r="BY91">
        <v>1237.5403510897111</v>
      </c>
      <c r="BZ91">
        <v>4.5394307490662333</v>
      </c>
      <c r="CA91">
        <v>-130.02346711526721</v>
      </c>
      <c r="CB91">
        <v>3.343609079892536</v>
      </c>
      <c r="CC91">
        <v>0.98182067674027462</v>
      </c>
      <c r="CD91">
        <v>-4.1410209121245951E-3</v>
      </c>
      <c r="CE91">
        <v>289.99999999999989</v>
      </c>
      <c r="CF91">
        <v>1066.49</v>
      </c>
      <c r="CG91">
        <v>635</v>
      </c>
      <c r="CH91">
        <v>8009.11</v>
      </c>
      <c r="CI91">
        <v>1075.2</v>
      </c>
      <c r="CJ91">
        <v>-8.7100000000000009</v>
      </c>
      <c r="CX91">
        <f t="shared" si="134"/>
        <v>1800.07</v>
      </c>
      <c r="CY91">
        <f t="shared" si="135"/>
        <v>1513.2434992628823</v>
      </c>
      <c r="CZ91">
        <f t="shared" si="136"/>
        <v>0.84065814066279776</v>
      </c>
      <c r="DA91">
        <f t="shared" si="137"/>
        <v>0.16087021147919978</v>
      </c>
      <c r="DB91">
        <v>6</v>
      </c>
      <c r="DC91">
        <v>0.5</v>
      </c>
      <c r="DD91" t="s">
        <v>421</v>
      </c>
      <c r="DE91">
        <v>2</v>
      </c>
      <c r="DF91">
        <v>1689012736.5999999</v>
      </c>
      <c r="DG91">
        <v>1426.09</v>
      </c>
      <c r="DH91">
        <v>1499.87</v>
      </c>
      <c r="DI91">
        <v>28.538</v>
      </c>
      <c r="DJ91">
        <v>23.109300000000001</v>
      </c>
      <c r="DK91">
        <v>1424.65</v>
      </c>
      <c r="DL91">
        <v>28.255299999999998</v>
      </c>
      <c r="DM91">
        <v>499.97699999999998</v>
      </c>
      <c r="DN91">
        <v>99.185299999999998</v>
      </c>
      <c r="DO91">
        <v>9.9670499999999995E-2</v>
      </c>
      <c r="DP91">
        <v>30.378399999999999</v>
      </c>
      <c r="DQ91">
        <v>30.006799999999998</v>
      </c>
      <c r="DR91">
        <v>999.9</v>
      </c>
      <c r="DS91">
        <v>0</v>
      </c>
      <c r="DT91">
        <v>0</v>
      </c>
      <c r="DU91">
        <v>9991.25</v>
      </c>
      <c r="DV91">
        <v>0</v>
      </c>
      <c r="DW91">
        <v>1900.21</v>
      </c>
      <c r="DX91">
        <v>-73.7761</v>
      </c>
      <c r="DY91">
        <v>1467.99</v>
      </c>
      <c r="DZ91">
        <v>1535.35</v>
      </c>
      <c r="EA91">
        <v>5.4287000000000001</v>
      </c>
      <c r="EB91">
        <v>1499.87</v>
      </c>
      <c r="EC91">
        <v>23.109300000000001</v>
      </c>
      <c r="ED91">
        <v>2.8305500000000001</v>
      </c>
      <c r="EE91">
        <v>2.2921</v>
      </c>
      <c r="EF91">
        <v>23.063300000000002</v>
      </c>
      <c r="EG91">
        <v>19.620999999999999</v>
      </c>
      <c r="EH91">
        <v>1800.07</v>
      </c>
      <c r="EI91">
        <v>0.97799899999999995</v>
      </c>
      <c r="EJ91">
        <v>2.2001099999999999E-2</v>
      </c>
      <c r="EK91">
        <v>0</v>
      </c>
      <c r="EL91">
        <v>781.84699999999998</v>
      </c>
      <c r="EM91">
        <v>5.0011200000000002</v>
      </c>
      <c r="EN91">
        <v>15781.9</v>
      </c>
      <c r="EO91">
        <v>17211.599999999999</v>
      </c>
      <c r="EP91">
        <v>48.436999999999998</v>
      </c>
      <c r="EQ91">
        <v>50.061999999999998</v>
      </c>
      <c r="ER91">
        <v>49.436999999999998</v>
      </c>
      <c r="ES91">
        <v>48.936999999999998</v>
      </c>
      <c r="ET91">
        <v>49.186999999999998</v>
      </c>
      <c r="EU91">
        <v>1755.58</v>
      </c>
      <c r="EV91">
        <v>39.49</v>
      </c>
      <c r="EW91">
        <v>0</v>
      </c>
      <c r="EX91">
        <v>146.4000000953674</v>
      </c>
      <c r="EY91">
        <v>0</v>
      </c>
      <c r="EZ91">
        <v>781.69871999999998</v>
      </c>
      <c r="FA91">
        <v>1.8772307625967759</v>
      </c>
      <c r="FB91">
        <v>5.1461538762281869</v>
      </c>
      <c r="FC91">
        <v>15777.147999999999</v>
      </c>
      <c r="FD91">
        <v>15</v>
      </c>
      <c r="FE91">
        <v>1689012703.0999999</v>
      </c>
      <c r="FF91" t="s">
        <v>805</v>
      </c>
      <c r="FG91">
        <v>1689012703.0999999</v>
      </c>
      <c r="FH91">
        <v>1689012695.5999999</v>
      </c>
      <c r="FI91">
        <v>81</v>
      </c>
      <c r="FJ91">
        <v>-8.5999999999999993E-2</v>
      </c>
      <c r="FK91">
        <v>0.02</v>
      </c>
      <c r="FL91">
        <v>1.5129999999999999</v>
      </c>
      <c r="FM91">
        <v>0.28299999999999997</v>
      </c>
      <c r="FN91">
        <v>1500</v>
      </c>
      <c r="FO91">
        <v>23</v>
      </c>
      <c r="FP91">
        <v>0.05</v>
      </c>
      <c r="FQ91">
        <v>0.06</v>
      </c>
      <c r="FR91">
        <v>55.138262243307558</v>
      </c>
      <c r="FS91">
        <v>-0.44718608615013161</v>
      </c>
      <c r="FT91">
        <v>0.17201917234073069</v>
      </c>
      <c r="FU91">
        <v>1</v>
      </c>
      <c r="FV91">
        <v>0.33779682045321219</v>
      </c>
      <c r="FW91">
        <v>-2.8813975372907391E-2</v>
      </c>
      <c r="FX91">
        <v>2.17615926060372E-3</v>
      </c>
      <c r="FY91">
        <v>1</v>
      </c>
      <c r="FZ91">
        <v>2</v>
      </c>
      <c r="GA91">
        <v>2</v>
      </c>
      <c r="GB91" t="s">
        <v>423</v>
      </c>
      <c r="GC91">
        <v>2.9250099999999999</v>
      </c>
      <c r="GD91">
        <v>2.8268900000000001</v>
      </c>
      <c r="GE91">
        <v>0.209621</v>
      </c>
      <c r="GF91">
        <v>0.216616</v>
      </c>
      <c r="GG91">
        <v>0.12637599999999999</v>
      </c>
      <c r="GH91">
        <v>0.109679</v>
      </c>
      <c r="GI91">
        <v>25795</v>
      </c>
      <c r="GJ91">
        <v>20727.400000000001</v>
      </c>
      <c r="GK91">
        <v>31411.5</v>
      </c>
      <c r="GL91">
        <v>26103.3</v>
      </c>
      <c r="GM91">
        <v>37623.5</v>
      </c>
      <c r="GN91">
        <v>31523.9</v>
      </c>
      <c r="GO91">
        <v>46650.1</v>
      </c>
      <c r="GP91">
        <v>37951.599999999999</v>
      </c>
      <c r="GQ91">
        <v>1.9220200000000001</v>
      </c>
      <c r="GR91">
        <v>1.7361500000000001</v>
      </c>
      <c r="GS91">
        <v>-1.8000599999999999E-2</v>
      </c>
      <c r="GT91">
        <v>0</v>
      </c>
      <c r="GU91">
        <v>30.299600000000002</v>
      </c>
      <c r="GV91">
        <v>999.9</v>
      </c>
      <c r="GW91">
        <v>37.9</v>
      </c>
      <c r="GX91">
        <v>44.8</v>
      </c>
      <c r="GY91">
        <v>36.449399999999997</v>
      </c>
      <c r="GZ91">
        <v>62.524700000000003</v>
      </c>
      <c r="HA91">
        <v>22.083300000000001</v>
      </c>
      <c r="HB91">
        <v>1</v>
      </c>
      <c r="HC91">
        <v>0.47783500000000001</v>
      </c>
      <c r="HD91">
        <v>2.8465600000000002</v>
      </c>
      <c r="HE91">
        <v>20.271100000000001</v>
      </c>
      <c r="HF91">
        <v>5.22133</v>
      </c>
      <c r="HG91">
        <v>12.0588</v>
      </c>
      <c r="HH91">
        <v>4.9913499999999997</v>
      </c>
      <c r="HI91">
        <v>3.2912499999999998</v>
      </c>
      <c r="HJ91">
        <v>9999</v>
      </c>
      <c r="HK91">
        <v>9999</v>
      </c>
      <c r="HL91">
        <v>9999</v>
      </c>
      <c r="HM91">
        <v>464.6</v>
      </c>
      <c r="HN91">
        <v>1.8669100000000001</v>
      </c>
      <c r="HO91">
        <v>1.87035</v>
      </c>
      <c r="HP91">
        <v>1.87294</v>
      </c>
      <c r="HQ91">
        <v>1.8738699999999999</v>
      </c>
      <c r="HR91">
        <v>1.8705700000000001</v>
      </c>
      <c r="HS91">
        <v>1.869</v>
      </c>
      <c r="HT91">
        <v>1.87042</v>
      </c>
      <c r="HU91">
        <v>1.8734599999999999</v>
      </c>
      <c r="HV91">
        <v>0</v>
      </c>
      <c r="HW91">
        <v>0</v>
      </c>
      <c r="HX91">
        <v>0</v>
      </c>
      <c r="HY91">
        <v>0</v>
      </c>
      <c r="HZ91" t="s">
        <v>424</v>
      </c>
      <c r="IA91" t="s">
        <v>425</v>
      </c>
      <c r="IB91" t="s">
        <v>426</v>
      </c>
      <c r="IC91" t="s">
        <v>426</v>
      </c>
      <c r="ID91" t="s">
        <v>426</v>
      </c>
      <c r="IE91" t="s">
        <v>426</v>
      </c>
      <c r="IF91">
        <v>0</v>
      </c>
      <c r="IG91">
        <v>100</v>
      </c>
      <c r="IH91">
        <v>100</v>
      </c>
      <c r="II91">
        <v>1.44</v>
      </c>
      <c r="IJ91">
        <v>0.28270000000000001</v>
      </c>
      <c r="IK91">
        <v>-0.14870179204347911</v>
      </c>
      <c r="IL91">
        <v>3.042515301972944E-3</v>
      </c>
      <c r="IM91">
        <v>-2.5091471490852929E-6</v>
      </c>
      <c r="IN91">
        <v>8.1339755115576286E-10</v>
      </c>
      <c r="IO91">
        <v>0.28270499999999638</v>
      </c>
      <c r="IP91">
        <v>0</v>
      </c>
      <c r="IQ91">
        <v>0</v>
      </c>
      <c r="IR91">
        <v>0</v>
      </c>
      <c r="IS91">
        <v>3</v>
      </c>
      <c r="IT91">
        <v>2004</v>
      </c>
      <c r="IU91">
        <v>2</v>
      </c>
      <c r="IV91">
        <v>22</v>
      </c>
      <c r="IW91">
        <v>0.6</v>
      </c>
      <c r="IX91">
        <v>0.7</v>
      </c>
      <c r="IY91">
        <v>3.0529799999999998</v>
      </c>
      <c r="IZ91">
        <v>2.5891099999999998</v>
      </c>
      <c r="JA91">
        <v>1.64917</v>
      </c>
      <c r="JB91">
        <v>2.33765</v>
      </c>
      <c r="JC91">
        <v>1.5991200000000001</v>
      </c>
      <c r="JD91">
        <v>2.3327599999999999</v>
      </c>
      <c r="JE91">
        <v>47.601900000000001</v>
      </c>
      <c r="JF91">
        <v>24.210100000000001</v>
      </c>
      <c r="JG91">
        <v>18</v>
      </c>
      <c r="JH91">
        <v>516.41899999999998</v>
      </c>
      <c r="JI91">
        <v>443.173</v>
      </c>
      <c r="JJ91">
        <v>27.2837</v>
      </c>
      <c r="JK91">
        <v>33.2134</v>
      </c>
      <c r="JL91">
        <v>30.000399999999999</v>
      </c>
      <c r="JM91">
        <v>33.253399999999999</v>
      </c>
      <c r="JN91">
        <v>33.255299999999998</v>
      </c>
      <c r="JO91">
        <v>61.095199999999998</v>
      </c>
      <c r="JP91">
        <v>45.987299999999998</v>
      </c>
      <c r="JQ91">
        <v>0</v>
      </c>
      <c r="JR91">
        <v>27.215800000000002</v>
      </c>
      <c r="JS91">
        <v>1500</v>
      </c>
      <c r="JT91">
        <v>23.087800000000001</v>
      </c>
      <c r="JU91">
        <v>99.562799999999996</v>
      </c>
      <c r="JV91">
        <v>99.246600000000001</v>
      </c>
    </row>
    <row r="92" spans="1:282" x14ac:dyDescent="0.25">
      <c r="A92">
        <v>76</v>
      </c>
      <c r="B92">
        <v>1689014498</v>
      </c>
      <c r="C92">
        <v>14902.900000095369</v>
      </c>
      <c r="D92" t="s">
        <v>806</v>
      </c>
      <c r="E92" t="s">
        <v>807</v>
      </c>
      <c r="F92" t="s">
        <v>414</v>
      </c>
      <c r="G92" t="s">
        <v>415</v>
      </c>
      <c r="H92" t="s">
        <v>31</v>
      </c>
      <c r="I92" t="s">
        <v>416</v>
      </c>
      <c r="J92" t="s">
        <v>417</v>
      </c>
      <c r="K92">
        <v>1689014498</v>
      </c>
      <c r="L92">
        <f t="shared" si="92"/>
        <v>7.0024290841940824E-3</v>
      </c>
      <c r="M92">
        <f t="shared" si="93"/>
        <v>7.0024290841940822</v>
      </c>
      <c r="N92">
        <f t="shared" si="94"/>
        <v>61.00972383508978</v>
      </c>
      <c r="O92">
        <f t="shared" si="95"/>
        <v>324.024</v>
      </c>
      <c r="P92">
        <f t="shared" si="96"/>
        <v>116.1516635190312</v>
      </c>
      <c r="Q92">
        <f t="shared" si="97"/>
        <v>11.530859525364447</v>
      </c>
      <c r="R92">
        <f t="shared" si="98"/>
        <v>32.167212363984</v>
      </c>
      <c r="S92">
        <f t="shared" si="99"/>
        <v>0.52218455273139908</v>
      </c>
      <c r="T92">
        <f t="shared" si="100"/>
        <v>2.9176437460041895</v>
      </c>
      <c r="U92">
        <f t="shared" si="101"/>
        <v>0.47527587875905702</v>
      </c>
      <c r="V92">
        <f t="shared" si="102"/>
        <v>0.30091004088466822</v>
      </c>
      <c r="W92">
        <f t="shared" si="103"/>
        <v>289.56603157657935</v>
      </c>
      <c r="X92">
        <f t="shared" si="104"/>
        <v>30.42398089192432</v>
      </c>
      <c r="Y92">
        <f t="shared" si="105"/>
        <v>30.045300000000001</v>
      </c>
      <c r="Z92">
        <f t="shared" si="106"/>
        <v>4.2715480180421244</v>
      </c>
      <c r="AA92">
        <f t="shared" si="107"/>
        <v>65.12479502874406</v>
      </c>
      <c r="AB92">
        <f t="shared" si="108"/>
        <v>2.8614487785342</v>
      </c>
      <c r="AC92">
        <f t="shared" si="109"/>
        <v>4.3937931432586401</v>
      </c>
      <c r="AD92">
        <f t="shared" si="110"/>
        <v>1.4100992395079244</v>
      </c>
      <c r="AE92">
        <f t="shared" si="111"/>
        <v>-308.80712261295901</v>
      </c>
      <c r="AF92">
        <f t="shared" si="112"/>
        <v>77.436825543102714</v>
      </c>
      <c r="AG92">
        <f t="shared" si="113"/>
        <v>5.9184403554070038</v>
      </c>
      <c r="AH92">
        <f t="shared" si="114"/>
        <v>64.114174862130085</v>
      </c>
      <c r="AI92">
        <v>0</v>
      </c>
      <c r="AJ92">
        <v>0</v>
      </c>
      <c r="AK92">
        <f t="shared" si="115"/>
        <v>1</v>
      </c>
      <c r="AL92">
        <f t="shared" si="116"/>
        <v>0</v>
      </c>
      <c r="AM92">
        <f t="shared" si="117"/>
        <v>51903.83788965948</v>
      </c>
      <c r="AN92" t="s">
        <v>418</v>
      </c>
      <c r="AO92">
        <v>10021</v>
      </c>
      <c r="AP92">
        <v>177.53923076923081</v>
      </c>
      <c r="AQ92">
        <v>655.56</v>
      </c>
      <c r="AR92">
        <f t="shared" si="118"/>
        <v>0.72917928066198234</v>
      </c>
      <c r="AS92">
        <v>-3.1115002560329539</v>
      </c>
      <c r="AT92" t="s">
        <v>808</v>
      </c>
      <c r="AU92">
        <v>8028</v>
      </c>
      <c r="AV92">
        <v>784.92461538461532</v>
      </c>
      <c r="AW92">
        <v>1299.4408952717449</v>
      </c>
      <c r="AX92">
        <f t="shared" si="119"/>
        <v>0.3959520450366707</v>
      </c>
      <c r="AY92">
        <v>0.5</v>
      </c>
      <c r="AZ92">
        <f t="shared" si="120"/>
        <v>1513.1768992624764</v>
      </c>
      <c r="BA92">
        <f t="shared" si="121"/>
        <v>61.00972383508978</v>
      </c>
      <c r="BB92">
        <f t="shared" si="122"/>
        <v>299.57274388261288</v>
      </c>
      <c r="BC92">
        <f t="shared" si="123"/>
        <v>4.2375233274031254E-2</v>
      </c>
      <c r="BD92">
        <f t="shared" si="124"/>
        <v>-0.4955061039056291</v>
      </c>
      <c r="BE92">
        <f t="shared" si="125"/>
        <v>205.05643438313859</v>
      </c>
      <c r="BF92" t="s">
        <v>809</v>
      </c>
      <c r="BG92">
        <v>590.6</v>
      </c>
      <c r="BH92">
        <f t="shared" si="126"/>
        <v>590.6</v>
      </c>
      <c r="BI92">
        <f t="shared" si="127"/>
        <v>0.54549683471637156</v>
      </c>
      <c r="BJ92">
        <f t="shared" si="128"/>
        <v>0.72585580673908778</v>
      </c>
      <c r="BK92">
        <f t="shared" si="129"/>
        <v>-9.9119595947005195</v>
      </c>
      <c r="BL92">
        <f t="shared" si="130"/>
        <v>0.45861085348802122</v>
      </c>
      <c r="BM92">
        <f t="shared" si="131"/>
        <v>-1.3469726353268665</v>
      </c>
      <c r="BN92">
        <f t="shared" si="132"/>
        <v>0.54615491864788279</v>
      </c>
      <c r="BO92">
        <f t="shared" si="133"/>
        <v>0.45384508135211721</v>
      </c>
      <c r="BP92">
        <v>22617</v>
      </c>
      <c r="BQ92">
        <v>290.00000000000011</v>
      </c>
      <c r="BR92">
        <v>1138.19</v>
      </c>
      <c r="BS92">
        <v>295</v>
      </c>
      <c r="BT92">
        <v>8028</v>
      </c>
      <c r="BU92">
        <v>1141.8800000000001</v>
      </c>
      <c r="BV92">
        <v>-3.69</v>
      </c>
      <c r="BW92">
        <v>300.00000000000011</v>
      </c>
      <c r="BX92">
        <v>19.399999999999999</v>
      </c>
      <c r="BY92">
        <v>1299.4408952717449</v>
      </c>
      <c r="BZ92">
        <v>5.5295747744944936</v>
      </c>
      <c r="CA92">
        <v>-126.4926680284519</v>
      </c>
      <c r="CB92">
        <v>4.0777577041469923</v>
      </c>
      <c r="CC92">
        <v>0.97172430902777218</v>
      </c>
      <c r="CD92">
        <v>-4.1461414905450524E-3</v>
      </c>
      <c r="CE92">
        <v>289.99999999999989</v>
      </c>
      <c r="CF92">
        <v>1137.5999999999999</v>
      </c>
      <c r="CG92">
        <v>665</v>
      </c>
      <c r="CH92">
        <v>8017.68</v>
      </c>
      <c r="CI92">
        <v>1141.67</v>
      </c>
      <c r="CJ92">
        <v>-4.07</v>
      </c>
      <c r="CX92">
        <f t="shared" si="134"/>
        <v>1799.99</v>
      </c>
      <c r="CY92">
        <f t="shared" si="135"/>
        <v>1513.1768992624764</v>
      </c>
      <c r="CZ92">
        <f t="shared" si="136"/>
        <v>0.84065850324861602</v>
      </c>
      <c r="DA92">
        <f t="shared" si="137"/>
        <v>0.16087091126982891</v>
      </c>
      <c r="DB92">
        <v>6</v>
      </c>
      <c r="DC92">
        <v>0.5</v>
      </c>
      <c r="DD92" t="s">
        <v>421</v>
      </c>
      <c r="DE92">
        <v>2</v>
      </c>
      <c r="DF92">
        <v>1689014498</v>
      </c>
      <c r="DG92">
        <v>324.024</v>
      </c>
      <c r="DH92">
        <v>399.94900000000001</v>
      </c>
      <c r="DI92">
        <v>28.823699999999999</v>
      </c>
      <c r="DJ92">
        <v>20.664000000000001</v>
      </c>
      <c r="DK92">
        <v>323.35399999999998</v>
      </c>
      <c r="DL92">
        <v>28.571999999999999</v>
      </c>
      <c r="DM92">
        <v>500.06200000000001</v>
      </c>
      <c r="DN92">
        <v>99.174099999999996</v>
      </c>
      <c r="DO92">
        <v>0.100066</v>
      </c>
      <c r="DP92">
        <v>30.537600000000001</v>
      </c>
      <c r="DQ92">
        <v>30.045300000000001</v>
      </c>
      <c r="DR92">
        <v>999.9</v>
      </c>
      <c r="DS92">
        <v>0</v>
      </c>
      <c r="DT92">
        <v>0</v>
      </c>
      <c r="DU92">
        <v>10015</v>
      </c>
      <c r="DV92">
        <v>0</v>
      </c>
      <c r="DW92">
        <v>1589.58</v>
      </c>
      <c r="DX92">
        <v>-75.925299999999993</v>
      </c>
      <c r="DY92">
        <v>333.64100000000002</v>
      </c>
      <c r="DZ92">
        <v>408.38799999999998</v>
      </c>
      <c r="EA92">
        <v>8.1597000000000008</v>
      </c>
      <c r="EB92">
        <v>399.94900000000001</v>
      </c>
      <c r="EC92">
        <v>20.664000000000001</v>
      </c>
      <c r="ED92">
        <v>2.8585699999999998</v>
      </c>
      <c r="EE92">
        <v>2.0493399999999999</v>
      </c>
      <c r="EF92">
        <v>23.226299999999998</v>
      </c>
      <c r="EG92">
        <v>17.8308</v>
      </c>
      <c r="EH92">
        <v>1799.99</v>
      </c>
      <c r="EI92">
        <v>0.97799100000000005</v>
      </c>
      <c r="EJ92">
        <v>2.2008799999999999E-2</v>
      </c>
      <c r="EK92">
        <v>0</v>
      </c>
      <c r="EL92">
        <v>785.31100000000004</v>
      </c>
      <c r="EM92">
        <v>5.0011200000000002</v>
      </c>
      <c r="EN92">
        <v>15663.8</v>
      </c>
      <c r="EO92">
        <v>17210.8</v>
      </c>
      <c r="EP92">
        <v>48.5</v>
      </c>
      <c r="EQ92">
        <v>50.125</v>
      </c>
      <c r="ER92">
        <v>49.5</v>
      </c>
      <c r="ES92">
        <v>49.186999999999998</v>
      </c>
      <c r="ET92">
        <v>48.5</v>
      </c>
      <c r="EU92">
        <v>1755.48</v>
      </c>
      <c r="EV92">
        <v>39.51</v>
      </c>
      <c r="EW92">
        <v>0</v>
      </c>
      <c r="EX92">
        <v>1759.400000095367</v>
      </c>
      <c r="EY92">
        <v>0</v>
      </c>
      <c r="EZ92">
        <v>784.92461538461532</v>
      </c>
      <c r="FA92">
        <v>1.332170929138037</v>
      </c>
      <c r="FB92">
        <v>9.4393163046007942</v>
      </c>
      <c r="FC92">
        <v>15660.34230769231</v>
      </c>
      <c r="FD92">
        <v>15</v>
      </c>
      <c r="FE92">
        <v>1689014464.5</v>
      </c>
      <c r="FF92" t="s">
        <v>810</v>
      </c>
      <c r="FG92">
        <v>1689014459</v>
      </c>
      <c r="FH92">
        <v>1689014464.5</v>
      </c>
      <c r="FI92">
        <v>86</v>
      </c>
      <c r="FJ92">
        <v>-3.0000000000000001E-3</v>
      </c>
      <c r="FK92">
        <v>4.0000000000000001E-3</v>
      </c>
      <c r="FL92">
        <v>0.78800000000000003</v>
      </c>
      <c r="FM92">
        <v>0.215</v>
      </c>
      <c r="FN92">
        <v>400</v>
      </c>
      <c r="FO92">
        <v>21</v>
      </c>
      <c r="FP92">
        <v>0.06</v>
      </c>
      <c r="FQ92">
        <v>0.01</v>
      </c>
      <c r="FR92">
        <v>61.098681585797202</v>
      </c>
      <c r="FS92">
        <v>-0.24331640169360519</v>
      </c>
      <c r="FT92">
        <v>4.4018145052663438E-2</v>
      </c>
      <c r="FU92">
        <v>1</v>
      </c>
      <c r="FV92">
        <v>0.53365633847329219</v>
      </c>
      <c r="FW92">
        <v>-4.7233752978021633E-2</v>
      </c>
      <c r="FX92">
        <v>4.8570627147493011E-3</v>
      </c>
      <c r="FY92">
        <v>1</v>
      </c>
      <c r="FZ92">
        <v>2</v>
      </c>
      <c r="GA92">
        <v>2</v>
      </c>
      <c r="GB92" t="s">
        <v>423</v>
      </c>
      <c r="GC92">
        <v>2.9240499999999998</v>
      </c>
      <c r="GD92">
        <v>2.8274900000000001</v>
      </c>
      <c r="GE92">
        <v>7.4248099999999997E-2</v>
      </c>
      <c r="GF92">
        <v>8.8052099999999994E-2</v>
      </c>
      <c r="GG92">
        <v>0.12701999999999999</v>
      </c>
      <c r="GH92">
        <v>0.101093</v>
      </c>
      <c r="GI92">
        <v>30138.7</v>
      </c>
      <c r="GJ92">
        <v>24088</v>
      </c>
      <c r="GK92">
        <v>31331.200000000001</v>
      </c>
      <c r="GL92">
        <v>26058.5</v>
      </c>
      <c r="GM92">
        <v>37498.6</v>
      </c>
      <c r="GN92">
        <v>31773.8</v>
      </c>
      <c r="GO92">
        <v>46527.8</v>
      </c>
      <c r="GP92">
        <v>37886.6</v>
      </c>
      <c r="GQ92">
        <v>1.9126000000000001</v>
      </c>
      <c r="GR92">
        <v>1.7041999999999999</v>
      </c>
      <c r="GS92">
        <v>-2.9522900000000001E-2</v>
      </c>
      <c r="GT92">
        <v>0</v>
      </c>
      <c r="GU92">
        <v>30.525500000000001</v>
      </c>
      <c r="GV92">
        <v>999.9</v>
      </c>
      <c r="GW92">
        <v>39.1</v>
      </c>
      <c r="GX92">
        <v>46.1</v>
      </c>
      <c r="GY92">
        <v>40.208300000000001</v>
      </c>
      <c r="GZ92">
        <v>62.154800000000002</v>
      </c>
      <c r="HA92">
        <v>22.527999999999999</v>
      </c>
      <c r="HB92">
        <v>1</v>
      </c>
      <c r="HC92">
        <v>0.58382400000000001</v>
      </c>
      <c r="HD92">
        <v>3.1122999999999998</v>
      </c>
      <c r="HE92">
        <v>20.2669</v>
      </c>
      <c r="HF92">
        <v>5.2238800000000003</v>
      </c>
      <c r="HG92">
        <v>12.061500000000001</v>
      </c>
      <c r="HH92">
        <v>4.9928999999999997</v>
      </c>
      <c r="HI92">
        <v>3.2919999999999998</v>
      </c>
      <c r="HJ92">
        <v>9999</v>
      </c>
      <c r="HK92">
        <v>9999</v>
      </c>
      <c r="HL92">
        <v>9999</v>
      </c>
      <c r="HM92">
        <v>465.1</v>
      </c>
      <c r="HN92">
        <v>1.8669100000000001</v>
      </c>
      <c r="HO92">
        <v>1.87036</v>
      </c>
      <c r="HP92">
        <v>1.8730100000000001</v>
      </c>
      <c r="HQ92">
        <v>1.8738600000000001</v>
      </c>
      <c r="HR92">
        <v>1.87059</v>
      </c>
      <c r="HS92">
        <v>1.86903</v>
      </c>
      <c r="HT92">
        <v>1.87049</v>
      </c>
      <c r="HU92">
        <v>1.87347</v>
      </c>
      <c r="HV92">
        <v>0</v>
      </c>
      <c r="HW92">
        <v>0</v>
      </c>
      <c r="HX92">
        <v>0</v>
      </c>
      <c r="HY92">
        <v>0</v>
      </c>
      <c r="HZ92" t="s">
        <v>424</v>
      </c>
      <c r="IA92" t="s">
        <v>425</v>
      </c>
      <c r="IB92" t="s">
        <v>426</v>
      </c>
      <c r="IC92" t="s">
        <v>426</v>
      </c>
      <c r="ID92" t="s">
        <v>426</v>
      </c>
      <c r="IE92" t="s">
        <v>426</v>
      </c>
      <c r="IF92">
        <v>0</v>
      </c>
      <c r="IG92">
        <v>100</v>
      </c>
      <c r="IH92">
        <v>100</v>
      </c>
      <c r="II92">
        <v>0.67</v>
      </c>
      <c r="IJ92">
        <v>0.25169999999999998</v>
      </c>
      <c r="IK92">
        <v>-7.865436600754297E-2</v>
      </c>
      <c r="IL92">
        <v>3.042515301972944E-3</v>
      </c>
      <c r="IM92">
        <v>-2.5091471490852929E-6</v>
      </c>
      <c r="IN92">
        <v>8.1339755115576286E-10</v>
      </c>
      <c r="IO92">
        <v>0.25177407578591182</v>
      </c>
      <c r="IP92">
        <v>0</v>
      </c>
      <c r="IQ92">
        <v>0</v>
      </c>
      <c r="IR92">
        <v>0</v>
      </c>
      <c r="IS92">
        <v>3</v>
      </c>
      <c r="IT92">
        <v>2004</v>
      </c>
      <c r="IU92">
        <v>2</v>
      </c>
      <c r="IV92">
        <v>22</v>
      </c>
      <c r="IW92">
        <v>0.7</v>
      </c>
      <c r="IX92">
        <v>0.6</v>
      </c>
      <c r="IY92">
        <v>1.02173</v>
      </c>
      <c r="IZ92">
        <v>2.5964399999999999</v>
      </c>
      <c r="JA92">
        <v>1.64917</v>
      </c>
      <c r="JB92">
        <v>2.33887</v>
      </c>
      <c r="JC92">
        <v>1.5991200000000001</v>
      </c>
      <c r="JD92">
        <v>2.2936999999999999</v>
      </c>
      <c r="JE92">
        <v>48.239600000000003</v>
      </c>
      <c r="JF92">
        <v>24.210100000000001</v>
      </c>
      <c r="JG92">
        <v>18</v>
      </c>
      <c r="JH92">
        <v>518.78899999999999</v>
      </c>
      <c r="JI92">
        <v>430.33499999999998</v>
      </c>
      <c r="JJ92">
        <v>27.272099999999998</v>
      </c>
      <c r="JK92">
        <v>34.275199999999998</v>
      </c>
      <c r="JL92">
        <v>30.000299999999999</v>
      </c>
      <c r="JM92">
        <v>34.369</v>
      </c>
      <c r="JN92">
        <v>34.367600000000003</v>
      </c>
      <c r="JO92">
        <v>20.4602</v>
      </c>
      <c r="JP92">
        <v>55.511299999999999</v>
      </c>
      <c r="JQ92">
        <v>0</v>
      </c>
      <c r="JR92">
        <v>27.2272</v>
      </c>
      <c r="JS92">
        <v>400</v>
      </c>
      <c r="JT92">
        <v>20.811</v>
      </c>
      <c r="JU92">
        <v>99.304400000000001</v>
      </c>
      <c r="JV92">
        <v>99.076400000000007</v>
      </c>
    </row>
    <row r="93" spans="1:282" x14ac:dyDescent="0.25">
      <c r="A93">
        <v>77</v>
      </c>
      <c r="B93">
        <v>1689014624</v>
      </c>
      <c r="C93">
        <v>15028.900000095369</v>
      </c>
      <c r="D93" t="s">
        <v>811</v>
      </c>
      <c r="E93" t="s">
        <v>812</v>
      </c>
      <c r="F93" t="s">
        <v>414</v>
      </c>
      <c r="G93" t="s">
        <v>415</v>
      </c>
      <c r="H93" t="s">
        <v>31</v>
      </c>
      <c r="I93" t="s">
        <v>416</v>
      </c>
      <c r="J93" t="s">
        <v>417</v>
      </c>
      <c r="K93">
        <v>1689014624</v>
      </c>
      <c r="L93">
        <f t="shared" si="92"/>
        <v>7.1568465669228087E-3</v>
      </c>
      <c r="M93">
        <f t="shared" si="93"/>
        <v>7.156846566922809</v>
      </c>
      <c r="N93">
        <f t="shared" si="94"/>
        <v>50.566387400320572</v>
      </c>
      <c r="O93">
        <f t="shared" si="95"/>
        <v>237.21299999999999</v>
      </c>
      <c r="P93">
        <f t="shared" si="96"/>
        <v>72.702094010322554</v>
      </c>
      <c r="Q93">
        <f t="shared" si="97"/>
        <v>7.2175777669836361</v>
      </c>
      <c r="R93">
        <f t="shared" si="98"/>
        <v>23.549573064517197</v>
      </c>
      <c r="S93">
        <f t="shared" si="99"/>
        <v>0.54708819996344493</v>
      </c>
      <c r="T93">
        <f t="shared" si="100"/>
        <v>2.9194280003077262</v>
      </c>
      <c r="U93">
        <f t="shared" si="101"/>
        <v>0.49586158862920721</v>
      </c>
      <c r="V93">
        <f t="shared" si="102"/>
        <v>0.31411531337542886</v>
      </c>
      <c r="W93">
        <f t="shared" si="103"/>
        <v>289.60216057712148</v>
      </c>
      <c r="X93">
        <f t="shared" si="104"/>
        <v>30.302960593745038</v>
      </c>
      <c r="Y93">
        <f t="shared" si="105"/>
        <v>29.967300000000002</v>
      </c>
      <c r="Z93">
        <f t="shared" si="106"/>
        <v>4.2524540813692226</v>
      </c>
      <c r="AA93">
        <f t="shared" si="107"/>
        <v>65.64602016735877</v>
      </c>
      <c r="AB93">
        <f t="shared" si="108"/>
        <v>2.8709942892029199</v>
      </c>
      <c r="AC93">
        <f t="shared" si="109"/>
        <v>4.37344759344675</v>
      </c>
      <c r="AD93">
        <f t="shared" si="110"/>
        <v>1.3814597921663028</v>
      </c>
      <c r="AE93">
        <f t="shared" si="111"/>
        <v>-315.61693360129584</v>
      </c>
      <c r="AF93">
        <f t="shared" si="112"/>
        <v>76.996265390886592</v>
      </c>
      <c r="AG93">
        <f t="shared" si="113"/>
        <v>5.8765455614817199</v>
      </c>
      <c r="AH93">
        <f t="shared" si="114"/>
        <v>56.85803792819398</v>
      </c>
      <c r="AI93">
        <v>0</v>
      </c>
      <c r="AJ93">
        <v>0</v>
      </c>
      <c r="AK93">
        <f t="shared" si="115"/>
        <v>1</v>
      </c>
      <c r="AL93">
        <f t="shared" si="116"/>
        <v>0</v>
      </c>
      <c r="AM93">
        <f t="shared" si="117"/>
        <v>51968.504960145408</v>
      </c>
      <c r="AN93" t="s">
        <v>418</v>
      </c>
      <c r="AO93">
        <v>10021</v>
      </c>
      <c r="AP93">
        <v>177.53923076923081</v>
      </c>
      <c r="AQ93">
        <v>655.56</v>
      </c>
      <c r="AR93">
        <f t="shared" si="118"/>
        <v>0.72917928066198234</v>
      </c>
      <c r="AS93">
        <v>-3.1115002560329539</v>
      </c>
      <c r="AT93" t="s">
        <v>813</v>
      </c>
      <c r="AU93">
        <v>8025.81</v>
      </c>
      <c r="AV93">
        <v>723.96646153846154</v>
      </c>
      <c r="AW93">
        <v>1147.8275944125371</v>
      </c>
      <c r="AX93">
        <f t="shared" si="119"/>
        <v>0.36927247169990662</v>
      </c>
      <c r="AY93">
        <v>0.5</v>
      </c>
      <c r="AZ93">
        <f t="shared" si="120"/>
        <v>1513.3697992627572</v>
      </c>
      <c r="BA93">
        <f t="shared" si="121"/>
        <v>50.566387400320572</v>
      </c>
      <c r="BB93">
        <f t="shared" si="122"/>
        <v>279.42290318487494</v>
      </c>
      <c r="BC93">
        <f t="shared" si="123"/>
        <v>3.5469115137954303E-2</v>
      </c>
      <c r="BD93">
        <f t="shared" si="124"/>
        <v>-0.42886893189258246</v>
      </c>
      <c r="BE93">
        <f t="shared" si="125"/>
        <v>200.86954385218584</v>
      </c>
      <c r="BF93" t="s">
        <v>814</v>
      </c>
      <c r="BG93">
        <v>569.07000000000005</v>
      </c>
      <c r="BH93">
        <f t="shared" si="126"/>
        <v>569.07000000000005</v>
      </c>
      <c r="BI93">
        <f t="shared" si="127"/>
        <v>0.50421996929665003</v>
      </c>
      <c r="BJ93">
        <f t="shared" si="128"/>
        <v>0.73236383758266221</v>
      </c>
      <c r="BK93">
        <f t="shared" si="129"/>
        <v>-5.6916128386233984</v>
      </c>
      <c r="BL93">
        <f t="shared" si="130"/>
        <v>0.43684037524940761</v>
      </c>
      <c r="BM93">
        <f t="shared" si="131"/>
        <v>-1.0298037786196905</v>
      </c>
      <c r="BN93">
        <f t="shared" si="132"/>
        <v>0.57567071293263827</v>
      </c>
      <c r="BO93">
        <f t="shared" si="133"/>
        <v>0.42432928706736173</v>
      </c>
      <c r="BP93">
        <v>22619</v>
      </c>
      <c r="BQ93">
        <v>290.00000000000011</v>
      </c>
      <c r="BR93">
        <v>995.58</v>
      </c>
      <c r="BS93">
        <v>295</v>
      </c>
      <c r="BT93">
        <v>8025.81</v>
      </c>
      <c r="BU93">
        <v>997.79</v>
      </c>
      <c r="BV93">
        <v>-2.21</v>
      </c>
      <c r="BW93">
        <v>300.00000000000011</v>
      </c>
      <c r="BX93">
        <v>19.399999999999999</v>
      </c>
      <c r="BY93">
        <v>1147.8275944125371</v>
      </c>
      <c r="BZ93">
        <v>4.078945494081184</v>
      </c>
      <c r="CA93">
        <v>-120.4212806218676</v>
      </c>
      <c r="CB93">
        <v>3.0071639240772172</v>
      </c>
      <c r="CC93">
        <v>0.98283878469278629</v>
      </c>
      <c r="CD93">
        <v>-4.145155951056731E-3</v>
      </c>
      <c r="CE93">
        <v>289.99999999999989</v>
      </c>
      <c r="CF93">
        <v>989.8</v>
      </c>
      <c r="CG93">
        <v>655</v>
      </c>
      <c r="CH93">
        <v>8015.73</v>
      </c>
      <c r="CI93">
        <v>997.6</v>
      </c>
      <c r="CJ93">
        <v>-7.8</v>
      </c>
      <c r="CX93">
        <f t="shared" si="134"/>
        <v>1800.22</v>
      </c>
      <c r="CY93">
        <f t="shared" si="135"/>
        <v>1513.3697992627572</v>
      </c>
      <c r="CZ93">
        <f t="shared" si="136"/>
        <v>0.84065825247067427</v>
      </c>
      <c r="DA93">
        <f t="shared" si="137"/>
        <v>0.16087042726840134</v>
      </c>
      <c r="DB93">
        <v>6</v>
      </c>
      <c r="DC93">
        <v>0.5</v>
      </c>
      <c r="DD93" t="s">
        <v>421</v>
      </c>
      <c r="DE93">
        <v>2</v>
      </c>
      <c r="DF93">
        <v>1689014624</v>
      </c>
      <c r="DG93">
        <v>237.21299999999999</v>
      </c>
      <c r="DH93">
        <v>299.92200000000003</v>
      </c>
      <c r="DI93">
        <v>28.9193</v>
      </c>
      <c r="DJ93">
        <v>20.580500000000001</v>
      </c>
      <c r="DK93">
        <v>236.82400000000001</v>
      </c>
      <c r="DL93">
        <v>28.683</v>
      </c>
      <c r="DM93">
        <v>500.06299999999999</v>
      </c>
      <c r="DN93">
        <v>99.176199999999994</v>
      </c>
      <c r="DO93">
        <v>9.9864400000000006E-2</v>
      </c>
      <c r="DP93">
        <v>30.456499999999998</v>
      </c>
      <c r="DQ93">
        <v>29.967300000000002</v>
      </c>
      <c r="DR93">
        <v>999.9</v>
      </c>
      <c r="DS93">
        <v>0</v>
      </c>
      <c r="DT93">
        <v>0</v>
      </c>
      <c r="DU93">
        <v>10025</v>
      </c>
      <c r="DV93">
        <v>0</v>
      </c>
      <c r="DW93">
        <v>1582.41</v>
      </c>
      <c r="DX93">
        <v>-62.709000000000003</v>
      </c>
      <c r="DY93">
        <v>244.27799999999999</v>
      </c>
      <c r="DZ93">
        <v>306.22500000000002</v>
      </c>
      <c r="EA93">
        <v>8.3388000000000009</v>
      </c>
      <c r="EB93">
        <v>299.92200000000003</v>
      </c>
      <c r="EC93">
        <v>20.580500000000001</v>
      </c>
      <c r="ED93">
        <v>2.8681100000000002</v>
      </c>
      <c r="EE93">
        <v>2.0411000000000001</v>
      </c>
      <c r="EF93">
        <v>23.281400000000001</v>
      </c>
      <c r="EG93">
        <v>17.7668</v>
      </c>
      <c r="EH93">
        <v>1800.22</v>
      </c>
      <c r="EI93">
        <v>0.97799899999999995</v>
      </c>
      <c r="EJ93">
        <v>2.2001400000000001E-2</v>
      </c>
      <c r="EK93">
        <v>0</v>
      </c>
      <c r="EL93">
        <v>723.26</v>
      </c>
      <c r="EM93">
        <v>5.0011200000000002</v>
      </c>
      <c r="EN93">
        <v>14439.4</v>
      </c>
      <c r="EO93">
        <v>17213</v>
      </c>
      <c r="EP93">
        <v>48.625</v>
      </c>
      <c r="EQ93">
        <v>50.25</v>
      </c>
      <c r="ER93">
        <v>49.686999999999998</v>
      </c>
      <c r="ES93">
        <v>49.436999999999998</v>
      </c>
      <c r="ET93">
        <v>49.25</v>
      </c>
      <c r="EU93">
        <v>1755.72</v>
      </c>
      <c r="EV93">
        <v>39.5</v>
      </c>
      <c r="EW93">
        <v>0</v>
      </c>
      <c r="EX93">
        <v>123.7999999523163</v>
      </c>
      <c r="EY93">
        <v>0</v>
      </c>
      <c r="EZ93">
        <v>723.96646153846154</v>
      </c>
      <c r="FA93">
        <v>-7.1932307630534229</v>
      </c>
      <c r="FB93">
        <v>169.02564111227139</v>
      </c>
      <c r="FC93">
        <v>14435.292307692311</v>
      </c>
      <c r="FD93">
        <v>15</v>
      </c>
      <c r="FE93">
        <v>1689014575.5</v>
      </c>
      <c r="FF93" t="s">
        <v>815</v>
      </c>
      <c r="FG93">
        <v>1689014575.5</v>
      </c>
      <c r="FH93">
        <v>1689014566</v>
      </c>
      <c r="FI93">
        <v>87</v>
      </c>
      <c r="FJ93">
        <v>-0.122</v>
      </c>
      <c r="FK93">
        <v>-1.6E-2</v>
      </c>
      <c r="FL93">
        <v>0.50700000000000001</v>
      </c>
      <c r="FM93">
        <v>0.20200000000000001</v>
      </c>
      <c r="FN93">
        <v>300</v>
      </c>
      <c r="FO93">
        <v>21</v>
      </c>
      <c r="FP93">
        <v>0.09</v>
      </c>
      <c r="FQ93">
        <v>0.05</v>
      </c>
      <c r="FR93">
        <v>50.407671780744643</v>
      </c>
      <c r="FS93">
        <v>0.66219930070275212</v>
      </c>
      <c r="FT93">
        <v>5.3345891645351522E-2</v>
      </c>
      <c r="FU93">
        <v>1</v>
      </c>
      <c r="FV93">
        <v>0.54654969160826095</v>
      </c>
      <c r="FW93">
        <v>-3.4089351322119971E-3</v>
      </c>
      <c r="FX93">
        <v>5.4132503787576302E-4</v>
      </c>
      <c r="FY93">
        <v>1</v>
      </c>
      <c r="FZ93">
        <v>2</v>
      </c>
      <c r="GA93">
        <v>2</v>
      </c>
      <c r="GB93" t="s">
        <v>423</v>
      </c>
      <c r="GC93">
        <v>2.9240400000000002</v>
      </c>
      <c r="GD93">
        <v>2.8273799999999998</v>
      </c>
      <c r="GE93">
        <v>5.7196200000000003E-2</v>
      </c>
      <c r="GF93">
        <v>6.9975899999999994E-2</v>
      </c>
      <c r="GG93">
        <v>0.127364</v>
      </c>
      <c r="GH93">
        <v>0.100804</v>
      </c>
      <c r="GI93">
        <v>30694.3</v>
      </c>
      <c r="GJ93">
        <v>24564.799999999999</v>
      </c>
      <c r="GK93">
        <v>31332</v>
      </c>
      <c r="GL93">
        <v>26058.2</v>
      </c>
      <c r="GM93">
        <v>37485.1</v>
      </c>
      <c r="GN93">
        <v>31782.9</v>
      </c>
      <c r="GO93">
        <v>46529.7</v>
      </c>
      <c r="GP93">
        <v>37885.599999999999</v>
      </c>
      <c r="GQ93">
        <v>1.9128000000000001</v>
      </c>
      <c r="GR93">
        <v>1.7038500000000001</v>
      </c>
      <c r="GS93">
        <v>-4.1425200000000002E-2</v>
      </c>
      <c r="GT93">
        <v>0</v>
      </c>
      <c r="GU93">
        <v>30.641100000000002</v>
      </c>
      <c r="GV93">
        <v>999.9</v>
      </c>
      <c r="GW93">
        <v>38.9</v>
      </c>
      <c r="GX93">
        <v>46.1</v>
      </c>
      <c r="GY93">
        <v>40.005099999999999</v>
      </c>
      <c r="GZ93">
        <v>62.064900000000002</v>
      </c>
      <c r="HA93">
        <v>22.195499999999999</v>
      </c>
      <c r="HB93">
        <v>1</v>
      </c>
      <c r="HC93">
        <v>0.58022899999999999</v>
      </c>
      <c r="HD93">
        <v>2.5585499999999999</v>
      </c>
      <c r="HE93">
        <v>20.276900000000001</v>
      </c>
      <c r="HF93">
        <v>5.2231300000000003</v>
      </c>
      <c r="HG93">
        <v>12.0589</v>
      </c>
      <c r="HH93">
        <v>4.9925499999999996</v>
      </c>
      <c r="HI93">
        <v>3.2919999999999998</v>
      </c>
      <c r="HJ93">
        <v>9999</v>
      </c>
      <c r="HK93">
        <v>9999</v>
      </c>
      <c r="HL93">
        <v>9999</v>
      </c>
      <c r="HM93">
        <v>465.2</v>
      </c>
      <c r="HN93">
        <v>1.8669100000000001</v>
      </c>
      <c r="HO93">
        <v>1.8703399999999999</v>
      </c>
      <c r="HP93">
        <v>1.8730199999999999</v>
      </c>
      <c r="HQ93">
        <v>1.87391</v>
      </c>
      <c r="HR93">
        <v>1.8706</v>
      </c>
      <c r="HS93">
        <v>1.86904</v>
      </c>
      <c r="HT93">
        <v>1.8704799999999999</v>
      </c>
      <c r="HU93">
        <v>1.87347</v>
      </c>
      <c r="HV93">
        <v>0</v>
      </c>
      <c r="HW93">
        <v>0</v>
      </c>
      <c r="HX93">
        <v>0</v>
      </c>
      <c r="HY93">
        <v>0</v>
      </c>
      <c r="HZ93" t="s">
        <v>424</v>
      </c>
      <c r="IA93" t="s">
        <v>425</v>
      </c>
      <c r="IB93" t="s">
        <v>426</v>
      </c>
      <c r="IC93" t="s">
        <v>426</v>
      </c>
      <c r="ID93" t="s">
        <v>426</v>
      </c>
      <c r="IE93" t="s">
        <v>426</v>
      </c>
      <c r="IF93">
        <v>0</v>
      </c>
      <c r="IG93">
        <v>100</v>
      </c>
      <c r="IH93">
        <v>100</v>
      </c>
      <c r="II93">
        <v>0.38900000000000001</v>
      </c>
      <c r="IJ93">
        <v>0.23630000000000001</v>
      </c>
      <c r="IK93">
        <v>-0.20096902530828081</v>
      </c>
      <c r="IL93">
        <v>3.042515301972944E-3</v>
      </c>
      <c r="IM93">
        <v>-2.5091471490852929E-6</v>
      </c>
      <c r="IN93">
        <v>8.1339755115576286E-10</v>
      </c>
      <c r="IO93">
        <v>0.2362454595483641</v>
      </c>
      <c r="IP93">
        <v>0</v>
      </c>
      <c r="IQ93">
        <v>0</v>
      </c>
      <c r="IR93">
        <v>0</v>
      </c>
      <c r="IS93">
        <v>3</v>
      </c>
      <c r="IT93">
        <v>2004</v>
      </c>
      <c r="IU93">
        <v>2</v>
      </c>
      <c r="IV93">
        <v>22</v>
      </c>
      <c r="IW93">
        <v>0.8</v>
      </c>
      <c r="IX93">
        <v>1</v>
      </c>
      <c r="IY93">
        <v>0.80932599999999999</v>
      </c>
      <c r="IZ93">
        <v>2.5976599999999999</v>
      </c>
      <c r="JA93">
        <v>1.64917</v>
      </c>
      <c r="JB93">
        <v>2.33765</v>
      </c>
      <c r="JC93">
        <v>1.5991200000000001</v>
      </c>
      <c r="JD93">
        <v>2.2790499999999998</v>
      </c>
      <c r="JE93">
        <v>48.239600000000003</v>
      </c>
      <c r="JF93">
        <v>24.210100000000001</v>
      </c>
      <c r="JG93">
        <v>18</v>
      </c>
      <c r="JH93">
        <v>518.92200000000003</v>
      </c>
      <c r="JI93">
        <v>430.14</v>
      </c>
      <c r="JJ93">
        <v>27.3963</v>
      </c>
      <c r="JK93">
        <v>34.2849</v>
      </c>
      <c r="JL93">
        <v>30.0002</v>
      </c>
      <c r="JM93">
        <v>34.369</v>
      </c>
      <c r="JN93">
        <v>34.372</v>
      </c>
      <c r="JO93">
        <v>16.210100000000001</v>
      </c>
      <c r="JP93">
        <v>54.378</v>
      </c>
      <c r="JQ93">
        <v>0</v>
      </c>
      <c r="JR93">
        <v>27.3993</v>
      </c>
      <c r="JS93">
        <v>300</v>
      </c>
      <c r="JT93">
        <v>20.423200000000001</v>
      </c>
      <c r="JU93">
        <v>99.307900000000004</v>
      </c>
      <c r="JV93">
        <v>99.074399999999997</v>
      </c>
    </row>
    <row r="94" spans="1:282" x14ac:dyDescent="0.25">
      <c r="A94">
        <v>78</v>
      </c>
      <c r="B94">
        <v>1689014768.5</v>
      </c>
      <c r="C94">
        <v>15173.400000095369</v>
      </c>
      <c r="D94" t="s">
        <v>816</v>
      </c>
      <c r="E94" t="s">
        <v>817</v>
      </c>
      <c r="F94" t="s">
        <v>414</v>
      </c>
      <c r="G94" t="s">
        <v>415</v>
      </c>
      <c r="H94" t="s">
        <v>31</v>
      </c>
      <c r="I94" t="s">
        <v>416</v>
      </c>
      <c r="J94" t="s">
        <v>417</v>
      </c>
      <c r="K94">
        <v>1689014768.5</v>
      </c>
      <c r="L94">
        <f t="shared" si="92"/>
        <v>7.9029390418545592E-3</v>
      </c>
      <c r="M94">
        <f t="shared" si="93"/>
        <v>7.9029390418545589</v>
      </c>
      <c r="N94">
        <f t="shared" si="94"/>
        <v>36.420885886541058</v>
      </c>
      <c r="O94">
        <f t="shared" si="95"/>
        <v>154.995</v>
      </c>
      <c r="P94">
        <f t="shared" si="96"/>
        <v>48.996801598920861</v>
      </c>
      <c r="Q94">
        <f t="shared" si="97"/>
        <v>4.8640465009772473</v>
      </c>
      <c r="R94">
        <f t="shared" si="98"/>
        <v>15.386777561324999</v>
      </c>
      <c r="S94">
        <f t="shared" si="99"/>
        <v>0.61827377467061129</v>
      </c>
      <c r="T94">
        <f t="shared" si="100"/>
        <v>2.9110513952693178</v>
      </c>
      <c r="U94">
        <f t="shared" si="101"/>
        <v>0.55352473789032897</v>
      </c>
      <c r="V94">
        <f t="shared" si="102"/>
        <v>0.35120364152056421</v>
      </c>
      <c r="W94">
        <f t="shared" si="103"/>
        <v>289.60216057712148</v>
      </c>
      <c r="X94">
        <f t="shared" si="104"/>
        <v>30.25397531324672</v>
      </c>
      <c r="Y94">
        <f t="shared" si="105"/>
        <v>29.950700000000001</v>
      </c>
      <c r="Z94">
        <f t="shared" si="106"/>
        <v>4.2484001135556992</v>
      </c>
      <c r="AA94">
        <f t="shared" si="107"/>
        <v>65.347689783475374</v>
      </c>
      <c r="AB94">
        <f t="shared" si="108"/>
        <v>2.8819371334174999</v>
      </c>
      <c r="AC94">
        <f t="shared" si="109"/>
        <v>4.4101591700740768</v>
      </c>
      <c r="AD94">
        <f t="shared" si="110"/>
        <v>1.3664629801381993</v>
      </c>
      <c r="AE94">
        <f t="shared" si="111"/>
        <v>-348.51961174578605</v>
      </c>
      <c r="AF94">
        <f t="shared" si="112"/>
        <v>102.30957897950462</v>
      </c>
      <c r="AG94">
        <f t="shared" si="113"/>
        <v>7.8360113528323199</v>
      </c>
      <c r="AH94">
        <f t="shared" si="114"/>
        <v>51.228139163672367</v>
      </c>
      <c r="AI94">
        <v>0</v>
      </c>
      <c r="AJ94">
        <v>0</v>
      </c>
      <c r="AK94">
        <f t="shared" si="115"/>
        <v>1</v>
      </c>
      <c r="AL94">
        <f t="shared" si="116"/>
        <v>0</v>
      </c>
      <c r="AM94">
        <f t="shared" si="117"/>
        <v>51705.442853489083</v>
      </c>
      <c r="AN94" t="s">
        <v>418</v>
      </c>
      <c r="AO94">
        <v>10021</v>
      </c>
      <c r="AP94">
        <v>177.53923076923081</v>
      </c>
      <c r="AQ94">
        <v>655.56</v>
      </c>
      <c r="AR94">
        <f t="shared" si="118"/>
        <v>0.72917928066198234</v>
      </c>
      <c r="AS94">
        <v>-3.1115002560329539</v>
      </c>
      <c r="AT94" t="s">
        <v>818</v>
      </c>
      <c r="AU94">
        <v>8024.99</v>
      </c>
      <c r="AV94">
        <v>669.01415384615382</v>
      </c>
      <c r="AW94">
        <v>932.92542113966113</v>
      </c>
      <c r="AX94">
        <f t="shared" si="119"/>
        <v>0.2828857069529882</v>
      </c>
      <c r="AY94">
        <v>0.5</v>
      </c>
      <c r="AZ94">
        <f t="shared" si="120"/>
        <v>1513.3697992627572</v>
      </c>
      <c r="BA94">
        <f t="shared" si="121"/>
        <v>36.420885886541058</v>
      </c>
      <c r="BB94">
        <f t="shared" si="122"/>
        <v>214.05534277287344</v>
      </c>
      <c r="BC94">
        <f t="shared" si="123"/>
        <v>2.6122092671488711E-2</v>
      </c>
      <c r="BD94">
        <f t="shared" si="124"/>
        <v>-0.2973071746730106</v>
      </c>
      <c r="BE94">
        <f t="shared" si="125"/>
        <v>193.08591865844204</v>
      </c>
      <c r="BF94" t="s">
        <v>819</v>
      </c>
      <c r="BG94">
        <v>542.36</v>
      </c>
      <c r="BH94">
        <f t="shared" si="126"/>
        <v>542.36</v>
      </c>
      <c r="BI94">
        <f t="shared" si="127"/>
        <v>0.41864591990916766</v>
      </c>
      <c r="BJ94">
        <f t="shared" si="128"/>
        <v>0.6757159057333344</v>
      </c>
      <c r="BK94">
        <f t="shared" si="129"/>
        <v>-2.4502245683715667</v>
      </c>
      <c r="BL94">
        <f t="shared" si="130"/>
        <v>0.34937263966142812</v>
      </c>
      <c r="BM94">
        <f t="shared" si="131"/>
        <v>-0.58023717585743717</v>
      </c>
      <c r="BN94">
        <f t="shared" si="132"/>
        <v>0.54779301234007538</v>
      </c>
      <c r="BO94">
        <f t="shared" si="133"/>
        <v>0.45220698765992462</v>
      </c>
      <c r="BP94">
        <v>22621</v>
      </c>
      <c r="BQ94">
        <v>290.00000000000011</v>
      </c>
      <c r="BR94">
        <v>856</v>
      </c>
      <c r="BS94">
        <v>285</v>
      </c>
      <c r="BT94">
        <v>8024.99</v>
      </c>
      <c r="BU94">
        <v>858.44</v>
      </c>
      <c r="BV94">
        <v>-2.44</v>
      </c>
      <c r="BW94">
        <v>300.00000000000011</v>
      </c>
      <c r="BX94">
        <v>19.399999999999999</v>
      </c>
      <c r="BY94">
        <v>932.92542113966113</v>
      </c>
      <c r="BZ94">
        <v>3.8488966107630822</v>
      </c>
      <c r="CA94">
        <v>-59.772000137830709</v>
      </c>
      <c r="CB94">
        <v>2.837298858681879</v>
      </c>
      <c r="CC94">
        <v>0.9406525764246132</v>
      </c>
      <c r="CD94">
        <v>-4.1442880978865447E-3</v>
      </c>
      <c r="CE94">
        <v>289.99999999999989</v>
      </c>
      <c r="CF94">
        <v>857.72</v>
      </c>
      <c r="CG94">
        <v>665</v>
      </c>
      <c r="CH94">
        <v>8014.7</v>
      </c>
      <c r="CI94">
        <v>858.35</v>
      </c>
      <c r="CJ94">
        <v>-0.63</v>
      </c>
      <c r="CX94">
        <f t="shared" si="134"/>
        <v>1800.22</v>
      </c>
      <c r="CY94">
        <f t="shared" si="135"/>
        <v>1513.3697992627572</v>
      </c>
      <c r="CZ94">
        <f t="shared" si="136"/>
        <v>0.84065825247067427</v>
      </c>
      <c r="DA94">
        <f t="shared" si="137"/>
        <v>0.16087042726840134</v>
      </c>
      <c r="DB94">
        <v>6</v>
      </c>
      <c r="DC94">
        <v>0.5</v>
      </c>
      <c r="DD94" t="s">
        <v>421</v>
      </c>
      <c r="DE94">
        <v>2</v>
      </c>
      <c r="DF94">
        <v>1689014768.5</v>
      </c>
      <c r="DG94">
        <v>154.995</v>
      </c>
      <c r="DH94">
        <v>200.16399999999999</v>
      </c>
      <c r="DI94">
        <v>29.0305</v>
      </c>
      <c r="DJ94">
        <v>19.823499999999999</v>
      </c>
      <c r="DK94">
        <v>154.72</v>
      </c>
      <c r="DL94">
        <v>28.7942</v>
      </c>
      <c r="DM94">
        <v>500.06599999999997</v>
      </c>
      <c r="DN94">
        <v>99.172399999999996</v>
      </c>
      <c r="DO94">
        <v>0.10033499999999999</v>
      </c>
      <c r="DP94">
        <v>30.602599999999999</v>
      </c>
      <c r="DQ94">
        <v>29.950700000000001</v>
      </c>
      <c r="DR94">
        <v>999.9</v>
      </c>
      <c r="DS94">
        <v>0</v>
      </c>
      <c r="DT94">
        <v>0</v>
      </c>
      <c r="DU94">
        <v>9977.5</v>
      </c>
      <c r="DV94">
        <v>0</v>
      </c>
      <c r="DW94">
        <v>1564.28</v>
      </c>
      <c r="DX94">
        <v>-45.168599999999998</v>
      </c>
      <c r="DY94">
        <v>159.62899999999999</v>
      </c>
      <c r="DZ94">
        <v>204.21199999999999</v>
      </c>
      <c r="EA94">
        <v>9.2069500000000009</v>
      </c>
      <c r="EB94">
        <v>200.16399999999999</v>
      </c>
      <c r="EC94">
        <v>19.823499999999999</v>
      </c>
      <c r="ED94">
        <v>2.8790200000000001</v>
      </c>
      <c r="EE94">
        <v>1.9659500000000001</v>
      </c>
      <c r="EF94">
        <v>23.3443</v>
      </c>
      <c r="EG94">
        <v>17.172699999999999</v>
      </c>
      <c r="EH94">
        <v>1800.22</v>
      </c>
      <c r="EI94">
        <v>0.97799899999999995</v>
      </c>
      <c r="EJ94">
        <v>2.2001400000000001E-2</v>
      </c>
      <c r="EK94">
        <v>0</v>
      </c>
      <c r="EL94">
        <v>668.92499999999995</v>
      </c>
      <c r="EM94">
        <v>5.0011200000000002</v>
      </c>
      <c r="EN94">
        <v>13405.3</v>
      </c>
      <c r="EO94">
        <v>17213</v>
      </c>
      <c r="EP94">
        <v>48.561999999999998</v>
      </c>
      <c r="EQ94">
        <v>50.186999999999998</v>
      </c>
      <c r="ER94">
        <v>49.625</v>
      </c>
      <c r="ES94">
        <v>49.186999999999998</v>
      </c>
      <c r="ET94">
        <v>48.625</v>
      </c>
      <c r="EU94">
        <v>1755.72</v>
      </c>
      <c r="EV94">
        <v>39.5</v>
      </c>
      <c r="EW94">
        <v>0</v>
      </c>
      <c r="EX94">
        <v>142.79999995231631</v>
      </c>
      <c r="EY94">
        <v>0</v>
      </c>
      <c r="EZ94">
        <v>669.01415384615382</v>
      </c>
      <c r="FA94">
        <v>-3.334974368372674</v>
      </c>
      <c r="FB94">
        <v>-57.924786344530652</v>
      </c>
      <c r="FC94">
        <v>13411.957692307689</v>
      </c>
      <c r="FD94">
        <v>15</v>
      </c>
      <c r="FE94">
        <v>1689014720</v>
      </c>
      <c r="FF94" t="s">
        <v>820</v>
      </c>
      <c r="FG94">
        <v>1689014717</v>
      </c>
      <c r="FH94">
        <v>1689014566</v>
      </c>
      <c r="FI94">
        <v>88</v>
      </c>
      <c r="FJ94">
        <v>6.2E-2</v>
      </c>
      <c r="FK94">
        <v>-1.6E-2</v>
      </c>
      <c r="FL94">
        <v>0.375</v>
      </c>
      <c r="FM94">
        <v>0.20200000000000001</v>
      </c>
      <c r="FN94">
        <v>200</v>
      </c>
      <c r="FO94">
        <v>21</v>
      </c>
      <c r="FP94">
        <v>0.26</v>
      </c>
      <c r="FQ94">
        <v>0.05</v>
      </c>
      <c r="FR94">
        <v>36.032944950098859</v>
      </c>
      <c r="FS94">
        <v>0.66029778824038654</v>
      </c>
      <c r="FT94">
        <v>0.18620185978493731</v>
      </c>
      <c r="FU94">
        <v>1</v>
      </c>
      <c r="FV94">
        <v>0.61594075691727368</v>
      </c>
      <c r="FW94">
        <v>1.8353049462365899E-2</v>
      </c>
      <c r="FX94">
        <v>1.5020936338823281E-3</v>
      </c>
      <c r="FY94">
        <v>1</v>
      </c>
      <c r="FZ94">
        <v>2</v>
      </c>
      <c r="GA94">
        <v>2</v>
      </c>
      <c r="GB94" t="s">
        <v>423</v>
      </c>
      <c r="GC94">
        <v>2.9240699999999999</v>
      </c>
      <c r="GD94">
        <v>2.8274300000000001</v>
      </c>
      <c r="GE94">
        <v>3.9057599999999998E-2</v>
      </c>
      <c r="GF94">
        <v>4.9484599999999997E-2</v>
      </c>
      <c r="GG94">
        <v>0.12770400000000001</v>
      </c>
      <c r="GH94">
        <v>9.8154199999999997E-2</v>
      </c>
      <c r="GI94">
        <v>31287.200000000001</v>
      </c>
      <c r="GJ94">
        <v>25106.9</v>
      </c>
      <c r="GK94">
        <v>31335</v>
      </c>
      <c r="GL94">
        <v>26059.8</v>
      </c>
      <c r="GM94">
        <v>37473.4</v>
      </c>
      <c r="GN94">
        <v>31878.2</v>
      </c>
      <c r="GO94">
        <v>46533.8</v>
      </c>
      <c r="GP94">
        <v>37887.800000000003</v>
      </c>
      <c r="GQ94">
        <v>1.91357</v>
      </c>
      <c r="GR94">
        <v>1.70305</v>
      </c>
      <c r="GS94">
        <v>-3.2745299999999998E-2</v>
      </c>
      <c r="GT94">
        <v>0</v>
      </c>
      <c r="GU94">
        <v>30.4834</v>
      </c>
      <c r="GV94">
        <v>999.9</v>
      </c>
      <c r="GW94">
        <v>38.6</v>
      </c>
      <c r="GX94">
        <v>46.2</v>
      </c>
      <c r="GY94">
        <v>39.900700000000001</v>
      </c>
      <c r="GZ94">
        <v>62.514899999999997</v>
      </c>
      <c r="HA94">
        <v>22.291699999999999</v>
      </c>
      <c r="HB94">
        <v>1</v>
      </c>
      <c r="HC94">
        <v>0.57714699999999997</v>
      </c>
      <c r="HD94">
        <v>2.1913800000000001</v>
      </c>
      <c r="HE94">
        <v>20.2821</v>
      </c>
      <c r="HF94">
        <v>5.2264200000000001</v>
      </c>
      <c r="HG94">
        <v>12.0589</v>
      </c>
      <c r="HH94">
        <v>4.9931000000000001</v>
      </c>
      <c r="HI94">
        <v>3.2919999999999998</v>
      </c>
      <c r="HJ94">
        <v>9999</v>
      </c>
      <c r="HK94">
        <v>9999</v>
      </c>
      <c r="HL94">
        <v>9999</v>
      </c>
      <c r="HM94">
        <v>465.2</v>
      </c>
      <c r="HN94">
        <v>1.8669100000000001</v>
      </c>
      <c r="HO94">
        <v>1.8703799999999999</v>
      </c>
      <c r="HP94">
        <v>1.873</v>
      </c>
      <c r="HQ94">
        <v>1.8738999999999999</v>
      </c>
      <c r="HR94">
        <v>1.8706100000000001</v>
      </c>
      <c r="HS94">
        <v>1.86904</v>
      </c>
      <c r="HT94">
        <v>1.87043</v>
      </c>
      <c r="HU94">
        <v>1.87347</v>
      </c>
      <c r="HV94">
        <v>0</v>
      </c>
      <c r="HW94">
        <v>0</v>
      </c>
      <c r="HX94">
        <v>0</v>
      </c>
      <c r="HY94">
        <v>0</v>
      </c>
      <c r="HZ94" t="s">
        <v>424</v>
      </c>
      <c r="IA94" t="s">
        <v>425</v>
      </c>
      <c r="IB94" t="s">
        <v>426</v>
      </c>
      <c r="IC94" t="s">
        <v>426</v>
      </c>
      <c r="ID94" t="s">
        <v>426</v>
      </c>
      <c r="IE94" t="s">
        <v>426</v>
      </c>
      <c r="IF94">
        <v>0</v>
      </c>
      <c r="IG94">
        <v>100</v>
      </c>
      <c r="IH94">
        <v>100</v>
      </c>
      <c r="II94">
        <v>0.27500000000000002</v>
      </c>
      <c r="IJ94">
        <v>0.23630000000000001</v>
      </c>
      <c r="IK94">
        <v>-0.13841206119954169</v>
      </c>
      <c r="IL94">
        <v>3.042515301972944E-3</v>
      </c>
      <c r="IM94">
        <v>-2.5091471490852929E-6</v>
      </c>
      <c r="IN94">
        <v>8.1339755115576286E-10</v>
      </c>
      <c r="IO94">
        <v>0.2362454595483641</v>
      </c>
      <c r="IP94">
        <v>0</v>
      </c>
      <c r="IQ94">
        <v>0</v>
      </c>
      <c r="IR94">
        <v>0</v>
      </c>
      <c r="IS94">
        <v>3</v>
      </c>
      <c r="IT94">
        <v>2004</v>
      </c>
      <c r="IU94">
        <v>2</v>
      </c>
      <c r="IV94">
        <v>22</v>
      </c>
      <c r="IW94">
        <v>0.9</v>
      </c>
      <c r="IX94">
        <v>3.4</v>
      </c>
      <c r="IY94">
        <v>0.58593799999999996</v>
      </c>
      <c r="IZ94">
        <v>2.6086399999999998</v>
      </c>
      <c r="JA94">
        <v>1.64917</v>
      </c>
      <c r="JB94">
        <v>2.33765</v>
      </c>
      <c r="JC94">
        <v>1.5991200000000001</v>
      </c>
      <c r="JD94">
        <v>2.2448700000000001</v>
      </c>
      <c r="JE94">
        <v>48.209000000000003</v>
      </c>
      <c r="JF94">
        <v>24.210100000000001</v>
      </c>
      <c r="JG94">
        <v>18</v>
      </c>
      <c r="JH94">
        <v>519.34299999999996</v>
      </c>
      <c r="JI94">
        <v>429.50299999999999</v>
      </c>
      <c r="JJ94">
        <v>27.761800000000001</v>
      </c>
      <c r="JK94">
        <v>34.262799999999999</v>
      </c>
      <c r="JL94">
        <v>29.999600000000001</v>
      </c>
      <c r="JM94">
        <v>34.356499999999997</v>
      </c>
      <c r="JN94">
        <v>34.354399999999998</v>
      </c>
      <c r="JO94">
        <v>11.7539</v>
      </c>
      <c r="JP94">
        <v>55.291800000000002</v>
      </c>
      <c r="JQ94">
        <v>0</v>
      </c>
      <c r="JR94">
        <v>27.791</v>
      </c>
      <c r="JS94">
        <v>200</v>
      </c>
      <c r="JT94">
        <v>19.692399999999999</v>
      </c>
      <c r="JU94">
        <v>99.316900000000004</v>
      </c>
      <c r="JV94">
        <v>99.080399999999997</v>
      </c>
    </row>
    <row r="95" spans="1:282" x14ac:dyDescent="0.25">
      <c r="A95">
        <v>79</v>
      </c>
      <c r="B95">
        <v>1689014884</v>
      </c>
      <c r="C95">
        <v>15288.900000095369</v>
      </c>
      <c r="D95" t="s">
        <v>821</v>
      </c>
      <c r="E95" t="s">
        <v>822</v>
      </c>
      <c r="F95" t="s">
        <v>414</v>
      </c>
      <c r="G95" t="s">
        <v>415</v>
      </c>
      <c r="H95" t="s">
        <v>31</v>
      </c>
      <c r="I95" t="s">
        <v>416</v>
      </c>
      <c r="J95" t="s">
        <v>417</v>
      </c>
      <c r="K95">
        <v>1689014884</v>
      </c>
      <c r="L95">
        <f t="shared" si="92"/>
        <v>8.3162586653780356E-3</v>
      </c>
      <c r="M95">
        <f t="shared" si="93"/>
        <v>8.3162586653780348</v>
      </c>
      <c r="N95">
        <f t="shared" si="94"/>
        <v>22.605657277611918</v>
      </c>
      <c r="O95">
        <f t="shared" si="95"/>
        <v>92.02</v>
      </c>
      <c r="P95">
        <f t="shared" si="96"/>
        <v>30.965972867897879</v>
      </c>
      <c r="Q95">
        <f t="shared" si="97"/>
        <v>3.0740340854894583</v>
      </c>
      <c r="R95">
        <f t="shared" si="98"/>
        <v>9.1349500871</v>
      </c>
      <c r="S95">
        <f t="shared" si="99"/>
        <v>0.67174915011464409</v>
      </c>
      <c r="T95">
        <f t="shared" si="100"/>
        <v>2.9122319195872302</v>
      </c>
      <c r="U95">
        <f t="shared" si="101"/>
        <v>0.5960742521420116</v>
      </c>
      <c r="V95">
        <f t="shared" si="102"/>
        <v>0.37863266265606099</v>
      </c>
      <c r="W95">
        <f t="shared" si="103"/>
        <v>289.5303405767657</v>
      </c>
      <c r="X95">
        <f t="shared" si="104"/>
        <v>30.144167165866193</v>
      </c>
      <c r="Y95">
        <f t="shared" si="105"/>
        <v>29.913499999999999</v>
      </c>
      <c r="Z95">
        <f t="shared" si="106"/>
        <v>4.2393275476650665</v>
      </c>
      <c r="AA95">
        <f t="shared" si="107"/>
        <v>65.857850845355856</v>
      </c>
      <c r="AB95">
        <f t="shared" si="108"/>
        <v>2.9041537091184999</v>
      </c>
      <c r="AC95">
        <f t="shared" si="109"/>
        <v>4.4097304601358607</v>
      </c>
      <c r="AD95">
        <f t="shared" si="110"/>
        <v>1.3351738385465666</v>
      </c>
      <c r="AE95">
        <f t="shared" si="111"/>
        <v>-366.74700714317134</v>
      </c>
      <c r="AF95">
        <f t="shared" si="112"/>
        <v>107.92471955881605</v>
      </c>
      <c r="AG95">
        <f t="shared" si="113"/>
        <v>8.2611422261229173</v>
      </c>
      <c r="AH95">
        <f t="shared" si="114"/>
        <v>38.969195218533301</v>
      </c>
      <c r="AI95">
        <v>0</v>
      </c>
      <c r="AJ95">
        <v>0</v>
      </c>
      <c r="AK95">
        <f t="shared" si="115"/>
        <v>1</v>
      </c>
      <c r="AL95">
        <f t="shared" si="116"/>
        <v>0</v>
      </c>
      <c r="AM95">
        <f t="shared" si="117"/>
        <v>51739.214375712916</v>
      </c>
      <c r="AN95" t="s">
        <v>418</v>
      </c>
      <c r="AO95">
        <v>10021</v>
      </c>
      <c r="AP95">
        <v>177.53923076923081</v>
      </c>
      <c r="AQ95">
        <v>655.56</v>
      </c>
      <c r="AR95">
        <f t="shared" si="118"/>
        <v>0.72917928066198234</v>
      </c>
      <c r="AS95">
        <v>-3.1115002560329539</v>
      </c>
      <c r="AT95" t="s">
        <v>823</v>
      </c>
      <c r="AU95">
        <v>8025</v>
      </c>
      <c r="AV95">
        <v>668.24330769230778</v>
      </c>
      <c r="AW95">
        <v>825.12398283069126</v>
      </c>
      <c r="AX95">
        <f t="shared" si="119"/>
        <v>0.19012982097573339</v>
      </c>
      <c r="AY95">
        <v>0.5</v>
      </c>
      <c r="AZ95">
        <f t="shared" si="120"/>
        <v>1512.9917992625731</v>
      </c>
      <c r="BA95">
        <f t="shared" si="121"/>
        <v>22.605657277611918</v>
      </c>
      <c r="BB95">
        <f t="shared" si="122"/>
        <v>143.83242996577289</v>
      </c>
      <c r="BC95">
        <f t="shared" si="123"/>
        <v>1.6997552495776464E-2</v>
      </c>
      <c r="BD95">
        <f t="shared" si="124"/>
        <v>-0.20550121722190259</v>
      </c>
      <c r="BE95">
        <f t="shared" si="125"/>
        <v>188.00230891442561</v>
      </c>
      <c r="BF95" t="s">
        <v>824</v>
      </c>
      <c r="BG95">
        <v>547.78</v>
      </c>
      <c r="BH95">
        <f t="shared" si="126"/>
        <v>547.78</v>
      </c>
      <c r="BI95">
        <f t="shared" si="127"/>
        <v>0.33612401118099611</v>
      </c>
      <c r="BJ95">
        <f t="shared" si="128"/>
        <v>0.5656537904200849</v>
      </c>
      <c r="BK95">
        <f t="shared" si="129"/>
        <v>-1.5732416295295171</v>
      </c>
      <c r="BL95">
        <f t="shared" si="130"/>
        <v>0.2422550479130095</v>
      </c>
      <c r="BM95">
        <f t="shared" si="131"/>
        <v>-0.35472095303213208</v>
      </c>
      <c r="BN95">
        <f t="shared" si="132"/>
        <v>0.46368415478241659</v>
      </c>
      <c r="BO95">
        <f t="shared" si="133"/>
        <v>0.53631584521758335</v>
      </c>
      <c r="BP95">
        <v>22623</v>
      </c>
      <c r="BQ95">
        <v>290.00000000000011</v>
      </c>
      <c r="BR95">
        <v>785.28</v>
      </c>
      <c r="BS95">
        <v>295</v>
      </c>
      <c r="BT95">
        <v>8025</v>
      </c>
      <c r="BU95">
        <v>785.63</v>
      </c>
      <c r="BV95">
        <v>-0.35</v>
      </c>
      <c r="BW95">
        <v>300.00000000000011</v>
      </c>
      <c r="BX95">
        <v>19.399999999999999</v>
      </c>
      <c r="BY95">
        <v>825.12398283069126</v>
      </c>
      <c r="BZ95">
        <v>2.195095214898128</v>
      </c>
      <c r="CA95">
        <v>-31.692941134966549</v>
      </c>
      <c r="CB95">
        <v>1.618173684889697</v>
      </c>
      <c r="CC95">
        <v>0.93197223743104651</v>
      </c>
      <c r="CD95">
        <v>-4.1442115684093422E-3</v>
      </c>
      <c r="CE95">
        <v>289.99999999999989</v>
      </c>
      <c r="CF95">
        <v>784.14</v>
      </c>
      <c r="CG95">
        <v>645</v>
      </c>
      <c r="CH95">
        <v>8015.32</v>
      </c>
      <c r="CI95">
        <v>785.58</v>
      </c>
      <c r="CJ95">
        <v>-1.44</v>
      </c>
      <c r="CX95">
        <f t="shared" si="134"/>
        <v>1799.77</v>
      </c>
      <c r="CY95">
        <f t="shared" si="135"/>
        <v>1512.9917992625731</v>
      </c>
      <c r="CZ95">
        <f t="shared" si="136"/>
        <v>0.84065841705471978</v>
      </c>
      <c r="DA95">
        <f t="shared" si="137"/>
        <v>0.16087074491560904</v>
      </c>
      <c r="DB95">
        <v>6</v>
      </c>
      <c r="DC95">
        <v>0.5</v>
      </c>
      <c r="DD95" t="s">
        <v>421</v>
      </c>
      <c r="DE95">
        <v>2</v>
      </c>
      <c r="DF95">
        <v>1689014884</v>
      </c>
      <c r="DG95">
        <v>92.02</v>
      </c>
      <c r="DH95">
        <v>120.06</v>
      </c>
      <c r="DI95">
        <v>29.2547</v>
      </c>
      <c r="DJ95">
        <v>19.568899999999999</v>
      </c>
      <c r="DK95">
        <v>92.005099999999999</v>
      </c>
      <c r="DL95">
        <v>28.995999999999999</v>
      </c>
      <c r="DM95">
        <v>500.09100000000001</v>
      </c>
      <c r="DN95">
        <v>99.171000000000006</v>
      </c>
      <c r="DO95">
        <v>0.100355</v>
      </c>
      <c r="DP95">
        <v>30.600899999999999</v>
      </c>
      <c r="DQ95">
        <v>29.913499999999999</v>
      </c>
      <c r="DR95">
        <v>999.9</v>
      </c>
      <c r="DS95">
        <v>0</v>
      </c>
      <c r="DT95">
        <v>0</v>
      </c>
      <c r="DU95">
        <v>9984.3799999999992</v>
      </c>
      <c r="DV95">
        <v>0</v>
      </c>
      <c r="DW95">
        <v>1551.81</v>
      </c>
      <c r="DX95">
        <v>-28.040299999999998</v>
      </c>
      <c r="DY95">
        <v>94.793099999999995</v>
      </c>
      <c r="DZ95">
        <v>122.45699999999999</v>
      </c>
      <c r="EA95">
        <v>9.6858299999999993</v>
      </c>
      <c r="EB95">
        <v>120.06</v>
      </c>
      <c r="EC95">
        <v>19.568899999999999</v>
      </c>
      <c r="ED95">
        <v>2.9012199999999999</v>
      </c>
      <c r="EE95">
        <v>1.9406699999999999</v>
      </c>
      <c r="EF95">
        <v>23.471599999999999</v>
      </c>
      <c r="EG95">
        <v>16.968399999999999</v>
      </c>
      <c r="EH95">
        <v>1799.77</v>
      </c>
      <c r="EI95">
        <v>0.97799100000000005</v>
      </c>
      <c r="EJ95">
        <v>2.2008799999999999E-2</v>
      </c>
      <c r="EK95">
        <v>0</v>
      </c>
      <c r="EL95">
        <v>667.27499999999998</v>
      </c>
      <c r="EM95">
        <v>5.0011200000000002</v>
      </c>
      <c r="EN95">
        <v>13381.4</v>
      </c>
      <c r="EO95">
        <v>17208.7</v>
      </c>
      <c r="EP95">
        <v>48.561999999999998</v>
      </c>
      <c r="EQ95">
        <v>50.186999999999998</v>
      </c>
      <c r="ER95">
        <v>49.686999999999998</v>
      </c>
      <c r="ES95">
        <v>49.186999999999998</v>
      </c>
      <c r="ET95">
        <v>49.436999999999998</v>
      </c>
      <c r="EU95">
        <v>1755.27</v>
      </c>
      <c r="EV95">
        <v>39.5</v>
      </c>
      <c r="EW95">
        <v>0</v>
      </c>
      <c r="EX95">
        <v>113.4000000953674</v>
      </c>
      <c r="EY95">
        <v>0</v>
      </c>
      <c r="EZ95">
        <v>668.24330769230778</v>
      </c>
      <c r="FA95">
        <v>-6.0066324868133414</v>
      </c>
      <c r="FB95">
        <v>-115.0837608078696</v>
      </c>
      <c r="FC95">
        <v>13396.369230769231</v>
      </c>
      <c r="FD95">
        <v>15</v>
      </c>
      <c r="FE95">
        <v>1689014852</v>
      </c>
      <c r="FF95" t="s">
        <v>825</v>
      </c>
      <c r="FG95">
        <v>1689014839</v>
      </c>
      <c r="FH95">
        <v>1689014852</v>
      </c>
      <c r="FI95">
        <v>89</v>
      </c>
      <c r="FJ95">
        <v>-0.106</v>
      </c>
      <c r="FK95">
        <v>2.1999999999999999E-2</v>
      </c>
      <c r="FL95">
        <v>8.5000000000000006E-2</v>
      </c>
      <c r="FM95">
        <v>0.19400000000000001</v>
      </c>
      <c r="FN95">
        <v>120</v>
      </c>
      <c r="FO95">
        <v>20</v>
      </c>
      <c r="FP95">
        <v>0.16</v>
      </c>
      <c r="FQ95">
        <v>0.01</v>
      </c>
      <c r="FR95">
        <v>22.594206312031929</v>
      </c>
      <c r="FS95">
        <v>-0.1390990584031048</v>
      </c>
      <c r="FT95">
        <v>4.5844525144639603E-2</v>
      </c>
      <c r="FU95">
        <v>1</v>
      </c>
      <c r="FV95">
        <v>0.6679802818210453</v>
      </c>
      <c r="FW95">
        <v>2.658211210961357E-2</v>
      </c>
      <c r="FX95">
        <v>3.115190560813383E-3</v>
      </c>
      <c r="FY95">
        <v>1</v>
      </c>
      <c r="FZ95">
        <v>2</v>
      </c>
      <c r="GA95">
        <v>2</v>
      </c>
      <c r="GB95" t="s">
        <v>423</v>
      </c>
      <c r="GC95">
        <v>2.9241899999999998</v>
      </c>
      <c r="GD95">
        <v>2.8275199999999998</v>
      </c>
      <c r="GE95">
        <v>2.3843199999999998E-2</v>
      </c>
      <c r="GF95">
        <v>3.0913400000000001E-2</v>
      </c>
      <c r="GG95">
        <v>0.128329</v>
      </c>
      <c r="GH95">
        <v>9.7258700000000003E-2</v>
      </c>
      <c r="GI95">
        <v>31784.799999999999</v>
      </c>
      <c r="GJ95">
        <v>25599.4</v>
      </c>
      <c r="GK95">
        <v>31337.9</v>
      </c>
      <c r="GL95">
        <v>26062.5</v>
      </c>
      <c r="GM95">
        <v>37449.300000000003</v>
      </c>
      <c r="GN95">
        <v>31913.4</v>
      </c>
      <c r="GO95">
        <v>46537.8</v>
      </c>
      <c r="GP95">
        <v>37892.300000000003</v>
      </c>
      <c r="GQ95">
        <v>1.9144000000000001</v>
      </c>
      <c r="GR95">
        <v>1.70262</v>
      </c>
      <c r="GS95">
        <v>-3.2875700000000001E-2</v>
      </c>
      <c r="GT95">
        <v>0</v>
      </c>
      <c r="GU95">
        <v>30.448399999999999</v>
      </c>
      <c r="GV95">
        <v>999.9</v>
      </c>
      <c r="GW95">
        <v>38.5</v>
      </c>
      <c r="GX95">
        <v>46.2</v>
      </c>
      <c r="GY95">
        <v>39.797499999999999</v>
      </c>
      <c r="GZ95">
        <v>62.314900000000002</v>
      </c>
      <c r="HA95">
        <v>22.4239</v>
      </c>
      <c r="HB95">
        <v>1</v>
      </c>
      <c r="HC95">
        <v>0.57126299999999997</v>
      </c>
      <c r="HD95">
        <v>1.84901</v>
      </c>
      <c r="HE95">
        <v>20.286000000000001</v>
      </c>
      <c r="HF95">
        <v>5.2232799999999999</v>
      </c>
      <c r="HG95">
        <v>12.059200000000001</v>
      </c>
      <c r="HH95">
        <v>4.9916</v>
      </c>
      <c r="HI95">
        <v>3.2919999999999998</v>
      </c>
      <c r="HJ95">
        <v>9999</v>
      </c>
      <c r="HK95">
        <v>9999</v>
      </c>
      <c r="HL95">
        <v>9999</v>
      </c>
      <c r="HM95">
        <v>465.2</v>
      </c>
      <c r="HN95">
        <v>1.8669100000000001</v>
      </c>
      <c r="HO95">
        <v>1.8703799999999999</v>
      </c>
      <c r="HP95">
        <v>1.873</v>
      </c>
      <c r="HQ95">
        <v>1.8738999999999999</v>
      </c>
      <c r="HR95">
        <v>1.87063</v>
      </c>
      <c r="HS95">
        <v>1.86904</v>
      </c>
      <c r="HT95">
        <v>1.8704799999999999</v>
      </c>
      <c r="HU95">
        <v>1.8734599999999999</v>
      </c>
      <c r="HV95">
        <v>0</v>
      </c>
      <c r="HW95">
        <v>0</v>
      </c>
      <c r="HX95">
        <v>0</v>
      </c>
      <c r="HY95">
        <v>0</v>
      </c>
      <c r="HZ95" t="s">
        <v>424</v>
      </c>
      <c r="IA95" t="s">
        <v>425</v>
      </c>
      <c r="IB95" t="s">
        <v>426</v>
      </c>
      <c r="IC95" t="s">
        <v>426</v>
      </c>
      <c r="ID95" t="s">
        <v>426</v>
      </c>
      <c r="IE95" t="s">
        <v>426</v>
      </c>
      <c r="IF95">
        <v>0</v>
      </c>
      <c r="IG95">
        <v>100</v>
      </c>
      <c r="IH95">
        <v>100</v>
      </c>
      <c r="II95">
        <v>1.4999999999999999E-2</v>
      </c>
      <c r="IJ95">
        <v>0.25869999999999999</v>
      </c>
      <c r="IK95">
        <v>-0.2444364521203021</v>
      </c>
      <c r="IL95">
        <v>3.042515301972944E-3</v>
      </c>
      <c r="IM95">
        <v>-2.5091471490852929E-6</v>
      </c>
      <c r="IN95">
        <v>8.1339755115576286E-10</v>
      </c>
      <c r="IO95">
        <v>0.25871627158116889</v>
      </c>
      <c r="IP95">
        <v>0</v>
      </c>
      <c r="IQ95">
        <v>0</v>
      </c>
      <c r="IR95">
        <v>0</v>
      </c>
      <c r="IS95">
        <v>3</v>
      </c>
      <c r="IT95">
        <v>2004</v>
      </c>
      <c r="IU95">
        <v>2</v>
      </c>
      <c r="IV95">
        <v>22</v>
      </c>
      <c r="IW95">
        <v>0.8</v>
      </c>
      <c r="IX95">
        <v>0.5</v>
      </c>
      <c r="IY95">
        <v>0.40283200000000002</v>
      </c>
      <c r="IZ95">
        <v>2.6184099999999999</v>
      </c>
      <c r="JA95">
        <v>1.64917</v>
      </c>
      <c r="JB95">
        <v>2.33765</v>
      </c>
      <c r="JC95">
        <v>1.5991200000000001</v>
      </c>
      <c r="JD95">
        <v>2.32666</v>
      </c>
      <c r="JE95">
        <v>48.1785</v>
      </c>
      <c r="JF95">
        <v>24.218800000000002</v>
      </c>
      <c r="JG95">
        <v>18</v>
      </c>
      <c r="JH95">
        <v>519.65700000000004</v>
      </c>
      <c r="JI95">
        <v>429.03100000000001</v>
      </c>
      <c r="JJ95">
        <v>27.832599999999999</v>
      </c>
      <c r="JK95">
        <v>34.2194</v>
      </c>
      <c r="JL95">
        <v>29.999500000000001</v>
      </c>
      <c r="JM95">
        <v>34.325899999999997</v>
      </c>
      <c r="JN95">
        <v>34.325800000000001</v>
      </c>
      <c r="JO95">
        <v>8.0625199999999992</v>
      </c>
      <c r="JP95">
        <v>55.5914</v>
      </c>
      <c r="JQ95">
        <v>0</v>
      </c>
      <c r="JR95">
        <v>27.853100000000001</v>
      </c>
      <c r="JS95">
        <v>120</v>
      </c>
      <c r="JT95">
        <v>19.4359</v>
      </c>
      <c r="JU95">
        <v>99.325599999999994</v>
      </c>
      <c r="JV95">
        <v>99.0916</v>
      </c>
    </row>
    <row r="96" spans="1:282" x14ac:dyDescent="0.25">
      <c r="A96">
        <v>80</v>
      </c>
      <c r="B96">
        <v>1689015029</v>
      </c>
      <c r="C96">
        <v>15433.900000095369</v>
      </c>
      <c r="D96" t="s">
        <v>826</v>
      </c>
      <c r="E96" t="s">
        <v>827</v>
      </c>
      <c r="F96" t="s">
        <v>414</v>
      </c>
      <c r="G96" t="s">
        <v>415</v>
      </c>
      <c r="H96" t="s">
        <v>31</v>
      </c>
      <c r="I96" t="s">
        <v>416</v>
      </c>
      <c r="J96" t="s">
        <v>417</v>
      </c>
      <c r="K96">
        <v>1689015029</v>
      </c>
      <c r="L96">
        <f t="shared" si="92"/>
        <v>8.7268862455515076E-3</v>
      </c>
      <c r="M96">
        <f t="shared" si="93"/>
        <v>8.7268862455515084</v>
      </c>
      <c r="N96">
        <f t="shared" si="94"/>
        <v>13.786242523991575</v>
      </c>
      <c r="O96">
        <f t="shared" si="95"/>
        <v>53.010599999999997</v>
      </c>
      <c r="P96">
        <f t="shared" si="96"/>
        <v>17.428742616139367</v>
      </c>
      <c r="Q96">
        <f t="shared" si="97"/>
        <v>1.7300626892054369</v>
      </c>
      <c r="R96">
        <f t="shared" si="98"/>
        <v>5.2620928091201993</v>
      </c>
      <c r="S96">
        <f t="shared" si="99"/>
        <v>0.70623031351156818</v>
      </c>
      <c r="T96">
        <f t="shared" si="100"/>
        <v>2.9123415139191398</v>
      </c>
      <c r="U96">
        <f t="shared" si="101"/>
        <v>0.62310271414857388</v>
      </c>
      <c r="V96">
        <f t="shared" si="102"/>
        <v>0.39608951373897217</v>
      </c>
      <c r="W96">
        <f t="shared" si="103"/>
        <v>289.56226057692385</v>
      </c>
      <c r="X96">
        <f t="shared" si="104"/>
        <v>30.17201725569684</v>
      </c>
      <c r="Y96">
        <f t="shared" si="105"/>
        <v>29.995100000000001</v>
      </c>
      <c r="Z96">
        <f t="shared" si="106"/>
        <v>4.2592508074328181</v>
      </c>
      <c r="AA96">
        <f t="shared" si="107"/>
        <v>65.692742615176229</v>
      </c>
      <c r="AB96">
        <f t="shared" si="108"/>
        <v>2.9192620910696001</v>
      </c>
      <c r="AC96">
        <f t="shared" si="109"/>
        <v>4.4438121698928681</v>
      </c>
      <c r="AD96">
        <f t="shared" si="110"/>
        <v>1.339988716363218</v>
      </c>
      <c r="AE96">
        <f t="shared" si="111"/>
        <v>-384.85568342882146</v>
      </c>
      <c r="AF96">
        <f t="shared" si="112"/>
        <v>116.26602029467173</v>
      </c>
      <c r="AG96">
        <f t="shared" si="113"/>
        <v>8.9088220694154163</v>
      </c>
      <c r="AH96">
        <f t="shared" si="114"/>
        <v>29.881419512189524</v>
      </c>
      <c r="AI96">
        <v>0</v>
      </c>
      <c r="AJ96">
        <v>0</v>
      </c>
      <c r="AK96">
        <f t="shared" si="115"/>
        <v>1</v>
      </c>
      <c r="AL96">
        <f t="shared" si="116"/>
        <v>0</v>
      </c>
      <c r="AM96">
        <f t="shared" si="117"/>
        <v>51719.25037639666</v>
      </c>
      <c r="AN96" t="s">
        <v>418</v>
      </c>
      <c r="AO96">
        <v>10021</v>
      </c>
      <c r="AP96">
        <v>177.53923076923081</v>
      </c>
      <c r="AQ96">
        <v>655.56</v>
      </c>
      <c r="AR96">
        <f t="shared" si="118"/>
        <v>0.72917928066198234</v>
      </c>
      <c r="AS96">
        <v>-3.1115002560329539</v>
      </c>
      <c r="AT96" t="s">
        <v>828</v>
      </c>
      <c r="AU96">
        <v>8024.66</v>
      </c>
      <c r="AV96">
        <v>679.51351999999997</v>
      </c>
      <c r="AW96">
        <v>783.65347037494632</v>
      </c>
      <c r="AX96">
        <f t="shared" si="119"/>
        <v>0.13289030714700922</v>
      </c>
      <c r="AY96">
        <v>0.5</v>
      </c>
      <c r="AZ96">
        <f t="shared" si="120"/>
        <v>1513.1597992626548</v>
      </c>
      <c r="BA96">
        <f t="shared" si="121"/>
        <v>13.786242523991575</v>
      </c>
      <c r="BB96">
        <f t="shared" si="122"/>
        <v>100.5421352432605</v>
      </c>
      <c r="BC96">
        <f t="shared" si="123"/>
        <v>1.1167189868683139E-2</v>
      </c>
      <c r="BD96">
        <f t="shared" si="124"/>
        <v>-0.16345677677361509</v>
      </c>
      <c r="BE96">
        <f t="shared" si="125"/>
        <v>185.76246742755731</v>
      </c>
      <c r="BF96" t="s">
        <v>829</v>
      </c>
      <c r="BG96">
        <v>567.83000000000004</v>
      </c>
      <c r="BH96">
        <f t="shared" si="126"/>
        <v>567.83000000000004</v>
      </c>
      <c r="BI96">
        <f t="shared" si="127"/>
        <v>0.27540676910635453</v>
      </c>
      <c r="BJ96">
        <f t="shared" si="128"/>
        <v>0.48252375051715118</v>
      </c>
      <c r="BK96">
        <f t="shared" si="129"/>
        <v>-1.4600874316077341</v>
      </c>
      <c r="BL96">
        <f t="shared" si="130"/>
        <v>0.17181571322708178</v>
      </c>
      <c r="BM96">
        <f t="shared" si="131"/>
        <v>-0.26796632828543065</v>
      </c>
      <c r="BN96">
        <f t="shared" si="132"/>
        <v>0.40321708574121379</v>
      </c>
      <c r="BO96">
        <f t="shared" si="133"/>
        <v>0.59678291425878616</v>
      </c>
      <c r="BP96">
        <v>22625</v>
      </c>
      <c r="BQ96">
        <v>290.00000000000011</v>
      </c>
      <c r="BR96">
        <v>750.77</v>
      </c>
      <c r="BS96">
        <v>295</v>
      </c>
      <c r="BT96">
        <v>8024.66</v>
      </c>
      <c r="BU96">
        <v>751.79</v>
      </c>
      <c r="BV96">
        <v>-1.02</v>
      </c>
      <c r="BW96">
        <v>300.00000000000011</v>
      </c>
      <c r="BX96">
        <v>19.399999999999999</v>
      </c>
      <c r="BY96">
        <v>783.65347037494632</v>
      </c>
      <c r="BZ96">
        <v>2.0468093998662309</v>
      </c>
      <c r="CA96">
        <v>-25.569373556332231</v>
      </c>
      <c r="CB96">
        <v>1.508793198827421</v>
      </c>
      <c r="CC96">
        <v>0.91116682404771332</v>
      </c>
      <c r="CD96">
        <v>-4.1439850945495038E-3</v>
      </c>
      <c r="CE96">
        <v>289.99999999999989</v>
      </c>
      <c r="CF96">
        <v>750.31</v>
      </c>
      <c r="CG96">
        <v>675</v>
      </c>
      <c r="CH96">
        <v>8014.09</v>
      </c>
      <c r="CI96">
        <v>751.75</v>
      </c>
      <c r="CJ96">
        <v>-1.44</v>
      </c>
      <c r="CX96">
        <f t="shared" si="134"/>
        <v>1799.97</v>
      </c>
      <c r="CY96">
        <f t="shared" si="135"/>
        <v>1513.1597992626548</v>
      </c>
      <c r="CZ96">
        <f t="shared" si="136"/>
        <v>0.84065834389609539</v>
      </c>
      <c r="DA96">
        <f t="shared" si="137"/>
        <v>0.16087060371946413</v>
      </c>
      <c r="DB96">
        <v>6</v>
      </c>
      <c r="DC96">
        <v>0.5</v>
      </c>
      <c r="DD96" t="s">
        <v>421</v>
      </c>
      <c r="DE96">
        <v>2</v>
      </c>
      <c r="DF96">
        <v>1689015029</v>
      </c>
      <c r="DG96">
        <v>53.010599999999997</v>
      </c>
      <c r="DH96">
        <v>70.110600000000005</v>
      </c>
      <c r="DI96">
        <v>29.408799999999999</v>
      </c>
      <c r="DJ96">
        <v>19.2437</v>
      </c>
      <c r="DK96">
        <v>53.100099999999998</v>
      </c>
      <c r="DL96">
        <v>29.1465</v>
      </c>
      <c r="DM96">
        <v>499.96</v>
      </c>
      <c r="DN96">
        <v>99.164900000000003</v>
      </c>
      <c r="DO96">
        <v>0.10001699999999999</v>
      </c>
      <c r="DP96">
        <v>30.735600000000002</v>
      </c>
      <c r="DQ96">
        <v>29.995100000000001</v>
      </c>
      <c r="DR96">
        <v>999.9</v>
      </c>
      <c r="DS96">
        <v>0</v>
      </c>
      <c r="DT96">
        <v>0</v>
      </c>
      <c r="DU96">
        <v>9985.6200000000008</v>
      </c>
      <c r="DV96">
        <v>0</v>
      </c>
      <c r="DW96">
        <v>1539.04</v>
      </c>
      <c r="DX96">
        <v>-17.100000000000001</v>
      </c>
      <c r="DY96">
        <v>54.616799999999998</v>
      </c>
      <c r="DZ96">
        <v>71.4863</v>
      </c>
      <c r="EA96">
        <v>10.165100000000001</v>
      </c>
      <c r="EB96">
        <v>70.110600000000005</v>
      </c>
      <c r="EC96">
        <v>19.2437</v>
      </c>
      <c r="ED96">
        <v>2.9163199999999998</v>
      </c>
      <c r="EE96">
        <v>1.9083000000000001</v>
      </c>
      <c r="EF96">
        <v>23.557700000000001</v>
      </c>
      <c r="EG96">
        <v>16.703299999999999</v>
      </c>
      <c r="EH96">
        <v>1799.97</v>
      </c>
      <c r="EI96">
        <v>0.97799499999999995</v>
      </c>
      <c r="EJ96">
        <v>2.20051E-2</v>
      </c>
      <c r="EK96">
        <v>0</v>
      </c>
      <c r="EL96">
        <v>679.84500000000003</v>
      </c>
      <c r="EM96">
        <v>5.0011200000000002</v>
      </c>
      <c r="EN96">
        <v>13606.2</v>
      </c>
      <c r="EO96">
        <v>17210.599999999999</v>
      </c>
      <c r="EP96">
        <v>48.5</v>
      </c>
      <c r="EQ96">
        <v>50.125</v>
      </c>
      <c r="ER96">
        <v>49.5</v>
      </c>
      <c r="ES96">
        <v>49.125</v>
      </c>
      <c r="ET96">
        <v>48.686999999999998</v>
      </c>
      <c r="EU96">
        <v>1755.47</v>
      </c>
      <c r="EV96">
        <v>39.5</v>
      </c>
      <c r="EW96">
        <v>0</v>
      </c>
      <c r="EX96">
        <v>143</v>
      </c>
      <c r="EY96">
        <v>0</v>
      </c>
      <c r="EZ96">
        <v>679.51351999999997</v>
      </c>
      <c r="FA96">
        <v>-1.840538458418183</v>
      </c>
      <c r="FB96">
        <v>-17.592307702167471</v>
      </c>
      <c r="FC96">
        <v>13609.072</v>
      </c>
      <c r="FD96">
        <v>15</v>
      </c>
      <c r="FE96">
        <v>1689014995.5</v>
      </c>
      <c r="FF96" t="s">
        <v>830</v>
      </c>
      <c r="FG96">
        <v>1689014987</v>
      </c>
      <c r="FH96">
        <v>1689014995.5</v>
      </c>
      <c r="FI96">
        <v>90</v>
      </c>
      <c r="FJ96">
        <v>0</v>
      </c>
      <c r="FK96">
        <v>4.0000000000000001E-3</v>
      </c>
      <c r="FL96">
        <v>-4.2999999999999997E-2</v>
      </c>
      <c r="FM96">
        <v>0.187</v>
      </c>
      <c r="FN96">
        <v>70</v>
      </c>
      <c r="FO96">
        <v>19</v>
      </c>
      <c r="FP96">
        <v>0.13</v>
      </c>
      <c r="FQ96">
        <v>0.01</v>
      </c>
      <c r="FR96">
        <v>13.74479466476336</v>
      </c>
      <c r="FS96">
        <v>-0.35780619844412048</v>
      </c>
      <c r="FT96">
        <v>5.2213685618899427E-2</v>
      </c>
      <c r="FU96">
        <v>1</v>
      </c>
      <c r="FV96">
        <v>0.69909469890444764</v>
      </c>
      <c r="FW96">
        <v>-3.8297968559723318E-2</v>
      </c>
      <c r="FX96">
        <v>4.1230125919362306E-3</v>
      </c>
      <c r="FY96">
        <v>1</v>
      </c>
      <c r="FZ96">
        <v>2</v>
      </c>
      <c r="GA96">
        <v>2</v>
      </c>
      <c r="GB96" t="s">
        <v>423</v>
      </c>
      <c r="GC96">
        <v>2.9239099999999998</v>
      </c>
      <c r="GD96">
        <v>2.8271899999999999</v>
      </c>
      <c r="GE96">
        <v>1.3901699999999999E-2</v>
      </c>
      <c r="GF96">
        <v>1.8387000000000001E-2</v>
      </c>
      <c r="GG96">
        <v>0.12879499999999999</v>
      </c>
      <c r="GH96">
        <v>9.6105899999999994E-2</v>
      </c>
      <c r="GI96">
        <v>32111.7</v>
      </c>
      <c r="GJ96">
        <v>25930</v>
      </c>
      <c r="GK96">
        <v>31341.4</v>
      </c>
      <c r="GL96">
        <v>26062.799999999999</v>
      </c>
      <c r="GM96">
        <v>37432.800000000003</v>
      </c>
      <c r="GN96">
        <v>31954.3</v>
      </c>
      <c r="GO96">
        <v>46542.6</v>
      </c>
      <c r="GP96">
        <v>37892.800000000003</v>
      </c>
      <c r="GQ96">
        <v>1.91513</v>
      </c>
      <c r="GR96">
        <v>1.7031700000000001</v>
      </c>
      <c r="GS96">
        <v>-3.52226E-2</v>
      </c>
      <c r="GT96">
        <v>0</v>
      </c>
      <c r="GU96">
        <v>30.568000000000001</v>
      </c>
      <c r="GV96">
        <v>999.9</v>
      </c>
      <c r="GW96">
        <v>38.4</v>
      </c>
      <c r="GX96">
        <v>46.2</v>
      </c>
      <c r="GY96">
        <v>39.698500000000003</v>
      </c>
      <c r="GZ96">
        <v>62.484900000000003</v>
      </c>
      <c r="HA96">
        <v>22.712299999999999</v>
      </c>
      <c r="HB96">
        <v>1</v>
      </c>
      <c r="HC96">
        <v>0.57197200000000004</v>
      </c>
      <c r="HD96">
        <v>3.0339299999999998</v>
      </c>
      <c r="HE96">
        <v>20.268699999999999</v>
      </c>
      <c r="HF96">
        <v>5.2238800000000003</v>
      </c>
      <c r="HG96">
        <v>12.0595</v>
      </c>
      <c r="HH96">
        <v>4.9920499999999999</v>
      </c>
      <c r="HI96">
        <v>3.2919999999999998</v>
      </c>
      <c r="HJ96">
        <v>9999</v>
      </c>
      <c r="HK96">
        <v>9999</v>
      </c>
      <c r="HL96">
        <v>9999</v>
      </c>
      <c r="HM96">
        <v>465.3</v>
      </c>
      <c r="HN96">
        <v>1.8669</v>
      </c>
      <c r="HO96">
        <v>1.8703399999999999</v>
      </c>
      <c r="HP96">
        <v>1.873</v>
      </c>
      <c r="HQ96">
        <v>1.8738900000000001</v>
      </c>
      <c r="HR96">
        <v>1.8706</v>
      </c>
      <c r="HS96">
        <v>1.86903</v>
      </c>
      <c r="HT96">
        <v>1.8704499999999999</v>
      </c>
      <c r="HU96">
        <v>1.87347</v>
      </c>
      <c r="HV96">
        <v>0</v>
      </c>
      <c r="HW96">
        <v>0</v>
      </c>
      <c r="HX96">
        <v>0</v>
      </c>
      <c r="HY96">
        <v>0</v>
      </c>
      <c r="HZ96" t="s">
        <v>424</v>
      </c>
      <c r="IA96" t="s">
        <v>425</v>
      </c>
      <c r="IB96" t="s">
        <v>426</v>
      </c>
      <c r="IC96" t="s">
        <v>426</v>
      </c>
      <c r="ID96" t="s">
        <v>426</v>
      </c>
      <c r="IE96" t="s">
        <v>426</v>
      </c>
      <c r="IF96">
        <v>0</v>
      </c>
      <c r="IG96">
        <v>100</v>
      </c>
      <c r="IH96">
        <v>100</v>
      </c>
      <c r="II96">
        <v>-0.09</v>
      </c>
      <c r="IJ96">
        <v>0.26229999999999998</v>
      </c>
      <c r="IK96">
        <v>-0.24416090991672099</v>
      </c>
      <c r="IL96">
        <v>3.042515301972944E-3</v>
      </c>
      <c r="IM96">
        <v>-2.5091471490852929E-6</v>
      </c>
      <c r="IN96">
        <v>8.1339755115576286E-10</v>
      </c>
      <c r="IO96">
        <v>0.26227919873137262</v>
      </c>
      <c r="IP96">
        <v>0</v>
      </c>
      <c r="IQ96">
        <v>0</v>
      </c>
      <c r="IR96">
        <v>0</v>
      </c>
      <c r="IS96">
        <v>3</v>
      </c>
      <c r="IT96">
        <v>2004</v>
      </c>
      <c r="IU96">
        <v>2</v>
      </c>
      <c r="IV96">
        <v>22</v>
      </c>
      <c r="IW96">
        <v>0.7</v>
      </c>
      <c r="IX96">
        <v>0.6</v>
      </c>
      <c r="IY96">
        <v>0.28686499999999998</v>
      </c>
      <c r="IZ96">
        <v>2.6415999999999999</v>
      </c>
      <c r="JA96">
        <v>1.64917</v>
      </c>
      <c r="JB96">
        <v>2.33765</v>
      </c>
      <c r="JC96">
        <v>1.5991200000000001</v>
      </c>
      <c r="JD96">
        <v>2.2558600000000002</v>
      </c>
      <c r="JE96">
        <v>48.0259</v>
      </c>
      <c r="JF96">
        <v>24.210100000000001</v>
      </c>
      <c r="JG96">
        <v>18</v>
      </c>
      <c r="JH96">
        <v>519.76499999999999</v>
      </c>
      <c r="JI96">
        <v>429.07299999999998</v>
      </c>
      <c r="JJ96">
        <v>27.3247</v>
      </c>
      <c r="JK96">
        <v>34.160699999999999</v>
      </c>
      <c r="JL96">
        <v>29.9999</v>
      </c>
      <c r="JM96">
        <v>34.277099999999997</v>
      </c>
      <c r="JN96">
        <v>34.280799999999999</v>
      </c>
      <c r="JO96">
        <v>5.7626200000000001</v>
      </c>
      <c r="JP96">
        <v>56.226300000000002</v>
      </c>
      <c r="JQ96">
        <v>0</v>
      </c>
      <c r="JR96">
        <v>27.3262</v>
      </c>
      <c r="JS96">
        <v>70</v>
      </c>
      <c r="JT96">
        <v>19.3081</v>
      </c>
      <c r="JU96">
        <v>99.336200000000005</v>
      </c>
      <c r="JV96">
        <v>99.092699999999994</v>
      </c>
    </row>
    <row r="97" spans="1:282" x14ac:dyDescent="0.25">
      <c r="A97">
        <v>81</v>
      </c>
      <c r="B97">
        <v>1689015165.5</v>
      </c>
      <c r="C97">
        <v>15570.400000095369</v>
      </c>
      <c r="D97" t="s">
        <v>831</v>
      </c>
      <c r="E97" t="s">
        <v>832</v>
      </c>
      <c r="F97" t="s">
        <v>414</v>
      </c>
      <c r="G97" t="s">
        <v>415</v>
      </c>
      <c r="H97" t="s">
        <v>31</v>
      </c>
      <c r="I97" t="s">
        <v>416</v>
      </c>
      <c r="J97" t="s">
        <v>417</v>
      </c>
      <c r="K97">
        <v>1689015165.5</v>
      </c>
      <c r="L97">
        <f t="shared" si="92"/>
        <v>8.7742616986046431E-3</v>
      </c>
      <c r="M97">
        <f t="shared" si="93"/>
        <v>8.7742616986046436</v>
      </c>
      <c r="N97">
        <f t="shared" si="94"/>
        <v>6.1135029899360109</v>
      </c>
      <c r="O97">
        <f t="shared" si="95"/>
        <v>22.360700000000001</v>
      </c>
      <c r="P97">
        <f t="shared" si="96"/>
        <v>6.5621367251747023</v>
      </c>
      <c r="Q97">
        <f t="shared" si="97"/>
        <v>0.65140621834192358</v>
      </c>
      <c r="R97">
        <f t="shared" si="98"/>
        <v>2.2196884393764997</v>
      </c>
      <c r="S97">
        <f t="shared" si="99"/>
        <v>0.70409491317466211</v>
      </c>
      <c r="T97">
        <f t="shared" si="100"/>
        <v>2.911171683099143</v>
      </c>
      <c r="U97">
        <f t="shared" si="101"/>
        <v>0.62140882396035957</v>
      </c>
      <c r="V97">
        <f t="shared" si="102"/>
        <v>0.3949973899921837</v>
      </c>
      <c r="W97">
        <f t="shared" si="103"/>
        <v>289.57502857698705</v>
      </c>
      <c r="X97">
        <f t="shared" si="104"/>
        <v>30.152518797018622</v>
      </c>
      <c r="Y97">
        <f t="shared" si="105"/>
        <v>29.9968</v>
      </c>
      <c r="Z97">
        <f t="shared" si="106"/>
        <v>4.2596667415615386</v>
      </c>
      <c r="AA97">
        <f t="shared" si="107"/>
        <v>65.4795325396978</v>
      </c>
      <c r="AB97">
        <f t="shared" si="108"/>
        <v>2.9086240141554995</v>
      </c>
      <c r="AC97">
        <f t="shared" si="109"/>
        <v>4.442035398453875</v>
      </c>
      <c r="AD97">
        <f t="shared" si="110"/>
        <v>1.351042727406039</v>
      </c>
      <c r="AE97">
        <f t="shared" si="111"/>
        <v>-386.94494090846479</v>
      </c>
      <c r="AF97">
        <f t="shared" si="112"/>
        <v>114.85387883684854</v>
      </c>
      <c r="AG97">
        <f t="shared" si="113"/>
        <v>8.8039229110900639</v>
      </c>
      <c r="AH97">
        <f t="shared" si="114"/>
        <v>26.287889416460871</v>
      </c>
      <c r="AI97">
        <v>0</v>
      </c>
      <c r="AJ97">
        <v>0</v>
      </c>
      <c r="AK97">
        <f t="shared" si="115"/>
        <v>1</v>
      </c>
      <c r="AL97">
        <f t="shared" si="116"/>
        <v>0</v>
      </c>
      <c r="AM97">
        <f t="shared" si="117"/>
        <v>51687.288164661593</v>
      </c>
      <c r="AN97" t="s">
        <v>418</v>
      </c>
      <c r="AO97">
        <v>10021</v>
      </c>
      <c r="AP97">
        <v>177.53923076923081</v>
      </c>
      <c r="AQ97">
        <v>655.56</v>
      </c>
      <c r="AR97">
        <f t="shared" si="118"/>
        <v>0.72917928066198234</v>
      </c>
      <c r="AS97">
        <v>-3.1115002560329539</v>
      </c>
      <c r="AT97" t="s">
        <v>833</v>
      </c>
      <c r="AU97">
        <v>8039.48</v>
      </c>
      <c r="AV97">
        <v>698.42869230769236</v>
      </c>
      <c r="AW97">
        <v>770.31409308321713</v>
      </c>
      <c r="AX97">
        <f t="shared" si="119"/>
        <v>9.3319597059168702E-2</v>
      </c>
      <c r="AY97">
        <v>0.5</v>
      </c>
      <c r="AZ97">
        <f t="shared" si="120"/>
        <v>1513.2269992626875</v>
      </c>
      <c r="BA97">
        <f t="shared" si="121"/>
        <v>6.1135029899360109</v>
      </c>
      <c r="BB97">
        <f t="shared" si="122"/>
        <v>70.606866915124485</v>
      </c>
      <c r="BC97">
        <f t="shared" si="123"/>
        <v>6.0962454743827615E-3</v>
      </c>
      <c r="BD97">
        <f t="shared" si="124"/>
        <v>-0.14897052269147604</v>
      </c>
      <c r="BE97">
        <f t="shared" si="125"/>
        <v>185.00305008411308</v>
      </c>
      <c r="BF97" t="s">
        <v>834</v>
      </c>
      <c r="BG97">
        <v>593.80999999999995</v>
      </c>
      <c r="BH97">
        <f t="shared" si="126"/>
        <v>593.80999999999995</v>
      </c>
      <c r="BI97">
        <f t="shared" si="127"/>
        <v>0.22913262871350504</v>
      </c>
      <c r="BJ97">
        <f t="shared" si="128"/>
        <v>0.40727327916204548</v>
      </c>
      <c r="BK97">
        <f t="shared" si="129"/>
        <v>-1.8583658798901568</v>
      </c>
      <c r="BL97">
        <f t="shared" si="130"/>
        <v>0.12126931377438854</v>
      </c>
      <c r="BM97">
        <f t="shared" si="131"/>
        <v>-0.24006089373036957</v>
      </c>
      <c r="BN97">
        <f t="shared" si="132"/>
        <v>0.34626719744307188</v>
      </c>
      <c r="BO97">
        <f t="shared" si="133"/>
        <v>0.65373280255692812</v>
      </c>
      <c r="BP97">
        <v>22627</v>
      </c>
      <c r="BQ97">
        <v>290.00000000000011</v>
      </c>
      <c r="BR97">
        <v>749.31</v>
      </c>
      <c r="BS97">
        <v>105</v>
      </c>
      <c r="BT97">
        <v>8039.48</v>
      </c>
      <c r="BU97">
        <v>748.58</v>
      </c>
      <c r="BV97">
        <v>0.73</v>
      </c>
      <c r="BW97">
        <v>300.00000000000011</v>
      </c>
      <c r="BX97">
        <v>19.399999999999999</v>
      </c>
      <c r="BY97">
        <v>770.31409308321713</v>
      </c>
      <c r="BZ97">
        <v>2.8564658024606202</v>
      </c>
      <c r="CA97">
        <v>-17.474095993887889</v>
      </c>
      <c r="CB97">
        <v>2.10567630440586</v>
      </c>
      <c r="CC97">
        <v>0.71094152919198395</v>
      </c>
      <c r="CD97">
        <v>-4.144093882091214E-3</v>
      </c>
      <c r="CE97">
        <v>289.99999999999989</v>
      </c>
      <c r="CF97">
        <v>747.81</v>
      </c>
      <c r="CG97">
        <v>655</v>
      </c>
      <c r="CH97">
        <v>8014.88</v>
      </c>
      <c r="CI97">
        <v>748.51</v>
      </c>
      <c r="CJ97">
        <v>-0.7</v>
      </c>
      <c r="CX97">
        <f t="shared" si="134"/>
        <v>1800.05</v>
      </c>
      <c r="CY97">
        <f t="shared" si="135"/>
        <v>1513.2269992626875</v>
      </c>
      <c r="CZ97">
        <f t="shared" si="136"/>
        <v>0.84065831463719765</v>
      </c>
      <c r="DA97">
        <f t="shared" si="137"/>
        <v>0.16087054724979144</v>
      </c>
      <c r="DB97">
        <v>6</v>
      </c>
      <c r="DC97">
        <v>0.5</v>
      </c>
      <c r="DD97" t="s">
        <v>421</v>
      </c>
      <c r="DE97">
        <v>2</v>
      </c>
      <c r="DF97">
        <v>1689015165.5</v>
      </c>
      <c r="DG97">
        <v>22.360700000000001</v>
      </c>
      <c r="DH97">
        <v>29.9316</v>
      </c>
      <c r="DI97">
        <v>29.300899999999999</v>
      </c>
      <c r="DJ97">
        <v>19.081299999999999</v>
      </c>
      <c r="DK97">
        <v>22.364799999999999</v>
      </c>
      <c r="DL97">
        <v>29.0365</v>
      </c>
      <c r="DM97">
        <v>500.04899999999998</v>
      </c>
      <c r="DN97">
        <v>99.166799999999995</v>
      </c>
      <c r="DO97">
        <v>0.100595</v>
      </c>
      <c r="DP97">
        <v>30.7286</v>
      </c>
      <c r="DQ97">
        <v>29.9968</v>
      </c>
      <c r="DR97">
        <v>999.9</v>
      </c>
      <c r="DS97">
        <v>0</v>
      </c>
      <c r="DT97">
        <v>0</v>
      </c>
      <c r="DU97">
        <v>9978.75</v>
      </c>
      <c r="DV97">
        <v>0</v>
      </c>
      <c r="DW97">
        <v>1571.48</v>
      </c>
      <c r="DX97">
        <v>-7.5708200000000003</v>
      </c>
      <c r="DY97">
        <v>23.035699999999999</v>
      </c>
      <c r="DZ97">
        <v>30.5138</v>
      </c>
      <c r="EA97">
        <v>10.2196</v>
      </c>
      <c r="EB97">
        <v>29.9316</v>
      </c>
      <c r="EC97">
        <v>19.081299999999999</v>
      </c>
      <c r="ED97">
        <v>2.9056799999999998</v>
      </c>
      <c r="EE97">
        <v>1.8922300000000001</v>
      </c>
      <c r="EF97">
        <v>23.4971</v>
      </c>
      <c r="EG97">
        <v>16.5703</v>
      </c>
      <c r="EH97">
        <v>1800.05</v>
      </c>
      <c r="EI97">
        <v>0.97799499999999995</v>
      </c>
      <c r="EJ97">
        <v>2.20051E-2</v>
      </c>
      <c r="EK97">
        <v>0</v>
      </c>
      <c r="EL97">
        <v>698.40200000000004</v>
      </c>
      <c r="EM97">
        <v>5.0011200000000002</v>
      </c>
      <c r="EN97">
        <v>13962.9</v>
      </c>
      <c r="EO97">
        <v>17211.400000000001</v>
      </c>
      <c r="EP97">
        <v>48.625</v>
      </c>
      <c r="EQ97">
        <v>50.125</v>
      </c>
      <c r="ER97">
        <v>49.625</v>
      </c>
      <c r="ES97">
        <v>49.25</v>
      </c>
      <c r="ET97">
        <v>49.375</v>
      </c>
      <c r="EU97">
        <v>1755.55</v>
      </c>
      <c r="EV97">
        <v>39.5</v>
      </c>
      <c r="EW97">
        <v>0</v>
      </c>
      <c r="EX97">
        <v>134.5999999046326</v>
      </c>
      <c r="EY97">
        <v>0</v>
      </c>
      <c r="EZ97">
        <v>698.42869230769236</v>
      </c>
      <c r="FA97">
        <v>-0.2910769271310808</v>
      </c>
      <c r="FB97">
        <v>21.4905982883541</v>
      </c>
      <c r="FC97">
        <v>13961.146153846161</v>
      </c>
      <c r="FD97">
        <v>15</v>
      </c>
      <c r="FE97">
        <v>1689015119.5</v>
      </c>
      <c r="FF97" t="s">
        <v>835</v>
      </c>
      <c r="FG97">
        <v>1689015111.5</v>
      </c>
      <c r="FH97">
        <v>1689015119.5</v>
      </c>
      <c r="FI97">
        <v>91</v>
      </c>
      <c r="FJ97">
        <v>0.17299999999999999</v>
      </c>
      <c r="FK97">
        <v>2E-3</v>
      </c>
      <c r="FL97">
        <v>1.7999999999999999E-2</v>
      </c>
      <c r="FM97">
        <v>0.17599999999999999</v>
      </c>
      <c r="FN97">
        <v>30</v>
      </c>
      <c r="FO97">
        <v>19</v>
      </c>
      <c r="FP97">
        <v>0.25</v>
      </c>
      <c r="FQ97">
        <v>0.02</v>
      </c>
      <c r="FR97">
        <v>6.1060706487975436</v>
      </c>
      <c r="FS97">
        <v>0.57430282508367481</v>
      </c>
      <c r="FT97">
        <v>6.3277671175739361E-2</v>
      </c>
      <c r="FU97">
        <v>1</v>
      </c>
      <c r="FV97">
        <v>0.70406454376560346</v>
      </c>
      <c r="FW97">
        <v>-6.2418459053855454E-3</v>
      </c>
      <c r="FX97">
        <v>1.6443431575894809E-3</v>
      </c>
      <c r="FY97">
        <v>1</v>
      </c>
      <c r="FZ97">
        <v>2</v>
      </c>
      <c r="GA97">
        <v>2</v>
      </c>
      <c r="GB97" t="s">
        <v>423</v>
      </c>
      <c r="GC97">
        <v>2.92415</v>
      </c>
      <c r="GD97">
        <v>2.8277100000000002</v>
      </c>
      <c r="GE97">
        <v>5.8753800000000004E-3</v>
      </c>
      <c r="GF97">
        <v>7.9152800000000002E-3</v>
      </c>
      <c r="GG97">
        <v>0.128467</v>
      </c>
      <c r="GH97">
        <v>9.5530299999999999E-2</v>
      </c>
      <c r="GI97">
        <v>32373.4</v>
      </c>
      <c r="GJ97">
        <v>26207.9</v>
      </c>
      <c r="GK97">
        <v>31342.2</v>
      </c>
      <c r="GL97">
        <v>26064.799999999999</v>
      </c>
      <c r="GM97">
        <v>37447.9</v>
      </c>
      <c r="GN97">
        <v>31977.1</v>
      </c>
      <c r="GO97">
        <v>46544</v>
      </c>
      <c r="GP97">
        <v>37895.9</v>
      </c>
      <c r="GQ97">
        <v>1.9157200000000001</v>
      </c>
      <c r="GR97">
        <v>1.70275</v>
      </c>
      <c r="GS97">
        <v>-3.6284299999999998E-2</v>
      </c>
      <c r="GT97">
        <v>0</v>
      </c>
      <c r="GU97">
        <v>30.587</v>
      </c>
      <c r="GV97">
        <v>999.9</v>
      </c>
      <c r="GW97">
        <v>38.4</v>
      </c>
      <c r="GX97">
        <v>46.2</v>
      </c>
      <c r="GY97">
        <v>39.696899999999999</v>
      </c>
      <c r="GZ97">
        <v>62.234900000000003</v>
      </c>
      <c r="HA97">
        <v>22.7163</v>
      </c>
      <c r="HB97">
        <v>1</v>
      </c>
      <c r="HC97">
        <v>0.56937000000000004</v>
      </c>
      <c r="HD97">
        <v>2.69116</v>
      </c>
      <c r="HE97">
        <v>20.2743</v>
      </c>
      <c r="HF97">
        <v>5.22403</v>
      </c>
      <c r="HG97">
        <v>12.059100000000001</v>
      </c>
      <c r="HH97">
        <v>4.9932999999999996</v>
      </c>
      <c r="HI97">
        <v>3.2919999999999998</v>
      </c>
      <c r="HJ97">
        <v>9999</v>
      </c>
      <c r="HK97">
        <v>9999</v>
      </c>
      <c r="HL97">
        <v>9999</v>
      </c>
      <c r="HM97">
        <v>465.3</v>
      </c>
      <c r="HN97">
        <v>1.8669100000000001</v>
      </c>
      <c r="HO97">
        <v>1.87036</v>
      </c>
      <c r="HP97">
        <v>1.8729800000000001</v>
      </c>
      <c r="HQ97">
        <v>1.8738600000000001</v>
      </c>
      <c r="HR97">
        <v>1.87059</v>
      </c>
      <c r="HS97">
        <v>1.869</v>
      </c>
      <c r="HT97">
        <v>1.8704700000000001</v>
      </c>
      <c r="HU97">
        <v>1.8734599999999999</v>
      </c>
      <c r="HV97">
        <v>0</v>
      </c>
      <c r="HW97">
        <v>0</v>
      </c>
      <c r="HX97">
        <v>0</v>
      </c>
      <c r="HY97">
        <v>0</v>
      </c>
      <c r="HZ97" t="s">
        <v>424</v>
      </c>
      <c r="IA97" t="s">
        <v>425</v>
      </c>
      <c r="IB97" t="s">
        <v>426</v>
      </c>
      <c r="IC97" t="s">
        <v>426</v>
      </c>
      <c r="ID97" t="s">
        <v>426</v>
      </c>
      <c r="IE97" t="s">
        <v>426</v>
      </c>
      <c r="IF97">
        <v>0</v>
      </c>
      <c r="IG97">
        <v>100</v>
      </c>
      <c r="IH97">
        <v>100</v>
      </c>
      <c r="II97">
        <v>-4.0000000000000001E-3</v>
      </c>
      <c r="IJ97">
        <v>0.26440000000000002</v>
      </c>
      <c r="IK97">
        <v>-7.0873084341414538E-2</v>
      </c>
      <c r="IL97">
        <v>3.042515301972944E-3</v>
      </c>
      <c r="IM97">
        <v>-2.5091471490852929E-6</v>
      </c>
      <c r="IN97">
        <v>8.1339755115576286E-10</v>
      </c>
      <c r="IO97">
        <v>0.26445467804419498</v>
      </c>
      <c r="IP97">
        <v>0</v>
      </c>
      <c r="IQ97">
        <v>0</v>
      </c>
      <c r="IR97">
        <v>0</v>
      </c>
      <c r="IS97">
        <v>3</v>
      </c>
      <c r="IT97">
        <v>2004</v>
      </c>
      <c r="IU97">
        <v>2</v>
      </c>
      <c r="IV97">
        <v>22</v>
      </c>
      <c r="IW97">
        <v>0.9</v>
      </c>
      <c r="IX97">
        <v>0.8</v>
      </c>
      <c r="IY97">
        <v>0.19653300000000001</v>
      </c>
      <c r="IZ97">
        <v>2.65991</v>
      </c>
      <c r="JA97">
        <v>1.64917</v>
      </c>
      <c r="JB97">
        <v>2.33887</v>
      </c>
      <c r="JC97">
        <v>1.5991200000000001</v>
      </c>
      <c r="JD97">
        <v>2.2766099999999998</v>
      </c>
      <c r="JE97">
        <v>47.9955</v>
      </c>
      <c r="JF97">
        <v>24.210100000000001</v>
      </c>
      <c r="JG97">
        <v>18</v>
      </c>
      <c r="JH97">
        <v>520.03800000000001</v>
      </c>
      <c r="JI97">
        <v>428.70600000000002</v>
      </c>
      <c r="JJ97">
        <v>27.546900000000001</v>
      </c>
      <c r="JK97">
        <v>34.157600000000002</v>
      </c>
      <c r="JL97">
        <v>30.0001</v>
      </c>
      <c r="JM97">
        <v>34.2607</v>
      </c>
      <c r="JN97">
        <v>34.267299999999999</v>
      </c>
      <c r="JO97">
        <v>3.9443800000000002</v>
      </c>
      <c r="JP97">
        <v>56.410800000000002</v>
      </c>
      <c r="JQ97">
        <v>0</v>
      </c>
      <c r="JR97">
        <v>27.552800000000001</v>
      </c>
      <c r="JS97">
        <v>30</v>
      </c>
      <c r="JT97">
        <v>19.004300000000001</v>
      </c>
      <c r="JU97">
        <v>99.339100000000002</v>
      </c>
      <c r="JV97">
        <v>99.100499999999997</v>
      </c>
    </row>
    <row r="98" spans="1:282" x14ac:dyDescent="0.25">
      <c r="A98">
        <v>82</v>
      </c>
      <c r="B98">
        <v>1689015292</v>
      </c>
      <c r="C98">
        <v>15696.900000095369</v>
      </c>
      <c r="D98" t="s">
        <v>836</v>
      </c>
      <c r="E98" t="s">
        <v>837</v>
      </c>
      <c r="F98" t="s">
        <v>414</v>
      </c>
      <c r="G98" t="s">
        <v>415</v>
      </c>
      <c r="H98" t="s">
        <v>31</v>
      </c>
      <c r="I98" t="s">
        <v>416</v>
      </c>
      <c r="J98" t="s">
        <v>417</v>
      </c>
      <c r="K98">
        <v>1689015292</v>
      </c>
      <c r="L98">
        <f t="shared" si="92"/>
        <v>8.8740117570078273E-3</v>
      </c>
      <c r="M98">
        <f t="shared" si="93"/>
        <v>8.8740117570078265</v>
      </c>
      <c r="N98">
        <f t="shared" si="94"/>
        <v>1.9959242793641974</v>
      </c>
      <c r="O98">
        <f t="shared" si="95"/>
        <v>7.4377599999999999</v>
      </c>
      <c r="P98">
        <f t="shared" si="96"/>
        <v>2.3084186423741393</v>
      </c>
      <c r="Q98">
        <f t="shared" si="97"/>
        <v>0.22913319122567774</v>
      </c>
      <c r="R98">
        <f t="shared" si="98"/>
        <v>0.73827062955008005</v>
      </c>
      <c r="S98">
        <f t="shared" si="99"/>
        <v>0.70903303880198099</v>
      </c>
      <c r="T98">
        <f t="shared" si="100"/>
        <v>2.9158529276652621</v>
      </c>
      <c r="U98">
        <f t="shared" si="101"/>
        <v>0.62537421675175842</v>
      </c>
      <c r="V98">
        <f t="shared" si="102"/>
        <v>0.39754970260688582</v>
      </c>
      <c r="W98">
        <f t="shared" si="103"/>
        <v>289.57183657697124</v>
      </c>
      <c r="X98">
        <f t="shared" si="104"/>
        <v>30.158584663121992</v>
      </c>
      <c r="Y98">
        <f t="shared" si="105"/>
        <v>29.999400000000001</v>
      </c>
      <c r="Z98">
        <f t="shared" si="106"/>
        <v>4.2603029445810465</v>
      </c>
      <c r="AA98">
        <f t="shared" si="107"/>
        <v>65.228340114798684</v>
      </c>
      <c r="AB98">
        <f t="shared" si="108"/>
        <v>2.9026347133824002</v>
      </c>
      <c r="AC98">
        <f t="shared" si="109"/>
        <v>4.4499594934868876</v>
      </c>
      <c r="AD98">
        <f t="shared" si="110"/>
        <v>1.3576682311986463</v>
      </c>
      <c r="AE98">
        <f t="shared" si="111"/>
        <v>-391.34391848404516</v>
      </c>
      <c r="AF98">
        <f t="shared" si="112"/>
        <v>119.53447169279417</v>
      </c>
      <c r="AG98">
        <f t="shared" si="113"/>
        <v>9.1495253471363327</v>
      </c>
      <c r="AH98">
        <f t="shared" si="114"/>
        <v>26.911915132856564</v>
      </c>
      <c r="AI98">
        <v>0</v>
      </c>
      <c r="AJ98">
        <v>0</v>
      </c>
      <c r="AK98">
        <f t="shared" si="115"/>
        <v>1</v>
      </c>
      <c r="AL98">
        <f t="shared" si="116"/>
        <v>0</v>
      </c>
      <c r="AM98">
        <f t="shared" si="117"/>
        <v>51814.697943271683</v>
      </c>
      <c r="AN98" t="s">
        <v>418</v>
      </c>
      <c r="AO98">
        <v>10021</v>
      </c>
      <c r="AP98">
        <v>177.53923076923081</v>
      </c>
      <c r="AQ98">
        <v>655.56</v>
      </c>
      <c r="AR98">
        <f t="shared" si="118"/>
        <v>0.72917928066198234</v>
      </c>
      <c r="AS98">
        <v>-3.1115002560329539</v>
      </c>
      <c r="AT98" t="s">
        <v>838</v>
      </c>
      <c r="AU98">
        <v>8034.55</v>
      </c>
      <c r="AV98">
        <v>707.10343999999998</v>
      </c>
      <c r="AW98">
        <v>767.23809681295586</v>
      </c>
      <c r="AX98">
        <f t="shared" si="119"/>
        <v>7.8378090273085177E-2</v>
      </c>
      <c r="AY98">
        <v>0.5</v>
      </c>
      <c r="AZ98">
        <f t="shared" si="120"/>
        <v>1513.2101992626792</v>
      </c>
      <c r="BA98">
        <f t="shared" si="121"/>
        <v>1.9959242793641974</v>
      </c>
      <c r="BB98">
        <f t="shared" si="122"/>
        <v>59.301262799981743</v>
      </c>
      <c r="BC98">
        <f t="shared" si="123"/>
        <v>3.3752247624855916E-3</v>
      </c>
      <c r="BD98">
        <f t="shared" si="124"/>
        <v>-0.14555859162476104</v>
      </c>
      <c r="BE98">
        <f t="shared" si="125"/>
        <v>184.82508794728662</v>
      </c>
      <c r="BF98" t="s">
        <v>839</v>
      </c>
      <c r="BG98">
        <v>598.12</v>
      </c>
      <c r="BH98">
        <f t="shared" si="126"/>
        <v>598.12</v>
      </c>
      <c r="BI98">
        <f t="shared" si="127"/>
        <v>0.22042452990207151</v>
      </c>
      <c r="BJ98">
        <f t="shared" si="128"/>
        <v>0.35557789465585488</v>
      </c>
      <c r="BK98">
        <f t="shared" si="129"/>
        <v>-1.9442565601141371</v>
      </c>
      <c r="BL98">
        <f t="shared" si="130"/>
        <v>0.10197519492685782</v>
      </c>
      <c r="BM98">
        <f t="shared" si="131"/>
        <v>-0.23362603468604151</v>
      </c>
      <c r="BN98">
        <f t="shared" si="132"/>
        <v>0.30077388727108995</v>
      </c>
      <c r="BO98">
        <f t="shared" si="133"/>
        <v>0.69922611272891011</v>
      </c>
      <c r="BP98">
        <v>22629</v>
      </c>
      <c r="BQ98">
        <v>290.00000000000011</v>
      </c>
      <c r="BR98">
        <v>747.47</v>
      </c>
      <c r="BS98">
        <v>155</v>
      </c>
      <c r="BT98">
        <v>8034.55</v>
      </c>
      <c r="BU98">
        <v>746.49</v>
      </c>
      <c r="BV98">
        <v>0.98</v>
      </c>
      <c r="BW98">
        <v>300.00000000000011</v>
      </c>
      <c r="BX98">
        <v>19.399999999999999</v>
      </c>
      <c r="BY98">
        <v>767.23809681295586</v>
      </c>
      <c r="BZ98">
        <v>2.821771184253528</v>
      </c>
      <c r="CA98">
        <v>-16.66709804036887</v>
      </c>
      <c r="CB98">
        <v>2.0800837288709451</v>
      </c>
      <c r="CC98">
        <v>0.69632371816763905</v>
      </c>
      <c r="CD98">
        <v>-4.1440578420467288E-3</v>
      </c>
      <c r="CE98">
        <v>289.99999999999989</v>
      </c>
      <c r="CF98">
        <v>745.61</v>
      </c>
      <c r="CG98">
        <v>835</v>
      </c>
      <c r="CH98">
        <v>8010.33</v>
      </c>
      <c r="CI98">
        <v>746.43</v>
      </c>
      <c r="CJ98">
        <v>-0.82</v>
      </c>
      <c r="CX98">
        <f t="shared" si="134"/>
        <v>1800.03</v>
      </c>
      <c r="CY98">
        <f t="shared" si="135"/>
        <v>1513.2101992626792</v>
      </c>
      <c r="CZ98">
        <f t="shared" si="136"/>
        <v>0.84065832195167822</v>
      </c>
      <c r="DA98">
        <f t="shared" si="137"/>
        <v>0.16087056136673902</v>
      </c>
      <c r="DB98">
        <v>6</v>
      </c>
      <c r="DC98">
        <v>0.5</v>
      </c>
      <c r="DD98" t="s">
        <v>421</v>
      </c>
      <c r="DE98">
        <v>2</v>
      </c>
      <c r="DF98">
        <v>1689015292</v>
      </c>
      <c r="DG98">
        <v>7.4377599999999999</v>
      </c>
      <c r="DH98">
        <v>9.9118300000000001</v>
      </c>
      <c r="DI98">
        <v>29.242799999999999</v>
      </c>
      <c r="DJ98">
        <v>18.906400000000001</v>
      </c>
      <c r="DK98">
        <v>7.2510700000000003</v>
      </c>
      <c r="DL98">
        <v>28.983699999999999</v>
      </c>
      <c r="DM98">
        <v>500.04899999999998</v>
      </c>
      <c r="DN98">
        <v>99.159800000000004</v>
      </c>
      <c r="DO98">
        <v>0.100008</v>
      </c>
      <c r="DP98">
        <v>30.759799999999998</v>
      </c>
      <c r="DQ98">
        <v>29.999400000000001</v>
      </c>
      <c r="DR98">
        <v>999.9</v>
      </c>
      <c r="DS98">
        <v>0</v>
      </c>
      <c r="DT98">
        <v>0</v>
      </c>
      <c r="DU98">
        <v>10006.200000000001</v>
      </c>
      <c r="DV98">
        <v>0</v>
      </c>
      <c r="DW98">
        <v>1627.16</v>
      </c>
      <c r="DX98">
        <v>-2.4740700000000002</v>
      </c>
      <c r="DY98">
        <v>7.66181</v>
      </c>
      <c r="DZ98">
        <v>10.1028</v>
      </c>
      <c r="EA98">
        <v>10.3363</v>
      </c>
      <c r="EB98">
        <v>9.9118300000000001</v>
      </c>
      <c r="EC98">
        <v>18.906400000000001</v>
      </c>
      <c r="ED98">
        <v>2.8997099999999998</v>
      </c>
      <c r="EE98">
        <v>1.87476</v>
      </c>
      <c r="EF98">
        <v>23.463000000000001</v>
      </c>
      <c r="EG98">
        <v>16.424499999999998</v>
      </c>
      <c r="EH98">
        <v>1800.03</v>
      </c>
      <c r="EI98">
        <v>0.97799499999999995</v>
      </c>
      <c r="EJ98">
        <v>2.20051E-2</v>
      </c>
      <c r="EK98">
        <v>0</v>
      </c>
      <c r="EL98">
        <v>706.81700000000001</v>
      </c>
      <c r="EM98">
        <v>5.0011200000000002</v>
      </c>
      <c r="EN98">
        <v>14129</v>
      </c>
      <c r="EO98">
        <v>17211.2</v>
      </c>
      <c r="EP98">
        <v>48.561999999999998</v>
      </c>
      <c r="EQ98">
        <v>50.125</v>
      </c>
      <c r="ER98">
        <v>49.625</v>
      </c>
      <c r="ES98">
        <v>49.186999999999998</v>
      </c>
      <c r="ET98">
        <v>49.061999999999998</v>
      </c>
      <c r="EU98">
        <v>1755.53</v>
      </c>
      <c r="EV98">
        <v>39.5</v>
      </c>
      <c r="EW98">
        <v>0</v>
      </c>
      <c r="EX98">
        <v>124.4000000953674</v>
      </c>
      <c r="EY98">
        <v>0</v>
      </c>
      <c r="EZ98">
        <v>707.10343999999998</v>
      </c>
      <c r="FA98">
        <v>-1.252230759570347</v>
      </c>
      <c r="FB98">
        <v>-48.315384526984822</v>
      </c>
      <c r="FC98">
        <v>14136.544</v>
      </c>
      <c r="FD98">
        <v>15</v>
      </c>
      <c r="FE98">
        <v>1689015248.5</v>
      </c>
      <c r="FF98" t="s">
        <v>840</v>
      </c>
      <c r="FG98">
        <v>1689015248.5</v>
      </c>
      <c r="FH98">
        <v>1689015247</v>
      </c>
      <c r="FI98">
        <v>92</v>
      </c>
      <c r="FJ98">
        <v>0.23599999999999999</v>
      </c>
      <c r="FK98">
        <v>-5.0000000000000001E-3</v>
      </c>
      <c r="FL98">
        <v>0.19400000000000001</v>
      </c>
      <c r="FM98">
        <v>0.17199999999999999</v>
      </c>
      <c r="FN98">
        <v>10</v>
      </c>
      <c r="FO98">
        <v>19</v>
      </c>
      <c r="FP98">
        <v>0.44</v>
      </c>
      <c r="FQ98">
        <v>0.01</v>
      </c>
      <c r="FR98">
        <v>1.97332525278702</v>
      </c>
      <c r="FS98">
        <v>-8.9166336932705148E-2</v>
      </c>
      <c r="FT98">
        <v>9.0309373080203564E-2</v>
      </c>
      <c r="FU98">
        <v>1</v>
      </c>
      <c r="FV98">
        <v>0.71442630755006276</v>
      </c>
      <c r="FW98">
        <v>-4.6182590517935947E-2</v>
      </c>
      <c r="FX98">
        <v>3.4982707530650291E-3</v>
      </c>
      <c r="FY98">
        <v>1</v>
      </c>
      <c r="FZ98">
        <v>2</v>
      </c>
      <c r="GA98">
        <v>2</v>
      </c>
      <c r="GB98" t="s">
        <v>423</v>
      </c>
      <c r="GC98">
        <v>2.9241000000000001</v>
      </c>
      <c r="GD98">
        <v>2.8273600000000001</v>
      </c>
      <c r="GE98">
        <v>1.9045100000000001E-3</v>
      </c>
      <c r="GF98">
        <v>2.6244200000000001E-3</v>
      </c>
      <c r="GG98">
        <v>0.12828800000000001</v>
      </c>
      <c r="GH98">
        <v>9.4891000000000003E-2</v>
      </c>
      <c r="GI98">
        <v>32499.200000000001</v>
      </c>
      <c r="GJ98">
        <v>26344.9</v>
      </c>
      <c r="GK98">
        <v>31339.3</v>
      </c>
      <c r="GL98">
        <v>26062.6</v>
      </c>
      <c r="GM98">
        <v>37452.300000000003</v>
      </c>
      <c r="GN98">
        <v>31997.1</v>
      </c>
      <c r="GO98">
        <v>46539.9</v>
      </c>
      <c r="GP98">
        <v>37892.800000000003</v>
      </c>
      <c r="GQ98">
        <v>1.91537</v>
      </c>
      <c r="GR98">
        <v>1.7018</v>
      </c>
      <c r="GS98">
        <v>-2.9824699999999999E-2</v>
      </c>
      <c r="GT98">
        <v>0</v>
      </c>
      <c r="GU98">
        <v>30.4846</v>
      </c>
      <c r="GV98">
        <v>999.9</v>
      </c>
      <c r="GW98">
        <v>38.4</v>
      </c>
      <c r="GX98">
        <v>46.3</v>
      </c>
      <c r="GY98">
        <v>39.901499999999999</v>
      </c>
      <c r="GZ98">
        <v>62.284999999999997</v>
      </c>
      <c r="HA98">
        <v>22.475999999999999</v>
      </c>
      <c r="HB98">
        <v>1</v>
      </c>
      <c r="HC98">
        <v>0.57207799999999998</v>
      </c>
      <c r="HD98">
        <v>2.2312599999999998</v>
      </c>
      <c r="HE98">
        <v>20.280999999999999</v>
      </c>
      <c r="HF98">
        <v>5.2225299999999999</v>
      </c>
      <c r="HG98">
        <v>12.058</v>
      </c>
      <c r="HH98">
        <v>4.9929500000000004</v>
      </c>
      <c r="HI98">
        <v>3.2919999999999998</v>
      </c>
      <c r="HJ98">
        <v>9999</v>
      </c>
      <c r="HK98">
        <v>9999</v>
      </c>
      <c r="HL98">
        <v>9999</v>
      </c>
      <c r="HM98">
        <v>465.4</v>
      </c>
      <c r="HN98">
        <v>1.8669100000000001</v>
      </c>
      <c r="HO98">
        <v>1.8703700000000001</v>
      </c>
      <c r="HP98">
        <v>1.8729800000000001</v>
      </c>
      <c r="HQ98">
        <v>1.87385</v>
      </c>
      <c r="HR98">
        <v>1.8706100000000001</v>
      </c>
      <c r="HS98">
        <v>1.86903</v>
      </c>
      <c r="HT98">
        <v>1.8704400000000001</v>
      </c>
      <c r="HU98">
        <v>1.87347</v>
      </c>
      <c r="HV98">
        <v>0</v>
      </c>
      <c r="HW98">
        <v>0</v>
      </c>
      <c r="HX98">
        <v>0</v>
      </c>
      <c r="HY98">
        <v>0</v>
      </c>
      <c r="HZ98" t="s">
        <v>424</v>
      </c>
      <c r="IA98" t="s">
        <v>425</v>
      </c>
      <c r="IB98" t="s">
        <v>426</v>
      </c>
      <c r="IC98" t="s">
        <v>426</v>
      </c>
      <c r="ID98" t="s">
        <v>426</v>
      </c>
      <c r="IE98" t="s">
        <v>426</v>
      </c>
      <c r="IF98">
        <v>0</v>
      </c>
      <c r="IG98">
        <v>100</v>
      </c>
      <c r="IH98">
        <v>100</v>
      </c>
      <c r="II98">
        <v>0.187</v>
      </c>
      <c r="IJ98">
        <v>0.2591</v>
      </c>
      <c r="IK98">
        <v>0.16475596636668</v>
      </c>
      <c r="IL98">
        <v>3.042515301972944E-3</v>
      </c>
      <c r="IM98">
        <v>-2.5091471490852929E-6</v>
      </c>
      <c r="IN98">
        <v>8.1339755115576286E-10</v>
      </c>
      <c r="IO98">
        <v>0.25905341222879941</v>
      </c>
      <c r="IP98">
        <v>0</v>
      </c>
      <c r="IQ98">
        <v>0</v>
      </c>
      <c r="IR98">
        <v>0</v>
      </c>
      <c r="IS98">
        <v>3</v>
      </c>
      <c r="IT98">
        <v>2004</v>
      </c>
      <c r="IU98">
        <v>2</v>
      </c>
      <c r="IV98">
        <v>22</v>
      </c>
      <c r="IW98">
        <v>0.7</v>
      </c>
      <c r="IX98">
        <v>0.8</v>
      </c>
      <c r="IY98">
        <v>0.147705</v>
      </c>
      <c r="IZ98">
        <v>2.6684600000000001</v>
      </c>
      <c r="JA98">
        <v>1.64917</v>
      </c>
      <c r="JB98">
        <v>2.33765</v>
      </c>
      <c r="JC98">
        <v>1.5991200000000001</v>
      </c>
      <c r="JD98">
        <v>2.34253</v>
      </c>
      <c r="JE98">
        <v>47.9955</v>
      </c>
      <c r="JF98">
        <v>24.218800000000002</v>
      </c>
      <c r="JG98">
        <v>18</v>
      </c>
      <c r="JH98">
        <v>520.01900000000001</v>
      </c>
      <c r="JI98">
        <v>428.25700000000001</v>
      </c>
      <c r="JJ98">
        <v>27.8994</v>
      </c>
      <c r="JK98">
        <v>34.194200000000002</v>
      </c>
      <c r="JL98">
        <v>30.0001</v>
      </c>
      <c r="JM98">
        <v>34.288499999999999</v>
      </c>
      <c r="JN98">
        <v>34.290700000000001</v>
      </c>
      <c r="JO98">
        <v>2.9843799999999998</v>
      </c>
      <c r="JP98">
        <v>57.581600000000002</v>
      </c>
      <c r="JQ98">
        <v>0</v>
      </c>
      <c r="JR98">
        <v>27.899899999999999</v>
      </c>
      <c r="JS98">
        <v>10</v>
      </c>
      <c r="JT98">
        <v>18.831900000000001</v>
      </c>
      <c r="JU98">
        <v>99.33</v>
      </c>
      <c r="JV98">
        <v>99.092299999999994</v>
      </c>
    </row>
    <row r="99" spans="1:282" x14ac:dyDescent="0.25">
      <c r="A99">
        <v>83</v>
      </c>
      <c r="B99">
        <v>1689015481.5</v>
      </c>
      <c r="C99">
        <v>15886.400000095369</v>
      </c>
      <c r="D99" t="s">
        <v>841</v>
      </c>
      <c r="E99" t="s">
        <v>842</v>
      </c>
      <c r="F99" t="s">
        <v>414</v>
      </c>
      <c r="G99" t="s">
        <v>415</v>
      </c>
      <c r="H99" t="s">
        <v>31</v>
      </c>
      <c r="I99" t="s">
        <v>416</v>
      </c>
      <c r="J99" t="s">
        <v>417</v>
      </c>
      <c r="K99">
        <v>1689015481.5</v>
      </c>
      <c r="L99">
        <f t="shared" si="92"/>
        <v>8.4679536445793537E-3</v>
      </c>
      <c r="M99">
        <f t="shared" si="93"/>
        <v>8.4679536445793531</v>
      </c>
      <c r="N99">
        <f t="shared" si="94"/>
        <v>53.875624563820985</v>
      </c>
      <c r="O99">
        <f t="shared" si="95"/>
        <v>331.95299999999997</v>
      </c>
      <c r="P99">
        <f t="shared" si="96"/>
        <v>181.7628141177448</v>
      </c>
      <c r="Q99">
        <f t="shared" si="97"/>
        <v>18.041136996987682</v>
      </c>
      <c r="R99">
        <f t="shared" si="98"/>
        <v>32.9484860730729</v>
      </c>
      <c r="S99">
        <f t="shared" si="99"/>
        <v>0.66102324600454843</v>
      </c>
      <c r="T99">
        <f t="shared" si="100"/>
        <v>2.9147138044072456</v>
      </c>
      <c r="U99">
        <f t="shared" si="101"/>
        <v>0.58765985823155442</v>
      </c>
      <c r="V99">
        <f t="shared" si="102"/>
        <v>0.37319805608324708</v>
      </c>
      <c r="W99">
        <f t="shared" si="103"/>
        <v>289.59737257709776</v>
      </c>
      <c r="X99">
        <f t="shared" si="104"/>
        <v>30.146500632560279</v>
      </c>
      <c r="Y99">
        <f t="shared" si="105"/>
        <v>29.990300000000001</v>
      </c>
      <c r="Z99">
        <f t="shared" si="106"/>
        <v>4.2580765962408389</v>
      </c>
      <c r="AA99">
        <f t="shared" si="107"/>
        <v>65.139891174878244</v>
      </c>
      <c r="AB99">
        <f t="shared" si="108"/>
        <v>2.8792518028302596</v>
      </c>
      <c r="AC99">
        <f t="shared" si="109"/>
        <v>4.4201053316169299</v>
      </c>
      <c r="AD99">
        <f t="shared" si="110"/>
        <v>1.3788247934105793</v>
      </c>
      <c r="AE99">
        <f t="shared" si="111"/>
        <v>-373.43675572594952</v>
      </c>
      <c r="AF99">
        <f t="shared" si="112"/>
        <v>102.40686759114139</v>
      </c>
      <c r="AG99">
        <f t="shared" si="113"/>
        <v>7.8366685342498146</v>
      </c>
      <c r="AH99">
        <f t="shared" si="114"/>
        <v>26.404152976539464</v>
      </c>
      <c r="AI99">
        <v>0</v>
      </c>
      <c r="AJ99">
        <v>0</v>
      </c>
      <c r="AK99">
        <f t="shared" si="115"/>
        <v>1</v>
      </c>
      <c r="AL99">
        <f t="shared" si="116"/>
        <v>0</v>
      </c>
      <c r="AM99">
        <f t="shared" si="117"/>
        <v>51802.377359000086</v>
      </c>
      <c r="AN99" t="s">
        <v>418</v>
      </c>
      <c r="AO99">
        <v>10021</v>
      </c>
      <c r="AP99">
        <v>177.53923076923081</v>
      </c>
      <c r="AQ99">
        <v>655.56</v>
      </c>
      <c r="AR99">
        <f t="shared" si="118"/>
        <v>0.72917928066198234</v>
      </c>
      <c r="AS99">
        <v>-3.1115002560329539</v>
      </c>
      <c r="AT99" t="s">
        <v>843</v>
      </c>
      <c r="AU99">
        <v>8027.31</v>
      </c>
      <c r="AV99">
        <v>704.50967999999989</v>
      </c>
      <c r="AW99">
        <v>1157.924224105969</v>
      </c>
      <c r="AX99">
        <f t="shared" si="119"/>
        <v>0.39157531612748631</v>
      </c>
      <c r="AY99">
        <v>0.5</v>
      </c>
      <c r="AZ99">
        <f t="shared" si="120"/>
        <v>1513.3445992627449</v>
      </c>
      <c r="BA99">
        <f t="shared" si="121"/>
        <v>53.875624563820985</v>
      </c>
      <c r="BB99">
        <f t="shared" si="122"/>
        <v>296.29419493306671</v>
      </c>
      <c r="BC99">
        <f t="shared" si="123"/>
        <v>3.7656410078455577E-2</v>
      </c>
      <c r="BD99">
        <f t="shared" si="124"/>
        <v>-0.43384896321159827</v>
      </c>
      <c r="BE99">
        <f t="shared" si="125"/>
        <v>201.17652451671967</v>
      </c>
      <c r="BF99" t="s">
        <v>844</v>
      </c>
      <c r="BG99">
        <v>560.45000000000005</v>
      </c>
      <c r="BH99">
        <f t="shared" si="126"/>
        <v>560.45000000000005</v>
      </c>
      <c r="BI99">
        <f t="shared" si="127"/>
        <v>0.51598732599905461</v>
      </c>
      <c r="BJ99">
        <f t="shared" si="128"/>
        <v>0.75888553147951499</v>
      </c>
      <c r="BK99">
        <f t="shared" si="129"/>
        <v>-5.2819285470084063</v>
      </c>
      <c r="BL99">
        <f t="shared" si="130"/>
        <v>0.46248621428075276</v>
      </c>
      <c r="BM99">
        <f t="shared" si="131"/>
        <v>-1.0509255171367833</v>
      </c>
      <c r="BN99">
        <f t="shared" si="132"/>
        <v>0.60370695845895872</v>
      </c>
      <c r="BO99">
        <f t="shared" si="133"/>
        <v>0.39629304154104128</v>
      </c>
      <c r="BP99">
        <v>22631</v>
      </c>
      <c r="BQ99">
        <v>290.00000000000011</v>
      </c>
      <c r="BR99">
        <v>970.43</v>
      </c>
      <c r="BS99">
        <v>255</v>
      </c>
      <c r="BT99">
        <v>8027.31</v>
      </c>
      <c r="BU99">
        <v>975.36</v>
      </c>
      <c r="BV99">
        <v>-4.93</v>
      </c>
      <c r="BW99">
        <v>300.00000000000011</v>
      </c>
      <c r="BX99">
        <v>19.399999999999999</v>
      </c>
      <c r="BY99">
        <v>1157.924224105969</v>
      </c>
      <c r="BZ99">
        <v>4.8830041320668442</v>
      </c>
      <c r="CA99">
        <v>-146.54765759327009</v>
      </c>
      <c r="CB99">
        <v>3.59973421625046</v>
      </c>
      <c r="CC99">
        <v>0.98338634021164362</v>
      </c>
      <c r="CD99">
        <v>-4.1450324805339294E-3</v>
      </c>
      <c r="CE99">
        <v>289.99999999999989</v>
      </c>
      <c r="CF99">
        <v>958.15</v>
      </c>
      <c r="CG99">
        <v>645</v>
      </c>
      <c r="CH99">
        <v>8015.5</v>
      </c>
      <c r="CI99">
        <v>975.09</v>
      </c>
      <c r="CJ99">
        <v>-16.940000000000001</v>
      </c>
      <c r="CX99">
        <f t="shared" si="134"/>
        <v>1800.19</v>
      </c>
      <c r="CY99">
        <f t="shared" si="135"/>
        <v>1513.3445992627449</v>
      </c>
      <c r="CZ99">
        <f t="shared" si="136"/>
        <v>0.84065826344038397</v>
      </c>
      <c r="DA99">
        <f t="shared" si="137"/>
        <v>0.16087044843994119</v>
      </c>
      <c r="DB99">
        <v>6</v>
      </c>
      <c r="DC99">
        <v>0.5</v>
      </c>
      <c r="DD99" t="s">
        <v>421</v>
      </c>
      <c r="DE99">
        <v>2</v>
      </c>
      <c r="DF99">
        <v>1689015481.5</v>
      </c>
      <c r="DG99">
        <v>331.95299999999997</v>
      </c>
      <c r="DH99">
        <v>399.97500000000002</v>
      </c>
      <c r="DI99">
        <v>29.008199999999999</v>
      </c>
      <c r="DJ99">
        <v>19.1417</v>
      </c>
      <c r="DK99">
        <v>331.24299999999999</v>
      </c>
      <c r="DL99">
        <v>28.736599999999999</v>
      </c>
      <c r="DM99">
        <v>500.01400000000001</v>
      </c>
      <c r="DN99">
        <v>99.156700000000001</v>
      </c>
      <c r="DO99">
        <v>9.9779300000000001E-2</v>
      </c>
      <c r="DP99">
        <v>30.641999999999999</v>
      </c>
      <c r="DQ99">
        <v>29.990300000000001</v>
      </c>
      <c r="DR99">
        <v>999.9</v>
      </c>
      <c r="DS99">
        <v>0</v>
      </c>
      <c r="DT99">
        <v>0</v>
      </c>
      <c r="DU99">
        <v>10000</v>
      </c>
      <c r="DV99">
        <v>0</v>
      </c>
      <c r="DW99">
        <v>1588.37</v>
      </c>
      <c r="DX99">
        <v>-68.022199999999998</v>
      </c>
      <c r="DY99">
        <v>341.87</v>
      </c>
      <c r="DZ99">
        <v>407.78100000000001</v>
      </c>
      <c r="EA99">
        <v>9.8665099999999999</v>
      </c>
      <c r="EB99">
        <v>399.97500000000002</v>
      </c>
      <c r="EC99">
        <v>19.1417</v>
      </c>
      <c r="ED99">
        <v>2.87635</v>
      </c>
      <c r="EE99">
        <v>1.89802</v>
      </c>
      <c r="EF99">
        <v>23.329000000000001</v>
      </c>
      <c r="EG99">
        <v>16.618300000000001</v>
      </c>
      <c r="EH99">
        <v>1800.19</v>
      </c>
      <c r="EI99">
        <v>0.97799899999999995</v>
      </c>
      <c r="EJ99">
        <v>2.2001400000000001E-2</v>
      </c>
      <c r="EK99">
        <v>0</v>
      </c>
      <c r="EL99">
        <v>705.46199999999999</v>
      </c>
      <c r="EM99">
        <v>5.0011200000000002</v>
      </c>
      <c r="EN99">
        <v>14169.6</v>
      </c>
      <c r="EO99">
        <v>17212.8</v>
      </c>
      <c r="EP99">
        <v>48.936999999999998</v>
      </c>
      <c r="EQ99">
        <v>50.625</v>
      </c>
      <c r="ER99">
        <v>50</v>
      </c>
      <c r="ES99">
        <v>49.75</v>
      </c>
      <c r="ET99">
        <v>49.686999999999998</v>
      </c>
      <c r="EU99">
        <v>1755.69</v>
      </c>
      <c r="EV99">
        <v>39.5</v>
      </c>
      <c r="EW99">
        <v>0</v>
      </c>
      <c r="EX99">
        <v>187.4000000953674</v>
      </c>
      <c r="EY99">
        <v>0</v>
      </c>
      <c r="EZ99">
        <v>704.50967999999989</v>
      </c>
      <c r="FA99">
        <v>6.1038461376800299</v>
      </c>
      <c r="FB99">
        <v>149.4692305256458</v>
      </c>
      <c r="FC99">
        <v>14146.276</v>
      </c>
      <c r="FD99">
        <v>15</v>
      </c>
      <c r="FE99">
        <v>1689015406</v>
      </c>
      <c r="FF99" t="s">
        <v>845</v>
      </c>
      <c r="FG99">
        <v>1689015406</v>
      </c>
      <c r="FH99">
        <v>1689015406</v>
      </c>
      <c r="FI99">
        <v>93</v>
      </c>
      <c r="FJ99">
        <v>-0.217</v>
      </c>
      <c r="FK99">
        <v>1.2E-2</v>
      </c>
      <c r="FL99">
        <v>0.81499999999999995</v>
      </c>
      <c r="FM99">
        <v>0.192</v>
      </c>
      <c r="FN99">
        <v>400</v>
      </c>
      <c r="FO99">
        <v>19</v>
      </c>
      <c r="FP99">
        <v>0.11</v>
      </c>
      <c r="FQ99">
        <v>0.01</v>
      </c>
      <c r="FR99">
        <v>53.609295098850957</v>
      </c>
      <c r="FS99">
        <v>1.5815361169938431</v>
      </c>
      <c r="FT99">
        <v>0.14729036765811979</v>
      </c>
      <c r="FU99">
        <v>0</v>
      </c>
      <c r="FV99">
        <v>0.66330768329073297</v>
      </c>
      <c r="FW99">
        <v>-7.906981902568196E-3</v>
      </c>
      <c r="FX99">
        <v>1.7901252777745009E-3</v>
      </c>
      <c r="FY99">
        <v>1</v>
      </c>
      <c r="FZ99">
        <v>1</v>
      </c>
      <c r="GA99">
        <v>2</v>
      </c>
      <c r="GB99" t="s">
        <v>462</v>
      </c>
      <c r="GC99">
        <v>2.92381</v>
      </c>
      <c r="GD99">
        <v>2.82708</v>
      </c>
      <c r="GE99">
        <v>7.5688000000000005E-2</v>
      </c>
      <c r="GF99">
        <v>8.8017999999999999E-2</v>
      </c>
      <c r="GG99">
        <v>0.12748999999999999</v>
      </c>
      <c r="GH99">
        <v>9.5703200000000002E-2</v>
      </c>
      <c r="GI99">
        <v>30087.7</v>
      </c>
      <c r="GJ99">
        <v>24085.9</v>
      </c>
      <c r="GK99">
        <v>31327.1</v>
      </c>
      <c r="GL99">
        <v>26055.8</v>
      </c>
      <c r="GM99">
        <v>37474.5</v>
      </c>
      <c r="GN99">
        <v>31961.599999999999</v>
      </c>
      <c r="GO99">
        <v>46522.5</v>
      </c>
      <c r="GP99">
        <v>37883.199999999997</v>
      </c>
      <c r="GQ99">
        <v>1.9130499999999999</v>
      </c>
      <c r="GR99">
        <v>1.7003999999999999</v>
      </c>
      <c r="GS99">
        <v>-5.6751099999999999E-2</v>
      </c>
      <c r="GT99">
        <v>0</v>
      </c>
      <c r="GU99">
        <v>30.9131</v>
      </c>
      <c r="GV99">
        <v>999.9</v>
      </c>
      <c r="GW99">
        <v>38.4</v>
      </c>
      <c r="GX99">
        <v>46.3</v>
      </c>
      <c r="GY99">
        <v>39.904899999999998</v>
      </c>
      <c r="GZ99">
        <v>62.195</v>
      </c>
      <c r="HA99">
        <v>22.5321</v>
      </c>
      <c r="HB99">
        <v>1</v>
      </c>
      <c r="HC99">
        <v>0.58974300000000002</v>
      </c>
      <c r="HD99">
        <v>2.7048199999999998</v>
      </c>
      <c r="HE99">
        <v>20.274000000000001</v>
      </c>
      <c r="HF99">
        <v>5.2232799999999999</v>
      </c>
      <c r="HG99">
        <v>12.058199999999999</v>
      </c>
      <c r="HH99">
        <v>4.9930000000000003</v>
      </c>
      <c r="HI99">
        <v>3.2919999999999998</v>
      </c>
      <c r="HJ99">
        <v>9999</v>
      </c>
      <c r="HK99">
        <v>9999</v>
      </c>
      <c r="HL99">
        <v>9999</v>
      </c>
      <c r="HM99">
        <v>465.4</v>
      </c>
      <c r="HN99">
        <v>1.8669100000000001</v>
      </c>
      <c r="HO99">
        <v>1.87039</v>
      </c>
      <c r="HP99">
        <v>1.8730199999999999</v>
      </c>
      <c r="HQ99">
        <v>1.87388</v>
      </c>
      <c r="HR99">
        <v>1.8706400000000001</v>
      </c>
      <c r="HS99">
        <v>1.86904</v>
      </c>
      <c r="HT99">
        <v>1.8705000000000001</v>
      </c>
      <c r="HU99">
        <v>1.87347</v>
      </c>
      <c r="HV99">
        <v>0</v>
      </c>
      <c r="HW99">
        <v>0</v>
      </c>
      <c r="HX99">
        <v>0</v>
      </c>
      <c r="HY99">
        <v>0</v>
      </c>
      <c r="HZ99" t="s">
        <v>424</v>
      </c>
      <c r="IA99" t="s">
        <v>425</v>
      </c>
      <c r="IB99" t="s">
        <v>426</v>
      </c>
      <c r="IC99" t="s">
        <v>426</v>
      </c>
      <c r="ID99" t="s">
        <v>426</v>
      </c>
      <c r="IE99" t="s">
        <v>426</v>
      </c>
      <c r="IF99">
        <v>0</v>
      </c>
      <c r="IG99">
        <v>100</v>
      </c>
      <c r="IH99">
        <v>100</v>
      </c>
      <c r="II99">
        <v>0.71</v>
      </c>
      <c r="IJ99">
        <v>0.27160000000000001</v>
      </c>
      <c r="IK99">
        <v>-5.1948501944547941E-2</v>
      </c>
      <c r="IL99">
        <v>3.042515301972944E-3</v>
      </c>
      <c r="IM99">
        <v>-2.5091471490852929E-6</v>
      </c>
      <c r="IN99">
        <v>8.1339755115576286E-10</v>
      </c>
      <c r="IO99">
        <v>0.27155000607326818</v>
      </c>
      <c r="IP99">
        <v>0</v>
      </c>
      <c r="IQ99">
        <v>0</v>
      </c>
      <c r="IR99">
        <v>0</v>
      </c>
      <c r="IS99">
        <v>3</v>
      </c>
      <c r="IT99">
        <v>2004</v>
      </c>
      <c r="IU99">
        <v>2</v>
      </c>
      <c r="IV99">
        <v>22</v>
      </c>
      <c r="IW99">
        <v>1.3</v>
      </c>
      <c r="IX99">
        <v>1.3</v>
      </c>
      <c r="IY99">
        <v>1.02051</v>
      </c>
      <c r="IZ99">
        <v>2.63062</v>
      </c>
      <c r="JA99">
        <v>1.64917</v>
      </c>
      <c r="JB99">
        <v>2.33887</v>
      </c>
      <c r="JC99">
        <v>1.5991200000000001</v>
      </c>
      <c r="JD99">
        <v>2.2314500000000002</v>
      </c>
      <c r="JE99">
        <v>48.1785</v>
      </c>
      <c r="JF99">
        <v>24.210100000000001</v>
      </c>
      <c r="JG99">
        <v>18</v>
      </c>
      <c r="JH99">
        <v>519.47</v>
      </c>
      <c r="JI99">
        <v>428.23500000000001</v>
      </c>
      <c r="JJ99">
        <v>27.519200000000001</v>
      </c>
      <c r="JK99">
        <v>34.374499999999998</v>
      </c>
      <c r="JL99">
        <v>30.000800000000002</v>
      </c>
      <c r="JM99">
        <v>34.418799999999997</v>
      </c>
      <c r="JN99">
        <v>34.417400000000001</v>
      </c>
      <c r="JO99">
        <v>20.4299</v>
      </c>
      <c r="JP99">
        <v>57.386899999999997</v>
      </c>
      <c r="JQ99">
        <v>0</v>
      </c>
      <c r="JR99">
        <v>27.514600000000002</v>
      </c>
      <c r="JS99">
        <v>400</v>
      </c>
      <c r="JT99">
        <v>19.1249</v>
      </c>
      <c r="JU99">
        <v>99.292299999999997</v>
      </c>
      <c r="JV99">
        <v>99.067099999999996</v>
      </c>
    </row>
    <row r="100" spans="1:282" x14ac:dyDescent="0.25">
      <c r="A100">
        <v>84</v>
      </c>
      <c r="B100">
        <v>1689015610.0999999</v>
      </c>
      <c r="C100">
        <v>16015</v>
      </c>
      <c r="D100" t="s">
        <v>846</v>
      </c>
      <c r="E100" t="s">
        <v>847</v>
      </c>
      <c r="F100" t="s">
        <v>414</v>
      </c>
      <c r="G100" t="s">
        <v>415</v>
      </c>
      <c r="H100" t="s">
        <v>31</v>
      </c>
      <c r="I100" t="s">
        <v>416</v>
      </c>
      <c r="J100" t="s">
        <v>417</v>
      </c>
      <c r="K100">
        <v>1689015610.0999999</v>
      </c>
      <c r="L100">
        <f t="shared" si="92"/>
        <v>8.0184212132745469E-3</v>
      </c>
      <c r="M100">
        <f t="shared" si="93"/>
        <v>8.0184212132745465</v>
      </c>
      <c r="N100">
        <f t="shared" si="94"/>
        <v>60.879630354556888</v>
      </c>
      <c r="O100">
        <f t="shared" si="95"/>
        <v>323.83699999999999</v>
      </c>
      <c r="P100">
        <f t="shared" si="96"/>
        <v>147.05726920992234</v>
      </c>
      <c r="Q100">
        <f t="shared" si="97"/>
        <v>14.59798294214346</v>
      </c>
      <c r="R100">
        <f t="shared" si="98"/>
        <v>32.146435381488395</v>
      </c>
      <c r="S100">
        <f t="shared" si="99"/>
        <v>0.62564568375661278</v>
      </c>
      <c r="T100">
        <f t="shared" si="100"/>
        <v>2.9157771761345801</v>
      </c>
      <c r="U100">
        <f t="shared" si="101"/>
        <v>0.55952688830806996</v>
      </c>
      <c r="V100">
        <f t="shared" si="102"/>
        <v>0.35506075483174715</v>
      </c>
      <c r="W100">
        <f t="shared" si="103"/>
        <v>289.59418057708194</v>
      </c>
      <c r="X100">
        <f t="shared" si="104"/>
        <v>30.157645789524217</v>
      </c>
      <c r="Y100">
        <f t="shared" si="105"/>
        <v>29.9191</v>
      </c>
      <c r="Z100">
        <f t="shared" si="106"/>
        <v>4.2406922296779834</v>
      </c>
      <c r="AA100">
        <f t="shared" si="107"/>
        <v>65.304467890958762</v>
      </c>
      <c r="AB100">
        <f t="shared" si="108"/>
        <v>2.86906417107968</v>
      </c>
      <c r="AC100">
        <f t="shared" si="109"/>
        <v>4.3933658197326722</v>
      </c>
      <c r="AD100">
        <f t="shared" si="110"/>
        <v>1.3716280585983034</v>
      </c>
      <c r="AE100">
        <f t="shared" si="111"/>
        <v>-353.6123755054075</v>
      </c>
      <c r="AF100">
        <f t="shared" si="112"/>
        <v>96.958109841072798</v>
      </c>
      <c r="AG100">
        <f t="shared" si="113"/>
        <v>7.4104950492666521</v>
      </c>
      <c r="AH100">
        <f t="shared" si="114"/>
        <v>40.350409962013913</v>
      </c>
      <c r="AI100">
        <v>0</v>
      </c>
      <c r="AJ100">
        <v>0</v>
      </c>
      <c r="AK100">
        <f t="shared" si="115"/>
        <v>1</v>
      </c>
      <c r="AL100">
        <f t="shared" si="116"/>
        <v>0</v>
      </c>
      <c r="AM100">
        <f t="shared" si="117"/>
        <v>51850.928750925923</v>
      </c>
      <c r="AN100" t="s">
        <v>418</v>
      </c>
      <c r="AO100">
        <v>10021</v>
      </c>
      <c r="AP100">
        <v>177.53923076923081</v>
      </c>
      <c r="AQ100">
        <v>655.56</v>
      </c>
      <c r="AR100">
        <f t="shared" si="118"/>
        <v>0.72917928066198234</v>
      </c>
      <c r="AS100">
        <v>-3.1115002560329539</v>
      </c>
      <c r="AT100" t="s">
        <v>848</v>
      </c>
      <c r="AU100">
        <v>8026.86</v>
      </c>
      <c r="AV100">
        <v>756.3909615384614</v>
      </c>
      <c r="AW100">
        <v>1227.8390320720771</v>
      </c>
      <c r="AX100">
        <f t="shared" si="119"/>
        <v>0.38396569763547028</v>
      </c>
      <c r="AY100">
        <v>0.5</v>
      </c>
      <c r="AZ100">
        <f t="shared" si="120"/>
        <v>1513.3277992627366</v>
      </c>
      <c r="BA100">
        <f t="shared" si="121"/>
        <v>60.879630354556888</v>
      </c>
      <c r="BB100">
        <f t="shared" si="122"/>
        <v>290.53298209753376</v>
      </c>
      <c r="BC100">
        <f t="shared" si="123"/>
        <v>4.2285042699780617E-2</v>
      </c>
      <c r="BD100">
        <f t="shared" si="124"/>
        <v>-0.46608636565846118</v>
      </c>
      <c r="BE100">
        <f t="shared" si="125"/>
        <v>203.18663549039695</v>
      </c>
      <c r="BF100" t="s">
        <v>849</v>
      </c>
      <c r="BG100">
        <v>579.51</v>
      </c>
      <c r="BH100">
        <f t="shared" si="126"/>
        <v>579.51</v>
      </c>
      <c r="BI100">
        <f t="shared" si="127"/>
        <v>0.52802445201466663</v>
      </c>
      <c r="BJ100">
        <f t="shared" si="128"/>
        <v>0.7271740847804623</v>
      </c>
      <c r="BK100">
        <f t="shared" si="129"/>
        <v>-7.5250365821443452</v>
      </c>
      <c r="BL100">
        <f t="shared" si="130"/>
        <v>0.44886999878397293</v>
      </c>
      <c r="BM100">
        <f t="shared" si="131"/>
        <v>-1.1971844507781291</v>
      </c>
      <c r="BN100">
        <f t="shared" si="132"/>
        <v>0.55712544874149439</v>
      </c>
      <c r="BO100">
        <f t="shared" si="133"/>
        <v>0.44287455125850561</v>
      </c>
      <c r="BP100">
        <v>22633</v>
      </c>
      <c r="BQ100">
        <v>290.00000000000011</v>
      </c>
      <c r="BR100">
        <v>1073.98</v>
      </c>
      <c r="BS100">
        <v>265</v>
      </c>
      <c r="BT100">
        <v>8026.86</v>
      </c>
      <c r="BU100">
        <v>1077.46</v>
      </c>
      <c r="BV100">
        <v>-3.48</v>
      </c>
      <c r="BW100">
        <v>300.00000000000011</v>
      </c>
      <c r="BX100">
        <v>19.399999999999999</v>
      </c>
      <c r="BY100">
        <v>1227.8390320720771</v>
      </c>
      <c r="BZ100">
        <v>5.78271752612521</v>
      </c>
      <c r="CA100">
        <v>-120.7045915923315</v>
      </c>
      <c r="CB100">
        <v>4.2631307338574711</v>
      </c>
      <c r="CC100">
        <v>0.96625124036407761</v>
      </c>
      <c r="CD100">
        <v>-4.1451779755283724E-3</v>
      </c>
      <c r="CE100">
        <v>289.99999999999989</v>
      </c>
      <c r="CF100">
        <v>1072.06</v>
      </c>
      <c r="CG100">
        <v>675</v>
      </c>
      <c r="CH100">
        <v>8014.87</v>
      </c>
      <c r="CI100">
        <v>1077.24</v>
      </c>
      <c r="CJ100">
        <v>-5.18</v>
      </c>
      <c r="CX100">
        <f t="shared" si="134"/>
        <v>1800.17</v>
      </c>
      <c r="CY100">
        <f t="shared" si="135"/>
        <v>1513.3277992627366</v>
      </c>
      <c r="CZ100">
        <f t="shared" si="136"/>
        <v>0.8406582707537269</v>
      </c>
      <c r="DA100">
        <f t="shared" si="137"/>
        <v>0.16087046255469312</v>
      </c>
      <c r="DB100">
        <v>6</v>
      </c>
      <c r="DC100">
        <v>0.5</v>
      </c>
      <c r="DD100" t="s">
        <v>421</v>
      </c>
      <c r="DE100">
        <v>2</v>
      </c>
      <c r="DF100">
        <v>1689015610.0999999</v>
      </c>
      <c r="DG100">
        <v>323.83699999999999</v>
      </c>
      <c r="DH100">
        <v>400.00200000000001</v>
      </c>
      <c r="DI100">
        <v>28.9024</v>
      </c>
      <c r="DJ100">
        <v>19.559200000000001</v>
      </c>
      <c r="DK100">
        <v>323.07</v>
      </c>
      <c r="DL100">
        <v>28.640799999999999</v>
      </c>
      <c r="DM100">
        <v>500.04300000000001</v>
      </c>
      <c r="DN100">
        <v>99.167400000000001</v>
      </c>
      <c r="DO100">
        <v>9.99332E-2</v>
      </c>
      <c r="DP100">
        <v>30.535900000000002</v>
      </c>
      <c r="DQ100">
        <v>29.9191</v>
      </c>
      <c r="DR100">
        <v>999.9</v>
      </c>
      <c r="DS100">
        <v>0</v>
      </c>
      <c r="DT100">
        <v>0</v>
      </c>
      <c r="DU100">
        <v>10005</v>
      </c>
      <c r="DV100">
        <v>0</v>
      </c>
      <c r="DW100">
        <v>1219.94</v>
      </c>
      <c r="DX100">
        <v>-76.164299999999997</v>
      </c>
      <c r="DY100">
        <v>333.476</v>
      </c>
      <c r="DZ100">
        <v>407.98200000000003</v>
      </c>
      <c r="EA100">
        <v>9.3432399999999998</v>
      </c>
      <c r="EB100">
        <v>400.00200000000001</v>
      </c>
      <c r="EC100">
        <v>19.559200000000001</v>
      </c>
      <c r="ED100">
        <v>2.8661799999999999</v>
      </c>
      <c r="EE100">
        <v>1.93963</v>
      </c>
      <c r="EF100">
        <v>23.270299999999999</v>
      </c>
      <c r="EG100">
        <v>16.96</v>
      </c>
      <c r="EH100">
        <v>1800.17</v>
      </c>
      <c r="EI100">
        <v>0.97799899999999995</v>
      </c>
      <c r="EJ100">
        <v>2.2001400000000001E-2</v>
      </c>
      <c r="EK100">
        <v>0</v>
      </c>
      <c r="EL100">
        <v>758.10900000000004</v>
      </c>
      <c r="EM100">
        <v>5.0011200000000002</v>
      </c>
      <c r="EN100">
        <v>14994.7</v>
      </c>
      <c r="EO100">
        <v>17212.5</v>
      </c>
      <c r="EP100">
        <v>48.811999999999998</v>
      </c>
      <c r="EQ100">
        <v>50.561999999999998</v>
      </c>
      <c r="ER100">
        <v>49.875</v>
      </c>
      <c r="ES100">
        <v>49.561999999999998</v>
      </c>
      <c r="ET100">
        <v>49.186999999999998</v>
      </c>
      <c r="EU100">
        <v>1755.67</v>
      </c>
      <c r="EV100">
        <v>39.5</v>
      </c>
      <c r="EW100">
        <v>0</v>
      </c>
      <c r="EX100">
        <v>126.7999999523163</v>
      </c>
      <c r="EY100">
        <v>0</v>
      </c>
      <c r="EZ100">
        <v>756.3909615384614</v>
      </c>
      <c r="FA100">
        <v>16.722495753710412</v>
      </c>
      <c r="FB100">
        <v>703.709402260209</v>
      </c>
      <c r="FC100">
        <v>14977.94230769231</v>
      </c>
      <c r="FD100">
        <v>15</v>
      </c>
      <c r="FE100">
        <v>1689015549</v>
      </c>
      <c r="FF100" t="s">
        <v>850</v>
      </c>
      <c r="FG100">
        <v>1689015549</v>
      </c>
      <c r="FH100">
        <v>1689015549</v>
      </c>
      <c r="FI100">
        <v>94</v>
      </c>
      <c r="FJ100">
        <v>7.0999999999999994E-2</v>
      </c>
      <c r="FK100">
        <v>-0.01</v>
      </c>
      <c r="FL100">
        <v>0.88500000000000001</v>
      </c>
      <c r="FM100">
        <v>0.188</v>
      </c>
      <c r="FN100">
        <v>400</v>
      </c>
      <c r="FO100">
        <v>19</v>
      </c>
      <c r="FP100">
        <v>0.04</v>
      </c>
      <c r="FQ100">
        <v>0.01</v>
      </c>
      <c r="FR100">
        <v>60.648660171298971</v>
      </c>
      <c r="FS100">
        <v>0.62384647627092105</v>
      </c>
      <c r="FT100">
        <v>0.16785348651272691</v>
      </c>
      <c r="FU100">
        <v>1</v>
      </c>
      <c r="FV100">
        <v>0.63323393916839044</v>
      </c>
      <c r="FW100">
        <v>-3.968462665577023E-2</v>
      </c>
      <c r="FX100">
        <v>3.0371009321969959E-3</v>
      </c>
      <c r="FY100">
        <v>1</v>
      </c>
      <c r="FZ100">
        <v>2</v>
      </c>
      <c r="GA100">
        <v>2</v>
      </c>
      <c r="GB100" t="s">
        <v>423</v>
      </c>
      <c r="GC100">
        <v>2.9237600000000001</v>
      </c>
      <c r="GD100">
        <v>2.8272699999999999</v>
      </c>
      <c r="GE100">
        <v>7.4161199999999997E-2</v>
      </c>
      <c r="GF100">
        <v>8.8014300000000004E-2</v>
      </c>
      <c r="GG100">
        <v>0.12717999999999999</v>
      </c>
      <c r="GH100">
        <v>9.7178799999999996E-2</v>
      </c>
      <c r="GI100">
        <v>30129</v>
      </c>
      <c r="GJ100">
        <v>24080.799999999999</v>
      </c>
      <c r="GK100">
        <v>31318.7</v>
      </c>
      <c r="GL100">
        <v>26050.6</v>
      </c>
      <c r="GM100">
        <v>37477.599999999999</v>
      </c>
      <c r="GN100">
        <v>31903.4</v>
      </c>
      <c r="GO100">
        <v>46509.4</v>
      </c>
      <c r="GP100">
        <v>37875.9</v>
      </c>
      <c r="GQ100">
        <v>1.9111499999999999</v>
      </c>
      <c r="GR100">
        <v>1.6993199999999999</v>
      </c>
      <c r="GS100">
        <v>-4.9341500000000003E-2</v>
      </c>
      <c r="GT100">
        <v>0</v>
      </c>
      <c r="GU100">
        <v>30.721599999999999</v>
      </c>
      <c r="GV100">
        <v>999.9</v>
      </c>
      <c r="GW100">
        <v>38.200000000000003</v>
      </c>
      <c r="GX100">
        <v>46.4</v>
      </c>
      <c r="GY100">
        <v>39.893700000000003</v>
      </c>
      <c r="GZ100">
        <v>62.394100000000002</v>
      </c>
      <c r="HA100">
        <v>22.2636</v>
      </c>
      <c r="HB100">
        <v>1</v>
      </c>
      <c r="HC100">
        <v>0.599997</v>
      </c>
      <c r="HD100">
        <v>2.30572</v>
      </c>
      <c r="HE100">
        <v>20.279499999999999</v>
      </c>
      <c r="HF100">
        <v>5.2184900000000001</v>
      </c>
      <c r="HG100">
        <v>12.0585</v>
      </c>
      <c r="HH100">
        <v>4.9900500000000001</v>
      </c>
      <c r="HI100">
        <v>3.2913299999999999</v>
      </c>
      <c r="HJ100">
        <v>9999</v>
      </c>
      <c r="HK100">
        <v>9999</v>
      </c>
      <c r="HL100">
        <v>9999</v>
      </c>
      <c r="HM100">
        <v>465.4</v>
      </c>
      <c r="HN100">
        <v>1.8669100000000001</v>
      </c>
      <c r="HO100">
        <v>1.87039</v>
      </c>
      <c r="HP100">
        <v>1.8730199999999999</v>
      </c>
      <c r="HQ100">
        <v>1.8738600000000001</v>
      </c>
      <c r="HR100">
        <v>1.8706100000000001</v>
      </c>
      <c r="HS100">
        <v>1.8690500000000001</v>
      </c>
      <c r="HT100">
        <v>1.8704799999999999</v>
      </c>
      <c r="HU100">
        <v>1.8734599999999999</v>
      </c>
      <c r="HV100">
        <v>0</v>
      </c>
      <c r="HW100">
        <v>0</v>
      </c>
      <c r="HX100">
        <v>0</v>
      </c>
      <c r="HY100">
        <v>0</v>
      </c>
      <c r="HZ100" t="s">
        <v>424</v>
      </c>
      <c r="IA100" t="s">
        <v>425</v>
      </c>
      <c r="IB100" t="s">
        <v>426</v>
      </c>
      <c r="IC100" t="s">
        <v>426</v>
      </c>
      <c r="ID100" t="s">
        <v>426</v>
      </c>
      <c r="IE100" t="s">
        <v>426</v>
      </c>
      <c r="IF100">
        <v>0</v>
      </c>
      <c r="IG100">
        <v>100</v>
      </c>
      <c r="IH100">
        <v>100</v>
      </c>
      <c r="II100">
        <v>0.76700000000000002</v>
      </c>
      <c r="IJ100">
        <v>0.2616</v>
      </c>
      <c r="IK100">
        <v>1.8779939723368201E-2</v>
      </c>
      <c r="IL100">
        <v>3.042515301972944E-3</v>
      </c>
      <c r="IM100">
        <v>-2.5091471490852929E-6</v>
      </c>
      <c r="IN100">
        <v>8.1339755115576286E-10</v>
      </c>
      <c r="IO100">
        <v>0.26161293798835811</v>
      </c>
      <c r="IP100">
        <v>0</v>
      </c>
      <c r="IQ100">
        <v>0</v>
      </c>
      <c r="IR100">
        <v>0</v>
      </c>
      <c r="IS100">
        <v>3</v>
      </c>
      <c r="IT100">
        <v>2004</v>
      </c>
      <c r="IU100">
        <v>2</v>
      </c>
      <c r="IV100">
        <v>22</v>
      </c>
      <c r="IW100">
        <v>1</v>
      </c>
      <c r="IX100">
        <v>1</v>
      </c>
      <c r="IY100">
        <v>1.02051</v>
      </c>
      <c r="IZ100">
        <v>2.6196299999999999</v>
      </c>
      <c r="JA100">
        <v>1.64917</v>
      </c>
      <c r="JB100">
        <v>2.33765</v>
      </c>
      <c r="JC100">
        <v>1.5991200000000001</v>
      </c>
      <c r="JD100">
        <v>2.33765</v>
      </c>
      <c r="JE100">
        <v>48.239600000000003</v>
      </c>
      <c r="JF100">
        <v>24.218800000000002</v>
      </c>
      <c r="JG100">
        <v>18</v>
      </c>
      <c r="JH100">
        <v>518.98299999999995</v>
      </c>
      <c r="JI100">
        <v>428.19499999999999</v>
      </c>
      <c r="JJ100">
        <v>27.645600000000002</v>
      </c>
      <c r="JK100">
        <v>34.489100000000001</v>
      </c>
      <c r="JL100">
        <v>30.000399999999999</v>
      </c>
      <c r="JM100">
        <v>34.520600000000002</v>
      </c>
      <c r="JN100">
        <v>34.511699999999998</v>
      </c>
      <c r="JO100">
        <v>20.427900000000001</v>
      </c>
      <c r="JP100">
        <v>55.551000000000002</v>
      </c>
      <c r="JQ100">
        <v>0</v>
      </c>
      <c r="JR100">
        <v>27.697900000000001</v>
      </c>
      <c r="JS100">
        <v>400</v>
      </c>
      <c r="JT100">
        <v>19.462700000000002</v>
      </c>
      <c r="JU100">
        <v>99.265000000000001</v>
      </c>
      <c r="JV100">
        <v>99.047600000000003</v>
      </c>
    </row>
    <row r="101" spans="1:282" x14ac:dyDescent="0.25">
      <c r="A101">
        <v>85</v>
      </c>
      <c r="B101">
        <v>1689015712.5999999</v>
      </c>
      <c r="C101">
        <v>16117.5</v>
      </c>
      <c r="D101" t="s">
        <v>851</v>
      </c>
      <c r="E101" t="s">
        <v>852</v>
      </c>
      <c r="F101" t="s">
        <v>414</v>
      </c>
      <c r="G101" t="s">
        <v>415</v>
      </c>
      <c r="H101" t="s">
        <v>31</v>
      </c>
      <c r="I101" t="s">
        <v>416</v>
      </c>
      <c r="J101" t="s">
        <v>417</v>
      </c>
      <c r="K101">
        <v>1689015712.5999999</v>
      </c>
      <c r="L101">
        <f t="shared" si="92"/>
        <v>7.7175721243930868E-3</v>
      </c>
      <c r="M101">
        <f t="shared" si="93"/>
        <v>7.7175721243930866</v>
      </c>
      <c r="N101">
        <f t="shared" si="94"/>
        <v>61.944280507983663</v>
      </c>
      <c r="O101">
        <f t="shared" si="95"/>
        <v>322.56099999999998</v>
      </c>
      <c r="P101">
        <f t="shared" si="96"/>
        <v>136.12943926684056</v>
      </c>
      <c r="Q101">
        <f t="shared" si="97"/>
        <v>13.512494067900832</v>
      </c>
      <c r="R101">
        <f t="shared" si="98"/>
        <v>32.0180823671244</v>
      </c>
      <c r="S101">
        <f t="shared" si="99"/>
        <v>0.6000491797368126</v>
      </c>
      <c r="T101">
        <f t="shared" si="100"/>
        <v>2.9104352830879532</v>
      </c>
      <c r="U101">
        <f t="shared" si="101"/>
        <v>0.53884774543708092</v>
      </c>
      <c r="V101">
        <f t="shared" si="102"/>
        <v>0.34175688135274457</v>
      </c>
      <c r="W101">
        <f t="shared" si="103"/>
        <v>289.56385657693176</v>
      </c>
      <c r="X101">
        <f t="shared" si="104"/>
        <v>30.306761581991591</v>
      </c>
      <c r="Y101">
        <f t="shared" si="105"/>
        <v>29.9376</v>
      </c>
      <c r="Z101">
        <f t="shared" si="106"/>
        <v>4.2452032762365608</v>
      </c>
      <c r="AA101">
        <f t="shared" si="107"/>
        <v>65.16201950962909</v>
      </c>
      <c r="AB101">
        <f t="shared" si="108"/>
        <v>2.8745212392735602</v>
      </c>
      <c r="AC101">
        <f t="shared" si="109"/>
        <v>4.4113446159365699</v>
      </c>
      <c r="AD101">
        <f t="shared" si="110"/>
        <v>1.3706820369630006</v>
      </c>
      <c r="AE101">
        <f t="shared" si="111"/>
        <v>-340.34493068573511</v>
      </c>
      <c r="AF101">
        <f t="shared" si="112"/>
        <v>105.08087706173654</v>
      </c>
      <c r="AG101">
        <f t="shared" si="113"/>
        <v>8.0496381598518951</v>
      </c>
      <c r="AH101">
        <f t="shared" si="114"/>
        <v>62.349441112785087</v>
      </c>
      <c r="AI101">
        <v>0</v>
      </c>
      <c r="AJ101">
        <v>0</v>
      </c>
      <c r="AK101">
        <f t="shared" si="115"/>
        <v>1</v>
      </c>
      <c r="AL101">
        <f t="shared" si="116"/>
        <v>0</v>
      </c>
      <c r="AM101">
        <f t="shared" si="117"/>
        <v>51686.944670838719</v>
      </c>
      <c r="AN101" t="s">
        <v>418</v>
      </c>
      <c r="AO101">
        <v>10021</v>
      </c>
      <c r="AP101">
        <v>177.53923076923081</v>
      </c>
      <c r="AQ101">
        <v>655.56</v>
      </c>
      <c r="AR101">
        <f t="shared" si="118"/>
        <v>0.72917928066198234</v>
      </c>
      <c r="AS101">
        <v>-3.1115002560329539</v>
      </c>
      <c r="AT101" t="s">
        <v>853</v>
      </c>
      <c r="AU101">
        <v>8028.49</v>
      </c>
      <c r="AV101">
        <v>771.77364</v>
      </c>
      <c r="AW101">
        <v>1266.5078565096039</v>
      </c>
      <c r="AX101">
        <f t="shared" si="119"/>
        <v>0.3906286202385294</v>
      </c>
      <c r="AY101">
        <v>0.5</v>
      </c>
      <c r="AZ101">
        <f t="shared" si="120"/>
        <v>1513.1681992626591</v>
      </c>
      <c r="BA101">
        <f t="shared" si="121"/>
        <v>61.944280507983663</v>
      </c>
      <c r="BB101">
        <f t="shared" si="122"/>
        <v>295.54340293339629</v>
      </c>
      <c r="BC101">
        <f t="shared" si="123"/>
        <v>4.2993092767689131E-2</v>
      </c>
      <c r="BD101">
        <f t="shared" si="124"/>
        <v>-0.48238773519599654</v>
      </c>
      <c r="BE101">
        <f t="shared" si="125"/>
        <v>204.21845031031455</v>
      </c>
      <c r="BF101" t="s">
        <v>854</v>
      </c>
      <c r="BG101">
        <v>585.91</v>
      </c>
      <c r="BH101">
        <f t="shared" si="126"/>
        <v>585.91</v>
      </c>
      <c r="BI101">
        <f t="shared" si="127"/>
        <v>0.53738147222021837</v>
      </c>
      <c r="BJ101">
        <f t="shared" si="128"/>
        <v>0.72691121750928211</v>
      </c>
      <c r="BK101">
        <f t="shared" si="129"/>
        <v>-8.7716849462972597</v>
      </c>
      <c r="BL101">
        <f t="shared" si="130"/>
        <v>0.45431448144177861</v>
      </c>
      <c r="BM101">
        <f t="shared" si="131"/>
        <v>-1.2780780581829971</v>
      </c>
      <c r="BN101">
        <f t="shared" si="132"/>
        <v>0.55185164324977909</v>
      </c>
      <c r="BO101">
        <f t="shared" si="133"/>
        <v>0.44814835675022091</v>
      </c>
      <c r="BP101">
        <v>22635</v>
      </c>
      <c r="BQ101">
        <v>290.00000000000011</v>
      </c>
      <c r="BR101">
        <v>1101.96</v>
      </c>
      <c r="BS101">
        <v>245</v>
      </c>
      <c r="BT101">
        <v>8028.49</v>
      </c>
      <c r="BU101">
        <v>1107.1199999999999</v>
      </c>
      <c r="BV101">
        <v>-5.16</v>
      </c>
      <c r="BW101">
        <v>300.00000000000011</v>
      </c>
      <c r="BX101">
        <v>19.399999999999999</v>
      </c>
      <c r="BY101">
        <v>1266.5078565096039</v>
      </c>
      <c r="BZ101">
        <v>5.286468017527306</v>
      </c>
      <c r="CA101">
        <v>-127.9658975993333</v>
      </c>
      <c r="CB101">
        <v>3.8974322514722162</v>
      </c>
      <c r="CC101">
        <v>0.97468425931405911</v>
      </c>
      <c r="CD101">
        <v>-4.1452409343715304E-3</v>
      </c>
      <c r="CE101">
        <v>289.99999999999989</v>
      </c>
      <c r="CF101">
        <v>1101.07</v>
      </c>
      <c r="CG101">
        <v>645</v>
      </c>
      <c r="CH101">
        <v>8016.08</v>
      </c>
      <c r="CI101">
        <v>1106.8699999999999</v>
      </c>
      <c r="CJ101">
        <v>-5.8</v>
      </c>
      <c r="CX101">
        <f t="shared" si="134"/>
        <v>1799.98</v>
      </c>
      <c r="CY101">
        <f t="shared" si="135"/>
        <v>1513.1681992626591</v>
      </c>
      <c r="CZ101">
        <f t="shared" si="136"/>
        <v>0.84065834023859098</v>
      </c>
      <c r="DA101">
        <f t="shared" si="137"/>
        <v>0.16087059666048054</v>
      </c>
      <c r="DB101">
        <v>6</v>
      </c>
      <c r="DC101">
        <v>0.5</v>
      </c>
      <c r="DD101" t="s">
        <v>421</v>
      </c>
      <c r="DE101">
        <v>2</v>
      </c>
      <c r="DF101">
        <v>1689015712.5999999</v>
      </c>
      <c r="DG101">
        <v>322.56099999999998</v>
      </c>
      <c r="DH101">
        <v>399.87799999999999</v>
      </c>
      <c r="DI101">
        <v>28.9589</v>
      </c>
      <c r="DJ101">
        <v>19.9664</v>
      </c>
      <c r="DK101">
        <v>321.83300000000003</v>
      </c>
      <c r="DL101">
        <v>28.703199999999999</v>
      </c>
      <c r="DM101">
        <v>500.02199999999999</v>
      </c>
      <c r="DN101">
        <v>99.162300000000002</v>
      </c>
      <c r="DO101">
        <v>9.9800399999999997E-2</v>
      </c>
      <c r="DP101">
        <v>30.607299999999999</v>
      </c>
      <c r="DQ101">
        <v>29.9376</v>
      </c>
      <c r="DR101">
        <v>999.9</v>
      </c>
      <c r="DS101">
        <v>0</v>
      </c>
      <c r="DT101">
        <v>0</v>
      </c>
      <c r="DU101">
        <v>9975</v>
      </c>
      <c r="DV101">
        <v>0</v>
      </c>
      <c r="DW101">
        <v>1190.95</v>
      </c>
      <c r="DX101">
        <v>-77.316699999999997</v>
      </c>
      <c r="DY101">
        <v>332.18099999999998</v>
      </c>
      <c r="DZ101">
        <v>408.02499999999998</v>
      </c>
      <c r="EA101">
        <v>8.9924900000000001</v>
      </c>
      <c r="EB101">
        <v>399.87799999999999</v>
      </c>
      <c r="EC101">
        <v>19.9664</v>
      </c>
      <c r="ED101">
        <v>2.8716300000000001</v>
      </c>
      <c r="EE101">
        <v>1.9799100000000001</v>
      </c>
      <c r="EF101">
        <v>23.3017</v>
      </c>
      <c r="EG101">
        <v>17.284600000000001</v>
      </c>
      <c r="EH101">
        <v>1799.98</v>
      </c>
      <c r="EI101">
        <v>0.97799499999999995</v>
      </c>
      <c r="EJ101">
        <v>2.20051E-2</v>
      </c>
      <c r="EK101">
        <v>0</v>
      </c>
      <c r="EL101">
        <v>772.26900000000001</v>
      </c>
      <c r="EM101">
        <v>5.0011200000000002</v>
      </c>
      <c r="EN101">
        <v>15364.3</v>
      </c>
      <c r="EO101">
        <v>17210.7</v>
      </c>
      <c r="EP101">
        <v>48.875</v>
      </c>
      <c r="EQ101">
        <v>50.311999999999998</v>
      </c>
      <c r="ER101">
        <v>49.936999999999998</v>
      </c>
      <c r="ES101">
        <v>49.436999999999998</v>
      </c>
      <c r="ET101">
        <v>49.561999999999998</v>
      </c>
      <c r="EU101">
        <v>1755.48</v>
      </c>
      <c r="EV101">
        <v>39.5</v>
      </c>
      <c r="EW101">
        <v>0</v>
      </c>
      <c r="EX101">
        <v>100.80000019073491</v>
      </c>
      <c r="EY101">
        <v>0</v>
      </c>
      <c r="EZ101">
        <v>771.77364</v>
      </c>
      <c r="FA101">
        <v>3.5730769259790018</v>
      </c>
      <c r="FB101">
        <v>1689.7615357418881</v>
      </c>
      <c r="FC101">
        <v>15124.712</v>
      </c>
      <c r="FD101">
        <v>15</v>
      </c>
      <c r="FE101">
        <v>1689015679.5999999</v>
      </c>
      <c r="FF101" t="s">
        <v>855</v>
      </c>
      <c r="FG101">
        <v>1689015679.5999999</v>
      </c>
      <c r="FH101">
        <v>1689015674.5999999</v>
      </c>
      <c r="FI101">
        <v>95</v>
      </c>
      <c r="FJ101">
        <v>-3.6999999999999998E-2</v>
      </c>
      <c r="FK101">
        <v>-6.0000000000000001E-3</v>
      </c>
      <c r="FL101">
        <v>0.84899999999999998</v>
      </c>
      <c r="FM101">
        <v>0.193</v>
      </c>
      <c r="FN101">
        <v>400</v>
      </c>
      <c r="FO101">
        <v>20</v>
      </c>
      <c r="FP101">
        <v>0.08</v>
      </c>
      <c r="FQ101">
        <v>0.02</v>
      </c>
      <c r="FR101">
        <v>62.023048680957373</v>
      </c>
      <c r="FS101">
        <v>-0.3558148523989173</v>
      </c>
      <c r="FT101">
        <v>6.0513323115231422E-2</v>
      </c>
      <c r="FU101">
        <v>1</v>
      </c>
      <c r="FV101">
        <v>0.60417132029894038</v>
      </c>
      <c r="FW101">
        <v>-4.8802800619169501E-2</v>
      </c>
      <c r="FX101">
        <v>3.7695963796015872E-3</v>
      </c>
      <c r="FY101">
        <v>1</v>
      </c>
      <c r="FZ101">
        <v>2</v>
      </c>
      <c r="GA101">
        <v>2</v>
      </c>
      <c r="GB101" t="s">
        <v>423</v>
      </c>
      <c r="GC101">
        <v>2.9237000000000002</v>
      </c>
      <c r="GD101">
        <v>2.8268800000000001</v>
      </c>
      <c r="GE101">
        <v>7.3922799999999997E-2</v>
      </c>
      <c r="GF101">
        <v>8.79881E-2</v>
      </c>
      <c r="GG101">
        <v>0.127359</v>
      </c>
      <c r="GH101">
        <v>9.8607500000000001E-2</v>
      </c>
      <c r="GI101">
        <v>30137.1</v>
      </c>
      <c r="GJ101">
        <v>24081.8</v>
      </c>
      <c r="GK101">
        <v>31319.1</v>
      </c>
      <c r="GL101">
        <v>26050.9</v>
      </c>
      <c r="GM101">
        <v>37470.300000000003</v>
      </c>
      <c r="GN101">
        <v>31853.8</v>
      </c>
      <c r="GO101">
        <v>46509.8</v>
      </c>
      <c r="GP101">
        <v>37876.9</v>
      </c>
      <c r="GQ101">
        <v>1.9105000000000001</v>
      </c>
      <c r="GR101">
        <v>1.7001999999999999</v>
      </c>
      <c r="GS101">
        <v>-2.6486800000000001E-2</v>
      </c>
      <c r="GT101">
        <v>0</v>
      </c>
      <c r="GU101">
        <v>30.368500000000001</v>
      </c>
      <c r="GV101">
        <v>999.9</v>
      </c>
      <c r="GW101">
        <v>38.200000000000003</v>
      </c>
      <c r="GX101">
        <v>46.4</v>
      </c>
      <c r="GY101">
        <v>39.890900000000002</v>
      </c>
      <c r="GZ101">
        <v>62.304099999999998</v>
      </c>
      <c r="HA101">
        <v>22.1755</v>
      </c>
      <c r="HB101">
        <v>1</v>
      </c>
      <c r="HC101">
        <v>0.59843999999999997</v>
      </c>
      <c r="HD101">
        <v>2.0266700000000002</v>
      </c>
      <c r="HE101">
        <v>20.2837</v>
      </c>
      <c r="HF101">
        <v>5.2234299999999996</v>
      </c>
      <c r="HG101">
        <v>12.058199999999999</v>
      </c>
      <c r="HH101">
        <v>4.9919500000000001</v>
      </c>
      <c r="HI101">
        <v>3.2919999999999998</v>
      </c>
      <c r="HJ101">
        <v>9999</v>
      </c>
      <c r="HK101">
        <v>9999</v>
      </c>
      <c r="HL101">
        <v>9999</v>
      </c>
      <c r="HM101">
        <v>465.5</v>
      </c>
      <c r="HN101">
        <v>1.8669100000000001</v>
      </c>
      <c r="HO101">
        <v>1.8703799999999999</v>
      </c>
      <c r="HP101">
        <v>1.8730100000000001</v>
      </c>
      <c r="HQ101">
        <v>1.8738699999999999</v>
      </c>
      <c r="HR101">
        <v>1.8706100000000001</v>
      </c>
      <c r="HS101">
        <v>1.86903</v>
      </c>
      <c r="HT101">
        <v>1.8704799999999999</v>
      </c>
      <c r="HU101">
        <v>1.87347</v>
      </c>
      <c r="HV101">
        <v>0</v>
      </c>
      <c r="HW101">
        <v>0</v>
      </c>
      <c r="HX101">
        <v>0</v>
      </c>
      <c r="HY101">
        <v>0</v>
      </c>
      <c r="HZ101" t="s">
        <v>424</v>
      </c>
      <c r="IA101" t="s">
        <v>425</v>
      </c>
      <c r="IB101" t="s">
        <v>426</v>
      </c>
      <c r="IC101" t="s">
        <v>426</v>
      </c>
      <c r="ID101" t="s">
        <v>426</v>
      </c>
      <c r="IE101" t="s">
        <v>426</v>
      </c>
      <c r="IF101">
        <v>0</v>
      </c>
      <c r="IG101">
        <v>100</v>
      </c>
      <c r="IH101">
        <v>100</v>
      </c>
      <c r="II101">
        <v>0.72799999999999998</v>
      </c>
      <c r="IJ101">
        <v>0.25569999999999998</v>
      </c>
      <c r="IK101">
        <v>-1.780115635065917E-2</v>
      </c>
      <c r="IL101">
        <v>3.042515301972944E-3</v>
      </c>
      <c r="IM101">
        <v>-2.5091471490852929E-6</v>
      </c>
      <c r="IN101">
        <v>8.1339755115576286E-10</v>
      </c>
      <c r="IO101">
        <v>0.25564016276809809</v>
      </c>
      <c r="IP101">
        <v>0</v>
      </c>
      <c r="IQ101">
        <v>0</v>
      </c>
      <c r="IR101">
        <v>0</v>
      </c>
      <c r="IS101">
        <v>3</v>
      </c>
      <c r="IT101">
        <v>2004</v>
      </c>
      <c r="IU101">
        <v>2</v>
      </c>
      <c r="IV101">
        <v>22</v>
      </c>
      <c r="IW101">
        <v>0.6</v>
      </c>
      <c r="IX101">
        <v>0.6</v>
      </c>
      <c r="IY101">
        <v>1.02051</v>
      </c>
      <c r="IZ101">
        <v>2.6232899999999999</v>
      </c>
      <c r="JA101">
        <v>1.64917</v>
      </c>
      <c r="JB101">
        <v>2.33765</v>
      </c>
      <c r="JC101">
        <v>1.5991200000000001</v>
      </c>
      <c r="JD101">
        <v>2.3327599999999999</v>
      </c>
      <c r="JE101">
        <v>48.209000000000003</v>
      </c>
      <c r="JF101">
        <v>24.218800000000002</v>
      </c>
      <c r="JG101">
        <v>18</v>
      </c>
      <c r="JH101">
        <v>518.72500000000002</v>
      </c>
      <c r="JI101">
        <v>428.88400000000001</v>
      </c>
      <c r="JJ101">
        <v>27.934200000000001</v>
      </c>
      <c r="JK101">
        <v>34.487900000000003</v>
      </c>
      <c r="JL101">
        <v>29.999400000000001</v>
      </c>
      <c r="JM101">
        <v>34.543500000000002</v>
      </c>
      <c r="JN101">
        <v>34.529899999999998</v>
      </c>
      <c r="JO101">
        <v>20.4254</v>
      </c>
      <c r="JP101">
        <v>54.916899999999998</v>
      </c>
      <c r="JQ101">
        <v>0</v>
      </c>
      <c r="JR101">
        <v>27.973199999999999</v>
      </c>
      <c r="JS101">
        <v>400</v>
      </c>
      <c r="JT101">
        <v>20.006</v>
      </c>
      <c r="JU101">
        <v>99.266000000000005</v>
      </c>
      <c r="JV101">
        <v>99.049499999999995</v>
      </c>
    </row>
    <row r="102" spans="1:282" x14ac:dyDescent="0.25">
      <c r="A102">
        <v>86</v>
      </c>
      <c r="B102">
        <v>1689015867.0999999</v>
      </c>
      <c r="C102">
        <v>16272</v>
      </c>
      <c r="D102" t="s">
        <v>856</v>
      </c>
      <c r="E102" t="s">
        <v>857</v>
      </c>
      <c r="F102" t="s">
        <v>414</v>
      </c>
      <c r="G102" t="s">
        <v>415</v>
      </c>
      <c r="H102" t="s">
        <v>31</v>
      </c>
      <c r="I102" t="s">
        <v>416</v>
      </c>
      <c r="J102" t="s">
        <v>417</v>
      </c>
      <c r="K102">
        <v>1689015867.0999999</v>
      </c>
      <c r="L102">
        <f t="shared" si="92"/>
        <v>7.6195596235374419E-3</v>
      </c>
      <c r="M102">
        <f t="shared" si="93"/>
        <v>7.6195596235374419</v>
      </c>
      <c r="N102">
        <f t="shared" si="94"/>
        <v>65.07568515074837</v>
      </c>
      <c r="O102">
        <f t="shared" si="95"/>
        <v>418.178</v>
      </c>
      <c r="P102">
        <f t="shared" si="96"/>
        <v>218.68766443591346</v>
      </c>
      <c r="Q102">
        <f t="shared" si="97"/>
        <v>21.706383636054753</v>
      </c>
      <c r="R102">
        <f t="shared" si="98"/>
        <v>41.507289035126</v>
      </c>
      <c r="S102">
        <f t="shared" si="99"/>
        <v>0.59347214666840098</v>
      </c>
      <c r="T102">
        <f t="shared" si="100"/>
        <v>2.9138442359350858</v>
      </c>
      <c r="U102">
        <f t="shared" si="101"/>
        <v>0.5335959738629249</v>
      </c>
      <c r="V102">
        <f t="shared" si="102"/>
        <v>0.33837229713937628</v>
      </c>
      <c r="W102">
        <f t="shared" si="103"/>
        <v>289.54470457683686</v>
      </c>
      <c r="X102">
        <f t="shared" si="104"/>
        <v>30.29532093908594</v>
      </c>
      <c r="Y102">
        <f t="shared" si="105"/>
        <v>29.970500000000001</v>
      </c>
      <c r="Z102">
        <f t="shared" si="106"/>
        <v>4.2532359566163844</v>
      </c>
      <c r="AA102">
        <f t="shared" si="107"/>
        <v>65.580958231506401</v>
      </c>
      <c r="AB102">
        <f t="shared" si="108"/>
        <v>2.8868537989614995</v>
      </c>
      <c r="AC102">
        <f t="shared" si="109"/>
        <v>4.401969530196034</v>
      </c>
      <c r="AD102">
        <f t="shared" si="110"/>
        <v>1.3663821576548849</v>
      </c>
      <c r="AE102">
        <f t="shared" si="111"/>
        <v>-336.0225793980012</v>
      </c>
      <c r="AF102">
        <f t="shared" si="112"/>
        <v>94.191865800460135</v>
      </c>
      <c r="AG102">
        <f t="shared" si="113"/>
        <v>7.2068974507520984</v>
      </c>
      <c r="AH102">
        <f t="shared" si="114"/>
        <v>54.920888430047881</v>
      </c>
      <c r="AI102">
        <v>0</v>
      </c>
      <c r="AJ102">
        <v>0</v>
      </c>
      <c r="AK102">
        <f t="shared" si="115"/>
        <v>1</v>
      </c>
      <c r="AL102">
        <f t="shared" si="116"/>
        <v>0</v>
      </c>
      <c r="AM102">
        <f t="shared" si="117"/>
        <v>51789.953110063412</v>
      </c>
      <c r="AN102" t="s">
        <v>418</v>
      </c>
      <c r="AO102">
        <v>10021</v>
      </c>
      <c r="AP102">
        <v>177.53923076923081</v>
      </c>
      <c r="AQ102">
        <v>655.56</v>
      </c>
      <c r="AR102">
        <f t="shared" si="118"/>
        <v>0.72917928066198234</v>
      </c>
      <c r="AS102">
        <v>-3.1115002560329539</v>
      </c>
      <c r="AT102" t="s">
        <v>858</v>
      </c>
      <c r="AU102">
        <v>8025.98</v>
      </c>
      <c r="AV102">
        <v>788.08572000000004</v>
      </c>
      <c r="AW102">
        <v>1318.2366980875779</v>
      </c>
      <c r="AX102">
        <f t="shared" si="119"/>
        <v>0.40216675719670869</v>
      </c>
      <c r="AY102">
        <v>0.5</v>
      </c>
      <c r="AZ102">
        <f t="shared" si="120"/>
        <v>1513.0673992626098</v>
      </c>
      <c r="BA102">
        <f t="shared" si="121"/>
        <v>65.07568515074837</v>
      </c>
      <c r="BB102">
        <f t="shared" si="122"/>
        <v>304.25270469075076</v>
      </c>
      <c r="BC102">
        <f t="shared" si="123"/>
        <v>4.5065530749001798E-2</v>
      </c>
      <c r="BD102">
        <f t="shared" si="124"/>
        <v>-0.50269932482455637</v>
      </c>
      <c r="BE102">
        <f t="shared" si="125"/>
        <v>205.51885375826231</v>
      </c>
      <c r="BF102" t="s">
        <v>859</v>
      </c>
      <c r="BG102">
        <v>591.73</v>
      </c>
      <c r="BH102">
        <f t="shared" si="126"/>
        <v>591.73</v>
      </c>
      <c r="BI102">
        <f t="shared" si="127"/>
        <v>0.55112006754291709</v>
      </c>
      <c r="BJ102">
        <f t="shared" si="128"/>
        <v>0.72972620828290014</v>
      </c>
      <c r="BK102">
        <f t="shared" si="129"/>
        <v>-10.381900330370966</v>
      </c>
      <c r="BL102">
        <f t="shared" si="130"/>
        <v>0.46476037098066308</v>
      </c>
      <c r="BM102">
        <f t="shared" si="131"/>
        <v>-1.3862926900727706</v>
      </c>
      <c r="BN102">
        <f t="shared" si="132"/>
        <v>0.54791106889646535</v>
      </c>
      <c r="BO102">
        <f t="shared" si="133"/>
        <v>0.45208893110353465</v>
      </c>
      <c r="BP102">
        <v>22637</v>
      </c>
      <c r="BQ102">
        <v>290.00000000000011</v>
      </c>
      <c r="BR102">
        <v>1152.1300000000001</v>
      </c>
      <c r="BS102">
        <v>285</v>
      </c>
      <c r="BT102">
        <v>8025.98</v>
      </c>
      <c r="BU102">
        <v>1155.47</v>
      </c>
      <c r="BV102">
        <v>-3.34</v>
      </c>
      <c r="BW102">
        <v>300.00000000000011</v>
      </c>
      <c r="BX102">
        <v>19.399999999999999</v>
      </c>
      <c r="BY102">
        <v>1318.2366980875779</v>
      </c>
      <c r="BZ102">
        <v>4.4892873136469387</v>
      </c>
      <c r="CA102">
        <v>-130.6378634034451</v>
      </c>
      <c r="CB102">
        <v>3.3097342558237388</v>
      </c>
      <c r="CC102">
        <v>0.98234490173705225</v>
      </c>
      <c r="CD102">
        <v>-4.1454002224694036E-3</v>
      </c>
      <c r="CE102">
        <v>289.99999999999989</v>
      </c>
      <c r="CF102">
        <v>1151.29</v>
      </c>
      <c r="CG102">
        <v>655</v>
      </c>
      <c r="CH102">
        <v>8015.86</v>
      </c>
      <c r="CI102">
        <v>1155.26</v>
      </c>
      <c r="CJ102">
        <v>-3.97</v>
      </c>
      <c r="CX102">
        <f t="shared" si="134"/>
        <v>1799.86</v>
      </c>
      <c r="CY102">
        <f t="shared" si="135"/>
        <v>1513.0673992626098</v>
      </c>
      <c r="CZ102">
        <f t="shared" si="136"/>
        <v>0.84065838413132676</v>
      </c>
      <c r="DA102">
        <f t="shared" si="137"/>
        <v>0.16087068137346064</v>
      </c>
      <c r="DB102">
        <v>6</v>
      </c>
      <c r="DC102">
        <v>0.5</v>
      </c>
      <c r="DD102" t="s">
        <v>421</v>
      </c>
      <c r="DE102">
        <v>2</v>
      </c>
      <c r="DF102">
        <v>1689015867.0999999</v>
      </c>
      <c r="DG102">
        <v>418.178</v>
      </c>
      <c r="DH102">
        <v>500.06900000000002</v>
      </c>
      <c r="DI102">
        <v>29.084499999999998</v>
      </c>
      <c r="DJ102">
        <v>20.209499999999998</v>
      </c>
      <c r="DK102">
        <v>417.21300000000002</v>
      </c>
      <c r="DL102">
        <v>28.825199999999999</v>
      </c>
      <c r="DM102">
        <v>500.14299999999997</v>
      </c>
      <c r="DN102">
        <v>99.156999999999996</v>
      </c>
      <c r="DO102">
        <v>0.100467</v>
      </c>
      <c r="DP102">
        <v>30.5701</v>
      </c>
      <c r="DQ102">
        <v>29.970500000000001</v>
      </c>
      <c r="DR102">
        <v>999.9</v>
      </c>
      <c r="DS102">
        <v>0</v>
      </c>
      <c r="DT102">
        <v>0</v>
      </c>
      <c r="DU102">
        <v>9995</v>
      </c>
      <c r="DV102">
        <v>0</v>
      </c>
      <c r="DW102">
        <v>1589.28</v>
      </c>
      <c r="DX102">
        <v>-81.891000000000005</v>
      </c>
      <c r="DY102">
        <v>430.70499999999998</v>
      </c>
      <c r="DZ102">
        <v>510.38400000000001</v>
      </c>
      <c r="EA102">
        <v>8.8750499999999999</v>
      </c>
      <c r="EB102">
        <v>500.06900000000002</v>
      </c>
      <c r="EC102">
        <v>20.209499999999998</v>
      </c>
      <c r="ED102">
        <v>2.8839299999999999</v>
      </c>
      <c r="EE102">
        <v>2.0039099999999999</v>
      </c>
      <c r="EF102">
        <v>23.372499999999999</v>
      </c>
      <c r="EG102">
        <v>17.475300000000001</v>
      </c>
      <c r="EH102">
        <v>1799.86</v>
      </c>
      <c r="EI102">
        <v>0.97799499999999995</v>
      </c>
      <c r="EJ102">
        <v>2.20051E-2</v>
      </c>
      <c r="EK102">
        <v>0</v>
      </c>
      <c r="EL102">
        <v>788.21699999999998</v>
      </c>
      <c r="EM102">
        <v>5.0011200000000002</v>
      </c>
      <c r="EN102">
        <v>15797.8</v>
      </c>
      <c r="EO102">
        <v>17209.599999999999</v>
      </c>
      <c r="EP102">
        <v>48.936999999999998</v>
      </c>
      <c r="EQ102">
        <v>50.375</v>
      </c>
      <c r="ER102">
        <v>49.875</v>
      </c>
      <c r="ES102">
        <v>49.561999999999998</v>
      </c>
      <c r="ET102">
        <v>49.5</v>
      </c>
      <c r="EU102">
        <v>1755.36</v>
      </c>
      <c r="EV102">
        <v>39.5</v>
      </c>
      <c r="EW102">
        <v>0</v>
      </c>
      <c r="EX102">
        <v>152.4000000953674</v>
      </c>
      <c r="EY102">
        <v>0</v>
      </c>
      <c r="EZ102">
        <v>788.08572000000004</v>
      </c>
      <c r="FA102">
        <v>-1.084615950910158E-2</v>
      </c>
      <c r="FB102">
        <v>26.86153832069046</v>
      </c>
      <c r="FC102">
        <v>15797.727999999999</v>
      </c>
      <c r="FD102">
        <v>15</v>
      </c>
      <c r="FE102">
        <v>1689015792.0999999</v>
      </c>
      <c r="FF102" t="s">
        <v>860</v>
      </c>
      <c r="FG102">
        <v>1689015780.0999999</v>
      </c>
      <c r="FH102">
        <v>1689015792.0999999</v>
      </c>
      <c r="FI102">
        <v>96</v>
      </c>
      <c r="FJ102">
        <v>9.0999999999999998E-2</v>
      </c>
      <c r="FK102">
        <v>4.0000000000000001E-3</v>
      </c>
      <c r="FL102">
        <v>1.0680000000000001</v>
      </c>
      <c r="FM102">
        <v>0.20699999999999999</v>
      </c>
      <c r="FN102">
        <v>500</v>
      </c>
      <c r="FO102">
        <v>20</v>
      </c>
      <c r="FP102">
        <v>0.03</v>
      </c>
      <c r="FQ102">
        <v>0.02</v>
      </c>
      <c r="FR102">
        <v>65.101656396758372</v>
      </c>
      <c r="FS102">
        <v>-0.61373416840407191</v>
      </c>
      <c r="FT102">
        <v>6.1958673239605917E-2</v>
      </c>
      <c r="FU102">
        <v>1</v>
      </c>
      <c r="FV102">
        <v>0.59114616544582388</v>
      </c>
      <c r="FW102">
        <v>4.2847207867620897E-2</v>
      </c>
      <c r="FX102">
        <v>3.6722794479313202E-3</v>
      </c>
      <c r="FY102">
        <v>1</v>
      </c>
      <c r="FZ102">
        <v>2</v>
      </c>
      <c r="GA102">
        <v>2</v>
      </c>
      <c r="GB102" t="s">
        <v>423</v>
      </c>
      <c r="GC102">
        <v>2.92414</v>
      </c>
      <c r="GD102">
        <v>2.8277199999999998</v>
      </c>
      <c r="GE102">
        <v>9.0737799999999993E-2</v>
      </c>
      <c r="GF102">
        <v>0.10417700000000001</v>
      </c>
      <c r="GG102">
        <v>0.127747</v>
      </c>
      <c r="GH102">
        <v>9.9467799999999995E-2</v>
      </c>
      <c r="GI102">
        <v>29600.9</v>
      </c>
      <c r="GJ102">
        <v>23659.4</v>
      </c>
      <c r="GK102">
        <v>31330.3</v>
      </c>
      <c r="GL102">
        <v>26055.9</v>
      </c>
      <c r="GM102">
        <v>37466.199999999997</v>
      </c>
      <c r="GN102">
        <v>31828.9</v>
      </c>
      <c r="GO102">
        <v>46525.5</v>
      </c>
      <c r="GP102">
        <v>37883.4</v>
      </c>
      <c r="GQ102">
        <v>1.9125000000000001</v>
      </c>
      <c r="GR102">
        <v>1.7023299999999999</v>
      </c>
      <c r="GS102">
        <v>-3.8053799999999999E-2</v>
      </c>
      <c r="GT102">
        <v>0</v>
      </c>
      <c r="GU102">
        <v>30.589500000000001</v>
      </c>
      <c r="GV102">
        <v>999.9</v>
      </c>
      <c r="GW102">
        <v>38</v>
      </c>
      <c r="GX102">
        <v>46.4</v>
      </c>
      <c r="GY102">
        <v>39.6892</v>
      </c>
      <c r="GZ102">
        <v>62.494100000000003</v>
      </c>
      <c r="HA102">
        <v>22.163499999999999</v>
      </c>
      <c r="HB102">
        <v>1</v>
      </c>
      <c r="HC102">
        <v>0.58439799999999997</v>
      </c>
      <c r="HD102">
        <v>1.97986</v>
      </c>
      <c r="HE102">
        <v>20.284800000000001</v>
      </c>
      <c r="HF102">
        <v>5.2228300000000001</v>
      </c>
      <c r="HG102">
        <v>12.0589</v>
      </c>
      <c r="HH102">
        <v>4.9926000000000004</v>
      </c>
      <c r="HI102">
        <v>3.2919999999999998</v>
      </c>
      <c r="HJ102">
        <v>9999</v>
      </c>
      <c r="HK102">
        <v>9999</v>
      </c>
      <c r="HL102">
        <v>9999</v>
      </c>
      <c r="HM102">
        <v>465.5</v>
      </c>
      <c r="HN102">
        <v>1.8669100000000001</v>
      </c>
      <c r="HO102">
        <v>1.87036</v>
      </c>
      <c r="HP102">
        <v>1.8730199999999999</v>
      </c>
      <c r="HQ102">
        <v>1.8738699999999999</v>
      </c>
      <c r="HR102">
        <v>1.8706799999999999</v>
      </c>
      <c r="HS102">
        <v>1.86904</v>
      </c>
      <c r="HT102">
        <v>1.87046</v>
      </c>
      <c r="HU102">
        <v>1.87347</v>
      </c>
      <c r="HV102">
        <v>0</v>
      </c>
      <c r="HW102">
        <v>0</v>
      </c>
      <c r="HX102">
        <v>0</v>
      </c>
      <c r="HY102">
        <v>0</v>
      </c>
      <c r="HZ102" t="s">
        <v>424</v>
      </c>
      <c r="IA102" t="s">
        <v>425</v>
      </c>
      <c r="IB102" t="s">
        <v>426</v>
      </c>
      <c r="IC102" t="s">
        <v>426</v>
      </c>
      <c r="ID102" t="s">
        <v>426</v>
      </c>
      <c r="IE102" t="s">
        <v>426</v>
      </c>
      <c r="IF102">
        <v>0</v>
      </c>
      <c r="IG102">
        <v>100</v>
      </c>
      <c r="IH102">
        <v>100</v>
      </c>
      <c r="II102">
        <v>0.96499999999999997</v>
      </c>
      <c r="IJ102">
        <v>0.25929999999999997</v>
      </c>
      <c r="IK102">
        <v>7.3318808137729369E-2</v>
      </c>
      <c r="IL102">
        <v>3.042515301972944E-3</v>
      </c>
      <c r="IM102">
        <v>-2.5091471490852929E-6</v>
      </c>
      <c r="IN102">
        <v>8.1339755115576286E-10</v>
      </c>
      <c r="IO102">
        <v>0.25935515383848379</v>
      </c>
      <c r="IP102">
        <v>0</v>
      </c>
      <c r="IQ102">
        <v>0</v>
      </c>
      <c r="IR102">
        <v>0</v>
      </c>
      <c r="IS102">
        <v>3</v>
      </c>
      <c r="IT102">
        <v>2004</v>
      </c>
      <c r="IU102">
        <v>2</v>
      </c>
      <c r="IV102">
        <v>22</v>
      </c>
      <c r="IW102">
        <v>1.4</v>
      </c>
      <c r="IX102">
        <v>1.2</v>
      </c>
      <c r="IY102">
        <v>1.22559</v>
      </c>
      <c r="IZ102">
        <v>2.6184099999999999</v>
      </c>
      <c r="JA102">
        <v>1.64917</v>
      </c>
      <c r="JB102">
        <v>2.33887</v>
      </c>
      <c r="JC102">
        <v>1.5991200000000001</v>
      </c>
      <c r="JD102">
        <v>2.3278799999999999</v>
      </c>
      <c r="JE102">
        <v>48.1479</v>
      </c>
      <c r="JF102">
        <v>24.218800000000002</v>
      </c>
      <c r="JG102">
        <v>18</v>
      </c>
      <c r="JH102">
        <v>519.50900000000001</v>
      </c>
      <c r="JI102">
        <v>429.86599999999999</v>
      </c>
      <c r="JJ102">
        <v>27.604500000000002</v>
      </c>
      <c r="JK102">
        <v>34.384399999999999</v>
      </c>
      <c r="JL102">
        <v>29.9985</v>
      </c>
      <c r="JM102">
        <v>34.471699999999998</v>
      </c>
      <c r="JN102">
        <v>34.4741</v>
      </c>
      <c r="JO102">
        <v>24.5383</v>
      </c>
      <c r="JP102">
        <v>56.295099999999998</v>
      </c>
      <c r="JQ102">
        <v>0</v>
      </c>
      <c r="JR102">
        <v>27.586500000000001</v>
      </c>
      <c r="JS102">
        <v>500</v>
      </c>
      <c r="JT102">
        <v>20.078499999999998</v>
      </c>
      <c r="JU102">
        <v>99.300299999999993</v>
      </c>
      <c r="JV102">
        <v>99.067400000000006</v>
      </c>
    </row>
    <row r="103" spans="1:282" x14ac:dyDescent="0.25">
      <c r="A103">
        <v>87</v>
      </c>
      <c r="B103">
        <v>1689016003.5999999</v>
      </c>
      <c r="C103">
        <v>16408.5</v>
      </c>
      <c r="D103" t="s">
        <v>861</v>
      </c>
      <c r="E103" t="s">
        <v>862</v>
      </c>
      <c r="F103" t="s">
        <v>414</v>
      </c>
      <c r="G103" t="s">
        <v>415</v>
      </c>
      <c r="H103" t="s">
        <v>31</v>
      </c>
      <c r="I103" t="s">
        <v>416</v>
      </c>
      <c r="J103" t="s">
        <v>417</v>
      </c>
      <c r="K103">
        <v>1689016003.5999999</v>
      </c>
      <c r="L103">
        <f t="shared" si="92"/>
        <v>7.2121896330488476E-3</v>
      </c>
      <c r="M103">
        <f t="shared" si="93"/>
        <v>7.2121896330488475</v>
      </c>
      <c r="N103">
        <f t="shared" si="94"/>
        <v>66.015205847750025</v>
      </c>
      <c r="O103">
        <f t="shared" si="95"/>
        <v>615.54100000000005</v>
      </c>
      <c r="P103">
        <f t="shared" si="96"/>
        <v>393.11186535951879</v>
      </c>
      <c r="Q103">
        <f t="shared" si="97"/>
        <v>39.018210208429622</v>
      </c>
      <c r="R103">
        <f t="shared" si="98"/>
        <v>61.0953528658873</v>
      </c>
      <c r="S103">
        <f t="shared" si="99"/>
        <v>0.54521457823856223</v>
      </c>
      <c r="T103">
        <f t="shared" si="100"/>
        <v>2.9215638664234875</v>
      </c>
      <c r="U103">
        <f t="shared" si="101"/>
        <v>0.49435428447362734</v>
      </c>
      <c r="V103">
        <f t="shared" si="102"/>
        <v>0.31314469585909627</v>
      </c>
      <c r="W103">
        <f t="shared" si="103"/>
        <v>289.57923757737098</v>
      </c>
      <c r="X103">
        <f t="shared" si="104"/>
        <v>30.323939014008737</v>
      </c>
      <c r="Y103">
        <f t="shared" si="105"/>
        <v>29.959299999999999</v>
      </c>
      <c r="Z103">
        <f t="shared" si="106"/>
        <v>4.2504999412632083</v>
      </c>
      <c r="AA103">
        <f t="shared" si="107"/>
        <v>65.131918998469899</v>
      </c>
      <c r="AB103">
        <f t="shared" si="108"/>
        <v>2.8542879863971597</v>
      </c>
      <c r="AC103">
        <f t="shared" si="109"/>
        <v>4.3823182708069961</v>
      </c>
      <c r="AD103">
        <f t="shared" si="110"/>
        <v>1.3962119548660485</v>
      </c>
      <c r="AE103">
        <f t="shared" si="111"/>
        <v>-318.0575628174542</v>
      </c>
      <c r="AF103">
        <f t="shared" si="112"/>
        <v>83.888415231343785</v>
      </c>
      <c r="AG103">
        <f t="shared" si="113"/>
        <v>6.39875880935511</v>
      </c>
      <c r="AH103">
        <f t="shared" si="114"/>
        <v>61.808848800615678</v>
      </c>
      <c r="AI103">
        <v>0</v>
      </c>
      <c r="AJ103">
        <v>0</v>
      </c>
      <c r="AK103">
        <f t="shared" si="115"/>
        <v>1</v>
      </c>
      <c r="AL103">
        <f t="shared" si="116"/>
        <v>0</v>
      </c>
      <c r="AM103">
        <f t="shared" si="117"/>
        <v>52022.744187832046</v>
      </c>
      <c r="AN103" t="s">
        <v>418</v>
      </c>
      <c r="AO103">
        <v>10021</v>
      </c>
      <c r="AP103">
        <v>177.53923076923081</v>
      </c>
      <c r="AQ103">
        <v>655.56</v>
      </c>
      <c r="AR103">
        <f t="shared" si="118"/>
        <v>0.72917928066198234</v>
      </c>
      <c r="AS103">
        <v>-3.1115002560329539</v>
      </c>
      <c r="AT103" t="s">
        <v>863</v>
      </c>
      <c r="AU103">
        <v>8025.29</v>
      </c>
      <c r="AV103">
        <v>787.30459999999994</v>
      </c>
      <c r="AW103">
        <v>1347.1563827176069</v>
      </c>
      <c r="AX103">
        <f t="shared" si="119"/>
        <v>0.41558039578762396</v>
      </c>
      <c r="AY103">
        <v>0.5</v>
      </c>
      <c r="AZ103">
        <f t="shared" si="120"/>
        <v>1513.2518992628864</v>
      </c>
      <c r="BA103">
        <f t="shared" si="121"/>
        <v>66.015205847750025</v>
      </c>
      <c r="BB103">
        <f t="shared" si="122"/>
        <v>314.43891161102198</v>
      </c>
      <c r="BC103">
        <f t="shared" si="123"/>
        <v>4.5680898294233094E-2</v>
      </c>
      <c r="BD103">
        <f t="shared" si="124"/>
        <v>-0.51337498124935987</v>
      </c>
      <c r="BE103">
        <f t="shared" si="125"/>
        <v>206.2090004779505</v>
      </c>
      <c r="BF103" t="s">
        <v>864</v>
      </c>
      <c r="BG103">
        <v>590.47</v>
      </c>
      <c r="BH103">
        <f t="shared" si="126"/>
        <v>590.47</v>
      </c>
      <c r="BI103">
        <f t="shared" si="127"/>
        <v>0.56169156931220554</v>
      </c>
      <c r="BJ103">
        <f t="shared" si="128"/>
        <v>0.73987294538977055</v>
      </c>
      <c r="BK103">
        <f t="shared" si="129"/>
        <v>-10.625232489132092</v>
      </c>
      <c r="BL103">
        <f t="shared" si="130"/>
        <v>0.47866242537995668</v>
      </c>
      <c r="BM103">
        <f t="shared" si="131"/>
        <v>-1.4467914936635988</v>
      </c>
      <c r="BN103">
        <f t="shared" si="132"/>
        <v>0.55489676811782618</v>
      </c>
      <c r="BO103">
        <f t="shared" si="133"/>
        <v>0.44510323188217382</v>
      </c>
      <c r="BP103">
        <v>22639</v>
      </c>
      <c r="BQ103">
        <v>290.00000000000011</v>
      </c>
      <c r="BR103">
        <v>1159.7</v>
      </c>
      <c r="BS103">
        <v>285</v>
      </c>
      <c r="BT103">
        <v>8025.29</v>
      </c>
      <c r="BU103">
        <v>1163.4100000000001</v>
      </c>
      <c r="BV103">
        <v>-3.71</v>
      </c>
      <c r="BW103">
        <v>300.00000000000011</v>
      </c>
      <c r="BX103">
        <v>19.399999999999999</v>
      </c>
      <c r="BY103">
        <v>1347.1563827176069</v>
      </c>
      <c r="BZ103">
        <v>5.375507366819205</v>
      </c>
      <c r="CA103">
        <v>-147.4630949730938</v>
      </c>
      <c r="CB103">
        <v>3.9627505871960311</v>
      </c>
      <c r="CC103">
        <v>0.98018058122337237</v>
      </c>
      <c r="CD103">
        <v>-4.1451343715239218E-3</v>
      </c>
      <c r="CE103">
        <v>289.99999999999989</v>
      </c>
      <c r="CF103">
        <v>1157.1199999999999</v>
      </c>
      <c r="CG103">
        <v>655</v>
      </c>
      <c r="CH103">
        <v>8015.12</v>
      </c>
      <c r="CI103">
        <v>1163.18</v>
      </c>
      <c r="CJ103">
        <v>-6.06</v>
      </c>
      <c r="CX103">
        <f t="shared" si="134"/>
        <v>1800.08</v>
      </c>
      <c r="CY103">
        <f t="shared" si="135"/>
        <v>1513.2518992628864</v>
      </c>
      <c r="CZ103">
        <f t="shared" si="136"/>
        <v>0.84065813700662551</v>
      </c>
      <c r="DA103">
        <f t="shared" si="137"/>
        <v>0.16087020442278732</v>
      </c>
      <c r="DB103">
        <v>6</v>
      </c>
      <c r="DC103">
        <v>0.5</v>
      </c>
      <c r="DD103" t="s">
        <v>421</v>
      </c>
      <c r="DE103">
        <v>2</v>
      </c>
      <c r="DF103">
        <v>1689016003.5999999</v>
      </c>
      <c r="DG103">
        <v>615.54100000000005</v>
      </c>
      <c r="DH103">
        <v>700.07299999999998</v>
      </c>
      <c r="DI103">
        <v>28.757200000000001</v>
      </c>
      <c r="DJ103">
        <v>20.352799999999998</v>
      </c>
      <c r="DK103">
        <v>614.47699999999998</v>
      </c>
      <c r="DL103">
        <v>28.4969</v>
      </c>
      <c r="DM103">
        <v>500.08</v>
      </c>
      <c r="DN103">
        <v>99.154799999999994</v>
      </c>
      <c r="DO103">
        <v>9.9925299999999995E-2</v>
      </c>
      <c r="DP103">
        <v>30.491900000000001</v>
      </c>
      <c r="DQ103">
        <v>29.959299999999999</v>
      </c>
      <c r="DR103">
        <v>999.9</v>
      </c>
      <c r="DS103">
        <v>0</v>
      </c>
      <c r="DT103">
        <v>0</v>
      </c>
      <c r="DU103">
        <v>10039.4</v>
      </c>
      <c r="DV103">
        <v>0</v>
      </c>
      <c r="DW103">
        <v>1564.22</v>
      </c>
      <c r="DX103">
        <v>-84.532700000000006</v>
      </c>
      <c r="DY103">
        <v>633.76599999999996</v>
      </c>
      <c r="DZ103">
        <v>714.61800000000005</v>
      </c>
      <c r="EA103">
        <v>8.4043700000000001</v>
      </c>
      <c r="EB103">
        <v>700.07299999999998</v>
      </c>
      <c r="EC103">
        <v>20.352799999999998</v>
      </c>
      <c r="ED103">
        <v>2.85141</v>
      </c>
      <c r="EE103">
        <v>2.0180799999999999</v>
      </c>
      <c r="EF103">
        <v>23.184799999999999</v>
      </c>
      <c r="EG103">
        <v>17.5869</v>
      </c>
      <c r="EH103">
        <v>1800.08</v>
      </c>
      <c r="EI103">
        <v>0.97799899999999995</v>
      </c>
      <c r="EJ103">
        <v>2.2001400000000001E-2</v>
      </c>
      <c r="EK103">
        <v>0</v>
      </c>
      <c r="EL103">
        <v>787.03700000000003</v>
      </c>
      <c r="EM103">
        <v>5.0011200000000002</v>
      </c>
      <c r="EN103">
        <v>15787.8</v>
      </c>
      <c r="EO103">
        <v>17211.599999999999</v>
      </c>
      <c r="EP103">
        <v>49.061999999999998</v>
      </c>
      <c r="EQ103">
        <v>50.625</v>
      </c>
      <c r="ER103">
        <v>50.125</v>
      </c>
      <c r="ES103">
        <v>49.811999999999998</v>
      </c>
      <c r="ET103">
        <v>49.875</v>
      </c>
      <c r="EU103">
        <v>1755.59</v>
      </c>
      <c r="EV103">
        <v>39.49</v>
      </c>
      <c r="EW103">
        <v>0</v>
      </c>
      <c r="EX103">
        <v>134.60000014305109</v>
      </c>
      <c r="EY103">
        <v>0</v>
      </c>
      <c r="EZ103">
        <v>787.30459999999994</v>
      </c>
      <c r="FA103">
        <v>-0.4353076951306451</v>
      </c>
      <c r="FB103">
        <v>558.27692329270951</v>
      </c>
      <c r="FC103">
        <v>15735.4</v>
      </c>
      <c r="FD103">
        <v>15</v>
      </c>
      <c r="FE103">
        <v>1689015958.5999999</v>
      </c>
      <c r="FF103" t="s">
        <v>865</v>
      </c>
      <c r="FG103">
        <v>1689015948.5999999</v>
      </c>
      <c r="FH103">
        <v>1689015958.5999999</v>
      </c>
      <c r="FI103">
        <v>97</v>
      </c>
      <c r="FJ103">
        <v>-0.121</v>
      </c>
      <c r="FK103">
        <v>1E-3</v>
      </c>
      <c r="FL103">
        <v>1.131</v>
      </c>
      <c r="FM103">
        <v>0.21199999999999999</v>
      </c>
      <c r="FN103">
        <v>700</v>
      </c>
      <c r="FO103">
        <v>20</v>
      </c>
      <c r="FP103">
        <v>0.06</v>
      </c>
      <c r="FQ103">
        <v>0.01</v>
      </c>
      <c r="FR103">
        <v>65.825634506548212</v>
      </c>
      <c r="FS103">
        <v>0.62636663378474522</v>
      </c>
      <c r="FT103">
        <v>0.12004233631239621</v>
      </c>
      <c r="FU103">
        <v>1</v>
      </c>
      <c r="FV103">
        <v>0.55019436804155852</v>
      </c>
      <c r="FW103">
        <v>-2.914659233110874E-2</v>
      </c>
      <c r="FX103">
        <v>2.214015760087451E-3</v>
      </c>
      <c r="FY103">
        <v>1</v>
      </c>
      <c r="FZ103">
        <v>2</v>
      </c>
      <c r="GA103">
        <v>2</v>
      </c>
      <c r="GB103" t="s">
        <v>423</v>
      </c>
      <c r="GC103">
        <v>2.9239000000000002</v>
      </c>
      <c r="GD103">
        <v>2.8275600000000001</v>
      </c>
      <c r="GE103">
        <v>0.120589</v>
      </c>
      <c r="GF103">
        <v>0.132325</v>
      </c>
      <c r="GG103">
        <v>0.126723</v>
      </c>
      <c r="GH103">
        <v>9.9957299999999999E-2</v>
      </c>
      <c r="GI103">
        <v>28623.4</v>
      </c>
      <c r="GJ103">
        <v>22913.4</v>
      </c>
      <c r="GK103">
        <v>31324.7</v>
      </c>
      <c r="GL103">
        <v>26053.5</v>
      </c>
      <c r="GM103">
        <v>37504.400000000001</v>
      </c>
      <c r="GN103">
        <v>31808.5</v>
      </c>
      <c r="GO103">
        <v>46517.5</v>
      </c>
      <c r="GP103">
        <v>37879.1</v>
      </c>
      <c r="GQ103">
        <v>1.91133</v>
      </c>
      <c r="GR103">
        <v>1.7021200000000001</v>
      </c>
      <c r="GS103">
        <v>-4.2021299999999998E-2</v>
      </c>
      <c r="GT103">
        <v>0</v>
      </c>
      <c r="GU103">
        <v>30.642800000000001</v>
      </c>
      <c r="GV103">
        <v>999.9</v>
      </c>
      <c r="GW103">
        <v>37.9</v>
      </c>
      <c r="GX103">
        <v>46.5</v>
      </c>
      <c r="GY103">
        <v>39.790399999999998</v>
      </c>
      <c r="GZ103">
        <v>62.184100000000001</v>
      </c>
      <c r="HA103">
        <v>22.087299999999999</v>
      </c>
      <c r="HB103">
        <v>1</v>
      </c>
      <c r="HC103">
        <v>0.59420700000000004</v>
      </c>
      <c r="HD103">
        <v>2.4848300000000001</v>
      </c>
      <c r="HE103">
        <v>20.278300000000002</v>
      </c>
      <c r="HF103">
        <v>5.2226800000000004</v>
      </c>
      <c r="HG103">
        <v>12.059100000000001</v>
      </c>
      <c r="HH103">
        <v>4.99275</v>
      </c>
      <c r="HI103">
        <v>3.2919999999999998</v>
      </c>
      <c r="HJ103">
        <v>9999</v>
      </c>
      <c r="HK103">
        <v>9999</v>
      </c>
      <c r="HL103">
        <v>9999</v>
      </c>
      <c r="HM103">
        <v>465.6</v>
      </c>
      <c r="HN103">
        <v>1.8669100000000001</v>
      </c>
      <c r="HO103">
        <v>1.87036</v>
      </c>
      <c r="HP103">
        <v>1.8730199999999999</v>
      </c>
      <c r="HQ103">
        <v>1.8739300000000001</v>
      </c>
      <c r="HR103">
        <v>1.8706700000000001</v>
      </c>
      <c r="HS103">
        <v>1.8690500000000001</v>
      </c>
      <c r="HT103">
        <v>1.8704700000000001</v>
      </c>
      <c r="HU103">
        <v>1.87347</v>
      </c>
      <c r="HV103">
        <v>0</v>
      </c>
      <c r="HW103">
        <v>0</v>
      </c>
      <c r="HX103">
        <v>0</v>
      </c>
      <c r="HY103">
        <v>0</v>
      </c>
      <c r="HZ103" t="s">
        <v>424</v>
      </c>
      <c r="IA103" t="s">
        <v>425</v>
      </c>
      <c r="IB103" t="s">
        <v>426</v>
      </c>
      <c r="IC103" t="s">
        <v>426</v>
      </c>
      <c r="ID103" t="s">
        <v>426</v>
      </c>
      <c r="IE103" t="s">
        <v>426</v>
      </c>
      <c r="IF103">
        <v>0</v>
      </c>
      <c r="IG103">
        <v>100</v>
      </c>
      <c r="IH103">
        <v>100</v>
      </c>
      <c r="II103">
        <v>1.0640000000000001</v>
      </c>
      <c r="IJ103">
        <v>0.26029999999999998</v>
      </c>
      <c r="IK103">
        <v>-4.7459410940469918E-2</v>
      </c>
      <c r="IL103">
        <v>3.042515301972944E-3</v>
      </c>
      <c r="IM103">
        <v>-2.5091471490852929E-6</v>
      </c>
      <c r="IN103">
        <v>8.1339755115576286E-10</v>
      </c>
      <c r="IO103">
        <v>0.26028573319048381</v>
      </c>
      <c r="IP103">
        <v>0</v>
      </c>
      <c r="IQ103">
        <v>0</v>
      </c>
      <c r="IR103">
        <v>0</v>
      </c>
      <c r="IS103">
        <v>3</v>
      </c>
      <c r="IT103">
        <v>2004</v>
      </c>
      <c r="IU103">
        <v>2</v>
      </c>
      <c r="IV103">
        <v>22</v>
      </c>
      <c r="IW103">
        <v>0.9</v>
      </c>
      <c r="IX103">
        <v>0.8</v>
      </c>
      <c r="IY103">
        <v>1.6186499999999999</v>
      </c>
      <c r="IZ103">
        <v>2.6049799999999999</v>
      </c>
      <c r="JA103">
        <v>1.64917</v>
      </c>
      <c r="JB103">
        <v>2.33765</v>
      </c>
      <c r="JC103">
        <v>1.5991200000000001</v>
      </c>
      <c r="JD103">
        <v>2.3107899999999999</v>
      </c>
      <c r="JE103">
        <v>48.1785</v>
      </c>
      <c r="JF103">
        <v>24.210100000000001</v>
      </c>
      <c r="JG103">
        <v>18</v>
      </c>
      <c r="JH103">
        <v>519.05999999999995</v>
      </c>
      <c r="JI103">
        <v>430.01600000000002</v>
      </c>
      <c r="JJ103">
        <v>27.5303</v>
      </c>
      <c r="JK103">
        <v>34.449599999999997</v>
      </c>
      <c r="JL103">
        <v>30.0001</v>
      </c>
      <c r="JM103">
        <v>34.5154</v>
      </c>
      <c r="JN103">
        <v>34.514400000000002</v>
      </c>
      <c r="JO103">
        <v>32.4</v>
      </c>
      <c r="JP103">
        <v>56.153599999999997</v>
      </c>
      <c r="JQ103">
        <v>0</v>
      </c>
      <c r="JR103">
        <v>27.540400000000002</v>
      </c>
      <c r="JS103">
        <v>700</v>
      </c>
      <c r="JT103">
        <v>20.456900000000001</v>
      </c>
      <c r="JU103">
        <v>99.283000000000001</v>
      </c>
      <c r="JV103">
        <v>99.057000000000002</v>
      </c>
    </row>
    <row r="104" spans="1:282" x14ac:dyDescent="0.25">
      <c r="A104">
        <v>88</v>
      </c>
      <c r="B104">
        <v>1689016167.5999999</v>
      </c>
      <c r="C104">
        <v>16572.5</v>
      </c>
      <c r="D104" t="s">
        <v>866</v>
      </c>
      <c r="E104" t="s">
        <v>867</v>
      </c>
      <c r="F104" t="s">
        <v>414</v>
      </c>
      <c r="G104" t="s">
        <v>415</v>
      </c>
      <c r="H104" t="s">
        <v>31</v>
      </c>
      <c r="I104" t="s">
        <v>416</v>
      </c>
      <c r="J104" t="s">
        <v>417</v>
      </c>
      <c r="K104">
        <v>1689016167.5999999</v>
      </c>
      <c r="L104">
        <f t="shared" si="92"/>
        <v>6.4887521471946883E-3</v>
      </c>
      <c r="M104">
        <f t="shared" si="93"/>
        <v>6.4887521471946883</v>
      </c>
      <c r="N104">
        <f t="shared" si="94"/>
        <v>65.291074490433815</v>
      </c>
      <c r="O104">
        <f t="shared" si="95"/>
        <v>815.39700000000005</v>
      </c>
      <c r="P104">
        <f t="shared" si="96"/>
        <v>562.66930953667156</v>
      </c>
      <c r="Q104">
        <f t="shared" si="97"/>
        <v>55.846219172241412</v>
      </c>
      <c r="R104">
        <f t="shared" si="98"/>
        <v>80.93002195532101</v>
      </c>
      <c r="S104">
        <f t="shared" si="99"/>
        <v>0.47580050005721847</v>
      </c>
      <c r="T104">
        <f t="shared" si="100"/>
        <v>2.9106899945086604</v>
      </c>
      <c r="U104">
        <f t="shared" si="101"/>
        <v>0.43643427605428708</v>
      </c>
      <c r="V104">
        <f t="shared" si="102"/>
        <v>0.27603639207492336</v>
      </c>
      <c r="W104">
        <f t="shared" si="103"/>
        <v>289.56168157728411</v>
      </c>
      <c r="X104">
        <f t="shared" si="104"/>
        <v>30.420269220170493</v>
      </c>
      <c r="Y104">
        <f t="shared" si="105"/>
        <v>29.9175</v>
      </c>
      <c r="Z104">
        <f t="shared" si="106"/>
        <v>4.2403022814685025</v>
      </c>
      <c r="AA104">
        <f t="shared" si="107"/>
        <v>64.622466486427598</v>
      </c>
      <c r="AB104">
        <f t="shared" si="108"/>
        <v>2.8171175331362002</v>
      </c>
      <c r="AC104">
        <f t="shared" si="109"/>
        <v>4.3593469675563501</v>
      </c>
      <c r="AD104">
        <f t="shared" si="110"/>
        <v>1.4231847483323024</v>
      </c>
      <c r="AE104">
        <f t="shared" si="111"/>
        <v>-286.15396969128574</v>
      </c>
      <c r="AF104">
        <f t="shared" si="112"/>
        <v>75.730132021654384</v>
      </c>
      <c r="AG104">
        <f t="shared" si="113"/>
        <v>5.7942173449646264</v>
      </c>
      <c r="AH104">
        <f t="shared" si="114"/>
        <v>84.932061252617387</v>
      </c>
      <c r="AI104">
        <v>0</v>
      </c>
      <c r="AJ104">
        <v>0</v>
      </c>
      <c r="AK104">
        <f t="shared" si="115"/>
        <v>1</v>
      </c>
      <c r="AL104">
        <f t="shared" si="116"/>
        <v>0</v>
      </c>
      <c r="AM104">
        <f t="shared" si="117"/>
        <v>51729.257698176407</v>
      </c>
      <c r="AN104" t="s">
        <v>418</v>
      </c>
      <c r="AO104">
        <v>10021</v>
      </c>
      <c r="AP104">
        <v>177.53923076923081</v>
      </c>
      <c r="AQ104">
        <v>655.56</v>
      </c>
      <c r="AR104">
        <f t="shared" si="118"/>
        <v>0.72917928066198234</v>
      </c>
      <c r="AS104">
        <v>-3.1115002560329539</v>
      </c>
      <c r="AT104" t="s">
        <v>868</v>
      </c>
      <c r="AU104">
        <v>8024.76</v>
      </c>
      <c r="AV104">
        <v>780.55119999999999</v>
      </c>
      <c r="AW104">
        <v>1344.7307546573129</v>
      </c>
      <c r="AX104">
        <f t="shared" si="119"/>
        <v>0.41954833910308442</v>
      </c>
      <c r="AY104">
        <v>0.5</v>
      </c>
      <c r="AZ104">
        <f t="shared" si="120"/>
        <v>1513.1594992628413</v>
      </c>
      <c r="BA104">
        <f t="shared" si="121"/>
        <v>65.291074490433815</v>
      </c>
      <c r="BB104">
        <f t="shared" si="122"/>
        <v>317.42177735689</v>
      </c>
      <c r="BC104">
        <f t="shared" si="123"/>
        <v>4.5205131897721372E-2</v>
      </c>
      <c r="BD104">
        <f t="shared" si="124"/>
        <v>-0.51249720605441129</v>
      </c>
      <c r="BE104">
        <f t="shared" si="125"/>
        <v>206.15208030693549</v>
      </c>
      <c r="BF104" t="s">
        <v>869</v>
      </c>
      <c r="BG104">
        <v>589.07000000000005</v>
      </c>
      <c r="BH104">
        <f t="shared" si="126"/>
        <v>589.07000000000005</v>
      </c>
      <c r="BI104">
        <f t="shared" si="127"/>
        <v>0.56194204828005379</v>
      </c>
      <c r="BJ104">
        <f t="shared" si="128"/>
        <v>0.74660428132616807</v>
      </c>
      <c r="BK104">
        <f t="shared" si="129"/>
        <v>-10.365028645771003</v>
      </c>
      <c r="BL104">
        <f t="shared" si="130"/>
        <v>0.48336502031641737</v>
      </c>
      <c r="BM104">
        <f t="shared" si="131"/>
        <v>-1.4417171784529914</v>
      </c>
      <c r="BN104">
        <f t="shared" si="132"/>
        <v>0.56345078196126774</v>
      </c>
      <c r="BO104">
        <f t="shared" si="133"/>
        <v>0.43654921803873226</v>
      </c>
      <c r="BP104">
        <v>22641</v>
      </c>
      <c r="BQ104">
        <v>290.00000000000011</v>
      </c>
      <c r="BR104">
        <v>1153.99</v>
      </c>
      <c r="BS104">
        <v>295</v>
      </c>
      <c r="BT104">
        <v>8024.76</v>
      </c>
      <c r="BU104">
        <v>1158.02</v>
      </c>
      <c r="BV104">
        <v>-4.03</v>
      </c>
      <c r="BW104">
        <v>300.00000000000011</v>
      </c>
      <c r="BX104">
        <v>19.399999999999999</v>
      </c>
      <c r="BY104">
        <v>1344.7307546573129</v>
      </c>
      <c r="BZ104">
        <v>4.8048971067697384</v>
      </c>
      <c r="CA104">
        <v>-149.83293646351109</v>
      </c>
      <c r="CB104">
        <v>3.541869969271711</v>
      </c>
      <c r="CC104">
        <v>0.98459483938239767</v>
      </c>
      <c r="CD104">
        <v>-4.1448244716351572E-3</v>
      </c>
      <c r="CE104">
        <v>289.99999999999989</v>
      </c>
      <c r="CF104">
        <v>1151.57</v>
      </c>
      <c r="CG104">
        <v>645</v>
      </c>
      <c r="CH104">
        <v>8014.9</v>
      </c>
      <c r="CI104">
        <v>1157.79</v>
      </c>
      <c r="CJ104">
        <v>-6.22</v>
      </c>
      <c r="CX104">
        <f t="shared" si="134"/>
        <v>1799.97</v>
      </c>
      <c r="CY104">
        <f t="shared" si="135"/>
        <v>1513.1594992628413</v>
      </c>
      <c r="CZ104">
        <f t="shared" si="136"/>
        <v>0.84065817722675451</v>
      </c>
      <c r="DA104">
        <f t="shared" si="137"/>
        <v>0.1608702820476364</v>
      </c>
      <c r="DB104">
        <v>6</v>
      </c>
      <c r="DC104">
        <v>0.5</v>
      </c>
      <c r="DD104" t="s">
        <v>421</v>
      </c>
      <c r="DE104">
        <v>2</v>
      </c>
      <c r="DF104">
        <v>1689016167.5999999</v>
      </c>
      <c r="DG104">
        <v>815.39700000000005</v>
      </c>
      <c r="DH104">
        <v>900.08199999999999</v>
      </c>
      <c r="DI104">
        <v>28.383400000000002</v>
      </c>
      <c r="DJ104">
        <v>20.819099999999999</v>
      </c>
      <c r="DK104">
        <v>814.19200000000001</v>
      </c>
      <c r="DL104">
        <v>28.128599999999999</v>
      </c>
      <c r="DM104">
        <v>500.07900000000001</v>
      </c>
      <c r="DN104">
        <v>99.151899999999998</v>
      </c>
      <c r="DO104">
        <v>0.100393</v>
      </c>
      <c r="DP104">
        <v>30.400099999999998</v>
      </c>
      <c r="DQ104">
        <v>29.9175</v>
      </c>
      <c r="DR104">
        <v>999.9</v>
      </c>
      <c r="DS104">
        <v>0</v>
      </c>
      <c r="DT104">
        <v>0</v>
      </c>
      <c r="DU104">
        <v>9977.5</v>
      </c>
      <c r="DV104">
        <v>0</v>
      </c>
      <c r="DW104">
        <v>1518.18</v>
      </c>
      <c r="DX104">
        <v>-84.684799999999996</v>
      </c>
      <c r="DY104">
        <v>839.21699999999998</v>
      </c>
      <c r="DZ104">
        <v>919.21900000000005</v>
      </c>
      <c r="EA104">
        <v>7.5642800000000001</v>
      </c>
      <c r="EB104">
        <v>900.08199999999999</v>
      </c>
      <c r="EC104">
        <v>20.819099999999999</v>
      </c>
      <c r="ED104">
        <v>2.81427</v>
      </c>
      <c r="EE104">
        <v>2.06426</v>
      </c>
      <c r="EF104">
        <v>22.968</v>
      </c>
      <c r="EG104">
        <v>17.946000000000002</v>
      </c>
      <c r="EH104">
        <v>1799.97</v>
      </c>
      <c r="EI104">
        <v>0.97799899999999995</v>
      </c>
      <c r="EJ104">
        <v>2.2001400000000001E-2</v>
      </c>
      <c r="EK104">
        <v>0</v>
      </c>
      <c r="EL104">
        <v>780.31500000000005</v>
      </c>
      <c r="EM104">
        <v>5.0011200000000002</v>
      </c>
      <c r="EN104">
        <v>15636.6</v>
      </c>
      <c r="EO104">
        <v>17210.599999999999</v>
      </c>
      <c r="EP104">
        <v>49.186999999999998</v>
      </c>
      <c r="EQ104">
        <v>50.625</v>
      </c>
      <c r="ER104">
        <v>50.25</v>
      </c>
      <c r="ES104">
        <v>49.811999999999998</v>
      </c>
      <c r="ET104">
        <v>49.936999999999998</v>
      </c>
      <c r="EU104">
        <v>1755.48</v>
      </c>
      <c r="EV104">
        <v>39.49</v>
      </c>
      <c r="EW104">
        <v>0</v>
      </c>
      <c r="EX104">
        <v>162.20000004768369</v>
      </c>
      <c r="EY104">
        <v>0</v>
      </c>
      <c r="EZ104">
        <v>780.55119999999999</v>
      </c>
      <c r="FA104">
        <v>-3.8619230775392359</v>
      </c>
      <c r="FB104">
        <v>1195.2461555751361</v>
      </c>
      <c r="FC104">
        <v>15553.688</v>
      </c>
      <c r="FD104">
        <v>15</v>
      </c>
      <c r="FE104">
        <v>1689016085.5999999</v>
      </c>
      <c r="FF104" t="s">
        <v>870</v>
      </c>
      <c r="FG104">
        <v>1689015948.5999999</v>
      </c>
      <c r="FH104">
        <v>1689016073.0999999</v>
      </c>
      <c r="FI104">
        <v>98</v>
      </c>
      <c r="FJ104">
        <v>-0.121</v>
      </c>
      <c r="FK104">
        <v>-5.0000000000000001E-3</v>
      </c>
      <c r="FL104">
        <v>1.131</v>
      </c>
      <c r="FM104">
        <v>0.215</v>
      </c>
      <c r="FN104">
        <v>700</v>
      </c>
      <c r="FO104">
        <v>20</v>
      </c>
      <c r="FP104">
        <v>0.06</v>
      </c>
      <c r="FQ104">
        <v>0.05</v>
      </c>
      <c r="FR104">
        <v>65.122720619105849</v>
      </c>
      <c r="FS104">
        <v>0.20834378907507439</v>
      </c>
      <c r="FT104">
        <v>0.17785054038831771</v>
      </c>
      <c r="FU104">
        <v>1</v>
      </c>
      <c r="FV104">
        <v>0.48040831954065788</v>
      </c>
      <c r="FW104">
        <v>-3.431014485022553E-2</v>
      </c>
      <c r="FX104">
        <v>3.123696965568086E-3</v>
      </c>
      <c r="FY104">
        <v>1</v>
      </c>
      <c r="FZ104">
        <v>2</v>
      </c>
      <c r="GA104">
        <v>2</v>
      </c>
      <c r="GB104" t="s">
        <v>423</v>
      </c>
      <c r="GC104">
        <v>2.9237799999999998</v>
      </c>
      <c r="GD104">
        <v>2.8274900000000001</v>
      </c>
      <c r="GE104">
        <v>0.14624500000000001</v>
      </c>
      <c r="GF104">
        <v>0.15662300000000001</v>
      </c>
      <c r="GG104">
        <v>0.125559</v>
      </c>
      <c r="GH104">
        <v>0.10155599999999999</v>
      </c>
      <c r="GI104">
        <v>27778.400000000001</v>
      </c>
      <c r="GJ104">
        <v>22265.1</v>
      </c>
      <c r="GK104">
        <v>31315.1</v>
      </c>
      <c r="GL104">
        <v>26046.799999999999</v>
      </c>
      <c r="GM104">
        <v>37543.4</v>
      </c>
      <c r="GN104">
        <v>31745.200000000001</v>
      </c>
      <c r="GO104">
        <v>46502.9</v>
      </c>
      <c r="GP104">
        <v>37870.400000000001</v>
      </c>
      <c r="GQ104">
        <v>1.9097</v>
      </c>
      <c r="GR104">
        <v>1.7016800000000001</v>
      </c>
      <c r="GS104">
        <v>-2.65986E-2</v>
      </c>
      <c r="GT104">
        <v>0</v>
      </c>
      <c r="GU104">
        <v>30.350200000000001</v>
      </c>
      <c r="GV104">
        <v>999.9</v>
      </c>
      <c r="GW104">
        <v>37.9</v>
      </c>
      <c r="GX104">
        <v>46.5</v>
      </c>
      <c r="GY104">
        <v>39.786999999999999</v>
      </c>
      <c r="GZ104">
        <v>62.734200000000001</v>
      </c>
      <c r="HA104">
        <v>21.9832</v>
      </c>
      <c r="HB104">
        <v>1</v>
      </c>
      <c r="HC104">
        <v>0.60114100000000004</v>
      </c>
      <c r="HD104">
        <v>1.4538</v>
      </c>
      <c r="HE104">
        <v>20.2895</v>
      </c>
      <c r="HF104">
        <v>5.2246300000000003</v>
      </c>
      <c r="HG104">
        <v>12.058199999999999</v>
      </c>
      <c r="HH104">
        <v>4.9920999999999998</v>
      </c>
      <c r="HI104">
        <v>3.2919999999999998</v>
      </c>
      <c r="HJ104">
        <v>9999</v>
      </c>
      <c r="HK104">
        <v>9999</v>
      </c>
      <c r="HL104">
        <v>9999</v>
      </c>
      <c r="HM104">
        <v>465.6</v>
      </c>
      <c r="HN104">
        <v>1.8669100000000001</v>
      </c>
      <c r="HO104">
        <v>1.8703700000000001</v>
      </c>
      <c r="HP104">
        <v>1.8730199999999999</v>
      </c>
      <c r="HQ104">
        <v>1.87391</v>
      </c>
      <c r="HR104">
        <v>1.8707100000000001</v>
      </c>
      <c r="HS104">
        <v>1.86904</v>
      </c>
      <c r="HT104">
        <v>1.87046</v>
      </c>
      <c r="HU104">
        <v>1.87347</v>
      </c>
      <c r="HV104">
        <v>0</v>
      </c>
      <c r="HW104">
        <v>0</v>
      </c>
      <c r="HX104">
        <v>0</v>
      </c>
      <c r="HY104">
        <v>0</v>
      </c>
      <c r="HZ104" t="s">
        <v>424</v>
      </c>
      <c r="IA104" t="s">
        <v>425</v>
      </c>
      <c r="IB104" t="s">
        <v>426</v>
      </c>
      <c r="IC104" t="s">
        <v>426</v>
      </c>
      <c r="ID104" t="s">
        <v>426</v>
      </c>
      <c r="IE104" t="s">
        <v>426</v>
      </c>
      <c r="IF104">
        <v>0</v>
      </c>
      <c r="IG104">
        <v>100</v>
      </c>
      <c r="IH104">
        <v>100</v>
      </c>
      <c r="II104">
        <v>1.2050000000000001</v>
      </c>
      <c r="IJ104">
        <v>0.25480000000000003</v>
      </c>
      <c r="IK104">
        <v>-4.7459410940469918E-2</v>
      </c>
      <c r="IL104">
        <v>3.042515301972944E-3</v>
      </c>
      <c r="IM104">
        <v>-2.5091471490852929E-6</v>
      </c>
      <c r="IN104">
        <v>8.1339755115576286E-10</v>
      </c>
      <c r="IO104">
        <v>0.2547922569419005</v>
      </c>
      <c r="IP104">
        <v>0</v>
      </c>
      <c r="IQ104">
        <v>0</v>
      </c>
      <c r="IR104">
        <v>0</v>
      </c>
      <c r="IS104">
        <v>3</v>
      </c>
      <c r="IT104">
        <v>2004</v>
      </c>
      <c r="IU104">
        <v>2</v>
      </c>
      <c r="IV104">
        <v>22</v>
      </c>
      <c r="IW104">
        <v>3.6</v>
      </c>
      <c r="IX104">
        <v>1.6</v>
      </c>
      <c r="IY104">
        <v>1.9934099999999999</v>
      </c>
      <c r="IZ104">
        <v>2.6086399999999998</v>
      </c>
      <c r="JA104">
        <v>1.64917</v>
      </c>
      <c r="JB104">
        <v>2.33765</v>
      </c>
      <c r="JC104">
        <v>1.5991200000000001</v>
      </c>
      <c r="JD104">
        <v>2.3168899999999999</v>
      </c>
      <c r="JE104">
        <v>48.1785</v>
      </c>
      <c r="JF104">
        <v>24.218800000000002</v>
      </c>
      <c r="JG104">
        <v>18</v>
      </c>
      <c r="JH104">
        <v>518.62199999999996</v>
      </c>
      <c r="JI104">
        <v>430.26400000000001</v>
      </c>
      <c r="JJ104">
        <v>28.1586</v>
      </c>
      <c r="JK104">
        <v>34.545900000000003</v>
      </c>
      <c r="JL104">
        <v>29.9998</v>
      </c>
      <c r="JM104">
        <v>34.599899999999998</v>
      </c>
      <c r="JN104">
        <v>34.592100000000002</v>
      </c>
      <c r="JO104">
        <v>39.899700000000003</v>
      </c>
      <c r="JP104">
        <v>56.349699999999999</v>
      </c>
      <c r="JQ104">
        <v>0</v>
      </c>
      <c r="JR104">
        <v>28.215</v>
      </c>
      <c r="JS104">
        <v>900</v>
      </c>
      <c r="JT104">
        <v>20.9176</v>
      </c>
      <c r="JU104">
        <v>99.252099999999999</v>
      </c>
      <c r="JV104">
        <v>99.033299999999997</v>
      </c>
    </row>
    <row r="105" spans="1:282" x14ac:dyDescent="0.25">
      <c r="A105">
        <v>89</v>
      </c>
      <c r="B105">
        <v>1689016267.0999999</v>
      </c>
      <c r="C105">
        <v>16672</v>
      </c>
      <c r="D105" t="s">
        <v>871</v>
      </c>
      <c r="E105" t="s">
        <v>872</v>
      </c>
      <c r="F105" t="s">
        <v>414</v>
      </c>
      <c r="G105" t="s">
        <v>415</v>
      </c>
      <c r="H105" t="s">
        <v>31</v>
      </c>
      <c r="I105" t="s">
        <v>416</v>
      </c>
      <c r="J105" t="s">
        <v>417</v>
      </c>
      <c r="K105">
        <v>1689016267.0999999</v>
      </c>
      <c r="L105">
        <f t="shared" si="92"/>
        <v>5.7663223475809874E-3</v>
      </c>
      <c r="M105">
        <f t="shared" si="93"/>
        <v>5.7663223475809877</v>
      </c>
      <c r="N105">
        <f t="shared" si="94"/>
        <v>64.837258915811432</v>
      </c>
      <c r="O105">
        <f t="shared" si="95"/>
        <v>1114.4870000000001</v>
      </c>
      <c r="P105">
        <f t="shared" si="96"/>
        <v>831.81220982976538</v>
      </c>
      <c r="Q105">
        <f t="shared" si="97"/>
        <v>82.561595167483702</v>
      </c>
      <c r="R105">
        <f t="shared" si="98"/>
        <v>110.61850670868911</v>
      </c>
      <c r="S105">
        <f t="shared" si="99"/>
        <v>0.42637546962455219</v>
      </c>
      <c r="T105">
        <f t="shared" si="100"/>
        <v>2.9127202640701562</v>
      </c>
      <c r="U105">
        <f t="shared" si="101"/>
        <v>0.39448979142087182</v>
      </c>
      <c r="V105">
        <f t="shared" si="102"/>
        <v>0.24922191748243816</v>
      </c>
      <c r="W105">
        <f t="shared" si="103"/>
        <v>289.55689357726044</v>
      </c>
      <c r="X105">
        <f t="shared" si="104"/>
        <v>30.678960176210744</v>
      </c>
      <c r="Y105">
        <f t="shared" si="105"/>
        <v>29.982399999999998</v>
      </c>
      <c r="Z105">
        <f t="shared" si="106"/>
        <v>4.2561446545691943</v>
      </c>
      <c r="AA105">
        <f t="shared" si="107"/>
        <v>65.281067712567435</v>
      </c>
      <c r="AB105">
        <f t="shared" si="108"/>
        <v>2.8573058832237499</v>
      </c>
      <c r="AC105">
        <f t="shared" si="109"/>
        <v>4.3769288452886048</v>
      </c>
      <c r="AD105">
        <f t="shared" si="110"/>
        <v>1.3988387713454444</v>
      </c>
      <c r="AE105">
        <f t="shared" si="111"/>
        <v>-254.29481552832155</v>
      </c>
      <c r="AF105">
        <f t="shared" si="112"/>
        <v>76.630920539757014</v>
      </c>
      <c r="AG105">
        <f t="shared" si="113"/>
        <v>5.8629715125177366</v>
      </c>
      <c r="AH105">
        <f t="shared" si="114"/>
        <v>117.75597010121363</v>
      </c>
      <c r="AI105">
        <v>0</v>
      </c>
      <c r="AJ105">
        <v>0</v>
      </c>
      <c r="AK105">
        <f t="shared" si="115"/>
        <v>1</v>
      </c>
      <c r="AL105">
        <f t="shared" si="116"/>
        <v>0</v>
      </c>
      <c r="AM105">
        <f t="shared" si="117"/>
        <v>51775.001943676107</v>
      </c>
      <c r="AN105" t="s">
        <v>418</v>
      </c>
      <c r="AO105">
        <v>10021</v>
      </c>
      <c r="AP105">
        <v>177.53923076923081</v>
      </c>
      <c r="AQ105">
        <v>655.56</v>
      </c>
      <c r="AR105">
        <f t="shared" si="118"/>
        <v>0.72917928066198234</v>
      </c>
      <c r="AS105">
        <v>-3.1115002560329539</v>
      </c>
      <c r="AT105" t="s">
        <v>873</v>
      </c>
      <c r="AU105">
        <v>8024.86</v>
      </c>
      <c r="AV105">
        <v>777.77553846153853</v>
      </c>
      <c r="AW105">
        <v>1346.0523816800619</v>
      </c>
      <c r="AX105">
        <f t="shared" si="119"/>
        <v>0.4221803333606039</v>
      </c>
      <c r="AY105">
        <v>0.5</v>
      </c>
      <c r="AZ105">
        <f t="shared" si="120"/>
        <v>1513.1342992628295</v>
      </c>
      <c r="BA105">
        <f t="shared" si="121"/>
        <v>64.837258915811432</v>
      </c>
      <c r="BB105">
        <f t="shared" si="122"/>
        <v>319.40777144107255</v>
      </c>
      <c r="BC105">
        <f t="shared" si="123"/>
        <v>4.4905967173533602E-2</v>
      </c>
      <c r="BD105">
        <f t="shared" si="124"/>
        <v>-0.51297586266162298</v>
      </c>
      <c r="BE105">
        <f t="shared" si="125"/>
        <v>206.18311535559434</v>
      </c>
      <c r="BF105" t="s">
        <v>874</v>
      </c>
      <c r="BG105">
        <v>594.67999999999995</v>
      </c>
      <c r="BH105">
        <f t="shared" si="126"/>
        <v>594.67999999999995</v>
      </c>
      <c r="BI105">
        <f t="shared" si="127"/>
        <v>0.55820441455795655</v>
      </c>
      <c r="BJ105">
        <f t="shared" si="128"/>
        <v>0.75631851406071304</v>
      </c>
      <c r="BK105">
        <f t="shared" si="129"/>
        <v>-11.341859094613371</v>
      </c>
      <c r="BL105">
        <f t="shared" si="130"/>
        <v>0.48632473051378478</v>
      </c>
      <c r="BM105">
        <f t="shared" si="131"/>
        <v>-1.4444819684115442</v>
      </c>
      <c r="BN105">
        <f t="shared" si="132"/>
        <v>0.57827415713186003</v>
      </c>
      <c r="BO105">
        <f t="shared" si="133"/>
        <v>0.42172584286813997</v>
      </c>
      <c r="BP105">
        <v>22643</v>
      </c>
      <c r="BQ105">
        <v>290.00000000000011</v>
      </c>
      <c r="BR105">
        <v>1153.42</v>
      </c>
      <c r="BS105">
        <v>295</v>
      </c>
      <c r="BT105">
        <v>8024.86</v>
      </c>
      <c r="BU105">
        <v>1156.5</v>
      </c>
      <c r="BV105">
        <v>-3.08</v>
      </c>
      <c r="BW105">
        <v>300.00000000000011</v>
      </c>
      <c r="BX105">
        <v>19.399999999999999</v>
      </c>
      <c r="BY105">
        <v>1346.0523816800619</v>
      </c>
      <c r="BZ105">
        <v>4.2907987271076156</v>
      </c>
      <c r="CA105">
        <v>-152.1126042382065</v>
      </c>
      <c r="CB105">
        <v>3.1629337463602609</v>
      </c>
      <c r="CC105">
        <v>0.9880386077423694</v>
      </c>
      <c r="CD105">
        <v>-4.1451161290322579E-3</v>
      </c>
      <c r="CE105">
        <v>289.99999999999989</v>
      </c>
      <c r="CF105">
        <v>1149.02</v>
      </c>
      <c r="CG105">
        <v>645</v>
      </c>
      <c r="CH105">
        <v>8014.98</v>
      </c>
      <c r="CI105">
        <v>1156.27</v>
      </c>
      <c r="CJ105">
        <v>-7.25</v>
      </c>
      <c r="CX105">
        <f t="shared" si="134"/>
        <v>1799.94</v>
      </c>
      <c r="CY105">
        <f t="shared" si="135"/>
        <v>1513.1342992628295</v>
      </c>
      <c r="CZ105">
        <f t="shared" si="136"/>
        <v>0.84065818819673399</v>
      </c>
      <c r="DA105">
        <f t="shared" si="137"/>
        <v>0.16087030321969645</v>
      </c>
      <c r="DB105">
        <v>6</v>
      </c>
      <c r="DC105">
        <v>0.5</v>
      </c>
      <c r="DD105" t="s">
        <v>421</v>
      </c>
      <c r="DE105">
        <v>2</v>
      </c>
      <c r="DF105">
        <v>1689016267.0999999</v>
      </c>
      <c r="DG105">
        <v>1114.4870000000001</v>
      </c>
      <c r="DH105">
        <v>1200.01</v>
      </c>
      <c r="DI105">
        <v>28.787500000000001</v>
      </c>
      <c r="DJ105">
        <v>22.066600000000001</v>
      </c>
      <c r="DK105">
        <v>1113.48</v>
      </c>
      <c r="DL105">
        <v>28.540500000000002</v>
      </c>
      <c r="DM105">
        <v>499.96199999999999</v>
      </c>
      <c r="DN105">
        <v>99.155299999999997</v>
      </c>
      <c r="DO105">
        <v>9.9789299999999997E-2</v>
      </c>
      <c r="DP105">
        <v>30.470400000000001</v>
      </c>
      <c r="DQ105">
        <v>29.982399999999998</v>
      </c>
      <c r="DR105">
        <v>999.9</v>
      </c>
      <c r="DS105">
        <v>0</v>
      </c>
      <c r="DT105">
        <v>0</v>
      </c>
      <c r="DU105">
        <v>9988.75</v>
      </c>
      <c r="DV105">
        <v>0</v>
      </c>
      <c r="DW105">
        <v>1462.98</v>
      </c>
      <c r="DX105">
        <v>-85.177099999999996</v>
      </c>
      <c r="DY105">
        <v>1147.8800000000001</v>
      </c>
      <c r="DZ105">
        <v>1227.08</v>
      </c>
      <c r="EA105">
        <v>6.7286599999999996</v>
      </c>
      <c r="EB105">
        <v>1200.01</v>
      </c>
      <c r="EC105">
        <v>22.066600000000001</v>
      </c>
      <c r="ED105">
        <v>2.85521</v>
      </c>
      <c r="EE105">
        <v>2.1880199999999999</v>
      </c>
      <c r="EF105">
        <v>23.206800000000001</v>
      </c>
      <c r="EG105">
        <v>18.8749</v>
      </c>
      <c r="EH105">
        <v>1799.94</v>
      </c>
      <c r="EI105">
        <v>0.97799899999999995</v>
      </c>
      <c r="EJ105">
        <v>2.2001400000000001E-2</v>
      </c>
      <c r="EK105">
        <v>0</v>
      </c>
      <c r="EL105">
        <v>777.78399999999999</v>
      </c>
      <c r="EM105">
        <v>5.0011200000000002</v>
      </c>
      <c r="EN105">
        <v>15570.3</v>
      </c>
      <c r="EO105">
        <v>17210.3</v>
      </c>
      <c r="EP105">
        <v>49.125</v>
      </c>
      <c r="EQ105">
        <v>50.561999999999998</v>
      </c>
      <c r="ER105">
        <v>50.186999999999998</v>
      </c>
      <c r="ES105">
        <v>49.75</v>
      </c>
      <c r="ET105">
        <v>49.875</v>
      </c>
      <c r="EU105">
        <v>1755.45</v>
      </c>
      <c r="EV105">
        <v>39.49</v>
      </c>
      <c r="EW105">
        <v>0</v>
      </c>
      <c r="EX105">
        <v>97.800000190734863</v>
      </c>
      <c r="EY105">
        <v>0</v>
      </c>
      <c r="EZ105">
        <v>777.77553846153853</v>
      </c>
      <c r="FA105">
        <v>-2.7234187939784822</v>
      </c>
      <c r="FB105">
        <v>-30.181196529414411</v>
      </c>
      <c r="FC105">
        <v>15574.78461538462</v>
      </c>
      <c r="FD105">
        <v>15</v>
      </c>
      <c r="FE105">
        <v>1689016304.0999999</v>
      </c>
      <c r="FF105" t="s">
        <v>875</v>
      </c>
      <c r="FG105">
        <v>1689016287.5999999</v>
      </c>
      <c r="FH105">
        <v>1689016304.0999999</v>
      </c>
      <c r="FI105">
        <v>99</v>
      </c>
      <c r="FJ105">
        <v>-0.38800000000000001</v>
      </c>
      <c r="FK105">
        <v>-8.0000000000000002E-3</v>
      </c>
      <c r="FL105">
        <v>1.0069999999999999</v>
      </c>
      <c r="FM105">
        <v>0.247</v>
      </c>
      <c r="FN105">
        <v>1200</v>
      </c>
      <c r="FO105">
        <v>22</v>
      </c>
      <c r="FP105">
        <v>0.08</v>
      </c>
      <c r="FQ105">
        <v>0.04</v>
      </c>
      <c r="FR105">
        <v>64.734864799168463</v>
      </c>
      <c r="FS105">
        <v>-0.83531627175487</v>
      </c>
      <c r="FT105">
        <v>0.15161124342347229</v>
      </c>
      <c r="FU105">
        <v>0</v>
      </c>
      <c r="FV105">
        <v>0.42709128111758971</v>
      </c>
      <c r="FW105">
        <v>2.7979523207988929E-3</v>
      </c>
      <c r="FX105">
        <v>2.9053020070295512E-4</v>
      </c>
      <c r="FY105">
        <v>1</v>
      </c>
      <c r="FZ105">
        <v>1</v>
      </c>
      <c r="GA105">
        <v>2</v>
      </c>
      <c r="GB105" t="s">
        <v>462</v>
      </c>
      <c r="GC105">
        <v>2.9234900000000001</v>
      </c>
      <c r="GD105">
        <v>2.8269799999999998</v>
      </c>
      <c r="GE105">
        <v>0.17931900000000001</v>
      </c>
      <c r="GF105">
        <v>0.18833900000000001</v>
      </c>
      <c r="GG105">
        <v>0.126834</v>
      </c>
      <c r="GH105">
        <v>0.105822</v>
      </c>
      <c r="GI105">
        <v>26700.5</v>
      </c>
      <c r="GJ105">
        <v>21425.7</v>
      </c>
      <c r="GK105">
        <v>31315.5</v>
      </c>
      <c r="GL105">
        <v>26046.1</v>
      </c>
      <c r="GM105">
        <v>37489.800000000003</v>
      </c>
      <c r="GN105">
        <v>31593.200000000001</v>
      </c>
      <c r="GO105">
        <v>46503.6</v>
      </c>
      <c r="GP105">
        <v>37868.400000000001</v>
      </c>
      <c r="GQ105">
        <v>1.9082300000000001</v>
      </c>
      <c r="GR105">
        <v>1.70495</v>
      </c>
      <c r="GS105">
        <v>-2.77162E-2</v>
      </c>
      <c r="GT105">
        <v>0</v>
      </c>
      <c r="GU105">
        <v>30.433299999999999</v>
      </c>
      <c r="GV105">
        <v>999.9</v>
      </c>
      <c r="GW105">
        <v>37.9</v>
      </c>
      <c r="GX105">
        <v>46.5</v>
      </c>
      <c r="GY105">
        <v>39.786299999999997</v>
      </c>
      <c r="GZ105">
        <v>62.574199999999998</v>
      </c>
      <c r="HA105">
        <v>22.383800000000001</v>
      </c>
      <c r="HB105">
        <v>1</v>
      </c>
      <c r="HC105">
        <v>0.61651900000000004</v>
      </c>
      <c r="HD105">
        <v>4.5012800000000004</v>
      </c>
      <c r="HE105">
        <v>20.2362</v>
      </c>
      <c r="HF105">
        <v>5.2204300000000003</v>
      </c>
      <c r="HG105">
        <v>12.061299999999999</v>
      </c>
      <c r="HH105">
        <v>4.9911000000000003</v>
      </c>
      <c r="HI105">
        <v>3.2912499999999998</v>
      </c>
      <c r="HJ105">
        <v>9999</v>
      </c>
      <c r="HK105">
        <v>9999</v>
      </c>
      <c r="HL105">
        <v>9999</v>
      </c>
      <c r="HM105">
        <v>465.6</v>
      </c>
      <c r="HN105">
        <v>1.8669100000000001</v>
      </c>
      <c r="HO105">
        <v>1.87033</v>
      </c>
      <c r="HP105">
        <v>1.873</v>
      </c>
      <c r="HQ105">
        <v>1.8738900000000001</v>
      </c>
      <c r="HR105">
        <v>1.8706</v>
      </c>
      <c r="HS105">
        <v>1.86904</v>
      </c>
      <c r="HT105">
        <v>1.8704499999999999</v>
      </c>
      <c r="HU105">
        <v>1.87347</v>
      </c>
      <c r="HV105">
        <v>0</v>
      </c>
      <c r="HW105">
        <v>0</v>
      </c>
      <c r="HX105">
        <v>0</v>
      </c>
      <c r="HY105">
        <v>0</v>
      </c>
      <c r="HZ105" t="s">
        <v>424</v>
      </c>
      <c r="IA105" t="s">
        <v>425</v>
      </c>
      <c r="IB105" t="s">
        <v>426</v>
      </c>
      <c r="IC105" t="s">
        <v>426</v>
      </c>
      <c r="ID105" t="s">
        <v>426</v>
      </c>
      <c r="IE105" t="s">
        <v>426</v>
      </c>
      <c r="IF105">
        <v>0</v>
      </c>
      <c r="IG105">
        <v>100</v>
      </c>
      <c r="IH105">
        <v>100</v>
      </c>
      <c r="II105">
        <v>1.0069999999999999</v>
      </c>
      <c r="IJ105">
        <v>0.247</v>
      </c>
      <c r="IK105">
        <v>-4.7459410940469918E-2</v>
      </c>
      <c r="IL105">
        <v>3.042515301972944E-3</v>
      </c>
      <c r="IM105">
        <v>-2.5091471490852929E-6</v>
      </c>
      <c r="IN105">
        <v>8.1339755115576286E-10</v>
      </c>
      <c r="IO105">
        <v>0.2547922569419005</v>
      </c>
      <c r="IP105">
        <v>0</v>
      </c>
      <c r="IQ105">
        <v>0</v>
      </c>
      <c r="IR105">
        <v>0</v>
      </c>
      <c r="IS105">
        <v>3</v>
      </c>
      <c r="IT105">
        <v>2004</v>
      </c>
      <c r="IU105">
        <v>2</v>
      </c>
      <c r="IV105">
        <v>22</v>
      </c>
      <c r="IW105">
        <v>5.3</v>
      </c>
      <c r="IX105">
        <v>3.2</v>
      </c>
      <c r="IY105">
        <v>2.5317400000000001</v>
      </c>
      <c r="IZ105">
        <v>2.6049799999999999</v>
      </c>
      <c r="JA105">
        <v>1.64917</v>
      </c>
      <c r="JB105">
        <v>2.33765</v>
      </c>
      <c r="JC105">
        <v>1.5991200000000001</v>
      </c>
      <c r="JD105">
        <v>2.2497600000000002</v>
      </c>
      <c r="JE105">
        <v>48.1479</v>
      </c>
      <c r="JF105">
        <v>24.192599999999999</v>
      </c>
      <c r="JG105">
        <v>18</v>
      </c>
      <c r="JH105">
        <v>517.63900000000001</v>
      </c>
      <c r="JI105">
        <v>432.42500000000001</v>
      </c>
      <c r="JJ105">
        <v>26.063300000000002</v>
      </c>
      <c r="JK105">
        <v>34.537300000000002</v>
      </c>
      <c r="JL105">
        <v>29.998999999999999</v>
      </c>
      <c r="JM105">
        <v>34.599899999999998</v>
      </c>
      <c r="JN105">
        <v>34.598399999999998</v>
      </c>
      <c r="JO105">
        <v>50.668700000000001</v>
      </c>
      <c r="JP105">
        <v>53.027500000000003</v>
      </c>
      <c r="JQ105">
        <v>0</v>
      </c>
      <c r="JR105">
        <v>26.0916</v>
      </c>
      <c r="JS105">
        <v>1200</v>
      </c>
      <c r="JT105">
        <v>22.044899999999998</v>
      </c>
      <c r="JU105">
        <v>99.253500000000003</v>
      </c>
      <c r="JV105">
        <v>99.028899999999993</v>
      </c>
    </row>
    <row r="106" spans="1:282" x14ac:dyDescent="0.25">
      <c r="A106">
        <v>90</v>
      </c>
      <c r="B106">
        <v>1689016430.5999999</v>
      </c>
      <c r="C106">
        <v>16835.5</v>
      </c>
      <c r="D106" t="s">
        <v>876</v>
      </c>
      <c r="E106" t="s">
        <v>877</v>
      </c>
      <c r="F106" t="s">
        <v>414</v>
      </c>
      <c r="G106" t="s">
        <v>415</v>
      </c>
      <c r="H106" t="s">
        <v>31</v>
      </c>
      <c r="I106" t="s">
        <v>416</v>
      </c>
      <c r="J106" t="s">
        <v>417</v>
      </c>
      <c r="K106">
        <v>1689016430.5999999</v>
      </c>
      <c r="L106">
        <f t="shared" si="92"/>
        <v>4.853670890257746E-3</v>
      </c>
      <c r="M106">
        <f t="shared" si="93"/>
        <v>4.8536708902577459</v>
      </c>
      <c r="N106">
        <f t="shared" si="94"/>
        <v>63.842529456107165</v>
      </c>
      <c r="O106">
        <f t="shared" si="95"/>
        <v>1415.2</v>
      </c>
      <c r="P106">
        <f t="shared" si="96"/>
        <v>1068.7584946917393</v>
      </c>
      <c r="Q106">
        <f t="shared" si="97"/>
        <v>106.07962332187009</v>
      </c>
      <c r="R106">
        <f t="shared" si="98"/>
        <v>140.46567458480001</v>
      </c>
      <c r="S106">
        <f t="shared" si="99"/>
        <v>0.34056453845181589</v>
      </c>
      <c r="T106">
        <f t="shared" si="100"/>
        <v>2.9121634072739067</v>
      </c>
      <c r="U106">
        <f t="shared" si="101"/>
        <v>0.31988441221485991</v>
      </c>
      <c r="V106">
        <f t="shared" si="102"/>
        <v>0.20168105410200121</v>
      </c>
      <c r="W106">
        <f t="shared" si="103"/>
        <v>289.58083357737894</v>
      </c>
      <c r="X106">
        <f t="shared" si="104"/>
        <v>30.80136693729153</v>
      </c>
      <c r="Y106">
        <f t="shared" si="105"/>
        <v>30.018899999999999</v>
      </c>
      <c r="Z106">
        <f t="shared" si="106"/>
        <v>4.2650771073778637</v>
      </c>
      <c r="AA106">
        <f t="shared" si="107"/>
        <v>64.691203529912116</v>
      </c>
      <c r="AB106">
        <f t="shared" si="108"/>
        <v>2.8127576401612999</v>
      </c>
      <c r="AC106">
        <f t="shared" si="109"/>
        <v>4.3479754382073423</v>
      </c>
      <c r="AD106">
        <f t="shared" si="110"/>
        <v>1.4523194672165638</v>
      </c>
      <c r="AE106">
        <f t="shared" si="111"/>
        <v>-214.04688626036659</v>
      </c>
      <c r="AF106">
        <f t="shared" si="112"/>
        <v>52.689385792506776</v>
      </c>
      <c r="AG106">
        <f t="shared" si="113"/>
        <v>4.0304095057029956</v>
      </c>
      <c r="AH106">
        <f t="shared" si="114"/>
        <v>132.25374261522214</v>
      </c>
      <c r="AI106">
        <v>0</v>
      </c>
      <c r="AJ106">
        <v>0</v>
      </c>
      <c r="AK106">
        <f t="shared" si="115"/>
        <v>1</v>
      </c>
      <c r="AL106">
        <f t="shared" si="116"/>
        <v>0</v>
      </c>
      <c r="AM106">
        <f t="shared" si="117"/>
        <v>51778.950292676527</v>
      </c>
      <c r="AN106" t="s">
        <v>418</v>
      </c>
      <c r="AO106">
        <v>10021</v>
      </c>
      <c r="AP106">
        <v>177.53923076923081</v>
      </c>
      <c r="AQ106">
        <v>655.56</v>
      </c>
      <c r="AR106">
        <f t="shared" si="118"/>
        <v>0.72917928066198234</v>
      </c>
      <c r="AS106">
        <v>-3.1115002560329539</v>
      </c>
      <c r="AT106" t="s">
        <v>878</v>
      </c>
      <c r="AU106">
        <v>8025.6</v>
      </c>
      <c r="AV106">
        <v>770.15853846153846</v>
      </c>
      <c r="AW106">
        <v>1338.1221905671771</v>
      </c>
      <c r="AX106">
        <f t="shared" si="119"/>
        <v>0.42444827244431338</v>
      </c>
      <c r="AY106">
        <v>0.5</v>
      </c>
      <c r="AZ106">
        <f t="shared" si="120"/>
        <v>1513.2602992628904</v>
      </c>
      <c r="BA106">
        <f t="shared" si="121"/>
        <v>63.842529456107165</v>
      </c>
      <c r="BB106">
        <f t="shared" si="122"/>
        <v>321.15035989034925</v>
      </c>
      <c r="BC106">
        <f t="shared" si="123"/>
        <v>4.4244886186965614E-2</v>
      </c>
      <c r="BD106">
        <f t="shared" si="124"/>
        <v>-0.5100895832822756</v>
      </c>
      <c r="BE106">
        <f t="shared" si="125"/>
        <v>205.99611688643748</v>
      </c>
      <c r="BF106" t="s">
        <v>879</v>
      </c>
      <c r="BG106">
        <v>590.51</v>
      </c>
      <c r="BH106">
        <f t="shared" si="126"/>
        <v>590.51</v>
      </c>
      <c r="BI106">
        <f t="shared" si="127"/>
        <v>0.55870248310454662</v>
      </c>
      <c r="BJ106">
        <f t="shared" si="128"/>
        <v>0.75970357261664256</v>
      </c>
      <c r="BK106">
        <f t="shared" si="129"/>
        <v>-10.492885327704498</v>
      </c>
      <c r="BL106">
        <f t="shared" si="130"/>
        <v>0.48937790039974327</v>
      </c>
      <c r="BM106">
        <f t="shared" si="131"/>
        <v>-1.4278923312590706</v>
      </c>
      <c r="BN106">
        <f t="shared" si="132"/>
        <v>0.5824937779200603</v>
      </c>
      <c r="BO106">
        <f t="shared" si="133"/>
        <v>0.4175062220799397</v>
      </c>
      <c r="BP106">
        <v>22645</v>
      </c>
      <c r="BQ106">
        <v>290.00000000000011</v>
      </c>
      <c r="BR106">
        <v>1144.5999999999999</v>
      </c>
      <c r="BS106">
        <v>295</v>
      </c>
      <c r="BT106">
        <v>8025.6</v>
      </c>
      <c r="BU106">
        <v>1147.6199999999999</v>
      </c>
      <c r="BV106">
        <v>-3.02</v>
      </c>
      <c r="BW106">
        <v>300.00000000000011</v>
      </c>
      <c r="BX106">
        <v>19.399999999999999</v>
      </c>
      <c r="BY106">
        <v>1338.1221905671771</v>
      </c>
      <c r="BZ106">
        <v>4.7329391636905642</v>
      </c>
      <c r="CA106">
        <v>-152.89318053489481</v>
      </c>
      <c r="CB106">
        <v>3.489206592829198</v>
      </c>
      <c r="CC106">
        <v>0.98562698902963208</v>
      </c>
      <c r="CD106">
        <v>-4.1452416017797476E-3</v>
      </c>
      <c r="CE106">
        <v>289.99999999999989</v>
      </c>
      <c r="CF106">
        <v>1139.57</v>
      </c>
      <c r="CG106">
        <v>655</v>
      </c>
      <c r="CH106">
        <v>8015.48</v>
      </c>
      <c r="CI106">
        <v>1147.3699999999999</v>
      </c>
      <c r="CJ106">
        <v>-7.8</v>
      </c>
      <c r="CX106">
        <f t="shared" si="134"/>
        <v>1800.09</v>
      </c>
      <c r="CY106">
        <f t="shared" si="135"/>
        <v>1513.2602992628904</v>
      </c>
      <c r="CZ106">
        <f t="shared" si="136"/>
        <v>0.84065813335049389</v>
      </c>
      <c r="DA106">
        <f t="shared" si="137"/>
        <v>0.1608701973664533</v>
      </c>
      <c r="DB106">
        <v>6</v>
      </c>
      <c r="DC106">
        <v>0.5</v>
      </c>
      <c r="DD106" t="s">
        <v>421</v>
      </c>
      <c r="DE106">
        <v>2</v>
      </c>
      <c r="DF106">
        <v>1689016430.5999999</v>
      </c>
      <c r="DG106">
        <v>1415.2</v>
      </c>
      <c r="DH106">
        <v>1500.05</v>
      </c>
      <c r="DI106">
        <v>28.338699999999999</v>
      </c>
      <c r="DJ106">
        <v>22.679600000000001</v>
      </c>
      <c r="DK106">
        <v>1414.05</v>
      </c>
      <c r="DL106">
        <v>28.090399999999999</v>
      </c>
      <c r="DM106">
        <v>500.02199999999999</v>
      </c>
      <c r="DN106">
        <v>99.154799999999994</v>
      </c>
      <c r="DO106">
        <v>0.100199</v>
      </c>
      <c r="DP106">
        <v>30.354500000000002</v>
      </c>
      <c r="DQ106">
        <v>30.018899999999999</v>
      </c>
      <c r="DR106">
        <v>999.9</v>
      </c>
      <c r="DS106">
        <v>0</v>
      </c>
      <c r="DT106">
        <v>0</v>
      </c>
      <c r="DU106">
        <v>9985.6200000000008</v>
      </c>
      <c r="DV106">
        <v>0</v>
      </c>
      <c r="DW106">
        <v>1455.4</v>
      </c>
      <c r="DX106">
        <v>-84.845799999999997</v>
      </c>
      <c r="DY106">
        <v>1456.48</v>
      </c>
      <c r="DZ106">
        <v>1534.86</v>
      </c>
      <c r="EA106">
        <v>5.6591399999999998</v>
      </c>
      <c r="EB106">
        <v>1500.05</v>
      </c>
      <c r="EC106">
        <v>22.679600000000001</v>
      </c>
      <c r="ED106">
        <v>2.80992</v>
      </c>
      <c r="EE106">
        <v>2.2487900000000001</v>
      </c>
      <c r="EF106">
        <v>22.942499999999999</v>
      </c>
      <c r="EG106">
        <v>19.3142</v>
      </c>
      <c r="EH106">
        <v>1800.09</v>
      </c>
      <c r="EI106">
        <v>0.97799899999999995</v>
      </c>
      <c r="EJ106">
        <v>2.2001400000000001E-2</v>
      </c>
      <c r="EK106">
        <v>0</v>
      </c>
      <c r="EL106">
        <v>770.16099999999994</v>
      </c>
      <c r="EM106">
        <v>5.0011200000000002</v>
      </c>
      <c r="EN106">
        <v>15416.8</v>
      </c>
      <c r="EO106">
        <v>17211.8</v>
      </c>
      <c r="EP106">
        <v>48.875</v>
      </c>
      <c r="EQ106">
        <v>50.311999999999998</v>
      </c>
      <c r="ER106">
        <v>49.875</v>
      </c>
      <c r="ES106">
        <v>49.375</v>
      </c>
      <c r="ET106">
        <v>49.125</v>
      </c>
      <c r="EU106">
        <v>1755.6</v>
      </c>
      <c r="EV106">
        <v>39.49</v>
      </c>
      <c r="EW106">
        <v>0</v>
      </c>
      <c r="EX106">
        <v>161.4000000953674</v>
      </c>
      <c r="EY106">
        <v>0</v>
      </c>
      <c r="EZ106">
        <v>770.15853846153846</v>
      </c>
      <c r="FA106">
        <v>-1.231179483875037</v>
      </c>
      <c r="FB106">
        <v>-40.013675140780883</v>
      </c>
      <c r="FC106">
        <v>15422.623076923081</v>
      </c>
      <c r="FD106">
        <v>15</v>
      </c>
      <c r="FE106">
        <v>1689016399.5999999</v>
      </c>
      <c r="FF106" t="s">
        <v>880</v>
      </c>
      <c r="FG106">
        <v>1689016287.5999999</v>
      </c>
      <c r="FH106">
        <v>1689016391.0999999</v>
      </c>
      <c r="FI106">
        <v>100</v>
      </c>
      <c r="FJ106">
        <v>-0.38800000000000001</v>
      </c>
      <c r="FK106">
        <v>2E-3</v>
      </c>
      <c r="FL106">
        <v>1.0069999999999999</v>
      </c>
      <c r="FM106">
        <v>0.245</v>
      </c>
      <c r="FN106">
        <v>1200</v>
      </c>
      <c r="FO106">
        <v>22</v>
      </c>
      <c r="FP106">
        <v>0.08</v>
      </c>
      <c r="FQ106">
        <v>0.02</v>
      </c>
      <c r="FR106">
        <v>63.885108485789253</v>
      </c>
      <c r="FS106">
        <v>-0.38098265948051019</v>
      </c>
      <c r="FT106">
        <v>0.13319015384187011</v>
      </c>
      <c r="FU106">
        <v>1</v>
      </c>
      <c r="FV106">
        <v>0.3431875861509851</v>
      </c>
      <c r="FW106">
        <v>-9.1021489574483489E-3</v>
      </c>
      <c r="FX106">
        <v>8.3795180023734685E-4</v>
      </c>
      <c r="FY106">
        <v>1</v>
      </c>
      <c r="FZ106">
        <v>2</v>
      </c>
      <c r="GA106">
        <v>2</v>
      </c>
      <c r="GB106" t="s">
        <v>423</v>
      </c>
      <c r="GC106">
        <v>2.9236900000000001</v>
      </c>
      <c r="GD106">
        <v>2.8273700000000002</v>
      </c>
      <c r="GE106">
        <v>0.20805299999999999</v>
      </c>
      <c r="GF106">
        <v>0.21599099999999999</v>
      </c>
      <c r="GG106">
        <v>0.12545000000000001</v>
      </c>
      <c r="GH106">
        <v>0.10788499999999999</v>
      </c>
      <c r="GI106">
        <v>25766.9</v>
      </c>
      <c r="GJ106">
        <v>20695.5</v>
      </c>
      <c r="GK106">
        <v>31320.5</v>
      </c>
      <c r="GL106">
        <v>26048.2</v>
      </c>
      <c r="GM106">
        <v>37555.4</v>
      </c>
      <c r="GN106">
        <v>31523</v>
      </c>
      <c r="GO106">
        <v>46510.9</v>
      </c>
      <c r="GP106">
        <v>37871.300000000003</v>
      </c>
      <c r="GQ106">
        <v>1.9080299999999999</v>
      </c>
      <c r="GR106">
        <v>1.7075800000000001</v>
      </c>
      <c r="GS106">
        <v>-1.33589E-2</v>
      </c>
      <c r="GT106">
        <v>0</v>
      </c>
      <c r="GU106">
        <v>30.2363</v>
      </c>
      <c r="GV106">
        <v>999.9</v>
      </c>
      <c r="GW106">
        <v>37.799999999999997</v>
      </c>
      <c r="GX106">
        <v>46.5</v>
      </c>
      <c r="GY106">
        <v>39.683599999999998</v>
      </c>
      <c r="GZ106">
        <v>62.504199999999997</v>
      </c>
      <c r="HA106">
        <v>22.239599999999999</v>
      </c>
      <c r="HB106">
        <v>1</v>
      </c>
      <c r="HC106">
        <v>0.601329</v>
      </c>
      <c r="HD106">
        <v>3.1805300000000001</v>
      </c>
      <c r="HE106">
        <v>20.3157</v>
      </c>
      <c r="HF106">
        <v>5.22403</v>
      </c>
      <c r="HG106">
        <v>12.0585</v>
      </c>
      <c r="HH106">
        <v>4.9928999999999997</v>
      </c>
      <c r="HI106">
        <v>3.2919999999999998</v>
      </c>
      <c r="HJ106">
        <v>9999</v>
      </c>
      <c r="HK106">
        <v>9999</v>
      </c>
      <c r="HL106">
        <v>9999</v>
      </c>
      <c r="HM106">
        <v>465.7</v>
      </c>
      <c r="HN106">
        <v>1.86676</v>
      </c>
      <c r="HO106">
        <v>1.87026</v>
      </c>
      <c r="HP106">
        <v>1.87286</v>
      </c>
      <c r="HQ106">
        <v>1.8737600000000001</v>
      </c>
      <c r="HR106">
        <v>1.87049</v>
      </c>
      <c r="HS106">
        <v>1.8689</v>
      </c>
      <c r="HT106">
        <v>1.87032</v>
      </c>
      <c r="HU106">
        <v>1.8733200000000001</v>
      </c>
      <c r="HV106">
        <v>0</v>
      </c>
      <c r="HW106">
        <v>0</v>
      </c>
      <c r="HX106">
        <v>0</v>
      </c>
      <c r="HY106">
        <v>0</v>
      </c>
      <c r="HZ106" t="s">
        <v>424</v>
      </c>
      <c r="IA106" t="s">
        <v>425</v>
      </c>
      <c r="IB106" t="s">
        <v>426</v>
      </c>
      <c r="IC106" t="s">
        <v>426</v>
      </c>
      <c r="ID106" t="s">
        <v>426</v>
      </c>
      <c r="IE106" t="s">
        <v>426</v>
      </c>
      <c r="IF106">
        <v>0</v>
      </c>
      <c r="IG106">
        <v>100</v>
      </c>
      <c r="IH106">
        <v>100</v>
      </c>
      <c r="II106">
        <v>1.1499999999999999</v>
      </c>
      <c r="IJ106">
        <v>0.24829999999999999</v>
      </c>
      <c r="IK106">
        <v>-0.43628899780876401</v>
      </c>
      <c r="IL106">
        <v>3.042515301972944E-3</v>
      </c>
      <c r="IM106">
        <v>-2.5091471490852929E-6</v>
      </c>
      <c r="IN106">
        <v>8.1339755115576286E-10</v>
      </c>
      <c r="IO106">
        <v>0.2482519832919578</v>
      </c>
      <c r="IP106">
        <v>0</v>
      </c>
      <c r="IQ106">
        <v>0</v>
      </c>
      <c r="IR106">
        <v>0</v>
      </c>
      <c r="IS106">
        <v>3</v>
      </c>
      <c r="IT106">
        <v>2004</v>
      </c>
      <c r="IU106">
        <v>2</v>
      </c>
      <c r="IV106">
        <v>22</v>
      </c>
      <c r="IW106">
        <v>2.4</v>
      </c>
      <c r="IX106">
        <v>0.7</v>
      </c>
      <c r="IY106">
        <v>3.0432100000000002</v>
      </c>
      <c r="IZ106">
        <v>2.6086399999999998</v>
      </c>
      <c r="JA106">
        <v>1.64917</v>
      </c>
      <c r="JB106">
        <v>2.33643</v>
      </c>
      <c r="JC106">
        <v>1.5991200000000001</v>
      </c>
      <c r="JD106">
        <v>2.2888199999999999</v>
      </c>
      <c r="JE106">
        <v>47.9955</v>
      </c>
      <c r="JF106">
        <v>16.364799999999999</v>
      </c>
      <c r="JG106">
        <v>18</v>
      </c>
      <c r="JH106">
        <v>517.36300000000006</v>
      </c>
      <c r="JI106">
        <v>433.983</v>
      </c>
      <c r="JJ106">
        <v>26.9831</v>
      </c>
      <c r="JK106">
        <v>34.498199999999997</v>
      </c>
      <c r="JL106">
        <v>30.000800000000002</v>
      </c>
      <c r="JM106">
        <v>34.581099999999999</v>
      </c>
      <c r="JN106">
        <v>34.577500000000001</v>
      </c>
      <c r="JO106">
        <v>60.895000000000003</v>
      </c>
      <c r="JP106">
        <v>51.839300000000001</v>
      </c>
      <c r="JQ106">
        <v>0</v>
      </c>
      <c r="JR106">
        <v>26.950399999999998</v>
      </c>
      <c r="JS106">
        <v>1500</v>
      </c>
      <c r="JT106">
        <v>22.7225</v>
      </c>
      <c r="JU106">
        <v>99.269199999999998</v>
      </c>
      <c r="JV106">
        <v>99.036799999999999</v>
      </c>
    </row>
    <row r="107" spans="1:282" x14ac:dyDescent="0.25">
      <c r="A107">
        <v>91</v>
      </c>
      <c r="B107">
        <v>1689017034.5999999</v>
      </c>
      <c r="C107">
        <v>17439.5</v>
      </c>
      <c r="D107" t="s">
        <v>881</v>
      </c>
      <c r="E107" t="s">
        <v>882</v>
      </c>
      <c r="F107" t="s">
        <v>414</v>
      </c>
      <c r="G107" t="s">
        <v>415</v>
      </c>
      <c r="H107" t="s">
        <v>416</v>
      </c>
      <c r="I107" t="s">
        <v>416</v>
      </c>
      <c r="J107" t="s">
        <v>501</v>
      </c>
      <c r="K107">
        <v>1689017034.5999999</v>
      </c>
      <c r="L107">
        <f t="shared" si="92"/>
        <v>5.732888681040999E-3</v>
      </c>
      <c r="M107">
        <f t="shared" si="93"/>
        <v>5.7328886810409987</v>
      </c>
      <c r="N107">
        <f t="shared" si="94"/>
        <v>53.930638458893085</v>
      </c>
      <c r="O107">
        <f t="shared" si="95"/>
        <v>333.06299999999999</v>
      </c>
      <c r="P107">
        <f t="shared" si="96"/>
        <v>103.13926427475421</v>
      </c>
      <c r="Q107">
        <f t="shared" si="97"/>
        <v>10.236231650639029</v>
      </c>
      <c r="R107">
        <f t="shared" si="98"/>
        <v>33.055403742018896</v>
      </c>
      <c r="S107">
        <f t="shared" si="99"/>
        <v>0.40955497482668629</v>
      </c>
      <c r="T107">
        <f t="shared" si="100"/>
        <v>2.9120223240791114</v>
      </c>
      <c r="U107">
        <f t="shared" si="101"/>
        <v>0.38003562502382704</v>
      </c>
      <c r="V107">
        <f t="shared" si="102"/>
        <v>0.23999691809368412</v>
      </c>
      <c r="W107">
        <f t="shared" si="103"/>
        <v>289.54572157720503</v>
      </c>
      <c r="X107">
        <f t="shared" si="104"/>
        <v>30.33711664574551</v>
      </c>
      <c r="Y107">
        <f t="shared" si="105"/>
        <v>29.966100000000001</v>
      </c>
      <c r="Z107">
        <f t="shared" si="106"/>
        <v>4.2521609104481817</v>
      </c>
      <c r="AA107">
        <f t="shared" si="107"/>
        <v>65.462931782337122</v>
      </c>
      <c r="AB107">
        <f t="shared" si="108"/>
        <v>2.8082647823487399</v>
      </c>
      <c r="AC107">
        <f t="shared" si="109"/>
        <v>4.2898548932793927</v>
      </c>
      <c r="AD107">
        <f t="shared" si="110"/>
        <v>1.4438961280994418</v>
      </c>
      <c r="AE107">
        <f t="shared" si="111"/>
        <v>-252.82039083390805</v>
      </c>
      <c r="AF107">
        <f t="shared" si="112"/>
        <v>24.129816036245341</v>
      </c>
      <c r="AG107">
        <f t="shared" si="113"/>
        <v>1.8432451577535849</v>
      </c>
      <c r="AH107">
        <f t="shared" si="114"/>
        <v>62.698391937295909</v>
      </c>
      <c r="AI107">
        <v>0</v>
      </c>
      <c r="AJ107">
        <v>0</v>
      </c>
      <c r="AK107">
        <f t="shared" si="115"/>
        <v>1</v>
      </c>
      <c r="AL107">
        <f t="shared" si="116"/>
        <v>0</v>
      </c>
      <c r="AM107">
        <f t="shared" si="117"/>
        <v>51814.860906881921</v>
      </c>
      <c r="AN107" t="s">
        <v>418</v>
      </c>
      <c r="AO107">
        <v>10021</v>
      </c>
      <c r="AP107">
        <v>177.53923076923081</v>
      </c>
      <c r="AQ107">
        <v>655.56</v>
      </c>
      <c r="AR107">
        <f t="shared" si="118"/>
        <v>0.72917928066198234</v>
      </c>
      <c r="AS107">
        <v>-3.1115002560329539</v>
      </c>
      <c r="AT107" t="s">
        <v>883</v>
      </c>
      <c r="AU107">
        <v>8038.01</v>
      </c>
      <c r="AV107">
        <v>757.86073076923071</v>
      </c>
      <c r="AW107">
        <v>1220.312460818905</v>
      </c>
      <c r="AX107">
        <f t="shared" si="119"/>
        <v>0.37896173717618242</v>
      </c>
      <c r="AY107">
        <v>0.5</v>
      </c>
      <c r="AZ107">
        <f t="shared" si="120"/>
        <v>1513.0754992628003</v>
      </c>
      <c r="BA107">
        <f t="shared" si="121"/>
        <v>53.930638458893085</v>
      </c>
      <c r="BB107">
        <f t="shared" si="122"/>
        <v>286.69885983967515</v>
      </c>
      <c r="BC107">
        <f t="shared" si="123"/>
        <v>3.7699466247862759E-2</v>
      </c>
      <c r="BD107">
        <f t="shared" si="124"/>
        <v>-0.46279332462107392</v>
      </c>
      <c r="BE107">
        <f t="shared" si="125"/>
        <v>202.97946307250589</v>
      </c>
      <c r="BF107" t="s">
        <v>884</v>
      </c>
      <c r="BG107">
        <v>620.87</v>
      </c>
      <c r="BH107">
        <f t="shared" si="126"/>
        <v>620.87</v>
      </c>
      <c r="BI107">
        <f t="shared" si="127"/>
        <v>0.49122047022009607</v>
      </c>
      <c r="BJ107">
        <f t="shared" si="128"/>
        <v>0.77146975777777549</v>
      </c>
      <c r="BK107">
        <f t="shared" si="129"/>
        <v>-16.279978691810495</v>
      </c>
      <c r="BL107">
        <f t="shared" si="130"/>
        <v>0.44348254895999267</v>
      </c>
      <c r="BM107">
        <f t="shared" si="131"/>
        <v>-1.1814391699500935</v>
      </c>
      <c r="BN107">
        <f t="shared" si="132"/>
        <v>0.63201906242762962</v>
      </c>
      <c r="BO107">
        <f t="shared" si="133"/>
        <v>0.36798093757237038</v>
      </c>
      <c r="BP107">
        <v>22647</v>
      </c>
      <c r="BQ107">
        <v>290.00000000000011</v>
      </c>
      <c r="BR107">
        <v>1076.2</v>
      </c>
      <c r="BS107">
        <v>295</v>
      </c>
      <c r="BT107">
        <v>8038.01</v>
      </c>
      <c r="BU107">
        <v>1078.79</v>
      </c>
      <c r="BV107">
        <v>-2.59</v>
      </c>
      <c r="BW107">
        <v>300.00000000000011</v>
      </c>
      <c r="BX107">
        <v>19.399999999999999</v>
      </c>
      <c r="BY107">
        <v>1220.312460818905</v>
      </c>
      <c r="BZ107">
        <v>3.297900633771897</v>
      </c>
      <c r="CA107">
        <v>-113.7548701489699</v>
      </c>
      <c r="CB107">
        <v>2.4350480088784332</v>
      </c>
      <c r="CC107">
        <v>0.98733233845623991</v>
      </c>
      <c r="CD107">
        <v>-4.1514627363737743E-3</v>
      </c>
      <c r="CE107">
        <v>289.99999999999989</v>
      </c>
      <c r="CF107">
        <v>1078.95</v>
      </c>
      <c r="CG107">
        <v>685</v>
      </c>
      <c r="CH107">
        <v>8027.07</v>
      </c>
      <c r="CI107">
        <v>1078.5999999999999</v>
      </c>
      <c r="CJ107">
        <v>0.35</v>
      </c>
      <c r="CX107">
        <f t="shared" si="134"/>
        <v>1799.87</v>
      </c>
      <c r="CY107">
        <f t="shared" si="135"/>
        <v>1513.0754992628003</v>
      </c>
      <c r="CZ107">
        <f t="shared" si="136"/>
        <v>0.84065821379477434</v>
      </c>
      <c r="DA107">
        <f t="shared" si="137"/>
        <v>0.16087035262391453</v>
      </c>
      <c r="DB107">
        <v>6</v>
      </c>
      <c r="DC107">
        <v>0.5</v>
      </c>
      <c r="DD107" t="s">
        <v>421</v>
      </c>
      <c r="DE107">
        <v>2</v>
      </c>
      <c r="DF107">
        <v>1689017034.5999999</v>
      </c>
      <c r="DG107">
        <v>333.06299999999999</v>
      </c>
      <c r="DH107">
        <v>400.072</v>
      </c>
      <c r="DI107">
        <v>28.2958</v>
      </c>
      <c r="DJ107">
        <v>21.610900000000001</v>
      </c>
      <c r="DK107">
        <v>332.20699999999999</v>
      </c>
      <c r="DL107">
        <v>28.046099999999999</v>
      </c>
      <c r="DM107">
        <v>499.99299999999999</v>
      </c>
      <c r="DN107">
        <v>99.146799999999999</v>
      </c>
      <c r="DO107">
        <v>9.9900299999999997E-2</v>
      </c>
      <c r="DP107">
        <v>30.119800000000001</v>
      </c>
      <c r="DQ107">
        <v>29.966100000000001</v>
      </c>
      <c r="DR107">
        <v>999.9</v>
      </c>
      <c r="DS107">
        <v>0</v>
      </c>
      <c r="DT107">
        <v>0</v>
      </c>
      <c r="DU107">
        <v>9985.6200000000008</v>
      </c>
      <c r="DV107">
        <v>0</v>
      </c>
      <c r="DW107">
        <v>1831.01</v>
      </c>
      <c r="DX107">
        <v>-67.009600000000006</v>
      </c>
      <c r="DY107">
        <v>342.76100000000002</v>
      </c>
      <c r="DZ107">
        <v>408.90899999999999</v>
      </c>
      <c r="EA107">
        <v>6.68485</v>
      </c>
      <c r="EB107">
        <v>400.072</v>
      </c>
      <c r="EC107">
        <v>21.610900000000001</v>
      </c>
      <c r="ED107">
        <v>2.8054299999999999</v>
      </c>
      <c r="EE107">
        <v>2.1426500000000002</v>
      </c>
      <c r="EF107">
        <v>22.9161</v>
      </c>
      <c r="EG107">
        <v>18.539899999999999</v>
      </c>
      <c r="EH107">
        <v>1799.87</v>
      </c>
      <c r="EI107">
        <v>0.97799800000000003</v>
      </c>
      <c r="EJ107">
        <v>2.20021E-2</v>
      </c>
      <c r="EK107">
        <v>0</v>
      </c>
      <c r="EL107">
        <v>757.89099999999996</v>
      </c>
      <c r="EM107">
        <v>5.0011200000000002</v>
      </c>
      <c r="EN107">
        <v>15185.9</v>
      </c>
      <c r="EO107">
        <v>17209.7</v>
      </c>
      <c r="EP107">
        <v>48.75</v>
      </c>
      <c r="EQ107">
        <v>50.436999999999998</v>
      </c>
      <c r="ER107">
        <v>49.75</v>
      </c>
      <c r="ES107">
        <v>49.436999999999998</v>
      </c>
      <c r="ET107">
        <v>49.375</v>
      </c>
      <c r="EU107">
        <v>1755.38</v>
      </c>
      <c r="EV107">
        <v>39.49</v>
      </c>
      <c r="EW107">
        <v>0</v>
      </c>
      <c r="EX107">
        <v>602</v>
      </c>
      <c r="EY107">
        <v>0</v>
      </c>
      <c r="EZ107">
        <v>757.86073076923071</v>
      </c>
      <c r="FA107">
        <v>-9.473504376994446E-2</v>
      </c>
      <c r="FB107">
        <v>71.558974473351768</v>
      </c>
      <c r="FC107">
        <v>15183.02692307693</v>
      </c>
      <c r="FD107">
        <v>15</v>
      </c>
      <c r="FE107">
        <v>1689017002.5999999</v>
      </c>
      <c r="FF107" t="s">
        <v>885</v>
      </c>
      <c r="FG107">
        <v>1689017002.5999999</v>
      </c>
      <c r="FH107">
        <v>1689017000.0999999</v>
      </c>
      <c r="FI107">
        <v>102</v>
      </c>
      <c r="FJ107">
        <v>7.6999999999999999E-2</v>
      </c>
      <c r="FK107">
        <v>-0.115</v>
      </c>
      <c r="FL107">
        <v>0.95799999999999996</v>
      </c>
      <c r="FM107">
        <v>0.24099999999999999</v>
      </c>
      <c r="FN107">
        <v>400</v>
      </c>
      <c r="FO107">
        <v>22</v>
      </c>
      <c r="FP107">
        <v>0.03</v>
      </c>
      <c r="FQ107">
        <v>0.02</v>
      </c>
      <c r="FR107">
        <v>53.894774947602087</v>
      </c>
      <c r="FS107">
        <v>-0.6536691177868601</v>
      </c>
      <c r="FT107">
        <v>7.3724944006683085E-2</v>
      </c>
      <c r="FU107">
        <v>1</v>
      </c>
      <c r="FV107">
        <v>0.41164065759745933</v>
      </c>
      <c r="FW107">
        <v>7.845088595246014E-4</v>
      </c>
      <c r="FX107">
        <v>1.478559121077364E-3</v>
      </c>
      <c r="FY107">
        <v>1</v>
      </c>
      <c r="FZ107">
        <v>2</v>
      </c>
      <c r="GA107">
        <v>2</v>
      </c>
      <c r="GB107" t="s">
        <v>423</v>
      </c>
      <c r="GC107">
        <v>2.9237600000000001</v>
      </c>
      <c r="GD107">
        <v>2.82707</v>
      </c>
      <c r="GE107">
        <v>7.5845999999999997E-2</v>
      </c>
      <c r="GF107">
        <v>8.8036400000000001E-2</v>
      </c>
      <c r="GG107">
        <v>0.125337</v>
      </c>
      <c r="GH107">
        <v>0.104299</v>
      </c>
      <c r="GI107">
        <v>30087.5</v>
      </c>
      <c r="GJ107">
        <v>24079.4</v>
      </c>
      <c r="GK107">
        <v>31332.400000000001</v>
      </c>
      <c r="GL107">
        <v>26048.9</v>
      </c>
      <c r="GM107">
        <v>37572.1</v>
      </c>
      <c r="GN107">
        <v>31649</v>
      </c>
      <c r="GO107">
        <v>46528.9</v>
      </c>
      <c r="GP107">
        <v>37872.699999999997</v>
      </c>
      <c r="GQ107">
        <v>1.8938999999999999</v>
      </c>
      <c r="GR107">
        <v>1.7059500000000001</v>
      </c>
      <c r="GS107">
        <v>-4.7657600000000001E-2</v>
      </c>
      <c r="GT107">
        <v>0</v>
      </c>
      <c r="GU107">
        <v>30.741199999999999</v>
      </c>
      <c r="GV107">
        <v>999.9</v>
      </c>
      <c r="GW107">
        <v>38.200000000000003</v>
      </c>
      <c r="GX107">
        <v>46.1</v>
      </c>
      <c r="GY107">
        <v>39.295900000000003</v>
      </c>
      <c r="GZ107">
        <v>62.494300000000003</v>
      </c>
      <c r="HA107">
        <v>22.031199999999998</v>
      </c>
      <c r="HB107">
        <v>1</v>
      </c>
      <c r="HC107">
        <v>0.58770800000000001</v>
      </c>
      <c r="HD107">
        <v>2.8181099999999999</v>
      </c>
      <c r="HE107">
        <v>20.2743</v>
      </c>
      <c r="HF107">
        <v>5.2234299999999996</v>
      </c>
      <c r="HG107">
        <v>12.0616</v>
      </c>
      <c r="HH107">
        <v>4.9929500000000004</v>
      </c>
      <c r="HI107">
        <v>3.2919999999999998</v>
      </c>
      <c r="HJ107">
        <v>9999</v>
      </c>
      <c r="HK107">
        <v>9999</v>
      </c>
      <c r="HL107">
        <v>9999</v>
      </c>
      <c r="HM107">
        <v>465.8</v>
      </c>
      <c r="HN107">
        <v>1.86676</v>
      </c>
      <c r="HO107">
        <v>1.87026</v>
      </c>
      <c r="HP107">
        <v>1.87286</v>
      </c>
      <c r="HQ107">
        <v>1.87374</v>
      </c>
      <c r="HR107">
        <v>1.87052</v>
      </c>
      <c r="HS107">
        <v>1.8689</v>
      </c>
      <c r="HT107">
        <v>1.87036</v>
      </c>
      <c r="HU107">
        <v>1.8733200000000001</v>
      </c>
      <c r="HV107">
        <v>0</v>
      </c>
      <c r="HW107">
        <v>0</v>
      </c>
      <c r="HX107">
        <v>0</v>
      </c>
      <c r="HY107">
        <v>0</v>
      </c>
      <c r="HZ107" t="s">
        <v>424</v>
      </c>
      <c r="IA107" t="s">
        <v>425</v>
      </c>
      <c r="IB107" t="s">
        <v>426</v>
      </c>
      <c r="IC107" t="s">
        <v>426</v>
      </c>
      <c r="ID107" t="s">
        <v>426</v>
      </c>
      <c r="IE107" t="s">
        <v>426</v>
      </c>
      <c r="IF107">
        <v>0</v>
      </c>
      <c r="IG107">
        <v>100</v>
      </c>
      <c r="IH107">
        <v>100</v>
      </c>
      <c r="II107">
        <v>0.85599999999999998</v>
      </c>
      <c r="IJ107">
        <v>0.24970000000000001</v>
      </c>
      <c r="IK107">
        <v>9.1765473497721101E-2</v>
      </c>
      <c r="IL107">
        <v>3.042515301972944E-3</v>
      </c>
      <c r="IM107">
        <v>-2.5091471490852929E-6</v>
      </c>
      <c r="IN107">
        <v>8.1339755115576286E-10</v>
      </c>
      <c r="IO107">
        <v>0.24960837661907079</v>
      </c>
      <c r="IP107">
        <v>0</v>
      </c>
      <c r="IQ107">
        <v>0</v>
      </c>
      <c r="IR107">
        <v>0</v>
      </c>
      <c r="IS107">
        <v>3</v>
      </c>
      <c r="IT107">
        <v>2004</v>
      </c>
      <c r="IU107">
        <v>2</v>
      </c>
      <c r="IV107">
        <v>22</v>
      </c>
      <c r="IW107">
        <v>0.5</v>
      </c>
      <c r="IX107">
        <v>0.6</v>
      </c>
      <c r="IY107">
        <v>1.02051</v>
      </c>
      <c r="IZ107">
        <v>2.5878899999999998</v>
      </c>
      <c r="JA107">
        <v>1.64917</v>
      </c>
      <c r="JB107">
        <v>2.33887</v>
      </c>
      <c r="JC107">
        <v>1.5991200000000001</v>
      </c>
      <c r="JD107">
        <v>2.2522000000000002</v>
      </c>
      <c r="JE107">
        <v>47.271999999999998</v>
      </c>
      <c r="JF107">
        <v>24.122499999999999</v>
      </c>
      <c r="JG107">
        <v>18</v>
      </c>
      <c r="JH107">
        <v>507.12400000000002</v>
      </c>
      <c r="JI107">
        <v>432.12099999999998</v>
      </c>
      <c r="JJ107">
        <v>26.974399999999999</v>
      </c>
      <c r="JK107">
        <v>34.373699999999999</v>
      </c>
      <c r="JL107">
        <v>30.0002</v>
      </c>
      <c r="JM107">
        <v>34.460099999999997</v>
      </c>
      <c r="JN107">
        <v>34.4617</v>
      </c>
      <c r="JO107">
        <v>20.427199999999999</v>
      </c>
      <c r="JP107">
        <v>54.903700000000001</v>
      </c>
      <c r="JQ107">
        <v>0</v>
      </c>
      <c r="JR107">
        <v>26.984500000000001</v>
      </c>
      <c r="JS107">
        <v>400</v>
      </c>
      <c r="JT107">
        <v>21.519400000000001</v>
      </c>
      <c r="JU107">
        <v>99.307299999999998</v>
      </c>
      <c r="JV107">
        <v>99.04</v>
      </c>
    </row>
    <row r="108" spans="1:282" x14ac:dyDescent="0.25">
      <c r="A108">
        <v>92</v>
      </c>
      <c r="B108">
        <v>1689017173.0999999</v>
      </c>
      <c r="C108">
        <v>17578</v>
      </c>
      <c r="D108" t="s">
        <v>886</v>
      </c>
      <c r="E108" t="s">
        <v>887</v>
      </c>
      <c r="F108" t="s">
        <v>414</v>
      </c>
      <c r="G108" t="s">
        <v>415</v>
      </c>
      <c r="H108" t="s">
        <v>416</v>
      </c>
      <c r="I108" t="s">
        <v>416</v>
      </c>
      <c r="J108" t="s">
        <v>501</v>
      </c>
      <c r="K108">
        <v>1689017173.0999999</v>
      </c>
      <c r="L108">
        <f t="shared" si="92"/>
        <v>6.6840409654802665E-3</v>
      </c>
      <c r="M108">
        <f t="shared" si="93"/>
        <v>6.6840409654802668</v>
      </c>
      <c r="N108">
        <f t="shared" si="94"/>
        <v>47.114267303168162</v>
      </c>
      <c r="O108">
        <f t="shared" si="95"/>
        <v>241.55699999999999</v>
      </c>
      <c r="P108">
        <f t="shared" si="96"/>
        <v>73.776082817759089</v>
      </c>
      <c r="Q108">
        <f t="shared" si="97"/>
        <v>7.3223911627996205</v>
      </c>
      <c r="R108">
        <f t="shared" si="98"/>
        <v>23.974908595805999</v>
      </c>
      <c r="S108">
        <f t="shared" si="99"/>
        <v>0.49637949149372362</v>
      </c>
      <c r="T108">
        <f t="shared" si="100"/>
        <v>2.9106776531124456</v>
      </c>
      <c r="U108">
        <f t="shared" si="101"/>
        <v>0.45369765266827955</v>
      </c>
      <c r="V108">
        <f t="shared" si="102"/>
        <v>0.28708936471309954</v>
      </c>
      <c r="W108">
        <f t="shared" si="103"/>
        <v>289.53295357714183</v>
      </c>
      <c r="X108">
        <f t="shared" si="104"/>
        <v>30.269923666291973</v>
      </c>
      <c r="Y108">
        <f t="shared" si="105"/>
        <v>29.986699999999999</v>
      </c>
      <c r="Z108">
        <f t="shared" si="106"/>
        <v>4.2571961229958237</v>
      </c>
      <c r="AA108">
        <f t="shared" si="107"/>
        <v>65.687519269518063</v>
      </c>
      <c r="AB108">
        <f t="shared" si="108"/>
        <v>2.8473187707481999</v>
      </c>
      <c r="AC108">
        <f t="shared" si="109"/>
        <v>4.3346419569683503</v>
      </c>
      <c r="AD108">
        <f t="shared" si="110"/>
        <v>1.4098773522476238</v>
      </c>
      <c r="AE108">
        <f t="shared" si="111"/>
        <v>-294.76620657767978</v>
      </c>
      <c r="AF108">
        <f t="shared" si="112"/>
        <v>49.304406531990679</v>
      </c>
      <c r="AG108">
        <f t="shared" si="113"/>
        <v>3.7718031553107032</v>
      </c>
      <c r="AH108">
        <f t="shared" si="114"/>
        <v>47.842956686763415</v>
      </c>
      <c r="AI108">
        <v>0</v>
      </c>
      <c r="AJ108">
        <v>0</v>
      </c>
      <c r="AK108">
        <f t="shared" si="115"/>
        <v>1</v>
      </c>
      <c r="AL108">
        <f t="shared" si="116"/>
        <v>0</v>
      </c>
      <c r="AM108">
        <f t="shared" si="117"/>
        <v>51745.811358304789</v>
      </c>
      <c r="AN108" t="s">
        <v>418</v>
      </c>
      <c r="AO108">
        <v>10021</v>
      </c>
      <c r="AP108">
        <v>177.53923076923081</v>
      </c>
      <c r="AQ108">
        <v>655.56</v>
      </c>
      <c r="AR108">
        <f t="shared" si="118"/>
        <v>0.72917928066198234</v>
      </c>
      <c r="AS108">
        <v>-3.1115002560329539</v>
      </c>
      <c r="AT108" t="s">
        <v>888</v>
      </c>
      <c r="AU108">
        <v>8037.16</v>
      </c>
      <c r="AV108">
        <v>729.85988000000009</v>
      </c>
      <c r="AW108">
        <v>1115.8389719172151</v>
      </c>
      <c r="AX108">
        <f t="shared" si="119"/>
        <v>0.34590931275149173</v>
      </c>
      <c r="AY108">
        <v>0.5</v>
      </c>
      <c r="AZ108">
        <f t="shared" si="120"/>
        <v>1513.0082992627679</v>
      </c>
      <c r="BA108">
        <f t="shared" si="121"/>
        <v>47.114267303168162</v>
      </c>
      <c r="BB108">
        <f t="shared" si="122"/>
        <v>261.68183049264366</v>
      </c>
      <c r="BC108">
        <f t="shared" si="123"/>
        <v>3.3195963025235385E-2</v>
      </c>
      <c r="BD108">
        <f t="shared" si="124"/>
        <v>-0.4124958739578452</v>
      </c>
      <c r="BE108">
        <f t="shared" si="125"/>
        <v>199.86684113025288</v>
      </c>
      <c r="BF108" t="s">
        <v>889</v>
      </c>
      <c r="BG108">
        <v>612.07000000000005</v>
      </c>
      <c r="BH108">
        <f t="shared" si="126"/>
        <v>612.07000000000005</v>
      </c>
      <c r="BI108">
        <f t="shared" si="127"/>
        <v>0.45147103174900582</v>
      </c>
      <c r="BJ108">
        <f t="shared" si="128"/>
        <v>0.76618274136312514</v>
      </c>
      <c r="BK108">
        <f t="shared" si="129"/>
        <v>-10.583558793221803</v>
      </c>
      <c r="BL108">
        <f t="shared" si="130"/>
        <v>0.41136011765811642</v>
      </c>
      <c r="BM108">
        <f t="shared" si="131"/>
        <v>-0.96288488188054233</v>
      </c>
      <c r="BN108">
        <f t="shared" si="132"/>
        <v>0.64253082455515709</v>
      </c>
      <c r="BO108">
        <f t="shared" si="133"/>
        <v>0.35746917544484291</v>
      </c>
      <c r="BP108">
        <v>22649</v>
      </c>
      <c r="BQ108">
        <v>290.00000000000011</v>
      </c>
      <c r="BR108">
        <v>999.09</v>
      </c>
      <c r="BS108">
        <v>295</v>
      </c>
      <c r="BT108">
        <v>8037.16</v>
      </c>
      <c r="BU108">
        <v>1000.26</v>
      </c>
      <c r="BV108">
        <v>-1.17</v>
      </c>
      <c r="BW108">
        <v>300.00000000000011</v>
      </c>
      <c r="BX108">
        <v>19.399999999999999</v>
      </c>
      <c r="BY108">
        <v>1115.8389719172151</v>
      </c>
      <c r="BZ108">
        <v>3.4545046084444282</v>
      </c>
      <c r="CA108">
        <v>-92.890363251957581</v>
      </c>
      <c r="CB108">
        <v>2.5504064035140761</v>
      </c>
      <c r="CC108">
        <v>0.97932887800045088</v>
      </c>
      <c r="CD108">
        <v>-4.1509728587319251E-3</v>
      </c>
      <c r="CE108">
        <v>289.99999999999989</v>
      </c>
      <c r="CF108">
        <v>1000.92</v>
      </c>
      <c r="CG108">
        <v>675</v>
      </c>
      <c r="CH108">
        <v>8026.48</v>
      </c>
      <c r="CI108">
        <v>1000.11</v>
      </c>
      <c r="CJ108">
        <v>0.81</v>
      </c>
      <c r="CX108">
        <f t="shared" si="134"/>
        <v>1799.79</v>
      </c>
      <c r="CY108">
        <f t="shared" si="135"/>
        <v>1513.0082992627679</v>
      </c>
      <c r="CZ108">
        <f t="shared" si="136"/>
        <v>0.84065824305211601</v>
      </c>
      <c r="DA108">
        <f t="shared" si="137"/>
        <v>0.16087040909058381</v>
      </c>
      <c r="DB108">
        <v>6</v>
      </c>
      <c r="DC108">
        <v>0.5</v>
      </c>
      <c r="DD108" t="s">
        <v>421</v>
      </c>
      <c r="DE108">
        <v>2</v>
      </c>
      <c r="DF108">
        <v>1689017173.0999999</v>
      </c>
      <c r="DG108">
        <v>241.55699999999999</v>
      </c>
      <c r="DH108">
        <v>300.02600000000001</v>
      </c>
      <c r="DI108">
        <v>28.687899999999999</v>
      </c>
      <c r="DJ108">
        <v>20.8979</v>
      </c>
      <c r="DK108">
        <v>241.017</v>
      </c>
      <c r="DL108">
        <v>28.435199999999998</v>
      </c>
      <c r="DM108">
        <v>500.048</v>
      </c>
      <c r="DN108">
        <v>99.151200000000003</v>
      </c>
      <c r="DO108">
        <v>0.100358</v>
      </c>
      <c r="DP108">
        <v>30.300899999999999</v>
      </c>
      <c r="DQ108">
        <v>29.986699999999999</v>
      </c>
      <c r="DR108">
        <v>999.9</v>
      </c>
      <c r="DS108">
        <v>0</v>
      </c>
      <c r="DT108">
        <v>0</v>
      </c>
      <c r="DU108">
        <v>9977.5</v>
      </c>
      <c r="DV108">
        <v>0</v>
      </c>
      <c r="DW108">
        <v>1796.31</v>
      </c>
      <c r="DX108">
        <v>-58.469299999999997</v>
      </c>
      <c r="DY108">
        <v>248.69200000000001</v>
      </c>
      <c r="DZ108">
        <v>306.43</v>
      </c>
      <c r="EA108">
        <v>7.7899700000000003</v>
      </c>
      <c r="EB108">
        <v>300.02600000000001</v>
      </c>
      <c r="EC108">
        <v>20.8979</v>
      </c>
      <c r="ED108">
        <v>2.8444400000000001</v>
      </c>
      <c r="EE108">
        <v>2.0720499999999999</v>
      </c>
      <c r="EF108">
        <v>23.144300000000001</v>
      </c>
      <c r="EG108">
        <v>18.006</v>
      </c>
      <c r="EH108">
        <v>1799.79</v>
      </c>
      <c r="EI108">
        <v>0.97799800000000003</v>
      </c>
      <c r="EJ108">
        <v>2.20021E-2</v>
      </c>
      <c r="EK108">
        <v>0</v>
      </c>
      <c r="EL108">
        <v>730.20100000000002</v>
      </c>
      <c r="EM108">
        <v>5.0011200000000002</v>
      </c>
      <c r="EN108">
        <v>14638.2</v>
      </c>
      <c r="EO108">
        <v>17208.900000000001</v>
      </c>
      <c r="EP108">
        <v>48.75</v>
      </c>
      <c r="EQ108">
        <v>50.561999999999998</v>
      </c>
      <c r="ER108">
        <v>49.811999999999998</v>
      </c>
      <c r="ES108">
        <v>49.5</v>
      </c>
      <c r="ET108">
        <v>49.186999999999998</v>
      </c>
      <c r="EU108">
        <v>1755.3</v>
      </c>
      <c r="EV108">
        <v>39.49</v>
      </c>
      <c r="EW108">
        <v>0</v>
      </c>
      <c r="EX108">
        <v>136.4000000953674</v>
      </c>
      <c r="EY108">
        <v>0</v>
      </c>
      <c r="EZ108">
        <v>729.85988000000009</v>
      </c>
      <c r="FA108">
        <v>3.6873076960289399</v>
      </c>
      <c r="FB108">
        <v>69.576922961381158</v>
      </c>
      <c r="FC108">
        <v>14631.964</v>
      </c>
      <c r="FD108">
        <v>15</v>
      </c>
      <c r="FE108">
        <v>1689017144.5999999</v>
      </c>
      <c r="FF108" t="s">
        <v>890</v>
      </c>
      <c r="FG108">
        <v>1689017141.0999999</v>
      </c>
      <c r="FH108">
        <v>1689017144.5999999</v>
      </c>
      <c r="FI108">
        <v>103</v>
      </c>
      <c r="FJ108">
        <v>-0.151</v>
      </c>
      <c r="FK108">
        <v>3.0000000000000001E-3</v>
      </c>
      <c r="FL108">
        <v>0.64900000000000002</v>
      </c>
      <c r="FM108">
        <v>0.23400000000000001</v>
      </c>
      <c r="FN108">
        <v>300</v>
      </c>
      <c r="FO108">
        <v>21</v>
      </c>
      <c r="FP108">
        <v>0.03</v>
      </c>
      <c r="FQ108">
        <v>0.02</v>
      </c>
      <c r="FR108">
        <v>46.752250008331522</v>
      </c>
      <c r="FS108">
        <v>0.44041123803251908</v>
      </c>
      <c r="FT108">
        <v>0.12613067853416729</v>
      </c>
      <c r="FU108">
        <v>1</v>
      </c>
      <c r="FV108">
        <v>0.49168112236038047</v>
      </c>
      <c r="FW108">
        <v>4.5681317976422421E-2</v>
      </c>
      <c r="FX108">
        <v>4.4981185055677454E-3</v>
      </c>
      <c r="FY108">
        <v>1</v>
      </c>
      <c r="FZ108">
        <v>2</v>
      </c>
      <c r="GA108">
        <v>2</v>
      </c>
      <c r="GB108" t="s">
        <v>423</v>
      </c>
      <c r="GC108">
        <v>2.9239199999999999</v>
      </c>
      <c r="GD108">
        <v>2.8274599999999999</v>
      </c>
      <c r="GE108">
        <v>5.8040899999999999E-2</v>
      </c>
      <c r="GF108">
        <v>6.9965899999999998E-2</v>
      </c>
      <c r="GG108">
        <v>0.12654799999999999</v>
      </c>
      <c r="GH108">
        <v>0.10186099999999999</v>
      </c>
      <c r="GI108">
        <v>30668.5</v>
      </c>
      <c r="GJ108">
        <v>24557.4</v>
      </c>
      <c r="GK108">
        <v>31334</v>
      </c>
      <c r="GL108">
        <v>26050.3</v>
      </c>
      <c r="GM108">
        <v>37521.5</v>
      </c>
      <c r="GN108">
        <v>31736.799999999999</v>
      </c>
      <c r="GO108">
        <v>46531</v>
      </c>
      <c r="GP108">
        <v>37875</v>
      </c>
      <c r="GQ108">
        <v>1.89625</v>
      </c>
      <c r="GR108">
        <v>1.7033499999999999</v>
      </c>
      <c r="GS108">
        <v>-5.5961299999999999E-2</v>
      </c>
      <c r="GT108">
        <v>0</v>
      </c>
      <c r="GU108">
        <v>30.896699999999999</v>
      </c>
      <c r="GV108">
        <v>999.9</v>
      </c>
      <c r="GW108">
        <v>38.700000000000003</v>
      </c>
      <c r="GX108">
        <v>46</v>
      </c>
      <c r="GY108">
        <v>39.606400000000001</v>
      </c>
      <c r="GZ108">
        <v>62.3643</v>
      </c>
      <c r="HA108">
        <v>22.067299999999999</v>
      </c>
      <c r="HB108">
        <v>1</v>
      </c>
      <c r="HC108">
        <v>0.58604699999999998</v>
      </c>
      <c r="HD108">
        <v>2.82131</v>
      </c>
      <c r="HE108">
        <v>20.273700000000002</v>
      </c>
      <c r="HF108">
        <v>5.2231300000000003</v>
      </c>
      <c r="HG108">
        <v>12.0616</v>
      </c>
      <c r="HH108">
        <v>4.9929500000000004</v>
      </c>
      <c r="HI108">
        <v>3.2919999999999998</v>
      </c>
      <c r="HJ108">
        <v>9999</v>
      </c>
      <c r="HK108">
        <v>9999</v>
      </c>
      <c r="HL108">
        <v>9999</v>
      </c>
      <c r="HM108">
        <v>465.9</v>
      </c>
      <c r="HN108">
        <v>1.8668800000000001</v>
      </c>
      <c r="HO108">
        <v>1.8702700000000001</v>
      </c>
      <c r="HP108">
        <v>1.8728800000000001</v>
      </c>
      <c r="HQ108">
        <v>1.87378</v>
      </c>
      <c r="HR108">
        <v>1.8705700000000001</v>
      </c>
      <c r="HS108">
        <v>1.86893</v>
      </c>
      <c r="HT108">
        <v>1.87042</v>
      </c>
      <c r="HU108">
        <v>1.8734200000000001</v>
      </c>
      <c r="HV108">
        <v>0</v>
      </c>
      <c r="HW108">
        <v>0</v>
      </c>
      <c r="HX108">
        <v>0</v>
      </c>
      <c r="HY108">
        <v>0</v>
      </c>
      <c r="HZ108" t="s">
        <v>424</v>
      </c>
      <c r="IA108" t="s">
        <v>425</v>
      </c>
      <c r="IB108" t="s">
        <v>426</v>
      </c>
      <c r="IC108" t="s">
        <v>426</v>
      </c>
      <c r="ID108" t="s">
        <v>426</v>
      </c>
      <c r="IE108" t="s">
        <v>426</v>
      </c>
      <c r="IF108">
        <v>0</v>
      </c>
      <c r="IG108">
        <v>100</v>
      </c>
      <c r="IH108">
        <v>100</v>
      </c>
      <c r="II108">
        <v>0.54</v>
      </c>
      <c r="IJ108">
        <v>0.25269999999999998</v>
      </c>
      <c r="IK108">
        <v>-5.9236439424778208E-2</v>
      </c>
      <c r="IL108">
        <v>3.042515301972944E-3</v>
      </c>
      <c r="IM108">
        <v>-2.5091471490852929E-6</v>
      </c>
      <c r="IN108">
        <v>8.1339755115576286E-10</v>
      </c>
      <c r="IO108">
        <v>0.2527142960442913</v>
      </c>
      <c r="IP108">
        <v>0</v>
      </c>
      <c r="IQ108">
        <v>0</v>
      </c>
      <c r="IR108">
        <v>0</v>
      </c>
      <c r="IS108">
        <v>3</v>
      </c>
      <c r="IT108">
        <v>2004</v>
      </c>
      <c r="IU108">
        <v>2</v>
      </c>
      <c r="IV108">
        <v>22</v>
      </c>
      <c r="IW108">
        <v>0.5</v>
      </c>
      <c r="IX108">
        <v>0.5</v>
      </c>
      <c r="IY108">
        <v>0.80444300000000002</v>
      </c>
      <c r="IZ108">
        <v>2.5939899999999998</v>
      </c>
      <c r="JA108">
        <v>1.64917</v>
      </c>
      <c r="JB108">
        <v>2.33765</v>
      </c>
      <c r="JC108">
        <v>1.5991200000000001</v>
      </c>
      <c r="JD108">
        <v>2.2448700000000001</v>
      </c>
      <c r="JE108">
        <v>47.601900000000001</v>
      </c>
      <c r="JF108">
        <v>24.113800000000001</v>
      </c>
      <c r="JG108">
        <v>18</v>
      </c>
      <c r="JH108">
        <v>508.58800000000002</v>
      </c>
      <c r="JI108">
        <v>430.35500000000002</v>
      </c>
      <c r="JJ108">
        <v>27.075399999999998</v>
      </c>
      <c r="JK108">
        <v>34.352800000000002</v>
      </c>
      <c r="JL108">
        <v>30.0002</v>
      </c>
      <c r="JM108">
        <v>34.4499</v>
      </c>
      <c r="JN108">
        <v>34.449300000000001</v>
      </c>
      <c r="JO108">
        <v>16.1206</v>
      </c>
      <c r="JP108">
        <v>57.2164</v>
      </c>
      <c r="JQ108">
        <v>0</v>
      </c>
      <c r="JR108">
        <v>27.0855</v>
      </c>
      <c r="JS108">
        <v>300</v>
      </c>
      <c r="JT108">
        <v>20.758600000000001</v>
      </c>
      <c r="JU108">
        <v>99.312100000000001</v>
      </c>
      <c r="JV108">
        <v>99.0458</v>
      </c>
    </row>
    <row r="109" spans="1:282" x14ac:dyDescent="0.25">
      <c r="A109">
        <v>93</v>
      </c>
      <c r="B109">
        <v>1689017283.5999999</v>
      </c>
      <c r="C109">
        <v>17688.5</v>
      </c>
      <c r="D109" t="s">
        <v>891</v>
      </c>
      <c r="E109" t="s">
        <v>892</v>
      </c>
      <c r="F109" t="s">
        <v>414</v>
      </c>
      <c r="G109" t="s">
        <v>415</v>
      </c>
      <c r="H109" t="s">
        <v>416</v>
      </c>
      <c r="I109" t="s">
        <v>416</v>
      </c>
      <c r="J109" t="s">
        <v>501</v>
      </c>
      <c r="K109">
        <v>1689017283.5999999</v>
      </c>
      <c r="L109">
        <f t="shared" si="92"/>
        <v>7.5492791265580148E-3</v>
      </c>
      <c r="M109">
        <f t="shared" si="93"/>
        <v>7.549279126558015</v>
      </c>
      <c r="N109">
        <f t="shared" si="94"/>
        <v>34.900398936987308</v>
      </c>
      <c r="O109">
        <f t="shared" si="95"/>
        <v>156.65299999999999</v>
      </c>
      <c r="P109">
        <f t="shared" si="96"/>
        <v>48.447702982341902</v>
      </c>
      <c r="Q109">
        <f t="shared" si="97"/>
        <v>4.808461990845025</v>
      </c>
      <c r="R109">
        <f t="shared" si="98"/>
        <v>15.547899072250999</v>
      </c>
      <c r="S109">
        <f t="shared" si="99"/>
        <v>0.5769161847166554</v>
      </c>
      <c r="T109">
        <f t="shared" si="100"/>
        <v>2.9095647729803749</v>
      </c>
      <c r="U109">
        <f t="shared" si="101"/>
        <v>0.52008875103579622</v>
      </c>
      <c r="V109">
        <f t="shared" si="102"/>
        <v>0.32969347294614454</v>
      </c>
      <c r="W109">
        <f t="shared" si="103"/>
        <v>289.57125757733149</v>
      </c>
      <c r="X109">
        <f t="shared" si="104"/>
        <v>30.145621093584211</v>
      </c>
      <c r="Y109">
        <f t="shared" si="105"/>
        <v>29.990500000000001</v>
      </c>
      <c r="Z109">
        <f t="shared" si="106"/>
        <v>4.2581255160740312</v>
      </c>
      <c r="AA109">
        <f t="shared" si="107"/>
        <v>65.80878941986704</v>
      </c>
      <c r="AB109">
        <f t="shared" si="108"/>
        <v>2.8691949411762003</v>
      </c>
      <c r="AC109">
        <f t="shared" si="109"/>
        <v>4.3598962486157173</v>
      </c>
      <c r="AD109">
        <f t="shared" si="110"/>
        <v>1.3889305748978309</v>
      </c>
      <c r="AE109">
        <f t="shared" si="111"/>
        <v>-332.92320948120846</v>
      </c>
      <c r="AF109">
        <f t="shared" si="112"/>
        <v>64.595135797649945</v>
      </c>
      <c r="AG109">
        <f t="shared" si="113"/>
        <v>4.9460136994796313</v>
      </c>
      <c r="AH109">
        <f t="shared" si="114"/>
        <v>26.189197593252615</v>
      </c>
      <c r="AI109">
        <v>0</v>
      </c>
      <c r="AJ109">
        <v>0</v>
      </c>
      <c r="AK109">
        <f t="shared" si="115"/>
        <v>1</v>
      </c>
      <c r="AL109">
        <f t="shared" si="116"/>
        <v>0</v>
      </c>
      <c r="AM109">
        <f t="shared" si="117"/>
        <v>51696.896765949772</v>
      </c>
      <c r="AN109" t="s">
        <v>418</v>
      </c>
      <c r="AO109">
        <v>10021</v>
      </c>
      <c r="AP109">
        <v>177.53923076923081</v>
      </c>
      <c r="AQ109">
        <v>655.56</v>
      </c>
      <c r="AR109">
        <f t="shared" si="118"/>
        <v>0.72917928066198234</v>
      </c>
      <c r="AS109">
        <v>-3.1115002560329539</v>
      </c>
      <c r="AT109" t="s">
        <v>893</v>
      </c>
      <c r="AU109">
        <v>8036.28</v>
      </c>
      <c r="AV109">
        <v>708.07653846153858</v>
      </c>
      <c r="AW109">
        <v>992.57318052400012</v>
      </c>
      <c r="AX109">
        <f t="shared" si="119"/>
        <v>0.28662535684499335</v>
      </c>
      <c r="AY109">
        <v>0.5</v>
      </c>
      <c r="AZ109">
        <f t="shared" si="120"/>
        <v>1513.209899262866</v>
      </c>
      <c r="BA109">
        <f t="shared" si="121"/>
        <v>34.900398936987308</v>
      </c>
      <c r="BB109">
        <f t="shared" si="122"/>
        <v>216.86216367879771</v>
      </c>
      <c r="BC109">
        <f t="shared" si="123"/>
        <v>2.512004396187013E-2</v>
      </c>
      <c r="BD109">
        <f t="shared" si="124"/>
        <v>-0.33953484452006238</v>
      </c>
      <c r="BE109">
        <f t="shared" si="125"/>
        <v>195.51768203450123</v>
      </c>
      <c r="BF109" t="s">
        <v>894</v>
      </c>
      <c r="BG109">
        <v>608.85</v>
      </c>
      <c r="BH109">
        <f t="shared" si="126"/>
        <v>608.85</v>
      </c>
      <c r="BI109">
        <f t="shared" si="127"/>
        <v>0.38659434694923411</v>
      </c>
      <c r="BJ109">
        <f t="shared" si="128"/>
        <v>0.74141114350705117</v>
      </c>
      <c r="BK109">
        <f t="shared" si="129"/>
        <v>-7.2150113578248929</v>
      </c>
      <c r="BL109">
        <f t="shared" si="130"/>
        <v>0.34906109389438567</v>
      </c>
      <c r="BM109">
        <f t="shared" si="131"/>
        <v>-0.70501786160112179</v>
      </c>
      <c r="BN109">
        <f t="shared" si="132"/>
        <v>0.63751324921039987</v>
      </c>
      <c r="BO109">
        <f t="shared" si="133"/>
        <v>0.36248675078960013</v>
      </c>
      <c r="BP109">
        <v>22651</v>
      </c>
      <c r="BQ109">
        <v>290.00000000000011</v>
      </c>
      <c r="BR109">
        <v>919.82</v>
      </c>
      <c r="BS109">
        <v>295</v>
      </c>
      <c r="BT109">
        <v>8036.28</v>
      </c>
      <c r="BU109">
        <v>923.33</v>
      </c>
      <c r="BV109">
        <v>-3.51</v>
      </c>
      <c r="BW109">
        <v>300.00000000000011</v>
      </c>
      <c r="BX109">
        <v>19.399999999999999</v>
      </c>
      <c r="BY109">
        <v>992.57318052400012</v>
      </c>
      <c r="BZ109">
        <v>4.4067105166791602</v>
      </c>
      <c r="CA109">
        <v>-55.64391169184676</v>
      </c>
      <c r="CB109">
        <v>3.253058214978497</v>
      </c>
      <c r="CC109">
        <v>0.91265959151240605</v>
      </c>
      <c r="CD109">
        <v>-4.1503870967741947E-3</v>
      </c>
      <c r="CE109">
        <v>289.99999999999989</v>
      </c>
      <c r="CF109">
        <v>925.19</v>
      </c>
      <c r="CG109">
        <v>735</v>
      </c>
      <c r="CH109">
        <v>8023.94</v>
      </c>
      <c r="CI109">
        <v>923.23</v>
      </c>
      <c r="CJ109">
        <v>1.96</v>
      </c>
      <c r="CX109">
        <f t="shared" si="134"/>
        <v>1800.03</v>
      </c>
      <c r="CY109">
        <f t="shared" si="135"/>
        <v>1513.209899262866</v>
      </c>
      <c r="CZ109">
        <f t="shared" si="136"/>
        <v>0.84065815528789301</v>
      </c>
      <c r="DA109">
        <f t="shared" si="137"/>
        <v>0.16087023970563352</v>
      </c>
      <c r="DB109">
        <v>6</v>
      </c>
      <c r="DC109">
        <v>0.5</v>
      </c>
      <c r="DD109" t="s">
        <v>421</v>
      </c>
      <c r="DE109">
        <v>2</v>
      </c>
      <c r="DF109">
        <v>1689017283.5999999</v>
      </c>
      <c r="DG109">
        <v>156.65299999999999</v>
      </c>
      <c r="DH109">
        <v>199.94499999999999</v>
      </c>
      <c r="DI109">
        <v>28.9086</v>
      </c>
      <c r="DJ109">
        <v>20.1129</v>
      </c>
      <c r="DK109">
        <v>156.31299999999999</v>
      </c>
      <c r="DL109">
        <v>28.6492</v>
      </c>
      <c r="DM109">
        <v>500.08800000000002</v>
      </c>
      <c r="DN109">
        <v>99.150199999999998</v>
      </c>
      <c r="DO109">
        <v>0.100367</v>
      </c>
      <c r="DP109">
        <v>30.4023</v>
      </c>
      <c r="DQ109">
        <v>29.990500000000001</v>
      </c>
      <c r="DR109">
        <v>999.9</v>
      </c>
      <c r="DS109">
        <v>0</v>
      </c>
      <c r="DT109">
        <v>0</v>
      </c>
      <c r="DU109">
        <v>9971.25</v>
      </c>
      <c r="DV109">
        <v>0</v>
      </c>
      <c r="DW109">
        <v>1782.91</v>
      </c>
      <c r="DX109">
        <v>-43.292000000000002</v>
      </c>
      <c r="DY109">
        <v>161.31700000000001</v>
      </c>
      <c r="DZ109">
        <v>204.04900000000001</v>
      </c>
      <c r="EA109">
        <v>8.7956800000000008</v>
      </c>
      <c r="EB109">
        <v>199.94499999999999</v>
      </c>
      <c r="EC109">
        <v>20.1129</v>
      </c>
      <c r="ED109">
        <v>2.8662899999999998</v>
      </c>
      <c r="EE109">
        <v>1.9942</v>
      </c>
      <c r="EF109">
        <v>23.270900000000001</v>
      </c>
      <c r="EG109">
        <v>17.398299999999999</v>
      </c>
      <c r="EH109">
        <v>1800.03</v>
      </c>
      <c r="EI109">
        <v>0.97800200000000004</v>
      </c>
      <c r="EJ109">
        <v>2.1998400000000001E-2</v>
      </c>
      <c r="EK109">
        <v>0</v>
      </c>
      <c r="EL109">
        <v>707.096</v>
      </c>
      <c r="EM109">
        <v>5.0011200000000002</v>
      </c>
      <c r="EN109">
        <v>14182.7</v>
      </c>
      <c r="EO109">
        <v>17211.2</v>
      </c>
      <c r="EP109">
        <v>48.875</v>
      </c>
      <c r="EQ109">
        <v>50.686999999999998</v>
      </c>
      <c r="ER109">
        <v>49.936999999999998</v>
      </c>
      <c r="ES109">
        <v>49.561999999999998</v>
      </c>
      <c r="ET109">
        <v>49.311999999999998</v>
      </c>
      <c r="EU109">
        <v>1755.54</v>
      </c>
      <c r="EV109">
        <v>39.49</v>
      </c>
      <c r="EW109">
        <v>0</v>
      </c>
      <c r="EX109">
        <v>108.7999999523163</v>
      </c>
      <c r="EY109">
        <v>0</v>
      </c>
      <c r="EZ109">
        <v>708.07653846153858</v>
      </c>
      <c r="FA109">
        <v>-7.9081025593113914</v>
      </c>
      <c r="FB109">
        <v>-143.12820495118191</v>
      </c>
      <c r="FC109">
        <v>14199.380769230769</v>
      </c>
      <c r="FD109">
        <v>15</v>
      </c>
      <c r="FE109">
        <v>1689017254.5999999</v>
      </c>
      <c r="FF109" t="s">
        <v>895</v>
      </c>
      <c r="FG109">
        <v>1689017253.5999999</v>
      </c>
      <c r="FH109">
        <v>1689017254.5999999</v>
      </c>
      <c r="FI109">
        <v>104</v>
      </c>
      <c r="FJ109">
        <v>-1.7999999999999999E-2</v>
      </c>
      <c r="FK109">
        <v>7.0000000000000001E-3</v>
      </c>
      <c r="FL109">
        <v>0.436</v>
      </c>
      <c r="FM109">
        <v>0.218</v>
      </c>
      <c r="FN109">
        <v>200</v>
      </c>
      <c r="FO109">
        <v>20</v>
      </c>
      <c r="FP109">
        <v>0.05</v>
      </c>
      <c r="FQ109">
        <v>0.01</v>
      </c>
      <c r="FR109">
        <v>34.798438174302163</v>
      </c>
      <c r="FS109">
        <v>-0.26229273625591032</v>
      </c>
      <c r="FT109">
        <v>0.13779987939109239</v>
      </c>
      <c r="FU109">
        <v>1</v>
      </c>
      <c r="FV109">
        <v>0.57739046765740398</v>
      </c>
      <c r="FW109">
        <v>3.037318500433045E-2</v>
      </c>
      <c r="FX109">
        <v>3.726531265930034E-3</v>
      </c>
      <c r="FY109">
        <v>1</v>
      </c>
      <c r="FZ109">
        <v>2</v>
      </c>
      <c r="GA109">
        <v>2</v>
      </c>
      <c r="GB109" t="s">
        <v>423</v>
      </c>
      <c r="GC109">
        <v>2.9240200000000001</v>
      </c>
      <c r="GD109">
        <v>2.82741</v>
      </c>
      <c r="GE109">
        <v>3.94078E-2</v>
      </c>
      <c r="GF109">
        <v>4.9410700000000002E-2</v>
      </c>
      <c r="GG109">
        <v>0.12720100000000001</v>
      </c>
      <c r="GH109">
        <v>9.9124799999999999E-2</v>
      </c>
      <c r="GI109">
        <v>31273.200000000001</v>
      </c>
      <c r="GJ109">
        <v>25097.8</v>
      </c>
      <c r="GK109">
        <v>31332.799999999999</v>
      </c>
      <c r="GL109">
        <v>26048.7</v>
      </c>
      <c r="GM109">
        <v>37491</v>
      </c>
      <c r="GN109">
        <v>31831.4</v>
      </c>
      <c r="GO109">
        <v>46528.3</v>
      </c>
      <c r="GP109">
        <v>37872.800000000003</v>
      </c>
      <c r="GQ109">
        <v>1.8978299999999999</v>
      </c>
      <c r="GR109">
        <v>1.70028</v>
      </c>
      <c r="GS109">
        <v>-6.5866900000000006E-2</v>
      </c>
      <c r="GT109">
        <v>0</v>
      </c>
      <c r="GU109">
        <v>31.061499999999999</v>
      </c>
      <c r="GV109">
        <v>999.9</v>
      </c>
      <c r="GW109">
        <v>39.200000000000003</v>
      </c>
      <c r="GX109">
        <v>46</v>
      </c>
      <c r="GY109">
        <v>40.120399999999997</v>
      </c>
      <c r="GZ109">
        <v>62.194299999999998</v>
      </c>
      <c r="HA109">
        <v>22.007200000000001</v>
      </c>
      <c r="HB109">
        <v>1</v>
      </c>
      <c r="HC109">
        <v>0.59012200000000004</v>
      </c>
      <c r="HD109">
        <v>3.19347</v>
      </c>
      <c r="HE109">
        <v>20.2668</v>
      </c>
      <c r="HF109">
        <v>5.2237299999999998</v>
      </c>
      <c r="HG109">
        <v>12.0633</v>
      </c>
      <c r="HH109">
        <v>4.9923500000000001</v>
      </c>
      <c r="HI109">
        <v>3.2919999999999998</v>
      </c>
      <c r="HJ109">
        <v>9999</v>
      </c>
      <c r="HK109">
        <v>9999</v>
      </c>
      <c r="HL109">
        <v>9999</v>
      </c>
      <c r="HM109">
        <v>465.9</v>
      </c>
      <c r="HN109">
        <v>1.8668899999999999</v>
      </c>
      <c r="HO109">
        <v>1.8703000000000001</v>
      </c>
      <c r="HP109">
        <v>1.8729800000000001</v>
      </c>
      <c r="HQ109">
        <v>1.8737900000000001</v>
      </c>
      <c r="HR109">
        <v>1.8705700000000001</v>
      </c>
      <c r="HS109">
        <v>1.8689800000000001</v>
      </c>
      <c r="HT109">
        <v>1.87042</v>
      </c>
      <c r="HU109">
        <v>1.8734599999999999</v>
      </c>
      <c r="HV109">
        <v>0</v>
      </c>
      <c r="HW109">
        <v>0</v>
      </c>
      <c r="HX109">
        <v>0</v>
      </c>
      <c r="HY109">
        <v>0</v>
      </c>
      <c r="HZ109" t="s">
        <v>424</v>
      </c>
      <c r="IA109" t="s">
        <v>425</v>
      </c>
      <c r="IB109" t="s">
        <v>426</v>
      </c>
      <c r="IC109" t="s">
        <v>426</v>
      </c>
      <c r="ID109" t="s">
        <v>426</v>
      </c>
      <c r="IE109" t="s">
        <v>426</v>
      </c>
      <c r="IF109">
        <v>0</v>
      </c>
      <c r="IG109">
        <v>100</v>
      </c>
      <c r="IH109">
        <v>100</v>
      </c>
      <c r="II109">
        <v>0.34</v>
      </c>
      <c r="IJ109">
        <v>0.25940000000000002</v>
      </c>
      <c r="IK109">
        <v>-7.7307019707567287E-2</v>
      </c>
      <c r="IL109">
        <v>3.042515301972944E-3</v>
      </c>
      <c r="IM109">
        <v>-2.5091471490852929E-6</v>
      </c>
      <c r="IN109">
        <v>8.1339755115576286E-10</v>
      </c>
      <c r="IO109">
        <v>0.25930793463445401</v>
      </c>
      <c r="IP109">
        <v>0</v>
      </c>
      <c r="IQ109">
        <v>0</v>
      </c>
      <c r="IR109">
        <v>0</v>
      </c>
      <c r="IS109">
        <v>3</v>
      </c>
      <c r="IT109">
        <v>2004</v>
      </c>
      <c r="IU109">
        <v>2</v>
      </c>
      <c r="IV109">
        <v>22</v>
      </c>
      <c r="IW109">
        <v>0.5</v>
      </c>
      <c r="IX109">
        <v>0.5</v>
      </c>
      <c r="IY109">
        <v>0.57983399999999996</v>
      </c>
      <c r="IZ109">
        <v>2.5988799999999999</v>
      </c>
      <c r="JA109">
        <v>1.64917</v>
      </c>
      <c r="JB109">
        <v>2.33887</v>
      </c>
      <c r="JC109">
        <v>1.5991200000000001</v>
      </c>
      <c r="JD109">
        <v>2.31934</v>
      </c>
      <c r="JE109">
        <v>47.934699999999999</v>
      </c>
      <c r="JF109">
        <v>24.113800000000001</v>
      </c>
      <c r="JG109">
        <v>18</v>
      </c>
      <c r="JH109">
        <v>509.721</v>
      </c>
      <c r="JI109">
        <v>428.48500000000001</v>
      </c>
      <c r="JJ109">
        <v>26.9453</v>
      </c>
      <c r="JK109">
        <v>34.368200000000002</v>
      </c>
      <c r="JL109">
        <v>30.000299999999999</v>
      </c>
      <c r="JM109">
        <v>34.463000000000001</v>
      </c>
      <c r="JN109">
        <v>34.465299999999999</v>
      </c>
      <c r="JO109">
        <v>11.631500000000001</v>
      </c>
      <c r="JP109">
        <v>58.545000000000002</v>
      </c>
      <c r="JQ109">
        <v>0</v>
      </c>
      <c r="JR109">
        <v>26.947299999999998</v>
      </c>
      <c r="JS109">
        <v>200</v>
      </c>
      <c r="JT109">
        <v>20.0425</v>
      </c>
      <c r="JU109">
        <v>99.307000000000002</v>
      </c>
      <c r="JV109">
        <v>99.0398</v>
      </c>
    </row>
    <row r="110" spans="1:282" x14ac:dyDescent="0.25">
      <c r="A110">
        <v>94</v>
      </c>
      <c r="B110">
        <v>1689017399.5</v>
      </c>
      <c r="C110">
        <v>17804.400000095371</v>
      </c>
      <c r="D110" t="s">
        <v>896</v>
      </c>
      <c r="E110" t="s">
        <v>897</v>
      </c>
      <c r="F110" t="s">
        <v>414</v>
      </c>
      <c r="G110" t="s">
        <v>415</v>
      </c>
      <c r="H110" t="s">
        <v>416</v>
      </c>
      <c r="I110" t="s">
        <v>416</v>
      </c>
      <c r="J110" t="s">
        <v>501</v>
      </c>
      <c r="K110">
        <v>1689017399.5</v>
      </c>
      <c r="L110">
        <f t="shared" si="92"/>
        <v>8.5121478784438171E-3</v>
      </c>
      <c r="M110">
        <f t="shared" si="93"/>
        <v>8.5121478784438178</v>
      </c>
      <c r="N110">
        <f t="shared" si="94"/>
        <v>23.152020358379051</v>
      </c>
      <c r="O110">
        <f t="shared" si="95"/>
        <v>91.325599999999994</v>
      </c>
      <c r="P110">
        <f t="shared" si="96"/>
        <v>28.643502733847445</v>
      </c>
      <c r="Q110">
        <f t="shared" si="97"/>
        <v>2.8430066102878722</v>
      </c>
      <c r="R110">
        <f t="shared" si="98"/>
        <v>9.0645088661483992</v>
      </c>
      <c r="S110">
        <f t="shared" si="99"/>
        <v>0.66948560641359434</v>
      </c>
      <c r="T110">
        <f t="shared" si="100"/>
        <v>2.9139227457060271</v>
      </c>
      <c r="U110">
        <f t="shared" si="101"/>
        <v>0.59432778853777324</v>
      </c>
      <c r="V110">
        <f t="shared" si="102"/>
        <v>0.37750201033579484</v>
      </c>
      <c r="W110">
        <f t="shared" si="103"/>
        <v>289.55529757725247</v>
      </c>
      <c r="X110">
        <f t="shared" si="104"/>
        <v>29.986952739123453</v>
      </c>
      <c r="Y110">
        <f t="shared" si="105"/>
        <v>29.976900000000001</v>
      </c>
      <c r="Z110">
        <f t="shared" si="106"/>
        <v>4.2548000829832118</v>
      </c>
      <c r="AA110">
        <f t="shared" si="107"/>
        <v>65.808848224569502</v>
      </c>
      <c r="AB110">
        <f t="shared" si="108"/>
        <v>2.8843658355602999</v>
      </c>
      <c r="AC110">
        <f t="shared" si="109"/>
        <v>4.3829453232755897</v>
      </c>
      <c r="AD110">
        <f t="shared" si="110"/>
        <v>1.3704342474229119</v>
      </c>
      <c r="AE110">
        <f t="shared" si="111"/>
        <v>-375.38572143937233</v>
      </c>
      <c r="AF110">
        <f t="shared" si="112"/>
        <v>81.296871086915203</v>
      </c>
      <c r="AG110">
        <f t="shared" si="113"/>
        <v>6.2179624542841507</v>
      </c>
      <c r="AH110">
        <f t="shared" si="114"/>
        <v>1.6844096790794794</v>
      </c>
      <c r="AI110">
        <v>0</v>
      </c>
      <c r="AJ110">
        <v>0</v>
      </c>
      <c r="AK110">
        <f t="shared" si="115"/>
        <v>1</v>
      </c>
      <c r="AL110">
        <f t="shared" si="116"/>
        <v>0</v>
      </c>
      <c r="AM110">
        <f t="shared" si="117"/>
        <v>51805.065189648994</v>
      </c>
      <c r="AN110" t="s">
        <v>418</v>
      </c>
      <c r="AO110">
        <v>10021</v>
      </c>
      <c r="AP110">
        <v>177.53923076923081</v>
      </c>
      <c r="AQ110">
        <v>655.56</v>
      </c>
      <c r="AR110">
        <f t="shared" si="118"/>
        <v>0.72917928066198234</v>
      </c>
      <c r="AS110">
        <v>-3.1115002560329539</v>
      </c>
      <c r="AT110" t="s">
        <v>898</v>
      </c>
      <c r="AU110">
        <v>8035.32</v>
      </c>
      <c r="AV110">
        <v>696.70371999999998</v>
      </c>
      <c r="AW110">
        <v>879.50327988921583</v>
      </c>
      <c r="AX110">
        <f t="shared" si="119"/>
        <v>0.20784409116955394</v>
      </c>
      <c r="AY110">
        <v>0.5</v>
      </c>
      <c r="AZ110">
        <f t="shared" si="120"/>
        <v>1513.125899262825</v>
      </c>
      <c r="BA110">
        <f t="shared" si="121"/>
        <v>23.152020358379051</v>
      </c>
      <c r="BB110">
        <f t="shared" si="122"/>
        <v>157.24713867869795</v>
      </c>
      <c r="BC110">
        <f t="shared" si="123"/>
        <v>1.7357128463141927E-2</v>
      </c>
      <c r="BD110">
        <f t="shared" si="124"/>
        <v>-0.25462472398900465</v>
      </c>
      <c r="BE110">
        <f t="shared" si="125"/>
        <v>190.68867376777081</v>
      </c>
      <c r="BF110" t="s">
        <v>899</v>
      </c>
      <c r="BG110">
        <v>607.29</v>
      </c>
      <c r="BH110">
        <f t="shared" si="126"/>
        <v>607.29</v>
      </c>
      <c r="BI110">
        <f t="shared" si="127"/>
        <v>0.30950797582415435</v>
      </c>
      <c r="BJ110">
        <f t="shared" si="128"/>
        <v>0.67153064671793672</v>
      </c>
      <c r="BK110">
        <f t="shared" si="129"/>
        <v>-4.6393884377297692</v>
      </c>
      <c r="BL110">
        <f t="shared" si="130"/>
        <v>0.26041156967850693</v>
      </c>
      <c r="BM110">
        <f t="shared" si="131"/>
        <v>-0.46848022994813665</v>
      </c>
      <c r="BN110">
        <f t="shared" si="132"/>
        <v>0.58534759430498773</v>
      </c>
      <c r="BO110">
        <f t="shared" si="133"/>
        <v>0.41465240569501227</v>
      </c>
      <c r="BP110">
        <v>22653</v>
      </c>
      <c r="BQ110">
        <v>290.00000000000011</v>
      </c>
      <c r="BR110">
        <v>838.84</v>
      </c>
      <c r="BS110">
        <v>285</v>
      </c>
      <c r="BT110">
        <v>8035.32</v>
      </c>
      <c r="BU110">
        <v>841.39</v>
      </c>
      <c r="BV110">
        <v>-2.5499999999999998</v>
      </c>
      <c r="BW110">
        <v>300.00000000000011</v>
      </c>
      <c r="BX110">
        <v>19.399999999999999</v>
      </c>
      <c r="BY110">
        <v>879.50327988921583</v>
      </c>
      <c r="BZ110">
        <v>3.024027188579713</v>
      </c>
      <c r="CA110">
        <v>-30.624006477845938</v>
      </c>
      <c r="CB110">
        <v>2.2320888781845931</v>
      </c>
      <c r="CC110">
        <v>0.87051142338730869</v>
      </c>
      <c r="CD110">
        <v>-4.149832480533939E-3</v>
      </c>
      <c r="CE110">
        <v>289.99999999999989</v>
      </c>
      <c r="CF110">
        <v>841.25</v>
      </c>
      <c r="CG110">
        <v>645</v>
      </c>
      <c r="CH110">
        <v>8025.55</v>
      </c>
      <c r="CI110">
        <v>841.35</v>
      </c>
      <c r="CJ110">
        <v>-0.1</v>
      </c>
      <c r="CX110">
        <f t="shared" si="134"/>
        <v>1799.93</v>
      </c>
      <c r="CY110">
        <f t="shared" si="135"/>
        <v>1513.125899262825</v>
      </c>
      <c r="CZ110">
        <f t="shared" si="136"/>
        <v>0.84065819185347479</v>
      </c>
      <c r="DA110">
        <f t="shared" si="137"/>
        <v>0.16087031027720661</v>
      </c>
      <c r="DB110">
        <v>6</v>
      </c>
      <c r="DC110">
        <v>0.5</v>
      </c>
      <c r="DD110" t="s">
        <v>421</v>
      </c>
      <c r="DE110">
        <v>2</v>
      </c>
      <c r="DF110">
        <v>1689017399.5</v>
      </c>
      <c r="DG110">
        <v>91.325599999999994</v>
      </c>
      <c r="DH110">
        <v>120.048</v>
      </c>
      <c r="DI110">
        <v>29.060199999999998</v>
      </c>
      <c r="DJ110">
        <v>19.14</v>
      </c>
      <c r="DK110">
        <v>91.194900000000004</v>
      </c>
      <c r="DL110">
        <v>28.7957</v>
      </c>
      <c r="DM110">
        <v>499.87599999999998</v>
      </c>
      <c r="DN110">
        <v>99.155299999999997</v>
      </c>
      <c r="DO110">
        <v>9.9551500000000001E-2</v>
      </c>
      <c r="DP110">
        <v>30.494399999999999</v>
      </c>
      <c r="DQ110">
        <v>29.976900000000001</v>
      </c>
      <c r="DR110">
        <v>999.9</v>
      </c>
      <c r="DS110">
        <v>0</v>
      </c>
      <c r="DT110">
        <v>0</v>
      </c>
      <c r="DU110">
        <v>9995.6200000000008</v>
      </c>
      <c r="DV110">
        <v>0</v>
      </c>
      <c r="DW110">
        <v>1757.54</v>
      </c>
      <c r="DX110">
        <v>-28.722100000000001</v>
      </c>
      <c r="DY110">
        <v>94.058999999999997</v>
      </c>
      <c r="DZ110">
        <v>122.39</v>
      </c>
      <c r="EA110">
        <v>9.9201499999999996</v>
      </c>
      <c r="EB110">
        <v>120.048</v>
      </c>
      <c r="EC110">
        <v>19.14</v>
      </c>
      <c r="ED110">
        <v>2.8814700000000002</v>
      </c>
      <c r="EE110">
        <v>1.8978299999999999</v>
      </c>
      <c r="EF110">
        <v>23.3584</v>
      </c>
      <c r="EG110">
        <v>16.616800000000001</v>
      </c>
      <c r="EH110">
        <v>1799.93</v>
      </c>
      <c r="EI110">
        <v>0.97800200000000004</v>
      </c>
      <c r="EJ110">
        <v>2.1998400000000001E-2</v>
      </c>
      <c r="EK110">
        <v>0</v>
      </c>
      <c r="EL110">
        <v>695.11199999999997</v>
      </c>
      <c r="EM110">
        <v>5.0011200000000002</v>
      </c>
      <c r="EN110">
        <v>13970.7</v>
      </c>
      <c r="EO110">
        <v>17210.3</v>
      </c>
      <c r="EP110">
        <v>49.061999999999998</v>
      </c>
      <c r="EQ110">
        <v>50.875</v>
      </c>
      <c r="ER110">
        <v>50.186999999999998</v>
      </c>
      <c r="ES110">
        <v>49.811999999999998</v>
      </c>
      <c r="ET110">
        <v>49.811999999999998</v>
      </c>
      <c r="EU110">
        <v>1755.44</v>
      </c>
      <c r="EV110">
        <v>39.49</v>
      </c>
      <c r="EW110">
        <v>0</v>
      </c>
      <c r="EX110">
        <v>114</v>
      </c>
      <c r="EY110">
        <v>0</v>
      </c>
      <c r="EZ110">
        <v>696.70371999999998</v>
      </c>
      <c r="FA110">
        <v>-9.9849230876432884</v>
      </c>
      <c r="FB110">
        <v>-166.9538464569452</v>
      </c>
      <c r="FC110">
        <v>13987.772000000001</v>
      </c>
      <c r="FD110">
        <v>15</v>
      </c>
      <c r="FE110">
        <v>1689017368.5</v>
      </c>
      <c r="FF110" t="s">
        <v>900</v>
      </c>
      <c r="FG110">
        <v>1689017358.5</v>
      </c>
      <c r="FH110">
        <v>1689017368.5</v>
      </c>
      <c r="FI110">
        <v>105</v>
      </c>
      <c r="FJ110">
        <v>-4.9000000000000002E-2</v>
      </c>
      <c r="FK110">
        <v>5.0000000000000001E-3</v>
      </c>
      <c r="FL110">
        <v>0.20300000000000001</v>
      </c>
      <c r="FM110">
        <v>0.19600000000000001</v>
      </c>
      <c r="FN110">
        <v>120</v>
      </c>
      <c r="FO110">
        <v>19</v>
      </c>
      <c r="FP110">
        <v>0.08</v>
      </c>
      <c r="FQ110">
        <v>0.01</v>
      </c>
      <c r="FR110">
        <v>22.980546580864459</v>
      </c>
      <c r="FS110">
        <v>0.33356947987090951</v>
      </c>
      <c r="FT110">
        <v>7.3116398160733023E-2</v>
      </c>
      <c r="FU110">
        <v>1</v>
      </c>
      <c r="FV110">
        <v>0.66486206259591585</v>
      </c>
      <c r="FW110">
        <v>8.417695064920858E-3</v>
      </c>
      <c r="FX110">
        <v>4.1181376173608803E-3</v>
      </c>
      <c r="FY110">
        <v>1</v>
      </c>
      <c r="FZ110">
        <v>2</v>
      </c>
      <c r="GA110">
        <v>2</v>
      </c>
      <c r="GB110" t="s">
        <v>423</v>
      </c>
      <c r="GC110">
        <v>2.92333</v>
      </c>
      <c r="GD110">
        <v>2.82681</v>
      </c>
      <c r="GE110">
        <v>2.3619399999999999E-2</v>
      </c>
      <c r="GF110">
        <v>3.0884700000000001E-2</v>
      </c>
      <c r="GG110">
        <v>0.127633</v>
      </c>
      <c r="GH110">
        <v>9.5668199999999995E-2</v>
      </c>
      <c r="GI110">
        <v>31775.1</v>
      </c>
      <c r="GJ110">
        <v>25579.9</v>
      </c>
      <c r="GK110">
        <v>31322</v>
      </c>
      <c r="GL110">
        <v>26043.1</v>
      </c>
      <c r="GM110">
        <v>37459.599999999999</v>
      </c>
      <c r="GN110">
        <v>31946.5</v>
      </c>
      <c r="GO110">
        <v>46512.2</v>
      </c>
      <c r="GP110">
        <v>37864.6</v>
      </c>
      <c r="GQ110">
        <v>1.89697</v>
      </c>
      <c r="GR110">
        <v>1.6953499999999999</v>
      </c>
      <c r="GS110">
        <v>-7.8529100000000004E-2</v>
      </c>
      <c r="GT110">
        <v>0</v>
      </c>
      <c r="GU110">
        <v>31.253599999999999</v>
      </c>
      <c r="GV110">
        <v>999.9</v>
      </c>
      <c r="GW110">
        <v>39.6</v>
      </c>
      <c r="GX110">
        <v>46.1</v>
      </c>
      <c r="GY110">
        <v>40.731299999999997</v>
      </c>
      <c r="GZ110">
        <v>62.174300000000002</v>
      </c>
      <c r="HA110">
        <v>22.732399999999998</v>
      </c>
      <c r="HB110">
        <v>1</v>
      </c>
      <c r="HC110">
        <v>0.60129100000000002</v>
      </c>
      <c r="HD110">
        <v>2.81576</v>
      </c>
      <c r="HE110">
        <v>20.273099999999999</v>
      </c>
      <c r="HF110">
        <v>5.2252299999999998</v>
      </c>
      <c r="HG110">
        <v>12.0609</v>
      </c>
      <c r="HH110">
        <v>4.9926500000000003</v>
      </c>
      <c r="HI110">
        <v>3.2919999999999998</v>
      </c>
      <c r="HJ110">
        <v>9999</v>
      </c>
      <c r="HK110">
        <v>9999</v>
      </c>
      <c r="HL110">
        <v>9999</v>
      </c>
      <c r="HM110">
        <v>465.9</v>
      </c>
      <c r="HN110">
        <v>1.8669</v>
      </c>
      <c r="HO110">
        <v>1.8703099999999999</v>
      </c>
      <c r="HP110">
        <v>1.8729899999999999</v>
      </c>
      <c r="HQ110">
        <v>1.87385</v>
      </c>
      <c r="HR110">
        <v>1.8706</v>
      </c>
      <c r="HS110">
        <v>1.8690500000000001</v>
      </c>
      <c r="HT110">
        <v>1.8704400000000001</v>
      </c>
      <c r="HU110">
        <v>1.87347</v>
      </c>
      <c r="HV110">
        <v>0</v>
      </c>
      <c r="HW110">
        <v>0</v>
      </c>
      <c r="HX110">
        <v>0</v>
      </c>
      <c r="HY110">
        <v>0</v>
      </c>
      <c r="HZ110" t="s">
        <v>424</v>
      </c>
      <c r="IA110" t="s">
        <v>425</v>
      </c>
      <c r="IB110" t="s">
        <v>426</v>
      </c>
      <c r="IC110" t="s">
        <v>426</v>
      </c>
      <c r="ID110" t="s">
        <v>426</v>
      </c>
      <c r="IE110" t="s">
        <v>426</v>
      </c>
      <c r="IF110">
        <v>0</v>
      </c>
      <c r="IG110">
        <v>100</v>
      </c>
      <c r="IH110">
        <v>100</v>
      </c>
      <c r="II110">
        <v>0.13100000000000001</v>
      </c>
      <c r="IJ110">
        <v>0.26450000000000001</v>
      </c>
      <c r="IK110">
        <v>-0.12648090378933319</v>
      </c>
      <c r="IL110">
        <v>3.042515301972944E-3</v>
      </c>
      <c r="IM110">
        <v>-2.5091471490852929E-6</v>
      </c>
      <c r="IN110">
        <v>8.1339755115576286E-10</v>
      </c>
      <c r="IO110">
        <v>0.26446182575797222</v>
      </c>
      <c r="IP110">
        <v>0</v>
      </c>
      <c r="IQ110">
        <v>0</v>
      </c>
      <c r="IR110">
        <v>0</v>
      </c>
      <c r="IS110">
        <v>3</v>
      </c>
      <c r="IT110">
        <v>2004</v>
      </c>
      <c r="IU110">
        <v>2</v>
      </c>
      <c r="IV110">
        <v>22</v>
      </c>
      <c r="IW110">
        <v>0.7</v>
      </c>
      <c r="IX110">
        <v>0.5</v>
      </c>
      <c r="IY110">
        <v>0.39550800000000003</v>
      </c>
      <c r="IZ110">
        <v>2.6208499999999999</v>
      </c>
      <c r="JA110">
        <v>1.64917</v>
      </c>
      <c r="JB110">
        <v>2.33887</v>
      </c>
      <c r="JC110">
        <v>1.5991200000000001</v>
      </c>
      <c r="JD110">
        <v>2.2827099999999998</v>
      </c>
      <c r="JE110">
        <v>48.209000000000003</v>
      </c>
      <c r="JF110">
        <v>24.105</v>
      </c>
      <c r="JG110">
        <v>18</v>
      </c>
      <c r="JH110">
        <v>509.79</v>
      </c>
      <c r="JI110">
        <v>425.85700000000003</v>
      </c>
      <c r="JJ110">
        <v>27.151299999999999</v>
      </c>
      <c r="JK110">
        <v>34.482300000000002</v>
      </c>
      <c r="JL110">
        <v>29.9999</v>
      </c>
      <c r="JM110">
        <v>34.546599999999998</v>
      </c>
      <c r="JN110">
        <v>34.542299999999997</v>
      </c>
      <c r="JO110">
        <v>7.9305199999999996</v>
      </c>
      <c r="JP110">
        <v>61.3264</v>
      </c>
      <c r="JQ110">
        <v>0</v>
      </c>
      <c r="JR110">
        <v>27.214300000000001</v>
      </c>
      <c r="JS110">
        <v>120</v>
      </c>
      <c r="JT110">
        <v>19.005500000000001</v>
      </c>
      <c r="JU110">
        <v>99.2727</v>
      </c>
      <c r="JV110">
        <v>99.0184</v>
      </c>
    </row>
    <row r="111" spans="1:282" x14ac:dyDescent="0.25">
      <c r="A111">
        <v>95</v>
      </c>
      <c r="B111">
        <v>1689017532</v>
      </c>
      <c r="C111">
        <v>17936.900000095371</v>
      </c>
      <c r="D111" t="s">
        <v>901</v>
      </c>
      <c r="E111" t="s">
        <v>902</v>
      </c>
      <c r="F111" t="s">
        <v>414</v>
      </c>
      <c r="G111" t="s">
        <v>415</v>
      </c>
      <c r="H111" t="s">
        <v>416</v>
      </c>
      <c r="I111" t="s">
        <v>416</v>
      </c>
      <c r="J111" t="s">
        <v>501</v>
      </c>
      <c r="K111">
        <v>1689017532</v>
      </c>
      <c r="L111">
        <f t="shared" si="92"/>
        <v>9.1528259945593219E-3</v>
      </c>
      <c r="M111">
        <f t="shared" si="93"/>
        <v>9.152825994559322</v>
      </c>
      <c r="N111">
        <f t="shared" si="94"/>
        <v>14.403328021166454</v>
      </c>
      <c r="O111">
        <f t="shared" si="95"/>
        <v>52.072699999999998</v>
      </c>
      <c r="P111">
        <f t="shared" si="96"/>
        <v>16.507830858617591</v>
      </c>
      <c r="Q111">
        <f t="shared" si="97"/>
        <v>1.6384526837598632</v>
      </c>
      <c r="R111">
        <f t="shared" si="98"/>
        <v>5.1683746820729803</v>
      </c>
      <c r="S111">
        <f t="shared" si="99"/>
        <v>0.74151097596674465</v>
      </c>
      <c r="T111">
        <f t="shared" si="100"/>
        <v>2.9149879480342968</v>
      </c>
      <c r="U111">
        <f t="shared" si="101"/>
        <v>0.65051323504602565</v>
      </c>
      <c r="V111">
        <f t="shared" si="102"/>
        <v>0.41381231561523224</v>
      </c>
      <c r="W111">
        <f t="shared" si="103"/>
        <v>289.54673857757325</v>
      </c>
      <c r="X111">
        <f t="shared" si="104"/>
        <v>29.9443470942985</v>
      </c>
      <c r="Y111">
        <f t="shared" si="105"/>
        <v>29.9499</v>
      </c>
      <c r="Z111">
        <f t="shared" si="106"/>
        <v>4.2482048267155221</v>
      </c>
      <c r="AA111">
        <f t="shared" si="107"/>
        <v>65.74245187997451</v>
      </c>
      <c r="AB111">
        <f t="shared" si="108"/>
        <v>2.9020005934841602</v>
      </c>
      <c r="AC111">
        <f t="shared" si="109"/>
        <v>4.4141958665951799</v>
      </c>
      <c r="AD111">
        <f t="shared" si="110"/>
        <v>1.346204233231362</v>
      </c>
      <c r="AE111">
        <f t="shared" si="111"/>
        <v>-403.63962636006607</v>
      </c>
      <c r="AF111">
        <f t="shared" si="112"/>
        <v>105.08809759113419</v>
      </c>
      <c r="AG111">
        <f t="shared" si="113"/>
        <v>8.0385566039290168</v>
      </c>
      <c r="AH111">
        <f t="shared" si="114"/>
        <v>-0.96623358742962751</v>
      </c>
      <c r="AI111">
        <v>0</v>
      </c>
      <c r="AJ111">
        <v>0</v>
      </c>
      <c r="AK111">
        <f t="shared" si="115"/>
        <v>1</v>
      </c>
      <c r="AL111">
        <f t="shared" si="116"/>
        <v>0</v>
      </c>
      <c r="AM111">
        <f t="shared" si="117"/>
        <v>51814.085953300942</v>
      </c>
      <c r="AN111" t="s">
        <v>418</v>
      </c>
      <c r="AO111">
        <v>10021</v>
      </c>
      <c r="AP111">
        <v>177.53923076923081</v>
      </c>
      <c r="AQ111">
        <v>655.56</v>
      </c>
      <c r="AR111">
        <f t="shared" si="118"/>
        <v>0.72917928066198234</v>
      </c>
      <c r="AS111">
        <v>-3.1115002560329539</v>
      </c>
      <c r="AT111" t="s">
        <v>903</v>
      </c>
      <c r="AU111">
        <v>8035.28</v>
      </c>
      <c r="AV111">
        <v>689.86400000000003</v>
      </c>
      <c r="AW111">
        <v>789.30395757633175</v>
      </c>
      <c r="AX111">
        <f t="shared" si="119"/>
        <v>0.12598436460609674</v>
      </c>
      <c r="AY111">
        <v>0.5</v>
      </c>
      <c r="AZ111">
        <f t="shared" si="120"/>
        <v>1513.0835992629911</v>
      </c>
      <c r="BA111">
        <f t="shared" si="121"/>
        <v>14.403328021166454</v>
      </c>
      <c r="BB111">
        <f t="shared" si="122"/>
        <v>95.312437924526918</v>
      </c>
      <c r="BC111">
        <f t="shared" si="123"/>
        <v>1.1575585305220884E-2</v>
      </c>
      <c r="BD111">
        <f t="shared" si="124"/>
        <v>-0.16944544150901175</v>
      </c>
      <c r="BE111">
        <f t="shared" si="125"/>
        <v>186.07823760352633</v>
      </c>
      <c r="BF111" t="s">
        <v>904</v>
      </c>
      <c r="BG111">
        <v>598.19000000000005</v>
      </c>
      <c r="BH111">
        <f t="shared" si="126"/>
        <v>598.19000000000005</v>
      </c>
      <c r="BI111">
        <f t="shared" si="127"/>
        <v>0.24212973435883156</v>
      </c>
      <c r="BJ111">
        <f t="shared" si="128"/>
        <v>0.52031760964719176</v>
      </c>
      <c r="BK111">
        <f t="shared" si="129"/>
        <v>-2.331252528783895</v>
      </c>
      <c r="BL111">
        <f t="shared" si="130"/>
        <v>0.16254607894006073</v>
      </c>
      <c r="BM111">
        <f t="shared" si="131"/>
        <v>-0.27978691760935942</v>
      </c>
      <c r="BN111">
        <f t="shared" si="132"/>
        <v>0.45117413129958028</v>
      </c>
      <c r="BO111">
        <f t="shared" si="133"/>
        <v>0.54882586870041972</v>
      </c>
      <c r="BP111">
        <v>22655</v>
      </c>
      <c r="BQ111">
        <v>290.00000000000011</v>
      </c>
      <c r="BR111">
        <v>767.27</v>
      </c>
      <c r="BS111">
        <v>275</v>
      </c>
      <c r="BT111">
        <v>8035.28</v>
      </c>
      <c r="BU111">
        <v>768.86</v>
      </c>
      <c r="BV111">
        <v>-1.59</v>
      </c>
      <c r="BW111">
        <v>300.00000000000011</v>
      </c>
      <c r="BX111">
        <v>19.399999999999999</v>
      </c>
      <c r="BY111">
        <v>789.30395757633175</v>
      </c>
      <c r="BZ111">
        <v>1.5117318458031981</v>
      </c>
      <c r="CA111">
        <v>-16.428865412582059</v>
      </c>
      <c r="CB111">
        <v>1.115737965222914</v>
      </c>
      <c r="CC111">
        <v>0.88562824887538816</v>
      </c>
      <c r="CD111">
        <v>-4.1495672969966658E-3</v>
      </c>
      <c r="CE111">
        <v>289.99999999999989</v>
      </c>
      <c r="CF111">
        <v>769.38</v>
      </c>
      <c r="CG111">
        <v>645</v>
      </c>
      <c r="CH111">
        <v>8024.8</v>
      </c>
      <c r="CI111">
        <v>768.83</v>
      </c>
      <c r="CJ111">
        <v>0.55000000000000004</v>
      </c>
      <c r="CX111">
        <f t="shared" si="134"/>
        <v>1799.88</v>
      </c>
      <c r="CY111">
        <f t="shared" si="135"/>
        <v>1513.0835992629911</v>
      </c>
      <c r="CZ111">
        <f t="shared" si="136"/>
        <v>0.84065804346011463</v>
      </c>
      <c r="DA111">
        <f t="shared" si="137"/>
        <v>0.16087002387802143</v>
      </c>
      <c r="DB111">
        <v>6</v>
      </c>
      <c r="DC111">
        <v>0.5</v>
      </c>
      <c r="DD111" t="s">
        <v>421</v>
      </c>
      <c r="DE111">
        <v>2</v>
      </c>
      <c r="DF111">
        <v>1689017532</v>
      </c>
      <c r="DG111">
        <v>52.072699999999998</v>
      </c>
      <c r="DH111">
        <v>69.927700000000002</v>
      </c>
      <c r="DI111">
        <v>29.238399999999999</v>
      </c>
      <c r="DJ111">
        <v>18.576699999999999</v>
      </c>
      <c r="DK111">
        <v>52.019100000000002</v>
      </c>
      <c r="DL111">
        <v>28.966200000000001</v>
      </c>
      <c r="DM111">
        <v>500.02600000000001</v>
      </c>
      <c r="DN111">
        <v>99.153400000000005</v>
      </c>
      <c r="DO111">
        <v>9.9657399999999993E-2</v>
      </c>
      <c r="DP111">
        <v>30.618600000000001</v>
      </c>
      <c r="DQ111">
        <v>29.9499</v>
      </c>
      <c r="DR111">
        <v>999.9</v>
      </c>
      <c r="DS111">
        <v>0</v>
      </c>
      <c r="DT111">
        <v>0</v>
      </c>
      <c r="DU111">
        <v>10001.9</v>
      </c>
      <c r="DV111">
        <v>0</v>
      </c>
      <c r="DW111">
        <v>1690.72</v>
      </c>
      <c r="DX111">
        <v>-17.855</v>
      </c>
      <c r="DY111">
        <v>53.641100000000002</v>
      </c>
      <c r="DZ111">
        <v>71.251300000000001</v>
      </c>
      <c r="EA111">
        <v>10.6617</v>
      </c>
      <c r="EB111">
        <v>69.927700000000002</v>
      </c>
      <c r="EC111">
        <v>18.576699999999999</v>
      </c>
      <c r="ED111">
        <v>2.8990900000000002</v>
      </c>
      <c r="EE111">
        <v>1.8419399999999999</v>
      </c>
      <c r="EF111">
        <v>23.459399999999999</v>
      </c>
      <c r="EG111">
        <v>16.147400000000001</v>
      </c>
      <c r="EH111">
        <v>1799.88</v>
      </c>
      <c r="EI111">
        <v>0.97800200000000004</v>
      </c>
      <c r="EJ111">
        <v>2.1998400000000001E-2</v>
      </c>
      <c r="EK111">
        <v>0</v>
      </c>
      <c r="EL111">
        <v>689.46600000000001</v>
      </c>
      <c r="EM111">
        <v>5.0011200000000002</v>
      </c>
      <c r="EN111">
        <v>13849.6</v>
      </c>
      <c r="EO111">
        <v>17209.7</v>
      </c>
      <c r="EP111">
        <v>49.125</v>
      </c>
      <c r="EQ111">
        <v>51</v>
      </c>
      <c r="ER111">
        <v>50.25</v>
      </c>
      <c r="ES111">
        <v>49.811999999999998</v>
      </c>
      <c r="ET111">
        <v>49.875</v>
      </c>
      <c r="EU111">
        <v>1755.4</v>
      </c>
      <c r="EV111">
        <v>39.479999999999997</v>
      </c>
      <c r="EW111">
        <v>0</v>
      </c>
      <c r="EX111">
        <v>130.4000000953674</v>
      </c>
      <c r="EY111">
        <v>0</v>
      </c>
      <c r="EZ111">
        <v>689.86400000000003</v>
      </c>
      <c r="FA111">
        <v>-6.4996239155431246</v>
      </c>
      <c r="FB111">
        <v>-206.58803378590409</v>
      </c>
      <c r="FC111">
        <v>13863.48846153846</v>
      </c>
      <c r="FD111">
        <v>15</v>
      </c>
      <c r="FE111">
        <v>1689017500.5</v>
      </c>
      <c r="FF111" t="s">
        <v>905</v>
      </c>
      <c r="FG111">
        <v>1689017484</v>
      </c>
      <c r="FH111">
        <v>1689017500.5</v>
      </c>
      <c r="FI111">
        <v>106</v>
      </c>
      <c r="FJ111">
        <v>2.9000000000000001E-2</v>
      </c>
      <c r="FK111">
        <v>8.0000000000000002E-3</v>
      </c>
      <c r="FL111">
        <v>0.10299999999999999</v>
      </c>
      <c r="FM111">
        <v>0.18099999999999999</v>
      </c>
      <c r="FN111">
        <v>70</v>
      </c>
      <c r="FO111">
        <v>19</v>
      </c>
      <c r="FP111">
        <v>7.0000000000000007E-2</v>
      </c>
      <c r="FQ111">
        <v>0.01</v>
      </c>
      <c r="FR111">
        <v>14.417143668833701</v>
      </c>
      <c r="FS111">
        <v>-0.69633979751157238</v>
      </c>
      <c r="FT111">
        <v>6.4487932122237746E-2</v>
      </c>
      <c r="FU111">
        <v>1</v>
      </c>
      <c r="FV111">
        <v>0.73868179638230014</v>
      </c>
      <c r="FW111">
        <v>2.986750252191632E-2</v>
      </c>
      <c r="FX111">
        <v>2.9883097015323979E-3</v>
      </c>
      <c r="FY111">
        <v>1</v>
      </c>
      <c r="FZ111">
        <v>2</v>
      </c>
      <c r="GA111">
        <v>2</v>
      </c>
      <c r="GB111" t="s">
        <v>423</v>
      </c>
      <c r="GC111">
        <v>2.9236200000000001</v>
      </c>
      <c r="GD111">
        <v>2.8269700000000002</v>
      </c>
      <c r="GE111">
        <v>1.36045E-2</v>
      </c>
      <c r="GF111">
        <v>1.8318299999999999E-2</v>
      </c>
      <c r="GG111">
        <v>0.12812999999999999</v>
      </c>
      <c r="GH111">
        <v>9.3624600000000002E-2</v>
      </c>
      <c r="GI111">
        <v>32094.2</v>
      </c>
      <c r="GJ111">
        <v>25907.9</v>
      </c>
      <c r="GK111">
        <v>31316.2</v>
      </c>
      <c r="GL111">
        <v>26040.5</v>
      </c>
      <c r="GM111">
        <v>37431.9</v>
      </c>
      <c r="GN111">
        <v>32015.3</v>
      </c>
      <c r="GO111">
        <v>46504.1</v>
      </c>
      <c r="GP111">
        <v>37860.699999999997</v>
      </c>
      <c r="GQ111">
        <v>1.8974</v>
      </c>
      <c r="GR111">
        <v>1.6915500000000001</v>
      </c>
      <c r="GS111">
        <v>-8.0876100000000006E-2</v>
      </c>
      <c r="GT111">
        <v>0</v>
      </c>
      <c r="GU111">
        <v>31.264700000000001</v>
      </c>
      <c r="GV111">
        <v>999.9</v>
      </c>
      <c r="GW111">
        <v>39.9</v>
      </c>
      <c r="GX111">
        <v>46.2</v>
      </c>
      <c r="GY111">
        <v>41.250300000000003</v>
      </c>
      <c r="GZ111">
        <v>62.494300000000003</v>
      </c>
      <c r="HA111">
        <v>22.4679</v>
      </c>
      <c r="HB111">
        <v>1</v>
      </c>
      <c r="HC111">
        <v>0.60723300000000002</v>
      </c>
      <c r="HD111">
        <v>2.5533199999999998</v>
      </c>
      <c r="HE111">
        <v>20.277699999999999</v>
      </c>
      <c r="HF111">
        <v>5.2232799999999999</v>
      </c>
      <c r="HG111">
        <v>12.0601</v>
      </c>
      <c r="HH111">
        <v>4.9928999999999997</v>
      </c>
      <c r="HI111">
        <v>3.2919999999999998</v>
      </c>
      <c r="HJ111">
        <v>9999</v>
      </c>
      <c r="HK111">
        <v>9999</v>
      </c>
      <c r="HL111">
        <v>9999</v>
      </c>
      <c r="HM111">
        <v>466</v>
      </c>
      <c r="HN111">
        <v>1.8669100000000001</v>
      </c>
      <c r="HO111">
        <v>1.8703399999999999</v>
      </c>
      <c r="HP111">
        <v>1.8729899999999999</v>
      </c>
      <c r="HQ111">
        <v>1.8738999999999999</v>
      </c>
      <c r="HR111">
        <v>1.8705799999999999</v>
      </c>
      <c r="HS111">
        <v>1.8690199999999999</v>
      </c>
      <c r="HT111">
        <v>1.8704799999999999</v>
      </c>
      <c r="HU111">
        <v>1.87347</v>
      </c>
      <c r="HV111">
        <v>0</v>
      </c>
      <c r="HW111">
        <v>0</v>
      </c>
      <c r="HX111">
        <v>0</v>
      </c>
      <c r="HY111">
        <v>0</v>
      </c>
      <c r="HZ111" t="s">
        <v>424</v>
      </c>
      <c r="IA111" t="s">
        <v>425</v>
      </c>
      <c r="IB111" t="s">
        <v>426</v>
      </c>
      <c r="IC111" t="s">
        <v>426</v>
      </c>
      <c r="ID111" t="s">
        <v>426</v>
      </c>
      <c r="IE111" t="s">
        <v>426</v>
      </c>
      <c r="IF111">
        <v>0</v>
      </c>
      <c r="IG111">
        <v>100</v>
      </c>
      <c r="IH111">
        <v>100</v>
      </c>
      <c r="II111">
        <v>5.3999999999999999E-2</v>
      </c>
      <c r="IJ111">
        <v>0.2722</v>
      </c>
      <c r="IK111">
        <v>-9.7935249016661285E-2</v>
      </c>
      <c r="IL111">
        <v>3.042515301972944E-3</v>
      </c>
      <c r="IM111">
        <v>-2.5091471490852929E-6</v>
      </c>
      <c r="IN111">
        <v>8.1339755115576286E-10</v>
      </c>
      <c r="IO111">
        <v>0.27224418074425738</v>
      </c>
      <c r="IP111">
        <v>0</v>
      </c>
      <c r="IQ111">
        <v>0</v>
      </c>
      <c r="IR111">
        <v>0</v>
      </c>
      <c r="IS111">
        <v>3</v>
      </c>
      <c r="IT111">
        <v>2004</v>
      </c>
      <c r="IU111">
        <v>2</v>
      </c>
      <c r="IV111">
        <v>22</v>
      </c>
      <c r="IW111">
        <v>0.8</v>
      </c>
      <c r="IX111">
        <v>0.5</v>
      </c>
      <c r="IY111">
        <v>0.28076200000000001</v>
      </c>
      <c r="IZ111">
        <v>2.63306</v>
      </c>
      <c r="JA111">
        <v>1.64917</v>
      </c>
      <c r="JB111">
        <v>2.33887</v>
      </c>
      <c r="JC111">
        <v>1.5991200000000001</v>
      </c>
      <c r="JD111">
        <v>2.3278799999999999</v>
      </c>
      <c r="JE111">
        <v>48.454599999999999</v>
      </c>
      <c r="JF111">
        <v>24.113800000000001</v>
      </c>
      <c r="JG111">
        <v>18</v>
      </c>
      <c r="JH111">
        <v>510.65800000000002</v>
      </c>
      <c r="JI111">
        <v>423.93400000000003</v>
      </c>
      <c r="JJ111">
        <v>27.481300000000001</v>
      </c>
      <c r="JK111">
        <v>34.570500000000003</v>
      </c>
      <c r="JL111">
        <v>29.9998</v>
      </c>
      <c r="JM111">
        <v>34.624899999999997</v>
      </c>
      <c r="JN111">
        <v>34.616399999999999</v>
      </c>
      <c r="JO111">
        <v>5.6256300000000001</v>
      </c>
      <c r="JP111">
        <v>62.7879</v>
      </c>
      <c r="JQ111">
        <v>0</v>
      </c>
      <c r="JR111">
        <v>27.515499999999999</v>
      </c>
      <c r="JS111">
        <v>70</v>
      </c>
      <c r="JT111">
        <v>18.495699999999999</v>
      </c>
      <c r="JU111">
        <v>99.254999999999995</v>
      </c>
      <c r="JV111">
        <v>99.008399999999995</v>
      </c>
    </row>
    <row r="112" spans="1:282" x14ac:dyDescent="0.25">
      <c r="A112">
        <v>96</v>
      </c>
      <c r="B112">
        <v>1689017659</v>
      </c>
      <c r="C112">
        <v>18063.900000095371</v>
      </c>
      <c r="D112" t="s">
        <v>906</v>
      </c>
      <c r="E112" t="s">
        <v>907</v>
      </c>
      <c r="F112" t="s">
        <v>414</v>
      </c>
      <c r="G112" t="s">
        <v>415</v>
      </c>
      <c r="H112" t="s">
        <v>416</v>
      </c>
      <c r="I112" t="s">
        <v>416</v>
      </c>
      <c r="J112" t="s">
        <v>501</v>
      </c>
      <c r="K112">
        <v>1689017659</v>
      </c>
      <c r="L112">
        <f t="shared" si="92"/>
        <v>9.6010527949841277E-3</v>
      </c>
      <c r="M112">
        <f t="shared" si="93"/>
        <v>9.6010527949841276</v>
      </c>
      <c r="N112">
        <f t="shared" si="94"/>
        <v>6.5492749332359104</v>
      </c>
      <c r="O112">
        <f t="shared" si="95"/>
        <v>21.854299999999999</v>
      </c>
      <c r="P112">
        <f t="shared" si="96"/>
        <v>6.5499603214209268</v>
      </c>
      <c r="Q112">
        <f t="shared" si="97"/>
        <v>0.65012750558482346</v>
      </c>
      <c r="R112">
        <f t="shared" si="98"/>
        <v>2.1691858954986998</v>
      </c>
      <c r="S112">
        <f t="shared" si="99"/>
        <v>0.78819052935046729</v>
      </c>
      <c r="T112">
        <f t="shared" si="100"/>
        <v>2.9092393461301742</v>
      </c>
      <c r="U112">
        <f t="shared" si="101"/>
        <v>0.6860409416221589</v>
      </c>
      <c r="V112">
        <f t="shared" si="102"/>
        <v>0.43684539647716797</v>
      </c>
      <c r="W112">
        <f t="shared" si="103"/>
        <v>289.56966157732364</v>
      </c>
      <c r="X112">
        <f t="shared" si="104"/>
        <v>29.966093929014797</v>
      </c>
      <c r="Y112">
        <f t="shared" si="105"/>
        <v>29.997199999999999</v>
      </c>
      <c r="Z112">
        <f t="shared" si="106"/>
        <v>4.2597646135596099</v>
      </c>
      <c r="AA112">
        <f t="shared" si="107"/>
        <v>65.644642865137399</v>
      </c>
      <c r="AB112">
        <f t="shared" si="108"/>
        <v>2.9209264324520001</v>
      </c>
      <c r="AC112">
        <f t="shared" si="109"/>
        <v>4.4496036614181174</v>
      </c>
      <c r="AD112">
        <f t="shared" si="110"/>
        <v>1.3388381811076098</v>
      </c>
      <c r="AE112">
        <f t="shared" si="111"/>
        <v>-423.40642825880002</v>
      </c>
      <c r="AF112">
        <f t="shared" si="112"/>
        <v>119.38882433166782</v>
      </c>
      <c r="AG112">
        <f t="shared" si="113"/>
        <v>9.158988363389879</v>
      </c>
      <c r="AH112">
        <f t="shared" si="114"/>
        <v>-5.2889539864186759</v>
      </c>
      <c r="AI112">
        <v>0</v>
      </c>
      <c r="AJ112">
        <v>0</v>
      </c>
      <c r="AK112">
        <f t="shared" si="115"/>
        <v>1</v>
      </c>
      <c r="AL112">
        <f t="shared" si="116"/>
        <v>0</v>
      </c>
      <c r="AM112">
        <f t="shared" si="117"/>
        <v>51627.197478576243</v>
      </c>
      <c r="AN112" t="s">
        <v>418</v>
      </c>
      <c r="AO112">
        <v>10021</v>
      </c>
      <c r="AP112">
        <v>177.53923076923081</v>
      </c>
      <c r="AQ112">
        <v>655.56</v>
      </c>
      <c r="AR112">
        <f t="shared" si="118"/>
        <v>0.72917928066198234</v>
      </c>
      <c r="AS112">
        <v>-3.1115002560329539</v>
      </c>
      <c r="AT112" t="s">
        <v>908</v>
      </c>
      <c r="AU112">
        <v>8037.56</v>
      </c>
      <c r="AV112">
        <v>699.89926923076928</v>
      </c>
      <c r="AW112">
        <v>755.93118626973558</v>
      </c>
      <c r="AX112">
        <f t="shared" si="119"/>
        <v>7.4123039314550332E-2</v>
      </c>
      <c r="AY112">
        <v>0.5</v>
      </c>
      <c r="AZ112">
        <f t="shared" si="120"/>
        <v>1513.2014992628619</v>
      </c>
      <c r="BA112">
        <f t="shared" si="121"/>
        <v>6.5492749332359104</v>
      </c>
      <c r="BB112">
        <f t="shared" si="122"/>
        <v>56.081547110348808</v>
      </c>
      <c r="BC112">
        <f t="shared" si="123"/>
        <v>6.3843283224177321E-3</v>
      </c>
      <c r="BD112">
        <f t="shared" si="124"/>
        <v>-0.1327782053351092</v>
      </c>
      <c r="BE112">
        <f t="shared" si="125"/>
        <v>184.16151094670374</v>
      </c>
      <c r="BF112" t="s">
        <v>909</v>
      </c>
      <c r="BG112">
        <v>608.98</v>
      </c>
      <c r="BH112">
        <f t="shared" si="126"/>
        <v>608.98</v>
      </c>
      <c r="BI112">
        <f t="shared" si="127"/>
        <v>0.19439757075626141</v>
      </c>
      <c r="BJ112">
        <f t="shared" si="128"/>
        <v>0.38129611921687501</v>
      </c>
      <c r="BK112">
        <f t="shared" si="129"/>
        <v>-2.1548129297925245</v>
      </c>
      <c r="BL112">
        <f t="shared" si="130"/>
        <v>9.6875339475424982E-2</v>
      </c>
      <c r="BM112">
        <f t="shared" si="131"/>
        <v>-0.20997243787388759</v>
      </c>
      <c r="BN112">
        <f t="shared" si="132"/>
        <v>0.3317644708157732</v>
      </c>
      <c r="BO112">
        <f t="shared" si="133"/>
        <v>0.6682355291842268</v>
      </c>
      <c r="BP112">
        <v>22657</v>
      </c>
      <c r="BQ112">
        <v>290.00000000000011</v>
      </c>
      <c r="BR112">
        <v>747.19</v>
      </c>
      <c r="BS112">
        <v>245</v>
      </c>
      <c r="BT112">
        <v>8037.56</v>
      </c>
      <c r="BU112">
        <v>746.75</v>
      </c>
      <c r="BV112">
        <v>0.44</v>
      </c>
      <c r="BW112">
        <v>300.00000000000011</v>
      </c>
      <c r="BX112">
        <v>19.399999999999999</v>
      </c>
      <c r="BY112">
        <v>755.93118626973558</v>
      </c>
      <c r="BZ112">
        <v>2.643694705373028</v>
      </c>
      <c r="CA112">
        <v>-7.3802798786193824</v>
      </c>
      <c r="CB112">
        <v>1.951258102372794</v>
      </c>
      <c r="CC112">
        <v>0.33815431558944681</v>
      </c>
      <c r="CD112">
        <v>-4.14953081201335E-3</v>
      </c>
      <c r="CE112">
        <v>289.99999999999989</v>
      </c>
      <c r="CF112">
        <v>748</v>
      </c>
      <c r="CG112">
        <v>705</v>
      </c>
      <c r="CH112">
        <v>8023.31</v>
      </c>
      <c r="CI112">
        <v>746.73</v>
      </c>
      <c r="CJ112">
        <v>1.27</v>
      </c>
      <c r="CX112">
        <f t="shared" si="134"/>
        <v>1800.02</v>
      </c>
      <c r="CY112">
        <f t="shared" si="135"/>
        <v>1513.2014992628619</v>
      </c>
      <c r="CZ112">
        <f t="shared" si="136"/>
        <v>0.84065815894426832</v>
      </c>
      <c r="DA112">
        <f t="shared" si="137"/>
        <v>0.160870246762438</v>
      </c>
      <c r="DB112">
        <v>6</v>
      </c>
      <c r="DC112">
        <v>0.5</v>
      </c>
      <c r="DD112" t="s">
        <v>421</v>
      </c>
      <c r="DE112">
        <v>2</v>
      </c>
      <c r="DF112">
        <v>1689017659</v>
      </c>
      <c r="DG112">
        <v>21.854299999999999</v>
      </c>
      <c r="DH112">
        <v>29.964700000000001</v>
      </c>
      <c r="DI112">
        <v>29.428000000000001</v>
      </c>
      <c r="DJ112">
        <v>18.246500000000001</v>
      </c>
      <c r="DK112">
        <v>21.670400000000001</v>
      </c>
      <c r="DL112">
        <v>29.156700000000001</v>
      </c>
      <c r="DM112">
        <v>500.03199999999998</v>
      </c>
      <c r="DN112">
        <v>99.156599999999997</v>
      </c>
      <c r="DO112">
        <v>0.100109</v>
      </c>
      <c r="DP112">
        <v>30.758400000000002</v>
      </c>
      <c r="DQ112">
        <v>29.997199999999999</v>
      </c>
      <c r="DR112">
        <v>999.9</v>
      </c>
      <c r="DS112">
        <v>0</v>
      </c>
      <c r="DT112">
        <v>0</v>
      </c>
      <c r="DU112">
        <v>9968.75</v>
      </c>
      <c r="DV112">
        <v>0</v>
      </c>
      <c r="DW112">
        <v>1746.73</v>
      </c>
      <c r="DX112">
        <v>-8.1104099999999999</v>
      </c>
      <c r="DY112">
        <v>22.5169</v>
      </c>
      <c r="DZ112">
        <v>30.521599999999999</v>
      </c>
      <c r="EA112">
        <v>11.1815</v>
      </c>
      <c r="EB112">
        <v>29.964700000000001</v>
      </c>
      <c r="EC112">
        <v>18.246500000000001</v>
      </c>
      <c r="ED112">
        <v>2.91798</v>
      </c>
      <c r="EE112">
        <v>1.8092699999999999</v>
      </c>
      <c r="EF112">
        <v>23.5672</v>
      </c>
      <c r="EG112">
        <v>15.867100000000001</v>
      </c>
      <c r="EH112">
        <v>1800.02</v>
      </c>
      <c r="EI112">
        <v>0.97800200000000004</v>
      </c>
      <c r="EJ112">
        <v>2.1998400000000001E-2</v>
      </c>
      <c r="EK112">
        <v>0</v>
      </c>
      <c r="EL112">
        <v>699.15099999999995</v>
      </c>
      <c r="EM112">
        <v>5.0011200000000002</v>
      </c>
      <c r="EN112">
        <v>14062.7</v>
      </c>
      <c r="EO112">
        <v>17211.099999999999</v>
      </c>
      <c r="EP112">
        <v>49.061999999999998</v>
      </c>
      <c r="EQ112">
        <v>50.875</v>
      </c>
      <c r="ER112">
        <v>50.25</v>
      </c>
      <c r="ES112">
        <v>49.686999999999998</v>
      </c>
      <c r="ET112">
        <v>49.875</v>
      </c>
      <c r="EU112">
        <v>1755.53</v>
      </c>
      <c r="EV112">
        <v>39.49</v>
      </c>
      <c r="EW112">
        <v>0</v>
      </c>
      <c r="EX112">
        <v>125</v>
      </c>
      <c r="EY112">
        <v>0</v>
      </c>
      <c r="EZ112">
        <v>699.89926923076928</v>
      </c>
      <c r="FA112">
        <v>-4.0989743560052281</v>
      </c>
      <c r="FB112">
        <v>-56.98803420568948</v>
      </c>
      <c r="FC112">
        <v>14069.973076923079</v>
      </c>
      <c r="FD112">
        <v>15</v>
      </c>
      <c r="FE112">
        <v>1689017625.5</v>
      </c>
      <c r="FF112" t="s">
        <v>910</v>
      </c>
      <c r="FG112">
        <v>1689017615</v>
      </c>
      <c r="FH112">
        <v>1689017625.5</v>
      </c>
      <c r="FI112">
        <v>107</v>
      </c>
      <c r="FJ112">
        <v>0.217</v>
      </c>
      <c r="FK112">
        <v>-1E-3</v>
      </c>
      <c r="FL112">
        <v>0.20699999999999999</v>
      </c>
      <c r="FM112">
        <v>0.16800000000000001</v>
      </c>
      <c r="FN112">
        <v>30</v>
      </c>
      <c r="FO112">
        <v>18</v>
      </c>
      <c r="FP112">
        <v>0.34</v>
      </c>
      <c r="FQ112">
        <v>0.01</v>
      </c>
      <c r="FR112">
        <v>6.4725053523178744</v>
      </c>
      <c r="FS112">
        <v>-0.47349446057304018</v>
      </c>
      <c r="FT112">
        <v>6.4376612599895897E-2</v>
      </c>
      <c r="FU112">
        <v>1</v>
      </c>
      <c r="FV112">
        <v>0.78660703025931455</v>
      </c>
      <c r="FW112">
        <v>-3.4375092167501772E-2</v>
      </c>
      <c r="FX112">
        <v>2.7267971917320191E-3</v>
      </c>
      <c r="FY112">
        <v>1</v>
      </c>
      <c r="FZ112">
        <v>2</v>
      </c>
      <c r="GA112">
        <v>2</v>
      </c>
      <c r="GB112" t="s">
        <v>423</v>
      </c>
      <c r="GC112">
        <v>2.9236</v>
      </c>
      <c r="GD112">
        <v>2.8271299999999999</v>
      </c>
      <c r="GE112">
        <v>5.6850299999999998E-3</v>
      </c>
      <c r="GF112">
        <v>7.91328E-3</v>
      </c>
      <c r="GG112">
        <v>0.12870400000000001</v>
      </c>
      <c r="GH112">
        <v>9.24209E-2</v>
      </c>
      <c r="GI112">
        <v>32349.7</v>
      </c>
      <c r="GJ112">
        <v>26180.400000000001</v>
      </c>
      <c r="GK112">
        <v>31314.7</v>
      </c>
      <c r="GL112">
        <v>26039.3</v>
      </c>
      <c r="GM112">
        <v>37404.699999999997</v>
      </c>
      <c r="GN112">
        <v>32056.799999999999</v>
      </c>
      <c r="GO112">
        <v>46501</v>
      </c>
      <c r="GP112">
        <v>37859.599999999999</v>
      </c>
      <c r="GQ112">
        <v>1.89723</v>
      </c>
      <c r="GR112">
        <v>1.6895500000000001</v>
      </c>
      <c r="GS112">
        <v>-6.9066900000000001E-2</v>
      </c>
      <c r="GT112">
        <v>0</v>
      </c>
      <c r="GU112">
        <v>31.120100000000001</v>
      </c>
      <c r="GV112">
        <v>999.9</v>
      </c>
      <c r="GW112">
        <v>40</v>
      </c>
      <c r="GX112">
        <v>46.3</v>
      </c>
      <c r="GY112">
        <v>41.563299999999998</v>
      </c>
      <c r="GZ112">
        <v>62.334299999999999</v>
      </c>
      <c r="HA112">
        <v>22.459900000000001</v>
      </c>
      <c r="HB112">
        <v>1</v>
      </c>
      <c r="HC112">
        <v>0.61149699999999996</v>
      </c>
      <c r="HD112">
        <v>2.87846</v>
      </c>
      <c r="HE112">
        <v>20.271899999999999</v>
      </c>
      <c r="HF112">
        <v>5.2243300000000001</v>
      </c>
      <c r="HG112">
        <v>12.0618</v>
      </c>
      <c r="HH112">
        <v>4.9928999999999997</v>
      </c>
      <c r="HI112">
        <v>3.2919999999999998</v>
      </c>
      <c r="HJ112">
        <v>9999</v>
      </c>
      <c r="HK112">
        <v>9999</v>
      </c>
      <c r="HL112">
        <v>9999</v>
      </c>
      <c r="HM112">
        <v>466</v>
      </c>
      <c r="HN112">
        <v>1.8669100000000001</v>
      </c>
      <c r="HO112">
        <v>1.87036</v>
      </c>
      <c r="HP112">
        <v>1.873</v>
      </c>
      <c r="HQ112">
        <v>1.8738999999999999</v>
      </c>
      <c r="HR112">
        <v>1.8706100000000001</v>
      </c>
      <c r="HS112">
        <v>1.8690500000000001</v>
      </c>
      <c r="HT112">
        <v>1.8705099999999999</v>
      </c>
      <c r="HU112">
        <v>1.87347</v>
      </c>
      <c r="HV112">
        <v>0</v>
      </c>
      <c r="HW112">
        <v>0</v>
      </c>
      <c r="HX112">
        <v>0</v>
      </c>
      <c r="HY112">
        <v>0</v>
      </c>
      <c r="HZ112" t="s">
        <v>424</v>
      </c>
      <c r="IA112" t="s">
        <v>425</v>
      </c>
      <c r="IB112" t="s">
        <v>426</v>
      </c>
      <c r="IC112" t="s">
        <v>426</v>
      </c>
      <c r="ID112" t="s">
        <v>426</v>
      </c>
      <c r="IE112" t="s">
        <v>426</v>
      </c>
      <c r="IF112">
        <v>0</v>
      </c>
      <c r="IG112">
        <v>100</v>
      </c>
      <c r="IH112">
        <v>100</v>
      </c>
      <c r="II112">
        <v>0.184</v>
      </c>
      <c r="IJ112">
        <v>0.27129999999999999</v>
      </c>
      <c r="IK112">
        <v>0.1191227158448053</v>
      </c>
      <c r="IL112">
        <v>3.042515301972944E-3</v>
      </c>
      <c r="IM112">
        <v>-2.5091471490852929E-6</v>
      </c>
      <c r="IN112">
        <v>8.1339755115576286E-10</v>
      </c>
      <c r="IO112">
        <v>0.27129092836890578</v>
      </c>
      <c r="IP112">
        <v>0</v>
      </c>
      <c r="IQ112">
        <v>0</v>
      </c>
      <c r="IR112">
        <v>0</v>
      </c>
      <c r="IS112">
        <v>3</v>
      </c>
      <c r="IT112">
        <v>2004</v>
      </c>
      <c r="IU112">
        <v>2</v>
      </c>
      <c r="IV112">
        <v>22</v>
      </c>
      <c r="IW112">
        <v>0.7</v>
      </c>
      <c r="IX112">
        <v>0.6</v>
      </c>
      <c r="IY112">
        <v>0.18920899999999999</v>
      </c>
      <c r="IZ112">
        <v>2.65137</v>
      </c>
      <c r="JA112">
        <v>1.64917</v>
      </c>
      <c r="JB112">
        <v>2.33887</v>
      </c>
      <c r="JC112">
        <v>1.5991200000000001</v>
      </c>
      <c r="JD112">
        <v>2.3168899999999999</v>
      </c>
      <c r="JE112">
        <v>48.546999999999997</v>
      </c>
      <c r="JF112">
        <v>24.113800000000001</v>
      </c>
      <c r="JG112">
        <v>18</v>
      </c>
      <c r="JH112">
        <v>510.84800000000001</v>
      </c>
      <c r="JI112">
        <v>422.91800000000001</v>
      </c>
      <c r="JJ112">
        <v>27.5793</v>
      </c>
      <c r="JK112">
        <v>34.600099999999998</v>
      </c>
      <c r="JL112">
        <v>30.0002</v>
      </c>
      <c r="JM112">
        <v>34.665799999999997</v>
      </c>
      <c r="JN112">
        <v>34.654499999999999</v>
      </c>
      <c r="JO112">
        <v>3.8084199999999999</v>
      </c>
      <c r="JP112">
        <v>63.82</v>
      </c>
      <c r="JQ112">
        <v>0</v>
      </c>
      <c r="JR112">
        <v>27.584800000000001</v>
      </c>
      <c r="JS112">
        <v>30</v>
      </c>
      <c r="JT112">
        <v>18.186499999999999</v>
      </c>
      <c r="JU112">
        <v>99.249200000000002</v>
      </c>
      <c r="JV112">
        <v>99.0047</v>
      </c>
    </row>
    <row r="113" spans="1:282" x14ac:dyDescent="0.25">
      <c r="A113">
        <v>97</v>
      </c>
      <c r="B113">
        <v>1689017784</v>
      </c>
      <c r="C113">
        <v>18188.900000095371</v>
      </c>
      <c r="D113" t="s">
        <v>911</v>
      </c>
      <c r="E113" t="s">
        <v>912</v>
      </c>
      <c r="F113" t="s">
        <v>414</v>
      </c>
      <c r="G113" t="s">
        <v>415</v>
      </c>
      <c r="H113" t="s">
        <v>416</v>
      </c>
      <c r="I113" t="s">
        <v>416</v>
      </c>
      <c r="J113" t="s">
        <v>501</v>
      </c>
      <c r="K113">
        <v>1689017784</v>
      </c>
      <c r="L113">
        <f t="shared" ref="L113:L144" si="138">(M113)/1000</f>
        <v>9.8896992328140598E-3</v>
      </c>
      <c r="M113">
        <f t="shared" ref="M113:M144" si="139">1000*DM113*AK113*(DI113-DJ113)/(100*DB113*(1000-AK113*DI113))</f>
        <v>9.8896992328140598</v>
      </c>
      <c r="N113">
        <f t="shared" ref="N113:N144" si="140">DM113*AK113*(DH113-DG113*(1000-AK113*DJ113)/(1000-AK113*DI113))/(100*DB113)</f>
        <v>2.671363266393961</v>
      </c>
      <c r="O113">
        <f t="shared" ref="O113:O144" si="141">DG113 - IF(AK113&gt;1, N113*DB113*100/(AM113*DU113), 0)</f>
        <v>8.5702300000000005</v>
      </c>
      <c r="P113">
        <f t="shared" ref="P113:P144" si="142">((V113-L113/2)*O113-N113)/(V113+L113/2)</f>
        <v>2.5382717505349359</v>
      </c>
      <c r="Q113">
        <f t="shared" ref="Q113:Q144" si="143">P113*(DN113+DO113)/1000</f>
        <v>0.25191533252605147</v>
      </c>
      <c r="R113">
        <f t="shared" ref="R113:R144" si="144">(DG113 - IF(AK113&gt;1, N113*DB113*100/(AM113*DU113), 0))*(DN113+DO113)/1000</f>
        <v>0.85056784791452811</v>
      </c>
      <c r="S113">
        <f t="shared" ref="S113:S144" si="145">2/((1/U113-1/T113)+SIGN(U113)*SQRT((1/U113-1/T113)*(1/U113-1/T113) + 4*DC113/((DC113+1)*(DC113+1))*(2*1/U113*1/T113-1/T113*1/T113)))</f>
        <v>0.81887821649567316</v>
      </c>
      <c r="T113">
        <f t="shared" ref="T113:T144" si="146">IF(LEFT(DD113,1)&lt;&gt;"0",IF(LEFT(DD113,1)="1",3,DE113),$D$5+$E$5*(DU113*DN113/($K$5*1000))+$F$5*(DU113*DN113/($K$5*1000))*MAX(MIN(DB113,$J$5),$I$5)*MAX(MIN(DB113,$J$5),$I$5)+$G$5*MAX(MIN(DB113,$J$5),$I$5)*(DU113*DN113/($K$5*1000))+$H$5*(DU113*DN113/($K$5*1000))*(DU113*DN113/($K$5*1000)))</f>
        <v>2.9145408967046897</v>
      </c>
      <c r="U113">
        <f t="shared" ref="U113:U144" si="147">L113*(1000-(1000*0.61365*EXP(17.502*Y113/(240.97+Y113))/(DN113+DO113)+DI113)/2)/(1000*0.61365*EXP(17.502*Y113/(240.97+Y113))/(DN113+DO113)-DI113)</f>
        <v>0.70937989568762516</v>
      </c>
      <c r="V113">
        <f t="shared" ref="V113:V144" si="148">1/((DC113+1)/(S113/1.6)+1/(T113/1.37)) + DC113/((DC113+1)/(S113/1.6) + DC113/(T113/1.37))</f>
        <v>0.45197480225525888</v>
      </c>
      <c r="W113">
        <f t="shared" ref="W113:W144" si="149">(CX113*DA113)</f>
        <v>289.5728535773394</v>
      </c>
      <c r="X113">
        <f t="shared" ref="X113:X144" si="150">(DP113+(W113+2*0.95*0.0000000567*(((DP113+$B$7)+273)^4-(DP113+273)^4)-44100*L113)/(1.84*29.3*T113+8*0.95*0.0000000567*(DP113+273)^3))</f>
        <v>29.924741483374795</v>
      </c>
      <c r="Y113">
        <f t="shared" ref="Y113:Y144" si="151">($C$7*DQ113+$D$7*DR113+$E$7*X113)</f>
        <v>29.9725</v>
      </c>
      <c r="Z113">
        <f t="shared" ref="Z113:Z144" si="152">0.61365*EXP(17.502*Y113/(240.97+Y113))</f>
        <v>4.2537246922661796</v>
      </c>
      <c r="AA113">
        <f t="shared" ref="AA113:AA144" si="153">(AB113/AC113*100)</f>
        <v>65.504342190315398</v>
      </c>
      <c r="AB113">
        <f t="shared" ref="AB113:AB144" si="154">DI113*(DN113+DO113)/1000</f>
        <v>2.9200987093753601</v>
      </c>
      <c r="AC113">
        <f t="shared" ref="AC113:AC144" si="155">0.61365*EXP(17.502*DP113/(240.97+DP113))</f>
        <v>4.4578704429873461</v>
      </c>
      <c r="AD113">
        <f t="shared" ref="AD113:AD144" si="156">(Z113-DI113*(DN113+DO113)/1000)</f>
        <v>1.3336259828908195</v>
      </c>
      <c r="AE113">
        <f t="shared" ref="AE113:AE144" si="157">(-L113*44100)</f>
        <v>-436.13573616710005</v>
      </c>
      <c r="AF113">
        <f t="shared" ref="AF113:AF144" si="158">2*29.3*T113*0.92*(DP113-Y113)</f>
        <v>128.59415166886049</v>
      </c>
      <c r="AG113">
        <f t="shared" ref="AG113:AG144" si="159">2*0.95*0.0000000567*(((DP113+$B$7)+273)^4-(Y113+273)^4)</f>
        <v>9.8476182314171989</v>
      </c>
      <c r="AH113">
        <f t="shared" ref="AH113:AH144" si="160">W113+AG113+AE113+AF113</f>
        <v>-8.1211126894829704</v>
      </c>
      <c r="AI113">
        <v>0</v>
      </c>
      <c r="AJ113">
        <v>0</v>
      </c>
      <c r="AK113">
        <f t="shared" ref="AK113:AK144" si="161">IF(AI113*$H$13&gt;=AM113,1,(AM113/(AM113-AI113*$H$13)))</f>
        <v>1</v>
      </c>
      <c r="AL113">
        <f t="shared" ref="AL113:AL144" si="162">(AK113-1)*100</f>
        <v>0</v>
      </c>
      <c r="AM113">
        <f t="shared" ref="AM113:AM144" si="163">MAX(0,($B$13+$C$13*DU113)/(1+$D$13*DU113)*DN113/(DP113+273)*$E$13)</f>
        <v>51771.869655088907</v>
      </c>
      <c r="AN113" t="s">
        <v>418</v>
      </c>
      <c r="AO113">
        <v>10021</v>
      </c>
      <c r="AP113">
        <v>177.53923076923081</v>
      </c>
      <c r="AQ113">
        <v>655.56</v>
      </c>
      <c r="AR113">
        <f t="shared" ref="AR113:AR144" si="164">1-AP113/AQ113</f>
        <v>0.72917928066198234</v>
      </c>
      <c r="AS113">
        <v>-3.1115002560329539</v>
      </c>
      <c r="AT113" t="s">
        <v>913</v>
      </c>
      <c r="AU113">
        <v>8037.72</v>
      </c>
      <c r="AV113">
        <v>707.05611999999996</v>
      </c>
      <c r="AW113">
        <v>751.63024501812254</v>
      </c>
      <c r="AX113">
        <f t="shared" ref="AX113:AX144" si="165">1-AV113/AW113</f>
        <v>5.9303261561870602E-2</v>
      </c>
      <c r="AY113">
        <v>0.5</v>
      </c>
      <c r="AZ113">
        <f t="shared" ref="AZ113:AZ144" si="166">CY113</f>
        <v>1513.21829926287</v>
      </c>
      <c r="BA113">
        <f t="shared" ref="BA113:BA144" si="167">N113</f>
        <v>2.671363266393961</v>
      </c>
      <c r="BB113">
        <f t="shared" ref="BB113:BB144" si="168">AX113*AY113*AZ113</f>
        <v>44.869390300697482</v>
      </c>
      <c r="BC113">
        <f t="shared" ref="BC113:BC144" si="169">(BA113-AS113)/AZ113</f>
        <v>3.8215659467268574E-3</v>
      </c>
      <c r="BD113">
        <f t="shared" ref="BD113:BD144" si="170">(AQ113-AW113)/AW113</f>
        <v>-0.12781583185999421</v>
      </c>
      <c r="BE113">
        <f t="shared" ref="BE113:BE144" si="171">AP113/(AR113+AP113/AW113)</f>
        <v>183.9051394516888</v>
      </c>
      <c r="BF113" t="s">
        <v>914</v>
      </c>
      <c r="BG113">
        <v>615.16999999999996</v>
      </c>
      <c r="BH113">
        <f t="shared" ref="BH113:BH144" si="172">IF(BG113&lt;&gt;0, BG113, BE113)</f>
        <v>615.16999999999996</v>
      </c>
      <c r="BI113">
        <f t="shared" ref="BI113:BI144" si="173">1-BH113/AW113</f>
        <v>0.18155236024972943</v>
      </c>
      <c r="BJ113">
        <f t="shared" ref="BJ113:BJ144" si="174">(AW113-AV113)/(AW113-BH113)</f>
        <v>0.32664550039612572</v>
      </c>
      <c r="BK113">
        <f t="shared" ref="BK113:BK144" si="175">(AQ113-AW113)/(AQ113-BH113)</f>
        <v>-2.3785651155761975</v>
      </c>
      <c r="BL113">
        <f t="shared" ref="BL113:BL144" si="176">(AW113-AV113)/(AW113-AP113)</f>
        <v>7.7642958889438188E-2</v>
      </c>
      <c r="BM113">
        <f t="shared" ref="BM113:BM144" si="177">(AQ113-AW113)/(AQ113-AP113)</f>
        <v>-0.2009750437679074</v>
      </c>
      <c r="BN113">
        <f t="shared" ref="BN113:BN144" si="178">(BJ113*BH113/AV113)</f>
        <v>0.28419598783571048</v>
      </c>
      <c r="BO113">
        <f t="shared" ref="BO113:BO144" si="179">(1-BN113)</f>
        <v>0.71580401216428946</v>
      </c>
      <c r="BP113">
        <v>22659</v>
      </c>
      <c r="BQ113">
        <v>290.00000000000011</v>
      </c>
      <c r="BR113">
        <v>743.1</v>
      </c>
      <c r="BS113">
        <v>245</v>
      </c>
      <c r="BT113">
        <v>8037.72</v>
      </c>
      <c r="BU113">
        <v>742.36</v>
      </c>
      <c r="BV113">
        <v>0.74</v>
      </c>
      <c r="BW113">
        <v>300.00000000000011</v>
      </c>
      <c r="BX113">
        <v>19.399999999999999</v>
      </c>
      <c r="BY113">
        <v>751.63024501812254</v>
      </c>
      <c r="BZ113">
        <v>2.5189694648361698</v>
      </c>
      <c r="CA113">
        <v>-7.4543091666951922</v>
      </c>
      <c r="CB113">
        <v>1.8592420006274331</v>
      </c>
      <c r="CC113">
        <v>0.36471494844731039</v>
      </c>
      <c r="CD113">
        <v>-4.1496209121245778E-3</v>
      </c>
      <c r="CE113">
        <v>289.99999999999989</v>
      </c>
      <c r="CF113">
        <v>743.3</v>
      </c>
      <c r="CG113">
        <v>805</v>
      </c>
      <c r="CH113">
        <v>8021.04</v>
      </c>
      <c r="CI113">
        <v>742.34</v>
      </c>
      <c r="CJ113">
        <v>0.96</v>
      </c>
      <c r="CX113">
        <f t="shared" ref="CX113:CX144" si="180">$B$11*DV113+$C$11*DW113+$F$11*EH113*(1-EK113)</f>
        <v>1800.04</v>
      </c>
      <c r="CY113">
        <f t="shared" ref="CY113:CY144" si="181">CX113*CZ113</f>
        <v>1513.21829926287</v>
      </c>
      <c r="CZ113">
        <f t="shared" ref="CZ113:CZ144" si="182">($B$11*$D$9+$C$11*$D$9+$F$11*((EU113+EM113)/MAX(EU113+EM113+EV113, 0.1)*$I$9+EV113/MAX(EU113+EM113+EV113, 0.1)*$J$9))/($B$11+$C$11+$F$11)</f>
        <v>0.84065815163155821</v>
      </c>
      <c r="DA113">
        <f t="shared" ref="DA113:DA144" si="183">($B$11*$K$9+$C$11*$K$9+$F$11*((EU113+EM113)/MAX(EU113+EM113+EV113, 0.1)*$P$9+EV113/MAX(EU113+EM113+EV113, 0.1)*$Q$9))/($B$11+$C$11+$F$11)</f>
        <v>0.16087023264890749</v>
      </c>
      <c r="DB113">
        <v>6</v>
      </c>
      <c r="DC113">
        <v>0.5</v>
      </c>
      <c r="DD113" t="s">
        <v>421</v>
      </c>
      <c r="DE113">
        <v>2</v>
      </c>
      <c r="DF113">
        <v>1689017784</v>
      </c>
      <c r="DG113">
        <v>8.5702300000000005</v>
      </c>
      <c r="DH113">
        <v>11.877700000000001</v>
      </c>
      <c r="DI113">
        <v>29.422599999999999</v>
      </c>
      <c r="DJ113">
        <v>17.903700000000001</v>
      </c>
      <c r="DK113">
        <v>8.2758599999999998</v>
      </c>
      <c r="DL113">
        <v>29.148199999999999</v>
      </c>
      <c r="DM113">
        <v>499.98099999999999</v>
      </c>
      <c r="DN113">
        <v>99.146900000000002</v>
      </c>
      <c r="DO113">
        <v>9.9893599999999999E-2</v>
      </c>
      <c r="DP113">
        <v>30.790900000000001</v>
      </c>
      <c r="DQ113">
        <v>29.9725</v>
      </c>
      <c r="DR113">
        <v>999.9</v>
      </c>
      <c r="DS113">
        <v>0</v>
      </c>
      <c r="DT113">
        <v>0</v>
      </c>
      <c r="DU113">
        <v>10000</v>
      </c>
      <c r="DV113">
        <v>0</v>
      </c>
      <c r="DW113">
        <v>1692.06</v>
      </c>
      <c r="DX113">
        <v>-3.3074400000000002</v>
      </c>
      <c r="DY113">
        <v>8.8300300000000007</v>
      </c>
      <c r="DZ113">
        <v>12.094200000000001</v>
      </c>
      <c r="EA113">
        <v>11.5189</v>
      </c>
      <c r="EB113">
        <v>11.877700000000001</v>
      </c>
      <c r="EC113">
        <v>17.903700000000001</v>
      </c>
      <c r="ED113">
        <v>2.91716</v>
      </c>
      <c r="EE113">
        <v>1.7750999999999999</v>
      </c>
      <c r="EF113">
        <v>23.5625</v>
      </c>
      <c r="EG113">
        <v>15.5692</v>
      </c>
      <c r="EH113">
        <v>1800.04</v>
      </c>
      <c r="EI113">
        <v>0.97800200000000004</v>
      </c>
      <c r="EJ113">
        <v>2.1998400000000001E-2</v>
      </c>
      <c r="EK113">
        <v>0</v>
      </c>
      <c r="EL113">
        <v>706.67399999999998</v>
      </c>
      <c r="EM113">
        <v>5.0011200000000002</v>
      </c>
      <c r="EN113">
        <v>14156.9</v>
      </c>
      <c r="EO113">
        <v>17211.3</v>
      </c>
      <c r="EP113">
        <v>49.061999999999998</v>
      </c>
      <c r="EQ113">
        <v>50.75</v>
      </c>
      <c r="ER113">
        <v>50.25</v>
      </c>
      <c r="ES113">
        <v>49.625</v>
      </c>
      <c r="ET113">
        <v>49.875</v>
      </c>
      <c r="EU113">
        <v>1755.55</v>
      </c>
      <c r="EV113">
        <v>39.49</v>
      </c>
      <c r="EW113">
        <v>0</v>
      </c>
      <c r="EX113">
        <v>123.2000000476837</v>
      </c>
      <c r="EY113">
        <v>0</v>
      </c>
      <c r="EZ113">
        <v>707.05611999999996</v>
      </c>
      <c r="FA113">
        <v>-2.7129230706963909</v>
      </c>
      <c r="FB113">
        <v>-239.00769261580311</v>
      </c>
      <c r="FC113">
        <v>14209.732</v>
      </c>
      <c r="FD113">
        <v>15</v>
      </c>
      <c r="FE113">
        <v>1689017745.5</v>
      </c>
      <c r="FF113" t="s">
        <v>915</v>
      </c>
      <c r="FG113">
        <v>1689017727.5</v>
      </c>
      <c r="FH113">
        <v>1689017745.5</v>
      </c>
      <c r="FI113">
        <v>108</v>
      </c>
      <c r="FJ113">
        <v>0.15</v>
      </c>
      <c r="FK113">
        <v>3.0000000000000001E-3</v>
      </c>
      <c r="FL113">
        <v>0.30299999999999999</v>
      </c>
      <c r="FM113">
        <v>0.16800000000000001</v>
      </c>
      <c r="FN113">
        <v>12</v>
      </c>
      <c r="FO113">
        <v>18</v>
      </c>
      <c r="FP113">
        <v>0.34</v>
      </c>
      <c r="FQ113">
        <v>0.01</v>
      </c>
      <c r="FR113">
        <v>2.6952931002084481</v>
      </c>
      <c r="FS113">
        <v>-0.69662918444214683</v>
      </c>
      <c r="FT113">
        <v>5.4792712007592809E-2</v>
      </c>
      <c r="FU113">
        <v>1</v>
      </c>
      <c r="FV113">
        <v>0.82336632726189141</v>
      </c>
      <c r="FW113">
        <v>-2.311246938539737E-2</v>
      </c>
      <c r="FX113">
        <v>2.779634972177503E-3</v>
      </c>
      <c r="FY113">
        <v>1</v>
      </c>
      <c r="FZ113">
        <v>2</v>
      </c>
      <c r="GA113">
        <v>2</v>
      </c>
      <c r="GB113" t="s">
        <v>423</v>
      </c>
      <c r="GC113">
        <v>2.9234100000000001</v>
      </c>
      <c r="GD113">
        <v>2.8271899999999999</v>
      </c>
      <c r="GE113">
        <v>2.1704699999999999E-3</v>
      </c>
      <c r="GF113">
        <v>3.14008E-3</v>
      </c>
      <c r="GG113">
        <v>0.12865099999999999</v>
      </c>
      <c r="GH113">
        <v>9.1147400000000003E-2</v>
      </c>
      <c r="GI113">
        <v>32458.5</v>
      </c>
      <c r="GJ113">
        <v>26304.3</v>
      </c>
      <c r="GK113">
        <v>31309.8</v>
      </c>
      <c r="GL113">
        <v>26037.8</v>
      </c>
      <c r="GM113">
        <v>37401.599999999999</v>
      </c>
      <c r="GN113">
        <v>32100</v>
      </c>
      <c r="GO113">
        <v>46494</v>
      </c>
      <c r="GP113">
        <v>37857.5</v>
      </c>
      <c r="GQ113">
        <v>1.8979999999999999</v>
      </c>
      <c r="GR113">
        <v>1.68743</v>
      </c>
      <c r="GS113">
        <v>-7.6089100000000007E-2</v>
      </c>
      <c r="GT113">
        <v>0</v>
      </c>
      <c r="GU113">
        <v>31.209499999999998</v>
      </c>
      <c r="GV113">
        <v>999.9</v>
      </c>
      <c r="GW113">
        <v>40.1</v>
      </c>
      <c r="GX113">
        <v>46.3</v>
      </c>
      <c r="GY113">
        <v>41.673699999999997</v>
      </c>
      <c r="GZ113">
        <v>62.4343</v>
      </c>
      <c r="HA113">
        <v>22.732399999999998</v>
      </c>
      <c r="HB113">
        <v>1</v>
      </c>
      <c r="HC113">
        <v>0.61499499999999996</v>
      </c>
      <c r="HD113">
        <v>2.3331300000000001</v>
      </c>
      <c r="HE113">
        <v>20.279800000000002</v>
      </c>
      <c r="HF113">
        <v>5.2199900000000001</v>
      </c>
      <c r="HG113">
        <v>12.0595</v>
      </c>
      <c r="HH113">
        <v>4.9897499999999999</v>
      </c>
      <c r="HI113">
        <v>3.2911999999999999</v>
      </c>
      <c r="HJ113">
        <v>9999</v>
      </c>
      <c r="HK113">
        <v>9999</v>
      </c>
      <c r="HL113">
        <v>9999</v>
      </c>
      <c r="HM113">
        <v>466.1</v>
      </c>
      <c r="HN113">
        <v>1.8669100000000001</v>
      </c>
      <c r="HO113">
        <v>1.8703700000000001</v>
      </c>
      <c r="HP113">
        <v>1.8730100000000001</v>
      </c>
      <c r="HQ113">
        <v>1.8738999999999999</v>
      </c>
      <c r="HR113">
        <v>1.8706100000000001</v>
      </c>
      <c r="HS113">
        <v>1.86904</v>
      </c>
      <c r="HT113">
        <v>1.8704499999999999</v>
      </c>
      <c r="HU113">
        <v>1.87347</v>
      </c>
      <c r="HV113">
        <v>0</v>
      </c>
      <c r="HW113">
        <v>0</v>
      </c>
      <c r="HX113">
        <v>0</v>
      </c>
      <c r="HY113">
        <v>0</v>
      </c>
      <c r="HZ113" t="s">
        <v>424</v>
      </c>
      <c r="IA113" t="s">
        <v>425</v>
      </c>
      <c r="IB113" t="s">
        <v>426</v>
      </c>
      <c r="IC113" t="s">
        <v>426</v>
      </c>
      <c r="ID113" t="s">
        <v>426</v>
      </c>
      <c r="IE113" t="s">
        <v>426</v>
      </c>
      <c r="IF113">
        <v>0</v>
      </c>
      <c r="IG113">
        <v>100</v>
      </c>
      <c r="IH113">
        <v>100</v>
      </c>
      <c r="II113">
        <v>0.29399999999999998</v>
      </c>
      <c r="IJ113">
        <v>0.27439999999999998</v>
      </c>
      <c r="IK113">
        <v>0.26935587532240263</v>
      </c>
      <c r="IL113">
        <v>3.042515301972944E-3</v>
      </c>
      <c r="IM113">
        <v>-2.5091471490852929E-6</v>
      </c>
      <c r="IN113">
        <v>8.1339755115576286E-10</v>
      </c>
      <c r="IO113">
        <v>0.27437131926255193</v>
      </c>
      <c r="IP113">
        <v>0</v>
      </c>
      <c r="IQ113">
        <v>0</v>
      </c>
      <c r="IR113">
        <v>0</v>
      </c>
      <c r="IS113">
        <v>3</v>
      </c>
      <c r="IT113">
        <v>2004</v>
      </c>
      <c r="IU113">
        <v>2</v>
      </c>
      <c r="IV113">
        <v>22</v>
      </c>
      <c r="IW113">
        <v>0.9</v>
      </c>
      <c r="IX113">
        <v>0.6</v>
      </c>
      <c r="IY113">
        <v>9.5214800000000002E-2</v>
      </c>
      <c r="IZ113">
        <v>2.7221700000000002</v>
      </c>
      <c r="JA113">
        <v>1.64917</v>
      </c>
      <c r="JB113">
        <v>2.33887</v>
      </c>
      <c r="JC113">
        <v>1.5991200000000001</v>
      </c>
      <c r="JD113">
        <v>2.2814899999999998</v>
      </c>
      <c r="JE113">
        <v>48.670699999999997</v>
      </c>
      <c r="JF113">
        <v>24.113800000000001</v>
      </c>
      <c r="JG113">
        <v>18</v>
      </c>
      <c r="JH113">
        <v>511.73599999999999</v>
      </c>
      <c r="JI113">
        <v>421.94099999999997</v>
      </c>
      <c r="JJ113">
        <v>27.763999999999999</v>
      </c>
      <c r="JK113">
        <v>34.650500000000001</v>
      </c>
      <c r="JL113">
        <v>29.999600000000001</v>
      </c>
      <c r="JM113">
        <v>34.716099999999997</v>
      </c>
      <c r="JN113">
        <v>34.710099999999997</v>
      </c>
      <c r="JO113">
        <v>1.93323</v>
      </c>
      <c r="JP113">
        <v>64.600499999999997</v>
      </c>
      <c r="JQ113">
        <v>0</v>
      </c>
      <c r="JR113">
        <v>27.788699999999999</v>
      </c>
      <c r="JS113">
        <v>10</v>
      </c>
      <c r="JT113">
        <v>17.9133</v>
      </c>
      <c r="JU113">
        <v>99.233999999999995</v>
      </c>
      <c r="JV113">
        <v>98.999200000000002</v>
      </c>
    </row>
    <row r="114" spans="1:282" x14ac:dyDescent="0.25">
      <c r="A114">
        <v>98</v>
      </c>
      <c r="B114">
        <v>1689017973.5</v>
      </c>
      <c r="C114">
        <v>18378.400000095371</v>
      </c>
      <c r="D114" t="s">
        <v>916</v>
      </c>
      <c r="E114" t="s">
        <v>917</v>
      </c>
      <c r="F114" t="s">
        <v>414</v>
      </c>
      <c r="G114" t="s">
        <v>415</v>
      </c>
      <c r="H114" t="s">
        <v>416</v>
      </c>
      <c r="I114" t="s">
        <v>416</v>
      </c>
      <c r="J114" t="s">
        <v>501</v>
      </c>
      <c r="K114">
        <v>1689017973.5</v>
      </c>
      <c r="L114">
        <f t="shared" si="138"/>
        <v>9.290417889771788E-3</v>
      </c>
      <c r="M114">
        <f t="shared" si="139"/>
        <v>9.2904178897717884</v>
      </c>
      <c r="N114">
        <f t="shared" si="140"/>
        <v>53.630570226869033</v>
      </c>
      <c r="O114">
        <f t="shared" si="141"/>
        <v>331.98099999999999</v>
      </c>
      <c r="P114">
        <f t="shared" si="142"/>
        <v>197.10824110190404</v>
      </c>
      <c r="Q114">
        <f t="shared" si="143"/>
        <v>19.562774434878712</v>
      </c>
      <c r="R114">
        <f t="shared" si="144"/>
        <v>32.9487462490615</v>
      </c>
      <c r="S114">
        <f t="shared" si="145"/>
        <v>0.74550264928627663</v>
      </c>
      <c r="T114">
        <f t="shared" si="146"/>
        <v>2.9188464788822275</v>
      </c>
      <c r="U114">
        <f t="shared" si="147"/>
        <v>0.6536928384356121</v>
      </c>
      <c r="V114">
        <f t="shared" si="148"/>
        <v>0.41586085107561543</v>
      </c>
      <c r="W114">
        <f t="shared" si="149"/>
        <v>289.59303527605789</v>
      </c>
      <c r="X114">
        <f t="shared" si="150"/>
        <v>30.239498016652931</v>
      </c>
      <c r="Y114">
        <f t="shared" si="151"/>
        <v>30.048500000000001</v>
      </c>
      <c r="Z114">
        <f t="shared" si="152"/>
        <v>4.2723329519336035</v>
      </c>
      <c r="AA114">
        <f t="shared" si="153"/>
        <v>64.757296037764817</v>
      </c>
      <c r="AB114">
        <f t="shared" si="154"/>
        <v>2.91284579174435</v>
      </c>
      <c r="AC114">
        <f t="shared" si="155"/>
        <v>4.4980966932987014</v>
      </c>
      <c r="AD114">
        <f t="shared" si="156"/>
        <v>1.3594871601892535</v>
      </c>
      <c r="AE114">
        <f t="shared" si="157"/>
        <v>-409.70742893893583</v>
      </c>
      <c r="AF114">
        <f t="shared" si="158"/>
        <v>141.59329406227474</v>
      </c>
      <c r="AG114">
        <f t="shared" si="159"/>
        <v>10.839588910686158</v>
      </c>
      <c r="AH114">
        <f t="shared" si="160"/>
        <v>32.318489310082924</v>
      </c>
      <c r="AI114">
        <v>0</v>
      </c>
      <c r="AJ114">
        <v>0</v>
      </c>
      <c r="AK114">
        <f t="shared" si="161"/>
        <v>1</v>
      </c>
      <c r="AL114">
        <f t="shared" si="162"/>
        <v>0</v>
      </c>
      <c r="AM114">
        <f t="shared" si="163"/>
        <v>51867.317042228889</v>
      </c>
      <c r="AN114" t="s">
        <v>418</v>
      </c>
      <c r="AO114">
        <v>10021</v>
      </c>
      <c r="AP114">
        <v>177.53923076923081</v>
      </c>
      <c r="AQ114">
        <v>655.56</v>
      </c>
      <c r="AR114">
        <f t="shared" si="164"/>
        <v>0.72917928066198234</v>
      </c>
      <c r="AS114">
        <v>-3.1115002560329539</v>
      </c>
      <c r="AT114" t="s">
        <v>918</v>
      </c>
      <c r="AU114">
        <v>8035.94</v>
      </c>
      <c r="AV114">
        <v>726.81140000000005</v>
      </c>
      <c r="AW114">
        <v>1233.7673647204761</v>
      </c>
      <c r="AX114">
        <f t="shared" si="165"/>
        <v>0.41090077369272338</v>
      </c>
      <c r="AY114">
        <v>0.5</v>
      </c>
      <c r="AZ114">
        <f t="shared" si="166"/>
        <v>1513.3272058425173</v>
      </c>
      <c r="BA114">
        <f t="shared" si="167"/>
        <v>53.630570226869033</v>
      </c>
      <c r="BB114">
        <f t="shared" si="168"/>
        <v>310.91365986546879</v>
      </c>
      <c r="BC114">
        <f t="shared" si="169"/>
        <v>3.749491204799419E-2</v>
      </c>
      <c r="BD114">
        <f t="shared" si="170"/>
        <v>-0.46865185549098676</v>
      </c>
      <c r="BE114">
        <f t="shared" si="171"/>
        <v>203.34832937656881</v>
      </c>
      <c r="BF114" t="s">
        <v>919</v>
      </c>
      <c r="BG114">
        <v>575.97</v>
      </c>
      <c r="BH114">
        <f t="shared" si="172"/>
        <v>575.97</v>
      </c>
      <c r="BI114">
        <f t="shared" si="173"/>
        <v>0.53316158583065409</v>
      </c>
      <c r="BJ114">
        <f t="shared" si="174"/>
        <v>0.77068713240573949</v>
      </c>
      <c r="BK114">
        <f t="shared" si="175"/>
        <v>-7.2648242834586849</v>
      </c>
      <c r="BL114">
        <f t="shared" si="176"/>
        <v>0.47996824589779086</v>
      </c>
      <c r="BM114">
        <f t="shared" si="177"/>
        <v>-1.2095862814725127</v>
      </c>
      <c r="BN114">
        <f t="shared" si="178"/>
        <v>0.61073982556098294</v>
      </c>
      <c r="BO114">
        <f t="shared" si="179"/>
        <v>0.38926017443901706</v>
      </c>
      <c r="BP114">
        <v>22661</v>
      </c>
      <c r="BQ114">
        <v>290.00000000000011</v>
      </c>
      <c r="BR114">
        <v>1022.88</v>
      </c>
      <c r="BS114">
        <v>295</v>
      </c>
      <c r="BT114">
        <v>8035.94</v>
      </c>
      <c r="BU114">
        <v>1025.4100000000001</v>
      </c>
      <c r="BV114">
        <v>-2.5299999999999998</v>
      </c>
      <c r="BW114">
        <v>300.00000000000011</v>
      </c>
      <c r="BX114">
        <v>19.399999999999999</v>
      </c>
      <c r="BY114">
        <v>1233.7673647204761</v>
      </c>
      <c r="BZ114">
        <v>4.5966640678569348</v>
      </c>
      <c r="CA114">
        <v>-167.4380166947565</v>
      </c>
      <c r="CB114">
        <v>3.393092159176271</v>
      </c>
      <c r="CC114">
        <v>0.98863221222714326</v>
      </c>
      <c r="CD114">
        <v>-4.1507058954393774E-3</v>
      </c>
      <c r="CE114">
        <v>289.99999999999989</v>
      </c>
      <c r="CF114">
        <v>1006.53</v>
      </c>
      <c r="CG114">
        <v>635</v>
      </c>
      <c r="CH114">
        <v>8026.3</v>
      </c>
      <c r="CI114">
        <v>1025.1600000000001</v>
      </c>
      <c r="CJ114">
        <v>-18.63</v>
      </c>
      <c r="CX114">
        <f t="shared" si="180"/>
        <v>1800.17</v>
      </c>
      <c r="CY114">
        <f t="shared" si="181"/>
        <v>1513.3272058425173</v>
      </c>
      <c r="CZ114">
        <f t="shared" si="182"/>
        <v>0.84065794110696057</v>
      </c>
      <c r="DA114">
        <f t="shared" si="183"/>
        <v>0.16086982633643371</v>
      </c>
      <c r="DB114">
        <v>6</v>
      </c>
      <c r="DC114">
        <v>0.5</v>
      </c>
      <c r="DD114" t="s">
        <v>421</v>
      </c>
      <c r="DE114">
        <v>2</v>
      </c>
      <c r="DF114">
        <v>1689017973.5</v>
      </c>
      <c r="DG114">
        <v>331.98099999999999</v>
      </c>
      <c r="DH114">
        <v>400.04</v>
      </c>
      <c r="DI114">
        <v>29.3489</v>
      </c>
      <c r="DJ114">
        <v>18.5274</v>
      </c>
      <c r="DK114">
        <v>330.97500000000002</v>
      </c>
      <c r="DL114">
        <v>29.076499999999999</v>
      </c>
      <c r="DM114">
        <v>499.99099999999999</v>
      </c>
      <c r="DN114">
        <v>99.149199999999993</v>
      </c>
      <c r="DO114">
        <v>9.9691500000000002E-2</v>
      </c>
      <c r="DP114">
        <v>30.9483</v>
      </c>
      <c r="DQ114">
        <v>30.048500000000001</v>
      </c>
      <c r="DR114">
        <v>999.9</v>
      </c>
      <c r="DS114">
        <v>0</v>
      </c>
      <c r="DT114">
        <v>0</v>
      </c>
      <c r="DU114">
        <v>10024.4</v>
      </c>
      <c r="DV114">
        <v>0</v>
      </c>
      <c r="DW114">
        <v>1809.88</v>
      </c>
      <c r="DX114">
        <v>-68.058899999999994</v>
      </c>
      <c r="DY114">
        <v>342.01900000000001</v>
      </c>
      <c r="DZ114">
        <v>407.59100000000001</v>
      </c>
      <c r="EA114">
        <v>10.8216</v>
      </c>
      <c r="EB114">
        <v>400.04</v>
      </c>
      <c r="EC114">
        <v>18.5274</v>
      </c>
      <c r="ED114">
        <v>2.9099200000000001</v>
      </c>
      <c r="EE114">
        <v>1.83697</v>
      </c>
      <c r="EF114">
        <v>23.5213</v>
      </c>
      <c r="EG114">
        <v>16.105</v>
      </c>
      <c r="EH114">
        <v>1800.17</v>
      </c>
      <c r="EI114">
        <v>0.97800500000000001</v>
      </c>
      <c r="EJ114">
        <v>2.1994699999999999E-2</v>
      </c>
      <c r="EK114">
        <v>0</v>
      </c>
      <c r="EL114">
        <v>727.33100000000002</v>
      </c>
      <c r="EM114">
        <v>5.0011200000000002</v>
      </c>
      <c r="EN114">
        <v>14675.3</v>
      </c>
      <c r="EO114">
        <v>17212.599999999999</v>
      </c>
      <c r="EP114">
        <v>48.936999999999998</v>
      </c>
      <c r="EQ114">
        <v>50.5</v>
      </c>
      <c r="ER114">
        <v>50.061999999999998</v>
      </c>
      <c r="ES114">
        <v>49.5</v>
      </c>
      <c r="ET114">
        <v>49.186999999999998</v>
      </c>
      <c r="EU114">
        <v>1755.68</v>
      </c>
      <c r="EV114">
        <v>39.479999999999997</v>
      </c>
      <c r="EW114">
        <v>0</v>
      </c>
      <c r="EX114">
        <v>187.80000019073489</v>
      </c>
      <c r="EY114">
        <v>0</v>
      </c>
      <c r="EZ114">
        <v>726.81140000000005</v>
      </c>
      <c r="FA114">
        <v>2.2009230622866118</v>
      </c>
      <c r="FB114">
        <v>-18.861538532231808</v>
      </c>
      <c r="FC114">
        <v>14651.064</v>
      </c>
      <c r="FD114">
        <v>15</v>
      </c>
      <c r="FE114">
        <v>1689017887</v>
      </c>
      <c r="FF114" t="s">
        <v>920</v>
      </c>
      <c r="FG114">
        <v>1689017887</v>
      </c>
      <c r="FH114">
        <v>1689017884.5</v>
      </c>
      <c r="FI114">
        <v>109</v>
      </c>
      <c r="FJ114">
        <v>-2.5000000000000001E-2</v>
      </c>
      <c r="FK114">
        <v>-2E-3</v>
      </c>
      <c r="FL114">
        <v>1.111</v>
      </c>
      <c r="FM114">
        <v>0.158</v>
      </c>
      <c r="FN114">
        <v>400</v>
      </c>
      <c r="FO114">
        <v>18</v>
      </c>
      <c r="FP114">
        <v>0.06</v>
      </c>
      <c r="FQ114">
        <v>0.02</v>
      </c>
      <c r="FR114">
        <v>53.223227284052321</v>
      </c>
      <c r="FS114">
        <v>2.6146036128045682</v>
      </c>
      <c r="FT114">
        <v>0.19845743608582611</v>
      </c>
      <c r="FU114">
        <v>0</v>
      </c>
      <c r="FV114">
        <v>0.75101462791293272</v>
      </c>
      <c r="FW114">
        <v>-7.345097453325547E-2</v>
      </c>
      <c r="FX114">
        <v>6.287183479493026E-3</v>
      </c>
      <c r="FY114">
        <v>0</v>
      </c>
      <c r="FZ114">
        <v>0</v>
      </c>
      <c r="GA114">
        <v>2</v>
      </c>
      <c r="GB114" t="s">
        <v>617</v>
      </c>
      <c r="GC114">
        <v>2.9234</v>
      </c>
      <c r="GD114">
        <v>2.8271999999999999</v>
      </c>
      <c r="GE114">
        <v>7.5567400000000007E-2</v>
      </c>
      <c r="GF114">
        <v>8.7942400000000004E-2</v>
      </c>
      <c r="GG114">
        <v>0.12842200000000001</v>
      </c>
      <c r="GH114">
        <v>9.3411499999999995E-2</v>
      </c>
      <c r="GI114">
        <v>30073.9</v>
      </c>
      <c r="GJ114">
        <v>24068.799999999999</v>
      </c>
      <c r="GK114">
        <v>31309.5</v>
      </c>
      <c r="GL114">
        <v>26036.400000000001</v>
      </c>
      <c r="GM114">
        <v>37412.300000000003</v>
      </c>
      <c r="GN114">
        <v>32019.9</v>
      </c>
      <c r="GO114">
        <v>46493.5</v>
      </c>
      <c r="GP114">
        <v>37856</v>
      </c>
      <c r="GQ114">
        <v>1.89638</v>
      </c>
      <c r="GR114">
        <v>1.68885</v>
      </c>
      <c r="GS114">
        <v>-5.63711E-2</v>
      </c>
      <c r="GT114">
        <v>0</v>
      </c>
      <c r="GU114">
        <v>30.9651</v>
      </c>
      <c r="GV114">
        <v>999.9</v>
      </c>
      <c r="GW114">
        <v>40</v>
      </c>
      <c r="GX114">
        <v>46.4</v>
      </c>
      <c r="GY114">
        <v>41.780700000000003</v>
      </c>
      <c r="GZ114">
        <v>62.014400000000002</v>
      </c>
      <c r="HA114">
        <v>22.560099999999998</v>
      </c>
      <c r="HB114">
        <v>1</v>
      </c>
      <c r="HC114">
        <v>0.61773599999999995</v>
      </c>
      <c r="HD114">
        <v>2.5920899999999998</v>
      </c>
      <c r="HE114">
        <v>20.276199999999999</v>
      </c>
      <c r="HF114">
        <v>5.2231300000000003</v>
      </c>
      <c r="HG114">
        <v>12.0609</v>
      </c>
      <c r="HH114">
        <v>4.9914500000000004</v>
      </c>
      <c r="HI114">
        <v>3.2919999999999998</v>
      </c>
      <c r="HJ114">
        <v>9999</v>
      </c>
      <c r="HK114">
        <v>9999</v>
      </c>
      <c r="HL114">
        <v>9999</v>
      </c>
      <c r="HM114">
        <v>466.1</v>
      </c>
      <c r="HN114">
        <v>1.8669100000000001</v>
      </c>
      <c r="HO114">
        <v>1.87036</v>
      </c>
      <c r="HP114">
        <v>1.8730100000000001</v>
      </c>
      <c r="HQ114">
        <v>1.8738999999999999</v>
      </c>
      <c r="HR114">
        <v>1.8706199999999999</v>
      </c>
      <c r="HS114">
        <v>1.86903</v>
      </c>
      <c r="HT114">
        <v>1.8704700000000001</v>
      </c>
      <c r="HU114">
        <v>1.8734599999999999</v>
      </c>
      <c r="HV114">
        <v>0</v>
      </c>
      <c r="HW114">
        <v>0</v>
      </c>
      <c r="HX114">
        <v>0</v>
      </c>
      <c r="HY114">
        <v>0</v>
      </c>
      <c r="HZ114" t="s">
        <v>424</v>
      </c>
      <c r="IA114" t="s">
        <v>425</v>
      </c>
      <c r="IB114" t="s">
        <v>426</v>
      </c>
      <c r="IC114" t="s">
        <v>426</v>
      </c>
      <c r="ID114" t="s">
        <v>426</v>
      </c>
      <c r="IE114" t="s">
        <v>426</v>
      </c>
      <c r="IF114">
        <v>0</v>
      </c>
      <c r="IG114">
        <v>100</v>
      </c>
      <c r="IH114">
        <v>100</v>
      </c>
      <c r="II114">
        <v>1.006</v>
      </c>
      <c r="IJ114">
        <v>0.27239999999999998</v>
      </c>
      <c r="IK114">
        <v>0.2445390159600429</v>
      </c>
      <c r="IL114">
        <v>3.042515301972944E-3</v>
      </c>
      <c r="IM114">
        <v>-2.5091471490852929E-6</v>
      </c>
      <c r="IN114">
        <v>8.1339755115576286E-10</v>
      </c>
      <c r="IO114">
        <v>0.27246341082946002</v>
      </c>
      <c r="IP114">
        <v>0</v>
      </c>
      <c r="IQ114">
        <v>0</v>
      </c>
      <c r="IR114">
        <v>0</v>
      </c>
      <c r="IS114">
        <v>3</v>
      </c>
      <c r="IT114">
        <v>2004</v>
      </c>
      <c r="IU114">
        <v>2</v>
      </c>
      <c r="IV114">
        <v>22</v>
      </c>
      <c r="IW114">
        <v>1.4</v>
      </c>
      <c r="IX114">
        <v>1.5</v>
      </c>
      <c r="IY114">
        <v>1.01196</v>
      </c>
      <c r="IZ114">
        <v>2.6110799999999998</v>
      </c>
      <c r="JA114">
        <v>1.64917</v>
      </c>
      <c r="JB114">
        <v>2.33887</v>
      </c>
      <c r="JC114">
        <v>1.5991200000000001</v>
      </c>
      <c r="JD114">
        <v>2.34497</v>
      </c>
      <c r="JE114">
        <v>48.639699999999998</v>
      </c>
      <c r="JF114">
        <v>24.113800000000001</v>
      </c>
      <c r="JG114">
        <v>18</v>
      </c>
      <c r="JH114">
        <v>510.995</v>
      </c>
      <c r="JI114">
        <v>423.16899999999998</v>
      </c>
      <c r="JJ114">
        <v>28.036200000000001</v>
      </c>
      <c r="JK114">
        <v>34.682200000000002</v>
      </c>
      <c r="JL114">
        <v>30</v>
      </c>
      <c r="JM114">
        <v>34.760199999999998</v>
      </c>
      <c r="JN114">
        <v>34.757199999999997</v>
      </c>
      <c r="JO114">
        <v>20.272600000000001</v>
      </c>
      <c r="JP114">
        <v>63.503799999999998</v>
      </c>
      <c r="JQ114">
        <v>0</v>
      </c>
      <c r="JR114">
        <v>28.0076</v>
      </c>
      <c r="JS114">
        <v>400</v>
      </c>
      <c r="JT114">
        <v>18.4025</v>
      </c>
      <c r="JU114">
        <v>99.233000000000004</v>
      </c>
      <c r="JV114">
        <v>98.994799999999998</v>
      </c>
    </row>
    <row r="115" spans="1:282" x14ac:dyDescent="0.25">
      <c r="A115">
        <v>99</v>
      </c>
      <c r="B115">
        <v>1689018135.5</v>
      </c>
      <c r="C115">
        <v>18540.400000095371</v>
      </c>
      <c r="D115" t="s">
        <v>921</v>
      </c>
      <c r="E115" t="s">
        <v>922</v>
      </c>
      <c r="F115" t="s">
        <v>414</v>
      </c>
      <c r="G115" t="s">
        <v>415</v>
      </c>
      <c r="H115" t="s">
        <v>416</v>
      </c>
      <c r="I115" t="s">
        <v>416</v>
      </c>
      <c r="J115" t="s">
        <v>501</v>
      </c>
      <c r="K115">
        <v>1689018135.5</v>
      </c>
      <c r="L115">
        <f t="shared" si="138"/>
        <v>8.1009849384823442E-3</v>
      </c>
      <c r="M115">
        <f t="shared" si="139"/>
        <v>8.1009849384823447</v>
      </c>
      <c r="N115">
        <f t="shared" si="140"/>
        <v>60.198661133754598</v>
      </c>
      <c r="O115">
        <f t="shared" si="141"/>
        <v>324.45299999999997</v>
      </c>
      <c r="P115">
        <f t="shared" si="142"/>
        <v>149.42627109833313</v>
      </c>
      <c r="Q115">
        <f t="shared" si="143"/>
        <v>14.830689320021689</v>
      </c>
      <c r="R115">
        <f t="shared" si="144"/>
        <v>32.202246677108398</v>
      </c>
      <c r="S115">
        <f t="shared" si="145"/>
        <v>0.62542344031076913</v>
      </c>
      <c r="T115">
        <f t="shared" si="146"/>
        <v>2.9122049460415047</v>
      </c>
      <c r="U115">
        <f t="shared" si="147"/>
        <v>0.55927706549274303</v>
      </c>
      <c r="V115">
        <f t="shared" si="148"/>
        <v>0.3549063959686235</v>
      </c>
      <c r="W115">
        <f t="shared" si="149"/>
        <v>289.55312257760488</v>
      </c>
      <c r="X115">
        <f t="shared" si="150"/>
        <v>30.333189956162897</v>
      </c>
      <c r="Y115">
        <f t="shared" si="151"/>
        <v>29.986899999999999</v>
      </c>
      <c r="Z115">
        <f t="shared" si="152"/>
        <v>4.2572450340131791</v>
      </c>
      <c r="AA115">
        <f t="shared" si="153"/>
        <v>64.619669122433237</v>
      </c>
      <c r="AB115">
        <f t="shared" si="154"/>
        <v>2.8712486386977605</v>
      </c>
      <c r="AC115">
        <f t="shared" si="155"/>
        <v>4.4433044577459526</v>
      </c>
      <c r="AD115">
        <f t="shared" si="156"/>
        <v>1.3859963953154186</v>
      </c>
      <c r="AE115">
        <f t="shared" si="157"/>
        <v>-357.2534357870714</v>
      </c>
      <c r="AF115">
        <f t="shared" si="158"/>
        <v>117.23398557117405</v>
      </c>
      <c r="AG115">
        <f t="shared" si="159"/>
        <v>8.9829603137266396</v>
      </c>
      <c r="AH115">
        <f t="shared" si="160"/>
        <v>58.516632675434195</v>
      </c>
      <c r="AI115">
        <v>0</v>
      </c>
      <c r="AJ115">
        <v>0</v>
      </c>
      <c r="AK115">
        <f t="shared" si="161"/>
        <v>1</v>
      </c>
      <c r="AL115">
        <f t="shared" si="162"/>
        <v>0</v>
      </c>
      <c r="AM115">
        <f t="shared" si="163"/>
        <v>51715.419531355881</v>
      </c>
      <c r="AN115" t="s">
        <v>418</v>
      </c>
      <c r="AO115">
        <v>10021</v>
      </c>
      <c r="AP115">
        <v>177.53923076923081</v>
      </c>
      <c r="AQ115">
        <v>655.56</v>
      </c>
      <c r="AR115">
        <f t="shared" si="164"/>
        <v>0.72917928066198234</v>
      </c>
      <c r="AS115">
        <v>-3.1115002560329539</v>
      </c>
      <c r="AT115" t="s">
        <v>923</v>
      </c>
      <c r="AU115">
        <v>8035.45</v>
      </c>
      <c r="AV115">
        <v>751.11927999999989</v>
      </c>
      <c r="AW115">
        <v>1280.342695659094</v>
      </c>
      <c r="AX115">
        <f t="shared" si="165"/>
        <v>0.41334512818590408</v>
      </c>
      <c r="AY115">
        <v>0.5</v>
      </c>
      <c r="AZ115">
        <f t="shared" si="166"/>
        <v>1513.1171992630077</v>
      </c>
      <c r="BA115">
        <f t="shared" si="167"/>
        <v>60.198661133754598</v>
      </c>
      <c r="BB115">
        <f t="shared" si="168"/>
        <v>312.71981134483207</v>
      </c>
      <c r="BC115">
        <f t="shared" si="169"/>
        <v>4.1840884116989725E-2</v>
      </c>
      <c r="BD115">
        <f t="shared" si="170"/>
        <v>-0.48798083339513165</v>
      </c>
      <c r="BE115">
        <f t="shared" si="171"/>
        <v>204.57489102238497</v>
      </c>
      <c r="BF115" t="s">
        <v>924</v>
      </c>
      <c r="BG115">
        <v>594.95000000000005</v>
      </c>
      <c r="BH115">
        <f t="shared" si="172"/>
        <v>594.95000000000005</v>
      </c>
      <c r="BI115">
        <f t="shared" si="173"/>
        <v>0.53531972180797105</v>
      </c>
      <c r="BJ115">
        <f t="shared" si="174"/>
        <v>0.77214627324001051</v>
      </c>
      <c r="BK115">
        <f t="shared" si="175"/>
        <v>-10.308244442486307</v>
      </c>
      <c r="BL115">
        <f t="shared" si="176"/>
        <v>0.47988914843675029</v>
      </c>
      <c r="BM115">
        <f t="shared" si="177"/>
        <v>-1.3070199787856378</v>
      </c>
      <c r="BN115">
        <f t="shared" si="178"/>
        <v>0.61160515712516972</v>
      </c>
      <c r="BO115">
        <f t="shared" si="179"/>
        <v>0.38839484287483028</v>
      </c>
      <c r="BP115">
        <v>22663</v>
      </c>
      <c r="BQ115">
        <v>290.00000000000011</v>
      </c>
      <c r="BR115">
        <v>1097.1199999999999</v>
      </c>
      <c r="BS115">
        <v>295</v>
      </c>
      <c r="BT115">
        <v>8035.45</v>
      </c>
      <c r="BU115">
        <v>1098.8599999999999</v>
      </c>
      <c r="BV115">
        <v>-1.74</v>
      </c>
      <c r="BW115">
        <v>300.00000000000011</v>
      </c>
      <c r="BX115">
        <v>19.399999999999999</v>
      </c>
      <c r="BY115">
        <v>1280.342695659094</v>
      </c>
      <c r="BZ115">
        <v>5.0425110657629979</v>
      </c>
      <c r="CA115">
        <v>-145.82816534375141</v>
      </c>
      <c r="CB115">
        <v>3.7219828431336879</v>
      </c>
      <c r="CC115">
        <v>0.98208677406970468</v>
      </c>
      <c r="CD115">
        <v>-4.1503802002224657E-3</v>
      </c>
      <c r="CE115">
        <v>289.99999999999989</v>
      </c>
      <c r="CF115">
        <v>1091.17</v>
      </c>
      <c r="CG115">
        <v>665</v>
      </c>
      <c r="CH115">
        <v>8024.98</v>
      </c>
      <c r="CI115">
        <v>1098.6199999999999</v>
      </c>
      <c r="CJ115">
        <v>-7.45</v>
      </c>
      <c r="CX115">
        <f t="shared" si="180"/>
        <v>1799.92</v>
      </c>
      <c r="CY115">
        <f t="shared" si="181"/>
        <v>1513.1171992630077</v>
      </c>
      <c r="CZ115">
        <f t="shared" si="182"/>
        <v>0.84065802883628582</v>
      </c>
      <c r="DA115">
        <f t="shared" si="183"/>
        <v>0.16086999565403176</v>
      </c>
      <c r="DB115">
        <v>6</v>
      </c>
      <c r="DC115">
        <v>0.5</v>
      </c>
      <c r="DD115" t="s">
        <v>421</v>
      </c>
      <c r="DE115">
        <v>2</v>
      </c>
      <c r="DF115">
        <v>1689018135.5</v>
      </c>
      <c r="DG115">
        <v>324.45299999999997</v>
      </c>
      <c r="DH115">
        <v>399.85300000000001</v>
      </c>
      <c r="DI115">
        <v>28.929200000000002</v>
      </c>
      <c r="DJ115">
        <v>19.488299999999999</v>
      </c>
      <c r="DK115">
        <v>323.50200000000001</v>
      </c>
      <c r="DL115">
        <v>28.651700000000002</v>
      </c>
      <c r="DM115">
        <v>499.95</v>
      </c>
      <c r="DN115">
        <v>99.150899999999993</v>
      </c>
      <c r="DO115">
        <v>9.9982799999999997E-2</v>
      </c>
      <c r="DP115">
        <v>30.733599999999999</v>
      </c>
      <c r="DQ115">
        <v>29.986899999999999</v>
      </c>
      <c r="DR115">
        <v>999.9</v>
      </c>
      <c r="DS115">
        <v>0</v>
      </c>
      <c r="DT115">
        <v>0</v>
      </c>
      <c r="DU115">
        <v>9986.25</v>
      </c>
      <c r="DV115">
        <v>0</v>
      </c>
      <c r="DW115">
        <v>595.51099999999997</v>
      </c>
      <c r="DX115">
        <v>-75.399900000000002</v>
      </c>
      <c r="DY115">
        <v>334.11900000000003</v>
      </c>
      <c r="DZ115">
        <v>407.8</v>
      </c>
      <c r="EA115">
        <v>9.4408899999999996</v>
      </c>
      <c r="EB115">
        <v>399.85300000000001</v>
      </c>
      <c r="EC115">
        <v>19.488299999999999</v>
      </c>
      <c r="ED115">
        <v>2.86836</v>
      </c>
      <c r="EE115">
        <v>1.9322900000000001</v>
      </c>
      <c r="EF115">
        <v>23.282900000000001</v>
      </c>
      <c r="EG115">
        <v>16.900099999999998</v>
      </c>
      <c r="EH115">
        <v>1799.92</v>
      </c>
      <c r="EI115">
        <v>0.97800500000000001</v>
      </c>
      <c r="EJ115">
        <v>2.1994699999999999E-2</v>
      </c>
      <c r="EK115">
        <v>0</v>
      </c>
      <c r="EL115">
        <v>751.42200000000003</v>
      </c>
      <c r="EM115">
        <v>5.0011200000000002</v>
      </c>
      <c r="EN115">
        <v>14704.5</v>
      </c>
      <c r="EO115">
        <v>17210.099999999999</v>
      </c>
      <c r="EP115">
        <v>49.061999999999998</v>
      </c>
      <c r="EQ115">
        <v>50.375</v>
      </c>
      <c r="ER115">
        <v>50.125</v>
      </c>
      <c r="ES115">
        <v>49.436999999999998</v>
      </c>
      <c r="ET115">
        <v>49.75</v>
      </c>
      <c r="EU115">
        <v>1755.44</v>
      </c>
      <c r="EV115">
        <v>39.479999999999997</v>
      </c>
      <c r="EW115">
        <v>0</v>
      </c>
      <c r="EX115">
        <v>160.20000004768369</v>
      </c>
      <c r="EY115">
        <v>0</v>
      </c>
      <c r="EZ115">
        <v>751.11927999999989</v>
      </c>
      <c r="FA115">
        <v>1.2652307787246171</v>
      </c>
      <c r="FB115">
        <v>3.9307692488721551</v>
      </c>
      <c r="FC115">
        <v>14706.335999999999</v>
      </c>
      <c r="FD115">
        <v>15</v>
      </c>
      <c r="FE115">
        <v>1689018065.5</v>
      </c>
      <c r="FF115" t="s">
        <v>925</v>
      </c>
      <c r="FG115">
        <v>1689018048.5</v>
      </c>
      <c r="FH115">
        <v>1689018065.5</v>
      </c>
      <c r="FI115">
        <v>110</v>
      </c>
      <c r="FJ115">
        <v>-4.2000000000000003E-2</v>
      </c>
      <c r="FK115">
        <v>5.0000000000000001E-3</v>
      </c>
      <c r="FL115">
        <v>1.0680000000000001</v>
      </c>
      <c r="FM115">
        <v>0.193</v>
      </c>
      <c r="FN115">
        <v>400</v>
      </c>
      <c r="FO115">
        <v>19</v>
      </c>
      <c r="FP115">
        <v>0.04</v>
      </c>
      <c r="FQ115">
        <v>7.0000000000000007E-2</v>
      </c>
      <c r="FR115">
        <v>60.246251871372621</v>
      </c>
      <c r="FS115">
        <v>0.27281086000082078</v>
      </c>
      <c r="FT115">
        <v>5.4093510555177603E-2</v>
      </c>
      <c r="FU115">
        <v>1</v>
      </c>
      <c r="FV115">
        <v>0.63999852775140875</v>
      </c>
      <c r="FW115">
        <v>-3.107407068146999E-2</v>
      </c>
      <c r="FX115">
        <v>2.5259059070782209E-3</v>
      </c>
      <c r="FY115">
        <v>1</v>
      </c>
      <c r="FZ115">
        <v>2</v>
      </c>
      <c r="GA115">
        <v>2</v>
      </c>
      <c r="GB115" t="s">
        <v>423</v>
      </c>
      <c r="GC115">
        <v>2.9233899999999999</v>
      </c>
      <c r="GD115">
        <v>2.8271600000000001</v>
      </c>
      <c r="GE115">
        <v>7.4193800000000004E-2</v>
      </c>
      <c r="GF115">
        <v>8.7931300000000004E-2</v>
      </c>
      <c r="GG115">
        <v>0.12714</v>
      </c>
      <c r="GH115">
        <v>9.6867900000000007E-2</v>
      </c>
      <c r="GI115">
        <v>30126.7</v>
      </c>
      <c r="GJ115">
        <v>24074.7</v>
      </c>
      <c r="GK115">
        <v>31317.8</v>
      </c>
      <c r="GL115">
        <v>26042</v>
      </c>
      <c r="GM115">
        <v>37476.699999999997</v>
      </c>
      <c r="GN115">
        <v>31904.9</v>
      </c>
      <c r="GO115">
        <v>46505.7</v>
      </c>
      <c r="GP115">
        <v>37864.5</v>
      </c>
      <c r="GQ115">
        <v>1.8949</v>
      </c>
      <c r="GR115">
        <v>1.6922999999999999</v>
      </c>
      <c r="GS115">
        <v>-4.3645499999999997E-2</v>
      </c>
      <c r="GT115">
        <v>0</v>
      </c>
      <c r="GU115">
        <v>30.6967</v>
      </c>
      <c r="GV115">
        <v>999.9</v>
      </c>
      <c r="GW115">
        <v>39.799999999999997</v>
      </c>
      <c r="GX115">
        <v>46.4</v>
      </c>
      <c r="GY115">
        <v>41.570799999999998</v>
      </c>
      <c r="GZ115">
        <v>62.3444</v>
      </c>
      <c r="HA115">
        <v>22.568100000000001</v>
      </c>
      <c r="HB115">
        <v>1</v>
      </c>
      <c r="HC115">
        <v>0.60542899999999999</v>
      </c>
      <c r="HD115">
        <v>1.9160900000000001</v>
      </c>
      <c r="HE115">
        <v>20.285299999999999</v>
      </c>
      <c r="HF115">
        <v>5.2228300000000001</v>
      </c>
      <c r="HG115">
        <v>12.0616</v>
      </c>
      <c r="HH115">
        <v>4.99315</v>
      </c>
      <c r="HI115">
        <v>3.2919999999999998</v>
      </c>
      <c r="HJ115">
        <v>9999</v>
      </c>
      <c r="HK115">
        <v>9999</v>
      </c>
      <c r="HL115">
        <v>9999</v>
      </c>
      <c r="HM115">
        <v>466.1</v>
      </c>
      <c r="HN115">
        <v>1.8669100000000001</v>
      </c>
      <c r="HO115">
        <v>1.8703399999999999</v>
      </c>
      <c r="HP115">
        <v>1.8730100000000001</v>
      </c>
      <c r="HQ115">
        <v>1.8738999999999999</v>
      </c>
      <c r="HR115">
        <v>1.87059</v>
      </c>
      <c r="HS115">
        <v>1.86904</v>
      </c>
      <c r="HT115">
        <v>1.8704700000000001</v>
      </c>
      <c r="HU115">
        <v>1.87347</v>
      </c>
      <c r="HV115">
        <v>0</v>
      </c>
      <c r="HW115">
        <v>0</v>
      </c>
      <c r="HX115">
        <v>0</v>
      </c>
      <c r="HY115">
        <v>0</v>
      </c>
      <c r="HZ115" t="s">
        <v>424</v>
      </c>
      <c r="IA115" t="s">
        <v>425</v>
      </c>
      <c r="IB115" t="s">
        <v>426</v>
      </c>
      <c r="IC115" t="s">
        <v>426</v>
      </c>
      <c r="ID115" t="s">
        <v>426</v>
      </c>
      <c r="IE115" t="s">
        <v>426</v>
      </c>
      <c r="IF115">
        <v>0</v>
      </c>
      <c r="IG115">
        <v>100</v>
      </c>
      <c r="IH115">
        <v>100</v>
      </c>
      <c r="II115">
        <v>0.95099999999999996</v>
      </c>
      <c r="IJ115">
        <v>0.27750000000000002</v>
      </c>
      <c r="IK115">
        <v>0.2020465284554856</v>
      </c>
      <c r="IL115">
        <v>3.042515301972944E-3</v>
      </c>
      <c r="IM115">
        <v>-2.5091471490852929E-6</v>
      </c>
      <c r="IN115">
        <v>8.1339755115576286E-10</v>
      </c>
      <c r="IO115">
        <v>0.27755677881853358</v>
      </c>
      <c r="IP115">
        <v>0</v>
      </c>
      <c r="IQ115">
        <v>0</v>
      </c>
      <c r="IR115">
        <v>0</v>
      </c>
      <c r="IS115">
        <v>3</v>
      </c>
      <c r="IT115">
        <v>2004</v>
      </c>
      <c r="IU115">
        <v>2</v>
      </c>
      <c r="IV115">
        <v>22</v>
      </c>
      <c r="IW115">
        <v>1.4</v>
      </c>
      <c r="IX115">
        <v>1.2</v>
      </c>
      <c r="IY115">
        <v>1.01318</v>
      </c>
      <c r="IZ115">
        <v>2.6110799999999998</v>
      </c>
      <c r="JA115">
        <v>1.64917</v>
      </c>
      <c r="JB115">
        <v>2.33887</v>
      </c>
      <c r="JC115">
        <v>1.5991200000000001</v>
      </c>
      <c r="JD115">
        <v>2.3156699999999999</v>
      </c>
      <c r="JE115">
        <v>48.608800000000002</v>
      </c>
      <c r="JF115">
        <v>24.113800000000001</v>
      </c>
      <c r="JG115">
        <v>18</v>
      </c>
      <c r="JH115">
        <v>509.59300000000002</v>
      </c>
      <c r="JI115">
        <v>425.01299999999998</v>
      </c>
      <c r="JJ115">
        <v>28.264099999999999</v>
      </c>
      <c r="JK115">
        <v>34.595500000000001</v>
      </c>
      <c r="JL115">
        <v>29.9999</v>
      </c>
      <c r="JM115">
        <v>34.702800000000003</v>
      </c>
      <c r="JN115">
        <v>34.704500000000003</v>
      </c>
      <c r="JO115">
        <v>20.2836</v>
      </c>
      <c r="JP115">
        <v>60.482700000000001</v>
      </c>
      <c r="JQ115">
        <v>0</v>
      </c>
      <c r="JR115">
        <v>28.2621</v>
      </c>
      <c r="JS115">
        <v>400</v>
      </c>
      <c r="JT115">
        <v>19.535299999999999</v>
      </c>
      <c r="JU115">
        <v>99.259100000000004</v>
      </c>
      <c r="JV115">
        <v>99.016499999999994</v>
      </c>
    </row>
    <row r="116" spans="1:282" x14ac:dyDescent="0.25">
      <c r="A116">
        <v>100</v>
      </c>
      <c r="B116">
        <v>1689018265</v>
      </c>
      <c r="C116">
        <v>18669.900000095371</v>
      </c>
      <c r="D116" t="s">
        <v>926</v>
      </c>
      <c r="E116" t="s">
        <v>927</v>
      </c>
      <c r="F116" t="s">
        <v>414</v>
      </c>
      <c r="G116" t="s">
        <v>415</v>
      </c>
      <c r="H116" t="s">
        <v>416</v>
      </c>
      <c r="I116" t="s">
        <v>416</v>
      </c>
      <c r="J116" t="s">
        <v>501</v>
      </c>
      <c r="K116">
        <v>1689018265</v>
      </c>
      <c r="L116">
        <f t="shared" si="138"/>
        <v>7.1559529607206707E-3</v>
      </c>
      <c r="M116">
        <f t="shared" si="139"/>
        <v>7.1559529607206711</v>
      </c>
      <c r="N116">
        <f t="shared" si="140"/>
        <v>59.506326672972207</v>
      </c>
      <c r="O116">
        <f t="shared" si="141"/>
        <v>325.87599999999998</v>
      </c>
      <c r="P116">
        <f t="shared" si="142"/>
        <v>133.68963972364287</v>
      </c>
      <c r="Q116">
        <f t="shared" si="143"/>
        <v>13.268131034861064</v>
      </c>
      <c r="R116">
        <f t="shared" si="144"/>
        <v>32.341814055705996</v>
      </c>
      <c r="S116">
        <f t="shared" si="145"/>
        <v>0.55482314537043675</v>
      </c>
      <c r="T116">
        <f t="shared" si="146"/>
        <v>2.9184563506315757</v>
      </c>
      <c r="U116">
        <f t="shared" si="147"/>
        <v>0.50219649706969871</v>
      </c>
      <c r="V116">
        <f t="shared" si="148"/>
        <v>0.31818408775291196</v>
      </c>
      <c r="W116">
        <f t="shared" si="149"/>
        <v>289.56908257768384</v>
      </c>
      <c r="X116">
        <f t="shared" si="150"/>
        <v>30.554977694083085</v>
      </c>
      <c r="Y116">
        <f t="shared" si="151"/>
        <v>29.990400000000001</v>
      </c>
      <c r="Z116">
        <f t="shared" si="152"/>
        <v>4.2581010560962103</v>
      </c>
      <c r="AA116">
        <f t="shared" si="153"/>
        <v>65.245010119988237</v>
      </c>
      <c r="AB116">
        <f t="shared" si="154"/>
        <v>2.8948799722228</v>
      </c>
      <c r="AC116">
        <f t="shared" si="155"/>
        <v>4.436936965599358</v>
      </c>
      <c r="AD116">
        <f t="shared" si="156"/>
        <v>1.3632210838734102</v>
      </c>
      <c r="AE116">
        <f t="shared" si="157"/>
        <v>-315.57752556778155</v>
      </c>
      <c r="AF116">
        <f t="shared" si="158"/>
        <v>112.98572386250663</v>
      </c>
      <c r="AG116">
        <f t="shared" si="159"/>
        <v>8.6379725962061507</v>
      </c>
      <c r="AH116">
        <f t="shared" si="160"/>
        <v>95.615253468615094</v>
      </c>
      <c r="AI116">
        <v>0</v>
      </c>
      <c r="AJ116">
        <v>0</v>
      </c>
      <c r="AK116">
        <f t="shared" si="161"/>
        <v>1</v>
      </c>
      <c r="AL116">
        <f t="shared" si="162"/>
        <v>0</v>
      </c>
      <c r="AM116">
        <f t="shared" si="163"/>
        <v>51897.111785768466</v>
      </c>
      <c r="AN116" t="s">
        <v>418</v>
      </c>
      <c r="AO116">
        <v>10021</v>
      </c>
      <c r="AP116">
        <v>177.53923076923081</v>
      </c>
      <c r="AQ116">
        <v>655.56</v>
      </c>
      <c r="AR116">
        <f t="shared" si="164"/>
        <v>0.72917928066198234</v>
      </c>
      <c r="AS116">
        <v>-3.1115002560329539</v>
      </c>
      <c r="AT116" t="s">
        <v>928</v>
      </c>
      <c r="AU116">
        <v>8036.45</v>
      </c>
      <c r="AV116">
        <v>748.1520384615385</v>
      </c>
      <c r="AW116">
        <v>1271.711148775785</v>
      </c>
      <c r="AX116">
        <f t="shared" si="165"/>
        <v>0.41169656397071897</v>
      </c>
      <c r="AY116">
        <v>0.5</v>
      </c>
      <c r="AZ116">
        <f t="shared" si="166"/>
        <v>1513.2011992630487</v>
      </c>
      <c r="BA116">
        <f t="shared" si="167"/>
        <v>59.506326672972207</v>
      </c>
      <c r="BB116">
        <f t="shared" si="168"/>
        <v>311.4898671664842</v>
      </c>
      <c r="BC116">
        <f t="shared" si="169"/>
        <v>4.1381031788436967E-2</v>
      </c>
      <c r="BD116">
        <f t="shared" si="170"/>
        <v>-0.48450558082228345</v>
      </c>
      <c r="BE116">
        <f t="shared" si="171"/>
        <v>204.35327158379062</v>
      </c>
      <c r="BF116" t="s">
        <v>929</v>
      </c>
      <c r="BG116">
        <v>593.45000000000005</v>
      </c>
      <c r="BH116">
        <f t="shared" si="172"/>
        <v>593.45000000000005</v>
      </c>
      <c r="BI116">
        <f t="shared" si="173"/>
        <v>0.53334528790497293</v>
      </c>
      <c r="BJ116">
        <f t="shared" si="174"/>
        <v>0.77191375513581295</v>
      </c>
      <c r="BK116">
        <f t="shared" si="175"/>
        <v>-9.920321184604509</v>
      </c>
      <c r="BL116">
        <f t="shared" si="176"/>
        <v>0.47849803280283992</v>
      </c>
      <c r="BM116">
        <f t="shared" si="177"/>
        <v>-1.2889631338974983</v>
      </c>
      <c r="BN116">
        <f t="shared" si="178"/>
        <v>0.61229829558086291</v>
      </c>
      <c r="BO116">
        <f t="shared" si="179"/>
        <v>0.38770170441913709</v>
      </c>
      <c r="BP116">
        <v>22665</v>
      </c>
      <c r="BQ116">
        <v>290.00000000000011</v>
      </c>
      <c r="BR116">
        <v>1090.98</v>
      </c>
      <c r="BS116">
        <v>275</v>
      </c>
      <c r="BT116">
        <v>8036.45</v>
      </c>
      <c r="BU116">
        <v>1093.97</v>
      </c>
      <c r="BV116">
        <v>-2.99</v>
      </c>
      <c r="BW116">
        <v>300.00000000000011</v>
      </c>
      <c r="BX116">
        <v>19.399999999999999</v>
      </c>
      <c r="BY116">
        <v>1271.711148775785</v>
      </c>
      <c r="BZ116">
        <v>4.8514007359230522</v>
      </c>
      <c r="CA116">
        <v>-142.84411271773931</v>
      </c>
      <c r="CB116">
        <v>3.5811097657771418</v>
      </c>
      <c r="CC116">
        <v>0.98270612683838332</v>
      </c>
      <c r="CD116">
        <v>-4.1504209121245791E-3</v>
      </c>
      <c r="CE116">
        <v>289.99999999999989</v>
      </c>
      <c r="CF116">
        <v>1087.54</v>
      </c>
      <c r="CG116">
        <v>655</v>
      </c>
      <c r="CH116">
        <v>8025.71</v>
      </c>
      <c r="CI116">
        <v>1093.73</v>
      </c>
      <c r="CJ116">
        <v>-6.19</v>
      </c>
      <c r="CX116">
        <f t="shared" si="180"/>
        <v>1800.02</v>
      </c>
      <c r="CY116">
        <f t="shared" si="181"/>
        <v>1513.2011992630487</v>
      </c>
      <c r="CZ116">
        <f t="shared" si="182"/>
        <v>0.84065799227955729</v>
      </c>
      <c r="DA116">
        <f t="shared" si="183"/>
        <v>0.16086992509954548</v>
      </c>
      <c r="DB116">
        <v>6</v>
      </c>
      <c r="DC116">
        <v>0.5</v>
      </c>
      <c r="DD116" t="s">
        <v>421</v>
      </c>
      <c r="DE116">
        <v>2</v>
      </c>
      <c r="DF116">
        <v>1689018265</v>
      </c>
      <c r="DG116">
        <v>325.87599999999998</v>
      </c>
      <c r="DH116">
        <v>400.07600000000002</v>
      </c>
      <c r="DI116">
        <v>29.168800000000001</v>
      </c>
      <c r="DJ116">
        <v>20.832799999999999</v>
      </c>
      <c r="DK116">
        <v>324.92200000000003</v>
      </c>
      <c r="DL116">
        <v>28.898800000000001</v>
      </c>
      <c r="DM116">
        <v>500.04</v>
      </c>
      <c r="DN116">
        <v>99.145899999999997</v>
      </c>
      <c r="DO116">
        <v>9.9868499999999999E-2</v>
      </c>
      <c r="DP116">
        <v>30.708500000000001</v>
      </c>
      <c r="DQ116">
        <v>29.990400000000001</v>
      </c>
      <c r="DR116">
        <v>999.9</v>
      </c>
      <c r="DS116">
        <v>0</v>
      </c>
      <c r="DT116">
        <v>0</v>
      </c>
      <c r="DU116">
        <v>10022.5</v>
      </c>
      <c r="DV116">
        <v>0</v>
      </c>
      <c r="DW116">
        <v>567.31100000000004</v>
      </c>
      <c r="DX116">
        <v>-74.1999</v>
      </c>
      <c r="DY116">
        <v>335.66699999999997</v>
      </c>
      <c r="DZ116">
        <v>408.58800000000002</v>
      </c>
      <c r="EA116">
        <v>8.3360000000000003</v>
      </c>
      <c r="EB116">
        <v>400.07600000000002</v>
      </c>
      <c r="EC116">
        <v>20.832799999999999</v>
      </c>
      <c r="ED116">
        <v>2.8919700000000002</v>
      </c>
      <c r="EE116">
        <v>2.06549</v>
      </c>
      <c r="EF116">
        <v>23.418700000000001</v>
      </c>
      <c r="EG116">
        <v>17.955500000000001</v>
      </c>
      <c r="EH116">
        <v>1800.02</v>
      </c>
      <c r="EI116">
        <v>0.97800500000000001</v>
      </c>
      <c r="EJ116">
        <v>2.1994699999999999E-2</v>
      </c>
      <c r="EK116">
        <v>0</v>
      </c>
      <c r="EL116">
        <v>748.32100000000003</v>
      </c>
      <c r="EM116">
        <v>5.0011200000000002</v>
      </c>
      <c r="EN116">
        <v>14636</v>
      </c>
      <c r="EO116">
        <v>17211.099999999999</v>
      </c>
      <c r="EP116">
        <v>48.75</v>
      </c>
      <c r="EQ116">
        <v>49.875</v>
      </c>
      <c r="ER116">
        <v>49.936999999999998</v>
      </c>
      <c r="ES116">
        <v>48.936999999999998</v>
      </c>
      <c r="ET116">
        <v>49.436999999999998</v>
      </c>
      <c r="EU116">
        <v>1755.54</v>
      </c>
      <c r="EV116">
        <v>39.479999999999997</v>
      </c>
      <c r="EW116">
        <v>0</v>
      </c>
      <c r="EX116">
        <v>127.80000019073491</v>
      </c>
      <c r="EY116">
        <v>0</v>
      </c>
      <c r="EZ116">
        <v>748.1520384615385</v>
      </c>
      <c r="FA116">
        <v>-1.571794882705853</v>
      </c>
      <c r="FB116">
        <v>-26.37606829621356</v>
      </c>
      <c r="FC116">
        <v>14638.303846153851</v>
      </c>
      <c r="FD116">
        <v>15</v>
      </c>
      <c r="FE116">
        <v>1689018210</v>
      </c>
      <c r="FF116" t="s">
        <v>930</v>
      </c>
      <c r="FG116">
        <v>1689018203</v>
      </c>
      <c r="FH116">
        <v>1689018210</v>
      </c>
      <c r="FI116">
        <v>111</v>
      </c>
      <c r="FJ116">
        <v>0</v>
      </c>
      <c r="FK116">
        <v>-7.0000000000000001E-3</v>
      </c>
      <c r="FL116">
        <v>1.0680000000000001</v>
      </c>
      <c r="FM116">
        <v>0.21</v>
      </c>
      <c r="FN116">
        <v>400</v>
      </c>
      <c r="FO116">
        <v>20</v>
      </c>
      <c r="FP116">
        <v>0.02</v>
      </c>
      <c r="FQ116">
        <v>0.02</v>
      </c>
      <c r="FR116">
        <v>59.488705103417793</v>
      </c>
      <c r="FS116">
        <v>0.6190654699815179</v>
      </c>
      <c r="FT116">
        <v>9.6184955365100411E-2</v>
      </c>
      <c r="FU116">
        <v>1</v>
      </c>
      <c r="FV116">
        <v>0.55040904028066151</v>
      </c>
      <c r="FW116">
        <v>-3.964509889019719E-2</v>
      </c>
      <c r="FX116">
        <v>6.954880058734788E-3</v>
      </c>
      <c r="FY116">
        <v>1</v>
      </c>
      <c r="FZ116">
        <v>2</v>
      </c>
      <c r="GA116">
        <v>2</v>
      </c>
      <c r="GB116" t="s">
        <v>423</v>
      </c>
      <c r="GC116">
        <v>2.92388</v>
      </c>
      <c r="GD116">
        <v>2.8273600000000001</v>
      </c>
      <c r="GE116">
        <v>7.4488299999999993E-2</v>
      </c>
      <c r="GF116">
        <v>8.8011599999999995E-2</v>
      </c>
      <c r="GG116">
        <v>0.12794</v>
      </c>
      <c r="GH116">
        <v>0.101609</v>
      </c>
      <c r="GI116">
        <v>30132.3</v>
      </c>
      <c r="GJ116">
        <v>24081.200000000001</v>
      </c>
      <c r="GK116">
        <v>31332.9</v>
      </c>
      <c r="GL116">
        <v>26050.3</v>
      </c>
      <c r="GM116">
        <v>37460.6</v>
      </c>
      <c r="GN116">
        <v>31747.5</v>
      </c>
      <c r="GO116">
        <v>46529.2</v>
      </c>
      <c r="GP116">
        <v>37876.800000000003</v>
      </c>
      <c r="GQ116">
        <v>1.8976500000000001</v>
      </c>
      <c r="GR116">
        <v>1.6982699999999999</v>
      </c>
      <c r="GS116">
        <v>-4.1350700000000002E-3</v>
      </c>
      <c r="GT116">
        <v>0</v>
      </c>
      <c r="GU116">
        <v>30.057700000000001</v>
      </c>
      <c r="GV116">
        <v>999.9</v>
      </c>
      <c r="GW116">
        <v>39.4</v>
      </c>
      <c r="GX116">
        <v>46.3</v>
      </c>
      <c r="GY116">
        <v>40.945599999999999</v>
      </c>
      <c r="GZ116">
        <v>62.064399999999999</v>
      </c>
      <c r="HA116">
        <v>22.2516</v>
      </c>
      <c r="HB116">
        <v>1</v>
      </c>
      <c r="HC116">
        <v>0.58378600000000003</v>
      </c>
      <c r="HD116">
        <v>1.77519</v>
      </c>
      <c r="HE116">
        <v>20.287400000000002</v>
      </c>
      <c r="HF116">
        <v>5.2234299999999996</v>
      </c>
      <c r="HG116">
        <v>12.0586</v>
      </c>
      <c r="HH116">
        <v>4.9928999999999997</v>
      </c>
      <c r="HI116">
        <v>3.2919999999999998</v>
      </c>
      <c r="HJ116">
        <v>9999</v>
      </c>
      <c r="HK116">
        <v>9999</v>
      </c>
      <c r="HL116">
        <v>9999</v>
      </c>
      <c r="HM116">
        <v>466.2</v>
      </c>
      <c r="HN116">
        <v>1.8669100000000001</v>
      </c>
      <c r="HO116">
        <v>1.87032</v>
      </c>
      <c r="HP116">
        <v>1.8730100000000001</v>
      </c>
      <c r="HQ116">
        <v>1.87388</v>
      </c>
      <c r="HR116">
        <v>1.87059</v>
      </c>
      <c r="HS116">
        <v>1.86903</v>
      </c>
      <c r="HT116">
        <v>1.87046</v>
      </c>
      <c r="HU116">
        <v>1.8734599999999999</v>
      </c>
      <c r="HV116">
        <v>0</v>
      </c>
      <c r="HW116">
        <v>0</v>
      </c>
      <c r="HX116">
        <v>0</v>
      </c>
      <c r="HY116">
        <v>0</v>
      </c>
      <c r="HZ116" t="s">
        <v>424</v>
      </c>
      <c r="IA116" t="s">
        <v>425</v>
      </c>
      <c r="IB116" t="s">
        <v>426</v>
      </c>
      <c r="IC116" t="s">
        <v>426</v>
      </c>
      <c r="ID116" t="s">
        <v>426</v>
      </c>
      <c r="IE116" t="s">
        <v>426</v>
      </c>
      <c r="IF116">
        <v>0</v>
      </c>
      <c r="IG116">
        <v>100</v>
      </c>
      <c r="IH116">
        <v>100</v>
      </c>
      <c r="II116">
        <v>0.95399999999999996</v>
      </c>
      <c r="IJ116">
        <v>0.27</v>
      </c>
      <c r="IK116">
        <v>0.20229262450823299</v>
      </c>
      <c r="IL116">
        <v>3.042515301972944E-3</v>
      </c>
      <c r="IM116">
        <v>-2.5091471490852929E-6</v>
      </c>
      <c r="IN116">
        <v>8.1339755115576286E-10</v>
      </c>
      <c r="IO116">
        <v>0.27004959327717448</v>
      </c>
      <c r="IP116">
        <v>0</v>
      </c>
      <c r="IQ116">
        <v>0</v>
      </c>
      <c r="IR116">
        <v>0</v>
      </c>
      <c r="IS116">
        <v>3</v>
      </c>
      <c r="IT116">
        <v>2004</v>
      </c>
      <c r="IU116">
        <v>2</v>
      </c>
      <c r="IV116">
        <v>22</v>
      </c>
      <c r="IW116">
        <v>1</v>
      </c>
      <c r="IX116">
        <v>0.9</v>
      </c>
      <c r="IY116">
        <v>1.0144</v>
      </c>
      <c r="IZ116">
        <v>2.6171899999999999</v>
      </c>
      <c r="JA116">
        <v>1.64917</v>
      </c>
      <c r="JB116">
        <v>2.33887</v>
      </c>
      <c r="JC116">
        <v>1.5991200000000001</v>
      </c>
      <c r="JD116">
        <v>2.2705099999999998</v>
      </c>
      <c r="JE116">
        <v>48.331600000000002</v>
      </c>
      <c r="JF116">
        <v>24.113800000000001</v>
      </c>
      <c r="JG116">
        <v>18</v>
      </c>
      <c r="JH116">
        <v>510.161</v>
      </c>
      <c r="JI116">
        <v>427.74799999999999</v>
      </c>
      <c r="JJ116">
        <v>28.180099999999999</v>
      </c>
      <c r="JK116">
        <v>34.3688</v>
      </c>
      <c r="JL116">
        <v>29.998899999999999</v>
      </c>
      <c r="JM116">
        <v>34.536799999999999</v>
      </c>
      <c r="JN116">
        <v>34.544400000000003</v>
      </c>
      <c r="JO116">
        <v>20.320699999999999</v>
      </c>
      <c r="JP116">
        <v>58.784700000000001</v>
      </c>
      <c r="JQ116">
        <v>0</v>
      </c>
      <c r="JR116">
        <v>28.1953</v>
      </c>
      <c r="JS116">
        <v>400</v>
      </c>
      <c r="JT116">
        <v>20.658899999999999</v>
      </c>
      <c r="JU116">
        <v>99.308400000000006</v>
      </c>
      <c r="JV116">
        <v>99.048500000000004</v>
      </c>
    </row>
    <row r="117" spans="1:282" x14ac:dyDescent="0.25">
      <c r="A117">
        <v>101</v>
      </c>
      <c r="B117">
        <v>1689018404</v>
      </c>
      <c r="C117">
        <v>18808.900000095371</v>
      </c>
      <c r="D117" t="s">
        <v>931</v>
      </c>
      <c r="E117" t="s">
        <v>932</v>
      </c>
      <c r="F117" t="s">
        <v>414</v>
      </c>
      <c r="G117" t="s">
        <v>415</v>
      </c>
      <c r="H117" t="s">
        <v>416</v>
      </c>
      <c r="I117" t="s">
        <v>416</v>
      </c>
      <c r="J117" t="s">
        <v>501</v>
      </c>
      <c r="K117">
        <v>1689018404</v>
      </c>
      <c r="L117">
        <f t="shared" si="138"/>
        <v>6.5988464034930621E-3</v>
      </c>
      <c r="M117">
        <f t="shared" si="139"/>
        <v>6.5988464034930621</v>
      </c>
      <c r="N117">
        <f t="shared" si="140"/>
        <v>62.974657136378227</v>
      </c>
      <c r="O117">
        <f t="shared" si="141"/>
        <v>421.23599999999999</v>
      </c>
      <c r="P117">
        <f t="shared" si="142"/>
        <v>197.74623840881753</v>
      </c>
      <c r="Q117">
        <f t="shared" si="143"/>
        <v>19.623536025171735</v>
      </c>
      <c r="R117">
        <f t="shared" si="144"/>
        <v>41.801755055435997</v>
      </c>
      <c r="S117">
        <f t="shared" si="145"/>
        <v>0.50342858227941278</v>
      </c>
      <c r="T117">
        <f t="shared" si="146"/>
        <v>2.91827800539681</v>
      </c>
      <c r="U117">
        <f t="shared" si="147"/>
        <v>0.45968674933926523</v>
      </c>
      <c r="V117">
        <f t="shared" si="148"/>
        <v>0.29091686810326994</v>
      </c>
      <c r="W117">
        <f t="shared" si="149"/>
        <v>289.54514257756534</v>
      </c>
      <c r="X117">
        <f t="shared" si="150"/>
        <v>30.623457459835215</v>
      </c>
      <c r="Y117">
        <f t="shared" si="151"/>
        <v>29.977799999999998</v>
      </c>
      <c r="Z117">
        <f t="shared" si="152"/>
        <v>4.2550200784528753</v>
      </c>
      <c r="AA117">
        <f t="shared" si="153"/>
        <v>65.232253512159488</v>
      </c>
      <c r="AB117">
        <f t="shared" si="154"/>
        <v>2.8817028574939001</v>
      </c>
      <c r="AC117">
        <f t="shared" si="155"/>
        <v>4.4176043327350971</v>
      </c>
      <c r="AD117">
        <f t="shared" si="156"/>
        <v>1.3733172209589752</v>
      </c>
      <c r="AE117">
        <f t="shared" si="157"/>
        <v>-291.00912639404402</v>
      </c>
      <c r="AF117">
        <f t="shared" si="158"/>
        <v>102.94115236397568</v>
      </c>
      <c r="AG117">
        <f t="shared" si="159"/>
        <v>7.8670619697771711</v>
      </c>
      <c r="AH117">
        <f t="shared" si="160"/>
        <v>109.34423051727418</v>
      </c>
      <c r="AI117">
        <v>0</v>
      </c>
      <c r="AJ117">
        <v>0</v>
      </c>
      <c r="AK117">
        <f t="shared" si="161"/>
        <v>1</v>
      </c>
      <c r="AL117">
        <f t="shared" si="162"/>
        <v>0</v>
      </c>
      <c r="AM117">
        <f t="shared" si="163"/>
        <v>51904.882059803604</v>
      </c>
      <c r="AN117" t="s">
        <v>418</v>
      </c>
      <c r="AO117">
        <v>10021</v>
      </c>
      <c r="AP117">
        <v>177.53923076923081</v>
      </c>
      <c r="AQ117">
        <v>655.56</v>
      </c>
      <c r="AR117">
        <f t="shared" si="164"/>
        <v>0.72917928066198234</v>
      </c>
      <c r="AS117">
        <v>-3.1115002560329539</v>
      </c>
      <c r="AT117" t="s">
        <v>933</v>
      </c>
      <c r="AU117">
        <v>8037.66</v>
      </c>
      <c r="AV117">
        <v>763.58919230769243</v>
      </c>
      <c r="AW117">
        <v>1312.9480043491119</v>
      </c>
      <c r="AX117">
        <f t="shared" si="165"/>
        <v>0.41841627408067972</v>
      </c>
      <c r="AY117">
        <v>0.5</v>
      </c>
      <c r="AZ117">
        <f t="shared" si="166"/>
        <v>1513.0751992629871</v>
      </c>
      <c r="BA117">
        <f t="shared" si="167"/>
        <v>62.974657136378227</v>
      </c>
      <c r="BB117">
        <f t="shared" si="168"/>
        <v>316.54764363975056</v>
      </c>
      <c r="BC117">
        <f t="shared" si="169"/>
        <v>4.3676717075662522E-2</v>
      </c>
      <c r="BD117">
        <f t="shared" si="170"/>
        <v>-0.50069614498938908</v>
      </c>
      <c r="BE117">
        <f t="shared" si="171"/>
        <v>205.38986906348407</v>
      </c>
      <c r="BF117" t="s">
        <v>934</v>
      </c>
      <c r="BG117">
        <v>597.21</v>
      </c>
      <c r="BH117">
        <f t="shared" si="172"/>
        <v>597.21</v>
      </c>
      <c r="BI117">
        <f t="shared" si="173"/>
        <v>0.54513811817242197</v>
      </c>
      <c r="BJ117">
        <f t="shared" si="174"/>
        <v>0.76754176626544135</v>
      </c>
      <c r="BK117">
        <f t="shared" si="175"/>
        <v>-11.266289706068774</v>
      </c>
      <c r="BL117">
        <f t="shared" si="176"/>
        <v>0.4838423172557681</v>
      </c>
      <c r="BM117">
        <f t="shared" si="177"/>
        <v>-1.3752289579529788</v>
      </c>
      <c r="BN117">
        <f t="shared" si="178"/>
        <v>0.6003013437710838</v>
      </c>
      <c r="BO117">
        <f t="shared" si="179"/>
        <v>0.3996986562289162</v>
      </c>
      <c r="BP117">
        <v>22667</v>
      </c>
      <c r="BQ117">
        <v>290.00000000000011</v>
      </c>
      <c r="BR117">
        <v>1140.07</v>
      </c>
      <c r="BS117">
        <v>275</v>
      </c>
      <c r="BT117">
        <v>8037.66</v>
      </c>
      <c r="BU117">
        <v>1142.76</v>
      </c>
      <c r="BV117">
        <v>-2.69</v>
      </c>
      <c r="BW117">
        <v>300.00000000000011</v>
      </c>
      <c r="BX117">
        <v>19.399999999999999</v>
      </c>
      <c r="BY117">
        <v>1312.9480043491119</v>
      </c>
      <c r="BZ117">
        <v>4.2912551660429203</v>
      </c>
      <c r="CA117">
        <v>-136.79109055050839</v>
      </c>
      <c r="CB117">
        <v>3.168123382972015</v>
      </c>
      <c r="CC117">
        <v>0.98520304588250607</v>
      </c>
      <c r="CD117">
        <v>-4.1509486095661916E-3</v>
      </c>
      <c r="CE117">
        <v>289.99999999999989</v>
      </c>
      <c r="CF117">
        <v>1140.05</v>
      </c>
      <c r="CG117">
        <v>635</v>
      </c>
      <c r="CH117">
        <v>8027.62</v>
      </c>
      <c r="CI117">
        <v>1142.55</v>
      </c>
      <c r="CJ117">
        <v>-2.5</v>
      </c>
      <c r="CX117">
        <f t="shared" si="180"/>
        <v>1799.87</v>
      </c>
      <c r="CY117">
        <f t="shared" si="181"/>
        <v>1513.0751992629871</v>
      </c>
      <c r="CZ117">
        <f t="shared" si="182"/>
        <v>0.84065804711617353</v>
      </c>
      <c r="DA117">
        <f t="shared" si="183"/>
        <v>0.1608700309342149</v>
      </c>
      <c r="DB117">
        <v>6</v>
      </c>
      <c r="DC117">
        <v>0.5</v>
      </c>
      <c r="DD117" t="s">
        <v>421</v>
      </c>
      <c r="DE117">
        <v>2</v>
      </c>
      <c r="DF117">
        <v>1689018404</v>
      </c>
      <c r="DG117">
        <v>421.23599999999999</v>
      </c>
      <c r="DH117">
        <v>500.12099999999998</v>
      </c>
      <c r="DI117">
        <v>29.038900000000002</v>
      </c>
      <c r="DJ117">
        <v>21.3522</v>
      </c>
      <c r="DK117">
        <v>420.012</v>
      </c>
      <c r="DL117">
        <v>28.7807</v>
      </c>
      <c r="DM117">
        <v>500.12799999999999</v>
      </c>
      <c r="DN117">
        <v>99.135800000000003</v>
      </c>
      <c r="DO117">
        <v>0.100151</v>
      </c>
      <c r="DP117">
        <v>30.632100000000001</v>
      </c>
      <c r="DQ117">
        <v>29.977799999999998</v>
      </c>
      <c r="DR117">
        <v>999.9</v>
      </c>
      <c r="DS117">
        <v>0</v>
      </c>
      <c r="DT117">
        <v>0</v>
      </c>
      <c r="DU117">
        <v>10022.5</v>
      </c>
      <c r="DV117">
        <v>0</v>
      </c>
      <c r="DW117">
        <v>826.596</v>
      </c>
      <c r="DX117">
        <v>-78.885000000000005</v>
      </c>
      <c r="DY117">
        <v>433.834</v>
      </c>
      <c r="DZ117">
        <v>511.03199999999998</v>
      </c>
      <c r="EA117">
        <v>7.6866500000000002</v>
      </c>
      <c r="EB117">
        <v>500.12099999999998</v>
      </c>
      <c r="EC117">
        <v>21.3522</v>
      </c>
      <c r="ED117">
        <v>2.87879</v>
      </c>
      <c r="EE117">
        <v>2.1167699999999998</v>
      </c>
      <c r="EF117">
        <v>23.343</v>
      </c>
      <c r="EG117">
        <v>18.3459</v>
      </c>
      <c r="EH117">
        <v>1799.87</v>
      </c>
      <c r="EI117">
        <v>0.97800200000000004</v>
      </c>
      <c r="EJ117">
        <v>2.1998299999999998E-2</v>
      </c>
      <c r="EK117">
        <v>0</v>
      </c>
      <c r="EL117">
        <v>763.51099999999997</v>
      </c>
      <c r="EM117">
        <v>5.0011200000000002</v>
      </c>
      <c r="EN117">
        <v>14998.4</v>
      </c>
      <c r="EO117">
        <v>17209.7</v>
      </c>
      <c r="EP117">
        <v>48.561999999999998</v>
      </c>
      <c r="EQ117">
        <v>49.561999999999998</v>
      </c>
      <c r="ER117">
        <v>49.561999999999998</v>
      </c>
      <c r="ES117">
        <v>48.625</v>
      </c>
      <c r="ET117">
        <v>49</v>
      </c>
      <c r="EU117">
        <v>1755.39</v>
      </c>
      <c r="EV117">
        <v>39.479999999999997</v>
      </c>
      <c r="EW117">
        <v>0</v>
      </c>
      <c r="EX117">
        <v>136.80000019073489</v>
      </c>
      <c r="EY117">
        <v>0</v>
      </c>
      <c r="EZ117">
        <v>763.58919230769243</v>
      </c>
      <c r="FA117">
        <v>0.1224273472142558</v>
      </c>
      <c r="FB117">
        <v>-179.5213674383848</v>
      </c>
      <c r="FC117">
        <v>15012.215384615391</v>
      </c>
      <c r="FD117">
        <v>15</v>
      </c>
      <c r="FE117">
        <v>1689018351</v>
      </c>
      <c r="FF117" t="s">
        <v>935</v>
      </c>
      <c r="FG117">
        <v>1689018351</v>
      </c>
      <c r="FH117">
        <v>1689018347.5</v>
      </c>
      <c r="FI117">
        <v>112</v>
      </c>
      <c r="FJ117">
        <v>0.126</v>
      </c>
      <c r="FK117">
        <v>-1.2E-2</v>
      </c>
      <c r="FL117">
        <v>1.3220000000000001</v>
      </c>
      <c r="FM117">
        <v>0.22600000000000001</v>
      </c>
      <c r="FN117">
        <v>500</v>
      </c>
      <c r="FO117">
        <v>21</v>
      </c>
      <c r="FP117">
        <v>7.0000000000000007E-2</v>
      </c>
      <c r="FQ117">
        <v>0.01</v>
      </c>
      <c r="FR117">
        <v>62.995555835873972</v>
      </c>
      <c r="FS117">
        <v>0.52842409897048859</v>
      </c>
      <c r="FT117">
        <v>7.7977207729235401E-2</v>
      </c>
      <c r="FU117">
        <v>1</v>
      </c>
      <c r="FV117">
        <v>0.50217792724959287</v>
      </c>
      <c r="FW117">
        <v>4.4761047784607931E-3</v>
      </c>
      <c r="FX117">
        <v>5.4621921918466794E-4</v>
      </c>
      <c r="FY117">
        <v>1</v>
      </c>
      <c r="FZ117">
        <v>2</v>
      </c>
      <c r="GA117">
        <v>2</v>
      </c>
      <c r="GB117" t="s">
        <v>423</v>
      </c>
      <c r="GC117">
        <v>2.9245199999999998</v>
      </c>
      <c r="GD117">
        <v>2.8276400000000002</v>
      </c>
      <c r="GE117">
        <v>9.1238799999999995E-2</v>
      </c>
      <c r="GF117">
        <v>0.10423</v>
      </c>
      <c r="GG117">
        <v>0.12765299999999999</v>
      </c>
      <c r="GH117">
        <v>0.103454</v>
      </c>
      <c r="GI117">
        <v>29613.3</v>
      </c>
      <c r="GJ117">
        <v>23667.599999999999</v>
      </c>
      <c r="GK117">
        <v>31359.7</v>
      </c>
      <c r="GL117">
        <v>26064.9</v>
      </c>
      <c r="GM117">
        <v>37503.599999999999</v>
      </c>
      <c r="GN117">
        <v>31699</v>
      </c>
      <c r="GO117">
        <v>46568.6</v>
      </c>
      <c r="GP117">
        <v>37897.199999999997</v>
      </c>
      <c r="GQ117">
        <v>1.90045</v>
      </c>
      <c r="GR117">
        <v>1.7069300000000001</v>
      </c>
      <c r="GS117">
        <v>8.9779500000000002E-3</v>
      </c>
      <c r="GT117">
        <v>0</v>
      </c>
      <c r="GU117">
        <v>29.831700000000001</v>
      </c>
      <c r="GV117">
        <v>999.9</v>
      </c>
      <c r="GW117">
        <v>39</v>
      </c>
      <c r="GX117">
        <v>46.1</v>
      </c>
      <c r="GY117">
        <v>40.123800000000003</v>
      </c>
      <c r="GZ117">
        <v>62.174399999999999</v>
      </c>
      <c r="HA117">
        <v>21.987200000000001</v>
      </c>
      <c r="HB117">
        <v>1</v>
      </c>
      <c r="HC117">
        <v>0.54993099999999995</v>
      </c>
      <c r="HD117">
        <v>1.5320800000000001</v>
      </c>
      <c r="HE117">
        <v>20.286899999999999</v>
      </c>
      <c r="HF117">
        <v>5.2237299999999998</v>
      </c>
      <c r="HG117">
        <v>12.06</v>
      </c>
      <c r="HH117">
        <v>4.9927999999999999</v>
      </c>
      <c r="HI117">
        <v>3.2919999999999998</v>
      </c>
      <c r="HJ117">
        <v>9999</v>
      </c>
      <c r="HK117">
        <v>9999</v>
      </c>
      <c r="HL117">
        <v>9999</v>
      </c>
      <c r="HM117">
        <v>466.2</v>
      </c>
      <c r="HN117">
        <v>1.8669</v>
      </c>
      <c r="HO117">
        <v>1.87033</v>
      </c>
      <c r="HP117">
        <v>1.8729800000000001</v>
      </c>
      <c r="HQ117">
        <v>1.87385</v>
      </c>
      <c r="HR117">
        <v>1.87059</v>
      </c>
      <c r="HS117">
        <v>1.86903</v>
      </c>
      <c r="HT117">
        <v>1.8704799999999999</v>
      </c>
      <c r="HU117">
        <v>1.8734599999999999</v>
      </c>
      <c r="HV117">
        <v>0</v>
      </c>
      <c r="HW117">
        <v>0</v>
      </c>
      <c r="HX117">
        <v>0</v>
      </c>
      <c r="HY117">
        <v>0</v>
      </c>
      <c r="HZ117" t="s">
        <v>424</v>
      </c>
      <c r="IA117" t="s">
        <v>425</v>
      </c>
      <c r="IB117" t="s">
        <v>426</v>
      </c>
      <c r="IC117" t="s">
        <v>426</v>
      </c>
      <c r="ID117" t="s">
        <v>426</v>
      </c>
      <c r="IE117" t="s">
        <v>426</v>
      </c>
      <c r="IF117">
        <v>0</v>
      </c>
      <c r="IG117">
        <v>100</v>
      </c>
      <c r="IH117">
        <v>100</v>
      </c>
      <c r="II117">
        <v>1.224</v>
      </c>
      <c r="IJ117">
        <v>0.25819999999999999</v>
      </c>
      <c r="IK117">
        <v>0.32823193670828832</v>
      </c>
      <c r="IL117">
        <v>3.042515301972944E-3</v>
      </c>
      <c r="IM117">
        <v>-2.5091471490852929E-6</v>
      </c>
      <c r="IN117">
        <v>8.1339755115576286E-10</v>
      </c>
      <c r="IO117">
        <v>0.25818768057774311</v>
      </c>
      <c r="IP117">
        <v>0</v>
      </c>
      <c r="IQ117">
        <v>0</v>
      </c>
      <c r="IR117">
        <v>0</v>
      </c>
      <c r="IS117">
        <v>3</v>
      </c>
      <c r="IT117">
        <v>2004</v>
      </c>
      <c r="IU117">
        <v>2</v>
      </c>
      <c r="IV117">
        <v>22</v>
      </c>
      <c r="IW117">
        <v>0.9</v>
      </c>
      <c r="IX117">
        <v>0.9</v>
      </c>
      <c r="IY117">
        <v>1.2219199999999999</v>
      </c>
      <c r="IZ117">
        <v>2.6232899999999999</v>
      </c>
      <c r="JA117">
        <v>1.64917</v>
      </c>
      <c r="JB117">
        <v>2.33765</v>
      </c>
      <c r="JC117">
        <v>1.5991200000000001</v>
      </c>
      <c r="JD117">
        <v>2.2326700000000002</v>
      </c>
      <c r="JE117">
        <v>47.9651</v>
      </c>
      <c r="JF117">
        <v>24.122499999999999</v>
      </c>
      <c r="JG117">
        <v>18</v>
      </c>
      <c r="JH117">
        <v>509.71300000000002</v>
      </c>
      <c r="JI117">
        <v>431.315</v>
      </c>
      <c r="JJ117">
        <v>27.516500000000001</v>
      </c>
      <c r="JK117">
        <v>34.004600000000003</v>
      </c>
      <c r="JL117">
        <v>29.9983</v>
      </c>
      <c r="JM117">
        <v>34.232199999999999</v>
      </c>
      <c r="JN117">
        <v>34.255600000000001</v>
      </c>
      <c r="JO117">
        <v>24.467400000000001</v>
      </c>
      <c r="JP117">
        <v>56.534399999999998</v>
      </c>
      <c r="JQ117">
        <v>0</v>
      </c>
      <c r="JR117">
        <v>27.912700000000001</v>
      </c>
      <c r="JS117">
        <v>500</v>
      </c>
      <c r="JT117">
        <v>21.411300000000001</v>
      </c>
      <c r="JU117">
        <v>99.392700000000005</v>
      </c>
      <c r="JV117">
        <v>99.102800000000002</v>
      </c>
    </row>
    <row r="118" spans="1:282" x14ac:dyDescent="0.25">
      <c r="A118">
        <v>102</v>
      </c>
      <c r="B118">
        <v>1689018553</v>
      </c>
      <c r="C118">
        <v>18957.900000095371</v>
      </c>
      <c r="D118" t="s">
        <v>936</v>
      </c>
      <c r="E118" t="s">
        <v>937</v>
      </c>
      <c r="F118" t="s">
        <v>414</v>
      </c>
      <c r="G118" t="s">
        <v>415</v>
      </c>
      <c r="H118" t="s">
        <v>416</v>
      </c>
      <c r="I118" t="s">
        <v>416</v>
      </c>
      <c r="J118" t="s">
        <v>501</v>
      </c>
      <c r="K118">
        <v>1689018553</v>
      </c>
      <c r="L118">
        <f t="shared" si="138"/>
        <v>6.7159699442651587E-3</v>
      </c>
      <c r="M118">
        <f t="shared" si="139"/>
        <v>6.7159699442651588</v>
      </c>
      <c r="N118">
        <f t="shared" si="140"/>
        <v>64.471975814088424</v>
      </c>
      <c r="O118">
        <f t="shared" si="141"/>
        <v>617.47799999999995</v>
      </c>
      <c r="P118">
        <f t="shared" si="142"/>
        <v>381.89243860247404</v>
      </c>
      <c r="Q118">
        <f t="shared" si="143"/>
        <v>37.895032397978298</v>
      </c>
      <c r="R118">
        <f t="shared" si="144"/>
        <v>61.272092478887984</v>
      </c>
      <c r="S118">
        <f t="shared" si="145"/>
        <v>0.49786394196372069</v>
      </c>
      <c r="T118">
        <f t="shared" si="146"/>
        <v>2.9144437729449155</v>
      </c>
      <c r="U118">
        <f t="shared" si="147"/>
        <v>0.45498860644120981</v>
      </c>
      <c r="V118">
        <f t="shared" si="148"/>
        <v>0.28791173077902132</v>
      </c>
      <c r="W118">
        <f t="shared" si="149"/>
        <v>289.54093357718136</v>
      </c>
      <c r="X118">
        <f t="shared" si="150"/>
        <v>30.341585690387014</v>
      </c>
      <c r="Y118">
        <f t="shared" si="151"/>
        <v>30.000499999999999</v>
      </c>
      <c r="Z118">
        <f t="shared" si="152"/>
        <v>4.2605721323247909</v>
      </c>
      <c r="AA118">
        <f t="shared" si="153"/>
        <v>65.410856663742933</v>
      </c>
      <c r="AB118">
        <f t="shared" si="154"/>
        <v>2.8483359383819997</v>
      </c>
      <c r="AC118">
        <f t="shared" si="155"/>
        <v>4.354530858729488</v>
      </c>
      <c r="AD118">
        <f t="shared" si="156"/>
        <v>1.4122361939427912</v>
      </c>
      <c r="AE118">
        <f t="shared" si="157"/>
        <v>-296.17427454209349</v>
      </c>
      <c r="AF118">
        <f t="shared" si="158"/>
        <v>59.754064268868781</v>
      </c>
      <c r="AG118">
        <f t="shared" si="159"/>
        <v>4.567415902963277</v>
      </c>
      <c r="AH118">
        <f t="shared" si="160"/>
        <v>57.688139206919921</v>
      </c>
      <c r="AI118">
        <v>0</v>
      </c>
      <c r="AJ118">
        <v>0</v>
      </c>
      <c r="AK118">
        <f t="shared" si="161"/>
        <v>1</v>
      </c>
      <c r="AL118">
        <f t="shared" si="162"/>
        <v>0</v>
      </c>
      <c r="AM118">
        <f t="shared" si="163"/>
        <v>51838.720636081584</v>
      </c>
      <c r="AN118" t="s">
        <v>418</v>
      </c>
      <c r="AO118">
        <v>10021</v>
      </c>
      <c r="AP118">
        <v>177.53923076923081</v>
      </c>
      <c r="AQ118">
        <v>655.56</v>
      </c>
      <c r="AR118">
        <f t="shared" si="164"/>
        <v>0.72917928066198234</v>
      </c>
      <c r="AS118">
        <v>-3.1115002560329539</v>
      </c>
      <c r="AT118" t="s">
        <v>938</v>
      </c>
      <c r="AU118">
        <v>8038.27</v>
      </c>
      <c r="AV118">
        <v>767.43884615384616</v>
      </c>
      <c r="AW118">
        <v>1340.691818589534</v>
      </c>
      <c r="AX118">
        <f t="shared" si="165"/>
        <v>0.4275799736279251</v>
      </c>
      <c r="AY118">
        <v>0.5</v>
      </c>
      <c r="AZ118">
        <f t="shared" si="166"/>
        <v>1513.050299262788</v>
      </c>
      <c r="BA118">
        <f t="shared" si="167"/>
        <v>64.471975814088424</v>
      </c>
      <c r="BB118">
        <f t="shared" si="168"/>
        <v>323.47500352825352</v>
      </c>
      <c r="BC118">
        <f t="shared" si="169"/>
        <v>4.4667038566431304E-2</v>
      </c>
      <c r="BD118">
        <f t="shared" si="170"/>
        <v>-0.51102856681136644</v>
      </c>
      <c r="BE118">
        <f t="shared" si="171"/>
        <v>206.05691523116209</v>
      </c>
      <c r="BF118" t="s">
        <v>939</v>
      </c>
      <c r="BG118">
        <v>600.95000000000005</v>
      </c>
      <c r="BH118">
        <f t="shared" si="172"/>
        <v>600.95000000000005</v>
      </c>
      <c r="BI118">
        <f t="shared" si="173"/>
        <v>0.5517612685723513</v>
      </c>
      <c r="BJ118">
        <f t="shared" si="174"/>
        <v>0.77493654952306135</v>
      </c>
      <c r="BK118">
        <f t="shared" si="175"/>
        <v>-12.545904021049905</v>
      </c>
      <c r="BL118">
        <f t="shared" si="176"/>
        <v>0.49284417060872354</v>
      </c>
      <c r="BM118">
        <f t="shared" si="177"/>
        <v>-1.4332678885313874</v>
      </c>
      <c r="BN118">
        <f t="shared" si="178"/>
        <v>0.60682114512421581</v>
      </c>
      <c r="BO118">
        <f t="shared" si="179"/>
        <v>0.39317885487578419</v>
      </c>
      <c r="BP118">
        <v>22669</v>
      </c>
      <c r="BQ118">
        <v>290.00000000000011</v>
      </c>
      <c r="BR118">
        <v>1158.9000000000001</v>
      </c>
      <c r="BS118">
        <v>295</v>
      </c>
      <c r="BT118">
        <v>8038.27</v>
      </c>
      <c r="BU118">
        <v>1161.77</v>
      </c>
      <c r="BV118">
        <v>-2.87</v>
      </c>
      <c r="BW118">
        <v>300.00000000000011</v>
      </c>
      <c r="BX118">
        <v>19.399999999999999</v>
      </c>
      <c r="BY118">
        <v>1340.691818589534</v>
      </c>
      <c r="BZ118">
        <v>3.8858281020922889</v>
      </c>
      <c r="CA118">
        <v>-143.82447498416749</v>
      </c>
      <c r="CB118">
        <v>2.8692357393578169</v>
      </c>
      <c r="CC118">
        <v>0.9889792266822155</v>
      </c>
      <c r="CD118">
        <v>-4.1516827586206943E-3</v>
      </c>
      <c r="CE118">
        <v>289.99999999999989</v>
      </c>
      <c r="CF118">
        <v>1159.71</v>
      </c>
      <c r="CG118">
        <v>685</v>
      </c>
      <c r="CH118">
        <v>8027.31</v>
      </c>
      <c r="CI118">
        <v>1161.52</v>
      </c>
      <c r="CJ118">
        <v>-1.81</v>
      </c>
      <c r="CX118">
        <f t="shared" si="180"/>
        <v>1799.84</v>
      </c>
      <c r="CY118">
        <f t="shared" si="181"/>
        <v>1513.050299262788</v>
      </c>
      <c r="CZ118">
        <f t="shared" si="182"/>
        <v>0.84065822476597263</v>
      </c>
      <c r="DA118">
        <f t="shared" si="183"/>
        <v>0.16087037379832728</v>
      </c>
      <c r="DB118">
        <v>6</v>
      </c>
      <c r="DC118">
        <v>0.5</v>
      </c>
      <c r="DD118" t="s">
        <v>421</v>
      </c>
      <c r="DE118">
        <v>2</v>
      </c>
      <c r="DF118">
        <v>1689018553</v>
      </c>
      <c r="DG118">
        <v>617.47799999999995</v>
      </c>
      <c r="DH118">
        <v>699.81200000000001</v>
      </c>
      <c r="DI118">
        <v>28.704499999999999</v>
      </c>
      <c r="DJ118">
        <v>20.877500000000001</v>
      </c>
      <c r="DK118">
        <v>616.22799999999995</v>
      </c>
      <c r="DL118">
        <v>28.4419</v>
      </c>
      <c r="DM118">
        <v>500.053</v>
      </c>
      <c r="DN118">
        <v>99.129499999999993</v>
      </c>
      <c r="DO118">
        <v>0.100096</v>
      </c>
      <c r="DP118">
        <v>30.380800000000001</v>
      </c>
      <c r="DQ118">
        <v>30.000499999999999</v>
      </c>
      <c r="DR118">
        <v>999.9</v>
      </c>
      <c r="DS118">
        <v>0</v>
      </c>
      <c r="DT118">
        <v>0</v>
      </c>
      <c r="DU118">
        <v>10001.200000000001</v>
      </c>
      <c r="DV118">
        <v>0</v>
      </c>
      <c r="DW118">
        <v>1938.17</v>
      </c>
      <c r="DX118">
        <v>-82.333799999999997</v>
      </c>
      <c r="DY118">
        <v>635.726</v>
      </c>
      <c r="DZ118">
        <v>714.73400000000004</v>
      </c>
      <c r="EA118">
        <v>7.8269500000000001</v>
      </c>
      <c r="EB118">
        <v>699.81200000000001</v>
      </c>
      <c r="EC118">
        <v>20.877500000000001</v>
      </c>
      <c r="ED118">
        <v>2.8454600000000001</v>
      </c>
      <c r="EE118">
        <v>2.0695800000000002</v>
      </c>
      <c r="EF118">
        <v>23.150200000000002</v>
      </c>
      <c r="EG118">
        <v>17.986999999999998</v>
      </c>
      <c r="EH118">
        <v>1799.84</v>
      </c>
      <c r="EI118">
        <v>0.97799800000000003</v>
      </c>
      <c r="EJ118">
        <v>2.20021E-2</v>
      </c>
      <c r="EK118">
        <v>0</v>
      </c>
      <c r="EL118">
        <v>766.97400000000005</v>
      </c>
      <c r="EM118">
        <v>5.0011200000000002</v>
      </c>
      <c r="EN118">
        <v>15480.7</v>
      </c>
      <c r="EO118">
        <v>17209.3</v>
      </c>
      <c r="EP118">
        <v>48.561999999999998</v>
      </c>
      <c r="EQ118">
        <v>50.061999999999998</v>
      </c>
      <c r="ER118">
        <v>49.561999999999998</v>
      </c>
      <c r="ES118">
        <v>49</v>
      </c>
      <c r="ET118">
        <v>49</v>
      </c>
      <c r="EU118">
        <v>1755.35</v>
      </c>
      <c r="EV118">
        <v>39.49</v>
      </c>
      <c r="EW118">
        <v>0</v>
      </c>
      <c r="EX118">
        <v>147.20000004768369</v>
      </c>
      <c r="EY118">
        <v>0</v>
      </c>
      <c r="EZ118">
        <v>767.43884615384616</v>
      </c>
      <c r="FA118">
        <v>-2.5313504368453099</v>
      </c>
      <c r="FB118">
        <v>-87.808547047336234</v>
      </c>
      <c r="FC118">
        <v>15491.823076923079</v>
      </c>
      <c r="FD118">
        <v>15</v>
      </c>
      <c r="FE118">
        <v>1689018502.5</v>
      </c>
      <c r="FF118" t="s">
        <v>940</v>
      </c>
      <c r="FG118">
        <v>1689018502.5</v>
      </c>
      <c r="FH118">
        <v>1689018495.5</v>
      </c>
      <c r="FI118">
        <v>113</v>
      </c>
      <c r="FJ118">
        <v>-0.19</v>
      </c>
      <c r="FK118">
        <v>4.0000000000000001E-3</v>
      </c>
      <c r="FL118">
        <v>1.3160000000000001</v>
      </c>
      <c r="FM118">
        <v>0.24399999999999999</v>
      </c>
      <c r="FN118">
        <v>700</v>
      </c>
      <c r="FO118">
        <v>21</v>
      </c>
      <c r="FP118">
        <v>0.09</v>
      </c>
      <c r="FQ118">
        <v>0.05</v>
      </c>
      <c r="FR118">
        <v>64.797873343883907</v>
      </c>
      <c r="FS118">
        <v>0.34610490764173862</v>
      </c>
      <c r="FT118">
        <v>9.3638576965630743E-2</v>
      </c>
      <c r="FU118">
        <v>1</v>
      </c>
      <c r="FV118">
        <v>0.50181918695645189</v>
      </c>
      <c r="FW118">
        <v>3.5755149374610037E-2</v>
      </c>
      <c r="FX118">
        <v>3.4943165536160102E-3</v>
      </c>
      <c r="FY118">
        <v>1</v>
      </c>
      <c r="FZ118">
        <v>2</v>
      </c>
      <c r="GA118">
        <v>2</v>
      </c>
      <c r="GB118" t="s">
        <v>423</v>
      </c>
      <c r="GC118">
        <v>2.9245100000000002</v>
      </c>
      <c r="GD118">
        <v>2.8273999999999999</v>
      </c>
      <c r="GE118">
        <v>0.120934</v>
      </c>
      <c r="GF118">
        <v>0.13239899999999999</v>
      </c>
      <c r="GG118">
        <v>0.12665999999999999</v>
      </c>
      <c r="GH118">
        <v>0.10185900000000001</v>
      </c>
      <c r="GI118">
        <v>28656.2</v>
      </c>
      <c r="GJ118">
        <v>22929</v>
      </c>
      <c r="GK118">
        <v>31371.1</v>
      </c>
      <c r="GL118">
        <v>26071.200000000001</v>
      </c>
      <c r="GM118">
        <v>37560.9</v>
      </c>
      <c r="GN118">
        <v>31764.2</v>
      </c>
      <c r="GO118">
        <v>46586.9</v>
      </c>
      <c r="GP118">
        <v>37907.5</v>
      </c>
      <c r="GQ118">
        <v>1.9049700000000001</v>
      </c>
      <c r="GR118">
        <v>1.7095</v>
      </c>
      <c r="GS118">
        <v>-4.0099000000000003E-2</v>
      </c>
      <c r="GT118">
        <v>0</v>
      </c>
      <c r="GU118">
        <v>30.652699999999999</v>
      </c>
      <c r="GV118">
        <v>999.9</v>
      </c>
      <c r="GW118">
        <v>39.1</v>
      </c>
      <c r="GX118">
        <v>46</v>
      </c>
      <c r="GY118">
        <v>40.022399999999998</v>
      </c>
      <c r="GZ118">
        <v>62.484499999999997</v>
      </c>
      <c r="HA118">
        <v>22.319700000000001</v>
      </c>
      <c r="HB118">
        <v>1</v>
      </c>
      <c r="HC118">
        <v>0.53442299999999998</v>
      </c>
      <c r="HD118">
        <v>2.6025700000000001</v>
      </c>
      <c r="HE118">
        <v>20.277799999999999</v>
      </c>
      <c r="HF118">
        <v>5.2237299999999998</v>
      </c>
      <c r="HG118">
        <v>12.0604</v>
      </c>
      <c r="HH118">
        <v>4.9929500000000004</v>
      </c>
      <c r="HI118">
        <v>3.2919999999999998</v>
      </c>
      <c r="HJ118">
        <v>9999</v>
      </c>
      <c r="HK118">
        <v>9999</v>
      </c>
      <c r="HL118">
        <v>9999</v>
      </c>
      <c r="HM118">
        <v>466.3</v>
      </c>
      <c r="HN118">
        <v>1.86687</v>
      </c>
      <c r="HO118">
        <v>1.8702700000000001</v>
      </c>
      <c r="HP118">
        <v>1.87293</v>
      </c>
      <c r="HQ118">
        <v>1.87385</v>
      </c>
      <c r="HR118">
        <v>1.8705799999999999</v>
      </c>
      <c r="HS118">
        <v>1.869</v>
      </c>
      <c r="HT118">
        <v>1.87043</v>
      </c>
      <c r="HU118">
        <v>1.8734200000000001</v>
      </c>
      <c r="HV118">
        <v>0</v>
      </c>
      <c r="HW118">
        <v>0</v>
      </c>
      <c r="HX118">
        <v>0</v>
      </c>
      <c r="HY118">
        <v>0</v>
      </c>
      <c r="HZ118" t="s">
        <v>424</v>
      </c>
      <c r="IA118" t="s">
        <v>425</v>
      </c>
      <c r="IB118" t="s">
        <v>426</v>
      </c>
      <c r="IC118" t="s">
        <v>426</v>
      </c>
      <c r="ID118" t="s">
        <v>426</v>
      </c>
      <c r="IE118" t="s">
        <v>426</v>
      </c>
      <c r="IF118">
        <v>0</v>
      </c>
      <c r="IG118">
        <v>100</v>
      </c>
      <c r="IH118">
        <v>100</v>
      </c>
      <c r="II118">
        <v>1.25</v>
      </c>
      <c r="IJ118">
        <v>0.2626</v>
      </c>
      <c r="IK118">
        <v>0.13784828915055439</v>
      </c>
      <c r="IL118">
        <v>3.042515301972944E-3</v>
      </c>
      <c r="IM118">
        <v>-2.5091471490852929E-6</v>
      </c>
      <c r="IN118">
        <v>8.1339755115576286E-10</v>
      </c>
      <c r="IO118">
        <v>0.26263367920341418</v>
      </c>
      <c r="IP118">
        <v>0</v>
      </c>
      <c r="IQ118">
        <v>0</v>
      </c>
      <c r="IR118">
        <v>0</v>
      </c>
      <c r="IS118">
        <v>3</v>
      </c>
      <c r="IT118">
        <v>2004</v>
      </c>
      <c r="IU118">
        <v>2</v>
      </c>
      <c r="IV118">
        <v>22</v>
      </c>
      <c r="IW118">
        <v>0.8</v>
      </c>
      <c r="IX118">
        <v>1</v>
      </c>
      <c r="IY118">
        <v>1.6149899999999999</v>
      </c>
      <c r="IZ118">
        <v>2.6135299999999999</v>
      </c>
      <c r="JA118">
        <v>1.64917</v>
      </c>
      <c r="JB118">
        <v>2.33887</v>
      </c>
      <c r="JC118">
        <v>1.6003400000000001</v>
      </c>
      <c r="JD118">
        <v>2.2912599999999999</v>
      </c>
      <c r="JE118">
        <v>47.934699999999999</v>
      </c>
      <c r="JF118">
        <v>24.113800000000001</v>
      </c>
      <c r="JG118">
        <v>18</v>
      </c>
      <c r="JH118">
        <v>511.18</v>
      </c>
      <c r="JI118">
        <v>431.64400000000001</v>
      </c>
      <c r="JJ118">
        <v>27.262499999999999</v>
      </c>
      <c r="JK118">
        <v>33.841700000000003</v>
      </c>
      <c r="JL118">
        <v>30.001200000000001</v>
      </c>
      <c r="JM118">
        <v>34.033099999999997</v>
      </c>
      <c r="JN118">
        <v>34.065399999999997</v>
      </c>
      <c r="JO118">
        <v>32.323700000000002</v>
      </c>
      <c r="JP118">
        <v>57.155299999999997</v>
      </c>
      <c r="JQ118">
        <v>0</v>
      </c>
      <c r="JR118">
        <v>27.226299999999998</v>
      </c>
      <c r="JS118">
        <v>700</v>
      </c>
      <c r="JT118">
        <v>20.926600000000001</v>
      </c>
      <c r="JU118">
        <v>99.430599999999998</v>
      </c>
      <c r="JV118">
        <v>99.128399999999999</v>
      </c>
    </row>
    <row r="119" spans="1:282" x14ac:dyDescent="0.25">
      <c r="A119">
        <v>103</v>
      </c>
      <c r="B119">
        <v>1689018699.5</v>
      </c>
      <c r="C119">
        <v>19104.400000095371</v>
      </c>
      <c r="D119" t="s">
        <v>941</v>
      </c>
      <c r="E119" t="s">
        <v>942</v>
      </c>
      <c r="F119" t="s">
        <v>414</v>
      </c>
      <c r="G119" t="s">
        <v>415</v>
      </c>
      <c r="H119" t="s">
        <v>416</v>
      </c>
      <c r="I119" t="s">
        <v>416</v>
      </c>
      <c r="J119" t="s">
        <v>501</v>
      </c>
      <c r="K119">
        <v>1689018699.5</v>
      </c>
      <c r="L119">
        <f t="shared" si="138"/>
        <v>5.9615746649175662E-3</v>
      </c>
      <c r="M119">
        <f t="shared" si="139"/>
        <v>5.961574664917566</v>
      </c>
      <c r="N119">
        <f t="shared" si="140"/>
        <v>64.623970206522941</v>
      </c>
      <c r="O119">
        <f t="shared" si="141"/>
        <v>816.55899999999997</v>
      </c>
      <c r="P119">
        <f t="shared" si="142"/>
        <v>536.24349751594218</v>
      </c>
      <c r="Q119">
        <f t="shared" si="143"/>
        <v>53.214339045880521</v>
      </c>
      <c r="R119">
        <f t="shared" si="144"/>
        <v>81.031560621717986</v>
      </c>
      <c r="S119">
        <f t="shared" si="145"/>
        <v>0.41855889540841745</v>
      </c>
      <c r="T119">
        <f t="shared" si="146"/>
        <v>2.9095176662875755</v>
      </c>
      <c r="U119">
        <f t="shared" si="147"/>
        <v>0.38775519185175961</v>
      </c>
      <c r="V119">
        <f t="shared" si="148"/>
        <v>0.24492540065043941</v>
      </c>
      <c r="W119">
        <f t="shared" si="149"/>
        <v>289.56327757729201</v>
      </c>
      <c r="X119">
        <f t="shared" si="150"/>
        <v>30.327964301880943</v>
      </c>
      <c r="Y119">
        <f t="shared" si="151"/>
        <v>30.017099999999999</v>
      </c>
      <c r="Z119">
        <f t="shared" si="152"/>
        <v>4.2646362201862269</v>
      </c>
      <c r="AA119">
        <f t="shared" si="153"/>
        <v>64.92385048824319</v>
      </c>
      <c r="AB119">
        <f t="shared" si="154"/>
        <v>2.7931887836342</v>
      </c>
      <c r="AC119">
        <f t="shared" si="155"/>
        <v>4.3022537366911218</v>
      </c>
      <c r="AD119">
        <f t="shared" si="156"/>
        <v>1.4714474365520269</v>
      </c>
      <c r="AE119">
        <f t="shared" si="157"/>
        <v>-262.90544272286468</v>
      </c>
      <c r="AF119">
        <f t="shared" si="158"/>
        <v>23.999261213009405</v>
      </c>
      <c r="AG119">
        <f t="shared" si="159"/>
        <v>1.8357705897706749</v>
      </c>
      <c r="AH119">
        <f t="shared" si="160"/>
        <v>52.492866657207415</v>
      </c>
      <c r="AI119">
        <v>0</v>
      </c>
      <c r="AJ119">
        <v>0</v>
      </c>
      <c r="AK119">
        <f t="shared" si="161"/>
        <v>1</v>
      </c>
      <c r="AL119">
        <f t="shared" si="162"/>
        <v>0</v>
      </c>
      <c r="AM119">
        <f t="shared" si="163"/>
        <v>51734.836651538026</v>
      </c>
      <c r="AN119" t="s">
        <v>418</v>
      </c>
      <c r="AO119">
        <v>10021</v>
      </c>
      <c r="AP119">
        <v>177.53923076923081</v>
      </c>
      <c r="AQ119">
        <v>655.56</v>
      </c>
      <c r="AR119">
        <f t="shared" si="164"/>
        <v>0.72917928066198234</v>
      </c>
      <c r="AS119">
        <v>-3.1115002560329539</v>
      </c>
      <c r="AT119" t="s">
        <v>943</v>
      </c>
      <c r="AU119">
        <v>8038.75</v>
      </c>
      <c r="AV119">
        <v>764.13831999999991</v>
      </c>
      <c r="AW119">
        <v>1343.0545921813591</v>
      </c>
      <c r="AX119">
        <f t="shared" si="165"/>
        <v>0.43104448289112085</v>
      </c>
      <c r="AY119">
        <v>0.5</v>
      </c>
      <c r="AZ119">
        <f t="shared" si="166"/>
        <v>1513.1678992628456</v>
      </c>
      <c r="BA119">
        <f t="shared" si="167"/>
        <v>64.623970206522941</v>
      </c>
      <c r="BB119">
        <f t="shared" si="168"/>
        <v>326.12133733259844</v>
      </c>
      <c r="BC119">
        <f t="shared" si="169"/>
        <v>4.4764014948740244E-2</v>
      </c>
      <c r="BD119">
        <f t="shared" si="170"/>
        <v>-0.5118887915529523</v>
      </c>
      <c r="BE119">
        <f t="shared" si="171"/>
        <v>206.1126455226416</v>
      </c>
      <c r="BF119" t="s">
        <v>944</v>
      </c>
      <c r="BG119">
        <v>599.55999999999995</v>
      </c>
      <c r="BH119">
        <f t="shared" si="172"/>
        <v>599.55999999999995</v>
      </c>
      <c r="BI119">
        <f t="shared" si="173"/>
        <v>0.55358478836946756</v>
      </c>
      <c r="BJ119">
        <f t="shared" si="174"/>
        <v>0.7786422097339819</v>
      </c>
      <c r="BK119">
        <f t="shared" si="175"/>
        <v>-12.2766891460957</v>
      </c>
      <c r="BL119">
        <f t="shared" si="176"/>
        <v>0.49670411163002548</v>
      </c>
      <c r="BM119">
        <f t="shared" si="177"/>
        <v>-1.4382107147513177</v>
      </c>
      <c r="BN119">
        <f t="shared" si="178"/>
        <v>0.61094007596439637</v>
      </c>
      <c r="BO119">
        <f t="shared" si="179"/>
        <v>0.38905992403560363</v>
      </c>
      <c r="BP119">
        <v>22671</v>
      </c>
      <c r="BQ119">
        <v>290.00000000000011</v>
      </c>
      <c r="BR119">
        <v>1157.51</v>
      </c>
      <c r="BS119">
        <v>265</v>
      </c>
      <c r="BT119">
        <v>8038.75</v>
      </c>
      <c r="BU119">
        <v>1160.58</v>
      </c>
      <c r="BV119">
        <v>-3.07</v>
      </c>
      <c r="BW119">
        <v>300.00000000000011</v>
      </c>
      <c r="BX119">
        <v>19.399999999999999</v>
      </c>
      <c r="BY119">
        <v>1343.0545921813591</v>
      </c>
      <c r="BZ119">
        <v>4.0734330486089103</v>
      </c>
      <c r="CA119">
        <v>-146.684983885066</v>
      </c>
      <c r="CB119">
        <v>3.007462179512983</v>
      </c>
      <c r="CC119">
        <v>0.98836664063185842</v>
      </c>
      <c r="CD119">
        <v>-4.1513690767519471E-3</v>
      </c>
      <c r="CE119">
        <v>289.99999999999989</v>
      </c>
      <c r="CF119">
        <v>1158.1400000000001</v>
      </c>
      <c r="CG119">
        <v>665</v>
      </c>
      <c r="CH119">
        <v>8027.1</v>
      </c>
      <c r="CI119">
        <v>1160.32</v>
      </c>
      <c r="CJ119">
        <v>-2.1800000000000002</v>
      </c>
      <c r="CX119">
        <f t="shared" si="180"/>
        <v>1799.98</v>
      </c>
      <c r="CY119">
        <f t="shared" si="181"/>
        <v>1513.1678992628456</v>
      </c>
      <c r="CZ119">
        <f t="shared" si="182"/>
        <v>0.84065817357017614</v>
      </c>
      <c r="DA119">
        <f t="shared" si="183"/>
        <v>0.1608702749904399</v>
      </c>
      <c r="DB119">
        <v>6</v>
      </c>
      <c r="DC119">
        <v>0.5</v>
      </c>
      <c r="DD119" t="s">
        <v>421</v>
      </c>
      <c r="DE119">
        <v>2</v>
      </c>
      <c r="DF119">
        <v>1689018699.5</v>
      </c>
      <c r="DG119">
        <v>816.55899999999997</v>
      </c>
      <c r="DH119">
        <v>899.94299999999998</v>
      </c>
      <c r="DI119">
        <v>28.147099999999998</v>
      </c>
      <c r="DJ119">
        <v>21.1951</v>
      </c>
      <c r="DK119">
        <v>815.46500000000003</v>
      </c>
      <c r="DL119">
        <v>27.887599999999999</v>
      </c>
      <c r="DM119">
        <v>500.03800000000001</v>
      </c>
      <c r="DN119">
        <v>99.135099999999994</v>
      </c>
      <c r="DO119">
        <v>0.100302</v>
      </c>
      <c r="DP119">
        <v>30.170100000000001</v>
      </c>
      <c r="DQ119">
        <v>30.017099999999999</v>
      </c>
      <c r="DR119">
        <v>999.9</v>
      </c>
      <c r="DS119">
        <v>0</v>
      </c>
      <c r="DT119">
        <v>0</v>
      </c>
      <c r="DU119">
        <v>9972.5</v>
      </c>
      <c r="DV119">
        <v>0</v>
      </c>
      <c r="DW119">
        <v>1827.73</v>
      </c>
      <c r="DX119">
        <v>-83.384</v>
      </c>
      <c r="DY119">
        <v>840.20899999999995</v>
      </c>
      <c r="DZ119">
        <v>919.43100000000004</v>
      </c>
      <c r="EA119">
        <v>6.9520099999999996</v>
      </c>
      <c r="EB119">
        <v>899.94299999999998</v>
      </c>
      <c r="EC119">
        <v>21.1951</v>
      </c>
      <c r="ED119">
        <v>2.7903699999999998</v>
      </c>
      <c r="EE119">
        <v>2.1011799999999998</v>
      </c>
      <c r="EF119">
        <v>22.827200000000001</v>
      </c>
      <c r="EG119">
        <v>18.228100000000001</v>
      </c>
      <c r="EH119">
        <v>1799.98</v>
      </c>
      <c r="EI119">
        <v>0.97800200000000004</v>
      </c>
      <c r="EJ119">
        <v>2.1998299999999998E-2</v>
      </c>
      <c r="EK119">
        <v>0</v>
      </c>
      <c r="EL119">
        <v>763.95799999999997</v>
      </c>
      <c r="EM119">
        <v>5.0011200000000002</v>
      </c>
      <c r="EN119">
        <v>15390.1</v>
      </c>
      <c r="EO119">
        <v>17210.7</v>
      </c>
      <c r="EP119">
        <v>48.875</v>
      </c>
      <c r="EQ119">
        <v>50.686999999999998</v>
      </c>
      <c r="ER119">
        <v>49.936999999999998</v>
      </c>
      <c r="ES119">
        <v>49.686999999999998</v>
      </c>
      <c r="ET119">
        <v>49.625</v>
      </c>
      <c r="EU119">
        <v>1755.49</v>
      </c>
      <c r="EV119">
        <v>39.49</v>
      </c>
      <c r="EW119">
        <v>0</v>
      </c>
      <c r="EX119">
        <v>144.60000014305109</v>
      </c>
      <c r="EY119">
        <v>0</v>
      </c>
      <c r="EZ119">
        <v>764.13831999999991</v>
      </c>
      <c r="FA119">
        <v>-1.2317692370913911</v>
      </c>
      <c r="FB119">
        <v>-18.546153866339601</v>
      </c>
      <c r="FC119">
        <v>15396.48</v>
      </c>
      <c r="FD119">
        <v>15</v>
      </c>
      <c r="FE119">
        <v>1689018650</v>
      </c>
      <c r="FF119" t="s">
        <v>945</v>
      </c>
      <c r="FG119">
        <v>1689018650</v>
      </c>
      <c r="FH119">
        <v>1689018637.5</v>
      </c>
      <c r="FI119">
        <v>114</v>
      </c>
      <c r="FJ119">
        <v>-0.29699999999999999</v>
      </c>
      <c r="FK119">
        <v>-3.0000000000000001E-3</v>
      </c>
      <c r="FL119">
        <v>1.139</v>
      </c>
      <c r="FM119">
        <v>0.23699999999999999</v>
      </c>
      <c r="FN119">
        <v>900</v>
      </c>
      <c r="FO119">
        <v>21</v>
      </c>
      <c r="FP119">
        <v>0.04</v>
      </c>
      <c r="FQ119">
        <v>0.01</v>
      </c>
      <c r="FR119">
        <v>64.650329176851784</v>
      </c>
      <c r="FS119">
        <v>0.16466490319358751</v>
      </c>
      <c r="FT119">
        <v>4.8198561831768127E-2</v>
      </c>
      <c r="FU119">
        <v>1</v>
      </c>
      <c r="FV119">
        <v>0.42349389249985958</v>
      </c>
      <c r="FW119">
        <v>-4.121463013987188E-2</v>
      </c>
      <c r="FX119">
        <v>3.0597538627190161E-3</v>
      </c>
      <c r="FY119">
        <v>1</v>
      </c>
      <c r="FZ119">
        <v>2</v>
      </c>
      <c r="GA119">
        <v>2</v>
      </c>
      <c r="GB119" t="s">
        <v>423</v>
      </c>
      <c r="GC119">
        <v>2.9242599999999999</v>
      </c>
      <c r="GD119">
        <v>2.8273600000000001</v>
      </c>
      <c r="GE119">
        <v>0.14652399999999999</v>
      </c>
      <c r="GF119">
        <v>0.156746</v>
      </c>
      <c r="GG119">
        <v>0.12493</v>
      </c>
      <c r="GH119">
        <v>0.10294499999999999</v>
      </c>
      <c r="GI119">
        <v>27808.1</v>
      </c>
      <c r="GJ119">
        <v>22276.799999999999</v>
      </c>
      <c r="GK119">
        <v>31357.200000000001</v>
      </c>
      <c r="GL119">
        <v>26062.3</v>
      </c>
      <c r="GM119">
        <v>37619.300000000003</v>
      </c>
      <c r="GN119">
        <v>31714.6</v>
      </c>
      <c r="GO119">
        <v>46565.5</v>
      </c>
      <c r="GP119">
        <v>37893.5</v>
      </c>
      <c r="GQ119">
        <v>1.9027799999999999</v>
      </c>
      <c r="GR119">
        <v>1.7083699999999999</v>
      </c>
      <c r="GS119">
        <v>-6.1772800000000003E-2</v>
      </c>
      <c r="GT119">
        <v>0</v>
      </c>
      <c r="GU119">
        <v>31.0214</v>
      </c>
      <c r="GV119">
        <v>999.9</v>
      </c>
      <c r="GW119">
        <v>39.1</v>
      </c>
      <c r="GX119">
        <v>46</v>
      </c>
      <c r="GY119">
        <v>40.018099999999997</v>
      </c>
      <c r="GZ119">
        <v>62.464500000000001</v>
      </c>
      <c r="HA119">
        <v>22.163499999999999</v>
      </c>
      <c r="HB119">
        <v>1</v>
      </c>
      <c r="HC119">
        <v>0.55675600000000003</v>
      </c>
      <c r="HD119">
        <v>3.4743400000000002</v>
      </c>
      <c r="HE119">
        <v>20.261900000000001</v>
      </c>
      <c r="HF119">
        <v>5.2211800000000004</v>
      </c>
      <c r="HG119">
        <v>12.0594</v>
      </c>
      <c r="HH119">
        <v>4.9904500000000001</v>
      </c>
      <c r="HI119">
        <v>3.2913299999999999</v>
      </c>
      <c r="HJ119">
        <v>9999</v>
      </c>
      <c r="HK119">
        <v>9999</v>
      </c>
      <c r="HL119">
        <v>9999</v>
      </c>
      <c r="HM119">
        <v>466.3</v>
      </c>
      <c r="HN119">
        <v>1.8669100000000001</v>
      </c>
      <c r="HO119">
        <v>1.87033</v>
      </c>
      <c r="HP119">
        <v>1.873</v>
      </c>
      <c r="HQ119">
        <v>1.8738300000000001</v>
      </c>
      <c r="HR119">
        <v>1.87063</v>
      </c>
      <c r="HS119">
        <v>1.86904</v>
      </c>
      <c r="HT119">
        <v>1.8704400000000001</v>
      </c>
      <c r="HU119">
        <v>1.8734599999999999</v>
      </c>
      <c r="HV119">
        <v>0</v>
      </c>
      <c r="HW119">
        <v>0</v>
      </c>
      <c r="HX119">
        <v>0</v>
      </c>
      <c r="HY119">
        <v>0</v>
      </c>
      <c r="HZ119" t="s">
        <v>424</v>
      </c>
      <c r="IA119" t="s">
        <v>425</v>
      </c>
      <c r="IB119" t="s">
        <v>426</v>
      </c>
      <c r="IC119" t="s">
        <v>426</v>
      </c>
      <c r="ID119" t="s">
        <v>426</v>
      </c>
      <c r="IE119" t="s">
        <v>426</v>
      </c>
      <c r="IF119">
        <v>0</v>
      </c>
      <c r="IG119">
        <v>100</v>
      </c>
      <c r="IH119">
        <v>100</v>
      </c>
      <c r="II119">
        <v>1.0940000000000001</v>
      </c>
      <c r="IJ119">
        <v>0.25950000000000001</v>
      </c>
      <c r="IK119">
        <v>-0.1593330690851357</v>
      </c>
      <c r="IL119">
        <v>3.042515301972944E-3</v>
      </c>
      <c r="IM119">
        <v>-2.5091471490852929E-6</v>
      </c>
      <c r="IN119">
        <v>8.1339755115576286E-10</v>
      </c>
      <c r="IO119">
        <v>0.25949562804092169</v>
      </c>
      <c r="IP119">
        <v>0</v>
      </c>
      <c r="IQ119">
        <v>0</v>
      </c>
      <c r="IR119">
        <v>0</v>
      </c>
      <c r="IS119">
        <v>3</v>
      </c>
      <c r="IT119">
        <v>2004</v>
      </c>
      <c r="IU119">
        <v>2</v>
      </c>
      <c r="IV119">
        <v>22</v>
      </c>
      <c r="IW119">
        <v>0.8</v>
      </c>
      <c r="IX119">
        <v>1</v>
      </c>
      <c r="IY119">
        <v>1.9897499999999999</v>
      </c>
      <c r="IZ119">
        <v>2.6086399999999998</v>
      </c>
      <c r="JA119">
        <v>1.64917</v>
      </c>
      <c r="JB119">
        <v>2.33765</v>
      </c>
      <c r="JC119">
        <v>1.5991200000000001</v>
      </c>
      <c r="JD119">
        <v>2.2253400000000001</v>
      </c>
      <c r="JE119">
        <v>48.0869</v>
      </c>
      <c r="JF119">
        <v>24.087499999999999</v>
      </c>
      <c r="JG119">
        <v>18</v>
      </c>
      <c r="JH119">
        <v>510.31700000000001</v>
      </c>
      <c r="JI119">
        <v>431.33800000000002</v>
      </c>
      <c r="JJ119">
        <v>26.7301</v>
      </c>
      <c r="JK119">
        <v>34.024799999999999</v>
      </c>
      <c r="JL119">
        <v>30.0014</v>
      </c>
      <c r="JM119">
        <v>34.110199999999999</v>
      </c>
      <c r="JN119">
        <v>34.125300000000003</v>
      </c>
      <c r="JO119">
        <v>39.828800000000001</v>
      </c>
      <c r="JP119">
        <v>56.679499999999997</v>
      </c>
      <c r="JQ119">
        <v>0</v>
      </c>
      <c r="JR119">
        <v>26.701499999999999</v>
      </c>
      <c r="JS119">
        <v>900</v>
      </c>
      <c r="JT119">
        <v>21.2178</v>
      </c>
      <c r="JU119">
        <v>99.385599999999997</v>
      </c>
      <c r="JV119">
        <v>99.093100000000007</v>
      </c>
    </row>
    <row r="120" spans="1:282" x14ac:dyDescent="0.25">
      <c r="A120">
        <v>104</v>
      </c>
      <c r="B120">
        <v>1689018806</v>
      </c>
      <c r="C120">
        <v>19210.900000095371</v>
      </c>
      <c r="D120" t="s">
        <v>946</v>
      </c>
      <c r="E120" t="s">
        <v>947</v>
      </c>
      <c r="F120" t="s">
        <v>414</v>
      </c>
      <c r="G120" t="s">
        <v>415</v>
      </c>
      <c r="H120" t="s">
        <v>416</v>
      </c>
      <c r="I120" t="s">
        <v>416</v>
      </c>
      <c r="J120" t="s">
        <v>501</v>
      </c>
      <c r="K120">
        <v>1689018806</v>
      </c>
      <c r="L120">
        <f t="shared" si="138"/>
        <v>5.1463903721646644E-3</v>
      </c>
      <c r="M120">
        <f t="shared" si="139"/>
        <v>5.1463903721646647</v>
      </c>
      <c r="N120">
        <f t="shared" si="140"/>
        <v>63.600057318729597</v>
      </c>
      <c r="O120">
        <f t="shared" si="141"/>
        <v>1116.6300000000001</v>
      </c>
      <c r="P120">
        <f t="shared" si="142"/>
        <v>791.41724762152978</v>
      </c>
      <c r="Q120">
        <f t="shared" si="143"/>
        <v>78.534632152880121</v>
      </c>
      <c r="R120">
        <f t="shared" si="144"/>
        <v>110.80643815183501</v>
      </c>
      <c r="S120">
        <f t="shared" si="145"/>
        <v>0.35658834842400439</v>
      </c>
      <c r="T120">
        <f t="shared" si="146"/>
        <v>2.9145143600028143</v>
      </c>
      <c r="U120">
        <f t="shared" si="147"/>
        <v>0.33400268656857435</v>
      </c>
      <c r="V120">
        <f t="shared" si="148"/>
        <v>0.21066158940593399</v>
      </c>
      <c r="W120">
        <f t="shared" si="149"/>
        <v>289.54354657755738</v>
      </c>
      <c r="X120">
        <f t="shared" si="150"/>
        <v>30.430274818158953</v>
      </c>
      <c r="Y120">
        <f t="shared" si="151"/>
        <v>29.999300000000002</v>
      </c>
      <c r="Z120">
        <f t="shared" si="152"/>
        <v>4.2602784737029769</v>
      </c>
      <c r="AA120">
        <f t="shared" si="153"/>
        <v>65.156118404180717</v>
      </c>
      <c r="AB120">
        <f t="shared" si="154"/>
        <v>2.7855569389290502</v>
      </c>
      <c r="AC120">
        <f t="shared" si="155"/>
        <v>4.2752039365658652</v>
      </c>
      <c r="AD120">
        <f t="shared" si="156"/>
        <v>1.4747215347739266</v>
      </c>
      <c r="AE120">
        <f t="shared" si="157"/>
        <v>-226.9558154124617</v>
      </c>
      <c r="AF120">
        <f t="shared" si="158"/>
        <v>9.5690524589465991</v>
      </c>
      <c r="AG120">
        <f t="shared" si="159"/>
        <v>0.73024694840052784</v>
      </c>
      <c r="AH120">
        <f t="shared" si="160"/>
        <v>72.887030572442796</v>
      </c>
      <c r="AI120">
        <v>0</v>
      </c>
      <c r="AJ120">
        <v>0</v>
      </c>
      <c r="AK120">
        <f t="shared" si="161"/>
        <v>1</v>
      </c>
      <c r="AL120">
        <f t="shared" si="162"/>
        <v>0</v>
      </c>
      <c r="AM120">
        <f t="shared" si="163"/>
        <v>51895.653525726884</v>
      </c>
      <c r="AN120" t="s">
        <v>418</v>
      </c>
      <c r="AO120">
        <v>10021</v>
      </c>
      <c r="AP120">
        <v>177.53923076923081</v>
      </c>
      <c r="AQ120">
        <v>655.56</v>
      </c>
      <c r="AR120">
        <f t="shared" si="164"/>
        <v>0.72917928066198234</v>
      </c>
      <c r="AS120">
        <v>-3.1115002560329539</v>
      </c>
      <c r="AT120" t="s">
        <v>948</v>
      </c>
      <c r="AU120">
        <v>8036.86</v>
      </c>
      <c r="AV120">
        <v>761.7784230769231</v>
      </c>
      <c r="AW120">
        <v>1338.600650622785</v>
      </c>
      <c r="AX120">
        <f t="shared" si="165"/>
        <v>0.43091434870997181</v>
      </c>
      <c r="AY120">
        <v>0.5</v>
      </c>
      <c r="AZ120">
        <f t="shared" si="166"/>
        <v>1513.0667992629828</v>
      </c>
      <c r="BA120">
        <f t="shared" si="167"/>
        <v>63.600057318729597</v>
      </c>
      <c r="BB120">
        <f t="shared" si="168"/>
        <v>326.00109717954496</v>
      </c>
      <c r="BC120">
        <f t="shared" si="169"/>
        <v>4.4090292383163684E-2</v>
      </c>
      <c r="BD120">
        <f t="shared" si="170"/>
        <v>-0.51026469343564107</v>
      </c>
      <c r="BE120">
        <f t="shared" si="171"/>
        <v>206.00745239076443</v>
      </c>
      <c r="BF120" t="s">
        <v>949</v>
      </c>
      <c r="BG120">
        <v>598.51</v>
      </c>
      <c r="BH120">
        <f t="shared" si="172"/>
        <v>598.51</v>
      </c>
      <c r="BI120">
        <f t="shared" si="173"/>
        <v>0.55288382706108596</v>
      </c>
      <c r="BJ120">
        <f t="shared" si="174"/>
        <v>0.77939402026017623</v>
      </c>
      <c r="BK120">
        <f t="shared" si="175"/>
        <v>-11.97266696972455</v>
      </c>
      <c r="BL120">
        <f t="shared" si="176"/>
        <v>0.49680595503605407</v>
      </c>
      <c r="BM120">
        <f t="shared" si="177"/>
        <v>-1.4288932502282983</v>
      </c>
      <c r="BN120">
        <f t="shared" si="178"/>
        <v>0.61235012824564372</v>
      </c>
      <c r="BO120">
        <f t="shared" si="179"/>
        <v>0.38764987175435628</v>
      </c>
      <c r="BP120">
        <v>22673</v>
      </c>
      <c r="BQ120">
        <v>290.00000000000011</v>
      </c>
      <c r="BR120">
        <v>1155.98</v>
      </c>
      <c r="BS120">
        <v>295</v>
      </c>
      <c r="BT120">
        <v>8036.86</v>
      </c>
      <c r="BU120">
        <v>1158.3599999999999</v>
      </c>
      <c r="BV120">
        <v>-2.38</v>
      </c>
      <c r="BW120">
        <v>300.00000000000011</v>
      </c>
      <c r="BX120">
        <v>19.399999999999999</v>
      </c>
      <c r="BY120">
        <v>1338.600650622785</v>
      </c>
      <c r="BZ120">
        <v>4.3933607554852401</v>
      </c>
      <c r="CA120">
        <v>-144.8549354590522</v>
      </c>
      <c r="CB120">
        <v>3.243400790447807</v>
      </c>
      <c r="CC120">
        <v>0.98615673228627176</v>
      </c>
      <c r="CD120">
        <v>-4.151090100111234E-3</v>
      </c>
      <c r="CE120">
        <v>289.99999999999989</v>
      </c>
      <c r="CF120">
        <v>1156.18</v>
      </c>
      <c r="CG120">
        <v>705</v>
      </c>
      <c r="CH120">
        <v>8025.26</v>
      </c>
      <c r="CI120">
        <v>1158.0999999999999</v>
      </c>
      <c r="CJ120">
        <v>-1.92</v>
      </c>
      <c r="CX120">
        <f t="shared" si="180"/>
        <v>1799.86</v>
      </c>
      <c r="CY120">
        <f t="shared" si="181"/>
        <v>1513.0667992629828</v>
      </c>
      <c r="CZ120">
        <f t="shared" si="182"/>
        <v>0.84065805077227285</v>
      </c>
      <c r="DA120">
        <f t="shared" si="183"/>
        <v>0.16087003799048671</v>
      </c>
      <c r="DB120">
        <v>6</v>
      </c>
      <c r="DC120">
        <v>0.5</v>
      </c>
      <c r="DD120" t="s">
        <v>421</v>
      </c>
      <c r="DE120">
        <v>2</v>
      </c>
      <c r="DF120">
        <v>1689018806</v>
      </c>
      <c r="DG120">
        <v>1116.6300000000001</v>
      </c>
      <c r="DH120">
        <v>1199.8499999999999</v>
      </c>
      <c r="DI120">
        <v>28.070900000000002</v>
      </c>
      <c r="DJ120">
        <v>22.068300000000001</v>
      </c>
      <c r="DK120">
        <v>1115.27</v>
      </c>
      <c r="DL120">
        <v>27.816299999999998</v>
      </c>
      <c r="DM120">
        <v>499.976</v>
      </c>
      <c r="DN120">
        <v>99.133499999999998</v>
      </c>
      <c r="DO120">
        <v>9.9404500000000007E-2</v>
      </c>
      <c r="DP120">
        <v>30.060199999999998</v>
      </c>
      <c r="DQ120">
        <v>29.999300000000002</v>
      </c>
      <c r="DR120">
        <v>999.9</v>
      </c>
      <c r="DS120">
        <v>0</v>
      </c>
      <c r="DT120">
        <v>0</v>
      </c>
      <c r="DU120">
        <v>10001.200000000001</v>
      </c>
      <c r="DV120">
        <v>0</v>
      </c>
      <c r="DW120">
        <v>1761.97</v>
      </c>
      <c r="DX120">
        <v>-83.227400000000003</v>
      </c>
      <c r="DY120">
        <v>1148.8800000000001</v>
      </c>
      <c r="DZ120">
        <v>1226.93</v>
      </c>
      <c r="EA120">
        <v>6.0026200000000003</v>
      </c>
      <c r="EB120">
        <v>1199.8499999999999</v>
      </c>
      <c r="EC120">
        <v>22.068300000000001</v>
      </c>
      <c r="ED120">
        <v>2.7827700000000002</v>
      </c>
      <c r="EE120">
        <v>2.18771</v>
      </c>
      <c r="EF120">
        <v>22.7822</v>
      </c>
      <c r="EG120">
        <v>18.872599999999998</v>
      </c>
      <c r="EH120">
        <v>1799.86</v>
      </c>
      <c r="EI120">
        <v>0.97800200000000004</v>
      </c>
      <c r="EJ120">
        <v>2.1998299999999998E-2</v>
      </c>
      <c r="EK120">
        <v>0</v>
      </c>
      <c r="EL120">
        <v>762.15700000000004</v>
      </c>
      <c r="EM120">
        <v>5.0011200000000002</v>
      </c>
      <c r="EN120">
        <v>15345.7</v>
      </c>
      <c r="EO120">
        <v>17209.599999999999</v>
      </c>
      <c r="EP120">
        <v>49</v>
      </c>
      <c r="EQ120">
        <v>50.811999999999998</v>
      </c>
      <c r="ER120">
        <v>50.061999999999998</v>
      </c>
      <c r="ES120">
        <v>49.875</v>
      </c>
      <c r="ET120">
        <v>49.75</v>
      </c>
      <c r="EU120">
        <v>1755.38</v>
      </c>
      <c r="EV120">
        <v>39.479999999999997</v>
      </c>
      <c r="EW120">
        <v>0</v>
      </c>
      <c r="EX120">
        <v>104.6000001430511</v>
      </c>
      <c r="EY120">
        <v>0</v>
      </c>
      <c r="EZ120">
        <v>761.7784230769231</v>
      </c>
      <c r="FA120">
        <v>0.19791452888816649</v>
      </c>
      <c r="FB120">
        <v>0.89914515547225871</v>
      </c>
      <c r="FC120">
        <v>15344.465384615391</v>
      </c>
      <c r="FD120">
        <v>15</v>
      </c>
      <c r="FE120">
        <v>1689018775.5</v>
      </c>
      <c r="FF120" t="s">
        <v>950</v>
      </c>
      <c r="FG120">
        <v>1689018775.5</v>
      </c>
      <c r="FH120">
        <v>1689018769.5</v>
      </c>
      <c r="FI120">
        <v>115</v>
      </c>
      <c r="FJ120">
        <v>0.11</v>
      </c>
      <c r="FK120">
        <v>-5.0000000000000001E-3</v>
      </c>
      <c r="FL120">
        <v>1.3939999999999999</v>
      </c>
      <c r="FM120">
        <v>0.24299999999999999</v>
      </c>
      <c r="FN120">
        <v>1201</v>
      </c>
      <c r="FO120">
        <v>21</v>
      </c>
      <c r="FP120">
        <v>0.08</v>
      </c>
      <c r="FQ120">
        <v>0.03</v>
      </c>
      <c r="FR120">
        <v>64.028324563005583</v>
      </c>
      <c r="FS120">
        <v>-0.53594174278739337</v>
      </c>
      <c r="FT120">
        <v>8.1812901928536241E-2</v>
      </c>
      <c r="FU120">
        <v>1</v>
      </c>
      <c r="FV120">
        <v>0.36061400394928572</v>
      </c>
      <c r="FW120">
        <v>-1.4603608211221961E-2</v>
      </c>
      <c r="FX120">
        <v>2.7064644136706169E-3</v>
      </c>
      <c r="FY120">
        <v>1</v>
      </c>
      <c r="FZ120">
        <v>2</v>
      </c>
      <c r="GA120">
        <v>2</v>
      </c>
      <c r="GB120" t="s">
        <v>423</v>
      </c>
      <c r="GC120">
        <v>2.9239600000000001</v>
      </c>
      <c r="GD120">
        <v>2.8267099999999998</v>
      </c>
      <c r="GE120">
        <v>0.179591</v>
      </c>
      <c r="GF120">
        <v>0.18843399999999999</v>
      </c>
      <c r="GG120">
        <v>0.124679</v>
      </c>
      <c r="GH120">
        <v>0.10589999999999999</v>
      </c>
      <c r="GI120">
        <v>26719.8</v>
      </c>
      <c r="GJ120">
        <v>21432.7</v>
      </c>
      <c r="GK120">
        <v>31347.3</v>
      </c>
      <c r="GL120">
        <v>26056.2</v>
      </c>
      <c r="GM120">
        <v>37619</v>
      </c>
      <c r="GN120">
        <v>31602.400000000001</v>
      </c>
      <c r="GO120">
        <v>46550.6</v>
      </c>
      <c r="GP120">
        <v>37883.5</v>
      </c>
      <c r="GQ120">
        <v>1.90025</v>
      </c>
      <c r="GR120">
        <v>1.7087699999999999</v>
      </c>
      <c r="GS120">
        <v>-5.2206200000000001E-2</v>
      </c>
      <c r="GT120">
        <v>0</v>
      </c>
      <c r="GU120">
        <v>30.848299999999998</v>
      </c>
      <c r="GV120">
        <v>999.9</v>
      </c>
      <c r="GW120">
        <v>39</v>
      </c>
      <c r="GX120">
        <v>46</v>
      </c>
      <c r="GY120">
        <v>39.918100000000003</v>
      </c>
      <c r="GZ120">
        <v>62.384500000000003</v>
      </c>
      <c r="HA120">
        <v>22.1114</v>
      </c>
      <c r="HB120">
        <v>1</v>
      </c>
      <c r="HC120">
        <v>0.57353699999999996</v>
      </c>
      <c r="HD120">
        <v>3.9865599999999999</v>
      </c>
      <c r="HE120">
        <v>20.251300000000001</v>
      </c>
      <c r="HF120">
        <v>5.2250800000000002</v>
      </c>
      <c r="HG120">
        <v>12.063000000000001</v>
      </c>
      <c r="HH120">
        <v>4.9932999999999996</v>
      </c>
      <c r="HI120">
        <v>3.2919999999999998</v>
      </c>
      <c r="HJ120">
        <v>9999</v>
      </c>
      <c r="HK120">
        <v>9999</v>
      </c>
      <c r="HL120">
        <v>9999</v>
      </c>
      <c r="HM120">
        <v>466.3</v>
      </c>
      <c r="HN120">
        <v>1.8669100000000001</v>
      </c>
      <c r="HO120">
        <v>1.87032</v>
      </c>
      <c r="HP120">
        <v>1.8730199999999999</v>
      </c>
      <c r="HQ120">
        <v>1.8738699999999999</v>
      </c>
      <c r="HR120">
        <v>1.87063</v>
      </c>
      <c r="HS120">
        <v>1.86904</v>
      </c>
      <c r="HT120">
        <v>1.8704499999999999</v>
      </c>
      <c r="HU120">
        <v>1.8734599999999999</v>
      </c>
      <c r="HV120">
        <v>0</v>
      </c>
      <c r="HW120">
        <v>0</v>
      </c>
      <c r="HX120">
        <v>0</v>
      </c>
      <c r="HY120">
        <v>0</v>
      </c>
      <c r="HZ120" t="s">
        <v>424</v>
      </c>
      <c r="IA120" t="s">
        <v>425</v>
      </c>
      <c r="IB120" t="s">
        <v>426</v>
      </c>
      <c r="IC120" t="s">
        <v>426</v>
      </c>
      <c r="ID120" t="s">
        <v>426</v>
      </c>
      <c r="IE120" t="s">
        <v>426</v>
      </c>
      <c r="IF120">
        <v>0</v>
      </c>
      <c r="IG120">
        <v>100</v>
      </c>
      <c r="IH120">
        <v>100</v>
      </c>
      <c r="II120">
        <v>1.36</v>
      </c>
      <c r="IJ120">
        <v>0.25459999999999999</v>
      </c>
      <c r="IK120">
        <v>-4.8831129273771222E-2</v>
      </c>
      <c r="IL120">
        <v>3.042515301972944E-3</v>
      </c>
      <c r="IM120">
        <v>-2.5091471490852929E-6</v>
      </c>
      <c r="IN120">
        <v>8.1339755115576286E-10</v>
      </c>
      <c r="IO120">
        <v>0.25463515078250232</v>
      </c>
      <c r="IP120">
        <v>0</v>
      </c>
      <c r="IQ120">
        <v>0</v>
      </c>
      <c r="IR120">
        <v>0</v>
      </c>
      <c r="IS120">
        <v>3</v>
      </c>
      <c r="IT120">
        <v>2004</v>
      </c>
      <c r="IU120">
        <v>2</v>
      </c>
      <c r="IV120">
        <v>22</v>
      </c>
      <c r="IW120">
        <v>0.5</v>
      </c>
      <c r="IX120">
        <v>0.6</v>
      </c>
      <c r="IY120">
        <v>2.5280800000000001</v>
      </c>
      <c r="IZ120">
        <v>2.6098599999999998</v>
      </c>
      <c r="JA120">
        <v>1.64917</v>
      </c>
      <c r="JB120">
        <v>2.33765</v>
      </c>
      <c r="JC120">
        <v>1.5991200000000001</v>
      </c>
      <c r="JD120">
        <v>2.2290000000000001</v>
      </c>
      <c r="JE120">
        <v>48.239600000000003</v>
      </c>
      <c r="JF120">
        <v>24.096299999999999</v>
      </c>
      <c r="JG120">
        <v>18</v>
      </c>
      <c r="JH120">
        <v>509.37700000000001</v>
      </c>
      <c r="JI120">
        <v>432.15499999999997</v>
      </c>
      <c r="JJ120">
        <v>26.157599999999999</v>
      </c>
      <c r="JK120">
        <v>34.162399999999998</v>
      </c>
      <c r="JL120">
        <v>30.000299999999999</v>
      </c>
      <c r="JM120">
        <v>34.205300000000001</v>
      </c>
      <c r="JN120">
        <v>34.205300000000001</v>
      </c>
      <c r="JO120">
        <v>50.582799999999999</v>
      </c>
      <c r="JP120">
        <v>54.4818</v>
      </c>
      <c r="JQ120">
        <v>0</v>
      </c>
      <c r="JR120">
        <v>26.155999999999999</v>
      </c>
      <c r="JS120">
        <v>1200</v>
      </c>
      <c r="JT120">
        <v>22.114100000000001</v>
      </c>
      <c r="JU120">
        <v>99.353999999999999</v>
      </c>
      <c r="JV120">
        <v>99.067999999999998</v>
      </c>
    </row>
    <row r="121" spans="1:282" x14ac:dyDescent="0.25">
      <c r="A121">
        <v>105</v>
      </c>
      <c r="B121">
        <v>1689018905.5</v>
      </c>
      <c r="C121">
        <v>19310.400000095371</v>
      </c>
      <c r="D121" t="s">
        <v>951</v>
      </c>
      <c r="E121" t="s">
        <v>952</v>
      </c>
      <c r="F121" t="s">
        <v>414</v>
      </c>
      <c r="G121" t="s">
        <v>415</v>
      </c>
      <c r="H121" t="s">
        <v>416</v>
      </c>
      <c r="I121" t="s">
        <v>416</v>
      </c>
      <c r="J121" t="s">
        <v>501</v>
      </c>
      <c r="K121">
        <v>1689018905.5</v>
      </c>
      <c r="L121">
        <f t="shared" si="138"/>
        <v>4.2636231756467968E-3</v>
      </c>
      <c r="M121">
        <f t="shared" si="139"/>
        <v>4.2636231756467966</v>
      </c>
      <c r="N121">
        <f t="shared" si="140"/>
        <v>63.461615161553198</v>
      </c>
      <c r="O121">
        <f t="shared" si="141"/>
        <v>1416.65</v>
      </c>
      <c r="P121">
        <f t="shared" si="142"/>
        <v>1010.9493406595957</v>
      </c>
      <c r="Q121">
        <f t="shared" si="143"/>
        <v>100.31602388366422</v>
      </c>
      <c r="R121">
        <f t="shared" si="144"/>
        <v>140.57350800790005</v>
      </c>
      <c r="S121">
        <f t="shared" si="145"/>
        <v>0.28316001877705305</v>
      </c>
      <c r="T121">
        <f t="shared" si="146"/>
        <v>2.9133485014379765</v>
      </c>
      <c r="U121">
        <f t="shared" si="147"/>
        <v>0.26871062138341512</v>
      </c>
      <c r="V121">
        <f t="shared" si="148"/>
        <v>0.16918089233119493</v>
      </c>
      <c r="W121">
        <f t="shared" si="149"/>
        <v>289.57067857769175</v>
      </c>
      <c r="X121">
        <f t="shared" si="150"/>
        <v>30.513310001346035</v>
      </c>
      <c r="Y121">
        <f t="shared" si="151"/>
        <v>30.021799999999999</v>
      </c>
      <c r="Z121">
        <f t="shared" si="152"/>
        <v>4.2657875091832871</v>
      </c>
      <c r="AA121">
        <f t="shared" si="153"/>
        <v>64.800211606152331</v>
      </c>
      <c r="AB121">
        <f t="shared" si="154"/>
        <v>2.7469511223528</v>
      </c>
      <c r="AC121">
        <f t="shared" si="155"/>
        <v>4.2391082594736398</v>
      </c>
      <c r="AD121">
        <f t="shared" si="156"/>
        <v>1.5188363868304871</v>
      </c>
      <c r="AE121">
        <f t="shared" si="157"/>
        <v>-188.02578204602375</v>
      </c>
      <c r="AF121">
        <f t="shared" si="158"/>
        <v>-17.151437329519691</v>
      </c>
      <c r="AG121">
        <f t="shared" si="159"/>
        <v>-1.3085976718810717</v>
      </c>
      <c r="AH121">
        <f t="shared" si="160"/>
        <v>83.084861530267261</v>
      </c>
      <c r="AI121">
        <v>0</v>
      </c>
      <c r="AJ121">
        <v>0</v>
      </c>
      <c r="AK121">
        <f t="shared" si="161"/>
        <v>1</v>
      </c>
      <c r="AL121">
        <f t="shared" si="162"/>
        <v>0</v>
      </c>
      <c r="AM121">
        <f t="shared" si="163"/>
        <v>51887.659466461519</v>
      </c>
      <c r="AN121" t="s">
        <v>418</v>
      </c>
      <c r="AO121">
        <v>10021</v>
      </c>
      <c r="AP121">
        <v>177.53923076923081</v>
      </c>
      <c r="AQ121">
        <v>655.56</v>
      </c>
      <c r="AR121">
        <f t="shared" si="164"/>
        <v>0.72917928066198234</v>
      </c>
      <c r="AS121">
        <v>-3.1115002560329539</v>
      </c>
      <c r="AT121" t="s">
        <v>953</v>
      </c>
      <c r="AU121">
        <v>8036.23</v>
      </c>
      <c r="AV121">
        <v>760.05461538461543</v>
      </c>
      <c r="AW121">
        <v>1335.761389376094</v>
      </c>
      <c r="AX121">
        <f t="shared" si="165"/>
        <v>0.4309952200822178</v>
      </c>
      <c r="AY121">
        <v>0.5</v>
      </c>
      <c r="AZ121">
        <f t="shared" si="166"/>
        <v>1513.2095992630527</v>
      </c>
      <c r="BA121">
        <f t="shared" si="167"/>
        <v>63.461615161553198</v>
      </c>
      <c r="BB121">
        <f t="shared" si="168"/>
        <v>326.09305213245199</v>
      </c>
      <c r="BC121">
        <f t="shared" si="169"/>
        <v>4.3994642546549986E-2</v>
      </c>
      <c r="BD121">
        <f t="shared" si="170"/>
        <v>-0.50922372422652662</v>
      </c>
      <c r="BE121">
        <f t="shared" si="171"/>
        <v>205.94008507298284</v>
      </c>
      <c r="BF121" t="s">
        <v>954</v>
      </c>
      <c r="BG121">
        <v>601.85</v>
      </c>
      <c r="BH121">
        <f t="shared" si="172"/>
        <v>601.85</v>
      </c>
      <c r="BI121">
        <f t="shared" si="173"/>
        <v>0.54943300144263674</v>
      </c>
      <c r="BJ121">
        <f t="shared" si="174"/>
        <v>0.78443635338714823</v>
      </c>
      <c r="BK121">
        <f t="shared" si="175"/>
        <v>-12.664334190580805</v>
      </c>
      <c r="BL121">
        <f t="shared" si="176"/>
        <v>0.49706074928142652</v>
      </c>
      <c r="BM121">
        <f t="shared" si="177"/>
        <v>-1.4229536312212416</v>
      </c>
      <c r="BN121">
        <f t="shared" si="178"/>
        <v>0.62115670338657014</v>
      </c>
      <c r="BO121">
        <f t="shared" si="179"/>
        <v>0.37884329661342986</v>
      </c>
      <c r="BP121">
        <v>22675</v>
      </c>
      <c r="BQ121">
        <v>290.00000000000011</v>
      </c>
      <c r="BR121">
        <v>1154.94</v>
      </c>
      <c r="BS121">
        <v>295</v>
      </c>
      <c r="BT121">
        <v>8036.23</v>
      </c>
      <c r="BU121">
        <v>1156.3699999999999</v>
      </c>
      <c r="BV121">
        <v>-1.43</v>
      </c>
      <c r="BW121">
        <v>300.00000000000011</v>
      </c>
      <c r="BX121">
        <v>19.399999999999999</v>
      </c>
      <c r="BY121">
        <v>1335.761389376094</v>
      </c>
      <c r="BZ121">
        <v>3.6424797457825959</v>
      </c>
      <c r="CA121">
        <v>-144.16019472126689</v>
      </c>
      <c r="CB121">
        <v>2.6888459594706622</v>
      </c>
      <c r="CC121">
        <v>0.9903530682104118</v>
      </c>
      <c r="CD121">
        <v>-4.1508865406006713E-3</v>
      </c>
      <c r="CE121">
        <v>289.99999999999989</v>
      </c>
      <c r="CF121">
        <v>1154.6099999999999</v>
      </c>
      <c r="CG121">
        <v>685</v>
      </c>
      <c r="CH121">
        <v>8025.18</v>
      </c>
      <c r="CI121">
        <v>1156.1300000000001</v>
      </c>
      <c r="CJ121">
        <v>-1.52</v>
      </c>
      <c r="CX121">
        <f t="shared" si="180"/>
        <v>1800.03</v>
      </c>
      <c r="CY121">
        <f t="shared" si="181"/>
        <v>1513.2095992630527</v>
      </c>
      <c r="CZ121">
        <f t="shared" si="182"/>
        <v>0.84065798862410779</v>
      </c>
      <c r="DA121">
        <f t="shared" si="183"/>
        <v>0.16086991804452802</v>
      </c>
      <c r="DB121">
        <v>6</v>
      </c>
      <c r="DC121">
        <v>0.5</v>
      </c>
      <c r="DD121" t="s">
        <v>421</v>
      </c>
      <c r="DE121">
        <v>2</v>
      </c>
      <c r="DF121">
        <v>1689018905.5</v>
      </c>
      <c r="DG121">
        <v>1416.65</v>
      </c>
      <c r="DH121">
        <v>1500.03</v>
      </c>
      <c r="DI121">
        <v>27.6828</v>
      </c>
      <c r="DJ121">
        <v>22.709399999999999</v>
      </c>
      <c r="DK121">
        <v>1415.05</v>
      </c>
      <c r="DL121">
        <v>27.411799999999999</v>
      </c>
      <c r="DM121">
        <v>500.13200000000001</v>
      </c>
      <c r="DN121">
        <v>99.128900000000002</v>
      </c>
      <c r="DO121">
        <v>0.10062599999999999</v>
      </c>
      <c r="DP121">
        <v>29.912600000000001</v>
      </c>
      <c r="DQ121">
        <v>30.021799999999999</v>
      </c>
      <c r="DR121">
        <v>999.9</v>
      </c>
      <c r="DS121">
        <v>0</v>
      </c>
      <c r="DT121">
        <v>0</v>
      </c>
      <c r="DU121">
        <v>9995</v>
      </c>
      <c r="DV121">
        <v>0</v>
      </c>
      <c r="DW121">
        <v>1751.25</v>
      </c>
      <c r="DX121">
        <v>-83.448999999999998</v>
      </c>
      <c r="DY121">
        <v>1456.89</v>
      </c>
      <c r="DZ121">
        <v>1534.89</v>
      </c>
      <c r="EA121">
        <v>4.9570600000000002</v>
      </c>
      <c r="EB121">
        <v>1500.03</v>
      </c>
      <c r="EC121">
        <v>22.709399999999999</v>
      </c>
      <c r="ED121">
        <v>2.74255</v>
      </c>
      <c r="EE121">
        <v>2.25116</v>
      </c>
      <c r="EF121">
        <v>22.542300000000001</v>
      </c>
      <c r="EG121">
        <v>19.331099999999999</v>
      </c>
      <c r="EH121">
        <v>1800.03</v>
      </c>
      <c r="EI121">
        <v>0.97800500000000001</v>
      </c>
      <c r="EJ121">
        <v>2.1994699999999999E-2</v>
      </c>
      <c r="EK121">
        <v>0</v>
      </c>
      <c r="EL121">
        <v>759.72699999999998</v>
      </c>
      <c r="EM121">
        <v>5.0011200000000002</v>
      </c>
      <c r="EN121">
        <v>15310.9</v>
      </c>
      <c r="EO121">
        <v>17211.2</v>
      </c>
      <c r="EP121">
        <v>49.061999999999998</v>
      </c>
      <c r="EQ121">
        <v>50.936999999999998</v>
      </c>
      <c r="ER121">
        <v>50.186999999999998</v>
      </c>
      <c r="ES121">
        <v>49.936999999999998</v>
      </c>
      <c r="ET121">
        <v>49.811999999999998</v>
      </c>
      <c r="EU121">
        <v>1755.55</v>
      </c>
      <c r="EV121">
        <v>39.479999999999997</v>
      </c>
      <c r="EW121">
        <v>0</v>
      </c>
      <c r="EX121">
        <v>97.400000095367432</v>
      </c>
      <c r="EY121">
        <v>0</v>
      </c>
      <c r="EZ121">
        <v>760.05461538461543</v>
      </c>
      <c r="FA121">
        <v>0.70529916656106661</v>
      </c>
      <c r="FB121">
        <v>-12.4615384819901</v>
      </c>
      <c r="FC121">
        <v>15311.873076923081</v>
      </c>
      <c r="FD121">
        <v>15</v>
      </c>
      <c r="FE121">
        <v>1689018940.5</v>
      </c>
      <c r="FF121" t="s">
        <v>955</v>
      </c>
      <c r="FG121">
        <v>1689018927.5</v>
      </c>
      <c r="FH121">
        <v>1689018940.5</v>
      </c>
      <c r="FI121">
        <v>116</v>
      </c>
      <c r="FJ121">
        <v>-1.0999999999999999E-2</v>
      </c>
      <c r="FK121">
        <v>1.6E-2</v>
      </c>
      <c r="FL121">
        <v>1.6</v>
      </c>
      <c r="FM121">
        <v>0.27100000000000002</v>
      </c>
      <c r="FN121">
        <v>1500</v>
      </c>
      <c r="FO121">
        <v>23</v>
      </c>
      <c r="FP121">
        <v>0.06</v>
      </c>
      <c r="FQ121">
        <v>0.04</v>
      </c>
      <c r="FR121">
        <v>63.822059771203413</v>
      </c>
      <c r="FS121">
        <v>-0.32624779517582819</v>
      </c>
      <c r="FT121">
        <v>0.17172059678131771</v>
      </c>
      <c r="FU121">
        <v>1</v>
      </c>
      <c r="FV121">
        <v>0.28198902359989347</v>
      </c>
      <c r="FW121">
        <v>2.5437733061478619E-3</v>
      </c>
      <c r="FX121">
        <v>4.5554845239490372E-4</v>
      </c>
      <c r="FY121">
        <v>1</v>
      </c>
      <c r="FZ121">
        <v>2</v>
      </c>
      <c r="GA121">
        <v>2</v>
      </c>
      <c r="GB121" t="s">
        <v>423</v>
      </c>
      <c r="GC121">
        <v>2.9242699999999999</v>
      </c>
      <c r="GD121">
        <v>2.8278799999999999</v>
      </c>
      <c r="GE121">
        <v>0.20819399999999999</v>
      </c>
      <c r="GF121">
        <v>0.21606500000000001</v>
      </c>
      <c r="GG121">
        <v>0.123393</v>
      </c>
      <c r="GH121">
        <v>0.108033</v>
      </c>
      <c r="GI121">
        <v>25780.6</v>
      </c>
      <c r="GJ121">
        <v>20697.7</v>
      </c>
      <c r="GK121">
        <v>31341.7</v>
      </c>
      <c r="GL121">
        <v>26052.3</v>
      </c>
      <c r="GM121">
        <v>37668.199999999997</v>
      </c>
      <c r="GN121">
        <v>31522.799999999999</v>
      </c>
      <c r="GO121">
        <v>46542.1</v>
      </c>
      <c r="GP121">
        <v>37877.800000000003</v>
      </c>
      <c r="GQ121">
        <v>1.8996</v>
      </c>
      <c r="GR121">
        <v>1.70963</v>
      </c>
      <c r="GS121">
        <v>-5.1673499999999997E-2</v>
      </c>
      <c r="GT121">
        <v>0</v>
      </c>
      <c r="GU121">
        <v>30.862100000000002</v>
      </c>
      <c r="GV121">
        <v>999.9</v>
      </c>
      <c r="GW121">
        <v>38.9</v>
      </c>
      <c r="GX121">
        <v>46</v>
      </c>
      <c r="GY121">
        <v>39.823500000000003</v>
      </c>
      <c r="GZ121">
        <v>62.174500000000002</v>
      </c>
      <c r="HA121">
        <v>21.987200000000001</v>
      </c>
      <c r="HB121">
        <v>1</v>
      </c>
      <c r="HC121">
        <v>0.58426800000000001</v>
      </c>
      <c r="HD121">
        <v>4.34612</v>
      </c>
      <c r="HE121">
        <v>20.242100000000001</v>
      </c>
      <c r="HF121">
        <v>5.2250800000000002</v>
      </c>
      <c r="HG121">
        <v>12.0633</v>
      </c>
      <c r="HH121">
        <v>4.9931000000000001</v>
      </c>
      <c r="HI121">
        <v>3.2919999999999998</v>
      </c>
      <c r="HJ121">
        <v>9999</v>
      </c>
      <c r="HK121">
        <v>9999</v>
      </c>
      <c r="HL121">
        <v>9999</v>
      </c>
      <c r="HM121">
        <v>466.4</v>
      </c>
      <c r="HN121">
        <v>1.8669100000000001</v>
      </c>
      <c r="HO121">
        <v>1.8703700000000001</v>
      </c>
      <c r="HP121">
        <v>1.873</v>
      </c>
      <c r="HQ121">
        <v>1.87388</v>
      </c>
      <c r="HR121">
        <v>1.87059</v>
      </c>
      <c r="HS121">
        <v>1.86904</v>
      </c>
      <c r="HT121">
        <v>1.8704799999999999</v>
      </c>
      <c r="HU121">
        <v>1.8734500000000001</v>
      </c>
      <c r="HV121">
        <v>0</v>
      </c>
      <c r="HW121">
        <v>0</v>
      </c>
      <c r="HX121">
        <v>0</v>
      </c>
      <c r="HY121">
        <v>0</v>
      </c>
      <c r="HZ121" t="s">
        <v>424</v>
      </c>
      <c r="IA121" t="s">
        <v>425</v>
      </c>
      <c r="IB121" t="s">
        <v>426</v>
      </c>
      <c r="IC121" t="s">
        <v>426</v>
      </c>
      <c r="ID121" t="s">
        <v>426</v>
      </c>
      <c r="IE121" t="s">
        <v>426</v>
      </c>
      <c r="IF121">
        <v>0</v>
      </c>
      <c r="IG121">
        <v>100</v>
      </c>
      <c r="IH121">
        <v>100</v>
      </c>
      <c r="II121">
        <v>1.6</v>
      </c>
      <c r="IJ121">
        <v>0.27100000000000002</v>
      </c>
      <c r="IK121">
        <v>-4.8831129273771222E-2</v>
      </c>
      <c r="IL121">
        <v>3.042515301972944E-3</v>
      </c>
      <c r="IM121">
        <v>-2.5091471490852929E-6</v>
      </c>
      <c r="IN121">
        <v>8.1339755115576286E-10</v>
      </c>
      <c r="IO121">
        <v>0.25463515078250232</v>
      </c>
      <c r="IP121">
        <v>0</v>
      </c>
      <c r="IQ121">
        <v>0</v>
      </c>
      <c r="IR121">
        <v>0</v>
      </c>
      <c r="IS121">
        <v>3</v>
      </c>
      <c r="IT121">
        <v>2004</v>
      </c>
      <c r="IU121">
        <v>2</v>
      </c>
      <c r="IV121">
        <v>22</v>
      </c>
      <c r="IW121">
        <v>2.2000000000000002</v>
      </c>
      <c r="IX121">
        <v>2.2999999999999998</v>
      </c>
      <c r="IY121">
        <v>3.0383300000000002</v>
      </c>
      <c r="IZ121">
        <v>2.5976599999999999</v>
      </c>
      <c r="JA121">
        <v>1.64917</v>
      </c>
      <c r="JB121">
        <v>2.33765</v>
      </c>
      <c r="JC121">
        <v>1.5991200000000001</v>
      </c>
      <c r="JD121">
        <v>2.2900399999999999</v>
      </c>
      <c r="JE121">
        <v>48.331600000000002</v>
      </c>
      <c r="JF121">
        <v>24.096299999999999</v>
      </c>
      <c r="JG121">
        <v>18</v>
      </c>
      <c r="JH121">
        <v>509.45800000000003</v>
      </c>
      <c r="JI121">
        <v>433.16500000000002</v>
      </c>
      <c r="JJ121">
        <v>25.811900000000001</v>
      </c>
      <c r="JK121">
        <v>34.247900000000001</v>
      </c>
      <c r="JL121">
        <v>30.000499999999999</v>
      </c>
      <c r="JM121">
        <v>34.2729</v>
      </c>
      <c r="JN121">
        <v>34.270899999999997</v>
      </c>
      <c r="JO121">
        <v>60.7986</v>
      </c>
      <c r="JP121">
        <v>53.332500000000003</v>
      </c>
      <c r="JQ121">
        <v>0</v>
      </c>
      <c r="JR121">
        <v>25.791499999999999</v>
      </c>
      <c r="JS121">
        <v>1500</v>
      </c>
      <c r="JT121">
        <v>22.8063</v>
      </c>
      <c r="JU121">
        <v>99.336100000000002</v>
      </c>
      <c r="JV121">
        <v>99.053200000000004</v>
      </c>
    </row>
    <row r="122" spans="1:282" x14ac:dyDescent="0.25">
      <c r="A122">
        <v>106</v>
      </c>
      <c r="B122">
        <v>1689020024.0999999</v>
      </c>
      <c r="C122">
        <v>20429</v>
      </c>
      <c r="D122" t="s">
        <v>956</v>
      </c>
      <c r="E122" t="s">
        <v>957</v>
      </c>
      <c r="F122" t="s">
        <v>414</v>
      </c>
      <c r="G122" t="s">
        <v>415</v>
      </c>
      <c r="H122" t="s">
        <v>500</v>
      </c>
      <c r="I122" t="s">
        <v>500</v>
      </c>
      <c r="J122" t="s">
        <v>417</v>
      </c>
      <c r="K122">
        <v>1689020024.0999999</v>
      </c>
      <c r="L122">
        <f t="shared" si="138"/>
        <v>5.7076205536712825E-3</v>
      </c>
      <c r="M122">
        <f t="shared" si="139"/>
        <v>5.7076205536712825</v>
      </c>
      <c r="N122">
        <f t="shared" si="140"/>
        <v>52.643746486264661</v>
      </c>
      <c r="O122">
        <f t="shared" si="141"/>
        <v>334.47399999999999</v>
      </c>
      <c r="P122">
        <f t="shared" si="142"/>
        <v>122.71083870752744</v>
      </c>
      <c r="Q122">
        <f t="shared" si="143"/>
        <v>12.174269596126789</v>
      </c>
      <c r="R122">
        <f t="shared" si="144"/>
        <v>33.183512489880201</v>
      </c>
      <c r="S122">
        <f t="shared" si="145"/>
        <v>0.43652845126565609</v>
      </c>
      <c r="T122">
        <f t="shared" si="146"/>
        <v>2.9115064767373084</v>
      </c>
      <c r="U122">
        <f t="shared" si="147"/>
        <v>0.40315702129801068</v>
      </c>
      <c r="V122">
        <f t="shared" si="148"/>
        <v>0.25475849976980541</v>
      </c>
      <c r="W122">
        <f t="shared" si="149"/>
        <v>289.59577657708985</v>
      </c>
      <c r="X122">
        <f t="shared" si="150"/>
        <v>30.952747466299993</v>
      </c>
      <c r="Y122">
        <f t="shared" si="151"/>
        <v>29.9558</v>
      </c>
      <c r="Z122">
        <f t="shared" si="152"/>
        <v>4.2496452510932103</v>
      </c>
      <c r="AA122">
        <f t="shared" si="153"/>
        <v>65.187743113871946</v>
      </c>
      <c r="AB122">
        <f t="shared" si="154"/>
        <v>2.8956626245713699</v>
      </c>
      <c r="AC122">
        <f t="shared" si="155"/>
        <v>4.442035398453875</v>
      </c>
      <c r="AD122">
        <f t="shared" si="156"/>
        <v>1.3539826265218404</v>
      </c>
      <c r="AE122">
        <f t="shared" si="157"/>
        <v>-251.70606641690355</v>
      </c>
      <c r="AF122">
        <f t="shared" si="158"/>
        <v>121.30265800796039</v>
      </c>
      <c r="AG122">
        <f t="shared" si="159"/>
        <v>9.2952904729597954</v>
      </c>
      <c r="AH122">
        <f t="shared" si="160"/>
        <v>168.48765864110646</v>
      </c>
      <c r="AI122">
        <v>0</v>
      </c>
      <c r="AJ122">
        <v>0</v>
      </c>
      <c r="AK122">
        <f t="shared" si="161"/>
        <v>1</v>
      </c>
      <c r="AL122">
        <f t="shared" si="162"/>
        <v>0</v>
      </c>
      <c r="AM122">
        <f t="shared" si="163"/>
        <v>51695.615848877198</v>
      </c>
      <c r="AN122" t="s">
        <v>418</v>
      </c>
      <c r="AO122">
        <v>10021</v>
      </c>
      <c r="AP122">
        <v>177.53923076923081</v>
      </c>
      <c r="AQ122">
        <v>655.56</v>
      </c>
      <c r="AR122">
        <f t="shared" si="164"/>
        <v>0.72917928066198234</v>
      </c>
      <c r="AS122">
        <v>-3.1115002560329539</v>
      </c>
      <c r="AT122" t="s">
        <v>958</v>
      </c>
      <c r="AU122">
        <v>8026.5</v>
      </c>
      <c r="AV122">
        <v>721.61091999999985</v>
      </c>
      <c r="AW122">
        <v>1135.13661280515</v>
      </c>
      <c r="AX122">
        <f t="shared" si="165"/>
        <v>0.36429596943688147</v>
      </c>
      <c r="AY122">
        <v>0.5</v>
      </c>
      <c r="AZ122">
        <f t="shared" si="166"/>
        <v>1513.3361992627408</v>
      </c>
      <c r="BA122">
        <f t="shared" si="167"/>
        <v>52.643746486264661</v>
      </c>
      <c r="BB122">
        <f t="shared" si="168"/>
        <v>275.65113889717293</v>
      </c>
      <c r="BC122">
        <f t="shared" si="169"/>
        <v>3.6842604286780531E-2</v>
      </c>
      <c r="BD122">
        <f t="shared" si="170"/>
        <v>-0.42248360892881442</v>
      </c>
      <c r="BE122">
        <f t="shared" si="171"/>
        <v>200.47730579205884</v>
      </c>
      <c r="BF122" t="s">
        <v>959</v>
      </c>
      <c r="BG122">
        <v>573.80999999999995</v>
      </c>
      <c r="BH122">
        <f t="shared" si="172"/>
        <v>573.80999999999995</v>
      </c>
      <c r="BI122">
        <f t="shared" si="173"/>
        <v>0.49450137232204983</v>
      </c>
      <c r="BJ122">
        <f t="shared" si="174"/>
        <v>0.73669354591725877</v>
      </c>
      <c r="BK122">
        <f t="shared" si="175"/>
        <v>-5.8663805847724779</v>
      </c>
      <c r="BL122">
        <f t="shared" si="176"/>
        <v>0.4318366993923537</v>
      </c>
      <c r="BM122">
        <f t="shared" si="177"/>
        <v>-1.0032547614549983</v>
      </c>
      <c r="BN122">
        <f t="shared" si="178"/>
        <v>0.58580339053458652</v>
      </c>
      <c r="BO122">
        <f t="shared" si="179"/>
        <v>0.41419660946541348</v>
      </c>
      <c r="BP122">
        <v>22677</v>
      </c>
      <c r="BQ122">
        <v>290.00000000000011</v>
      </c>
      <c r="BR122">
        <v>987</v>
      </c>
      <c r="BS122">
        <v>295</v>
      </c>
      <c r="BT122">
        <v>8026.5</v>
      </c>
      <c r="BU122">
        <v>990.01</v>
      </c>
      <c r="BV122">
        <v>-3.01</v>
      </c>
      <c r="BW122">
        <v>300.00000000000011</v>
      </c>
      <c r="BX122">
        <v>19.399999999999999</v>
      </c>
      <c r="BY122">
        <v>1135.13661280515</v>
      </c>
      <c r="BZ122">
        <v>3.8473309700348981</v>
      </c>
      <c r="CA122">
        <v>-116.4866167011316</v>
      </c>
      <c r="CB122">
        <v>2.8366245986389291</v>
      </c>
      <c r="CC122">
        <v>0.98366730196116414</v>
      </c>
      <c r="CD122">
        <v>-4.1457101223581726E-3</v>
      </c>
      <c r="CE122">
        <v>289.99999999999989</v>
      </c>
      <c r="CF122">
        <v>982.69</v>
      </c>
      <c r="CG122">
        <v>645</v>
      </c>
      <c r="CH122">
        <v>8016.59</v>
      </c>
      <c r="CI122">
        <v>989.83</v>
      </c>
      <c r="CJ122">
        <v>-7.14</v>
      </c>
      <c r="CX122">
        <f t="shared" si="180"/>
        <v>1800.18</v>
      </c>
      <c r="CY122">
        <f t="shared" si="181"/>
        <v>1513.3361992627408</v>
      </c>
      <c r="CZ122">
        <f t="shared" si="182"/>
        <v>0.84065826709703517</v>
      </c>
      <c r="DA122">
        <f t="shared" si="183"/>
        <v>0.16087045549727796</v>
      </c>
      <c r="DB122">
        <v>6</v>
      </c>
      <c r="DC122">
        <v>0.5</v>
      </c>
      <c r="DD122" t="s">
        <v>421</v>
      </c>
      <c r="DE122">
        <v>2</v>
      </c>
      <c r="DF122">
        <v>1689020024.0999999</v>
      </c>
      <c r="DG122">
        <v>334.47399999999999</v>
      </c>
      <c r="DH122">
        <v>399.935</v>
      </c>
      <c r="DI122">
        <v>29.186900000000001</v>
      </c>
      <c r="DJ122">
        <v>22.5379</v>
      </c>
      <c r="DK122">
        <v>333.60199999999998</v>
      </c>
      <c r="DL122">
        <v>28.927199999999999</v>
      </c>
      <c r="DM122">
        <v>500.01799999999997</v>
      </c>
      <c r="DN122">
        <v>99.1113</v>
      </c>
      <c r="DO122">
        <v>9.9737300000000001E-2</v>
      </c>
      <c r="DP122">
        <v>30.7286</v>
      </c>
      <c r="DQ122">
        <v>29.9558</v>
      </c>
      <c r="DR122">
        <v>999.9</v>
      </c>
      <c r="DS122">
        <v>0</v>
      </c>
      <c r="DT122">
        <v>0</v>
      </c>
      <c r="DU122">
        <v>9986.25</v>
      </c>
      <c r="DV122">
        <v>0</v>
      </c>
      <c r="DW122">
        <v>714.13499999999999</v>
      </c>
      <c r="DX122">
        <v>-65.460999999999999</v>
      </c>
      <c r="DY122">
        <v>344.53</v>
      </c>
      <c r="DZ122">
        <v>409.15600000000001</v>
      </c>
      <c r="EA122">
        <v>6.64907</v>
      </c>
      <c r="EB122">
        <v>399.935</v>
      </c>
      <c r="EC122">
        <v>22.5379</v>
      </c>
      <c r="ED122">
        <v>2.8927499999999999</v>
      </c>
      <c r="EE122">
        <v>2.2337600000000002</v>
      </c>
      <c r="EF122">
        <v>23.423200000000001</v>
      </c>
      <c r="EG122">
        <v>19.206499999999998</v>
      </c>
      <c r="EH122">
        <v>1800.18</v>
      </c>
      <c r="EI122">
        <v>0.97799499999999995</v>
      </c>
      <c r="EJ122">
        <v>2.2005199999999999E-2</v>
      </c>
      <c r="EK122">
        <v>0</v>
      </c>
      <c r="EL122">
        <v>721.54499999999996</v>
      </c>
      <c r="EM122">
        <v>5.0011200000000002</v>
      </c>
      <c r="EN122">
        <v>14265.4</v>
      </c>
      <c r="EO122">
        <v>17212.599999999999</v>
      </c>
      <c r="EP122">
        <v>49.186999999999998</v>
      </c>
      <c r="EQ122">
        <v>49.936999999999998</v>
      </c>
      <c r="ER122">
        <v>50.125</v>
      </c>
      <c r="ES122">
        <v>49.311999999999998</v>
      </c>
      <c r="ET122">
        <v>49.875</v>
      </c>
      <c r="EU122">
        <v>1755.68</v>
      </c>
      <c r="EV122">
        <v>39.5</v>
      </c>
      <c r="EW122">
        <v>0</v>
      </c>
      <c r="EX122">
        <v>1116.8000001907351</v>
      </c>
      <c r="EY122">
        <v>0</v>
      </c>
      <c r="EZ122">
        <v>721.61091999999985</v>
      </c>
      <c r="FA122">
        <v>0.40584614472351338</v>
      </c>
      <c r="FB122">
        <v>154.56923048998709</v>
      </c>
      <c r="FC122">
        <v>14246.956</v>
      </c>
      <c r="FD122">
        <v>15</v>
      </c>
      <c r="FE122">
        <v>1689019992.0999999</v>
      </c>
      <c r="FF122" t="s">
        <v>960</v>
      </c>
      <c r="FG122">
        <v>1689019992.0999999</v>
      </c>
      <c r="FH122">
        <v>1689019988.0999999</v>
      </c>
      <c r="FI122">
        <v>119</v>
      </c>
      <c r="FJ122">
        <v>2.3E-2</v>
      </c>
      <c r="FK122">
        <v>-1E-3</v>
      </c>
      <c r="FL122">
        <v>0.97199999999999998</v>
      </c>
      <c r="FM122">
        <v>0.26</v>
      </c>
      <c r="FN122">
        <v>400</v>
      </c>
      <c r="FO122">
        <v>23</v>
      </c>
      <c r="FP122">
        <v>0.04</v>
      </c>
      <c r="FQ122">
        <v>0.02</v>
      </c>
      <c r="FR122">
        <v>52.644548173216407</v>
      </c>
      <c r="FS122">
        <v>-0.39152849263601652</v>
      </c>
      <c r="FT122">
        <v>0.15916441962946309</v>
      </c>
      <c r="FU122">
        <v>1</v>
      </c>
      <c r="FV122">
        <v>0.43710187831808373</v>
      </c>
      <c r="FW122">
        <v>4.3135384690342364E-3</v>
      </c>
      <c r="FX122">
        <v>2.9462330027280339E-3</v>
      </c>
      <c r="FY122">
        <v>1</v>
      </c>
      <c r="FZ122">
        <v>2</v>
      </c>
      <c r="GA122">
        <v>2</v>
      </c>
      <c r="GB122" t="s">
        <v>423</v>
      </c>
      <c r="GC122">
        <v>2.92448</v>
      </c>
      <c r="GD122">
        <v>2.8269099999999998</v>
      </c>
      <c r="GE122">
        <v>7.6177599999999998E-2</v>
      </c>
      <c r="GF122">
        <v>8.8093500000000005E-2</v>
      </c>
      <c r="GG122">
        <v>0.12814400000000001</v>
      </c>
      <c r="GH122">
        <v>0.10750800000000001</v>
      </c>
      <c r="GI122">
        <v>30115</v>
      </c>
      <c r="GJ122">
        <v>24098</v>
      </c>
      <c r="GK122">
        <v>31370.400000000001</v>
      </c>
      <c r="GL122">
        <v>26068.3</v>
      </c>
      <c r="GM122">
        <v>37495.699999999997</v>
      </c>
      <c r="GN122">
        <v>31558.7</v>
      </c>
      <c r="GO122">
        <v>46586.400000000001</v>
      </c>
      <c r="GP122">
        <v>37901.800000000003</v>
      </c>
      <c r="GQ122">
        <v>1.9135500000000001</v>
      </c>
      <c r="GR122">
        <v>1.71655</v>
      </c>
      <c r="GS122">
        <v>3.6396100000000001E-2</v>
      </c>
      <c r="GT122">
        <v>0</v>
      </c>
      <c r="GU122">
        <v>29.363199999999999</v>
      </c>
      <c r="GV122">
        <v>999.9</v>
      </c>
      <c r="GW122">
        <v>37.6</v>
      </c>
      <c r="GX122">
        <v>45.6</v>
      </c>
      <c r="GY122">
        <v>37.711100000000002</v>
      </c>
      <c r="GZ122">
        <v>62.474699999999999</v>
      </c>
      <c r="HA122">
        <v>19.402999999999999</v>
      </c>
      <c r="HB122">
        <v>1</v>
      </c>
      <c r="HC122">
        <v>0.52654699999999999</v>
      </c>
      <c r="HD122">
        <v>1.1918500000000001</v>
      </c>
      <c r="HE122">
        <v>20.293600000000001</v>
      </c>
      <c r="HF122">
        <v>5.2196899999999999</v>
      </c>
      <c r="HG122">
        <v>12.0588</v>
      </c>
      <c r="HH122">
        <v>4.9914500000000004</v>
      </c>
      <c r="HI122">
        <v>3.2913999999999999</v>
      </c>
      <c r="HJ122">
        <v>9999</v>
      </c>
      <c r="HK122">
        <v>9999</v>
      </c>
      <c r="HL122">
        <v>9999</v>
      </c>
      <c r="HM122">
        <v>466.7</v>
      </c>
      <c r="HN122">
        <v>1.8668400000000001</v>
      </c>
      <c r="HO122">
        <v>1.87029</v>
      </c>
      <c r="HP122">
        <v>1.87287</v>
      </c>
      <c r="HQ122">
        <v>1.8737900000000001</v>
      </c>
      <c r="HR122">
        <v>1.8705700000000001</v>
      </c>
      <c r="HS122">
        <v>1.86893</v>
      </c>
      <c r="HT122">
        <v>1.87042</v>
      </c>
      <c r="HU122">
        <v>1.8733900000000001</v>
      </c>
      <c r="HV122">
        <v>0</v>
      </c>
      <c r="HW122">
        <v>0</v>
      </c>
      <c r="HX122">
        <v>0</v>
      </c>
      <c r="HY122">
        <v>0</v>
      </c>
      <c r="HZ122" t="s">
        <v>424</v>
      </c>
      <c r="IA122" t="s">
        <v>425</v>
      </c>
      <c r="IB122" t="s">
        <v>426</v>
      </c>
      <c r="IC122" t="s">
        <v>426</v>
      </c>
      <c r="ID122" t="s">
        <v>426</v>
      </c>
      <c r="IE122" t="s">
        <v>426</v>
      </c>
      <c r="IF122">
        <v>0</v>
      </c>
      <c r="IG122">
        <v>100</v>
      </c>
      <c r="IH122">
        <v>100</v>
      </c>
      <c r="II122">
        <v>0.872</v>
      </c>
      <c r="IJ122">
        <v>0.25969999999999999</v>
      </c>
      <c r="IK122">
        <v>0.1062508545765679</v>
      </c>
      <c r="IL122">
        <v>3.042515301972944E-3</v>
      </c>
      <c r="IM122">
        <v>-2.5091471490852929E-6</v>
      </c>
      <c r="IN122">
        <v>8.1339755115576286E-10</v>
      </c>
      <c r="IO122">
        <v>0.25972000000000151</v>
      </c>
      <c r="IP122">
        <v>0</v>
      </c>
      <c r="IQ122">
        <v>0</v>
      </c>
      <c r="IR122">
        <v>0</v>
      </c>
      <c r="IS122">
        <v>3</v>
      </c>
      <c r="IT122">
        <v>2004</v>
      </c>
      <c r="IU122">
        <v>2</v>
      </c>
      <c r="IV122">
        <v>22</v>
      </c>
      <c r="IW122">
        <v>0.5</v>
      </c>
      <c r="IX122">
        <v>0.6</v>
      </c>
      <c r="IY122">
        <v>1.02051</v>
      </c>
      <c r="IZ122">
        <v>2.6208499999999999</v>
      </c>
      <c r="JA122">
        <v>1.64917</v>
      </c>
      <c r="JB122">
        <v>2.33765</v>
      </c>
      <c r="JC122">
        <v>1.5991200000000001</v>
      </c>
      <c r="JD122">
        <v>2.2741699999999998</v>
      </c>
      <c r="JE122">
        <v>47.571800000000003</v>
      </c>
      <c r="JF122">
        <v>24.122499999999999</v>
      </c>
      <c r="JG122">
        <v>18</v>
      </c>
      <c r="JH122">
        <v>516.41300000000001</v>
      </c>
      <c r="JI122">
        <v>435.70699999999999</v>
      </c>
      <c r="JJ122">
        <v>28.6098</v>
      </c>
      <c r="JK122">
        <v>33.771700000000003</v>
      </c>
      <c r="JL122">
        <v>29.999199999999998</v>
      </c>
      <c r="JM122">
        <v>33.9773</v>
      </c>
      <c r="JN122">
        <v>33.994199999999999</v>
      </c>
      <c r="JO122">
        <v>20.431100000000001</v>
      </c>
      <c r="JP122">
        <v>49.186</v>
      </c>
      <c r="JQ122">
        <v>0</v>
      </c>
      <c r="JR122">
        <v>28.633400000000002</v>
      </c>
      <c r="JS122">
        <v>400</v>
      </c>
      <c r="JT122">
        <v>22.640599999999999</v>
      </c>
      <c r="JU122">
        <v>99.429199999999994</v>
      </c>
      <c r="JV122">
        <v>99.115099999999998</v>
      </c>
    </row>
    <row r="123" spans="1:282" x14ac:dyDescent="0.25">
      <c r="A123">
        <v>107</v>
      </c>
      <c r="B123">
        <v>1689020213.5999999</v>
      </c>
      <c r="C123">
        <v>20618.5</v>
      </c>
      <c r="D123" t="s">
        <v>961</v>
      </c>
      <c r="E123" t="s">
        <v>962</v>
      </c>
      <c r="F123" t="s">
        <v>414</v>
      </c>
      <c r="G123" t="s">
        <v>415</v>
      </c>
      <c r="H123" t="s">
        <v>500</v>
      </c>
      <c r="I123" t="s">
        <v>500</v>
      </c>
      <c r="J123" t="s">
        <v>417</v>
      </c>
      <c r="K123">
        <v>1689020213.5999999</v>
      </c>
      <c r="L123">
        <f t="shared" si="138"/>
        <v>6.94828467404149E-3</v>
      </c>
      <c r="M123">
        <f t="shared" si="139"/>
        <v>6.9482846740414903</v>
      </c>
      <c r="N123">
        <f t="shared" si="140"/>
        <v>46.582205738613837</v>
      </c>
      <c r="O123">
        <f t="shared" si="141"/>
        <v>242.2</v>
      </c>
      <c r="P123">
        <f t="shared" si="142"/>
        <v>83.99801787740877</v>
      </c>
      <c r="Q123">
        <f t="shared" si="143"/>
        <v>8.3331371808425612</v>
      </c>
      <c r="R123">
        <f t="shared" si="144"/>
        <v>24.027779181</v>
      </c>
      <c r="S123">
        <f t="shared" si="145"/>
        <v>0.52359123299369315</v>
      </c>
      <c r="T123">
        <f t="shared" si="146"/>
        <v>2.911854159035026</v>
      </c>
      <c r="U123">
        <f t="shared" si="147"/>
        <v>0.47635699388221786</v>
      </c>
      <c r="V123">
        <f t="shared" si="148"/>
        <v>0.30161103825993241</v>
      </c>
      <c r="W123">
        <f t="shared" si="149"/>
        <v>289.57649627382796</v>
      </c>
      <c r="X123">
        <f t="shared" si="150"/>
        <v>30.563567687228065</v>
      </c>
      <c r="Y123">
        <f t="shared" si="151"/>
        <v>30.105399999999999</v>
      </c>
      <c r="Z123">
        <f t="shared" si="152"/>
        <v>4.2863110621331169</v>
      </c>
      <c r="AA123">
        <f t="shared" si="153"/>
        <v>65.340189339922574</v>
      </c>
      <c r="AB123">
        <f t="shared" si="154"/>
        <v>2.8916073117270003</v>
      </c>
      <c r="AC123">
        <f t="shared" si="155"/>
        <v>4.4254651554250097</v>
      </c>
      <c r="AD123">
        <f t="shared" si="156"/>
        <v>1.3947037504061166</v>
      </c>
      <c r="AE123">
        <f t="shared" si="157"/>
        <v>-306.41935412522969</v>
      </c>
      <c r="AF123">
        <f t="shared" si="158"/>
        <v>87.565609057133827</v>
      </c>
      <c r="AG123">
        <f t="shared" si="159"/>
        <v>6.7120446305924171</v>
      </c>
      <c r="AH123">
        <f t="shared" si="160"/>
        <v>77.434795836324497</v>
      </c>
      <c r="AI123">
        <v>0</v>
      </c>
      <c r="AJ123">
        <v>0</v>
      </c>
      <c r="AK123">
        <f t="shared" si="161"/>
        <v>1</v>
      </c>
      <c r="AL123">
        <f t="shared" si="162"/>
        <v>0</v>
      </c>
      <c r="AM123">
        <f t="shared" si="163"/>
        <v>51716.507460057728</v>
      </c>
      <c r="AN123" t="s">
        <v>418</v>
      </c>
      <c r="AO123">
        <v>10021</v>
      </c>
      <c r="AP123">
        <v>177.53923076923081</v>
      </c>
      <c r="AQ123">
        <v>655.56</v>
      </c>
      <c r="AR123">
        <f t="shared" si="164"/>
        <v>0.72917928066198234</v>
      </c>
      <c r="AS123">
        <v>-3.1115002560329539</v>
      </c>
      <c r="AT123" t="s">
        <v>963</v>
      </c>
      <c r="AU123">
        <v>8027.29</v>
      </c>
      <c r="AV123">
        <v>696.52734615384622</v>
      </c>
      <c r="AW123">
        <v>1046.9514972717691</v>
      </c>
      <c r="AX123">
        <f t="shared" si="165"/>
        <v>0.33470905961841257</v>
      </c>
      <c r="AY123">
        <v>0.5</v>
      </c>
      <c r="AZ123">
        <f t="shared" si="166"/>
        <v>1513.2429058413616</v>
      </c>
      <c r="BA123">
        <f t="shared" si="167"/>
        <v>46.582205738613837</v>
      </c>
      <c r="BB123">
        <f t="shared" si="168"/>
        <v>253.2480549941981</v>
      </c>
      <c r="BC123">
        <f t="shared" si="169"/>
        <v>3.2839212926636614E-2</v>
      </c>
      <c r="BD123">
        <f t="shared" si="170"/>
        <v>-0.37383918767172003</v>
      </c>
      <c r="BE123">
        <f t="shared" si="171"/>
        <v>197.53872218489045</v>
      </c>
      <c r="BF123" t="s">
        <v>964</v>
      </c>
      <c r="BG123">
        <v>562.85</v>
      </c>
      <c r="BH123">
        <f t="shared" si="172"/>
        <v>562.85</v>
      </c>
      <c r="BI123">
        <f t="shared" si="173"/>
        <v>0.46239152294378483</v>
      </c>
      <c r="BJ123">
        <f t="shared" si="174"/>
        <v>0.7238650429564748</v>
      </c>
      <c r="BK123">
        <f t="shared" si="175"/>
        <v>-4.221675086525396</v>
      </c>
      <c r="BL123">
        <f t="shared" si="176"/>
        <v>0.4030586691945412</v>
      </c>
      <c r="BM123">
        <f t="shared" si="177"/>
        <v>-0.81877508774691155</v>
      </c>
      <c r="BN123">
        <f t="shared" si="178"/>
        <v>0.58494105318021627</v>
      </c>
      <c r="BO123">
        <f t="shared" si="179"/>
        <v>0.41505894681978373</v>
      </c>
      <c r="BP123">
        <v>22679</v>
      </c>
      <c r="BQ123">
        <v>290.00000000000011</v>
      </c>
      <c r="BR123">
        <v>920.79</v>
      </c>
      <c r="BS123">
        <v>295</v>
      </c>
      <c r="BT123">
        <v>8027.29</v>
      </c>
      <c r="BU123">
        <v>922.51</v>
      </c>
      <c r="BV123">
        <v>-1.72</v>
      </c>
      <c r="BW123">
        <v>300.00000000000011</v>
      </c>
      <c r="BX123">
        <v>19.399999999999999</v>
      </c>
      <c r="BY123">
        <v>1046.9514972717691</v>
      </c>
      <c r="BZ123">
        <v>3.246946592516458</v>
      </c>
      <c r="CA123">
        <v>-99.89486836014261</v>
      </c>
      <c r="CB123">
        <v>2.3942039694539141</v>
      </c>
      <c r="CC123">
        <v>0.98417060358066943</v>
      </c>
      <c r="CD123">
        <v>-4.1460209121245827E-3</v>
      </c>
      <c r="CE123">
        <v>289.99999999999989</v>
      </c>
      <c r="CF123">
        <v>916.31</v>
      </c>
      <c r="CG123">
        <v>625</v>
      </c>
      <c r="CH123">
        <v>8018.06</v>
      </c>
      <c r="CI123">
        <v>922.36</v>
      </c>
      <c r="CJ123">
        <v>-6.05</v>
      </c>
      <c r="CX123">
        <f t="shared" si="180"/>
        <v>1800.07</v>
      </c>
      <c r="CY123">
        <f t="shared" si="181"/>
        <v>1513.2429058413616</v>
      </c>
      <c r="CZ123">
        <f t="shared" si="182"/>
        <v>0.84065781099699544</v>
      </c>
      <c r="DA123">
        <f t="shared" si="183"/>
        <v>0.16086957522420126</v>
      </c>
      <c r="DB123">
        <v>6</v>
      </c>
      <c r="DC123">
        <v>0.5</v>
      </c>
      <c r="DD123" t="s">
        <v>421</v>
      </c>
      <c r="DE123">
        <v>2</v>
      </c>
      <c r="DF123">
        <v>1689020213.5999999</v>
      </c>
      <c r="DG123">
        <v>242.2</v>
      </c>
      <c r="DH123">
        <v>300.113</v>
      </c>
      <c r="DI123">
        <v>29.147400000000001</v>
      </c>
      <c r="DJ123">
        <v>21.0532</v>
      </c>
      <c r="DK123">
        <v>241.411</v>
      </c>
      <c r="DL123">
        <v>28.872299999999999</v>
      </c>
      <c r="DM123">
        <v>500.04399999999998</v>
      </c>
      <c r="DN123">
        <v>99.106200000000001</v>
      </c>
      <c r="DO123">
        <v>0.10015499999999999</v>
      </c>
      <c r="DP123">
        <v>30.6632</v>
      </c>
      <c r="DQ123">
        <v>30.105399999999999</v>
      </c>
      <c r="DR123">
        <v>999.9</v>
      </c>
      <c r="DS123">
        <v>0</v>
      </c>
      <c r="DT123">
        <v>0</v>
      </c>
      <c r="DU123">
        <v>9988.75</v>
      </c>
      <c r="DV123">
        <v>0</v>
      </c>
      <c r="DW123">
        <v>1836.27</v>
      </c>
      <c r="DX123">
        <v>-57.9131</v>
      </c>
      <c r="DY123">
        <v>249.471</v>
      </c>
      <c r="DZ123">
        <v>306.56700000000001</v>
      </c>
      <c r="EA123">
        <v>8.0941899999999993</v>
      </c>
      <c r="EB123">
        <v>300.113</v>
      </c>
      <c r="EC123">
        <v>21.0532</v>
      </c>
      <c r="ED123">
        <v>2.88869</v>
      </c>
      <c r="EE123">
        <v>2.0865100000000001</v>
      </c>
      <c r="EF123">
        <v>23.399899999999999</v>
      </c>
      <c r="EG123">
        <v>18.116499999999998</v>
      </c>
      <c r="EH123">
        <v>1800.07</v>
      </c>
      <c r="EI123">
        <v>0.97800900000000002</v>
      </c>
      <c r="EJ123">
        <v>2.1990699999999998E-2</v>
      </c>
      <c r="EK123">
        <v>0</v>
      </c>
      <c r="EL123">
        <v>696.91800000000001</v>
      </c>
      <c r="EM123">
        <v>5.0011200000000002</v>
      </c>
      <c r="EN123">
        <v>14350.9</v>
      </c>
      <c r="EO123">
        <v>17211.7</v>
      </c>
      <c r="EP123">
        <v>49.061999999999998</v>
      </c>
      <c r="EQ123">
        <v>50.125</v>
      </c>
      <c r="ER123">
        <v>50</v>
      </c>
      <c r="ES123">
        <v>49.186999999999998</v>
      </c>
      <c r="ET123">
        <v>49.561999999999998</v>
      </c>
      <c r="EU123">
        <v>1755.59</v>
      </c>
      <c r="EV123">
        <v>39.47</v>
      </c>
      <c r="EW123">
        <v>0</v>
      </c>
      <c r="EX123">
        <v>187.20000004768369</v>
      </c>
      <c r="EY123">
        <v>0</v>
      </c>
      <c r="EZ123">
        <v>696.52734615384622</v>
      </c>
      <c r="FA123">
        <v>2.7044444399748171</v>
      </c>
      <c r="FB123">
        <v>15.84957296383307</v>
      </c>
      <c r="FC123">
        <v>14345.63846153846</v>
      </c>
      <c r="FD123">
        <v>15</v>
      </c>
      <c r="FE123">
        <v>1689020118.5999999</v>
      </c>
      <c r="FF123" t="s">
        <v>965</v>
      </c>
      <c r="FG123">
        <v>1689020103.5999999</v>
      </c>
      <c r="FH123">
        <v>1689020118.5999999</v>
      </c>
      <c r="FI123">
        <v>120</v>
      </c>
      <c r="FJ123">
        <v>8.3000000000000004E-2</v>
      </c>
      <c r="FK123">
        <v>1.4999999999999999E-2</v>
      </c>
      <c r="FL123">
        <v>0.89700000000000002</v>
      </c>
      <c r="FM123">
        <v>0.27500000000000002</v>
      </c>
      <c r="FN123">
        <v>300</v>
      </c>
      <c r="FO123">
        <v>23</v>
      </c>
      <c r="FP123">
        <v>0.3</v>
      </c>
      <c r="FQ123">
        <v>0.02</v>
      </c>
      <c r="FR123">
        <v>46.349036681516893</v>
      </c>
      <c r="FS123">
        <v>1.091949773303545</v>
      </c>
      <c r="FT123">
        <v>0.1018675867075563</v>
      </c>
      <c r="FU123">
        <v>0</v>
      </c>
      <c r="FV123">
        <v>0.52012093665588544</v>
      </c>
      <c r="FW123">
        <v>5.2846162625386182E-3</v>
      </c>
      <c r="FX123">
        <v>1.53381384136253E-3</v>
      </c>
      <c r="FY123">
        <v>1</v>
      </c>
      <c r="FZ123">
        <v>1</v>
      </c>
      <c r="GA123">
        <v>2</v>
      </c>
      <c r="GB123" t="s">
        <v>462</v>
      </c>
      <c r="GC123">
        <v>2.9247200000000002</v>
      </c>
      <c r="GD123">
        <v>2.82735</v>
      </c>
      <c r="GE123">
        <v>5.8206000000000001E-2</v>
      </c>
      <c r="GF123">
        <v>7.0070499999999994E-2</v>
      </c>
      <c r="GG123">
        <v>0.128024</v>
      </c>
      <c r="GH123">
        <v>0.10249999999999999</v>
      </c>
      <c r="GI123">
        <v>30711.7</v>
      </c>
      <c r="GJ123">
        <v>24580.799999999999</v>
      </c>
      <c r="GK123">
        <v>31381.4</v>
      </c>
      <c r="GL123">
        <v>26075.3</v>
      </c>
      <c r="GM123">
        <v>37512.699999999997</v>
      </c>
      <c r="GN123">
        <v>31744.2</v>
      </c>
      <c r="GO123">
        <v>46602.2</v>
      </c>
      <c r="GP123">
        <v>37912.1</v>
      </c>
      <c r="GQ123">
        <v>1.91825</v>
      </c>
      <c r="GR123">
        <v>1.71658</v>
      </c>
      <c r="GS123">
        <v>-1.27405E-2</v>
      </c>
      <c r="GT123">
        <v>0</v>
      </c>
      <c r="GU123">
        <v>30.3126</v>
      </c>
      <c r="GV123">
        <v>999.9</v>
      </c>
      <c r="GW123">
        <v>37.799999999999997</v>
      </c>
      <c r="GX123">
        <v>45.5</v>
      </c>
      <c r="GY123">
        <v>37.722900000000003</v>
      </c>
      <c r="GZ123">
        <v>62.204700000000003</v>
      </c>
      <c r="HA123">
        <v>19.723600000000001</v>
      </c>
      <c r="HB123">
        <v>1</v>
      </c>
      <c r="HC123">
        <v>0.52035299999999995</v>
      </c>
      <c r="HD123">
        <v>3.4407199999999998</v>
      </c>
      <c r="HE123">
        <v>20.2639</v>
      </c>
      <c r="HF123">
        <v>5.2262700000000004</v>
      </c>
      <c r="HG123">
        <v>12.0601</v>
      </c>
      <c r="HH123">
        <v>4.9930000000000003</v>
      </c>
      <c r="HI123">
        <v>3.2919999999999998</v>
      </c>
      <c r="HJ123">
        <v>9999</v>
      </c>
      <c r="HK123">
        <v>9999</v>
      </c>
      <c r="HL123">
        <v>9999</v>
      </c>
      <c r="HM123">
        <v>466.7</v>
      </c>
      <c r="HN123">
        <v>1.8668199999999999</v>
      </c>
      <c r="HO123">
        <v>1.8702700000000001</v>
      </c>
      <c r="HP123">
        <v>1.8728899999999999</v>
      </c>
      <c r="HQ123">
        <v>1.87378</v>
      </c>
      <c r="HR123">
        <v>1.8705700000000001</v>
      </c>
      <c r="HS123">
        <v>1.86894</v>
      </c>
      <c r="HT123">
        <v>1.87042</v>
      </c>
      <c r="HU123">
        <v>1.87337</v>
      </c>
      <c r="HV123">
        <v>0</v>
      </c>
      <c r="HW123">
        <v>0</v>
      </c>
      <c r="HX123">
        <v>0</v>
      </c>
      <c r="HY123">
        <v>0</v>
      </c>
      <c r="HZ123" t="s">
        <v>424</v>
      </c>
      <c r="IA123" t="s">
        <v>425</v>
      </c>
      <c r="IB123" t="s">
        <v>426</v>
      </c>
      <c r="IC123" t="s">
        <v>426</v>
      </c>
      <c r="ID123" t="s">
        <v>426</v>
      </c>
      <c r="IE123" t="s">
        <v>426</v>
      </c>
      <c r="IF123">
        <v>0</v>
      </c>
      <c r="IG123">
        <v>100</v>
      </c>
      <c r="IH123">
        <v>100</v>
      </c>
      <c r="II123">
        <v>0.78900000000000003</v>
      </c>
      <c r="IJ123">
        <v>0.27510000000000001</v>
      </c>
      <c r="IK123">
        <v>0.18939168983571961</v>
      </c>
      <c r="IL123">
        <v>3.042515301972944E-3</v>
      </c>
      <c r="IM123">
        <v>-2.5091471490852929E-6</v>
      </c>
      <c r="IN123">
        <v>8.1339755115576286E-10</v>
      </c>
      <c r="IO123">
        <v>0.27507142857143307</v>
      </c>
      <c r="IP123">
        <v>0</v>
      </c>
      <c r="IQ123">
        <v>0</v>
      </c>
      <c r="IR123">
        <v>0</v>
      </c>
      <c r="IS123">
        <v>3</v>
      </c>
      <c r="IT123">
        <v>2004</v>
      </c>
      <c r="IU123">
        <v>2</v>
      </c>
      <c r="IV123">
        <v>22</v>
      </c>
      <c r="IW123">
        <v>1.8</v>
      </c>
      <c r="IX123">
        <v>1.6</v>
      </c>
      <c r="IY123">
        <v>0.80566400000000005</v>
      </c>
      <c r="IZ123">
        <v>2.5988799999999999</v>
      </c>
      <c r="JA123">
        <v>1.64917</v>
      </c>
      <c r="JB123">
        <v>2.33887</v>
      </c>
      <c r="JC123">
        <v>1.5991200000000001</v>
      </c>
      <c r="JD123">
        <v>2.2692899999999998</v>
      </c>
      <c r="JE123">
        <v>47.3917</v>
      </c>
      <c r="JF123">
        <v>24.113800000000001</v>
      </c>
      <c r="JG123">
        <v>18</v>
      </c>
      <c r="JH123">
        <v>518.077</v>
      </c>
      <c r="JI123">
        <v>434.48599999999999</v>
      </c>
      <c r="JJ123">
        <v>27.353200000000001</v>
      </c>
      <c r="JK123">
        <v>33.624499999999998</v>
      </c>
      <c r="JL123">
        <v>30.0014</v>
      </c>
      <c r="JM123">
        <v>33.789200000000001</v>
      </c>
      <c r="JN123">
        <v>33.819899999999997</v>
      </c>
      <c r="JO123">
        <v>16.127600000000001</v>
      </c>
      <c r="JP123">
        <v>54.2547</v>
      </c>
      <c r="JQ123">
        <v>0</v>
      </c>
      <c r="JR123">
        <v>27.277100000000001</v>
      </c>
      <c r="JS123">
        <v>300</v>
      </c>
      <c r="JT123">
        <v>20.957999999999998</v>
      </c>
      <c r="JU123">
        <v>99.463300000000004</v>
      </c>
      <c r="JV123">
        <v>99.141999999999996</v>
      </c>
    </row>
    <row r="124" spans="1:282" x14ac:dyDescent="0.25">
      <c r="A124">
        <v>108</v>
      </c>
      <c r="B124">
        <v>1689020386.5999999</v>
      </c>
      <c r="C124">
        <v>20791.5</v>
      </c>
      <c r="D124" t="s">
        <v>966</v>
      </c>
      <c r="E124" t="s">
        <v>967</v>
      </c>
      <c r="F124" t="s">
        <v>414</v>
      </c>
      <c r="G124" t="s">
        <v>415</v>
      </c>
      <c r="H124" t="s">
        <v>500</v>
      </c>
      <c r="I124" t="s">
        <v>500</v>
      </c>
      <c r="J124" t="s">
        <v>417</v>
      </c>
      <c r="K124">
        <v>1689020386.5999999</v>
      </c>
      <c r="L124">
        <f t="shared" si="138"/>
        <v>7.6676575216599735E-3</v>
      </c>
      <c r="M124">
        <f t="shared" si="139"/>
        <v>7.6676575216599732</v>
      </c>
      <c r="N124">
        <f t="shared" si="140"/>
        <v>34.14599803494211</v>
      </c>
      <c r="O124">
        <f t="shared" si="141"/>
        <v>157.566</v>
      </c>
      <c r="P124">
        <f t="shared" si="142"/>
        <v>53.613068562804983</v>
      </c>
      <c r="Q124">
        <f t="shared" si="143"/>
        <v>5.319463614775878</v>
      </c>
      <c r="R124">
        <f t="shared" si="144"/>
        <v>15.633624905164801</v>
      </c>
      <c r="S124">
        <f t="shared" si="145"/>
        <v>0.58938597183455366</v>
      </c>
      <c r="T124">
        <f t="shared" si="146"/>
        <v>2.9158077900370767</v>
      </c>
      <c r="U124">
        <f t="shared" si="147"/>
        <v>0.53032315344106484</v>
      </c>
      <c r="V124">
        <f t="shared" si="148"/>
        <v>0.33626394117420855</v>
      </c>
      <c r="W124">
        <f t="shared" si="149"/>
        <v>289.54630057684471</v>
      </c>
      <c r="X124">
        <f t="shared" si="150"/>
        <v>30.214156040079263</v>
      </c>
      <c r="Y124">
        <f t="shared" si="151"/>
        <v>29.945599999999999</v>
      </c>
      <c r="Z124">
        <f t="shared" si="152"/>
        <v>4.2471552939820381</v>
      </c>
      <c r="AA124">
        <f t="shared" si="153"/>
        <v>65.318425419678206</v>
      </c>
      <c r="AB124">
        <f t="shared" si="154"/>
        <v>2.8640015801318404</v>
      </c>
      <c r="AC124">
        <f t="shared" si="155"/>
        <v>4.3846763937285829</v>
      </c>
      <c r="AD124">
        <f t="shared" si="156"/>
        <v>1.3831537138501977</v>
      </c>
      <c r="AE124">
        <f t="shared" si="157"/>
        <v>-338.14369670520483</v>
      </c>
      <c r="AF124">
        <f t="shared" si="158"/>
        <v>87.354389335649572</v>
      </c>
      <c r="AG124">
        <f t="shared" si="159"/>
        <v>6.6761450952633874</v>
      </c>
      <c r="AH124">
        <f t="shared" si="160"/>
        <v>45.433138302552848</v>
      </c>
      <c r="AI124">
        <v>0</v>
      </c>
      <c r="AJ124">
        <v>0</v>
      </c>
      <c r="AK124">
        <f t="shared" si="161"/>
        <v>1</v>
      </c>
      <c r="AL124">
        <f t="shared" si="162"/>
        <v>0</v>
      </c>
      <c r="AM124">
        <f t="shared" si="163"/>
        <v>51856.683534500648</v>
      </c>
      <c r="AN124" t="s">
        <v>418</v>
      </c>
      <c r="AO124">
        <v>10021</v>
      </c>
      <c r="AP124">
        <v>177.53923076923081</v>
      </c>
      <c r="AQ124">
        <v>655.56</v>
      </c>
      <c r="AR124">
        <f t="shared" si="164"/>
        <v>0.72917928066198234</v>
      </c>
      <c r="AS124">
        <v>-3.1115002560329539</v>
      </c>
      <c r="AT124" t="s">
        <v>968</v>
      </c>
      <c r="AU124">
        <v>8025.71</v>
      </c>
      <c r="AV124">
        <v>675.38673076923067</v>
      </c>
      <c r="AW124">
        <v>901.75457716841152</v>
      </c>
      <c r="AX124">
        <f t="shared" si="165"/>
        <v>0.25103043791581936</v>
      </c>
      <c r="AY124">
        <v>0.5</v>
      </c>
      <c r="AZ124">
        <f t="shared" si="166"/>
        <v>1513.0757992626138</v>
      </c>
      <c r="BA124">
        <f t="shared" si="167"/>
        <v>34.14599803494211</v>
      </c>
      <c r="BB124">
        <f t="shared" si="168"/>
        <v>189.91404024436116</v>
      </c>
      <c r="BC124">
        <f t="shared" si="169"/>
        <v>2.4623682639780656E-2</v>
      </c>
      <c r="BD124">
        <f t="shared" si="170"/>
        <v>-0.27301727476835674</v>
      </c>
      <c r="BE124">
        <f t="shared" si="171"/>
        <v>191.71434702027233</v>
      </c>
      <c r="BF124" t="s">
        <v>969</v>
      </c>
      <c r="BG124">
        <v>551.86</v>
      </c>
      <c r="BH124">
        <f t="shared" si="172"/>
        <v>551.86</v>
      </c>
      <c r="BI124">
        <f t="shared" si="173"/>
        <v>0.38801530485945657</v>
      </c>
      <c r="BJ124">
        <f t="shared" si="174"/>
        <v>0.64696014505599297</v>
      </c>
      <c r="BK124">
        <f t="shared" si="175"/>
        <v>-2.3741039264070563</v>
      </c>
      <c r="BL124">
        <f t="shared" si="176"/>
        <v>0.31256980057753292</v>
      </c>
      <c r="BM124">
        <f t="shared" si="177"/>
        <v>-0.5150290385176941</v>
      </c>
      <c r="BN124">
        <f t="shared" si="178"/>
        <v>0.52863257358337479</v>
      </c>
      <c r="BO124">
        <f t="shared" si="179"/>
        <v>0.47136742641662521</v>
      </c>
      <c r="BP124">
        <v>22681</v>
      </c>
      <c r="BQ124">
        <v>290.00000000000011</v>
      </c>
      <c r="BR124">
        <v>839.92</v>
      </c>
      <c r="BS124">
        <v>285</v>
      </c>
      <c r="BT124">
        <v>8025.71</v>
      </c>
      <c r="BU124">
        <v>840.96</v>
      </c>
      <c r="BV124">
        <v>-1.04</v>
      </c>
      <c r="BW124">
        <v>300.00000000000011</v>
      </c>
      <c r="BX124">
        <v>19.399999999999999</v>
      </c>
      <c r="BY124">
        <v>901.75457716841152</v>
      </c>
      <c r="BZ124">
        <v>3.2714547143095172</v>
      </c>
      <c r="CA124">
        <v>-48.793225497619083</v>
      </c>
      <c r="CB124">
        <v>2.4118072207500592</v>
      </c>
      <c r="CC124">
        <v>0.93596964343497457</v>
      </c>
      <c r="CD124">
        <v>-4.1451379310344788E-3</v>
      </c>
      <c r="CE124">
        <v>289.99999999999989</v>
      </c>
      <c r="CF124">
        <v>841.19</v>
      </c>
      <c r="CG124">
        <v>645</v>
      </c>
      <c r="CH124">
        <v>8015.85</v>
      </c>
      <c r="CI124">
        <v>840.88</v>
      </c>
      <c r="CJ124">
        <v>0.31</v>
      </c>
      <c r="CX124">
        <f t="shared" si="180"/>
        <v>1799.87</v>
      </c>
      <c r="CY124">
        <f t="shared" si="181"/>
        <v>1513.0757992626138</v>
      </c>
      <c r="CZ124">
        <f t="shared" si="182"/>
        <v>0.84065838047337527</v>
      </c>
      <c r="DA124">
        <f t="shared" si="183"/>
        <v>0.16087067431361418</v>
      </c>
      <c r="DB124">
        <v>6</v>
      </c>
      <c r="DC124">
        <v>0.5</v>
      </c>
      <c r="DD124" t="s">
        <v>421</v>
      </c>
      <c r="DE124">
        <v>2</v>
      </c>
      <c r="DF124">
        <v>1689020386.5999999</v>
      </c>
      <c r="DG124">
        <v>157.566</v>
      </c>
      <c r="DH124">
        <v>199.982</v>
      </c>
      <c r="DI124">
        <v>28.865300000000001</v>
      </c>
      <c r="DJ124">
        <v>19.9316</v>
      </c>
      <c r="DK124">
        <v>157.16499999999999</v>
      </c>
      <c r="DL124">
        <v>28.6038</v>
      </c>
      <c r="DM124">
        <v>500.10599999999999</v>
      </c>
      <c r="DN124">
        <v>99.119600000000005</v>
      </c>
      <c r="DO124">
        <v>9.9932800000000002E-2</v>
      </c>
      <c r="DP124">
        <v>30.501300000000001</v>
      </c>
      <c r="DQ124">
        <v>29.945599999999999</v>
      </c>
      <c r="DR124">
        <v>999.9</v>
      </c>
      <c r="DS124">
        <v>0</v>
      </c>
      <c r="DT124">
        <v>0</v>
      </c>
      <c r="DU124">
        <v>10010</v>
      </c>
      <c r="DV124">
        <v>0</v>
      </c>
      <c r="DW124">
        <v>1802.27</v>
      </c>
      <c r="DX124">
        <v>-42.415599999999998</v>
      </c>
      <c r="DY124">
        <v>162.249</v>
      </c>
      <c r="DZ124">
        <v>204.04900000000001</v>
      </c>
      <c r="EA124">
        <v>8.9337199999999992</v>
      </c>
      <c r="EB124">
        <v>199.982</v>
      </c>
      <c r="EC124">
        <v>19.9316</v>
      </c>
      <c r="ED124">
        <v>2.8611200000000001</v>
      </c>
      <c r="EE124">
        <v>1.9756100000000001</v>
      </c>
      <c r="EF124">
        <v>23.241</v>
      </c>
      <c r="EG124">
        <v>17.2502</v>
      </c>
      <c r="EH124">
        <v>1799.87</v>
      </c>
      <c r="EI124">
        <v>0.97799100000000005</v>
      </c>
      <c r="EJ124">
        <v>2.2008799999999999E-2</v>
      </c>
      <c r="EK124">
        <v>0</v>
      </c>
      <c r="EL124">
        <v>675.65599999999995</v>
      </c>
      <c r="EM124">
        <v>5.0011200000000002</v>
      </c>
      <c r="EN124">
        <v>13940.4</v>
      </c>
      <c r="EO124">
        <v>17209.599999999999</v>
      </c>
      <c r="EP124">
        <v>49.375</v>
      </c>
      <c r="EQ124">
        <v>50.686999999999998</v>
      </c>
      <c r="ER124">
        <v>50.25</v>
      </c>
      <c r="ES124">
        <v>49.686999999999998</v>
      </c>
      <c r="ET124">
        <v>50</v>
      </c>
      <c r="EU124">
        <v>1755.37</v>
      </c>
      <c r="EV124">
        <v>39.5</v>
      </c>
      <c r="EW124">
        <v>0</v>
      </c>
      <c r="EX124">
        <v>171</v>
      </c>
      <c r="EY124">
        <v>0</v>
      </c>
      <c r="EZ124">
        <v>675.38673076923067</v>
      </c>
      <c r="FA124">
        <v>0.13234188439214101</v>
      </c>
      <c r="FB124">
        <v>19.70940151604249</v>
      </c>
      <c r="FC124">
        <v>13937.719230769229</v>
      </c>
      <c r="FD124">
        <v>15</v>
      </c>
      <c r="FE124">
        <v>1689020339.5999999</v>
      </c>
      <c r="FF124" t="s">
        <v>970</v>
      </c>
      <c r="FG124">
        <v>1689020330.5999999</v>
      </c>
      <c r="FH124">
        <v>1689020339.5999999</v>
      </c>
      <c r="FI124">
        <v>121</v>
      </c>
      <c r="FJ124">
        <v>-0.20799999999999999</v>
      </c>
      <c r="FK124">
        <v>-1.4E-2</v>
      </c>
      <c r="FL124">
        <v>0.495</v>
      </c>
      <c r="FM124">
        <v>0.22600000000000001</v>
      </c>
      <c r="FN124">
        <v>200</v>
      </c>
      <c r="FO124">
        <v>21</v>
      </c>
      <c r="FP124">
        <v>7.0000000000000007E-2</v>
      </c>
      <c r="FQ124">
        <v>0.01</v>
      </c>
      <c r="FR124">
        <v>34.038856411199987</v>
      </c>
      <c r="FS124">
        <v>0.64999953607272731</v>
      </c>
      <c r="FT124">
        <v>7.0025177009327755E-2</v>
      </c>
      <c r="FU124">
        <v>1</v>
      </c>
      <c r="FV124">
        <v>0.59328199399944848</v>
      </c>
      <c r="FW124">
        <v>-2.559462418630375E-2</v>
      </c>
      <c r="FX124">
        <v>2.830735335278012E-3</v>
      </c>
      <c r="FY124">
        <v>1</v>
      </c>
      <c r="FZ124">
        <v>2</v>
      </c>
      <c r="GA124">
        <v>2</v>
      </c>
      <c r="GB124" t="s">
        <v>423</v>
      </c>
      <c r="GC124">
        <v>2.92456</v>
      </c>
      <c r="GD124">
        <v>2.8273199999999998</v>
      </c>
      <c r="GE124">
        <v>3.9651600000000002E-2</v>
      </c>
      <c r="GF124">
        <v>4.9471599999999998E-2</v>
      </c>
      <c r="GG124">
        <v>0.127161</v>
      </c>
      <c r="GH124">
        <v>9.8567100000000005E-2</v>
      </c>
      <c r="GI124">
        <v>31296.5</v>
      </c>
      <c r="GJ124">
        <v>25112.5</v>
      </c>
      <c r="GK124">
        <v>31362.7</v>
      </c>
      <c r="GL124">
        <v>26064</v>
      </c>
      <c r="GM124">
        <v>37527.800000000003</v>
      </c>
      <c r="GN124">
        <v>31869.7</v>
      </c>
      <c r="GO124">
        <v>46573.9</v>
      </c>
      <c r="GP124">
        <v>37895.599999999999</v>
      </c>
      <c r="GQ124">
        <v>1.91655</v>
      </c>
      <c r="GR124">
        <v>1.7096</v>
      </c>
      <c r="GS124">
        <v>-3.5315800000000001E-2</v>
      </c>
      <c r="GT124">
        <v>0</v>
      </c>
      <c r="GU124">
        <v>30.52</v>
      </c>
      <c r="GV124">
        <v>999.9</v>
      </c>
      <c r="GW124">
        <v>38.200000000000003</v>
      </c>
      <c r="GX124">
        <v>45.5</v>
      </c>
      <c r="GY124">
        <v>38.112099999999998</v>
      </c>
      <c r="GZ124">
        <v>62.424700000000001</v>
      </c>
      <c r="HA124">
        <v>19.4391</v>
      </c>
      <c r="HB124">
        <v>1</v>
      </c>
      <c r="HC124">
        <v>0.54410099999999995</v>
      </c>
      <c r="HD124">
        <v>2.5224899999999999</v>
      </c>
      <c r="HE124">
        <v>20.279800000000002</v>
      </c>
      <c r="HF124">
        <v>5.2241799999999996</v>
      </c>
      <c r="HG124">
        <v>12.0585</v>
      </c>
      <c r="HH124">
        <v>4.9933500000000004</v>
      </c>
      <c r="HI124">
        <v>3.2919999999999998</v>
      </c>
      <c r="HJ124">
        <v>9999</v>
      </c>
      <c r="HK124">
        <v>9999</v>
      </c>
      <c r="HL124">
        <v>9999</v>
      </c>
      <c r="HM124">
        <v>466.8</v>
      </c>
      <c r="HN124">
        <v>1.86683</v>
      </c>
      <c r="HO124">
        <v>1.8702799999999999</v>
      </c>
      <c r="HP124">
        <v>1.8728800000000001</v>
      </c>
      <c r="HQ124">
        <v>1.87378</v>
      </c>
      <c r="HR124">
        <v>1.8705700000000001</v>
      </c>
      <c r="HS124">
        <v>1.86896</v>
      </c>
      <c r="HT124">
        <v>1.87042</v>
      </c>
      <c r="HU124">
        <v>1.8733599999999999</v>
      </c>
      <c r="HV124">
        <v>0</v>
      </c>
      <c r="HW124">
        <v>0</v>
      </c>
      <c r="HX124">
        <v>0</v>
      </c>
      <c r="HY124">
        <v>0</v>
      </c>
      <c r="HZ124" t="s">
        <v>424</v>
      </c>
      <c r="IA124" t="s">
        <v>425</v>
      </c>
      <c r="IB124" t="s">
        <v>426</v>
      </c>
      <c r="IC124" t="s">
        <v>426</v>
      </c>
      <c r="ID124" t="s">
        <v>426</v>
      </c>
      <c r="IE124" t="s">
        <v>426</v>
      </c>
      <c r="IF124">
        <v>0</v>
      </c>
      <c r="IG124">
        <v>100</v>
      </c>
      <c r="IH124">
        <v>100</v>
      </c>
      <c r="II124">
        <v>0.40100000000000002</v>
      </c>
      <c r="IJ124">
        <v>0.26150000000000001</v>
      </c>
      <c r="IK124">
        <v>-1.8383168671142671E-2</v>
      </c>
      <c r="IL124">
        <v>3.042515301972944E-3</v>
      </c>
      <c r="IM124">
        <v>-2.5091471490852929E-6</v>
      </c>
      <c r="IN124">
        <v>8.1339755115576286E-10</v>
      </c>
      <c r="IO124">
        <v>0.26149443988211768</v>
      </c>
      <c r="IP124">
        <v>0</v>
      </c>
      <c r="IQ124">
        <v>0</v>
      </c>
      <c r="IR124">
        <v>0</v>
      </c>
      <c r="IS124">
        <v>3</v>
      </c>
      <c r="IT124">
        <v>2004</v>
      </c>
      <c r="IU124">
        <v>2</v>
      </c>
      <c r="IV124">
        <v>22</v>
      </c>
      <c r="IW124">
        <v>0.9</v>
      </c>
      <c r="IX124">
        <v>0.8</v>
      </c>
      <c r="IY124">
        <v>0.57861300000000004</v>
      </c>
      <c r="IZ124">
        <v>2.6049799999999999</v>
      </c>
      <c r="JA124">
        <v>1.64917</v>
      </c>
      <c r="JB124">
        <v>2.33887</v>
      </c>
      <c r="JC124">
        <v>1.5991200000000001</v>
      </c>
      <c r="JD124">
        <v>2.2668499999999998</v>
      </c>
      <c r="JE124">
        <v>47.541699999999999</v>
      </c>
      <c r="JF124">
        <v>24.113800000000001</v>
      </c>
      <c r="JG124">
        <v>18</v>
      </c>
      <c r="JH124">
        <v>518.42600000000004</v>
      </c>
      <c r="JI124">
        <v>431.17200000000003</v>
      </c>
      <c r="JJ124">
        <v>27.604099999999999</v>
      </c>
      <c r="JK124">
        <v>33.920299999999997</v>
      </c>
      <c r="JL124">
        <v>30.000800000000002</v>
      </c>
      <c r="JM124">
        <v>33.980400000000003</v>
      </c>
      <c r="JN124">
        <v>33.989100000000001</v>
      </c>
      <c r="JO124">
        <v>11.5982</v>
      </c>
      <c r="JP124">
        <v>57.220100000000002</v>
      </c>
      <c r="JQ124">
        <v>0</v>
      </c>
      <c r="JR124">
        <v>27.6374</v>
      </c>
      <c r="JS124">
        <v>200</v>
      </c>
      <c r="JT124">
        <v>19.804600000000001</v>
      </c>
      <c r="JU124">
        <v>99.403400000000005</v>
      </c>
      <c r="JV124">
        <v>99.098799999999997</v>
      </c>
    </row>
    <row r="125" spans="1:282" x14ac:dyDescent="0.25">
      <c r="A125">
        <v>109</v>
      </c>
      <c r="B125">
        <v>1689020528.5999999</v>
      </c>
      <c r="C125">
        <v>20933.5</v>
      </c>
      <c r="D125" t="s">
        <v>971</v>
      </c>
      <c r="E125" t="s">
        <v>972</v>
      </c>
      <c r="F125" t="s">
        <v>414</v>
      </c>
      <c r="G125" t="s">
        <v>415</v>
      </c>
      <c r="H125" t="s">
        <v>500</v>
      </c>
      <c r="I125" t="s">
        <v>500</v>
      </c>
      <c r="J125" t="s">
        <v>417</v>
      </c>
      <c r="K125">
        <v>1689020528.5999999</v>
      </c>
      <c r="L125">
        <f t="shared" si="138"/>
        <v>7.939326642385381E-3</v>
      </c>
      <c r="M125">
        <f t="shared" si="139"/>
        <v>7.9393266423853808</v>
      </c>
      <c r="N125">
        <f t="shared" si="140"/>
        <v>21.374916236082779</v>
      </c>
      <c r="O125">
        <f t="shared" si="141"/>
        <v>93.437100000000001</v>
      </c>
      <c r="P125">
        <f t="shared" si="142"/>
        <v>30.935751563871975</v>
      </c>
      <c r="Q125">
        <f t="shared" si="143"/>
        <v>3.0694957882496809</v>
      </c>
      <c r="R125">
        <f t="shared" si="144"/>
        <v>9.2709816447842996</v>
      </c>
      <c r="S125">
        <f t="shared" si="145"/>
        <v>0.61567867731607151</v>
      </c>
      <c r="T125">
        <f t="shared" si="146"/>
        <v>2.9136535877118801</v>
      </c>
      <c r="U125">
        <f t="shared" si="147"/>
        <v>0.55149287192485319</v>
      </c>
      <c r="V125">
        <f t="shared" si="148"/>
        <v>0.34989060444729808</v>
      </c>
      <c r="W125">
        <f t="shared" si="149"/>
        <v>289.53832057680518</v>
      </c>
      <c r="X125">
        <f t="shared" si="150"/>
        <v>30.223694440146165</v>
      </c>
      <c r="Y125">
        <f t="shared" si="151"/>
        <v>29.994199999999999</v>
      </c>
      <c r="Z125">
        <f t="shared" si="152"/>
        <v>4.2590306213415525</v>
      </c>
      <c r="AA125">
        <f t="shared" si="153"/>
        <v>65.427231279785843</v>
      </c>
      <c r="AB125">
        <f t="shared" si="154"/>
        <v>2.8820312407711999</v>
      </c>
      <c r="AC125">
        <f t="shared" si="155"/>
        <v>4.404941466110337</v>
      </c>
      <c r="AD125">
        <f t="shared" si="156"/>
        <v>1.3769993805703526</v>
      </c>
      <c r="AE125">
        <f t="shared" si="157"/>
        <v>-350.12430492919532</v>
      </c>
      <c r="AF125">
        <f t="shared" si="158"/>
        <v>92.31644035811911</v>
      </c>
      <c r="AG125">
        <f t="shared" si="159"/>
        <v>7.0651054124388901</v>
      </c>
      <c r="AH125">
        <f t="shared" si="160"/>
        <v>38.795561418167836</v>
      </c>
      <c r="AI125">
        <v>0</v>
      </c>
      <c r="AJ125">
        <v>0</v>
      </c>
      <c r="AK125">
        <f t="shared" si="161"/>
        <v>1</v>
      </c>
      <c r="AL125">
        <f t="shared" si="162"/>
        <v>0</v>
      </c>
      <c r="AM125">
        <f t="shared" si="163"/>
        <v>51781.76748993736</v>
      </c>
      <c r="AN125" t="s">
        <v>418</v>
      </c>
      <c r="AO125">
        <v>10021</v>
      </c>
      <c r="AP125">
        <v>177.53923076923081</v>
      </c>
      <c r="AQ125">
        <v>655.56</v>
      </c>
      <c r="AR125">
        <f t="shared" si="164"/>
        <v>0.72917928066198234</v>
      </c>
      <c r="AS125">
        <v>-3.1115002560329539</v>
      </c>
      <c r="AT125" t="s">
        <v>973</v>
      </c>
      <c r="AU125">
        <v>8024.99</v>
      </c>
      <c r="AV125">
        <v>681.73212000000001</v>
      </c>
      <c r="AW125">
        <v>826.82099153323679</v>
      </c>
      <c r="AX125">
        <f t="shared" si="165"/>
        <v>0.17547797288526445</v>
      </c>
      <c r="AY125">
        <v>0.5</v>
      </c>
      <c r="AZ125">
        <f t="shared" si="166"/>
        <v>1513.0337992625932</v>
      </c>
      <c r="BA125">
        <f t="shared" si="167"/>
        <v>21.374916236082779</v>
      </c>
      <c r="BB125">
        <f t="shared" si="168"/>
        <v>132.75205200074501</v>
      </c>
      <c r="BC125">
        <f t="shared" si="169"/>
        <v>1.6183654657318077E-2</v>
      </c>
      <c r="BD125">
        <f t="shared" si="170"/>
        <v>-0.20713188620871201</v>
      </c>
      <c r="BE125">
        <f t="shared" si="171"/>
        <v>188.09026843919423</v>
      </c>
      <c r="BF125" t="s">
        <v>974</v>
      </c>
      <c r="BG125">
        <v>560.13</v>
      </c>
      <c r="BH125">
        <f t="shared" si="172"/>
        <v>560.13</v>
      </c>
      <c r="BI125">
        <f t="shared" si="173"/>
        <v>0.32254985572958361</v>
      </c>
      <c r="BJ125">
        <f t="shared" si="174"/>
        <v>0.54403364245302921</v>
      </c>
      <c r="BK125">
        <f t="shared" si="175"/>
        <v>-1.7946242432488415</v>
      </c>
      <c r="BL125">
        <f t="shared" si="176"/>
        <v>0.22346056874062128</v>
      </c>
      <c r="BM125">
        <f t="shared" si="177"/>
        <v>-0.35827102619166523</v>
      </c>
      <c r="BN125">
        <f t="shared" si="178"/>
        <v>0.44699311534157321</v>
      </c>
      <c r="BO125">
        <f t="shared" si="179"/>
        <v>0.55300688465842684</v>
      </c>
      <c r="BP125">
        <v>22683</v>
      </c>
      <c r="BQ125">
        <v>290.00000000000011</v>
      </c>
      <c r="BR125">
        <v>792.24</v>
      </c>
      <c r="BS125">
        <v>285</v>
      </c>
      <c r="BT125">
        <v>8024.99</v>
      </c>
      <c r="BU125">
        <v>794.25</v>
      </c>
      <c r="BV125">
        <v>-2.0099999999999998</v>
      </c>
      <c r="BW125">
        <v>300.00000000000011</v>
      </c>
      <c r="BX125">
        <v>19.399999999999999</v>
      </c>
      <c r="BY125">
        <v>826.82099153323679</v>
      </c>
      <c r="BZ125">
        <v>2.730321600646592</v>
      </c>
      <c r="CA125">
        <v>-26.13610418770558</v>
      </c>
      <c r="CB125">
        <v>2.012684439668611</v>
      </c>
      <c r="CC125">
        <v>0.85759930066307988</v>
      </c>
      <c r="CD125">
        <v>-4.1447208008898806E-3</v>
      </c>
      <c r="CE125">
        <v>289.99999999999989</v>
      </c>
      <c r="CF125">
        <v>794.43</v>
      </c>
      <c r="CG125">
        <v>675</v>
      </c>
      <c r="CH125">
        <v>8014.15</v>
      </c>
      <c r="CI125">
        <v>794.21</v>
      </c>
      <c r="CJ125">
        <v>0.22</v>
      </c>
      <c r="CX125">
        <f t="shared" si="180"/>
        <v>1799.82</v>
      </c>
      <c r="CY125">
        <f t="shared" si="181"/>
        <v>1513.0337992625932</v>
      </c>
      <c r="CZ125">
        <f t="shared" si="182"/>
        <v>0.84065839876353932</v>
      </c>
      <c r="DA125">
        <f t="shared" si="183"/>
        <v>0.16087070961363092</v>
      </c>
      <c r="DB125">
        <v>6</v>
      </c>
      <c r="DC125">
        <v>0.5</v>
      </c>
      <c r="DD125" t="s">
        <v>421</v>
      </c>
      <c r="DE125">
        <v>2</v>
      </c>
      <c r="DF125">
        <v>1689020528.5999999</v>
      </c>
      <c r="DG125">
        <v>93.437100000000001</v>
      </c>
      <c r="DH125">
        <v>119.973</v>
      </c>
      <c r="DI125">
        <v>29.046399999999998</v>
      </c>
      <c r="DJ125">
        <v>19.7974</v>
      </c>
      <c r="DK125">
        <v>93.282499999999999</v>
      </c>
      <c r="DL125">
        <v>28.779499999999999</v>
      </c>
      <c r="DM125">
        <v>500.07900000000001</v>
      </c>
      <c r="DN125">
        <v>99.121399999999994</v>
      </c>
      <c r="DO125">
        <v>0.100233</v>
      </c>
      <c r="DP125">
        <v>30.581900000000001</v>
      </c>
      <c r="DQ125">
        <v>29.994199999999999</v>
      </c>
      <c r="DR125">
        <v>999.9</v>
      </c>
      <c r="DS125">
        <v>0</v>
      </c>
      <c r="DT125">
        <v>0</v>
      </c>
      <c r="DU125">
        <v>9997.5</v>
      </c>
      <c r="DV125">
        <v>0</v>
      </c>
      <c r="DW125">
        <v>1740.11</v>
      </c>
      <c r="DX125">
        <v>-26.536200000000001</v>
      </c>
      <c r="DY125">
        <v>96.232299999999995</v>
      </c>
      <c r="DZ125">
        <v>122.396</v>
      </c>
      <c r="EA125">
        <v>9.2490000000000006</v>
      </c>
      <c r="EB125">
        <v>119.973</v>
      </c>
      <c r="EC125">
        <v>19.7974</v>
      </c>
      <c r="ED125">
        <v>2.8791199999999999</v>
      </c>
      <c r="EE125">
        <v>1.96234</v>
      </c>
      <c r="EF125">
        <v>23.344799999999999</v>
      </c>
      <c r="EG125">
        <v>17.143699999999999</v>
      </c>
      <c r="EH125">
        <v>1799.82</v>
      </c>
      <c r="EI125">
        <v>0.97799100000000005</v>
      </c>
      <c r="EJ125">
        <v>2.2008799999999999E-2</v>
      </c>
      <c r="EK125">
        <v>0</v>
      </c>
      <c r="EL125">
        <v>681.42399999999998</v>
      </c>
      <c r="EM125">
        <v>5.0011200000000002</v>
      </c>
      <c r="EN125">
        <v>14039.8</v>
      </c>
      <c r="EO125">
        <v>17209.099999999999</v>
      </c>
      <c r="EP125">
        <v>49.436999999999998</v>
      </c>
      <c r="EQ125">
        <v>50.811999999999998</v>
      </c>
      <c r="ER125">
        <v>50.375</v>
      </c>
      <c r="ES125">
        <v>49.811999999999998</v>
      </c>
      <c r="ET125">
        <v>49.875</v>
      </c>
      <c r="EU125">
        <v>1755.32</v>
      </c>
      <c r="EV125">
        <v>39.5</v>
      </c>
      <c r="EW125">
        <v>0</v>
      </c>
      <c r="EX125">
        <v>140</v>
      </c>
      <c r="EY125">
        <v>0</v>
      </c>
      <c r="EZ125">
        <v>681.73212000000001</v>
      </c>
      <c r="FA125">
        <v>-3.5580769093515259</v>
      </c>
      <c r="FB125">
        <v>-35.576923079985498</v>
      </c>
      <c r="FC125">
        <v>14050.412</v>
      </c>
      <c r="FD125">
        <v>15</v>
      </c>
      <c r="FE125">
        <v>1689020476.5999999</v>
      </c>
      <c r="FF125" t="s">
        <v>975</v>
      </c>
      <c r="FG125">
        <v>1689020454.5999999</v>
      </c>
      <c r="FH125">
        <v>1689020476.5999999</v>
      </c>
      <c r="FI125">
        <v>122</v>
      </c>
      <c r="FJ125">
        <v>-0.09</v>
      </c>
      <c r="FK125">
        <v>5.0000000000000001E-3</v>
      </c>
      <c r="FL125">
        <v>0.222</v>
      </c>
      <c r="FM125">
        <v>0.214</v>
      </c>
      <c r="FN125">
        <v>120</v>
      </c>
      <c r="FO125">
        <v>20</v>
      </c>
      <c r="FP125">
        <v>0.13</v>
      </c>
      <c r="FQ125">
        <v>0.01</v>
      </c>
      <c r="FR125">
        <v>21.322418604876951</v>
      </c>
      <c r="FS125">
        <v>-9.8436398893267427E-2</v>
      </c>
      <c r="FT125">
        <v>4.0774322010526623E-2</v>
      </c>
      <c r="FU125">
        <v>1</v>
      </c>
      <c r="FV125">
        <v>0.61553244276752495</v>
      </c>
      <c r="FW125">
        <v>4.1720137721331638E-2</v>
      </c>
      <c r="FX125">
        <v>4.57861244858124E-3</v>
      </c>
      <c r="FY125">
        <v>1</v>
      </c>
      <c r="FZ125">
        <v>2</v>
      </c>
      <c r="GA125">
        <v>2</v>
      </c>
      <c r="GB125" t="s">
        <v>423</v>
      </c>
      <c r="GC125">
        <v>2.9242599999999999</v>
      </c>
      <c r="GD125">
        <v>2.8275100000000002</v>
      </c>
      <c r="GE125">
        <v>2.4165200000000001E-2</v>
      </c>
      <c r="GF125">
        <v>3.08937E-2</v>
      </c>
      <c r="GG125">
        <v>0.12765299999999999</v>
      </c>
      <c r="GH125">
        <v>9.8057900000000003E-2</v>
      </c>
      <c r="GI125">
        <v>31785.8</v>
      </c>
      <c r="GJ125">
        <v>25593.599999999999</v>
      </c>
      <c r="GK125">
        <v>31348.9</v>
      </c>
      <c r="GL125">
        <v>26055.7</v>
      </c>
      <c r="GM125">
        <v>37490.800000000003</v>
      </c>
      <c r="GN125">
        <v>31878.3</v>
      </c>
      <c r="GO125">
        <v>46553.599999999999</v>
      </c>
      <c r="GP125">
        <v>37884.400000000001</v>
      </c>
      <c r="GQ125">
        <v>1.9144000000000001</v>
      </c>
      <c r="GR125">
        <v>1.7059500000000001</v>
      </c>
      <c r="GS125">
        <v>-3.3508999999999997E-2</v>
      </c>
      <c r="GT125">
        <v>0</v>
      </c>
      <c r="GU125">
        <v>30.539200000000001</v>
      </c>
      <c r="GV125">
        <v>999.9</v>
      </c>
      <c r="GW125">
        <v>38.5</v>
      </c>
      <c r="GX125">
        <v>45.6</v>
      </c>
      <c r="GY125">
        <v>38.610599999999998</v>
      </c>
      <c r="GZ125">
        <v>62.384799999999998</v>
      </c>
      <c r="HA125">
        <v>19.431100000000001</v>
      </c>
      <c r="HB125">
        <v>1</v>
      </c>
      <c r="HC125">
        <v>0.56630599999999998</v>
      </c>
      <c r="HD125">
        <v>3.2250700000000001</v>
      </c>
      <c r="HE125">
        <v>20.267900000000001</v>
      </c>
      <c r="HF125">
        <v>5.2246300000000003</v>
      </c>
      <c r="HG125">
        <v>12.060700000000001</v>
      </c>
      <c r="HH125">
        <v>4.9916499999999999</v>
      </c>
      <c r="HI125">
        <v>3.2919999999999998</v>
      </c>
      <c r="HJ125">
        <v>9999</v>
      </c>
      <c r="HK125">
        <v>9999</v>
      </c>
      <c r="HL125">
        <v>9999</v>
      </c>
      <c r="HM125">
        <v>466.8</v>
      </c>
      <c r="HN125">
        <v>1.8668899999999999</v>
      </c>
      <c r="HO125">
        <v>1.87029</v>
      </c>
      <c r="HP125">
        <v>1.87287</v>
      </c>
      <c r="HQ125">
        <v>1.87378</v>
      </c>
      <c r="HR125">
        <v>1.8705700000000001</v>
      </c>
      <c r="HS125">
        <v>1.86897</v>
      </c>
      <c r="HT125">
        <v>1.87042</v>
      </c>
      <c r="HU125">
        <v>1.8733900000000001</v>
      </c>
      <c r="HV125">
        <v>0</v>
      </c>
      <c r="HW125">
        <v>0</v>
      </c>
      <c r="HX125">
        <v>0</v>
      </c>
      <c r="HY125">
        <v>0</v>
      </c>
      <c r="HZ125" t="s">
        <v>424</v>
      </c>
      <c r="IA125" t="s">
        <v>425</v>
      </c>
      <c r="IB125" t="s">
        <v>426</v>
      </c>
      <c r="IC125" t="s">
        <v>426</v>
      </c>
      <c r="ID125" t="s">
        <v>426</v>
      </c>
      <c r="IE125" t="s">
        <v>426</v>
      </c>
      <c r="IF125">
        <v>0</v>
      </c>
      <c r="IG125">
        <v>100</v>
      </c>
      <c r="IH125">
        <v>100</v>
      </c>
      <c r="II125">
        <v>0.155</v>
      </c>
      <c r="IJ125">
        <v>0.26690000000000003</v>
      </c>
      <c r="IK125">
        <v>-0.10805025013829909</v>
      </c>
      <c r="IL125">
        <v>3.042515301972944E-3</v>
      </c>
      <c r="IM125">
        <v>-2.5091471490852929E-6</v>
      </c>
      <c r="IN125">
        <v>8.1339755115576286E-10</v>
      </c>
      <c r="IO125">
        <v>0.26682481007287889</v>
      </c>
      <c r="IP125">
        <v>0</v>
      </c>
      <c r="IQ125">
        <v>0</v>
      </c>
      <c r="IR125">
        <v>0</v>
      </c>
      <c r="IS125">
        <v>3</v>
      </c>
      <c r="IT125">
        <v>2004</v>
      </c>
      <c r="IU125">
        <v>2</v>
      </c>
      <c r="IV125">
        <v>22</v>
      </c>
      <c r="IW125">
        <v>1.2</v>
      </c>
      <c r="IX125">
        <v>0.9</v>
      </c>
      <c r="IY125">
        <v>0.39184600000000003</v>
      </c>
      <c r="IZ125">
        <v>2.6232899999999999</v>
      </c>
      <c r="JA125">
        <v>1.64917</v>
      </c>
      <c r="JB125">
        <v>2.33887</v>
      </c>
      <c r="JC125">
        <v>1.5991200000000001</v>
      </c>
      <c r="JD125">
        <v>2.2668499999999998</v>
      </c>
      <c r="JE125">
        <v>47.662199999999999</v>
      </c>
      <c r="JF125">
        <v>24.105</v>
      </c>
      <c r="JG125">
        <v>18</v>
      </c>
      <c r="JH125">
        <v>518.34199999999998</v>
      </c>
      <c r="JI125">
        <v>429.97699999999998</v>
      </c>
      <c r="JJ125">
        <v>27.2073</v>
      </c>
      <c r="JK125">
        <v>34.125999999999998</v>
      </c>
      <c r="JL125">
        <v>30.000499999999999</v>
      </c>
      <c r="JM125">
        <v>34.155099999999997</v>
      </c>
      <c r="JN125">
        <v>34.154400000000003</v>
      </c>
      <c r="JO125">
        <v>7.8550500000000003</v>
      </c>
      <c r="JP125">
        <v>58.580800000000004</v>
      </c>
      <c r="JQ125">
        <v>0</v>
      </c>
      <c r="JR125">
        <v>27.210100000000001</v>
      </c>
      <c r="JS125">
        <v>120</v>
      </c>
      <c r="JT125">
        <v>19.757400000000001</v>
      </c>
      <c r="JU125">
        <v>99.359899999999996</v>
      </c>
      <c r="JV125">
        <v>99.068700000000007</v>
      </c>
    </row>
    <row r="126" spans="1:282" x14ac:dyDescent="0.25">
      <c r="A126">
        <v>110</v>
      </c>
      <c r="B126">
        <v>1689020646.0999999</v>
      </c>
      <c r="C126">
        <v>21051</v>
      </c>
      <c r="D126" t="s">
        <v>976</v>
      </c>
      <c r="E126" t="s">
        <v>977</v>
      </c>
      <c r="F126" t="s">
        <v>414</v>
      </c>
      <c r="G126" t="s">
        <v>415</v>
      </c>
      <c r="H126" t="s">
        <v>500</v>
      </c>
      <c r="I126" t="s">
        <v>500</v>
      </c>
      <c r="J126" t="s">
        <v>417</v>
      </c>
      <c r="K126">
        <v>1689020646.0999999</v>
      </c>
      <c r="L126">
        <f t="shared" si="138"/>
        <v>8.1415140450259889E-3</v>
      </c>
      <c r="M126">
        <f t="shared" si="139"/>
        <v>8.1415140450259891</v>
      </c>
      <c r="N126">
        <f t="shared" si="140"/>
        <v>12.859917616477581</v>
      </c>
      <c r="O126">
        <f t="shared" si="141"/>
        <v>54.013599999999997</v>
      </c>
      <c r="P126">
        <f t="shared" si="142"/>
        <v>17.411072693128112</v>
      </c>
      <c r="Q126">
        <f t="shared" si="143"/>
        <v>1.7275836538752409</v>
      </c>
      <c r="R126">
        <f t="shared" si="144"/>
        <v>5.3594062865399996</v>
      </c>
      <c r="S126">
        <f t="shared" si="145"/>
        <v>0.63394563334747145</v>
      </c>
      <c r="T126">
        <f t="shared" si="146"/>
        <v>2.9111665536004048</v>
      </c>
      <c r="U126">
        <f t="shared" si="147"/>
        <v>0.56606730142229911</v>
      </c>
      <c r="V126">
        <f t="shared" si="148"/>
        <v>0.35928311709653094</v>
      </c>
      <c r="W126">
        <f t="shared" si="149"/>
        <v>289.57822057700287</v>
      </c>
      <c r="X126">
        <f t="shared" si="150"/>
        <v>30.182790706560422</v>
      </c>
      <c r="Y126">
        <f t="shared" si="151"/>
        <v>30.022500000000001</v>
      </c>
      <c r="Z126">
        <f t="shared" si="152"/>
        <v>4.2659590009299828</v>
      </c>
      <c r="AA126">
        <f t="shared" si="153"/>
        <v>65.571084828853287</v>
      </c>
      <c r="AB126">
        <f t="shared" si="154"/>
        <v>2.8903343114399993</v>
      </c>
      <c r="AC126">
        <f t="shared" si="155"/>
        <v>4.4079403581381094</v>
      </c>
      <c r="AD126">
        <f t="shared" si="156"/>
        <v>1.3756246894899835</v>
      </c>
      <c r="AE126">
        <f t="shared" si="157"/>
        <v>-359.04076938564612</v>
      </c>
      <c r="AF126">
        <f t="shared" si="158"/>
        <v>89.663713260101019</v>
      </c>
      <c r="AG126">
        <f t="shared" si="159"/>
        <v>6.8693160898221226</v>
      </c>
      <c r="AH126">
        <f t="shared" si="160"/>
        <v>27.070480541279892</v>
      </c>
      <c r="AI126">
        <v>0</v>
      </c>
      <c r="AJ126">
        <v>0</v>
      </c>
      <c r="AK126">
        <f t="shared" si="161"/>
        <v>1</v>
      </c>
      <c r="AL126">
        <f t="shared" si="162"/>
        <v>0</v>
      </c>
      <c r="AM126">
        <f t="shared" si="163"/>
        <v>51709.171376526079</v>
      </c>
      <c r="AN126" t="s">
        <v>418</v>
      </c>
      <c r="AO126">
        <v>10021</v>
      </c>
      <c r="AP126">
        <v>177.53923076923081</v>
      </c>
      <c r="AQ126">
        <v>655.56</v>
      </c>
      <c r="AR126">
        <f t="shared" si="164"/>
        <v>0.72917928066198234</v>
      </c>
      <c r="AS126">
        <v>-3.1115002560329539</v>
      </c>
      <c r="AT126" t="s">
        <v>978</v>
      </c>
      <c r="AU126">
        <v>8024.29</v>
      </c>
      <c r="AV126">
        <v>695.12111538461534</v>
      </c>
      <c r="AW126">
        <v>788.62456332858187</v>
      </c>
      <c r="AX126">
        <f t="shared" si="165"/>
        <v>0.11856522392520019</v>
      </c>
      <c r="AY126">
        <v>0.5</v>
      </c>
      <c r="AZ126">
        <f t="shared" si="166"/>
        <v>1513.2437992626956</v>
      </c>
      <c r="BA126">
        <f t="shared" si="167"/>
        <v>12.859917616477581</v>
      </c>
      <c r="BB126">
        <f t="shared" si="168"/>
        <v>89.709044956501089</v>
      </c>
      <c r="BC126">
        <f t="shared" si="169"/>
        <v>1.0554424792814191E-2</v>
      </c>
      <c r="BD126">
        <f t="shared" si="170"/>
        <v>-0.16872992487952768</v>
      </c>
      <c r="BE126">
        <f t="shared" si="171"/>
        <v>186.04045340116451</v>
      </c>
      <c r="BF126" t="s">
        <v>979</v>
      </c>
      <c r="BG126">
        <v>581.27</v>
      </c>
      <c r="BH126">
        <f t="shared" si="172"/>
        <v>581.27</v>
      </c>
      <c r="BI126">
        <f t="shared" si="173"/>
        <v>0.2629319107857756</v>
      </c>
      <c r="BJ126">
        <f t="shared" si="174"/>
        <v>0.45093508646731556</v>
      </c>
      <c r="BK126">
        <f t="shared" si="175"/>
        <v>-1.7911504015154394</v>
      </c>
      <c r="BL126">
        <f t="shared" si="176"/>
        <v>0.15301209661235832</v>
      </c>
      <c r="BM126">
        <f t="shared" si="177"/>
        <v>-0.27836565248558004</v>
      </c>
      <c r="BN126">
        <f t="shared" si="178"/>
        <v>0.37707822695880333</v>
      </c>
      <c r="BO126">
        <f t="shared" si="179"/>
        <v>0.62292177304119667</v>
      </c>
      <c r="BP126">
        <v>22685</v>
      </c>
      <c r="BQ126">
        <v>290.00000000000011</v>
      </c>
      <c r="BR126">
        <v>768.78</v>
      </c>
      <c r="BS126">
        <v>295</v>
      </c>
      <c r="BT126">
        <v>8024.29</v>
      </c>
      <c r="BU126">
        <v>768.81</v>
      </c>
      <c r="BV126">
        <v>-0.03</v>
      </c>
      <c r="BW126">
        <v>300.00000000000011</v>
      </c>
      <c r="BX126">
        <v>19.399999999999999</v>
      </c>
      <c r="BY126">
        <v>788.62456332858187</v>
      </c>
      <c r="BZ126">
        <v>2.147626382612446</v>
      </c>
      <c r="CA126">
        <v>-15.903064084078411</v>
      </c>
      <c r="CB126">
        <v>1.5829958694355499</v>
      </c>
      <c r="CC126">
        <v>0.78282075921607863</v>
      </c>
      <c r="CD126">
        <v>-4.1444286985539433E-3</v>
      </c>
      <c r="CE126">
        <v>289.99999999999989</v>
      </c>
      <c r="CF126">
        <v>769.07</v>
      </c>
      <c r="CG126">
        <v>695</v>
      </c>
      <c r="CH126">
        <v>8012.8</v>
      </c>
      <c r="CI126">
        <v>768.78</v>
      </c>
      <c r="CJ126">
        <v>0.28999999999999998</v>
      </c>
      <c r="CX126">
        <f t="shared" si="180"/>
        <v>1800.07</v>
      </c>
      <c r="CY126">
        <f t="shared" si="181"/>
        <v>1513.2437992626956</v>
      </c>
      <c r="CZ126">
        <f t="shared" si="182"/>
        <v>0.84065830732287949</v>
      </c>
      <c r="DA126">
        <f t="shared" si="183"/>
        <v>0.16087053313315752</v>
      </c>
      <c r="DB126">
        <v>6</v>
      </c>
      <c r="DC126">
        <v>0.5</v>
      </c>
      <c r="DD126" t="s">
        <v>421</v>
      </c>
      <c r="DE126">
        <v>2</v>
      </c>
      <c r="DF126">
        <v>1689020646.0999999</v>
      </c>
      <c r="DG126">
        <v>54.013599999999997</v>
      </c>
      <c r="DH126">
        <v>69.970299999999995</v>
      </c>
      <c r="DI126">
        <v>29.1296</v>
      </c>
      <c r="DJ126">
        <v>19.646100000000001</v>
      </c>
      <c r="DK126">
        <v>53.9572</v>
      </c>
      <c r="DL126">
        <v>28.868600000000001</v>
      </c>
      <c r="DM126">
        <v>500.09100000000001</v>
      </c>
      <c r="DN126">
        <v>99.123099999999994</v>
      </c>
      <c r="DO126">
        <v>0.100175</v>
      </c>
      <c r="DP126">
        <v>30.593800000000002</v>
      </c>
      <c r="DQ126">
        <v>30.022500000000001</v>
      </c>
      <c r="DR126">
        <v>999.9</v>
      </c>
      <c r="DS126">
        <v>0</v>
      </c>
      <c r="DT126">
        <v>0</v>
      </c>
      <c r="DU126">
        <v>9983.1200000000008</v>
      </c>
      <c r="DV126">
        <v>0</v>
      </c>
      <c r="DW126">
        <v>1710.09</v>
      </c>
      <c r="DX126">
        <v>-15.956799999999999</v>
      </c>
      <c r="DY126">
        <v>55.6342</v>
      </c>
      <c r="DZ126">
        <v>71.372500000000002</v>
      </c>
      <c r="EA126">
        <v>9.4835100000000008</v>
      </c>
      <c r="EB126">
        <v>69.970299999999995</v>
      </c>
      <c r="EC126">
        <v>19.646100000000001</v>
      </c>
      <c r="ED126">
        <v>2.8874200000000001</v>
      </c>
      <c r="EE126">
        <v>1.9473800000000001</v>
      </c>
      <c r="EF126">
        <v>23.392600000000002</v>
      </c>
      <c r="EG126">
        <v>17.0229</v>
      </c>
      <c r="EH126">
        <v>1800.07</v>
      </c>
      <c r="EI126">
        <v>0.97799499999999995</v>
      </c>
      <c r="EJ126">
        <v>2.20051E-2</v>
      </c>
      <c r="EK126">
        <v>0</v>
      </c>
      <c r="EL126">
        <v>695.03</v>
      </c>
      <c r="EM126">
        <v>5.0011200000000002</v>
      </c>
      <c r="EN126">
        <v>14298</v>
      </c>
      <c r="EO126">
        <v>17211.5</v>
      </c>
      <c r="EP126">
        <v>49.561999999999998</v>
      </c>
      <c r="EQ126">
        <v>51</v>
      </c>
      <c r="ER126">
        <v>50.375</v>
      </c>
      <c r="ES126">
        <v>49.811999999999998</v>
      </c>
      <c r="ET126">
        <v>49.625</v>
      </c>
      <c r="EU126">
        <v>1755.57</v>
      </c>
      <c r="EV126">
        <v>39.5</v>
      </c>
      <c r="EW126">
        <v>0</v>
      </c>
      <c r="EX126">
        <v>115.3999998569489</v>
      </c>
      <c r="EY126">
        <v>0</v>
      </c>
      <c r="EZ126">
        <v>695.12111538461534</v>
      </c>
      <c r="FA126">
        <v>-1.308478627415393</v>
      </c>
      <c r="FB126">
        <v>-11.01880348218709</v>
      </c>
      <c r="FC126">
        <v>14300.119230769231</v>
      </c>
      <c r="FD126">
        <v>15</v>
      </c>
      <c r="FE126">
        <v>1689020615.0999999</v>
      </c>
      <c r="FF126" t="s">
        <v>980</v>
      </c>
      <c r="FG126">
        <v>1689020606.0999999</v>
      </c>
      <c r="FH126">
        <v>1689020615.0999999</v>
      </c>
      <c r="FI126">
        <v>123</v>
      </c>
      <c r="FJ126">
        <v>7.0000000000000001E-3</v>
      </c>
      <c r="FK126">
        <v>-6.0000000000000001E-3</v>
      </c>
      <c r="FL126">
        <v>0.10100000000000001</v>
      </c>
      <c r="FM126">
        <v>0.19400000000000001</v>
      </c>
      <c r="FN126">
        <v>70</v>
      </c>
      <c r="FO126">
        <v>19</v>
      </c>
      <c r="FP126">
        <v>0.12</v>
      </c>
      <c r="FQ126">
        <v>0.01</v>
      </c>
      <c r="FR126">
        <v>12.680988385420489</v>
      </c>
      <c r="FS126">
        <v>0.33395550057202689</v>
      </c>
      <c r="FT126">
        <v>0.18320970168127521</v>
      </c>
      <c r="FU126">
        <v>1</v>
      </c>
      <c r="FV126">
        <v>0.64160254566155683</v>
      </c>
      <c r="FW126">
        <v>-4.8420880113408941E-2</v>
      </c>
      <c r="FX126">
        <v>3.7593299279445971E-3</v>
      </c>
      <c r="FY126">
        <v>1</v>
      </c>
      <c r="FZ126">
        <v>2</v>
      </c>
      <c r="GA126">
        <v>2</v>
      </c>
      <c r="GB126" t="s">
        <v>423</v>
      </c>
      <c r="GC126">
        <v>2.9241100000000002</v>
      </c>
      <c r="GD126">
        <v>2.8273199999999998</v>
      </c>
      <c r="GE126">
        <v>1.41166E-2</v>
      </c>
      <c r="GF126">
        <v>1.8342299999999999E-2</v>
      </c>
      <c r="GG126">
        <v>0.127884</v>
      </c>
      <c r="GH126">
        <v>9.7491499999999995E-2</v>
      </c>
      <c r="GI126">
        <v>32101.3</v>
      </c>
      <c r="GJ126">
        <v>25918</v>
      </c>
      <c r="GK126">
        <v>31338.5</v>
      </c>
      <c r="GL126">
        <v>26050.1</v>
      </c>
      <c r="GM126">
        <v>37468.400000000001</v>
      </c>
      <c r="GN126">
        <v>31890.5</v>
      </c>
      <c r="GO126">
        <v>46537.599999999999</v>
      </c>
      <c r="GP126">
        <v>37875</v>
      </c>
      <c r="GQ126">
        <v>1.91195</v>
      </c>
      <c r="GR126">
        <v>1.7025699999999999</v>
      </c>
      <c r="GS126">
        <v>-4.1276199999999999E-2</v>
      </c>
      <c r="GT126">
        <v>0</v>
      </c>
      <c r="GU126">
        <v>30.6938</v>
      </c>
      <c r="GV126">
        <v>999.9</v>
      </c>
      <c r="GW126">
        <v>38.700000000000003</v>
      </c>
      <c r="GX126">
        <v>45.6</v>
      </c>
      <c r="GY126">
        <v>38.810099999999998</v>
      </c>
      <c r="GZ126">
        <v>62.3748</v>
      </c>
      <c r="HA126">
        <v>19.459099999999999</v>
      </c>
      <c r="HB126">
        <v>1</v>
      </c>
      <c r="HC126">
        <v>0.58507900000000002</v>
      </c>
      <c r="HD126">
        <v>3.8749500000000001</v>
      </c>
      <c r="HE126">
        <v>20.2546</v>
      </c>
      <c r="HF126">
        <v>5.2243300000000001</v>
      </c>
      <c r="HG126">
        <v>12.0589</v>
      </c>
      <c r="HH126">
        <v>4.9929500000000004</v>
      </c>
      <c r="HI126">
        <v>3.2919999999999998</v>
      </c>
      <c r="HJ126">
        <v>9999</v>
      </c>
      <c r="HK126">
        <v>9999</v>
      </c>
      <c r="HL126">
        <v>9999</v>
      </c>
      <c r="HM126">
        <v>466.8</v>
      </c>
      <c r="HN126">
        <v>1.8668899999999999</v>
      </c>
      <c r="HO126">
        <v>1.87029</v>
      </c>
      <c r="HP126">
        <v>1.8729199999999999</v>
      </c>
      <c r="HQ126">
        <v>1.87382</v>
      </c>
      <c r="HR126">
        <v>1.8705799999999999</v>
      </c>
      <c r="HS126">
        <v>1.8689899999999999</v>
      </c>
      <c r="HT126">
        <v>1.87042</v>
      </c>
      <c r="HU126">
        <v>1.8734299999999999</v>
      </c>
      <c r="HV126">
        <v>0</v>
      </c>
      <c r="HW126">
        <v>0</v>
      </c>
      <c r="HX126">
        <v>0</v>
      </c>
      <c r="HY126">
        <v>0</v>
      </c>
      <c r="HZ126" t="s">
        <v>424</v>
      </c>
      <c r="IA126" t="s">
        <v>425</v>
      </c>
      <c r="IB126" t="s">
        <v>426</v>
      </c>
      <c r="IC126" t="s">
        <v>426</v>
      </c>
      <c r="ID126" t="s">
        <v>426</v>
      </c>
      <c r="IE126" t="s">
        <v>426</v>
      </c>
      <c r="IF126">
        <v>0</v>
      </c>
      <c r="IG126">
        <v>100</v>
      </c>
      <c r="IH126">
        <v>100</v>
      </c>
      <c r="II126">
        <v>5.6000000000000001E-2</v>
      </c>
      <c r="IJ126">
        <v>0.26100000000000001</v>
      </c>
      <c r="IK126">
        <v>-0.1006044151868736</v>
      </c>
      <c r="IL126">
        <v>3.042515301972944E-3</v>
      </c>
      <c r="IM126">
        <v>-2.5091471490852929E-6</v>
      </c>
      <c r="IN126">
        <v>8.1339755115576286E-10</v>
      </c>
      <c r="IO126">
        <v>0.2609865664241906</v>
      </c>
      <c r="IP126">
        <v>0</v>
      </c>
      <c r="IQ126">
        <v>0</v>
      </c>
      <c r="IR126">
        <v>0</v>
      </c>
      <c r="IS126">
        <v>3</v>
      </c>
      <c r="IT126">
        <v>2004</v>
      </c>
      <c r="IU126">
        <v>2</v>
      </c>
      <c r="IV126">
        <v>22</v>
      </c>
      <c r="IW126">
        <v>0.7</v>
      </c>
      <c r="IX126">
        <v>0.5</v>
      </c>
      <c r="IY126">
        <v>0.27465800000000001</v>
      </c>
      <c r="IZ126">
        <v>2.63794</v>
      </c>
      <c r="JA126">
        <v>1.64917</v>
      </c>
      <c r="JB126">
        <v>2.33887</v>
      </c>
      <c r="JC126">
        <v>1.5991200000000001</v>
      </c>
      <c r="JD126">
        <v>2.2802699999999998</v>
      </c>
      <c r="JE126">
        <v>47.783099999999997</v>
      </c>
      <c r="JF126">
        <v>24.096299999999999</v>
      </c>
      <c r="JG126">
        <v>18</v>
      </c>
      <c r="JH126">
        <v>517.88599999999997</v>
      </c>
      <c r="JI126">
        <v>428.83600000000001</v>
      </c>
      <c r="JJ126">
        <v>26.902699999999999</v>
      </c>
      <c r="JK126">
        <v>34.292299999999997</v>
      </c>
      <c r="JL126">
        <v>30.001200000000001</v>
      </c>
      <c r="JM126">
        <v>34.307899999999997</v>
      </c>
      <c r="JN126">
        <v>34.302399999999999</v>
      </c>
      <c r="JO126">
        <v>5.51274</v>
      </c>
      <c r="JP126">
        <v>60.567999999999998</v>
      </c>
      <c r="JQ126">
        <v>0</v>
      </c>
      <c r="JR126">
        <v>26.8673</v>
      </c>
      <c r="JS126">
        <v>70</v>
      </c>
      <c r="JT126">
        <v>19.537199999999999</v>
      </c>
      <c r="JU126">
        <v>99.3262</v>
      </c>
      <c r="JV126">
        <v>99.045400000000001</v>
      </c>
    </row>
    <row r="127" spans="1:282" x14ac:dyDescent="0.25">
      <c r="A127">
        <v>111</v>
      </c>
      <c r="B127">
        <v>1689020812.0999999</v>
      </c>
      <c r="C127">
        <v>21217</v>
      </c>
      <c r="D127" t="s">
        <v>981</v>
      </c>
      <c r="E127" t="s">
        <v>982</v>
      </c>
      <c r="F127" t="s">
        <v>414</v>
      </c>
      <c r="G127" t="s">
        <v>415</v>
      </c>
      <c r="H127" t="s">
        <v>500</v>
      </c>
      <c r="I127" t="s">
        <v>500</v>
      </c>
      <c r="J127" t="s">
        <v>417</v>
      </c>
      <c r="K127">
        <v>1689020812.0999999</v>
      </c>
      <c r="L127">
        <f t="shared" si="138"/>
        <v>8.3385037541654546E-3</v>
      </c>
      <c r="M127">
        <f t="shared" si="139"/>
        <v>8.3385037541654548</v>
      </c>
      <c r="N127">
        <f t="shared" si="140"/>
        <v>5.8234074538522211</v>
      </c>
      <c r="O127">
        <f t="shared" si="141"/>
        <v>22.8629</v>
      </c>
      <c r="P127">
        <f t="shared" si="142"/>
        <v>6.3216410147581437</v>
      </c>
      <c r="Q127">
        <f t="shared" si="143"/>
        <v>0.62724739586778633</v>
      </c>
      <c r="R127">
        <f t="shared" si="144"/>
        <v>2.26850820119438</v>
      </c>
      <c r="S127">
        <f t="shared" si="145"/>
        <v>0.63411635432972413</v>
      </c>
      <c r="T127">
        <f t="shared" si="146"/>
        <v>2.914544082809301</v>
      </c>
      <c r="U127">
        <f t="shared" si="147"/>
        <v>0.56627326000885525</v>
      </c>
      <c r="V127">
        <f t="shared" si="148"/>
        <v>0.35940947188868855</v>
      </c>
      <c r="W127">
        <f t="shared" si="149"/>
        <v>289.59258457707404</v>
      </c>
      <c r="X127">
        <f t="shared" si="150"/>
        <v>30.319531937154853</v>
      </c>
      <c r="Y127">
        <f t="shared" si="151"/>
        <v>30.090299999999999</v>
      </c>
      <c r="Z127">
        <f t="shared" si="152"/>
        <v>4.282597701931997</v>
      </c>
      <c r="AA127">
        <f t="shared" si="153"/>
        <v>64.510543886268096</v>
      </c>
      <c r="AB127">
        <f t="shared" si="154"/>
        <v>2.8742203009285001</v>
      </c>
      <c r="AC127">
        <f t="shared" si="155"/>
        <v>4.4554271717128016</v>
      </c>
      <c r="AD127">
        <f t="shared" si="156"/>
        <v>1.4083774010034968</v>
      </c>
      <c r="AE127">
        <f t="shared" si="157"/>
        <v>-367.72801555869654</v>
      </c>
      <c r="AF127">
        <f t="shared" si="158"/>
        <v>108.5760703093592</v>
      </c>
      <c r="AG127">
        <f t="shared" si="159"/>
        <v>8.3190879741169645</v>
      </c>
      <c r="AH127">
        <f t="shared" si="160"/>
        <v>38.75972730185363</v>
      </c>
      <c r="AI127">
        <v>0</v>
      </c>
      <c r="AJ127">
        <v>0</v>
      </c>
      <c r="AK127">
        <f t="shared" si="161"/>
        <v>1</v>
      </c>
      <c r="AL127">
        <f t="shared" si="162"/>
        <v>0</v>
      </c>
      <c r="AM127">
        <f t="shared" si="163"/>
        <v>51773.070675097806</v>
      </c>
      <c r="AN127" t="s">
        <v>418</v>
      </c>
      <c r="AO127">
        <v>10021</v>
      </c>
      <c r="AP127">
        <v>177.53923076923081</v>
      </c>
      <c r="AQ127">
        <v>655.56</v>
      </c>
      <c r="AR127">
        <f t="shared" si="164"/>
        <v>0.72917928066198234</v>
      </c>
      <c r="AS127">
        <v>-3.1115002560329539</v>
      </c>
      <c r="AT127" t="s">
        <v>983</v>
      </c>
      <c r="AU127">
        <v>8023.11</v>
      </c>
      <c r="AV127">
        <v>710.60326923076923</v>
      </c>
      <c r="AW127">
        <v>781.97477968620558</v>
      </c>
      <c r="AX127">
        <f t="shared" si="165"/>
        <v>9.1270859763631584E-2</v>
      </c>
      <c r="AY127">
        <v>0.5</v>
      </c>
      <c r="AZ127">
        <f t="shared" si="166"/>
        <v>1513.3193992627328</v>
      </c>
      <c r="BA127">
        <f t="shared" si="167"/>
        <v>5.8234074538522211</v>
      </c>
      <c r="BB127">
        <f t="shared" si="168"/>
        <v>69.060981333846044</v>
      </c>
      <c r="BC127">
        <f t="shared" si="169"/>
        <v>5.9041784003020991E-3</v>
      </c>
      <c r="BD127">
        <f t="shared" si="170"/>
        <v>-0.16166094223260491</v>
      </c>
      <c r="BE127">
        <f t="shared" si="171"/>
        <v>185.66798547272472</v>
      </c>
      <c r="BF127" t="s">
        <v>984</v>
      </c>
      <c r="BG127">
        <v>597.36</v>
      </c>
      <c r="BH127">
        <f t="shared" si="172"/>
        <v>597.36</v>
      </c>
      <c r="BI127">
        <f t="shared" si="173"/>
        <v>0.23608789500895233</v>
      </c>
      <c r="BJ127">
        <f t="shared" si="174"/>
        <v>0.38659694839572606</v>
      </c>
      <c r="BK127">
        <f t="shared" si="175"/>
        <v>-2.1720752523403055</v>
      </c>
      <c r="BL127">
        <f t="shared" si="176"/>
        <v>0.11807960432393419</v>
      </c>
      <c r="BM127">
        <f t="shared" si="177"/>
        <v>-0.26445457566547215</v>
      </c>
      <c r="BN127">
        <f t="shared" si="178"/>
        <v>0.32498802509543995</v>
      </c>
      <c r="BO127">
        <f t="shared" si="179"/>
        <v>0.67501197490456</v>
      </c>
      <c r="BP127">
        <v>22687</v>
      </c>
      <c r="BQ127">
        <v>290.00000000000011</v>
      </c>
      <c r="BR127">
        <v>760.43</v>
      </c>
      <c r="BS127">
        <v>295</v>
      </c>
      <c r="BT127">
        <v>8023.11</v>
      </c>
      <c r="BU127">
        <v>759.97</v>
      </c>
      <c r="BV127">
        <v>0.46</v>
      </c>
      <c r="BW127">
        <v>300.00000000000011</v>
      </c>
      <c r="BX127">
        <v>19.399999999999999</v>
      </c>
      <c r="BY127">
        <v>781.97477968620558</v>
      </c>
      <c r="BZ127">
        <v>2.226994548138955</v>
      </c>
      <c r="CA127">
        <v>-17.654015471600069</v>
      </c>
      <c r="CB127">
        <v>1.6412486405382101</v>
      </c>
      <c r="CC127">
        <v>0.80515138298278655</v>
      </c>
      <c r="CD127">
        <v>-4.1438691879866494E-3</v>
      </c>
      <c r="CE127">
        <v>289.99999999999989</v>
      </c>
      <c r="CF127">
        <v>758.77</v>
      </c>
      <c r="CG127">
        <v>665</v>
      </c>
      <c r="CH127">
        <v>8012.45</v>
      </c>
      <c r="CI127">
        <v>759.94</v>
      </c>
      <c r="CJ127">
        <v>-1.17</v>
      </c>
      <c r="CX127">
        <f t="shared" si="180"/>
        <v>1800.16</v>
      </c>
      <c r="CY127">
        <f t="shared" si="181"/>
        <v>1513.3193992627328</v>
      </c>
      <c r="CZ127">
        <f t="shared" si="182"/>
        <v>0.84065827441045948</v>
      </c>
      <c r="DA127">
        <f t="shared" si="183"/>
        <v>0.16087046961218671</v>
      </c>
      <c r="DB127">
        <v>6</v>
      </c>
      <c r="DC127">
        <v>0.5</v>
      </c>
      <c r="DD127" t="s">
        <v>421</v>
      </c>
      <c r="DE127">
        <v>2</v>
      </c>
      <c r="DF127">
        <v>1689020812.0999999</v>
      </c>
      <c r="DG127">
        <v>22.8629</v>
      </c>
      <c r="DH127">
        <v>30.079499999999999</v>
      </c>
      <c r="DI127">
        <v>28.967500000000001</v>
      </c>
      <c r="DJ127">
        <v>19.2515</v>
      </c>
      <c r="DK127">
        <v>22.694600000000001</v>
      </c>
      <c r="DL127">
        <v>28.704000000000001</v>
      </c>
      <c r="DM127">
        <v>500.01799999999997</v>
      </c>
      <c r="DN127">
        <v>99.122299999999996</v>
      </c>
      <c r="DO127">
        <v>9.9942199999999995E-2</v>
      </c>
      <c r="DP127">
        <v>30.781300000000002</v>
      </c>
      <c r="DQ127">
        <v>30.090299999999999</v>
      </c>
      <c r="DR127">
        <v>999.9</v>
      </c>
      <c r="DS127">
        <v>0</v>
      </c>
      <c r="DT127">
        <v>0</v>
      </c>
      <c r="DU127">
        <v>10002.5</v>
      </c>
      <c r="DV127">
        <v>0</v>
      </c>
      <c r="DW127">
        <v>1542.28</v>
      </c>
      <c r="DX127">
        <v>-7.2165600000000003</v>
      </c>
      <c r="DY127">
        <v>23.545000000000002</v>
      </c>
      <c r="DZ127">
        <v>30.669899999999998</v>
      </c>
      <c r="EA127">
        <v>9.7160200000000003</v>
      </c>
      <c r="EB127">
        <v>30.079499999999999</v>
      </c>
      <c r="EC127">
        <v>19.2515</v>
      </c>
      <c r="ED127">
        <v>2.8713299999999999</v>
      </c>
      <c r="EE127">
        <v>1.90825</v>
      </c>
      <c r="EF127">
        <v>23.3</v>
      </c>
      <c r="EG127">
        <v>16.7029</v>
      </c>
      <c r="EH127">
        <v>1800.16</v>
      </c>
      <c r="EI127">
        <v>0.97799899999999995</v>
      </c>
      <c r="EJ127">
        <v>2.2001400000000001E-2</v>
      </c>
      <c r="EK127">
        <v>0</v>
      </c>
      <c r="EL127">
        <v>710.46600000000001</v>
      </c>
      <c r="EM127">
        <v>5.0011200000000002</v>
      </c>
      <c r="EN127">
        <v>14419.7</v>
      </c>
      <c r="EO127">
        <v>17212.400000000001</v>
      </c>
      <c r="EP127">
        <v>49.811999999999998</v>
      </c>
      <c r="EQ127">
        <v>51.061999999999998</v>
      </c>
      <c r="ER127">
        <v>50.811999999999998</v>
      </c>
      <c r="ES127">
        <v>50.125</v>
      </c>
      <c r="ET127">
        <v>50.436999999999998</v>
      </c>
      <c r="EU127">
        <v>1755.66</v>
      </c>
      <c r="EV127">
        <v>39.5</v>
      </c>
      <c r="EW127">
        <v>0</v>
      </c>
      <c r="EX127">
        <v>164</v>
      </c>
      <c r="EY127">
        <v>0</v>
      </c>
      <c r="EZ127">
        <v>710.60326923076923</v>
      </c>
      <c r="FA127">
        <v>-2.4143931757392489</v>
      </c>
      <c r="FB127">
        <v>-868.37948807412295</v>
      </c>
      <c r="FC127">
        <v>14592.534615384609</v>
      </c>
      <c r="FD127">
        <v>15</v>
      </c>
      <c r="FE127">
        <v>1689020760.5999999</v>
      </c>
      <c r="FF127" t="s">
        <v>985</v>
      </c>
      <c r="FG127">
        <v>1689020753.0999999</v>
      </c>
      <c r="FH127">
        <v>1689020760.5999999</v>
      </c>
      <c r="FI127">
        <v>124</v>
      </c>
      <c r="FJ127">
        <v>0.20100000000000001</v>
      </c>
      <c r="FK127">
        <v>2E-3</v>
      </c>
      <c r="FL127">
        <v>0.189</v>
      </c>
      <c r="FM127">
        <v>0.182</v>
      </c>
      <c r="FN127">
        <v>30</v>
      </c>
      <c r="FO127">
        <v>19</v>
      </c>
      <c r="FP127">
        <v>0.7</v>
      </c>
      <c r="FQ127">
        <v>0.02</v>
      </c>
      <c r="FR127">
        <v>5.7977449868046298</v>
      </c>
      <c r="FS127">
        <v>0.37222090697990268</v>
      </c>
      <c r="FT127">
        <v>3.2459014498162152E-2</v>
      </c>
      <c r="FU127">
        <v>1</v>
      </c>
      <c r="FV127">
        <v>0.641031053409996</v>
      </c>
      <c r="FW127">
        <v>-4.9251062928191751E-2</v>
      </c>
      <c r="FX127">
        <v>3.7265902143931071E-3</v>
      </c>
      <c r="FY127">
        <v>1</v>
      </c>
      <c r="FZ127">
        <v>2</v>
      </c>
      <c r="GA127">
        <v>2</v>
      </c>
      <c r="GB127" t="s">
        <v>423</v>
      </c>
      <c r="GC127">
        <v>2.9237199999999999</v>
      </c>
      <c r="GD127">
        <v>2.8272599999999999</v>
      </c>
      <c r="GE127">
        <v>5.9549599999999996E-3</v>
      </c>
      <c r="GF127">
        <v>7.9453800000000002E-3</v>
      </c>
      <c r="GG127">
        <v>0.127327</v>
      </c>
      <c r="GH127">
        <v>9.6049399999999993E-2</v>
      </c>
      <c r="GI127">
        <v>32352.7</v>
      </c>
      <c r="GJ127">
        <v>26184</v>
      </c>
      <c r="GK127">
        <v>31325.7</v>
      </c>
      <c r="GL127">
        <v>26042.9</v>
      </c>
      <c r="GM127">
        <v>37477</v>
      </c>
      <c r="GN127">
        <v>31932.799999999999</v>
      </c>
      <c r="GO127">
        <v>46518</v>
      </c>
      <c r="GP127">
        <v>37864.699999999997</v>
      </c>
      <c r="GQ127">
        <v>1.9100299999999999</v>
      </c>
      <c r="GR127">
        <v>1.6988000000000001</v>
      </c>
      <c r="GS127">
        <v>-1.49757E-2</v>
      </c>
      <c r="GT127">
        <v>0</v>
      </c>
      <c r="GU127">
        <v>30.3339</v>
      </c>
      <c r="GV127">
        <v>999.9</v>
      </c>
      <c r="GW127">
        <v>38.700000000000003</v>
      </c>
      <c r="GX127">
        <v>45.8</v>
      </c>
      <c r="GY127">
        <v>39.2134</v>
      </c>
      <c r="GZ127">
        <v>62.094799999999999</v>
      </c>
      <c r="HA127">
        <v>19.7837</v>
      </c>
      <c r="HB127">
        <v>1</v>
      </c>
      <c r="HC127">
        <v>0.60614100000000004</v>
      </c>
      <c r="HD127">
        <v>4.1061800000000002</v>
      </c>
      <c r="HE127">
        <v>20.2453</v>
      </c>
      <c r="HF127">
        <v>5.2198399999999996</v>
      </c>
      <c r="HG127">
        <v>12.063000000000001</v>
      </c>
      <c r="HH127">
        <v>4.9915500000000002</v>
      </c>
      <c r="HI127">
        <v>3.29122</v>
      </c>
      <c r="HJ127">
        <v>9999</v>
      </c>
      <c r="HK127">
        <v>9999</v>
      </c>
      <c r="HL127">
        <v>9999</v>
      </c>
      <c r="HM127">
        <v>466.9</v>
      </c>
      <c r="HN127">
        <v>1.8669</v>
      </c>
      <c r="HO127">
        <v>1.87033</v>
      </c>
      <c r="HP127">
        <v>1.87297</v>
      </c>
      <c r="HQ127">
        <v>1.87381</v>
      </c>
      <c r="HR127">
        <v>1.8705799999999999</v>
      </c>
      <c r="HS127">
        <v>1.8689899999999999</v>
      </c>
      <c r="HT127">
        <v>1.87042</v>
      </c>
      <c r="HU127">
        <v>1.87341</v>
      </c>
      <c r="HV127">
        <v>0</v>
      </c>
      <c r="HW127">
        <v>0</v>
      </c>
      <c r="HX127">
        <v>0</v>
      </c>
      <c r="HY127">
        <v>0</v>
      </c>
      <c r="HZ127" t="s">
        <v>424</v>
      </c>
      <c r="IA127" t="s">
        <v>425</v>
      </c>
      <c r="IB127" t="s">
        <v>426</v>
      </c>
      <c r="IC127" t="s">
        <v>426</v>
      </c>
      <c r="ID127" t="s">
        <v>426</v>
      </c>
      <c r="IE127" t="s">
        <v>426</v>
      </c>
      <c r="IF127">
        <v>0</v>
      </c>
      <c r="IG127">
        <v>100</v>
      </c>
      <c r="IH127">
        <v>100</v>
      </c>
      <c r="II127">
        <v>0.16800000000000001</v>
      </c>
      <c r="IJ127">
        <v>0.26350000000000001</v>
      </c>
      <c r="IK127">
        <v>0.10052940440955339</v>
      </c>
      <c r="IL127">
        <v>3.042515301972944E-3</v>
      </c>
      <c r="IM127">
        <v>-2.5091471490852929E-6</v>
      </c>
      <c r="IN127">
        <v>8.1339755115576286E-10</v>
      </c>
      <c r="IO127">
        <v>0.26347235638933342</v>
      </c>
      <c r="IP127">
        <v>0</v>
      </c>
      <c r="IQ127">
        <v>0</v>
      </c>
      <c r="IR127">
        <v>0</v>
      </c>
      <c r="IS127">
        <v>3</v>
      </c>
      <c r="IT127">
        <v>2004</v>
      </c>
      <c r="IU127">
        <v>2</v>
      </c>
      <c r="IV127">
        <v>22</v>
      </c>
      <c r="IW127">
        <v>1</v>
      </c>
      <c r="IX127">
        <v>0.9</v>
      </c>
      <c r="IY127">
        <v>0.18188499999999999</v>
      </c>
      <c r="IZ127">
        <v>2.65381</v>
      </c>
      <c r="JA127">
        <v>1.64917</v>
      </c>
      <c r="JB127">
        <v>2.34009</v>
      </c>
      <c r="JC127">
        <v>1.5991200000000001</v>
      </c>
      <c r="JD127">
        <v>2.3584000000000001</v>
      </c>
      <c r="JE127">
        <v>47.9955</v>
      </c>
      <c r="JF127">
        <v>24.105</v>
      </c>
      <c r="JG127">
        <v>18</v>
      </c>
      <c r="JH127">
        <v>517.97900000000004</v>
      </c>
      <c r="JI127">
        <v>427.62</v>
      </c>
      <c r="JJ127">
        <v>27.789000000000001</v>
      </c>
      <c r="JK127">
        <v>34.4621</v>
      </c>
      <c r="JL127">
        <v>30.005099999999999</v>
      </c>
      <c r="JM127">
        <v>34.487299999999998</v>
      </c>
      <c r="JN127">
        <v>34.477200000000003</v>
      </c>
      <c r="JO127">
        <v>3.6625299999999998</v>
      </c>
      <c r="JP127">
        <v>63.593299999999999</v>
      </c>
      <c r="JQ127">
        <v>0</v>
      </c>
      <c r="JR127">
        <v>27.732199999999999</v>
      </c>
      <c r="JS127">
        <v>30</v>
      </c>
      <c r="JT127">
        <v>19.3279</v>
      </c>
      <c r="JU127">
        <v>99.284800000000004</v>
      </c>
      <c r="JV127">
        <v>99.0184</v>
      </c>
    </row>
    <row r="128" spans="1:282" x14ac:dyDescent="0.25">
      <c r="A128">
        <v>112</v>
      </c>
      <c r="B128">
        <v>1689020916</v>
      </c>
      <c r="C128">
        <v>21320.900000095371</v>
      </c>
      <c r="D128" t="s">
        <v>986</v>
      </c>
      <c r="E128" t="s">
        <v>987</v>
      </c>
      <c r="F128" t="s">
        <v>414</v>
      </c>
      <c r="G128" t="s">
        <v>415</v>
      </c>
      <c r="H128" t="s">
        <v>500</v>
      </c>
      <c r="I128" t="s">
        <v>500</v>
      </c>
      <c r="J128" t="s">
        <v>417</v>
      </c>
      <c r="K128">
        <v>1689020916</v>
      </c>
      <c r="L128">
        <f t="shared" si="138"/>
        <v>8.5648910627060607E-3</v>
      </c>
      <c r="M128">
        <f t="shared" si="139"/>
        <v>8.5648910627060602</v>
      </c>
      <c r="N128">
        <f t="shared" si="140"/>
        <v>3.1697490832281887</v>
      </c>
      <c r="O128">
        <f t="shared" si="141"/>
        <v>11.6051</v>
      </c>
      <c r="P128">
        <f t="shared" si="142"/>
        <v>3.2535778324033675</v>
      </c>
      <c r="Q128">
        <f t="shared" si="143"/>
        <v>0.32282572208162497</v>
      </c>
      <c r="R128">
        <f t="shared" si="144"/>
        <v>1.1514784585811</v>
      </c>
      <c r="S128">
        <f t="shared" si="145"/>
        <v>0.68854683343041079</v>
      </c>
      <c r="T128">
        <f t="shared" si="146"/>
        <v>2.9124531712609256</v>
      </c>
      <c r="U128">
        <f t="shared" si="147"/>
        <v>0.60928350443427404</v>
      </c>
      <c r="V128">
        <f t="shared" si="148"/>
        <v>0.38716062734751355</v>
      </c>
      <c r="W128">
        <f t="shared" si="149"/>
        <v>289.57125757733149</v>
      </c>
      <c r="X128">
        <f t="shared" si="150"/>
        <v>30.087793379808144</v>
      </c>
      <c r="Y128">
        <f t="shared" si="151"/>
        <v>29.952200000000001</v>
      </c>
      <c r="Z128">
        <f t="shared" si="152"/>
        <v>4.2487662974688085</v>
      </c>
      <c r="AA128">
        <f t="shared" si="153"/>
        <v>65.829175696216865</v>
      </c>
      <c r="AB128">
        <f t="shared" si="154"/>
        <v>2.9042507109983</v>
      </c>
      <c r="AC128">
        <f t="shared" si="155"/>
        <v>4.4117986899921098</v>
      </c>
      <c r="AD128">
        <f t="shared" si="156"/>
        <v>1.3445155864705085</v>
      </c>
      <c r="AE128">
        <f t="shared" si="157"/>
        <v>-377.71169586533728</v>
      </c>
      <c r="AF128">
        <f t="shared" si="158"/>
        <v>103.14392559990864</v>
      </c>
      <c r="AG128">
        <f t="shared" si="159"/>
        <v>7.8964252588320489</v>
      </c>
      <c r="AH128">
        <f t="shared" si="160"/>
        <v>22.899912570734898</v>
      </c>
      <c r="AI128">
        <v>0</v>
      </c>
      <c r="AJ128">
        <v>0</v>
      </c>
      <c r="AK128">
        <f t="shared" si="161"/>
        <v>1</v>
      </c>
      <c r="AL128">
        <f t="shared" si="162"/>
        <v>0</v>
      </c>
      <c r="AM128">
        <f t="shared" si="163"/>
        <v>51743.05203176933</v>
      </c>
      <c r="AN128" t="s">
        <v>418</v>
      </c>
      <c r="AO128">
        <v>10021</v>
      </c>
      <c r="AP128">
        <v>177.53923076923081</v>
      </c>
      <c r="AQ128">
        <v>655.56</v>
      </c>
      <c r="AR128">
        <f t="shared" si="164"/>
        <v>0.72917928066198234</v>
      </c>
      <c r="AS128">
        <v>-3.1115002560329539</v>
      </c>
      <c r="AT128" t="s">
        <v>988</v>
      </c>
      <c r="AU128">
        <v>8031.56</v>
      </c>
      <c r="AV128">
        <v>715.03238461538467</v>
      </c>
      <c r="AW128">
        <v>781.18560960854325</v>
      </c>
      <c r="AX128">
        <f t="shared" si="165"/>
        <v>8.4683107547652292E-2</v>
      </c>
      <c r="AY128">
        <v>0.5</v>
      </c>
      <c r="AZ128">
        <f t="shared" si="166"/>
        <v>1513.209899262866</v>
      </c>
      <c r="BA128">
        <f t="shared" si="167"/>
        <v>3.1697490832281887</v>
      </c>
      <c r="BB128">
        <f t="shared" si="168"/>
        <v>64.07165832072468</v>
      </c>
      <c r="BC128">
        <f t="shared" si="169"/>
        <v>4.1509438593554963E-3</v>
      </c>
      <c r="BD128">
        <f t="shared" si="170"/>
        <v>-0.1608140345435895</v>
      </c>
      <c r="BE128">
        <f t="shared" si="171"/>
        <v>185.62346153960289</v>
      </c>
      <c r="BF128" t="s">
        <v>989</v>
      </c>
      <c r="BG128">
        <v>607.04999999999995</v>
      </c>
      <c r="BH128">
        <f t="shared" si="172"/>
        <v>607.04999999999995</v>
      </c>
      <c r="BI128">
        <f t="shared" si="173"/>
        <v>0.2229119526354354</v>
      </c>
      <c r="BJ128">
        <f t="shared" si="174"/>
        <v>0.37989487125505789</v>
      </c>
      <c r="BK128">
        <f t="shared" si="175"/>
        <v>-2.5896847991866281</v>
      </c>
      <c r="BL128">
        <f t="shared" si="176"/>
        <v>0.10958936773605367</v>
      </c>
      <c r="BM128">
        <f t="shared" si="177"/>
        <v>-0.26280366397196503</v>
      </c>
      <c r="BN128">
        <f t="shared" si="178"/>
        <v>0.32252410737931902</v>
      </c>
      <c r="BO128">
        <f t="shared" si="179"/>
        <v>0.67747589262068098</v>
      </c>
      <c r="BP128">
        <v>22689</v>
      </c>
      <c r="BQ128">
        <v>290.00000000000011</v>
      </c>
      <c r="BR128">
        <v>757.94</v>
      </c>
      <c r="BS128">
        <v>165</v>
      </c>
      <c r="BT128">
        <v>8031.56</v>
      </c>
      <c r="BU128">
        <v>757.6</v>
      </c>
      <c r="BV128">
        <v>0.34</v>
      </c>
      <c r="BW128">
        <v>300.00000000000011</v>
      </c>
      <c r="BX128">
        <v>19.399999999999999</v>
      </c>
      <c r="BY128">
        <v>781.18560960854325</v>
      </c>
      <c r="BZ128">
        <v>2.3889697345213818</v>
      </c>
      <c r="CA128">
        <v>-18.943744845946259</v>
      </c>
      <c r="CB128">
        <v>1.760458200065121</v>
      </c>
      <c r="CC128">
        <v>0.80527489179414968</v>
      </c>
      <c r="CD128">
        <v>-4.143763515016689E-3</v>
      </c>
      <c r="CE128">
        <v>289.99999999999989</v>
      </c>
      <c r="CF128">
        <v>755.68</v>
      </c>
      <c r="CG128">
        <v>875</v>
      </c>
      <c r="CH128">
        <v>8006.58</v>
      </c>
      <c r="CI128">
        <v>757.53</v>
      </c>
      <c r="CJ128">
        <v>-1.85</v>
      </c>
      <c r="CX128">
        <f t="shared" si="180"/>
        <v>1800.03</v>
      </c>
      <c r="CY128">
        <f t="shared" si="181"/>
        <v>1513.209899262866</v>
      </c>
      <c r="CZ128">
        <f t="shared" si="182"/>
        <v>0.84065815528789301</v>
      </c>
      <c r="DA128">
        <f t="shared" si="183"/>
        <v>0.16087023970563352</v>
      </c>
      <c r="DB128">
        <v>6</v>
      </c>
      <c r="DC128">
        <v>0.5</v>
      </c>
      <c r="DD128" t="s">
        <v>421</v>
      </c>
      <c r="DE128">
        <v>2</v>
      </c>
      <c r="DF128">
        <v>1689020916</v>
      </c>
      <c r="DG128">
        <v>11.6051</v>
      </c>
      <c r="DH128">
        <v>15.526999999999999</v>
      </c>
      <c r="DI128">
        <v>29.270299999999999</v>
      </c>
      <c r="DJ128">
        <v>19.295999999999999</v>
      </c>
      <c r="DK128">
        <v>11.3995</v>
      </c>
      <c r="DL128">
        <v>29.004799999999999</v>
      </c>
      <c r="DM128">
        <v>500.137</v>
      </c>
      <c r="DN128">
        <v>99.121600000000001</v>
      </c>
      <c r="DO128">
        <v>0.100161</v>
      </c>
      <c r="DP128">
        <v>30.609100000000002</v>
      </c>
      <c r="DQ128">
        <v>29.952200000000001</v>
      </c>
      <c r="DR128">
        <v>999.9</v>
      </c>
      <c r="DS128">
        <v>0</v>
      </c>
      <c r="DT128">
        <v>0</v>
      </c>
      <c r="DU128">
        <v>9990.6200000000008</v>
      </c>
      <c r="DV128">
        <v>0</v>
      </c>
      <c r="DW128">
        <v>1706.45</v>
      </c>
      <c r="DX128">
        <v>-3.9218799999999998</v>
      </c>
      <c r="DY128">
        <v>11.955</v>
      </c>
      <c r="DZ128">
        <v>15.8325</v>
      </c>
      <c r="EA128">
        <v>9.9743600000000008</v>
      </c>
      <c r="EB128">
        <v>15.526999999999999</v>
      </c>
      <c r="EC128">
        <v>19.295999999999999</v>
      </c>
      <c r="ED128">
        <v>2.9013200000000001</v>
      </c>
      <c r="EE128">
        <v>1.91265</v>
      </c>
      <c r="EF128">
        <v>23.472200000000001</v>
      </c>
      <c r="EG128">
        <v>16.739100000000001</v>
      </c>
      <c r="EH128">
        <v>1800.03</v>
      </c>
      <c r="EI128">
        <v>0.97799899999999995</v>
      </c>
      <c r="EJ128">
        <v>2.2001400000000001E-2</v>
      </c>
      <c r="EK128">
        <v>0</v>
      </c>
      <c r="EL128">
        <v>715.00300000000004</v>
      </c>
      <c r="EM128">
        <v>5.0011200000000002</v>
      </c>
      <c r="EN128">
        <v>14679.1</v>
      </c>
      <c r="EO128">
        <v>17211.2</v>
      </c>
      <c r="EP128">
        <v>50.061999999999998</v>
      </c>
      <c r="EQ128">
        <v>51.311999999999998</v>
      </c>
      <c r="ER128">
        <v>51</v>
      </c>
      <c r="ES128">
        <v>50.311999999999998</v>
      </c>
      <c r="ET128">
        <v>50.686999999999998</v>
      </c>
      <c r="EU128">
        <v>1755.54</v>
      </c>
      <c r="EV128">
        <v>39.49</v>
      </c>
      <c r="EW128">
        <v>0</v>
      </c>
      <c r="EX128">
        <v>102.2000000476837</v>
      </c>
      <c r="EY128">
        <v>0</v>
      </c>
      <c r="EZ128">
        <v>715.03238461538467</v>
      </c>
      <c r="FA128">
        <v>-0.61852990810953901</v>
      </c>
      <c r="FB128">
        <v>6.1162393272317619</v>
      </c>
      <c r="FC128">
        <v>14681.188461538461</v>
      </c>
      <c r="FD128">
        <v>15</v>
      </c>
      <c r="FE128">
        <v>1689020883</v>
      </c>
      <c r="FF128" t="s">
        <v>990</v>
      </c>
      <c r="FG128">
        <v>1689020870</v>
      </c>
      <c r="FH128">
        <v>1689020883</v>
      </c>
      <c r="FI128">
        <v>125</v>
      </c>
      <c r="FJ128">
        <v>7.0999999999999994E-2</v>
      </c>
      <c r="FK128">
        <v>2E-3</v>
      </c>
      <c r="FL128">
        <v>0.216</v>
      </c>
      <c r="FM128">
        <v>0.20300000000000001</v>
      </c>
      <c r="FN128">
        <v>15</v>
      </c>
      <c r="FO128">
        <v>20</v>
      </c>
      <c r="FP128">
        <v>0.61</v>
      </c>
      <c r="FQ128">
        <v>0.01</v>
      </c>
      <c r="FR128">
        <v>3.1295208895227269</v>
      </c>
      <c r="FS128">
        <v>-0.69671020812741369</v>
      </c>
      <c r="FT128">
        <v>6.5184986493036209E-2</v>
      </c>
      <c r="FU128">
        <v>1</v>
      </c>
      <c r="FV128">
        <v>0.68327731368076861</v>
      </c>
      <c r="FW128">
        <v>-4.5606675080219171E-3</v>
      </c>
      <c r="FX128">
        <v>1.705257823687081E-3</v>
      </c>
      <c r="FY128">
        <v>1</v>
      </c>
      <c r="FZ128">
        <v>2</v>
      </c>
      <c r="GA128">
        <v>2</v>
      </c>
      <c r="GB128" t="s">
        <v>423</v>
      </c>
      <c r="GC128">
        <v>2.9239700000000002</v>
      </c>
      <c r="GD128">
        <v>2.8273799999999998</v>
      </c>
      <c r="GE128">
        <v>2.9907599999999999E-3</v>
      </c>
      <c r="GF128">
        <v>4.1053399999999999E-3</v>
      </c>
      <c r="GG128">
        <v>0.12822700000000001</v>
      </c>
      <c r="GH128">
        <v>9.6190399999999995E-2</v>
      </c>
      <c r="GI128">
        <v>32449</v>
      </c>
      <c r="GJ128">
        <v>26283.7</v>
      </c>
      <c r="GK128">
        <v>31325.9</v>
      </c>
      <c r="GL128">
        <v>26041.8</v>
      </c>
      <c r="GM128">
        <v>37437.9</v>
      </c>
      <c r="GN128">
        <v>31926.6</v>
      </c>
      <c r="GO128">
        <v>46517.2</v>
      </c>
      <c r="GP128">
        <v>37863.199999999997</v>
      </c>
      <c r="GQ128">
        <v>1.90968</v>
      </c>
      <c r="GR128">
        <v>1.6974800000000001</v>
      </c>
      <c r="GS128">
        <v>-4.2386399999999998E-2</v>
      </c>
      <c r="GT128">
        <v>0</v>
      </c>
      <c r="GU128">
        <v>30.6416</v>
      </c>
      <c r="GV128">
        <v>999.9</v>
      </c>
      <c r="GW128">
        <v>38.799999999999997</v>
      </c>
      <c r="GX128">
        <v>45.8</v>
      </c>
      <c r="GY128">
        <v>39.319000000000003</v>
      </c>
      <c r="GZ128">
        <v>62.284799999999997</v>
      </c>
      <c r="HA128">
        <v>19.487200000000001</v>
      </c>
      <c r="HB128">
        <v>1</v>
      </c>
      <c r="HC128">
        <v>0.59752300000000003</v>
      </c>
      <c r="HD128">
        <v>2.4753799999999999</v>
      </c>
      <c r="HE128">
        <v>20.280100000000001</v>
      </c>
      <c r="HF128">
        <v>5.2228300000000001</v>
      </c>
      <c r="HG128">
        <v>12.0595</v>
      </c>
      <c r="HH128">
        <v>4.99275</v>
      </c>
      <c r="HI128">
        <v>3.2919999999999998</v>
      </c>
      <c r="HJ128">
        <v>9999</v>
      </c>
      <c r="HK128">
        <v>9999</v>
      </c>
      <c r="HL128">
        <v>9999</v>
      </c>
      <c r="HM128">
        <v>466.9</v>
      </c>
      <c r="HN128">
        <v>1.8669100000000001</v>
      </c>
      <c r="HO128">
        <v>1.8704099999999999</v>
      </c>
      <c r="HP128">
        <v>1.8730199999999999</v>
      </c>
      <c r="HQ128">
        <v>1.8738999999999999</v>
      </c>
      <c r="HR128">
        <v>1.87063</v>
      </c>
      <c r="HS128">
        <v>1.86904</v>
      </c>
      <c r="HT128">
        <v>1.87046</v>
      </c>
      <c r="HU128">
        <v>1.87347</v>
      </c>
      <c r="HV128">
        <v>0</v>
      </c>
      <c r="HW128">
        <v>0</v>
      </c>
      <c r="HX128">
        <v>0</v>
      </c>
      <c r="HY128">
        <v>0</v>
      </c>
      <c r="HZ128" t="s">
        <v>424</v>
      </c>
      <c r="IA128" t="s">
        <v>425</v>
      </c>
      <c r="IB128" t="s">
        <v>426</v>
      </c>
      <c r="IC128" t="s">
        <v>426</v>
      </c>
      <c r="ID128" t="s">
        <v>426</v>
      </c>
      <c r="IE128" t="s">
        <v>426</v>
      </c>
      <c r="IF128">
        <v>0</v>
      </c>
      <c r="IG128">
        <v>100</v>
      </c>
      <c r="IH128">
        <v>100</v>
      </c>
      <c r="II128">
        <v>0.20599999999999999</v>
      </c>
      <c r="IJ128">
        <v>0.26550000000000001</v>
      </c>
      <c r="IK128">
        <v>0.17119584537413171</v>
      </c>
      <c r="IL128">
        <v>3.042515301972944E-3</v>
      </c>
      <c r="IM128">
        <v>-2.5091471490852929E-6</v>
      </c>
      <c r="IN128">
        <v>8.1339755115576286E-10</v>
      </c>
      <c r="IO128">
        <v>0.26554757449289262</v>
      </c>
      <c r="IP128">
        <v>0</v>
      </c>
      <c r="IQ128">
        <v>0</v>
      </c>
      <c r="IR128">
        <v>0</v>
      </c>
      <c r="IS128">
        <v>3</v>
      </c>
      <c r="IT128">
        <v>2004</v>
      </c>
      <c r="IU128">
        <v>2</v>
      </c>
      <c r="IV128">
        <v>22</v>
      </c>
      <c r="IW128">
        <v>0.8</v>
      </c>
      <c r="IX128">
        <v>0.6</v>
      </c>
      <c r="IY128">
        <v>3.5400399999999999E-2</v>
      </c>
      <c r="IZ128">
        <v>4.99878</v>
      </c>
      <c r="JA128">
        <v>1.64917</v>
      </c>
      <c r="JB128">
        <v>2.33887</v>
      </c>
      <c r="JC128">
        <v>1.5991200000000001</v>
      </c>
      <c r="JD128">
        <v>2.2473100000000001</v>
      </c>
      <c r="JE128">
        <v>48.0869</v>
      </c>
      <c r="JF128">
        <v>24.096299999999999</v>
      </c>
      <c r="JG128">
        <v>18</v>
      </c>
      <c r="JH128">
        <v>518.28200000000004</v>
      </c>
      <c r="JI128">
        <v>427.291</v>
      </c>
      <c r="JJ128">
        <v>27.1342</v>
      </c>
      <c r="JK128">
        <v>34.521500000000003</v>
      </c>
      <c r="JL128">
        <v>29.996099999999998</v>
      </c>
      <c r="JM128">
        <v>34.557499999999997</v>
      </c>
      <c r="JN128">
        <v>34.552999999999997</v>
      </c>
      <c r="JO128">
        <v>0.40668599999999999</v>
      </c>
      <c r="JP128">
        <v>65.208399999999997</v>
      </c>
      <c r="JQ128">
        <v>0</v>
      </c>
      <c r="JR128">
        <v>27.218900000000001</v>
      </c>
      <c r="JS128">
        <v>10</v>
      </c>
      <c r="JT128">
        <v>19.233699999999999</v>
      </c>
      <c r="JU128">
        <v>99.284099999999995</v>
      </c>
      <c r="JV128">
        <v>99.014399999999995</v>
      </c>
    </row>
    <row r="129" spans="1:282" x14ac:dyDescent="0.25">
      <c r="A129">
        <v>113</v>
      </c>
      <c r="B129">
        <v>1689021105.5</v>
      </c>
      <c r="C129">
        <v>21510.400000095371</v>
      </c>
      <c r="D129" t="s">
        <v>991</v>
      </c>
      <c r="E129" t="s">
        <v>992</v>
      </c>
      <c r="F129" t="s">
        <v>414</v>
      </c>
      <c r="G129" t="s">
        <v>415</v>
      </c>
      <c r="H129" t="s">
        <v>500</v>
      </c>
      <c r="I129" t="s">
        <v>500</v>
      </c>
      <c r="J129" t="s">
        <v>417</v>
      </c>
      <c r="K129">
        <v>1689021105.5</v>
      </c>
      <c r="L129">
        <f t="shared" si="138"/>
        <v>8.2248157469582747E-3</v>
      </c>
      <c r="M129">
        <f t="shared" si="139"/>
        <v>8.2248157469582743</v>
      </c>
      <c r="N129">
        <f t="shared" si="140"/>
        <v>52.807509732417863</v>
      </c>
      <c r="O129">
        <f t="shared" si="141"/>
        <v>333.54899999999998</v>
      </c>
      <c r="P129">
        <f t="shared" si="142"/>
        <v>181.38771430402946</v>
      </c>
      <c r="Q129">
        <f t="shared" si="143"/>
        <v>17.997664776034757</v>
      </c>
      <c r="R129">
        <f t="shared" si="144"/>
        <v>33.095422760108399</v>
      </c>
      <c r="S129">
        <f t="shared" si="145"/>
        <v>0.63714997346408431</v>
      </c>
      <c r="T129">
        <f t="shared" si="146"/>
        <v>2.9143167114227682</v>
      </c>
      <c r="U129">
        <f t="shared" si="147"/>
        <v>0.56868888369055004</v>
      </c>
      <c r="V129">
        <f t="shared" si="148"/>
        <v>0.36096658410477495</v>
      </c>
      <c r="W129">
        <f t="shared" si="149"/>
        <v>289.5600855772762</v>
      </c>
      <c r="X129">
        <f t="shared" si="150"/>
        <v>30.217398304237832</v>
      </c>
      <c r="Y129">
        <f t="shared" si="151"/>
        <v>30.0017</v>
      </c>
      <c r="Z129">
        <f t="shared" si="152"/>
        <v>4.2608658085871269</v>
      </c>
      <c r="AA129">
        <f t="shared" si="153"/>
        <v>65.070330666769422</v>
      </c>
      <c r="AB129">
        <f t="shared" si="154"/>
        <v>2.8774599208143199</v>
      </c>
      <c r="AC129">
        <f t="shared" si="155"/>
        <v>4.4220766843033754</v>
      </c>
      <c r="AD129">
        <f t="shared" si="156"/>
        <v>1.383405887772807</v>
      </c>
      <c r="AE129">
        <f t="shared" si="157"/>
        <v>-362.7143744408599</v>
      </c>
      <c r="AF129">
        <f t="shared" si="158"/>
        <v>101.82729603420788</v>
      </c>
      <c r="AG129">
        <f t="shared" si="159"/>
        <v>7.7941185750745161</v>
      </c>
      <c r="AH129">
        <f t="shared" si="160"/>
        <v>36.467125745698667</v>
      </c>
      <c r="AI129">
        <v>0</v>
      </c>
      <c r="AJ129">
        <v>0</v>
      </c>
      <c r="AK129">
        <f t="shared" si="161"/>
        <v>1</v>
      </c>
      <c r="AL129">
        <f t="shared" si="162"/>
        <v>0</v>
      </c>
      <c r="AM129">
        <f t="shared" si="163"/>
        <v>51789.035458594575</v>
      </c>
      <c r="AN129" t="s">
        <v>418</v>
      </c>
      <c r="AO129">
        <v>10021</v>
      </c>
      <c r="AP129">
        <v>177.53923076923081</v>
      </c>
      <c r="AQ129">
        <v>655.56</v>
      </c>
      <c r="AR129">
        <f t="shared" si="164"/>
        <v>0.72917928066198234</v>
      </c>
      <c r="AS129">
        <v>-3.1115002560329539</v>
      </c>
      <c r="AT129" t="s">
        <v>993</v>
      </c>
      <c r="AU129">
        <v>8023.13</v>
      </c>
      <c r="AV129">
        <v>708.541846153846</v>
      </c>
      <c r="AW129">
        <v>1162.8375631432241</v>
      </c>
      <c r="AX129">
        <f t="shared" si="165"/>
        <v>0.39067857058331323</v>
      </c>
      <c r="AY129">
        <v>0.5</v>
      </c>
      <c r="AZ129">
        <f t="shared" si="166"/>
        <v>1513.1510992628375</v>
      </c>
      <c r="BA129">
        <f t="shared" si="167"/>
        <v>52.807509732417863</v>
      </c>
      <c r="BB129">
        <f t="shared" si="168"/>
        <v>295.57785426828724</v>
      </c>
      <c r="BC129">
        <f t="shared" si="169"/>
        <v>3.6955337781992101E-2</v>
      </c>
      <c r="BD129">
        <f t="shared" si="170"/>
        <v>-0.43624112190873893</v>
      </c>
      <c r="BE129">
        <f t="shared" si="171"/>
        <v>201.32431656754082</v>
      </c>
      <c r="BF129" t="s">
        <v>994</v>
      </c>
      <c r="BG129">
        <v>569.20000000000005</v>
      </c>
      <c r="BH129">
        <f t="shared" si="172"/>
        <v>569.20000000000005</v>
      </c>
      <c r="BI129">
        <f t="shared" si="173"/>
        <v>0.51050772864490535</v>
      </c>
      <c r="BJ129">
        <f t="shared" si="174"/>
        <v>0.76527454661721328</v>
      </c>
      <c r="BK129">
        <f t="shared" si="175"/>
        <v>-5.8739875306070486</v>
      </c>
      <c r="BL129">
        <f t="shared" si="176"/>
        <v>0.46107427777208437</v>
      </c>
      <c r="BM129">
        <f t="shared" si="177"/>
        <v>-1.0612040224936985</v>
      </c>
      <c r="BN129">
        <f t="shared" si="178"/>
        <v>0.61477564705463716</v>
      </c>
      <c r="BO129">
        <f t="shared" si="179"/>
        <v>0.38522435294536284</v>
      </c>
      <c r="BP129">
        <v>22691</v>
      </c>
      <c r="BQ129">
        <v>290.00000000000011</v>
      </c>
      <c r="BR129">
        <v>969.7</v>
      </c>
      <c r="BS129">
        <v>285</v>
      </c>
      <c r="BT129">
        <v>8023.13</v>
      </c>
      <c r="BU129">
        <v>972.88</v>
      </c>
      <c r="BV129">
        <v>-3.18</v>
      </c>
      <c r="BW129">
        <v>300.00000000000011</v>
      </c>
      <c r="BX129">
        <v>19.399999999999999</v>
      </c>
      <c r="BY129">
        <v>1162.8375631432241</v>
      </c>
      <c r="BZ129">
        <v>5.1357953360439357</v>
      </c>
      <c r="CA129">
        <v>-152.40208551883629</v>
      </c>
      <c r="CB129">
        <v>3.7849191714986379</v>
      </c>
      <c r="CC129">
        <v>0.98302330124550652</v>
      </c>
      <c r="CD129">
        <v>-4.1447385984427114E-3</v>
      </c>
      <c r="CE129">
        <v>289.99999999999989</v>
      </c>
      <c r="CF129">
        <v>952.86</v>
      </c>
      <c r="CG129">
        <v>625</v>
      </c>
      <c r="CH129">
        <v>8013.51</v>
      </c>
      <c r="CI129">
        <v>972.66</v>
      </c>
      <c r="CJ129">
        <v>-19.8</v>
      </c>
      <c r="CX129">
        <f t="shared" si="180"/>
        <v>1799.96</v>
      </c>
      <c r="CY129">
        <f t="shared" si="181"/>
        <v>1513.1510992628375</v>
      </c>
      <c r="CZ129">
        <f t="shared" si="182"/>
        <v>0.84065818088337374</v>
      </c>
      <c r="DA129">
        <f t="shared" si="183"/>
        <v>0.16087028910491133</v>
      </c>
      <c r="DB129">
        <v>6</v>
      </c>
      <c r="DC129">
        <v>0.5</v>
      </c>
      <c r="DD129" t="s">
        <v>421</v>
      </c>
      <c r="DE129">
        <v>2</v>
      </c>
      <c r="DF129">
        <v>1689021105.5</v>
      </c>
      <c r="DG129">
        <v>333.54899999999998</v>
      </c>
      <c r="DH129">
        <v>400.209</v>
      </c>
      <c r="DI129">
        <v>29.0002</v>
      </c>
      <c r="DJ129">
        <v>19.416799999999999</v>
      </c>
      <c r="DK129">
        <v>332.62400000000002</v>
      </c>
      <c r="DL129">
        <v>28.7332</v>
      </c>
      <c r="DM129">
        <v>500.00799999999998</v>
      </c>
      <c r="DN129">
        <v>99.122299999999996</v>
      </c>
      <c r="DO129">
        <v>9.9771600000000002E-2</v>
      </c>
      <c r="DP129">
        <v>30.649799999999999</v>
      </c>
      <c r="DQ129">
        <v>30.0017</v>
      </c>
      <c r="DR129">
        <v>999.9</v>
      </c>
      <c r="DS129">
        <v>0</v>
      </c>
      <c r="DT129">
        <v>0</v>
      </c>
      <c r="DU129">
        <v>10001.200000000001</v>
      </c>
      <c r="DV129">
        <v>0</v>
      </c>
      <c r="DW129">
        <v>1736.97</v>
      </c>
      <c r="DX129">
        <v>-66.660200000000003</v>
      </c>
      <c r="DY129">
        <v>343.51</v>
      </c>
      <c r="DZ129">
        <v>408.13299999999998</v>
      </c>
      <c r="EA129">
        <v>9.5833999999999993</v>
      </c>
      <c r="EB129">
        <v>400.209</v>
      </c>
      <c r="EC129">
        <v>19.416799999999999</v>
      </c>
      <c r="ED129">
        <v>2.8745699999999998</v>
      </c>
      <c r="EE129">
        <v>1.9246399999999999</v>
      </c>
      <c r="EF129">
        <v>23.3187</v>
      </c>
      <c r="EG129">
        <v>16.837599999999998</v>
      </c>
      <c r="EH129">
        <v>1799.96</v>
      </c>
      <c r="EI129">
        <v>0.97799899999999995</v>
      </c>
      <c r="EJ129">
        <v>2.2001400000000001E-2</v>
      </c>
      <c r="EK129">
        <v>0</v>
      </c>
      <c r="EL129">
        <v>709.298</v>
      </c>
      <c r="EM129">
        <v>5.0011200000000002</v>
      </c>
      <c r="EN129">
        <v>14614.5</v>
      </c>
      <c r="EO129">
        <v>17210.5</v>
      </c>
      <c r="EP129">
        <v>50.186999999999998</v>
      </c>
      <c r="EQ129">
        <v>51.686999999999998</v>
      </c>
      <c r="ER129">
        <v>51.186999999999998</v>
      </c>
      <c r="ES129">
        <v>50.5</v>
      </c>
      <c r="ET129">
        <v>50.436999999999998</v>
      </c>
      <c r="EU129">
        <v>1755.47</v>
      </c>
      <c r="EV129">
        <v>39.49</v>
      </c>
      <c r="EW129">
        <v>0</v>
      </c>
      <c r="EX129">
        <v>187.79999995231631</v>
      </c>
      <c r="EY129">
        <v>0</v>
      </c>
      <c r="EZ129">
        <v>708.541846153846</v>
      </c>
      <c r="FA129">
        <v>1.568068376966308</v>
      </c>
      <c r="FB129">
        <v>47.391452937747857</v>
      </c>
      <c r="FC129">
        <v>14606.6</v>
      </c>
      <c r="FD129">
        <v>15</v>
      </c>
      <c r="FE129">
        <v>1689021023.5</v>
      </c>
      <c r="FF129" t="s">
        <v>995</v>
      </c>
      <c r="FG129">
        <v>1689021019</v>
      </c>
      <c r="FH129">
        <v>1689021023.5</v>
      </c>
      <c r="FI129">
        <v>126</v>
      </c>
      <c r="FJ129">
        <v>-1.0999999999999999E-2</v>
      </c>
      <c r="FK129">
        <v>2E-3</v>
      </c>
      <c r="FL129">
        <v>1.0269999999999999</v>
      </c>
      <c r="FM129">
        <v>0.19400000000000001</v>
      </c>
      <c r="FN129">
        <v>401</v>
      </c>
      <c r="FO129">
        <v>19</v>
      </c>
      <c r="FP129">
        <v>0.04</v>
      </c>
      <c r="FQ129">
        <v>0.01</v>
      </c>
      <c r="FR129">
        <v>52.409309086158892</v>
      </c>
      <c r="FS129">
        <v>2.1835565098355412</v>
      </c>
      <c r="FT129">
        <v>0.16768061956127039</v>
      </c>
      <c r="FU129">
        <v>0</v>
      </c>
      <c r="FV129">
        <v>0.6342221710535022</v>
      </c>
      <c r="FW129">
        <v>-8.474195923839363E-3</v>
      </c>
      <c r="FX129">
        <v>1.028304409350498E-3</v>
      </c>
      <c r="FY129">
        <v>1</v>
      </c>
      <c r="FZ129">
        <v>1</v>
      </c>
      <c r="GA129">
        <v>2</v>
      </c>
      <c r="GB129" t="s">
        <v>462</v>
      </c>
      <c r="GC129">
        <v>2.9234499999999999</v>
      </c>
      <c r="GD129">
        <v>2.82708</v>
      </c>
      <c r="GE129">
        <v>7.58577E-2</v>
      </c>
      <c r="GF129">
        <v>8.7964399999999998E-2</v>
      </c>
      <c r="GG129">
        <v>0.12735099999999999</v>
      </c>
      <c r="GH129">
        <v>9.6584799999999998E-2</v>
      </c>
      <c r="GI129">
        <v>30070.9</v>
      </c>
      <c r="GJ129">
        <v>24068.7</v>
      </c>
      <c r="GK129">
        <v>31316.3</v>
      </c>
      <c r="GL129">
        <v>26036.799999999999</v>
      </c>
      <c r="GM129">
        <v>37466.5</v>
      </c>
      <c r="GN129">
        <v>31907.9</v>
      </c>
      <c r="GO129">
        <v>46503.7</v>
      </c>
      <c r="GP129">
        <v>37856</v>
      </c>
      <c r="GQ129">
        <v>1.90845</v>
      </c>
      <c r="GR129">
        <v>1.6955</v>
      </c>
      <c r="GS129">
        <v>-4.6446899999999999E-2</v>
      </c>
      <c r="GT129">
        <v>0</v>
      </c>
      <c r="GU129">
        <v>30.757100000000001</v>
      </c>
      <c r="GV129">
        <v>999.9</v>
      </c>
      <c r="GW129">
        <v>39</v>
      </c>
      <c r="GX129">
        <v>46</v>
      </c>
      <c r="GY129">
        <v>39.921700000000001</v>
      </c>
      <c r="GZ129">
        <v>62.434800000000003</v>
      </c>
      <c r="HA129">
        <v>19.855799999999999</v>
      </c>
      <c r="HB129">
        <v>1</v>
      </c>
      <c r="HC129">
        <v>0.61485500000000004</v>
      </c>
      <c r="HD129">
        <v>3.1661100000000002</v>
      </c>
      <c r="HE129">
        <v>20.267900000000001</v>
      </c>
      <c r="HF129">
        <v>5.2241799999999996</v>
      </c>
      <c r="HG129">
        <v>12.059100000000001</v>
      </c>
      <c r="HH129">
        <v>4.992</v>
      </c>
      <c r="HI129">
        <v>3.2919999999999998</v>
      </c>
      <c r="HJ129">
        <v>9999</v>
      </c>
      <c r="HK129">
        <v>9999</v>
      </c>
      <c r="HL129">
        <v>9999</v>
      </c>
      <c r="HM129">
        <v>467</v>
      </c>
      <c r="HN129">
        <v>1.8669</v>
      </c>
      <c r="HO129">
        <v>1.87036</v>
      </c>
      <c r="HP129">
        <v>1.87297</v>
      </c>
      <c r="HQ129">
        <v>1.87388</v>
      </c>
      <c r="HR129">
        <v>1.8706</v>
      </c>
      <c r="HS129">
        <v>1.8690500000000001</v>
      </c>
      <c r="HT129">
        <v>1.8704499999999999</v>
      </c>
      <c r="HU129">
        <v>1.87344</v>
      </c>
      <c r="HV129">
        <v>0</v>
      </c>
      <c r="HW129">
        <v>0</v>
      </c>
      <c r="HX129">
        <v>0</v>
      </c>
      <c r="HY129">
        <v>0</v>
      </c>
      <c r="HZ129" t="s">
        <v>424</v>
      </c>
      <c r="IA129" t="s">
        <v>425</v>
      </c>
      <c r="IB129" t="s">
        <v>426</v>
      </c>
      <c r="IC129" t="s">
        <v>426</v>
      </c>
      <c r="ID129" t="s">
        <v>426</v>
      </c>
      <c r="IE129" t="s">
        <v>426</v>
      </c>
      <c r="IF129">
        <v>0</v>
      </c>
      <c r="IG129">
        <v>100</v>
      </c>
      <c r="IH129">
        <v>100</v>
      </c>
      <c r="II129">
        <v>0.92500000000000004</v>
      </c>
      <c r="IJ129">
        <v>0.26700000000000002</v>
      </c>
      <c r="IK129">
        <v>0.1600049306170509</v>
      </c>
      <c r="IL129">
        <v>3.042515301972944E-3</v>
      </c>
      <c r="IM129">
        <v>-2.5091471490852929E-6</v>
      </c>
      <c r="IN129">
        <v>8.1339755115576286E-10</v>
      </c>
      <c r="IO129">
        <v>0.2670845662594265</v>
      </c>
      <c r="IP129">
        <v>0</v>
      </c>
      <c r="IQ129">
        <v>0</v>
      </c>
      <c r="IR129">
        <v>0</v>
      </c>
      <c r="IS129">
        <v>3</v>
      </c>
      <c r="IT129">
        <v>2004</v>
      </c>
      <c r="IU129">
        <v>2</v>
      </c>
      <c r="IV129">
        <v>22</v>
      </c>
      <c r="IW129">
        <v>1.4</v>
      </c>
      <c r="IX129">
        <v>1.4</v>
      </c>
      <c r="IY129">
        <v>1.00586</v>
      </c>
      <c r="IZ129">
        <v>2.5976599999999999</v>
      </c>
      <c r="JA129">
        <v>1.64917</v>
      </c>
      <c r="JB129">
        <v>2.34009</v>
      </c>
      <c r="JC129">
        <v>1.5991200000000001</v>
      </c>
      <c r="JD129">
        <v>2.34741</v>
      </c>
      <c r="JE129">
        <v>48.362299999999998</v>
      </c>
      <c r="JF129">
        <v>24.113800000000001</v>
      </c>
      <c r="JG129">
        <v>18</v>
      </c>
      <c r="JH129">
        <v>518.678</v>
      </c>
      <c r="JI129">
        <v>427.14</v>
      </c>
      <c r="JJ129">
        <v>27.334800000000001</v>
      </c>
      <c r="JK129">
        <v>34.687100000000001</v>
      </c>
      <c r="JL129">
        <v>30.000399999999999</v>
      </c>
      <c r="JM129">
        <v>34.7164</v>
      </c>
      <c r="JN129">
        <v>34.715600000000002</v>
      </c>
      <c r="JO129">
        <v>20.142399999999999</v>
      </c>
      <c r="JP129">
        <v>68.683599999999998</v>
      </c>
      <c r="JQ129">
        <v>0</v>
      </c>
      <c r="JR129">
        <v>27.336200000000002</v>
      </c>
      <c r="JS129">
        <v>400</v>
      </c>
      <c r="JT129">
        <v>19.381900000000002</v>
      </c>
      <c r="JU129">
        <v>99.254599999999996</v>
      </c>
      <c r="JV129">
        <v>98.995400000000004</v>
      </c>
    </row>
    <row r="130" spans="1:282" x14ac:dyDescent="0.25">
      <c r="A130">
        <v>114</v>
      </c>
      <c r="B130">
        <v>1689021252.5</v>
      </c>
      <c r="C130">
        <v>21657.400000095371</v>
      </c>
      <c r="D130" t="s">
        <v>996</v>
      </c>
      <c r="E130" t="s">
        <v>997</v>
      </c>
      <c r="F130" t="s">
        <v>414</v>
      </c>
      <c r="G130" t="s">
        <v>415</v>
      </c>
      <c r="H130" t="s">
        <v>500</v>
      </c>
      <c r="I130" t="s">
        <v>500</v>
      </c>
      <c r="J130" t="s">
        <v>417</v>
      </c>
      <c r="K130">
        <v>1689021252.5</v>
      </c>
      <c r="L130">
        <f t="shared" si="138"/>
        <v>7.9204408523946748E-3</v>
      </c>
      <c r="M130">
        <f t="shared" si="139"/>
        <v>7.9204408523946741</v>
      </c>
      <c r="N130">
        <f t="shared" si="140"/>
        <v>59.498599845244478</v>
      </c>
      <c r="O130">
        <f t="shared" si="141"/>
        <v>325.50900000000001</v>
      </c>
      <c r="P130">
        <f t="shared" si="142"/>
        <v>148.29243622314345</v>
      </c>
      <c r="Q130">
        <f t="shared" si="143"/>
        <v>14.712995624488444</v>
      </c>
      <c r="R130">
        <f t="shared" si="144"/>
        <v>32.295730077055502</v>
      </c>
      <c r="S130">
        <f t="shared" si="145"/>
        <v>0.608796843211729</v>
      </c>
      <c r="T130">
        <f t="shared" si="146"/>
        <v>2.9135600631750416</v>
      </c>
      <c r="U130">
        <f t="shared" si="147"/>
        <v>0.54595790695428059</v>
      </c>
      <c r="V130">
        <f t="shared" si="148"/>
        <v>0.34632743499201174</v>
      </c>
      <c r="W130">
        <f t="shared" si="149"/>
        <v>289.57502857698705</v>
      </c>
      <c r="X130">
        <f t="shared" si="150"/>
        <v>30.139402894723492</v>
      </c>
      <c r="Y130">
        <f t="shared" si="151"/>
        <v>29.965</v>
      </c>
      <c r="Z130">
        <f t="shared" si="152"/>
        <v>4.2518921859115029</v>
      </c>
      <c r="AA130">
        <f t="shared" si="153"/>
        <v>65.354494604461848</v>
      </c>
      <c r="AB130">
        <f t="shared" si="154"/>
        <v>2.8641403068591504</v>
      </c>
      <c r="AC130">
        <f t="shared" si="155"/>
        <v>4.3824687562706846</v>
      </c>
      <c r="AD130">
        <f t="shared" si="156"/>
        <v>1.3877518790523524</v>
      </c>
      <c r="AE130">
        <f t="shared" si="157"/>
        <v>-349.29144159060513</v>
      </c>
      <c r="AF130">
        <f t="shared" si="158"/>
        <v>82.857510941408464</v>
      </c>
      <c r="AG130">
        <f t="shared" si="159"/>
        <v>6.3376838447291499</v>
      </c>
      <c r="AH130">
        <f t="shared" si="160"/>
        <v>29.47878177251954</v>
      </c>
      <c r="AI130">
        <v>0</v>
      </c>
      <c r="AJ130">
        <v>0</v>
      </c>
      <c r="AK130">
        <f t="shared" si="161"/>
        <v>1</v>
      </c>
      <c r="AL130">
        <f t="shared" si="162"/>
        <v>0</v>
      </c>
      <c r="AM130">
        <f t="shared" si="163"/>
        <v>51794.25130614845</v>
      </c>
      <c r="AN130" t="s">
        <v>418</v>
      </c>
      <c r="AO130">
        <v>10021</v>
      </c>
      <c r="AP130">
        <v>177.53923076923081</v>
      </c>
      <c r="AQ130">
        <v>655.56</v>
      </c>
      <c r="AR130">
        <f t="shared" si="164"/>
        <v>0.72917928066198234</v>
      </c>
      <c r="AS130">
        <v>-3.1115002560329539</v>
      </c>
      <c r="AT130" t="s">
        <v>998</v>
      </c>
      <c r="AU130">
        <v>8024.42</v>
      </c>
      <c r="AV130">
        <v>753.09288461538449</v>
      </c>
      <c r="AW130">
        <v>1223.091096975216</v>
      </c>
      <c r="AX130">
        <f t="shared" si="165"/>
        <v>0.38427081475956104</v>
      </c>
      <c r="AY130">
        <v>0.5</v>
      </c>
      <c r="AZ130">
        <f t="shared" si="166"/>
        <v>1513.2269992626875</v>
      </c>
      <c r="BA130">
        <f t="shared" si="167"/>
        <v>59.498599845244478</v>
      </c>
      <c r="BB130">
        <f t="shared" si="168"/>
        <v>290.74448596141929</v>
      </c>
      <c r="BC130">
        <f t="shared" si="169"/>
        <v>4.1375220063998262E-2</v>
      </c>
      <c r="BD130">
        <f t="shared" si="170"/>
        <v>-0.46401375856529203</v>
      </c>
      <c r="BE130">
        <f t="shared" si="171"/>
        <v>203.05619395138569</v>
      </c>
      <c r="BF130" t="s">
        <v>999</v>
      </c>
      <c r="BG130">
        <v>584.9</v>
      </c>
      <c r="BH130">
        <f t="shared" si="172"/>
        <v>584.9</v>
      </c>
      <c r="BI130">
        <f t="shared" si="173"/>
        <v>0.52178541610964557</v>
      </c>
      <c r="BJ130">
        <f t="shared" si="174"/>
        <v>0.73645372771172291</v>
      </c>
      <c r="BK130">
        <f t="shared" si="175"/>
        <v>-8.0318581513616802</v>
      </c>
      <c r="BL130">
        <f t="shared" si="176"/>
        <v>0.44952166176635822</v>
      </c>
      <c r="BM130">
        <f t="shared" si="177"/>
        <v>-1.1872519637347283</v>
      </c>
      <c r="BN130">
        <f t="shared" si="178"/>
        <v>0.57197696876206439</v>
      </c>
      <c r="BO130">
        <f t="shared" si="179"/>
        <v>0.42802303123793561</v>
      </c>
      <c r="BP130">
        <v>22693</v>
      </c>
      <c r="BQ130">
        <v>290.00000000000011</v>
      </c>
      <c r="BR130">
        <v>1053.68</v>
      </c>
      <c r="BS130">
        <v>295</v>
      </c>
      <c r="BT130">
        <v>8024.42</v>
      </c>
      <c r="BU130">
        <v>1056.1099999999999</v>
      </c>
      <c r="BV130">
        <v>-2.4300000000000002</v>
      </c>
      <c r="BW130">
        <v>300.00000000000011</v>
      </c>
      <c r="BX130">
        <v>19.399999999999999</v>
      </c>
      <c r="BY130">
        <v>1223.091096975216</v>
      </c>
      <c r="BZ130">
        <v>4.4038507948602206</v>
      </c>
      <c r="CA130">
        <v>-133.9949071225918</v>
      </c>
      <c r="CB130">
        <v>3.246042166798345</v>
      </c>
      <c r="CC130">
        <v>0.98383366988084175</v>
      </c>
      <c r="CD130">
        <v>-4.1451012235817677E-3</v>
      </c>
      <c r="CE130">
        <v>289.99999999999989</v>
      </c>
      <c r="CF130">
        <v>1046.24</v>
      </c>
      <c r="CG130">
        <v>665</v>
      </c>
      <c r="CH130">
        <v>8013.59</v>
      </c>
      <c r="CI130">
        <v>1055.8800000000001</v>
      </c>
      <c r="CJ130">
        <v>-9.64</v>
      </c>
      <c r="CX130">
        <f t="shared" si="180"/>
        <v>1800.05</v>
      </c>
      <c r="CY130">
        <f t="shared" si="181"/>
        <v>1513.2269992626875</v>
      </c>
      <c r="CZ130">
        <f t="shared" si="182"/>
        <v>0.84065831463719765</v>
      </c>
      <c r="DA130">
        <f t="shared" si="183"/>
        <v>0.16087054724979144</v>
      </c>
      <c r="DB130">
        <v>6</v>
      </c>
      <c r="DC130">
        <v>0.5</v>
      </c>
      <c r="DD130" t="s">
        <v>421</v>
      </c>
      <c r="DE130">
        <v>2</v>
      </c>
      <c r="DF130">
        <v>1689021252.5</v>
      </c>
      <c r="DG130">
        <v>325.50900000000001</v>
      </c>
      <c r="DH130">
        <v>399.99099999999999</v>
      </c>
      <c r="DI130">
        <v>28.867699999999999</v>
      </c>
      <c r="DJ130">
        <v>19.6388</v>
      </c>
      <c r="DK130">
        <v>324.61200000000002</v>
      </c>
      <c r="DL130">
        <v>28.6007</v>
      </c>
      <c r="DM130">
        <v>500.06799999999998</v>
      </c>
      <c r="DN130">
        <v>99.116100000000003</v>
      </c>
      <c r="DO130">
        <v>9.9989499999999995E-2</v>
      </c>
      <c r="DP130">
        <v>30.4925</v>
      </c>
      <c r="DQ130">
        <v>29.965</v>
      </c>
      <c r="DR130">
        <v>999.9</v>
      </c>
      <c r="DS130">
        <v>0</v>
      </c>
      <c r="DT130">
        <v>0</v>
      </c>
      <c r="DU130">
        <v>9997.5</v>
      </c>
      <c r="DV130">
        <v>0</v>
      </c>
      <c r="DW130">
        <v>1746.38</v>
      </c>
      <c r="DX130">
        <v>-74.4816</v>
      </c>
      <c r="DY130">
        <v>335.18599999999998</v>
      </c>
      <c r="DZ130">
        <v>408.00400000000002</v>
      </c>
      <c r="EA130">
        <v>9.2289600000000007</v>
      </c>
      <c r="EB130">
        <v>399.99099999999999</v>
      </c>
      <c r="EC130">
        <v>19.6388</v>
      </c>
      <c r="ED130">
        <v>2.8612600000000001</v>
      </c>
      <c r="EE130">
        <v>1.94652</v>
      </c>
      <c r="EF130">
        <v>23.241800000000001</v>
      </c>
      <c r="EG130">
        <v>17.015899999999998</v>
      </c>
      <c r="EH130">
        <v>1800.05</v>
      </c>
      <c r="EI130">
        <v>0.97799499999999995</v>
      </c>
      <c r="EJ130">
        <v>2.20051E-2</v>
      </c>
      <c r="EK130">
        <v>0</v>
      </c>
      <c r="EL130">
        <v>754.654</v>
      </c>
      <c r="EM130">
        <v>5.0011200000000002</v>
      </c>
      <c r="EN130">
        <v>15517</v>
      </c>
      <c r="EO130">
        <v>17211.3</v>
      </c>
      <c r="EP130">
        <v>50.125</v>
      </c>
      <c r="EQ130">
        <v>51.686999999999998</v>
      </c>
      <c r="ER130">
        <v>51.186999999999998</v>
      </c>
      <c r="ES130">
        <v>50.25</v>
      </c>
      <c r="ET130">
        <v>50.5</v>
      </c>
      <c r="EU130">
        <v>1755.55</v>
      </c>
      <c r="EV130">
        <v>39.5</v>
      </c>
      <c r="EW130">
        <v>0</v>
      </c>
      <c r="EX130">
        <v>145.20000004768369</v>
      </c>
      <c r="EY130">
        <v>0</v>
      </c>
      <c r="EZ130">
        <v>753.09288461538449</v>
      </c>
      <c r="FA130">
        <v>12.245162387665109</v>
      </c>
      <c r="FB130">
        <v>218.07863235162361</v>
      </c>
      <c r="FC130">
        <v>15494.63846153846</v>
      </c>
      <c r="FD130">
        <v>15</v>
      </c>
      <c r="FE130">
        <v>1689021179</v>
      </c>
      <c r="FF130" t="s">
        <v>1000</v>
      </c>
      <c r="FG130">
        <v>1689021179</v>
      </c>
      <c r="FH130">
        <v>1689021177</v>
      </c>
      <c r="FI130">
        <v>127</v>
      </c>
      <c r="FJ130">
        <v>-1.4E-2</v>
      </c>
      <c r="FK130">
        <v>0</v>
      </c>
      <c r="FL130">
        <v>1.012</v>
      </c>
      <c r="FM130">
        <v>0.20799999999999999</v>
      </c>
      <c r="FN130">
        <v>400</v>
      </c>
      <c r="FO130">
        <v>20</v>
      </c>
      <c r="FP130">
        <v>0.05</v>
      </c>
      <c r="FQ130">
        <v>0.02</v>
      </c>
      <c r="FR130">
        <v>59.420009899710493</v>
      </c>
      <c r="FS130">
        <v>0.4643313294329845</v>
      </c>
      <c r="FT130">
        <v>0.1107274897877981</v>
      </c>
      <c r="FU130">
        <v>1</v>
      </c>
      <c r="FV130">
        <v>0.61056841965116027</v>
      </c>
      <c r="FW130">
        <v>2.6474769161360809E-2</v>
      </c>
      <c r="FX130">
        <v>2.7494512976556922E-3</v>
      </c>
      <c r="FY130">
        <v>1</v>
      </c>
      <c r="FZ130">
        <v>2</v>
      </c>
      <c r="GA130">
        <v>2</v>
      </c>
      <c r="GB130" t="s">
        <v>423</v>
      </c>
      <c r="GC130">
        <v>2.9233699999999998</v>
      </c>
      <c r="GD130">
        <v>2.8272599999999999</v>
      </c>
      <c r="GE130">
        <v>7.4332800000000004E-2</v>
      </c>
      <c r="GF130">
        <v>8.7879100000000002E-2</v>
      </c>
      <c r="GG130">
        <v>0.12687999999999999</v>
      </c>
      <c r="GH130">
        <v>9.7319799999999998E-2</v>
      </c>
      <c r="GI130">
        <v>30106</v>
      </c>
      <c r="GJ130">
        <v>24062.400000000001</v>
      </c>
      <c r="GK130">
        <v>31301.9</v>
      </c>
      <c r="GL130">
        <v>26028.3</v>
      </c>
      <c r="GM130">
        <v>37469.599999999999</v>
      </c>
      <c r="GN130">
        <v>31871.599999999999</v>
      </c>
      <c r="GO130">
        <v>46481.599999999999</v>
      </c>
      <c r="GP130">
        <v>37843.4</v>
      </c>
      <c r="GQ130">
        <v>1.9057200000000001</v>
      </c>
      <c r="GR130">
        <v>1.69085</v>
      </c>
      <c r="GS130">
        <v>-7.2084400000000007E-2</v>
      </c>
      <c r="GT130">
        <v>0</v>
      </c>
      <c r="GU130">
        <v>31.137</v>
      </c>
      <c r="GV130">
        <v>999.9</v>
      </c>
      <c r="GW130">
        <v>39.299999999999997</v>
      </c>
      <c r="GX130">
        <v>46.1</v>
      </c>
      <c r="GY130">
        <v>40.437199999999997</v>
      </c>
      <c r="GZ130">
        <v>62.464799999999997</v>
      </c>
      <c r="HA130">
        <v>19.587299999999999</v>
      </c>
      <c r="HB130">
        <v>1</v>
      </c>
      <c r="HC130">
        <v>0.63628799999999996</v>
      </c>
      <c r="HD130">
        <v>3.59328</v>
      </c>
      <c r="HE130">
        <v>20.259899999999998</v>
      </c>
      <c r="HF130">
        <v>5.2244799999999998</v>
      </c>
      <c r="HG130">
        <v>12.061</v>
      </c>
      <c r="HH130">
        <v>4.99275</v>
      </c>
      <c r="HI130">
        <v>3.2919999999999998</v>
      </c>
      <c r="HJ130">
        <v>9999</v>
      </c>
      <c r="HK130">
        <v>9999</v>
      </c>
      <c r="HL130">
        <v>9999</v>
      </c>
      <c r="HM130">
        <v>467</v>
      </c>
      <c r="HN130">
        <v>1.8669100000000001</v>
      </c>
      <c r="HO130">
        <v>1.87039</v>
      </c>
      <c r="HP130">
        <v>1.8730100000000001</v>
      </c>
      <c r="HQ130">
        <v>1.8739300000000001</v>
      </c>
      <c r="HR130">
        <v>1.8706499999999999</v>
      </c>
      <c r="HS130">
        <v>1.8690199999999999</v>
      </c>
      <c r="HT130">
        <v>1.8704499999999999</v>
      </c>
      <c r="HU130">
        <v>1.87347</v>
      </c>
      <c r="HV130">
        <v>0</v>
      </c>
      <c r="HW130">
        <v>0</v>
      </c>
      <c r="HX130">
        <v>0</v>
      </c>
      <c r="HY130">
        <v>0</v>
      </c>
      <c r="HZ130" t="s">
        <v>424</v>
      </c>
      <c r="IA130" t="s">
        <v>425</v>
      </c>
      <c r="IB130" t="s">
        <v>426</v>
      </c>
      <c r="IC130" t="s">
        <v>426</v>
      </c>
      <c r="ID130" t="s">
        <v>426</v>
      </c>
      <c r="IE130" t="s">
        <v>426</v>
      </c>
      <c r="IF130">
        <v>0</v>
      </c>
      <c r="IG130">
        <v>100</v>
      </c>
      <c r="IH130">
        <v>100</v>
      </c>
      <c r="II130">
        <v>0.89700000000000002</v>
      </c>
      <c r="IJ130">
        <v>0.26700000000000002</v>
      </c>
      <c r="IK130">
        <v>0.14608650174483481</v>
      </c>
      <c r="IL130">
        <v>3.042515301972944E-3</v>
      </c>
      <c r="IM130">
        <v>-2.5091471490852929E-6</v>
      </c>
      <c r="IN130">
        <v>8.1339755115576286E-10</v>
      </c>
      <c r="IO130">
        <v>0.26699853039835802</v>
      </c>
      <c r="IP130">
        <v>0</v>
      </c>
      <c r="IQ130">
        <v>0</v>
      </c>
      <c r="IR130">
        <v>0</v>
      </c>
      <c r="IS130">
        <v>3</v>
      </c>
      <c r="IT130">
        <v>2004</v>
      </c>
      <c r="IU130">
        <v>2</v>
      </c>
      <c r="IV130">
        <v>22</v>
      </c>
      <c r="IW130">
        <v>1.2</v>
      </c>
      <c r="IX130">
        <v>1.3</v>
      </c>
      <c r="IY130">
        <v>1.0022</v>
      </c>
      <c r="IZ130">
        <v>2.5939899999999998</v>
      </c>
      <c r="JA130">
        <v>1.64917</v>
      </c>
      <c r="JB130">
        <v>2.34009</v>
      </c>
      <c r="JC130">
        <v>1.5991200000000001</v>
      </c>
      <c r="JD130">
        <v>2.2875999999999999</v>
      </c>
      <c r="JE130">
        <v>48.639699999999998</v>
      </c>
      <c r="JF130">
        <v>24.105</v>
      </c>
      <c r="JG130">
        <v>18</v>
      </c>
      <c r="JH130">
        <v>518.38800000000003</v>
      </c>
      <c r="JI130">
        <v>425.541</v>
      </c>
      <c r="JJ130">
        <v>26.912700000000001</v>
      </c>
      <c r="JK130">
        <v>34.908099999999997</v>
      </c>
      <c r="JL130">
        <v>30.0015</v>
      </c>
      <c r="JM130">
        <v>34.9176</v>
      </c>
      <c r="JN130">
        <v>34.918599999999998</v>
      </c>
      <c r="JO130">
        <v>20.075700000000001</v>
      </c>
      <c r="JP130">
        <v>73.851399999999998</v>
      </c>
      <c r="JQ130">
        <v>0</v>
      </c>
      <c r="JR130">
        <v>26.893999999999998</v>
      </c>
      <c r="JS130">
        <v>400</v>
      </c>
      <c r="JT130">
        <v>19.484100000000002</v>
      </c>
      <c r="JU130">
        <v>99.208100000000002</v>
      </c>
      <c r="JV130">
        <v>98.962800000000001</v>
      </c>
    </row>
    <row r="131" spans="1:282" x14ac:dyDescent="0.25">
      <c r="A131">
        <v>115</v>
      </c>
      <c r="B131">
        <v>1689021389</v>
      </c>
      <c r="C131">
        <v>21793.900000095371</v>
      </c>
      <c r="D131" t="s">
        <v>1001</v>
      </c>
      <c r="E131" t="s">
        <v>1002</v>
      </c>
      <c r="F131" t="s">
        <v>414</v>
      </c>
      <c r="G131" t="s">
        <v>415</v>
      </c>
      <c r="H131" t="s">
        <v>500</v>
      </c>
      <c r="I131" t="s">
        <v>500</v>
      </c>
      <c r="J131" t="s">
        <v>417</v>
      </c>
      <c r="K131">
        <v>1689021389</v>
      </c>
      <c r="L131">
        <f t="shared" si="138"/>
        <v>7.2058022152377832E-3</v>
      </c>
      <c r="M131">
        <f t="shared" si="139"/>
        <v>7.2058022152377834</v>
      </c>
      <c r="N131">
        <f t="shared" si="140"/>
        <v>59.236170957016569</v>
      </c>
      <c r="O131">
        <f t="shared" si="141"/>
        <v>325.947</v>
      </c>
      <c r="P131">
        <f t="shared" si="142"/>
        <v>132.46287453430733</v>
      </c>
      <c r="Q131">
        <f t="shared" si="143"/>
        <v>13.141825402585312</v>
      </c>
      <c r="R131">
        <f t="shared" si="144"/>
        <v>32.337653697731405</v>
      </c>
      <c r="S131">
        <f t="shared" si="145"/>
        <v>0.54822045668374275</v>
      </c>
      <c r="T131">
        <f t="shared" si="146"/>
        <v>2.916975458155064</v>
      </c>
      <c r="U131">
        <f t="shared" si="147"/>
        <v>0.49675334458338011</v>
      </c>
      <c r="V131">
        <f t="shared" si="148"/>
        <v>0.31469132806203204</v>
      </c>
      <c r="W131">
        <f t="shared" si="149"/>
        <v>289.55529757725247</v>
      </c>
      <c r="X131">
        <f t="shared" si="150"/>
        <v>30.61004938409679</v>
      </c>
      <c r="Y131">
        <f t="shared" si="151"/>
        <v>30.0229</v>
      </c>
      <c r="Z131">
        <f t="shared" si="152"/>
        <v>4.2660569989113739</v>
      </c>
      <c r="AA131">
        <f t="shared" si="153"/>
        <v>64.628904900192836</v>
      </c>
      <c r="AB131">
        <f t="shared" si="154"/>
        <v>2.8787374242564403</v>
      </c>
      <c r="AC131">
        <f t="shared" si="155"/>
        <v>4.4542568510206193</v>
      </c>
      <c r="AD131">
        <f t="shared" si="156"/>
        <v>1.3873195746549336</v>
      </c>
      <c r="AE131">
        <f t="shared" si="157"/>
        <v>-317.77587769198624</v>
      </c>
      <c r="AF131">
        <f t="shared" si="158"/>
        <v>118.54257360246237</v>
      </c>
      <c r="AG131">
        <f t="shared" si="159"/>
        <v>9.0719223648537639</v>
      </c>
      <c r="AH131">
        <f t="shared" si="160"/>
        <v>99.393915852582381</v>
      </c>
      <c r="AI131">
        <v>0</v>
      </c>
      <c r="AJ131">
        <v>0</v>
      </c>
      <c r="AK131">
        <f t="shared" si="161"/>
        <v>1</v>
      </c>
      <c r="AL131">
        <f t="shared" si="162"/>
        <v>0</v>
      </c>
      <c r="AM131">
        <f t="shared" si="163"/>
        <v>51842.652446099491</v>
      </c>
      <c r="AN131" t="s">
        <v>418</v>
      </c>
      <c r="AO131">
        <v>10021</v>
      </c>
      <c r="AP131">
        <v>177.53923076923081</v>
      </c>
      <c r="AQ131">
        <v>655.56</v>
      </c>
      <c r="AR131">
        <f t="shared" si="164"/>
        <v>0.72917928066198234</v>
      </c>
      <c r="AS131">
        <v>-3.1115002560329539</v>
      </c>
      <c r="AT131" t="s">
        <v>1003</v>
      </c>
      <c r="AU131">
        <v>8028.77</v>
      </c>
      <c r="AV131">
        <v>759.45126923076919</v>
      </c>
      <c r="AW131">
        <v>1240.080407029317</v>
      </c>
      <c r="AX131">
        <f t="shared" si="165"/>
        <v>0.3875790110658407</v>
      </c>
      <c r="AY131">
        <v>0.5</v>
      </c>
      <c r="AZ131">
        <f t="shared" si="166"/>
        <v>1513.125899262825</v>
      </c>
      <c r="BA131">
        <f t="shared" si="167"/>
        <v>59.236170957016569</v>
      </c>
      <c r="BB131">
        <f t="shared" si="168"/>
        <v>293.22791982719832</v>
      </c>
      <c r="BC131">
        <f t="shared" si="169"/>
        <v>4.120454963028819E-2</v>
      </c>
      <c r="BD131">
        <f t="shared" si="170"/>
        <v>-0.47135686018100137</v>
      </c>
      <c r="BE131">
        <f t="shared" si="171"/>
        <v>203.51909535395629</v>
      </c>
      <c r="BF131" t="s">
        <v>1004</v>
      </c>
      <c r="BG131">
        <v>587.76</v>
      </c>
      <c r="BH131">
        <f t="shared" si="172"/>
        <v>587.76</v>
      </c>
      <c r="BI131">
        <f t="shared" si="173"/>
        <v>0.52603073424245739</v>
      </c>
      <c r="BJ131">
        <f t="shared" si="174"/>
        <v>0.73679917509762516</v>
      </c>
      <c r="BK131">
        <f t="shared" si="175"/>
        <v>-8.6212449414353607</v>
      </c>
      <c r="BL131">
        <f t="shared" si="176"/>
        <v>0.45233930556014584</v>
      </c>
      <c r="BM131">
        <f t="shared" si="177"/>
        <v>-1.222792909123859</v>
      </c>
      <c r="BN131">
        <f t="shared" si="178"/>
        <v>0.57022892804434688</v>
      </c>
      <c r="BO131">
        <f t="shared" si="179"/>
        <v>0.42977107195565312</v>
      </c>
      <c r="BP131">
        <v>22695</v>
      </c>
      <c r="BQ131">
        <v>290.00000000000011</v>
      </c>
      <c r="BR131">
        <v>1064.8900000000001</v>
      </c>
      <c r="BS131">
        <v>295</v>
      </c>
      <c r="BT131">
        <v>8028.77</v>
      </c>
      <c r="BU131">
        <v>1067.3399999999999</v>
      </c>
      <c r="BV131">
        <v>-2.4500000000000002</v>
      </c>
      <c r="BW131">
        <v>300.00000000000011</v>
      </c>
      <c r="BX131">
        <v>19.399999999999999</v>
      </c>
      <c r="BY131">
        <v>1240.080407029317</v>
      </c>
      <c r="BZ131">
        <v>4.5473571002893767</v>
      </c>
      <c r="CA131">
        <v>-138.68988942718491</v>
      </c>
      <c r="CB131">
        <v>3.3537326126212919</v>
      </c>
      <c r="CC131">
        <v>0.98389086489058974</v>
      </c>
      <c r="CD131">
        <v>-4.1466240266963264E-3</v>
      </c>
      <c r="CE131">
        <v>289.99999999999989</v>
      </c>
      <c r="CF131">
        <v>1055.6600000000001</v>
      </c>
      <c r="CG131">
        <v>655</v>
      </c>
      <c r="CH131">
        <v>8018.59</v>
      </c>
      <c r="CI131">
        <v>1067.1199999999999</v>
      </c>
      <c r="CJ131">
        <v>-11.46</v>
      </c>
      <c r="CX131">
        <f t="shared" si="180"/>
        <v>1799.93</v>
      </c>
      <c r="CY131">
        <f t="shared" si="181"/>
        <v>1513.125899262825</v>
      </c>
      <c r="CZ131">
        <f t="shared" si="182"/>
        <v>0.84065819185347479</v>
      </c>
      <c r="DA131">
        <f t="shared" si="183"/>
        <v>0.16087031027720661</v>
      </c>
      <c r="DB131">
        <v>6</v>
      </c>
      <c r="DC131">
        <v>0.5</v>
      </c>
      <c r="DD131" t="s">
        <v>421</v>
      </c>
      <c r="DE131">
        <v>2</v>
      </c>
      <c r="DF131">
        <v>1689021389</v>
      </c>
      <c r="DG131">
        <v>325.947</v>
      </c>
      <c r="DH131">
        <v>399.83600000000001</v>
      </c>
      <c r="DI131">
        <v>29.016200000000001</v>
      </c>
      <c r="DJ131">
        <v>20.621600000000001</v>
      </c>
      <c r="DK131">
        <v>325.06799999999998</v>
      </c>
      <c r="DL131">
        <v>28.753</v>
      </c>
      <c r="DM131">
        <v>500.08699999999999</v>
      </c>
      <c r="DN131">
        <v>99.111500000000007</v>
      </c>
      <c r="DO131">
        <v>9.9886199999999994E-2</v>
      </c>
      <c r="DP131">
        <v>30.776700000000002</v>
      </c>
      <c r="DQ131">
        <v>30.0229</v>
      </c>
      <c r="DR131">
        <v>999.9</v>
      </c>
      <c r="DS131">
        <v>0</v>
      </c>
      <c r="DT131">
        <v>0</v>
      </c>
      <c r="DU131">
        <v>10017.5</v>
      </c>
      <c r="DV131">
        <v>0</v>
      </c>
      <c r="DW131">
        <v>1332.03</v>
      </c>
      <c r="DX131">
        <v>-73.888900000000007</v>
      </c>
      <c r="DY131">
        <v>335.68799999999999</v>
      </c>
      <c r="DZ131">
        <v>408.255</v>
      </c>
      <c r="EA131">
        <v>8.3946299999999994</v>
      </c>
      <c r="EB131">
        <v>399.83600000000001</v>
      </c>
      <c r="EC131">
        <v>20.621600000000001</v>
      </c>
      <c r="ED131">
        <v>2.8758400000000002</v>
      </c>
      <c r="EE131">
        <v>2.0438299999999998</v>
      </c>
      <c r="EF131">
        <v>23.326000000000001</v>
      </c>
      <c r="EG131">
        <v>17.7881</v>
      </c>
      <c r="EH131">
        <v>1799.93</v>
      </c>
      <c r="EI131">
        <v>0.97800200000000004</v>
      </c>
      <c r="EJ131">
        <v>2.19981E-2</v>
      </c>
      <c r="EK131">
        <v>0</v>
      </c>
      <c r="EL131">
        <v>759.226</v>
      </c>
      <c r="EM131">
        <v>5.0011200000000002</v>
      </c>
      <c r="EN131">
        <v>15314.2</v>
      </c>
      <c r="EO131">
        <v>17210.3</v>
      </c>
      <c r="EP131">
        <v>48.875</v>
      </c>
      <c r="EQ131">
        <v>50.311999999999998</v>
      </c>
      <c r="ER131">
        <v>50</v>
      </c>
      <c r="ES131">
        <v>49.125</v>
      </c>
      <c r="ET131">
        <v>49.436999999999998</v>
      </c>
      <c r="EU131">
        <v>1755.44</v>
      </c>
      <c r="EV131">
        <v>39.49</v>
      </c>
      <c r="EW131">
        <v>0</v>
      </c>
      <c r="EX131">
        <v>134.39999985694891</v>
      </c>
      <c r="EY131">
        <v>0</v>
      </c>
      <c r="EZ131">
        <v>759.45126923076919</v>
      </c>
      <c r="FA131">
        <v>-1.7393845957760601</v>
      </c>
      <c r="FB131">
        <v>1569.3709408195141</v>
      </c>
      <c r="FC131">
        <v>15209.18076923077</v>
      </c>
      <c r="FD131">
        <v>15</v>
      </c>
      <c r="FE131">
        <v>1689021352.5</v>
      </c>
      <c r="FF131" t="s">
        <v>1005</v>
      </c>
      <c r="FG131">
        <v>1689021345.5</v>
      </c>
      <c r="FH131">
        <v>1689021352.5</v>
      </c>
      <c r="FI131">
        <v>128</v>
      </c>
      <c r="FJ131">
        <v>-1.9E-2</v>
      </c>
      <c r="FK131">
        <v>-4.0000000000000001E-3</v>
      </c>
      <c r="FL131">
        <v>0.99299999999999999</v>
      </c>
      <c r="FM131">
        <v>0.20300000000000001</v>
      </c>
      <c r="FN131">
        <v>400</v>
      </c>
      <c r="FO131">
        <v>20</v>
      </c>
      <c r="FP131">
        <v>0.04</v>
      </c>
      <c r="FQ131">
        <v>0.02</v>
      </c>
      <c r="FR131">
        <v>59.28020035167674</v>
      </c>
      <c r="FS131">
        <v>0.55962389668144419</v>
      </c>
      <c r="FT131">
        <v>7.8420270029853412E-2</v>
      </c>
      <c r="FU131">
        <v>1</v>
      </c>
      <c r="FV131">
        <v>0.55210792027054656</v>
      </c>
      <c r="FW131">
        <v>-3.3635336903705397E-2</v>
      </c>
      <c r="FX131">
        <v>2.4959551018680168E-3</v>
      </c>
      <c r="FY131">
        <v>1</v>
      </c>
      <c r="FZ131">
        <v>2</v>
      </c>
      <c r="GA131">
        <v>2</v>
      </c>
      <c r="GB131" t="s">
        <v>423</v>
      </c>
      <c r="GC131">
        <v>2.92333</v>
      </c>
      <c r="GD131">
        <v>2.8273299999999999</v>
      </c>
      <c r="GE131">
        <v>7.4395500000000003E-2</v>
      </c>
      <c r="GF131">
        <v>8.7837600000000002E-2</v>
      </c>
      <c r="GG131">
        <v>0.12731200000000001</v>
      </c>
      <c r="GH131">
        <v>0.10073600000000001</v>
      </c>
      <c r="GI131">
        <v>30097.599999999999</v>
      </c>
      <c r="GJ131">
        <v>24058.7</v>
      </c>
      <c r="GK131">
        <v>31295.4</v>
      </c>
      <c r="GL131">
        <v>26023.200000000001</v>
      </c>
      <c r="GM131">
        <v>37443.800000000003</v>
      </c>
      <c r="GN131">
        <v>31745.599999999999</v>
      </c>
      <c r="GO131">
        <v>46472.3</v>
      </c>
      <c r="GP131">
        <v>37836.800000000003</v>
      </c>
      <c r="GQ131">
        <v>1.9033800000000001</v>
      </c>
      <c r="GR131">
        <v>1.6915500000000001</v>
      </c>
      <c r="GS131">
        <v>-1.83918E-2</v>
      </c>
      <c r="GT131">
        <v>0</v>
      </c>
      <c r="GU131">
        <v>30.322099999999999</v>
      </c>
      <c r="GV131">
        <v>999.9</v>
      </c>
      <c r="GW131">
        <v>38.799999999999997</v>
      </c>
      <c r="GX131">
        <v>46.3</v>
      </c>
      <c r="GY131">
        <v>40.3337</v>
      </c>
      <c r="GZ131">
        <v>62.144799999999996</v>
      </c>
      <c r="HA131">
        <v>19.387</v>
      </c>
      <c r="HB131">
        <v>1</v>
      </c>
      <c r="HC131">
        <v>0.64107999999999998</v>
      </c>
      <c r="HD131">
        <v>3.0501200000000002</v>
      </c>
      <c r="HE131">
        <v>20.269400000000001</v>
      </c>
      <c r="HF131">
        <v>5.2232799999999999</v>
      </c>
      <c r="HG131">
        <v>12.061199999999999</v>
      </c>
      <c r="HH131">
        <v>4.9922500000000003</v>
      </c>
      <c r="HI131">
        <v>3.2919999999999998</v>
      </c>
      <c r="HJ131">
        <v>9999</v>
      </c>
      <c r="HK131">
        <v>9999</v>
      </c>
      <c r="HL131">
        <v>9999</v>
      </c>
      <c r="HM131">
        <v>467.1</v>
      </c>
      <c r="HN131">
        <v>1.8669100000000001</v>
      </c>
      <c r="HO131">
        <v>1.8703799999999999</v>
      </c>
      <c r="HP131">
        <v>1.873</v>
      </c>
      <c r="HQ131">
        <v>1.8738900000000001</v>
      </c>
      <c r="HR131">
        <v>1.8706100000000001</v>
      </c>
      <c r="HS131">
        <v>1.8690500000000001</v>
      </c>
      <c r="HT131">
        <v>1.8704700000000001</v>
      </c>
      <c r="HU131">
        <v>1.8734599999999999</v>
      </c>
      <c r="HV131">
        <v>0</v>
      </c>
      <c r="HW131">
        <v>0</v>
      </c>
      <c r="HX131">
        <v>0</v>
      </c>
      <c r="HY131">
        <v>0</v>
      </c>
      <c r="HZ131" t="s">
        <v>424</v>
      </c>
      <c r="IA131" t="s">
        <v>425</v>
      </c>
      <c r="IB131" t="s">
        <v>426</v>
      </c>
      <c r="IC131" t="s">
        <v>426</v>
      </c>
      <c r="ID131" t="s">
        <v>426</v>
      </c>
      <c r="IE131" t="s">
        <v>426</v>
      </c>
      <c r="IF131">
        <v>0</v>
      </c>
      <c r="IG131">
        <v>100</v>
      </c>
      <c r="IH131">
        <v>100</v>
      </c>
      <c r="II131">
        <v>0.879</v>
      </c>
      <c r="IJ131">
        <v>0.26319999999999999</v>
      </c>
      <c r="IK131">
        <v>0.12712943902925061</v>
      </c>
      <c r="IL131">
        <v>3.042515301972944E-3</v>
      </c>
      <c r="IM131">
        <v>-2.5091471490852929E-6</v>
      </c>
      <c r="IN131">
        <v>8.1339755115576286E-10</v>
      </c>
      <c r="IO131">
        <v>0.26315846289473549</v>
      </c>
      <c r="IP131">
        <v>0</v>
      </c>
      <c r="IQ131">
        <v>0</v>
      </c>
      <c r="IR131">
        <v>0</v>
      </c>
      <c r="IS131">
        <v>3</v>
      </c>
      <c r="IT131">
        <v>2004</v>
      </c>
      <c r="IU131">
        <v>2</v>
      </c>
      <c r="IV131">
        <v>22</v>
      </c>
      <c r="IW131">
        <v>0.7</v>
      </c>
      <c r="IX131">
        <v>0.6</v>
      </c>
      <c r="IY131">
        <v>1.00464</v>
      </c>
      <c r="IZ131">
        <v>2.6037599999999999</v>
      </c>
      <c r="JA131">
        <v>1.64917</v>
      </c>
      <c r="JB131">
        <v>2.34009</v>
      </c>
      <c r="JC131">
        <v>1.5991200000000001</v>
      </c>
      <c r="JD131">
        <v>2.2277800000000001</v>
      </c>
      <c r="JE131">
        <v>48.732599999999998</v>
      </c>
      <c r="JF131">
        <v>24.096299999999999</v>
      </c>
      <c r="JG131">
        <v>18</v>
      </c>
      <c r="JH131">
        <v>517.57100000000003</v>
      </c>
      <c r="JI131">
        <v>426.58300000000003</v>
      </c>
      <c r="JJ131">
        <v>27.6373</v>
      </c>
      <c r="JK131">
        <v>34.963900000000002</v>
      </c>
      <c r="JL131">
        <v>29.998100000000001</v>
      </c>
      <c r="JM131">
        <v>35.016500000000001</v>
      </c>
      <c r="JN131">
        <v>35.005499999999998</v>
      </c>
      <c r="JO131">
        <v>20.126300000000001</v>
      </c>
      <c r="JP131">
        <v>73.000100000000003</v>
      </c>
      <c r="JQ131">
        <v>0</v>
      </c>
      <c r="JR131">
        <v>27.679099999999998</v>
      </c>
      <c r="JS131">
        <v>400</v>
      </c>
      <c r="JT131">
        <v>20.6174</v>
      </c>
      <c r="JU131">
        <v>99.188000000000002</v>
      </c>
      <c r="JV131">
        <v>98.944500000000005</v>
      </c>
    </row>
    <row r="132" spans="1:282" x14ac:dyDescent="0.25">
      <c r="A132">
        <v>116</v>
      </c>
      <c r="B132">
        <v>1689021540</v>
      </c>
      <c r="C132">
        <v>21944.900000095371</v>
      </c>
      <c r="D132" t="s">
        <v>1006</v>
      </c>
      <c r="E132" t="s">
        <v>1007</v>
      </c>
      <c r="F132" t="s">
        <v>414</v>
      </c>
      <c r="G132" t="s">
        <v>415</v>
      </c>
      <c r="H132" t="s">
        <v>500</v>
      </c>
      <c r="I132" t="s">
        <v>500</v>
      </c>
      <c r="J132" t="s">
        <v>417</v>
      </c>
      <c r="K132">
        <v>1689021540</v>
      </c>
      <c r="L132">
        <f t="shared" si="138"/>
        <v>7.3028590729660448E-3</v>
      </c>
      <c r="M132">
        <f t="shared" si="139"/>
        <v>7.3028590729660445</v>
      </c>
      <c r="N132">
        <f t="shared" si="140"/>
        <v>63.193644011213543</v>
      </c>
      <c r="O132">
        <f t="shared" si="141"/>
        <v>420.517</v>
      </c>
      <c r="P132">
        <f t="shared" si="142"/>
        <v>213.61866979102697</v>
      </c>
      <c r="Q132">
        <f t="shared" si="143"/>
        <v>21.194112365887005</v>
      </c>
      <c r="R132">
        <f t="shared" si="144"/>
        <v>41.721468252210201</v>
      </c>
      <c r="S132">
        <f t="shared" si="145"/>
        <v>0.55189066139014775</v>
      </c>
      <c r="T132">
        <f t="shared" si="146"/>
        <v>2.9168065939537202</v>
      </c>
      <c r="U132">
        <f t="shared" si="147"/>
        <v>0.49976443567186368</v>
      </c>
      <c r="V132">
        <f t="shared" si="148"/>
        <v>0.31662481596569619</v>
      </c>
      <c r="W132">
        <f t="shared" si="149"/>
        <v>289.56226057692385</v>
      </c>
      <c r="X132">
        <f t="shared" si="150"/>
        <v>30.363974500569228</v>
      </c>
      <c r="Y132">
        <f t="shared" si="151"/>
        <v>30.0274</v>
      </c>
      <c r="Z132">
        <f t="shared" si="152"/>
        <v>4.2671596113975516</v>
      </c>
      <c r="AA132">
        <f t="shared" si="153"/>
        <v>65.24009422349215</v>
      </c>
      <c r="AB132">
        <f t="shared" si="154"/>
        <v>2.8695173351633798</v>
      </c>
      <c r="AC132">
        <f t="shared" si="155"/>
        <v>4.3983954488681629</v>
      </c>
      <c r="AD132">
        <f t="shared" si="156"/>
        <v>1.3976422762341718</v>
      </c>
      <c r="AE132">
        <f t="shared" si="157"/>
        <v>-322.05608511780258</v>
      </c>
      <c r="AF132">
        <f t="shared" si="158"/>
        <v>83.107088543773799</v>
      </c>
      <c r="AG132">
        <f t="shared" si="159"/>
        <v>6.3536506802222261</v>
      </c>
      <c r="AH132">
        <f t="shared" si="160"/>
        <v>56.966914683117309</v>
      </c>
      <c r="AI132">
        <v>0</v>
      </c>
      <c r="AJ132">
        <v>0</v>
      </c>
      <c r="AK132">
        <f t="shared" si="161"/>
        <v>1</v>
      </c>
      <c r="AL132">
        <f t="shared" si="162"/>
        <v>0</v>
      </c>
      <c r="AM132">
        <f t="shared" si="163"/>
        <v>51875.634084723068</v>
      </c>
      <c r="AN132" t="s">
        <v>418</v>
      </c>
      <c r="AO132">
        <v>10021</v>
      </c>
      <c r="AP132">
        <v>177.53923076923081</v>
      </c>
      <c r="AQ132">
        <v>655.56</v>
      </c>
      <c r="AR132">
        <f t="shared" si="164"/>
        <v>0.72917928066198234</v>
      </c>
      <c r="AS132">
        <v>-3.1115002560329539</v>
      </c>
      <c r="AT132" t="s">
        <v>1008</v>
      </c>
      <c r="AU132">
        <v>8032.82</v>
      </c>
      <c r="AV132">
        <v>781.95965384615374</v>
      </c>
      <c r="AW132">
        <v>1290.60396798787</v>
      </c>
      <c r="AX132">
        <f t="shared" si="165"/>
        <v>0.39411339710563853</v>
      </c>
      <c r="AY132">
        <v>0.5</v>
      </c>
      <c r="AZ132">
        <f t="shared" si="166"/>
        <v>1513.1597992626548</v>
      </c>
      <c r="BA132">
        <f t="shared" si="167"/>
        <v>63.193644011213543</v>
      </c>
      <c r="BB132">
        <f t="shared" si="168"/>
        <v>298.17827442554545</v>
      </c>
      <c r="BC132">
        <f t="shared" si="169"/>
        <v>4.3818996711091726E-2</v>
      </c>
      <c r="BD132">
        <f t="shared" si="170"/>
        <v>-0.49205177090687408</v>
      </c>
      <c r="BE132">
        <f t="shared" si="171"/>
        <v>204.83510985075338</v>
      </c>
      <c r="BF132" t="s">
        <v>1009</v>
      </c>
      <c r="BG132">
        <v>595.1</v>
      </c>
      <c r="BH132">
        <f t="shared" si="172"/>
        <v>595.1</v>
      </c>
      <c r="BI132">
        <f t="shared" si="173"/>
        <v>0.53889805489456455</v>
      </c>
      <c r="BJ132">
        <f t="shared" si="174"/>
        <v>0.7313320089506482</v>
      </c>
      <c r="BK132">
        <f t="shared" si="175"/>
        <v>-10.503539000791777</v>
      </c>
      <c r="BL132">
        <f t="shared" si="176"/>
        <v>0.45697639780839033</v>
      </c>
      <c r="BM132">
        <f t="shared" si="177"/>
        <v>-1.3284861429970556</v>
      </c>
      <c r="BN132">
        <f t="shared" si="178"/>
        <v>0.55657050384361273</v>
      </c>
      <c r="BO132">
        <f t="shared" si="179"/>
        <v>0.44342949615638727</v>
      </c>
      <c r="BP132">
        <v>22697</v>
      </c>
      <c r="BQ132">
        <v>290.00000000000011</v>
      </c>
      <c r="BR132">
        <v>1127.3499999999999</v>
      </c>
      <c r="BS132">
        <v>295</v>
      </c>
      <c r="BT132">
        <v>8032.82</v>
      </c>
      <c r="BU132">
        <v>1129.7</v>
      </c>
      <c r="BV132">
        <v>-2.35</v>
      </c>
      <c r="BW132">
        <v>300.00000000000011</v>
      </c>
      <c r="BX132">
        <v>19.399999999999999</v>
      </c>
      <c r="BY132">
        <v>1290.60396798787</v>
      </c>
      <c r="BZ132">
        <v>5.8111393543257606</v>
      </c>
      <c r="CA132">
        <v>-129.249155255159</v>
      </c>
      <c r="CB132">
        <v>4.2880280992263664</v>
      </c>
      <c r="CC132">
        <v>0.97010245998767342</v>
      </c>
      <c r="CD132">
        <v>-4.1482898776418276E-3</v>
      </c>
      <c r="CE132">
        <v>289.99999999999989</v>
      </c>
      <c r="CF132">
        <v>1123.17</v>
      </c>
      <c r="CG132">
        <v>655</v>
      </c>
      <c r="CH132">
        <v>8022.92</v>
      </c>
      <c r="CI132">
        <v>1129.5</v>
      </c>
      <c r="CJ132">
        <v>-6.33</v>
      </c>
      <c r="CX132">
        <f t="shared" si="180"/>
        <v>1799.97</v>
      </c>
      <c r="CY132">
        <f t="shared" si="181"/>
        <v>1513.1597992626548</v>
      </c>
      <c r="CZ132">
        <f t="shared" si="182"/>
        <v>0.84065834389609539</v>
      </c>
      <c r="DA132">
        <f t="shared" si="183"/>
        <v>0.16087060371946413</v>
      </c>
      <c r="DB132">
        <v>6</v>
      </c>
      <c r="DC132">
        <v>0.5</v>
      </c>
      <c r="DD132" t="s">
        <v>421</v>
      </c>
      <c r="DE132">
        <v>2</v>
      </c>
      <c r="DF132">
        <v>1689021540</v>
      </c>
      <c r="DG132">
        <v>420.517</v>
      </c>
      <c r="DH132">
        <v>500.03199999999998</v>
      </c>
      <c r="DI132">
        <v>28.9223</v>
      </c>
      <c r="DJ132">
        <v>20.412600000000001</v>
      </c>
      <c r="DK132">
        <v>419.33300000000003</v>
      </c>
      <c r="DL132">
        <v>28.664300000000001</v>
      </c>
      <c r="DM132">
        <v>500.01600000000002</v>
      </c>
      <c r="DN132">
        <v>99.114800000000002</v>
      </c>
      <c r="DO132">
        <v>9.9900600000000006E-2</v>
      </c>
      <c r="DP132">
        <v>30.555900000000001</v>
      </c>
      <c r="DQ132">
        <v>30.0274</v>
      </c>
      <c r="DR132">
        <v>999.9</v>
      </c>
      <c r="DS132">
        <v>0</v>
      </c>
      <c r="DT132">
        <v>0</v>
      </c>
      <c r="DU132">
        <v>10016.200000000001</v>
      </c>
      <c r="DV132">
        <v>0</v>
      </c>
      <c r="DW132">
        <v>1668.19</v>
      </c>
      <c r="DX132">
        <v>-79.514300000000006</v>
      </c>
      <c r="DY132">
        <v>433.04199999999997</v>
      </c>
      <c r="DZ132">
        <v>510.45100000000002</v>
      </c>
      <c r="EA132">
        <v>8.5096900000000009</v>
      </c>
      <c r="EB132">
        <v>500.03199999999998</v>
      </c>
      <c r="EC132">
        <v>20.412600000000001</v>
      </c>
      <c r="ED132">
        <v>2.8666299999999998</v>
      </c>
      <c r="EE132">
        <v>2.02319</v>
      </c>
      <c r="EF132">
        <v>23.2728</v>
      </c>
      <c r="EG132">
        <v>17.626999999999999</v>
      </c>
      <c r="EH132">
        <v>1799.97</v>
      </c>
      <c r="EI132">
        <v>0.97799499999999995</v>
      </c>
      <c r="EJ132">
        <v>2.2005500000000001E-2</v>
      </c>
      <c r="EK132">
        <v>0</v>
      </c>
      <c r="EL132">
        <v>782.64400000000001</v>
      </c>
      <c r="EM132">
        <v>5.0011200000000002</v>
      </c>
      <c r="EN132">
        <v>15951.6</v>
      </c>
      <c r="EO132">
        <v>17210.599999999999</v>
      </c>
      <c r="EP132">
        <v>48.186999999999998</v>
      </c>
      <c r="EQ132">
        <v>49.75</v>
      </c>
      <c r="ER132">
        <v>49.186999999999998</v>
      </c>
      <c r="ES132">
        <v>48.625</v>
      </c>
      <c r="ET132">
        <v>48.75</v>
      </c>
      <c r="EU132">
        <v>1755.47</v>
      </c>
      <c r="EV132">
        <v>39.5</v>
      </c>
      <c r="EW132">
        <v>0</v>
      </c>
      <c r="EX132">
        <v>149</v>
      </c>
      <c r="EY132">
        <v>0</v>
      </c>
      <c r="EZ132">
        <v>781.95965384615374</v>
      </c>
      <c r="FA132">
        <v>2.4506324790558289</v>
      </c>
      <c r="FB132">
        <v>18.13333337883223</v>
      </c>
      <c r="FC132">
        <v>15950.06923076923</v>
      </c>
      <c r="FD132">
        <v>15</v>
      </c>
      <c r="FE132">
        <v>1689021493</v>
      </c>
      <c r="FF132" t="s">
        <v>1010</v>
      </c>
      <c r="FG132">
        <v>1689021483.5</v>
      </c>
      <c r="FH132">
        <v>1689021493</v>
      </c>
      <c r="FI132">
        <v>129</v>
      </c>
      <c r="FJ132">
        <v>0.16200000000000001</v>
      </c>
      <c r="FK132">
        <v>-5.0000000000000001E-3</v>
      </c>
      <c r="FL132">
        <v>1.2829999999999999</v>
      </c>
      <c r="FM132">
        <v>0.22800000000000001</v>
      </c>
      <c r="FN132">
        <v>500</v>
      </c>
      <c r="FO132">
        <v>21</v>
      </c>
      <c r="FP132">
        <v>0.04</v>
      </c>
      <c r="FQ132">
        <v>0.01</v>
      </c>
      <c r="FR132">
        <v>63.085951031196913</v>
      </c>
      <c r="FS132">
        <v>0.56992947142052297</v>
      </c>
      <c r="FT132">
        <v>8.8937485892259249E-2</v>
      </c>
      <c r="FU132">
        <v>1</v>
      </c>
      <c r="FV132">
        <v>0.5569956160723929</v>
      </c>
      <c r="FW132">
        <v>-3.8396660816184688E-2</v>
      </c>
      <c r="FX132">
        <v>3.390326319464725E-3</v>
      </c>
      <c r="FY132">
        <v>1</v>
      </c>
      <c r="FZ132">
        <v>2</v>
      </c>
      <c r="GA132">
        <v>2</v>
      </c>
      <c r="GB132" t="s">
        <v>423</v>
      </c>
      <c r="GC132">
        <v>2.9231600000000002</v>
      </c>
      <c r="GD132">
        <v>2.82734</v>
      </c>
      <c r="GE132">
        <v>9.0926999999999994E-2</v>
      </c>
      <c r="GF132">
        <v>0.103993</v>
      </c>
      <c r="GG132">
        <v>0.12704299999999999</v>
      </c>
      <c r="GH132">
        <v>0.100008</v>
      </c>
      <c r="GI132">
        <v>29564.3</v>
      </c>
      <c r="GJ132">
        <v>23635.200000000001</v>
      </c>
      <c r="GK132">
        <v>31299.8</v>
      </c>
      <c r="GL132">
        <v>26025.9</v>
      </c>
      <c r="GM132">
        <v>37460.800000000003</v>
      </c>
      <c r="GN132">
        <v>31774.799999999999</v>
      </c>
      <c r="GO132">
        <v>46478.7</v>
      </c>
      <c r="GP132">
        <v>37840.699999999997</v>
      </c>
      <c r="GQ132">
        <v>1.9036999999999999</v>
      </c>
      <c r="GR132">
        <v>1.6918</v>
      </c>
      <c r="GS132">
        <v>-3.8404000000000001E-2</v>
      </c>
      <c r="GT132">
        <v>0</v>
      </c>
      <c r="GU132">
        <v>30.652100000000001</v>
      </c>
      <c r="GV132">
        <v>999.9</v>
      </c>
      <c r="GW132">
        <v>38.700000000000003</v>
      </c>
      <c r="GX132">
        <v>46.3</v>
      </c>
      <c r="GY132">
        <v>40.228400000000001</v>
      </c>
      <c r="GZ132">
        <v>62.0749</v>
      </c>
      <c r="HA132">
        <v>19.4391</v>
      </c>
      <c r="HB132">
        <v>1</v>
      </c>
      <c r="HC132">
        <v>0.63967200000000002</v>
      </c>
      <c r="HD132">
        <v>3.5253700000000001</v>
      </c>
      <c r="HE132">
        <v>20.2605</v>
      </c>
      <c r="HF132">
        <v>5.2231300000000003</v>
      </c>
      <c r="HG132">
        <v>12.061500000000001</v>
      </c>
      <c r="HH132">
        <v>4.9915500000000002</v>
      </c>
      <c r="HI132">
        <v>3.2919999999999998</v>
      </c>
      <c r="HJ132">
        <v>9999</v>
      </c>
      <c r="HK132">
        <v>9999</v>
      </c>
      <c r="HL132">
        <v>9999</v>
      </c>
      <c r="HM132">
        <v>467.1</v>
      </c>
      <c r="HN132">
        <v>1.8669100000000001</v>
      </c>
      <c r="HO132">
        <v>1.87039</v>
      </c>
      <c r="HP132">
        <v>1.8730100000000001</v>
      </c>
      <c r="HQ132">
        <v>1.8738999999999999</v>
      </c>
      <c r="HR132">
        <v>1.8706199999999999</v>
      </c>
      <c r="HS132">
        <v>1.8690500000000001</v>
      </c>
      <c r="HT132">
        <v>1.8704400000000001</v>
      </c>
      <c r="HU132">
        <v>1.8734599999999999</v>
      </c>
      <c r="HV132">
        <v>0</v>
      </c>
      <c r="HW132">
        <v>0</v>
      </c>
      <c r="HX132">
        <v>0</v>
      </c>
      <c r="HY132">
        <v>0</v>
      </c>
      <c r="HZ132" t="s">
        <v>424</v>
      </c>
      <c r="IA132" t="s">
        <v>425</v>
      </c>
      <c r="IB132" t="s">
        <v>426</v>
      </c>
      <c r="IC132" t="s">
        <v>426</v>
      </c>
      <c r="ID132" t="s">
        <v>426</v>
      </c>
      <c r="IE132" t="s">
        <v>426</v>
      </c>
      <c r="IF132">
        <v>0</v>
      </c>
      <c r="IG132">
        <v>100</v>
      </c>
      <c r="IH132">
        <v>100</v>
      </c>
      <c r="II132">
        <v>1.1839999999999999</v>
      </c>
      <c r="IJ132">
        <v>0.25800000000000001</v>
      </c>
      <c r="IK132">
        <v>0.28936428406702031</v>
      </c>
      <c r="IL132">
        <v>3.042515301972944E-3</v>
      </c>
      <c r="IM132">
        <v>-2.5091471490852929E-6</v>
      </c>
      <c r="IN132">
        <v>8.1339755115576286E-10</v>
      </c>
      <c r="IO132">
        <v>0.25795445333835498</v>
      </c>
      <c r="IP132">
        <v>0</v>
      </c>
      <c r="IQ132">
        <v>0</v>
      </c>
      <c r="IR132">
        <v>0</v>
      </c>
      <c r="IS132">
        <v>3</v>
      </c>
      <c r="IT132">
        <v>2004</v>
      </c>
      <c r="IU132">
        <v>2</v>
      </c>
      <c r="IV132">
        <v>22</v>
      </c>
      <c r="IW132">
        <v>0.9</v>
      </c>
      <c r="IX132">
        <v>0.8</v>
      </c>
      <c r="IY132">
        <v>1.2109399999999999</v>
      </c>
      <c r="IZ132">
        <v>2.63062</v>
      </c>
      <c r="JA132">
        <v>1.64917</v>
      </c>
      <c r="JB132">
        <v>2.34131</v>
      </c>
      <c r="JC132">
        <v>1.5991200000000001</v>
      </c>
      <c r="JD132">
        <v>2.2741699999999998</v>
      </c>
      <c r="JE132">
        <v>48.794699999999999</v>
      </c>
      <c r="JF132">
        <v>24.096299999999999</v>
      </c>
      <c r="JG132">
        <v>18</v>
      </c>
      <c r="JH132">
        <v>517.84100000000001</v>
      </c>
      <c r="JI132">
        <v>426.88299999999998</v>
      </c>
      <c r="JJ132">
        <v>27.265799999999999</v>
      </c>
      <c r="JK132">
        <v>34.954999999999998</v>
      </c>
      <c r="JL132">
        <v>30.001100000000001</v>
      </c>
      <c r="JM132">
        <v>35.023600000000002</v>
      </c>
      <c r="JN132">
        <v>35.025799999999997</v>
      </c>
      <c r="JO132">
        <v>24.257999999999999</v>
      </c>
      <c r="JP132">
        <v>77.860299999999995</v>
      </c>
      <c r="JQ132">
        <v>0</v>
      </c>
      <c r="JR132">
        <v>27.247699999999998</v>
      </c>
      <c r="JS132">
        <v>500</v>
      </c>
      <c r="JT132">
        <v>20.252400000000002</v>
      </c>
      <c r="JU132">
        <v>99.201700000000002</v>
      </c>
      <c r="JV132">
        <v>98.954800000000006</v>
      </c>
    </row>
    <row r="133" spans="1:282" x14ac:dyDescent="0.25">
      <c r="A133">
        <v>117</v>
      </c>
      <c r="B133">
        <v>1689021645</v>
      </c>
      <c r="C133">
        <v>22049.900000095371</v>
      </c>
      <c r="D133" t="s">
        <v>1011</v>
      </c>
      <c r="E133" t="s">
        <v>1012</v>
      </c>
      <c r="F133" t="s">
        <v>414</v>
      </c>
      <c r="G133" t="s">
        <v>415</v>
      </c>
      <c r="H133" t="s">
        <v>500</v>
      </c>
      <c r="I133" t="s">
        <v>500</v>
      </c>
      <c r="J133" t="s">
        <v>417</v>
      </c>
      <c r="K133">
        <v>1689021645</v>
      </c>
      <c r="L133">
        <f t="shared" si="138"/>
        <v>7.3758439576486869E-3</v>
      </c>
      <c r="M133">
        <f t="shared" si="139"/>
        <v>7.3758439576486872</v>
      </c>
      <c r="N133">
        <f t="shared" si="140"/>
        <v>64.141275831491967</v>
      </c>
      <c r="O133">
        <f t="shared" si="141"/>
        <v>617.46799999999996</v>
      </c>
      <c r="P133">
        <f t="shared" si="142"/>
        <v>405.71041379521171</v>
      </c>
      <c r="Q133">
        <f t="shared" si="143"/>
        <v>40.249893187273294</v>
      </c>
      <c r="R133">
        <f t="shared" si="144"/>
        <v>61.258030855239994</v>
      </c>
      <c r="S133">
        <f t="shared" si="145"/>
        <v>0.55974126754456444</v>
      </c>
      <c r="T133">
        <f t="shared" si="146"/>
        <v>2.9126560499720453</v>
      </c>
      <c r="U133">
        <f t="shared" si="147"/>
        <v>0.50612992966614234</v>
      </c>
      <c r="V133">
        <f t="shared" si="148"/>
        <v>0.32071898442545749</v>
      </c>
      <c r="W133">
        <f t="shared" si="149"/>
        <v>289.58460457703444</v>
      </c>
      <c r="X133">
        <f t="shared" si="150"/>
        <v>30.239000833899603</v>
      </c>
      <c r="Y133">
        <f t="shared" si="151"/>
        <v>29.993500000000001</v>
      </c>
      <c r="Z133">
        <f t="shared" si="152"/>
        <v>4.2588593723511909</v>
      </c>
      <c r="AA133">
        <f t="shared" si="153"/>
        <v>65.53297799395331</v>
      </c>
      <c r="AB133">
        <f t="shared" si="154"/>
        <v>2.8650005665979998</v>
      </c>
      <c r="AC133">
        <f t="shared" si="155"/>
        <v>4.3718455261751599</v>
      </c>
      <c r="AD133">
        <f t="shared" si="156"/>
        <v>1.3938588057531911</v>
      </c>
      <c r="AE133">
        <f t="shared" si="157"/>
        <v>-325.27471853230708</v>
      </c>
      <c r="AF133">
        <f t="shared" si="158"/>
        <v>71.698579780317729</v>
      </c>
      <c r="AG133">
        <f t="shared" si="159"/>
        <v>5.4854728389241618</v>
      </c>
      <c r="AH133">
        <f t="shared" si="160"/>
        <v>41.493938663969274</v>
      </c>
      <c r="AI133">
        <v>0</v>
      </c>
      <c r="AJ133">
        <v>0</v>
      </c>
      <c r="AK133">
        <f t="shared" si="161"/>
        <v>1</v>
      </c>
      <c r="AL133">
        <f t="shared" si="162"/>
        <v>0</v>
      </c>
      <c r="AM133">
        <f t="shared" si="163"/>
        <v>51775.643608089747</v>
      </c>
      <c r="AN133" t="s">
        <v>418</v>
      </c>
      <c r="AO133">
        <v>10021</v>
      </c>
      <c r="AP133">
        <v>177.53923076923081</v>
      </c>
      <c r="AQ133">
        <v>655.56</v>
      </c>
      <c r="AR133">
        <f t="shared" si="164"/>
        <v>0.72917928066198234</v>
      </c>
      <c r="AS133">
        <v>-3.1115002560329539</v>
      </c>
      <c r="AT133" t="s">
        <v>1013</v>
      </c>
      <c r="AU133">
        <v>8034.1</v>
      </c>
      <c r="AV133">
        <v>786.87964000000011</v>
      </c>
      <c r="AW133">
        <v>1330.960444571808</v>
      </c>
      <c r="AX133">
        <f t="shared" si="165"/>
        <v>0.40878810996283788</v>
      </c>
      <c r="AY133">
        <v>0.5</v>
      </c>
      <c r="AZ133">
        <f t="shared" si="166"/>
        <v>1513.2773992627119</v>
      </c>
      <c r="BA133">
        <f t="shared" si="167"/>
        <v>64.141275831491967</v>
      </c>
      <c r="BB133">
        <f t="shared" si="168"/>
        <v>309.3049039470414</v>
      </c>
      <c r="BC133">
        <f t="shared" si="169"/>
        <v>4.4441803016612373E-2</v>
      </c>
      <c r="BD133">
        <f t="shared" si="170"/>
        <v>-0.50745343133701881</v>
      </c>
      <c r="BE133">
        <f t="shared" si="171"/>
        <v>205.82561999762481</v>
      </c>
      <c r="BF133" t="s">
        <v>1014</v>
      </c>
      <c r="BG133">
        <v>599.79</v>
      </c>
      <c r="BH133">
        <f t="shared" si="172"/>
        <v>599.79</v>
      </c>
      <c r="BI133">
        <f t="shared" si="173"/>
        <v>0.54935550305331393</v>
      </c>
      <c r="BJ133">
        <f t="shared" si="174"/>
        <v>0.74412308184917875</v>
      </c>
      <c r="BK133">
        <f t="shared" si="175"/>
        <v>-12.110461620437659</v>
      </c>
      <c r="BL133">
        <f t="shared" si="176"/>
        <v>0.47171041945560593</v>
      </c>
      <c r="BM133">
        <f t="shared" si="177"/>
        <v>-1.4129102500267139</v>
      </c>
      <c r="BN133">
        <f t="shared" si="178"/>
        <v>0.56719930288489717</v>
      </c>
      <c r="BO133">
        <f t="shared" si="179"/>
        <v>0.43280069711510283</v>
      </c>
      <c r="BP133">
        <v>22699</v>
      </c>
      <c r="BQ133">
        <v>290.00000000000011</v>
      </c>
      <c r="BR133">
        <v>1143.8499999999999</v>
      </c>
      <c r="BS133">
        <v>295</v>
      </c>
      <c r="BT133">
        <v>8034.1</v>
      </c>
      <c r="BU133">
        <v>1147.28</v>
      </c>
      <c r="BV133">
        <v>-3.43</v>
      </c>
      <c r="BW133">
        <v>300.00000000000011</v>
      </c>
      <c r="BX133">
        <v>19.399999999999999</v>
      </c>
      <c r="BY133">
        <v>1330.960444571808</v>
      </c>
      <c r="BZ133">
        <v>5.5295441461635004</v>
      </c>
      <c r="CA133">
        <v>-147.56715094488851</v>
      </c>
      <c r="CB133">
        <v>4.0808973607452579</v>
      </c>
      <c r="CC133">
        <v>0.97903531469914118</v>
      </c>
      <c r="CD133">
        <v>-4.1488656284760861E-3</v>
      </c>
      <c r="CE133">
        <v>289.99999999999989</v>
      </c>
      <c r="CF133">
        <v>1137.94</v>
      </c>
      <c r="CG133">
        <v>675</v>
      </c>
      <c r="CH133">
        <v>8023.67</v>
      </c>
      <c r="CI133">
        <v>1147.05</v>
      </c>
      <c r="CJ133">
        <v>-9.11</v>
      </c>
      <c r="CX133">
        <f t="shared" si="180"/>
        <v>1800.11</v>
      </c>
      <c r="CY133">
        <f t="shared" si="181"/>
        <v>1513.2773992627119</v>
      </c>
      <c r="CZ133">
        <f t="shared" si="182"/>
        <v>0.84065829269473091</v>
      </c>
      <c r="DA133">
        <f t="shared" si="183"/>
        <v>0.16087050490083077</v>
      </c>
      <c r="DB133">
        <v>6</v>
      </c>
      <c r="DC133">
        <v>0.5</v>
      </c>
      <c r="DD133" t="s">
        <v>421</v>
      </c>
      <c r="DE133">
        <v>2</v>
      </c>
      <c r="DF133">
        <v>1689021645</v>
      </c>
      <c r="DG133">
        <v>617.46799999999996</v>
      </c>
      <c r="DH133">
        <v>699.89499999999998</v>
      </c>
      <c r="DI133">
        <v>28.878599999999999</v>
      </c>
      <c r="DJ133">
        <v>20.283999999999999</v>
      </c>
      <c r="DK133">
        <v>616.08799999999997</v>
      </c>
      <c r="DL133">
        <v>28.6173</v>
      </c>
      <c r="DM133">
        <v>500.04700000000003</v>
      </c>
      <c r="DN133">
        <v>99.1083</v>
      </c>
      <c r="DO133">
        <v>0.10013</v>
      </c>
      <c r="DP133">
        <v>30.450099999999999</v>
      </c>
      <c r="DQ133">
        <v>29.993500000000001</v>
      </c>
      <c r="DR133">
        <v>999.9</v>
      </c>
      <c r="DS133">
        <v>0</v>
      </c>
      <c r="DT133">
        <v>0</v>
      </c>
      <c r="DU133">
        <v>9993.1200000000008</v>
      </c>
      <c r="DV133">
        <v>0</v>
      </c>
      <c r="DW133">
        <v>782.49</v>
      </c>
      <c r="DX133">
        <v>-82.426900000000003</v>
      </c>
      <c r="DY133">
        <v>635.83000000000004</v>
      </c>
      <c r="DZ133">
        <v>714.38599999999997</v>
      </c>
      <c r="EA133">
        <v>8.5945599999999995</v>
      </c>
      <c r="EB133">
        <v>699.89499999999998</v>
      </c>
      <c r="EC133">
        <v>20.283999999999999</v>
      </c>
      <c r="ED133">
        <v>2.8621099999999999</v>
      </c>
      <c r="EE133">
        <v>2.01031</v>
      </c>
      <c r="EF133">
        <v>23.246700000000001</v>
      </c>
      <c r="EG133">
        <v>17.5258</v>
      </c>
      <c r="EH133">
        <v>1800.11</v>
      </c>
      <c r="EI133">
        <v>0.97799499999999995</v>
      </c>
      <c r="EJ133">
        <v>2.2005500000000001E-2</v>
      </c>
      <c r="EK133">
        <v>0</v>
      </c>
      <c r="EL133">
        <v>787.07299999999998</v>
      </c>
      <c r="EM133">
        <v>5.0011200000000002</v>
      </c>
      <c r="EN133">
        <v>15673.1</v>
      </c>
      <c r="EO133">
        <v>17211.900000000001</v>
      </c>
      <c r="EP133">
        <v>47.875</v>
      </c>
      <c r="EQ133">
        <v>49.625</v>
      </c>
      <c r="ER133">
        <v>48.875</v>
      </c>
      <c r="ES133">
        <v>48.436999999999998</v>
      </c>
      <c r="ET133">
        <v>48.5</v>
      </c>
      <c r="EU133">
        <v>1755.61</v>
      </c>
      <c r="EV133">
        <v>39.5</v>
      </c>
      <c r="EW133">
        <v>0</v>
      </c>
      <c r="EX133">
        <v>102.7999999523163</v>
      </c>
      <c r="EY133">
        <v>0</v>
      </c>
      <c r="EZ133">
        <v>786.87964000000011</v>
      </c>
      <c r="FA133">
        <v>1.0397692395064679</v>
      </c>
      <c r="FB133">
        <v>-1966.0692270686809</v>
      </c>
      <c r="FC133">
        <v>15632.7</v>
      </c>
      <c r="FD133">
        <v>15</v>
      </c>
      <c r="FE133">
        <v>1689021615.5</v>
      </c>
      <c r="FF133" t="s">
        <v>1015</v>
      </c>
      <c r="FG133">
        <v>1689021610</v>
      </c>
      <c r="FH133">
        <v>1689021615.5</v>
      </c>
      <c r="FI133">
        <v>130</v>
      </c>
      <c r="FJ133">
        <v>-2.1000000000000001E-2</v>
      </c>
      <c r="FK133">
        <v>3.0000000000000001E-3</v>
      </c>
      <c r="FL133">
        <v>1.446</v>
      </c>
      <c r="FM133">
        <v>0.22600000000000001</v>
      </c>
      <c r="FN133">
        <v>700</v>
      </c>
      <c r="FO133">
        <v>21</v>
      </c>
      <c r="FP133">
        <v>0.04</v>
      </c>
      <c r="FQ133">
        <v>0.01</v>
      </c>
      <c r="FR133">
        <v>64.214169646556272</v>
      </c>
      <c r="FS133">
        <v>-0.6244853993782834</v>
      </c>
      <c r="FT133">
        <v>7.4823741926373422E-2</v>
      </c>
      <c r="FU133">
        <v>1</v>
      </c>
      <c r="FV133">
        <v>0.56124978111625723</v>
      </c>
      <c r="FW133">
        <v>3.9575028218700598E-2</v>
      </c>
      <c r="FX133">
        <v>3.5028363403811031E-3</v>
      </c>
      <c r="FY133">
        <v>1</v>
      </c>
      <c r="FZ133">
        <v>2</v>
      </c>
      <c r="GA133">
        <v>2</v>
      </c>
      <c r="GB133" t="s">
        <v>423</v>
      </c>
      <c r="GC133">
        <v>2.9231600000000002</v>
      </c>
      <c r="GD133">
        <v>2.8273700000000002</v>
      </c>
      <c r="GE133">
        <v>0.120599</v>
      </c>
      <c r="GF133">
        <v>0.13206799999999999</v>
      </c>
      <c r="GG133">
        <v>0.12687100000000001</v>
      </c>
      <c r="GH133">
        <v>9.9537600000000004E-2</v>
      </c>
      <c r="GI133">
        <v>28593.4</v>
      </c>
      <c r="GJ133">
        <v>22891.8</v>
      </c>
      <c r="GK133">
        <v>31294</v>
      </c>
      <c r="GL133">
        <v>26023.4</v>
      </c>
      <c r="GM133">
        <v>37461.5</v>
      </c>
      <c r="GN133">
        <v>31789.1</v>
      </c>
      <c r="GO133">
        <v>46469.599999999999</v>
      </c>
      <c r="GP133">
        <v>37837.5</v>
      </c>
      <c r="GQ133">
        <v>1.9028499999999999</v>
      </c>
      <c r="GR133">
        <v>1.69</v>
      </c>
      <c r="GS133">
        <v>-5.6631899999999999E-2</v>
      </c>
      <c r="GT133">
        <v>0</v>
      </c>
      <c r="GU133">
        <v>30.914400000000001</v>
      </c>
      <c r="GV133">
        <v>999.9</v>
      </c>
      <c r="GW133">
        <v>38.700000000000003</v>
      </c>
      <c r="GX133">
        <v>46.4</v>
      </c>
      <c r="GY133">
        <v>40.442799999999998</v>
      </c>
      <c r="GZ133">
        <v>62.554900000000004</v>
      </c>
      <c r="HA133">
        <v>19.523199999999999</v>
      </c>
      <c r="HB133">
        <v>1</v>
      </c>
      <c r="HC133">
        <v>0.64941099999999996</v>
      </c>
      <c r="HD133">
        <v>4.2090199999999998</v>
      </c>
      <c r="HE133">
        <v>20.245100000000001</v>
      </c>
      <c r="HF133">
        <v>5.2244799999999998</v>
      </c>
      <c r="HG133">
        <v>12.0625</v>
      </c>
      <c r="HH133">
        <v>4.9926000000000004</v>
      </c>
      <c r="HI133">
        <v>3.2919999999999998</v>
      </c>
      <c r="HJ133">
        <v>9999</v>
      </c>
      <c r="HK133">
        <v>9999</v>
      </c>
      <c r="HL133">
        <v>9999</v>
      </c>
      <c r="HM133">
        <v>467.1</v>
      </c>
      <c r="HN133">
        <v>1.8669100000000001</v>
      </c>
      <c r="HO133">
        <v>1.8704000000000001</v>
      </c>
      <c r="HP133">
        <v>1.8730199999999999</v>
      </c>
      <c r="HQ133">
        <v>1.87391</v>
      </c>
      <c r="HR133">
        <v>1.87059</v>
      </c>
      <c r="HS133">
        <v>1.86903</v>
      </c>
      <c r="HT133">
        <v>1.8704499999999999</v>
      </c>
      <c r="HU133">
        <v>1.87344</v>
      </c>
      <c r="HV133">
        <v>0</v>
      </c>
      <c r="HW133">
        <v>0</v>
      </c>
      <c r="HX133">
        <v>0</v>
      </c>
      <c r="HY133">
        <v>0</v>
      </c>
      <c r="HZ133" t="s">
        <v>424</v>
      </c>
      <c r="IA133" t="s">
        <v>425</v>
      </c>
      <c r="IB133" t="s">
        <v>426</v>
      </c>
      <c r="IC133" t="s">
        <v>426</v>
      </c>
      <c r="ID133" t="s">
        <v>426</v>
      </c>
      <c r="IE133" t="s">
        <v>426</v>
      </c>
      <c r="IF133">
        <v>0</v>
      </c>
      <c r="IG133">
        <v>100</v>
      </c>
      <c r="IH133">
        <v>100</v>
      </c>
      <c r="II133">
        <v>1.38</v>
      </c>
      <c r="IJ133">
        <v>0.26129999999999998</v>
      </c>
      <c r="IK133">
        <v>0.26810046195508008</v>
      </c>
      <c r="IL133">
        <v>3.042515301972944E-3</v>
      </c>
      <c r="IM133">
        <v>-2.5091471490852929E-6</v>
      </c>
      <c r="IN133">
        <v>8.1339755115576286E-10</v>
      </c>
      <c r="IO133">
        <v>0.26127531548543281</v>
      </c>
      <c r="IP133">
        <v>0</v>
      </c>
      <c r="IQ133">
        <v>0</v>
      </c>
      <c r="IR133">
        <v>0</v>
      </c>
      <c r="IS133">
        <v>3</v>
      </c>
      <c r="IT133">
        <v>2004</v>
      </c>
      <c r="IU133">
        <v>2</v>
      </c>
      <c r="IV133">
        <v>22</v>
      </c>
      <c r="IW133">
        <v>0.6</v>
      </c>
      <c r="IX133">
        <v>0.5</v>
      </c>
      <c r="IY133">
        <v>1.6052200000000001</v>
      </c>
      <c r="IZ133">
        <v>2.6110799999999998</v>
      </c>
      <c r="JA133">
        <v>1.64917</v>
      </c>
      <c r="JB133">
        <v>2.34131</v>
      </c>
      <c r="JC133">
        <v>1.5991200000000001</v>
      </c>
      <c r="JD133">
        <v>2.2766099999999998</v>
      </c>
      <c r="JE133">
        <v>48.9191</v>
      </c>
      <c r="JF133">
        <v>24.087499999999999</v>
      </c>
      <c r="JG133">
        <v>18</v>
      </c>
      <c r="JH133">
        <v>517.798</v>
      </c>
      <c r="JI133">
        <v>426.202</v>
      </c>
      <c r="JJ133">
        <v>26.664300000000001</v>
      </c>
      <c r="JK133">
        <v>35.033299999999997</v>
      </c>
      <c r="JL133">
        <v>30.000800000000002</v>
      </c>
      <c r="JM133">
        <v>35.093000000000004</v>
      </c>
      <c r="JN133">
        <v>35.0961</v>
      </c>
      <c r="JO133">
        <v>32.129300000000001</v>
      </c>
      <c r="JP133">
        <v>83.958500000000001</v>
      </c>
      <c r="JQ133">
        <v>0</v>
      </c>
      <c r="JR133">
        <v>26.6464</v>
      </c>
      <c r="JS133">
        <v>700</v>
      </c>
      <c r="JT133">
        <v>20.173300000000001</v>
      </c>
      <c r="JU133">
        <v>99.182699999999997</v>
      </c>
      <c r="JV133">
        <v>98.945999999999998</v>
      </c>
    </row>
    <row r="134" spans="1:282" x14ac:dyDescent="0.25">
      <c r="A134">
        <v>118</v>
      </c>
      <c r="B134">
        <v>1689021754</v>
      </c>
      <c r="C134">
        <v>22158.900000095371</v>
      </c>
      <c r="D134" t="s">
        <v>1016</v>
      </c>
      <c r="E134" t="s">
        <v>1017</v>
      </c>
      <c r="F134" t="s">
        <v>414</v>
      </c>
      <c r="G134" t="s">
        <v>415</v>
      </c>
      <c r="H134" t="s">
        <v>500</v>
      </c>
      <c r="I134" t="s">
        <v>500</v>
      </c>
      <c r="J134" t="s">
        <v>417</v>
      </c>
      <c r="K134">
        <v>1689021754</v>
      </c>
      <c r="L134">
        <f t="shared" si="138"/>
        <v>7.0603480315714635E-3</v>
      </c>
      <c r="M134">
        <f t="shared" si="139"/>
        <v>7.0603480315714631</v>
      </c>
      <c r="N134">
        <f t="shared" si="140"/>
        <v>64.084877980204553</v>
      </c>
      <c r="O134">
        <f t="shared" si="141"/>
        <v>816.16099999999994</v>
      </c>
      <c r="P134">
        <f t="shared" si="142"/>
        <v>586.40350980399421</v>
      </c>
      <c r="Q134">
        <f t="shared" si="143"/>
        <v>58.175149452826282</v>
      </c>
      <c r="R134">
        <f t="shared" si="144"/>
        <v>80.968628868606984</v>
      </c>
      <c r="S134">
        <f t="shared" si="145"/>
        <v>0.52143661968669297</v>
      </c>
      <c r="T134">
        <f t="shared" si="146"/>
        <v>2.9128465371956294</v>
      </c>
      <c r="U134">
        <f t="shared" si="147"/>
        <v>0.47458614757647172</v>
      </c>
      <c r="V134">
        <f t="shared" si="148"/>
        <v>0.30047409862147811</v>
      </c>
      <c r="W134">
        <f t="shared" si="149"/>
        <v>289.54195057754953</v>
      </c>
      <c r="X134">
        <f t="shared" si="150"/>
        <v>30.400258103203967</v>
      </c>
      <c r="Y134">
        <f t="shared" si="151"/>
        <v>30.082100000000001</v>
      </c>
      <c r="Z134">
        <f t="shared" si="152"/>
        <v>4.2805823500253286</v>
      </c>
      <c r="AA134">
        <f t="shared" si="153"/>
        <v>65.072586503931291</v>
      </c>
      <c r="AB134">
        <f t="shared" si="154"/>
        <v>2.8577974290655002</v>
      </c>
      <c r="AC134">
        <f t="shared" si="155"/>
        <v>4.3917071421355738</v>
      </c>
      <c r="AD134">
        <f t="shared" si="156"/>
        <v>1.4227849209598284</v>
      </c>
      <c r="AE134">
        <f t="shared" si="157"/>
        <v>-311.36134819230153</v>
      </c>
      <c r="AF134">
        <f t="shared" si="158"/>
        <v>70.227117459943429</v>
      </c>
      <c r="AG134">
        <f t="shared" si="159"/>
        <v>5.3770044788542171</v>
      </c>
      <c r="AH134">
        <f t="shared" si="160"/>
        <v>53.784724324045612</v>
      </c>
      <c r="AI134">
        <v>0</v>
      </c>
      <c r="AJ134">
        <v>0</v>
      </c>
      <c r="AK134">
        <f t="shared" si="161"/>
        <v>1</v>
      </c>
      <c r="AL134">
        <f t="shared" si="162"/>
        <v>0</v>
      </c>
      <c r="AM134">
        <f t="shared" si="163"/>
        <v>51767.50652053763</v>
      </c>
      <c r="AN134" t="s">
        <v>418</v>
      </c>
      <c r="AO134">
        <v>10021</v>
      </c>
      <c r="AP134">
        <v>177.53923076923081</v>
      </c>
      <c r="AQ134">
        <v>655.56</v>
      </c>
      <c r="AR134">
        <f t="shared" si="164"/>
        <v>0.72917928066198234</v>
      </c>
      <c r="AS134">
        <v>-3.1115002560329539</v>
      </c>
      <c r="AT134" t="s">
        <v>1018</v>
      </c>
      <c r="AU134">
        <v>8035.87</v>
      </c>
      <c r="AV134">
        <v>782.78107692307697</v>
      </c>
      <c r="AW134">
        <v>1332.634460686834</v>
      </c>
      <c r="AX134">
        <f t="shared" si="165"/>
        <v>0.41260630726926051</v>
      </c>
      <c r="AY134">
        <v>0.5</v>
      </c>
      <c r="AZ134">
        <f t="shared" si="166"/>
        <v>1513.0583992629788</v>
      </c>
      <c r="BA134">
        <f t="shared" si="167"/>
        <v>64.084877980204553</v>
      </c>
      <c r="BB134">
        <f t="shared" si="168"/>
        <v>312.14871940131803</v>
      </c>
      <c r="BC134">
        <f t="shared" si="169"/>
        <v>4.4410961446676035E-2</v>
      </c>
      <c r="BD134">
        <f t="shared" si="170"/>
        <v>-0.5080721538131866</v>
      </c>
      <c r="BE134">
        <f t="shared" si="171"/>
        <v>205.8656114047142</v>
      </c>
      <c r="BF134" t="s">
        <v>1019</v>
      </c>
      <c r="BG134">
        <v>602.14</v>
      </c>
      <c r="BH134">
        <f t="shared" si="172"/>
        <v>602.14</v>
      </c>
      <c r="BI134">
        <f t="shared" si="173"/>
        <v>0.54815816507577053</v>
      </c>
      <c r="BJ134">
        <f t="shared" si="174"/>
        <v>0.75271396753202957</v>
      </c>
      <c r="BK134">
        <f t="shared" si="175"/>
        <v>-12.674549994137674</v>
      </c>
      <c r="BL134">
        <f t="shared" si="176"/>
        <v>0.47602428745461955</v>
      </c>
      <c r="BM134">
        <f t="shared" si="177"/>
        <v>-1.4164122236286554</v>
      </c>
      <c r="BN134">
        <f t="shared" si="178"/>
        <v>0.57901142704076325</v>
      </c>
      <c r="BO134">
        <f t="shared" si="179"/>
        <v>0.42098857295923675</v>
      </c>
      <c r="BP134">
        <v>22701</v>
      </c>
      <c r="BQ134">
        <v>290.00000000000011</v>
      </c>
      <c r="BR134">
        <v>1142.75</v>
      </c>
      <c r="BS134">
        <v>295</v>
      </c>
      <c r="BT134">
        <v>8035.87</v>
      </c>
      <c r="BU134">
        <v>1145.1600000000001</v>
      </c>
      <c r="BV134">
        <v>-2.41</v>
      </c>
      <c r="BW134">
        <v>300.00000000000011</v>
      </c>
      <c r="BX134">
        <v>19.399999999999999</v>
      </c>
      <c r="BY134">
        <v>1332.634460686834</v>
      </c>
      <c r="BZ134">
        <v>4.76879990176863</v>
      </c>
      <c r="CA134">
        <v>-150.65458488499959</v>
      </c>
      <c r="CB134">
        <v>3.520263622030865</v>
      </c>
      <c r="CC134">
        <v>0.98494244173474033</v>
      </c>
      <c r="CD134">
        <v>-4.1496867630700816E-3</v>
      </c>
      <c r="CE134">
        <v>289.99999999999989</v>
      </c>
      <c r="CF134">
        <v>1135.6099999999999</v>
      </c>
      <c r="CG134">
        <v>635</v>
      </c>
      <c r="CH134">
        <v>8026.76</v>
      </c>
      <c r="CI134">
        <v>1144.94</v>
      </c>
      <c r="CJ134">
        <v>-9.33</v>
      </c>
      <c r="CX134">
        <f t="shared" si="180"/>
        <v>1799.85</v>
      </c>
      <c r="CY134">
        <f t="shared" si="181"/>
        <v>1513.0583992629788</v>
      </c>
      <c r="CZ134">
        <f t="shared" si="182"/>
        <v>0.8406580544284129</v>
      </c>
      <c r="DA134">
        <f t="shared" si="183"/>
        <v>0.16087004504683697</v>
      </c>
      <c r="DB134">
        <v>6</v>
      </c>
      <c r="DC134">
        <v>0.5</v>
      </c>
      <c r="DD134" t="s">
        <v>421</v>
      </c>
      <c r="DE134">
        <v>2</v>
      </c>
      <c r="DF134">
        <v>1689021754</v>
      </c>
      <c r="DG134">
        <v>816.16099999999994</v>
      </c>
      <c r="DH134">
        <v>899.97</v>
      </c>
      <c r="DI134">
        <v>28.8065</v>
      </c>
      <c r="DJ134">
        <v>20.578900000000001</v>
      </c>
      <c r="DK134">
        <v>815</v>
      </c>
      <c r="DL134">
        <v>28.547699999999999</v>
      </c>
      <c r="DM134">
        <v>500.04599999999999</v>
      </c>
      <c r="DN134">
        <v>99.1066</v>
      </c>
      <c r="DO134">
        <v>0.100087</v>
      </c>
      <c r="DP134">
        <v>30.529299999999999</v>
      </c>
      <c r="DQ134">
        <v>30.082100000000001</v>
      </c>
      <c r="DR134">
        <v>999.9</v>
      </c>
      <c r="DS134">
        <v>0</v>
      </c>
      <c r="DT134">
        <v>0</v>
      </c>
      <c r="DU134">
        <v>9994.3799999999992</v>
      </c>
      <c r="DV134">
        <v>0</v>
      </c>
      <c r="DW134">
        <v>1406.52</v>
      </c>
      <c r="DX134">
        <v>-83.809799999999996</v>
      </c>
      <c r="DY134">
        <v>840.36900000000003</v>
      </c>
      <c r="DZ134">
        <v>918.88</v>
      </c>
      <c r="EA134">
        <v>8.2276500000000006</v>
      </c>
      <c r="EB134">
        <v>899.97</v>
      </c>
      <c r="EC134">
        <v>20.578900000000001</v>
      </c>
      <c r="ED134">
        <v>2.8549199999999999</v>
      </c>
      <c r="EE134">
        <v>2.0394999999999999</v>
      </c>
      <c r="EF134">
        <v>23.205100000000002</v>
      </c>
      <c r="EG134">
        <v>17.7544</v>
      </c>
      <c r="EH134">
        <v>1799.85</v>
      </c>
      <c r="EI134">
        <v>0.97800500000000001</v>
      </c>
      <c r="EJ134">
        <v>2.1994699999999999E-2</v>
      </c>
      <c r="EK134">
        <v>0</v>
      </c>
      <c r="EL134">
        <v>782.62</v>
      </c>
      <c r="EM134">
        <v>5.0011200000000002</v>
      </c>
      <c r="EN134">
        <v>15613.1</v>
      </c>
      <c r="EO134">
        <v>17209.5</v>
      </c>
      <c r="EP134">
        <v>47.5</v>
      </c>
      <c r="EQ134">
        <v>49.186999999999998</v>
      </c>
      <c r="ER134">
        <v>48.5</v>
      </c>
      <c r="ES134">
        <v>48.125</v>
      </c>
      <c r="ET134">
        <v>48.186999999999998</v>
      </c>
      <c r="EU134">
        <v>1755.37</v>
      </c>
      <c r="EV134">
        <v>39.479999999999997</v>
      </c>
      <c r="EW134">
        <v>0</v>
      </c>
      <c r="EX134">
        <v>106.7999999523163</v>
      </c>
      <c r="EY134">
        <v>0</v>
      </c>
      <c r="EZ134">
        <v>782.78107692307697</v>
      </c>
      <c r="FA134">
        <v>-1.366153838120487</v>
      </c>
      <c r="FB134">
        <v>-890.35213627404437</v>
      </c>
      <c r="FC134">
        <v>15890.16153846154</v>
      </c>
      <c r="FD134">
        <v>15</v>
      </c>
      <c r="FE134">
        <v>1689021723</v>
      </c>
      <c r="FF134" t="s">
        <v>1020</v>
      </c>
      <c r="FG134">
        <v>1689021715</v>
      </c>
      <c r="FH134">
        <v>1689021723</v>
      </c>
      <c r="FI134">
        <v>131</v>
      </c>
      <c r="FJ134">
        <v>-0.36099999999999999</v>
      </c>
      <c r="FK134">
        <v>-2E-3</v>
      </c>
      <c r="FL134">
        <v>1.2050000000000001</v>
      </c>
      <c r="FM134">
        <v>0.218</v>
      </c>
      <c r="FN134">
        <v>900</v>
      </c>
      <c r="FO134">
        <v>20</v>
      </c>
      <c r="FP134">
        <v>0.03</v>
      </c>
      <c r="FQ134">
        <v>0.02</v>
      </c>
      <c r="FR134">
        <v>63.986794351324953</v>
      </c>
      <c r="FS134">
        <v>-0.3555266943361497</v>
      </c>
      <c r="FT134">
        <v>0.1051079642346187</v>
      </c>
      <c r="FU134">
        <v>1</v>
      </c>
      <c r="FV134">
        <v>0.5236596797715003</v>
      </c>
      <c r="FW134">
        <v>-1.677111298989074E-2</v>
      </c>
      <c r="FX134">
        <v>2.4466292484664528E-3</v>
      </c>
      <c r="FY134">
        <v>1</v>
      </c>
      <c r="FZ134">
        <v>2</v>
      </c>
      <c r="GA134">
        <v>2</v>
      </c>
      <c r="GB134" t="s">
        <v>423</v>
      </c>
      <c r="GC134">
        <v>2.9230999999999998</v>
      </c>
      <c r="GD134">
        <v>2.8273299999999999</v>
      </c>
      <c r="GE134">
        <v>0.14611099999999999</v>
      </c>
      <c r="GF134">
        <v>0.15635099999999999</v>
      </c>
      <c r="GG134">
        <v>0.126639</v>
      </c>
      <c r="GH134">
        <v>0.10055</v>
      </c>
      <c r="GI134">
        <v>27758.400000000001</v>
      </c>
      <c r="GJ134">
        <v>22248.2</v>
      </c>
      <c r="GK134">
        <v>31289.3</v>
      </c>
      <c r="GL134">
        <v>26020.799999999999</v>
      </c>
      <c r="GM134">
        <v>37466.400000000001</v>
      </c>
      <c r="GN134">
        <v>31750.1</v>
      </c>
      <c r="GO134">
        <v>46462.6</v>
      </c>
      <c r="GP134">
        <v>37833.1</v>
      </c>
      <c r="GQ134">
        <v>1.9015200000000001</v>
      </c>
      <c r="GR134">
        <v>1.6899</v>
      </c>
      <c r="GS134">
        <v>-3.3974600000000001E-2</v>
      </c>
      <c r="GT134">
        <v>0</v>
      </c>
      <c r="GU134">
        <v>30.634699999999999</v>
      </c>
      <c r="GV134">
        <v>999.9</v>
      </c>
      <c r="GW134">
        <v>38.6</v>
      </c>
      <c r="GX134">
        <v>46.5</v>
      </c>
      <c r="GY134">
        <v>40.539400000000001</v>
      </c>
      <c r="GZ134">
        <v>62.184899999999999</v>
      </c>
      <c r="HA134">
        <v>19.791699999999999</v>
      </c>
      <c r="HB134">
        <v>1</v>
      </c>
      <c r="HC134">
        <v>0.65447200000000005</v>
      </c>
      <c r="HD134">
        <v>4.1129899999999999</v>
      </c>
      <c r="HE134">
        <v>20.2469</v>
      </c>
      <c r="HF134">
        <v>5.2234299999999996</v>
      </c>
      <c r="HG134">
        <v>12.061</v>
      </c>
      <c r="HH134">
        <v>4.9915500000000002</v>
      </c>
      <c r="HI134">
        <v>3.2919999999999998</v>
      </c>
      <c r="HJ134">
        <v>9999</v>
      </c>
      <c r="HK134">
        <v>9999</v>
      </c>
      <c r="HL134">
        <v>9999</v>
      </c>
      <c r="HM134">
        <v>467.2</v>
      </c>
      <c r="HN134">
        <v>1.8669100000000001</v>
      </c>
      <c r="HO134">
        <v>1.87039</v>
      </c>
      <c r="HP134">
        <v>1.8730199999999999</v>
      </c>
      <c r="HQ134">
        <v>1.87391</v>
      </c>
      <c r="HR134">
        <v>1.8706</v>
      </c>
      <c r="HS134">
        <v>1.86904</v>
      </c>
      <c r="HT134">
        <v>1.87046</v>
      </c>
      <c r="HU134">
        <v>1.87344</v>
      </c>
      <c r="HV134">
        <v>0</v>
      </c>
      <c r="HW134">
        <v>0</v>
      </c>
      <c r="HX134">
        <v>0</v>
      </c>
      <c r="HY134">
        <v>0</v>
      </c>
      <c r="HZ134" t="s">
        <v>424</v>
      </c>
      <c r="IA134" t="s">
        <v>425</v>
      </c>
      <c r="IB134" t="s">
        <v>426</v>
      </c>
      <c r="IC134" t="s">
        <v>426</v>
      </c>
      <c r="ID134" t="s">
        <v>426</v>
      </c>
      <c r="IE134" t="s">
        <v>426</v>
      </c>
      <c r="IF134">
        <v>0</v>
      </c>
      <c r="IG134">
        <v>100</v>
      </c>
      <c r="IH134">
        <v>100</v>
      </c>
      <c r="II134">
        <v>1.161</v>
      </c>
      <c r="IJ134">
        <v>0.25879999999999997</v>
      </c>
      <c r="IK134">
        <v>-9.3196120490149609E-2</v>
      </c>
      <c r="IL134">
        <v>3.042515301972944E-3</v>
      </c>
      <c r="IM134">
        <v>-2.5091471490852929E-6</v>
      </c>
      <c r="IN134">
        <v>8.1339755115576286E-10</v>
      </c>
      <c r="IO134">
        <v>0.25888035197322151</v>
      </c>
      <c r="IP134">
        <v>0</v>
      </c>
      <c r="IQ134">
        <v>0</v>
      </c>
      <c r="IR134">
        <v>0</v>
      </c>
      <c r="IS134">
        <v>3</v>
      </c>
      <c r="IT134">
        <v>2004</v>
      </c>
      <c r="IU134">
        <v>2</v>
      </c>
      <c r="IV134">
        <v>22</v>
      </c>
      <c r="IW134">
        <v>0.7</v>
      </c>
      <c r="IX134">
        <v>0.5</v>
      </c>
      <c r="IY134">
        <v>1.9824200000000001</v>
      </c>
      <c r="IZ134">
        <v>2.6098599999999998</v>
      </c>
      <c r="JA134">
        <v>1.64917</v>
      </c>
      <c r="JB134">
        <v>2.34131</v>
      </c>
      <c r="JC134">
        <v>1.5991200000000001</v>
      </c>
      <c r="JD134">
        <v>2.3571800000000001</v>
      </c>
      <c r="JE134">
        <v>48.950299999999999</v>
      </c>
      <c r="JF134">
        <v>24.087499999999999</v>
      </c>
      <c r="JG134">
        <v>18</v>
      </c>
      <c r="JH134">
        <v>517.33699999999999</v>
      </c>
      <c r="JI134">
        <v>426.48599999999999</v>
      </c>
      <c r="JJ134">
        <v>26.998000000000001</v>
      </c>
      <c r="JK134">
        <v>35.082999999999998</v>
      </c>
      <c r="JL134">
        <v>29.9999</v>
      </c>
      <c r="JM134">
        <v>35.149099999999997</v>
      </c>
      <c r="JN134">
        <v>35.147199999999998</v>
      </c>
      <c r="JO134">
        <v>39.671399999999998</v>
      </c>
      <c r="JP134">
        <v>86.326499999999996</v>
      </c>
      <c r="JQ134">
        <v>0</v>
      </c>
      <c r="JR134">
        <v>26.938500000000001</v>
      </c>
      <c r="JS134">
        <v>900</v>
      </c>
      <c r="JT134">
        <v>20.401900000000001</v>
      </c>
      <c r="JU134">
        <v>99.167699999999996</v>
      </c>
      <c r="JV134">
        <v>98.935100000000006</v>
      </c>
    </row>
    <row r="135" spans="1:282" x14ac:dyDescent="0.25">
      <c r="A135">
        <v>119</v>
      </c>
      <c r="B135">
        <v>1689021882.5</v>
      </c>
      <c r="C135">
        <v>22287.400000095371</v>
      </c>
      <c r="D135" t="s">
        <v>1021</v>
      </c>
      <c r="E135" t="s">
        <v>1022</v>
      </c>
      <c r="F135" t="s">
        <v>414</v>
      </c>
      <c r="G135" t="s">
        <v>415</v>
      </c>
      <c r="H135" t="s">
        <v>500</v>
      </c>
      <c r="I135" t="s">
        <v>500</v>
      </c>
      <c r="J135" t="s">
        <v>417</v>
      </c>
      <c r="K135">
        <v>1689021882.5</v>
      </c>
      <c r="L135">
        <f t="shared" si="138"/>
        <v>6.332126910597603E-3</v>
      </c>
      <c r="M135">
        <f t="shared" si="139"/>
        <v>6.3321269105976032</v>
      </c>
      <c r="N135">
        <f t="shared" si="140"/>
        <v>62.825292601106412</v>
      </c>
      <c r="O135">
        <f t="shared" si="141"/>
        <v>1116</v>
      </c>
      <c r="P135">
        <f t="shared" si="142"/>
        <v>859.14601125131401</v>
      </c>
      <c r="Q135">
        <f t="shared" si="143"/>
        <v>85.234561282845632</v>
      </c>
      <c r="R135">
        <f t="shared" si="144"/>
        <v>110.71665251999998</v>
      </c>
      <c r="S135">
        <f t="shared" si="145"/>
        <v>0.46265229598424185</v>
      </c>
      <c r="T135">
        <f t="shared" si="146"/>
        <v>2.9111226142023963</v>
      </c>
      <c r="U135">
        <f t="shared" si="147"/>
        <v>0.42534542776629852</v>
      </c>
      <c r="V135">
        <f t="shared" si="148"/>
        <v>0.26894162922187365</v>
      </c>
      <c r="W135">
        <f t="shared" si="149"/>
        <v>289.57604557735516</v>
      </c>
      <c r="X135">
        <f t="shared" si="150"/>
        <v>30.727315811180382</v>
      </c>
      <c r="Y135">
        <f t="shared" si="151"/>
        <v>30.13</v>
      </c>
      <c r="Z135">
        <f t="shared" si="152"/>
        <v>4.2923666515878631</v>
      </c>
      <c r="AA135">
        <f t="shared" si="153"/>
        <v>64.812620220635381</v>
      </c>
      <c r="AB135">
        <f t="shared" si="154"/>
        <v>2.8687518019080001</v>
      </c>
      <c r="AC135">
        <f t="shared" si="155"/>
        <v>4.4262240781844389</v>
      </c>
      <c r="AD135">
        <f t="shared" si="156"/>
        <v>1.4236148496798631</v>
      </c>
      <c r="AE135">
        <f t="shared" si="157"/>
        <v>-279.24679675735428</v>
      </c>
      <c r="AF135">
        <f t="shared" si="158"/>
        <v>84.153610002482992</v>
      </c>
      <c r="AG135">
        <f t="shared" si="159"/>
        <v>6.4530104758123494</v>
      </c>
      <c r="AH135">
        <f t="shared" si="160"/>
        <v>100.93586929829621</v>
      </c>
      <c r="AI135">
        <v>0</v>
      </c>
      <c r="AJ135">
        <v>0</v>
      </c>
      <c r="AK135">
        <f t="shared" si="161"/>
        <v>1</v>
      </c>
      <c r="AL135">
        <f t="shared" si="162"/>
        <v>0</v>
      </c>
      <c r="AM135">
        <f t="shared" si="163"/>
        <v>51695.279485882631</v>
      </c>
      <c r="AN135" t="s">
        <v>418</v>
      </c>
      <c r="AO135">
        <v>10021</v>
      </c>
      <c r="AP135">
        <v>177.53923076923081</v>
      </c>
      <c r="AQ135">
        <v>655.56</v>
      </c>
      <c r="AR135">
        <f t="shared" si="164"/>
        <v>0.72917928066198234</v>
      </c>
      <c r="AS135">
        <v>-3.1115002560329539</v>
      </c>
      <c r="AT135" t="s">
        <v>1023</v>
      </c>
      <c r="AU135">
        <v>8038.54</v>
      </c>
      <c r="AV135">
        <v>775.65342307692299</v>
      </c>
      <c r="AW135">
        <v>1326.670465580504</v>
      </c>
      <c r="AX135">
        <f t="shared" si="165"/>
        <v>0.41533828995166144</v>
      </c>
      <c r="AY135">
        <v>0.5</v>
      </c>
      <c r="AZ135">
        <f t="shared" si="166"/>
        <v>1513.2350992628783</v>
      </c>
      <c r="BA135">
        <f t="shared" si="167"/>
        <v>62.825292601106412</v>
      </c>
      <c r="BB135">
        <f t="shared" si="168"/>
        <v>314.25223921133829</v>
      </c>
      <c r="BC135">
        <f t="shared" si="169"/>
        <v>4.3573396420198196E-2</v>
      </c>
      <c r="BD135">
        <f t="shared" si="170"/>
        <v>-0.50586071145169409</v>
      </c>
      <c r="BE135">
        <f t="shared" si="171"/>
        <v>205.72274526980684</v>
      </c>
      <c r="BF135" t="s">
        <v>1024</v>
      </c>
      <c r="BG135">
        <v>599.77</v>
      </c>
      <c r="BH135">
        <f t="shared" si="172"/>
        <v>599.77</v>
      </c>
      <c r="BI135">
        <f t="shared" si="173"/>
        <v>0.54791335485292358</v>
      </c>
      <c r="BJ135">
        <f t="shared" si="174"/>
        <v>0.75803644184425967</v>
      </c>
      <c r="BK135">
        <f t="shared" si="175"/>
        <v>-12.029225050734979</v>
      </c>
      <c r="BL135">
        <f t="shared" si="176"/>
        <v>0.47950749732607945</v>
      </c>
      <c r="BM135">
        <f t="shared" si="177"/>
        <v>-1.4039357885232786</v>
      </c>
      <c r="BN135">
        <f t="shared" si="178"/>
        <v>0.58614776032496585</v>
      </c>
      <c r="BO135">
        <f t="shared" si="179"/>
        <v>0.41385223967503415</v>
      </c>
      <c r="BP135">
        <v>22703</v>
      </c>
      <c r="BQ135">
        <v>290.00000000000011</v>
      </c>
      <c r="BR135">
        <v>1135.74</v>
      </c>
      <c r="BS135">
        <v>295</v>
      </c>
      <c r="BT135">
        <v>8038.54</v>
      </c>
      <c r="BU135">
        <v>1138.31</v>
      </c>
      <c r="BV135">
        <v>-2.57</v>
      </c>
      <c r="BW135">
        <v>300.00000000000011</v>
      </c>
      <c r="BX135">
        <v>19.3</v>
      </c>
      <c r="BY135">
        <v>1326.670465580504</v>
      </c>
      <c r="BZ135">
        <v>4.4819876190819921</v>
      </c>
      <c r="CA135">
        <v>-151.41437259579939</v>
      </c>
      <c r="CB135">
        <v>3.3096805051547542</v>
      </c>
      <c r="CC135">
        <v>0.98679846481438405</v>
      </c>
      <c r="CD135">
        <v>-4.1506275862069047E-3</v>
      </c>
      <c r="CE135">
        <v>289.99999999999989</v>
      </c>
      <c r="CF135">
        <v>1128.51</v>
      </c>
      <c r="CG135">
        <v>635</v>
      </c>
      <c r="CH135">
        <v>8029.57</v>
      </c>
      <c r="CI135">
        <v>1138.0999999999999</v>
      </c>
      <c r="CJ135">
        <v>-9.59</v>
      </c>
      <c r="CX135">
        <f t="shared" si="180"/>
        <v>1800.06</v>
      </c>
      <c r="CY135">
        <f t="shared" si="181"/>
        <v>1513.2350992628783</v>
      </c>
      <c r="CZ135">
        <f t="shared" si="182"/>
        <v>0.84065814431901065</v>
      </c>
      <c r="DA135">
        <f t="shared" si="183"/>
        <v>0.16087021853569058</v>
      </c>
      <c r="DB135">
        <v>6</v>
      </c>
      <c r="DC135">
        <v>0.5</v>
      </c>
      <c r="DD135" t="s">
        <v>421</v>
      </c>
      <c r="DE135">
        <v>2</v>
      </c>
      <c r="DF135">
        <v>1689021882.5</v>
      </c>
      <c r="DG135">
        <v>1116</v>
      </c>
      <c r="DH135">
        <v>1199.8699999999999</v>
      </c>
      <c r="DI135">
        <v>28.916399999999999</v>
      </c>
      <c r="DJ135">
        <v>21.537600000000001</v>
      </c>
      <c r="DK135">
        <v>1114.77</v>
      </c>
      <c r="DL135">
        <v>28.656099999999999</v>
      </c>
      <c r="DM135">
        <v>500.00200000000001</v>
      </c>
      <c r="DN135">
        <v>99.108099999999993</v>
      </c>
      <c r="DO135">
        <v>0.10037</v>
      </c>
      <c r="DP135">
        <v>30.6662</v>
      </c>
      <c r="DQ135">
        <v>30.13</v>
      </c>
      <c r="DR135">
        <v>999.9</v>
      </c>
      <c r="DS135">
        <v>0</v>
      </c>
      <c r="DT135">
        <v>0</v>
      </c>
      <c r="DU135">
        <v>9984.3799999999992</v>
      </c>
      <c r="DV135">
        <v>0</v>
      </c>
      <c r="DW135">
        <v>1620.87</v>
      </c>
      <c r="DX135">
        <v>-83.872799999999998</v>
      </c>
      <c r="DY135">
        <v>1149.23</v>
      </c>
      <c r="DZ135">
        <v>1226.29</v>
      </c>
      <c r="EA135">
        <v>7.3788299999999998</v>
      </c>
      <c r="EB135">
        <v>1199.8699999999999</v>
      </c>
      <c r="EC135">
        <v>21.537600000000001</v>
      </c>
      <c r="ED135">
        <v>2.86585</v>
      </c>
      <c r="EE135">
        <v>2.1345499999999999</v>
      </c>
      <c r="EF135">
        <v>23.2684</v>
      </c>
      <c r="EG135">
        <v>18.479399999999998</v>
      </c>
      <c r="EH135">
        <v>1800.06</v>
      </c>
      <c r="EI135">
        <v>0.97800200000000004</v>
      </c>
      <c r="EJ135">
        <v>2.1998400000000001E-2</v>
      </c>
      <c r="EK135">
        <v>0</v>
      </c>
      <c r="EL135">
        <v>775.35</v>
      </c>
      <c r="EM135">
        <v>5.0011200000000002</v>
      </c>
      <c r="EN135">
        <v>15746.8</v>
      </c>
      <c r="EO135">
        <v>17211.5</v>
      </c>
      <c r="EP135">
        <v>46.811999999999998</v>
      </c>
      <c r="EQ135">
        <v>48.25</v>
      </c>
      <c r="ER135">
        <v>47.811999999999998</v>
      </c>
      <c r="ES135">
        <v>47.311999999999998</v>
      </c>
      <c r="ET135">
        <v>47.561999999999998</v>
      </c>
      <c r="EU135">
        <v>1755.57</v>
      </c>
      <c r="EV135">
        <v>39.49</v>
      </c>
      <c r="EW135">
        <v>0</v>
      </c>
      <c r="EX135">
        <v>126.5999999046326</v>
      </c>
      <c r="EY135">
        <v>0</v>
      </c>
      <c r="EZ135">
        <v>775.65342307692299</v>
      </c>
      <c r="FA135">
        <v>-2.1285128238764819</v>
      </c>
      <c r="FB135">
        <v>4.5435897771357148</v>
      </c>
      <c r="FC135">
        <v>15745.042307692311</v>
      </c>
      <c r="FD135">
        <v>15</v>
      </c>
      <c r="FE135">
        <v>1689021849.5</v>
      </c>
      <c r="FF135" t="s">
        <v>1025</v>
      </c>
      <c r="FG135">
        <v>1689021839.5</v>
      </c>
      <c r="FH135">
        <v>1689021849.5</v>
      </c>
      <c r="FI135">
        <v>132</v>
      </c>
      <c r="FJ135">
        <v>-7.8E-2</v>
      </c>
      <c r="FK135">
        <v>1E-3</v>
      </c>
      <c r="FL135">
        <v>1.272</v>
      </c>
      <c r="FM135">
        <v>0.22600000000000001</v>
      </c>
      <c r="FN135">
        <v>1200</v>
      </c>
      <c r="FO135">
        <v>21</v>
      </c>
      <c r="FP135">
        <v>0.03</v>
      </c>
      <c r="FQ135">
        <v>0.01</v>
      </c>
      <c r="FR135">
        <v>62.970229083956561</v>
      </c>
      <c r="FS135">
        <v>-0.39775640775856169</v>
      </c>
      <c r="FT135">
        <v>9.7027176817613608E-2</v>
      </c>
      <c r="FU135">
        <v>1</v>
      </c>
      <c r="FV135">
        <v>0.463503764174588</v>
      </c>
      <c r="FW135">
        <v>2.4540617942903169E-2</v>
      </c>
      <c r="FX135">
        <v>2.07095710923893E-3</v>
      </c>
      <c r="FY135">
        <v>1</v>
      </c>
      <c r="FZ135">
        <v>2</v>
      </c>
      <c r="GA135">
        <v>2</v>
      </c>
      <c r="GB135" t="s">
        <v>423</v>
      </c>
      <c r="GC135">
        <v>2.9231199999999999</v>
      </c>
      <c r="GD135">
        <v>2.8275299999999999</v>
      </c>
      <c r="GE135">
        <v>0.17919399999999999</v>
      </c>
      <c r="GF135">
        <v>0.18803900000000001</v>
      </c>
      <c r="GG135">
        <v>0.12699299999999999</v>
      </c>
      <c r="GH135">
        <v>0.103862</v>
      </c>
      <c r="GI135">
        <v>26687.3</v>
      </c>
      <c r="GJ135">
        <v>21414.2</v>
      </c>
      <c r="GK135">
        <v>31296.799999999999</v>
      </c>
      <c r="GL135">
        <v>26024.400000000001</v>
      </c>
      <c r="GM135">
        <v>37460.400000000001</v>
      </c>
      <c r="GN135">
        <v>31637.7</v>
      </c>
      <c r="GO135">
        <v>46473.8</v>
      </c>
      <c r="GP135">
        <v>37838</v>
      </c>
      <c r="GQ135">
        <v>1.9020999999999999</v>
      </c>
      <c r="GR135">
        <v>1.6946000000000001</v>
      </c>
      <c r="GS135">
        <v>4.7087700000000001E-3</v>
      </c>
      <c r="GT135">
        <v>0</v>
      </c>
      <c r="GU135">
        <v>30.0534</v>
      </c>
      <c r="GV135">
        <v>999.9</v>
      </c>
      <c r="GW135">
        <v>38.200000000000003</v>
      </c>
      <c r="GX135">
        <v>46.5</v>
      </c>
      <c r="GY135">
        <v>40.119700000000002</v>
      </c>
      <c r="GZ135">
        <v>62.374899999999997</v>
      </c>
      <c r="HA135">
        <v>19.635400000000001</v>
      </c>
      <c r="HB135">
        <v>1</v>
      </c>
      <c r="HC135">
        <v>0.64238799999999996</v>
      </c>
      <c r="HD135">
        <v>3.6983799999999998</v>
      </c>
      <c r="HE135">
        <v>20.256399999999999</v>
      </c>
      <c r="HF135">
        <v>5.2237299999999998</v>
      </c>
      <c r="HG135">
        <v>12.0633</v>
      </c>
      <c r="HH135">
        <v>4.9924499999999998</v>
      </c>
      <c r="HI135">
        <v>3.2919999999999998</v>
      </c>
      <c r="HJ135">
        <v>9999</v>
      </c>
      <c r="HK135">
        <v>9999</v>
      </c>
      <c r="HL135">
        <v>9999</v>
      </c>
      <c r="HM135">
        <v>467.2</v>
      </c>
      <c r="HN135">
        <v>1.8669100000000001</v>
      </c>
      <c r="HO135">
        <v>1.87036</v>
      </c>
      <c r="HP135">
        <v>1.8730199999999999</v>
      </c>
      <c r="HQ135">
        <v>1.8738999999999999</v>
      </c>
      <c r="HR135">
        <v>1.87059</v>
      </c>
      <c r="HS135">
        <v>1.86903</v>
      </c>
      <c r="HT135">
        <v>1.87046</v>
      </c>
      <c r="HU135">
        <v>1.87347</v>
      </c>
      <c r="HV135">
        <v>0</v>
      </c>
      <c r="HW135">
        <v>0</v>
      </c>
      <c r="HX135">
        <v>0</v>
      </c>
      <c r="HY135">
        <v>0</v>
      </c>
      <c r="HZ135" t="s">
        <v>424</v>
      </c>
      <c r="IA135" t="s">
        <v>425</v>
      </c>
      <c r="IB135" t="s">
        <v>426</v>
      </c>
      <c r="IC135" t="s">
        <v>426</v>
      </c>
      <c r="ID135" t="s">
        <v>426</v>
      </c>
      <c r="IE135" t="s">
        <v>426</v>
      </c>
      <c r="IF135">
        <v>0</v>
      </c>
      <c r="IG135">
        <v>100</v>
      </c>
      <c r="IH135">
        <v>100</v>
      </c>
      <c r="II135">
        <v>1.23</v>
      </c>
      <c r="IJ135">
        <v>0.26029999999999998</v>
      </c>
      <c r="IK135">
        <v>-0.17098769738828409</v>
      </c>
      <c r="IL135">
        <v>3.042515301972944E-3</v>
      </c>
      <c r="IM135">
        <v>-2.5091471490852929E-6</v>
      </c>
      <c r="IN135">
        <v>8.1339755115576286E-10</v>
      </c>
      <c r="IO135">
        <v>0.26033803683487022</v>
      </c>
      <c r="IP135">
        <v>0</v>
      </c>
      <c r="IQ135">
        <v>0</v>
      </c>
      <c r="IR135">
        <v>0</v>
      </c>
      <c r="IS135">
        <v>3</v>
      </c>
      <c r="IT135">
        <v>2004</v>
      </c>
      <c r="IU135">
        <v>2</v>
      </c>
      <c r="IV135">
        <v>22</v>
      </c>
      <c r="IW135">
        <v>0.7</v>
      </c>
      <c r="IX135">
        <v>0.6</v>
      </c>
      <c r="IY135">
        <v>2.52441</v>
      </c>
      <c r="IZ135">
        <v>2.6074199999999998</v>
      </c>
      <c r="JA135">
        <v>1.64917</v>
      </c>
      <c r="JB135">
        <v>2.34131</v>
      </c>
      <c r="JC135">
        <v>1.5991200000000001</v>
      </c>
      <c r="JD135">
        <v>2.36938</v>
      </c>
      <c r="JE135">
        <v>48.825800000000001</v>
      </c>
      <c r="JF135">
        <v>24.096299999999999</v>
      </c>
      <c r="JG135">
        <v>18</v>
      </c>
      <c r="JH135">
        <v>517.19399999999996</v>
      </c>
      <c r="JI135">
        <v>429.06</v>
      </c>
      <c r="JJ135">
        <v>27.423400000000001</v>
      </c>
      <c r="JK135">
        <v>34.961599999999997</v>
      </c>
      <c r="JL135">
        <v>29.998899999999999</v>
      </c>
      <c r="JM135">
        <v>35.0792</v>
      </c>
      <c r="JN135">
        <v>35.080500000000001</v>
      </c>
      <c r="JO135">
        <v>50.503799999999998</v>
      </c>
      <c r="JP135">
        <v>84.004300000000001</v>
      </c>
      <c r="JQ135">
        <v>0</v>
      </c>
      <c r="JR135">
        <v>27.334900000000001</v>
      </c>
      <c r="JS135">
        <v>1200</v>
      </c>
      <c r="JT135">
        <v>21.452100000000002</v>
      </c>
      <c r="JU135">
        <v>99.191599999999994</v>
      </c>
      <c r="JV135">
        <v>98.948300000000003</v>
      </c>
    </row>
    <row r="136" spans="1:282" x14ac:dyDescent="0.25">
      <c r="A136">
        <v>120</v>
      </c>
      <c r="B136">
        <v>1689022012.5</v>
      </c>
      <c r="C136">
        <v>22417.400000095371</v>
      </c>
      <c r="D136" t="s">
        <v>1026</v>
      </c>
      <c r="E136" t="s">
        <v>1027</v>
      </c>
      <c r="F136" t="s">
        <v>414</v>
      </c>
      <c r="G136" t="s">
        <v>415</v>
      </c>
      <c r="H136" t="s">
        <v>500</v>
      </c>
      <c r="I136" t="s">
        <v>500</v>
      </c>
      <c r="J136" t="s">
        <v>417</v>
      </c>
      <c r="K136">
        <v>1689022012.5</v>
      </c>
      <c r="L136">
        <f t="shared" si="138"/>
        <v>5.8847865337988033E-3</v>
      </c>
      <c r="M136">
        <f t="shared" si="139"/>
        <v>5.8847865337988035</v>
      </c>
      <c r="N136">
        <f t="shared" si="140"/>
        <v>61.60786553997972</v>
      </c>
      <c r="O136">
        <f t="shared" si="141"/>
        <v>1415.79</v>
      </c>
      <c r="P136">
        <f t="shared" si="142"/>
        <v>1135.3943059870132</v>
      </c>
      <c r="Q136">
        <f t="shared" si="143"/>
        <v>112.64317338205959</v>
      </c>
      <c r="R136">
        <f t="shared" si="144"/>
        <v>140.461404114537</v>
      </c>
      <c r="S136">
        <f t="shared" si="145"/>
        <v>0.4213806603111418</v>
      </c>
      <c r="T136">
        <f t="shared" si="146"/>
        <v>2.9128104073728869</v>
      </c>
      <c r="U136">
        <f t="shared" si="147"/>
        <v>0.39020928976523894</v>
      </c>
      <c r="V136">
        <f t="shared" si="148"/>
        <v>0.24648899587357537</v>
      </c>
      <c r="W136">
        <f t="shared" si="149"/>
        <v>289.57227457769966</v>
      </c>
      <c r="X136">
        <f t="shared" si="150"/>
        <v>30.517463055915037</v>
      </c>
      <c r="Y136">
        <f t="shared" si="151"/>
        <v>29.999099999999999</v>
      </c>
      <c r="Z136">
        <f t="shared" si="152"/>
        <v>4.2602295323143267</v>
      </c>
      <c r="AA136">
        <f t="shared" si="153"/>
        <v>64.852782884434092</v>
      </c>
      <c r="AB136">
        <f t="shared" si="154"/>
        <v>2.8173931163414299</v>
      </c>
      <c r="AC136">
        <f t="shared" si="155"/>
        <v>4.3442902386501263</v>
      </c>
      <c r="AD136">
        <f t="shared" si="156"/>
        <v>1.4428364159728968</v>
      </c>
      <c r="AE136">
        <f t="shared" si="157"/>
        <v>-259.51908614052724</v>
      </c>
      <c r="AF136">
        <f t="shared" si="158"/>
        <v>53.486269052787293</v>
      </c>
      <c r="AG136">
        <f t="shared" si="159"/>
        <v>4.0897571895971092</v>
      </c>
      <c r="AH136">
        <f t="shared" si="160"/>
        <v>87.62921467955681</v>
      </c>
      <c r="AI136">
        <v>0</v>
      </c>
      <c r="AJ136">
        <v>0</v>
      </c>
      <c r="AK136">
        <f t="shared" si="161"/>
        <v>1</v>
      </c>
      <c r="AL136">
        <f t="shared" si="162"/>
        <v>0</v>
      </c>
      <c r="AM136">
        <f t="shared" si="163"/>
        <v>51798.926212271072</v>
      </c>
      <c r="AN136" t="s">
        <v>418</v>
      </c>
      <c r="AO136">
        <v>10021</v>
      </c>
      <c r="AP136">
        <v>177.53923076923081</v>
      </c>
      <c r="AQ136">
        <v>655.56</v>
      </c>
      <c r="AR136">
        <f t="shared" si="164"/>
        <v>0.72917928066198234</v>
      </c>
      <c r="AS136">
        <v>-3.1115002560329539</v>
      </c>
      <c r="AT136" t="s">
        <v>1028</v>
      </c>
      <c r="AU136">
        <v>8038.17</v>
      </c>
      <c r="AV136">
        <v>768.58342307692317</v>
      </c>
      <c r="AW136">
        <v>1306.493067623391</v>
      </c>
      <c r="AX136">
        <f t="shared" si="165"/>
        <v>0.41172024396958018</v>
      </c>
      <c r="AY136">
        <v>0.5</v>
      </c>
      <c r="AZ136">
        <f t="shared" si="166"/>
        <v>1513.2179992630565</v>
      </c>
      <c r="BA136">
        <f t="shared" si="167"/>
        <v>61.60786553997972</v>
      </c>
      <c r="BB136">
        <f t="shared" si="168"/>
        <v>311.51124191787284</v>
      </c>
      <c r="BC136">
        <f t="shared" si="169"/>
        <v>4.2769360282213974E-2</v>
      </c>
      <c r="BD136">
        <f t="shared" si="170"/>
        <v>-0.49822925490717462</v>
      </c>
      <c r="BE136">
        <f t="shared" si="171"/>
        <v>205.2312483652436</v>
      </c>
      <c r="BF136" t="s">
        <v>1029</v>
      </c>
      <c r="BG136">
        <v>597.22</v>
      </c>
      <c r="BH136">
        <f t="shared" si="172"/>
        <v>597.22</v>
      </c>
      <c r="BI136">
        <f t="shared" si="173"/>
        <v>0.54288314664662707</v>
      </c>
      <c r="BJ136">
        <f t="shared" si="174"/>
        <v>0.75839569990846811</v>
      </c>
      <c r="BK136">
        <f t="shared" si="175"/>
        <v>-11.15757743612259</v>
      </c>
      <c r="BL136">
        <f t="shared" si="176"/>
        <v>0.47646735144225005</v>
      </c>
      <c r="BM136">
        <f t="shared" si="177"/>
        <v>-1.3617254929547775</v>
      </c>
      <c r="BN136">
        <f t="shared" si="178"/>
        <v>0.58930373242515832</v>
      </c>
      <c r="BO136">
        <f t="shared" si="179"/>
        <v>0.41069626757484168</v>
      </c>
      <c r="BP136">
        <v>22705</v>
      </c>
      <c r="BQ136">
        <v>290.00000000000011</v>
      </c>
      <c r="BR136">
        <v>1123.3399999999999</v>
      </c>
      <c r="BS136">
        <v>295</v>
      </c>
      <c r="BT136">
        <v>8038.17</v>
      </c>
      <c r="BU136">
        <v>1126.05</v>
      </c>
      <c r="BV136">
        <v>-2.71</v>
      </c>
      <c r="BW136">
        <v>300.00000000000011</v>
      </c>
      <c r="BX136">
        <v>19.3</v>
      </c>
      <c r="BY136">
        <v>1306.493067623391</v>
      </c>
      <c r="BZ136">
        <v>4.4150290281026159</v>
      </c>
      <c r="CA136">
        <v>-145.04458788989029</v>
      </c>
      <c r="CB136">
        <v>3.260083907019514</v>
      </c>
      <c r="CC136">
        <v>0.98605198701638497</v>
      </c>
      <c r="CD136">
        <v>-4.1505704115684123E-3</v>
      </c>
      <c r="CE136">
        <v>289.99999999999989</v>
      </c>
      <c r="CF136">
        <v>1117.8699999999999</v>
      </c>
      <c r="CG136">
        <v>645</v>
      </c>
      <c r="CH136">
        <v>8028.95</v>
      </c>
      <c r="CI136">
        <v>1125.8399999999999</v>
      </c>
      <c r="CJ136">
        <v>-7.97</v>
      </c>
      <c r="CX136">
        <f t="shared" si="180"/>
        <v>1800.04</v>
      </c>
      <c r="CY136">
        <f t="shared" si="181"/>
        <v>1513.2179992630565</v>
      </c>
      <c r="CZ136">
        <f t="shared" si="182"/>
        <v>0.84065798496869881</v>
      </c>
      <c r="DA136">
        <f t="shared" si="183"/>
        <v>0.16086991098958894</v>
      </c>
      <c r="DB136">
        <v>6</v>
      </c>
      <c r="DC136">
        <v>0.5</v>
      </c>
      <c r="DD136" t="s">
        <v>421</v>
      </c>
      <c r="DE136">
        <v>2</v>
      </c>
      <c r="DF136">
        <v>1689022012.5</v>
      </c>
      <c r="DG136">
        <v>1415.79</v>
      </c>
      <c r="DH136">
        <v>1499.71</v>
      </c>
      <c r="DI136">
        <v>28.398099999999999</v>
      </c>
      <c r="DJ136">
        <v>21.537500000000001</v>
      </c>
      <c r="DK136">
        <v>1414.34</v>
      </c>
      <c r="DL136">
        <v>28.143599999999999</v>
      </c>
      <c r="DM136">
        <v>500.04399999999998</v>
      </c>
      <c r="DN136">
        <v>99.110799999999998</v>
      </c>
      <c r="DO136">
        <v>9.9820300000000001E-2</v>
      </c>
      <c r="DP136">
        <v>30.339700000000001</v>
      </c>
      <c r="DQ136">
        <v>29.999099999999999</v>
      </c>
      <c r="DR136">
        <v>999.9</v>
      </c>
      <c r="DS136">
        <v>0</v>
      </c>
      <c r="DT136">
        <v>0</v>
      </c>
      <c r="DU136">
        <v>9993.75</v>
      </c>
      <c r="DV136">
        <v>0</v>
      </c>
      <c r="DW136">
        <v>1509.08</v>
      </c>
      <c r="DX136">
        <v>-83.924800000000005</v>
      </c>
      <c r="DY136">
        <v>1457.17</v>
      </c>
      <c r="DZ136">
        <v>1532.72</v>
      </c>
      <c r="EA136">
        <v>6.8605600000000004</v>
      </c>
      <c r="EB136">
        <v>1499.71</v>
      </c>
      <c r="EC136">
        <v>21.537500000000001</v>
      </c>
      <c r="ED136">
        <v>2.8145600000000002</v>
      </c>
      <c r="EE136">
        <v>2.1345999999999998</v>
      </c>
      <c r="EF136">
        <v>22.9697</v>
      </c>
      <c r="EG136">
        <v>18.479800000000001</v>
      </c>
      <c r="EH136">
        <v>1800.04</v>
      </c>
      <c r="EI136">
        <v>0.97800500000000001</v>
      </c>
      <c r="EJ136">
        <v>2.1994699999999999E-2</v>
      </c>
      <c r="EK136">
        <v>0</v>
      </c>
      <c r="EL136">
        <v>768.04700000000003</v>
      </c>
      <c r="EM136">
        <v>5.0011200000000002</v>
      </c>
      <c r="EN136">
        <v>15516.6</v>
      </c>
      <c r="EO136">
        <v>17211.3</v>
      </c>
      <c r="EP136">
        <v>46.75</v>
      </c>
      <c r="EQ136">
        <v>48.311999999999998</v>
      </c>
      <c r="ER136">
        <v>47.625</v>
      </c>
      <c r="ES136">
        <v>47.436999999999998</v>
      </c>
      <c r="ET136">
        <v>47.625</v>
      </c>
      <c r="EU136">
        <v>1755.56</v>
      </c>
      <c r="EV136">
        <v>39.479999999999997</v>
      </c>
      <c r="EW136">
        <v>0</v>
      </c>
      <c r="EX136">
        <v>128</v>
      </c>
      <c r="EY136">
        <v>0</v>
      </c>
      <c r="EZ136">
        <v>768.58342307692317</v>
      </c>
      <c r="FA136">
        <v>-4.5417777868412594</v>
      </c>
      <c r="FB136">
        <v>728.80683871427618</v>
      </c>
      <c r="FC136">
        <v>15425.80769230769</v>
      </c>
      <c r="FD136">
        <v>15</v>
      </c>
      <c r="FE136">
        <v>1689021958.5</v>
      </c>
      <c r="FF136" t="s">
        <v>1030</v>
      </c>
      <c r="FG136">
        <v>1689021958.5</v>
      </c>
      <c r="FH136">
        <v>1689021958.5</v>
      </c>
      <c r="FI136">
        <v>133</v>
      </c>
      <c r="FJ136">
        <v>3.3000000000000002E-2</v>
      </c>
      <c r="FK136">
        <v>-6.0000000000000001E-3</v>
      </c>
      <c r="FL136">
        <v>1.524</v>
      </c>
      <c r="FM136">
        <v>0.252</v>
      </c>
      <c r="FN136">
        <v>1500</v>
      </c>
      <c r="FO136">
        <v>22</v>
      </c>
      <c r="FP136">
        <v>0.04</v>
      </c>
      <c r="FQ136">
        <v>0.02</v>
      </c>
      <c r="FR136">
        <v>61.443840987100003</v>
      </c>
      <c r="FS136">
        <v>0.58061842784214857</v>
      </c>
      <c r="FT136">
        <v>0.18230158410128811</v>
      </c>
      <c r="FU136">
        <v>1</v>
      </c>
      <c r="FV136">
        <v>0.43407753628415757</v>
      </c>
      <c r="FW136">
        <v>-4.5289983545152297E-2</v>
      </c>
      <c r="FX136">
        <v>7.165962085110964E-3</v>
      </c>
      <c r="FY136">
        <v>1</v>
      </c>
      <c r="FZ136">
        <v>2</v>
      </c>
      <c r="GA136">
        <v>2</v>
      </c>
      <c r="GB136" t="s">
        <v>423</v>
      </c>
      <c r="GC136">
        <v>2.9233500000000001</v>
      </c>
      <c r="GD136">
        <v>2.8270599999999999</v>
      </c>
      <c r="GE136">
        <v>0.20782300000000001</v>
      </c>
      <c r="GF136">
        <v>0.21565000000000001</v>
      </c>
      <c r="GG136">
        <v>0.125445</v>
      </c>
      <c r="GH136">
        <v>0.103884</v>
      </c>
      <c r="GI136">
        <v>25761.1</v>
      </c>
      <c r="GJ136">
        <v>20687.7</v>
      </c>
      <c r="GK136">
        <v>31305.7</v>
      </c>
      <c r="GL136">
        <v>26028.9</v>
      </c>
      <c r="GM136">
        <v>37538.9</v>
      </c>
      <c r="GN136">
        <v>31643.200000000001</v>
      </c>
      <c r="GO136">
        <v>46488.7</v>
      </c>
      <c r="GP136">
        <v>37845.199999999997</v>
      </c>
      <c r="GQ136">
        <v>1.90422</v>
      </c>
      <c r="GR136">
        <v>1.6971799999999999</v>
      </c>
      <c r="GS136">
        <v>-1.9826E-2</v>
      </c>
      <c r="GT136">
        <v>0</v>
      </c>
      <c r="GU136">
        <v>30.3216</v>
      </c>
      <c r="GV136">
        <v>999.9</v>
      </c>
      <c r="GW136">
        <v>38.1</v>
      </c>
      <c r="GX136">
        <v>46.5</v>
      </c>
      <c r="GY136">
        <v>40.019500000000001</v>
      </c>
      <c r="GZ136">
        <v>62.244999999999997</v>
      </c>
      <c r="HA136">
        <v>19.599399999999999</v>
      </c>
      <c r="HB136">
        <v>1</v>
      </c>
      <c r="HC136">
        <v>0.62793200000000005</v>
      </c>
      <c r="HD136">
        <v>3.1133199999999999</v>
      </c>
      <c r="HE136">
        <v>20.319400000000002</v>
      </c>
      <c r="HF136">
        <v>5.2232799999999999</v>
      </c>
      <c r="HG136">
        <v>12.062200000000001</v>
      </c>
      <c r="HH136">
        <v>4.9923500000000001</v>
      </c>
      <c r="HI136">
        <v>3.2919999999999998</v>
      </c>
      <c r="HJ136">
        <v>9999</v>
      </c>
      <c r="HK136">
        <v>9999</v>
      </c>
      <c r="HL136">
        <v>9999</v>
      </c>
      <c r="HM136">
        <v>467.2</v>
      </c>
      <c r="HN136">
        <v>1.8668199999999999</v>
      </c>
      <c r="HO136">
        <v>1.8702700000000001</v>
      </c>
      <c r="HP136">
        <v>1.8728800000000001</v>
      </c>
      <c r="HQ136">
        <v>1.8737900000000001</v>
      </c>
      <c r="HR136">
        <v>1.8705700000000001</v>
      </c>
      <c r="HS136">
        <v>1.8689100000000001</v>
      </c>
      <c r="HT136">
        <v>1.87042</v>
      </c>
      <c r="HU136">
        <v>1.8733200000000001</v>
      </c>
      <c r="HV136">
        <v>0</v>
      </c>
      <c r="HW136">
        <v>0</v>
      </c>
      <c r="HX136">
        <v>0</v>
      </c>
      <c r="HY136">
        <v>0</v>
      </c>
      <c r="HZ136" t="s">
        <v>424</v>
      </c>
      <c r="IA136" t="s">
        <v>425</v>
      </c>
      <c r="IB136" t="s">
        <v>426</v>
      </c>
      <c r="IC136" t="s">
        <v>426</v>
      </c>
      <c r="ID136" t="s">
        <v>426</v>
      </c>
      <c r="IE136" t="s">
        <v>426</v>
      </c>
      <c r="IF136">
        <v>0</v>
      </c>
      <c r="IG136">
        <v>100</v>
      </c>
      <c r="IH136">
        <v>100</v>
      </c>
      <c r="II136">
        <v>1.45</v>
      </c>
      <c r="IJ136">
        <v>0.2545</v>
      </c>
      <c r="IK136">
        <v>-0.13734388107184231</v>
      </c>
      <c r="IL136">
        <v>3.042515301972944E-3</v>
      </c>
      <c r="IM136">
        <v>-2.5091471490852929E-6</v>
      </c>
      <c r="IN136">
        <v>8.1339755115576286E-10</v>
      </c>
      <c r="IO136">
        <v>0.25449534902407311</v>
      </c>
      <c r="IP136">
        <v>0</v>
      </c>
      <c r="IQ136">
        <v>0</v>
      </c>
      <c r="IR136">
        <v>0</v>
      </c>
      <c r="IS136">
        <v>3</v>
      </c>
      <c r="IT136">
        <v>2004</v>
      </c>
      <c r="IU136">
        <v>2</v>
      </c>
      <c r="IV136">
        <v>22</v>
      </c>
      <c r="IW136">
        <v>0.9</v>
      </c>
      <c r="IX136">
        <v>0.9</v>
      </c>
      <c r="IY136">
        <v>3.0371100000000002</v>
      </c>
      <c r="IZ136">
        <v>2.6049799999999999</v>
      </c>
      <c r="JA136">
        <v>1.64917</v>
      </c>
      <c r="JB136">
        <v>2.34009</v>
      </c>
      <c r="JC136">
        <v>1.5991200000000001</v>
      </c>
      <c r="JD136">
        <v>2.2936999999999999</v>
      </c>
      <c r="JE136">
        <v>48.701599999999999</v>
      </c>
      <c r="JF136">
        <v>16.189699999999998</v>
      </c>
      <c r="JG136">
        <v>18</v>
      </c>
      <c r="JH136">
        <v>517.92600000000004</v>
      </c>
      <c r="JI136">
        <v>430.17899999999997</v>
      </c>
      <c r="JJ136">
        <v>27.217500000000001</v>
      </c>
      <c r="JK136">
        <v>34.855899999999998</v>
      </c>
      <c r="JL136">
        <v>29.9998</v>
      </c>
      <c r="JM136">
        <v>34.988500000000002</v>
      </c>
      <c r="JN136">
        <v>35.001100000000001</v>
      </c>
      <c r="JO136">
        <v>60.775399999999998</v>
      </c>
      <c r="JP136">
        <v>87.513199999999998</v>
      </c>
      <c r="JQ136">
        <v>0</v>
      </c>
      <c r="JR136">
        <v>27.218599999999999</v>
      </c>
      <c r="JS136">
        <v>1500</v>
      </c>
      <c r="JT136">
        <v>21.724299999999999</v>
      </c>
      <c r="JU136">
        <v>99.221999999999994</v>
      </c>
      <c r="JV136">
        <v>98.966499999999996</v>
      </c>
    </row>
    <row r="137" spans="1:282" x14ac:dyDescent="0.25">
      <c r="A137">
        <v>121</v>
      </c>
      <c r="B137">
        <v>1689022390</v>
      </c>
      <c r="C137">
        <v>22794.900000095371</v>
      </c>
      <c r="D137" t="s">
        <v>1031</v>
      </c>
      <c r="E137" t="s">
        <v>1032</v>
      </c>
      <c r="F137" t="s">
        <v>414</v>
      </c>
      <c r="G137" t="s">
        <v>415</v>
      </c>
      <c r="H137" t="s">
        <v>577</v>
      </c>
      <c r="I137" t="s">
        <v>500</v>
      </c>
      <c r="J137" t="s">
        <v>656</v>
      </c>
      <c r="K137">
        <v>1689022390</v>
      </c>
      <c r="L137">
        <f t="shared" si="138"/>
        <v>5.2793719153122328E-3</v>
      </c>
      <c r="M137">
        <f t="shared" si="139"/>
        <v>5.2793719153122325</v>
      </c>
      <c r="N137">
        <f t="shared" si="140"/>
        <v>50.30581096459143</v>
      </c>
      <c r="O137">
        <f t="shared" si="141"/>
        <v>337.42200000000003</v>
      </c>
      <c r="P137">
        <f t="shared" si="142"/>
        <v>96.466981658865009</v>
      </c>
      <c r="Q137">
        <f t="shared" si="143"/>
        <v>9.5699956288308492</v>
      </c>
      <c r="R137">
        <f t="shared" si="144"/>
        <v>33.473910031625998</v>
      </c>
      <c r="S137">
        <f t="shared" si="145"/>
        <v>0.36172995533758506</v>
      </c>
      <c r="T137">
        <f t="shared" si="146"/>
        <v>2.9142352136928134</v>
      </c>
      <c r="U137">
        <f t="shared" si="147"/>
        <v>0.33850895253387753</v>
      </c>
      <c r="V137">
        <f t="shared" si="148"/>
        <v>0.21353006868616228</v>
      </c>
      <c r="W137">
        <f t="shared" si="149"/>
        <v>289.60056457711357</v>
      </c>
      <c r="X137">
        <f t="shared" si="150"/>
        <v>30.228605182276098</v>
      </c>
      <c r="Y137">
        <f t="shared" si="151"/>
        <v>30.039400000000001</v>
      </c>
      <c r="Z137">
        <f t="shared" si="152"/>
        <v>4.2701011256493295</v>
      </c>
      <c r="AA137">
        <f t="shared" si="153"/>
        <v>65.604104563433779</v>
      </c>
      <c r="AB137">
        <f t="shared" si="154"/>
        <v>2.7778656903479</v>
      </c>
      <c r="AC137">
        <f t="shared" si="155"/>
        <v>4.2342864197802319</v>
      </c>
      <c r="AD137">
        <f t="shared" si="156"/>
        <v>1.4922354353014295</v>
      </c>
      <c r="AE137">
        <f t="shared" si="157"/>
        <v>-232.82030146526947</v>
      </c>
      <c r="AF137">
        <f t="shared" si="158"/>
        <v>-23.032655680032885</v>
      </c>
      <c r="AG137">
        <f t="shared" si="159"/>
        <v>-1.7567613015279295</v>
      </c>
      <c r="AH137">
        <f t="shared" si="160"/>
        <v>31.990846130283277</v>
      </c>
      <c r="AI137">
        <v>0</v>
      </c>
      <c r="AJ137">
        <v>0</v>
      </c>
      <c r="AK137">
        <f t="shared" si="161"/>
        <v>1</v>
      </c>
      <c r="AL137">
        <f t="shared" si="162"/>
        <v>0</v>
      </c>
      <c r="AM137">
        <f t="shared" si="163"/>
        <v>51915.7734933014</v>
      </c>
      <c r="AN137" t="s">
        <v>418</v>
      </c>
      <c r="AO137">
        <v>10021</v>
      </c>
      <c r="AP137">
        <v>177.53923076923081</v>
      </c>
      <c r="AQ137">
        <v>655.56</v>
      </c>
      <c r="AR137">
        <f t="shared" si="164"/>
        <v>0.72917928066198234</v>
      </c>
      <c r="AS137">
        <v>-3.1115002560329539</v>
      </c>
      <c r="AT137" t="s">
        <v>1033</v>
      </c>
      <c r="AU137">
        <v>8039.94</v>
      </c>
      <c r="AV137">
        <v>753.21442307692314</v>
      </c>
      <c r="AW137">
        <v>1167.105446626173</v>
      </c>
      <c r="AX137">
        <f t="shared" si="165"/>
        <v>0.3546303590182972</v>
      </c>
      <c r="AY137">
        <v>0.5</v>
      </c>
      <c r="AZ137">
        <f t="shared" si="166"/>
        <v>1513.3613992627531</v>
      </c>
      <c r="BA137">
        <f t="shared" si="167"/>
        <v>50.30581096459143</v>
      </c>
      <c r="BB137">
        <f t="shared" si="168"/>
        <v>268.34194817249136</v>
      </c>
      <c r="BC137">
        <f t="shared" si="169"/>
        <v>3.5297128132544597E-2</v>
      </c>
      <c r="BD137">
        <f t="shared" si="170"/>
        <v>-0.43830268130864308</v>
      </c>
      <c r="BE137">
        <f t="shared" si="171"/>
        <v>201.45185789023651</v>
      </c>
      <c r="BF137" t="s">
        <v>1034</v>
      </c>
      <c r="BG137">
        <v>574.95000000000005</v>
      </c>
      <c r="BH137">
        <f t="shared" si="172"/>
        <v>574.95000000000005</v>
      </c>
      <c r="BI137">
        <f t="shared" si="173"/>
        <v>0.50737099063152769</v>
      </c>
      <c r="BJ137">
        <f t="shared" si="174"/>
        <v>0.69895671129499681</v>
      </c>
      <c r="BK137">
        <f t="shared" si="175"/>
        <v>-6.3459303638031725</v>
      </c>
      <c r="BL137">
        <f t="shared" si="176"/>
        <v>0.41825500599859256</v>
      </c>
      <c r="BM137">
        <f t="shared" si="177"/>
        <v>-1.0701322610926547</v>
      </c>
      <c r="BN137">
        <f t="shared" si="178"/>
        <v>0.53353354482700521</v>
      </c>
      <c r="BO137">
        <f t="shared" si="179"/>
        <v>0.46646645517299479</v>
      </c>
      <c r="BP137">
        <v>22707</v>
      </c>
      <c r="BQ137">
        <v>290.00000000000011</v>
      </c>
      <c r="BR137">
        <v>1043.9000000000001</v>
      </c>
      <c r="BS137">
        <v>285</v>
      </c>
      <c r="BT137">
        <v>8039.94</v>
      </c>
      <c r="BU137">
        <v>1046.32</v>
      </c>
      <c r="BV137">
        <v>-2.42</v>
      </c>
      <c r="BW137">
        <v>300.00000000000011</v>
      </c>
      <c r="BX137">
        <v>19.399999999999999</v>
      </c>
      <c r="BY137">
        <v>1167.105446626173</v>
      </c>
      <c r="BZ137">
        <v>3.3951873850873979</v>
      </c>
      <c r="CA137">
        <v>-97.110516602477347</v>
      </c>
      <c r="CB137">
        <v>2.5074921756386899</v>
      </c>
      <c r="CC137">
        <v>0.98167382262472314</v>
      </c>
      <c r="CD137">
        <v>-4.1521550611790846E-3</v>
      </c>
      <c r="CE137">
        <v>289.99999999999989</v>
      </c>
      <c r="CF137">
        <v>1045.06</v>
      </c>
      <c r="CG137">
        <v>665</v>
      </c>
      <c r="CH137">
        <v>8029.67</v>
      </c>
      <c r="CI137">
        <v>1046.17</v>
      </c>
      <c r="CJ137">
        <v>-1.1100000000000001</v>
      </c>
      <c r="CX137">
        <f t="shared" si="180"/>
        <v>1800.21</v>
      </c>
      <c r="CY137">
        <f t="shared" si="181"/>
        <v>1513.3613992627531</v>
      </c>
      <c r="CZ137">
        <f t="shared" si="182"/>
        <v>0.84065825612720357</v>
      </c>
      <c r="DA137">
        <f t="shared" si="183"/>
        <v>0.16087043432550288</v>
      </c>
      <c r="DB137">
        <v>6</v>
      </c>
      <c r="DC137">
        <v>0.5</v>
      </c>
      <c r="DD137" t="s">
        <v>421</v>
      </c>
      <c r="DE137">
        <v>2</v>
      </c>
      <c r="DF137">
        <v>1689022390</v>
      </c>
      <c r="DG137">
        <v>337.42200000000003</v>
      </c>
      <c r="DH137">
        <v>399.91899999999998</v>
      </c>
      <c r="DI137">
        <v>28.001300000000001</v>
      </c>
      <c r="DJ137">
        <v>21.844200000000001</v>
      </c>
      <c r="DK137">
        <v>336.51100000000002</v>
      </c>
      <c r="DL137">
        <v>27.753599999999999</v>
      </c>
      <c r="DM137">
        <v>500.06099999999998</v>
      </c>
      <c r="DN137">
        <v>99.104799999999997</v>
      </c>
      <c r="DO137">
        <v>0.10008300000000001</v>
      </c>
      <c r="DP137">
        <v>29.892800000000001</v>
      </c>
      <c r="DQ137">
        <v>30.039400000000001</v>
      </c>
      <c r="DR137">
        <v>999.9</v>
      </c>
      <c r="DS137">
        <v>0</v>
      </c>
      <c r="DT137">
        <v>0</v>
      </c>
      <c r="DU137">
        <v>10002.5</v>
      </c>
      <c r="DV137">
        <v>0</v>
      </c>
      <c r="DW137">
        <v>1461.72</v>
      </c>
      <c r="DX137">
        <v>-62.497</v>
      </c>
      <c r="DY137">
        <v>347.142</v>
      </c>
      <c r="DZ137">
        <v>408.85</v>
      </c>
      <c r="EA137">
        <v>6.1570900000000002</v>
      </c>
      <c r="EB137">
        <v>399.91899999999998</v>
      </c>
      <c r="EC137">
        <v>21.844200000000001</v>
      </c>
      <c r="ED137">
        <v>2.7750599999999999</v>
      </c>
      <c r="EE137">
        <v>2.16486</v>
      </c>
      <c r="EF137">
        <v>22.736499999999999</v>
      </c>
      <c r="EG137">
        <v>18.704599999999999</v>
      </c>
      <c r="EH137">
        <v>1800.21</v>
      </c>
      <c r="EI137">
        <v>0.97799800000000003</v>
      </c>
      <c r="EJ137">
        <v>2.20021E-2</v>
      </c>
      <c r="EK137">
        <v>0</v>
      </c>
      <c r="EL137">
        <v>751.87300000000005</v>
      </c>
      <c r="EM137">
        <v>5.0011200000000002</v>
      </c>
      <c r="EN137">
        <v>15121.4</v>
      </c>
      <c r="EO137">
        <v>17212.900000000001</v>
      </c>
      <c r="EP137">
        <v>48.375</v>
      </c>
      <c r="EQ137">
        <v>49.875</v>
      </c>
      <c r="ER137">
        <v>49.375</v>
      </c>
      <c r="ES137">
        <v>49.061999999999998</v>
      </c>
      <c r="ET137">
        <v>49.125</v>
      </c>
      <c r="EU137">
        <v>1755.71</v>
      </c>
      <c r="EV137">
        <v>39.5</v>
      </c>
      <c r="EW137">
        <v>0</v>
      </c>
      <c r="EX137">
        <v>375.79999995231628</v>
      </c>
      <c r="EY137">
        <v>0</v>
      </c>
      <c r="EZ137">
        <v>753.21442307692314</v>
      </c>
      <c r="FA137">
        <v>-11.109230750374669</v>
      </c>
      <c r="FB137">
        <v>-414.46837575896109</v>
      </c>
      <c r="FC137">
        <v>15219.86153846154</v>
      </c>
      <c r="FD137">
        <v>15</v>
      </c>
      <c r="FE137">
        <v>1689022360</v>
      </c>
      <c r="FF137" t="s">
        <v>1035</v>
      </c>
      <c r="FG137">
        <v>1689022360</v>
      </c>
      <c r="FH137">
        <v>1689022353.5</v>
      </c>
      <c r="FI137">
        <v>135</v>
      </c>
      <c r="FJ137">
        <v>0.23400000000000001</v>
      </c>
      <c r="FK137">
        <v>1E-3</v>
      </c>
      <c r="FL137">
        <v>1.006</v>
      </c>
      <c r="FM137">
        <v>0.247</v>
      </c>
      <c r="FN137">
        <v>400</v>
      </c>
      <c r="FO137">
        <v>22</v>
      </c>
      <c r="FP137">
        <v>7.0000000000000007E-2</v>
      </c>
      <c r="FQ137">
        <v>0.02</v>
      </c>
      <c r="FR137">
        <v>50.390122480561601</v>
      </c>
      <c r="FS137">
        <v>-0.54891157120881906</v>
      </c>
      <c r="FT137">
        <v>6.0077381408534018E-2</v>
      </c>
      <c r="FU137">
        <v>1</v>
      </c>
      <c r="FV137">
        <v>0.35983030363950042</v>
      </c>
      <c r="FW137">
        <v>3.6933637338429033E-2</v>
      </c>
      <c r="FX137">
        <v>2.869351175810728E-3</v>
      </c>
      <c r="FY137">
        <v>1</v>
      </c>
      <c r="FZ137">
        <v>2</v>
      </c>
      <c r="GA137">
        <v>2</v>
      </c>
      <c r="GB137" t="s">
        <v>423</v>
      </c>
      <c r="GC137">
        <v>2.9233899999999999</v>
      </c>
      <c r="GD137">
        <v>2.8273999999999999</v>
      </c>
      <c r="GE137">
        <v>7.6500299999999993E-2</v>
      </c>
      <c r="GF137">
        <v>8.7861599999999998E-2</v>
      </c>
      <c r="GG137">
        <v>0.124233</v>
      </c>
      <c r="GH137">
        <v>0.104924</v>
      </c>
      <c r="GI137">
        <v>30037.5</v>
      </c>
      <c r="GJ137">
        <v>24061.9</v>
      </c>
      <c r="GK137">
        <v>31304</v>
      </c>
      <c r="GL137">
        <v>26026.7</v>
      </c>
      <c r="GM137">
        <v>37585.599999999999</v>
      </c>
      <c r="GN137">
        <v>31601.8</v>
      </c>
      <c r="GO137">
        <v>46484.9</v>
      </c>
      <c r="GP137">
        <v>37841.699999999997</v>
      </c>
      <c r="GQ137">
        <v>1.9055800000000001</v>
      </c>
      <c r="GR137">
        <v>1.69695</v>
      </c>
      <c r="GS137">
        <v>-4.3101599999999997E-2</v>
      </c>
      <c r="GT137">
        <v>0</v>
      </c>
      <c r="GU137">
        <v>30.740400000000001</v>
      </c>
      <c r="GV137">
        <v>999.9</v>
      </c>
      <c r="GW137">
        <v>36.799999999999997</v>
      </c>
      <c r="GX137">
        <v>46.4</v>
      </c>
      <c r="GY137">
        <v>38.459200000000003</v>
      </c>
      <c r="GZ137">
        <v>62.515000000000001</v>
      </c>
      <c r="HA137">
        <v>19.499199999999998</v>
      </c>
      <c r="HB137">
        <v>1</v>
      </c>
      <c r="HC137">
        <v>0.63668400000000003</v>
      </c>
      <c r="HD137">
        <v>4.3815299999999997</v>
      </c>
      <c r="HE137">
        <v>20.290900000000001</v>
      </c>
      <c r="HF137">
        <v>5.2250800000000002</v>
      </c>
      <c r="HG137">
        <v>12.0633</v>
      </c>
      <c r="HH137">
        <v>4.9932499999999997</v>
      </c>
      <c r="HI137">
        <v>3.2919999999999998</v>
      </c>
      <c r="HJ137">
        <v>9999</v>
      </c>
      <c r="HK137">
        <v>9999</v>
      </c>
      <c r="HL137">
        <v>9999</v>
      </c>
      <c r="HM137">
        <v>467.3</v>
      </c>
      <c r="HN137">
        <v>1.8666499999999999</v>
      </c>
      <c r="HO137">
        <v>1.87012</v>
      </c>
      <c r="HP137">
        <v>1.8727199999999999</v>
      </c>
      <c r="HQ137">
        <v>1.87365</v>
      </c>
      <c r="HR137">
        <v>1.87042</v>
      </c>
      <c r="HS137">
        <v>1.86876</v>
      </c>
      <c r="HT137">
        <v>1.8702700000000001</v>
      </c>
      <c r="HU137">
        <v>1.87324</v>
      </c>
      <c r="HV137">
        <v>0</v>
      </c>
      <c r="HW137">
        <v>0</v>
      </c>
      <c r="HX137">
        <v>0</v>
      </c>
      <c r="HY137">
        <v>0</v>
      </c>
      <c r="HZ137" t="s">
        <v>424</v>
      </c>
      <c r="IA137" t="s">
        <v>425</v>
      </c>
      <c r="IB137" t="s">
        <v>426</v>
      </c>
      <c r="IC137" t="s">
        <v>426</v>
      </c>
      <c r="ID137" t="s">
        <v>426</v>
      </c>
      <c r="IE137" t="s">
        <v>426</v>
      </c>
      <c r="IF137">
        <v>0</v>
      </c>
      <c r="IG137">
        <v>100</v>
      </c>
      <c r="IH137">
        <v>100</v>
      </c>
      <c r="II137">
        <v>0.91100000000000003</v>
      </c>
      <c r="IJ137">
        <v>0.2477</v>
      </c>
      <c r="IK137">
        <v>0.1403675696970742</v>
      </c>
      <c r="IL137">
        <v>3.042515301972944E-3</v>
      </c>
      <c r="IM137">
        <v>-2.5091471490852929E-6</v>
      </c>
      <c r="IN137">
        <v>8.1339755115576286E-10</v>
      </c>
      <c r="IO137">
        <v>0.24767984704084051</v>
      </c>
      <c r="IP137">
        <v>0</v>
      </c>
      <c r="IQ137">
        <v>0</v>
      </c>
      <c r="IR137">
        <v>0</v>
      </c>
      <c r="IS137">
        <v>3</v>
      </c>
      <c r="IT137">
        <v>2004</v>
      </c>
      <c r="IU137">
        <v>2</v>
      </c>
      <c r="IV137">
        <v>22</v>
      </c>
      <c r="IW137">
        <v>0.5</v>
      </c>
      <c r="IX137">
        <v>0.6</v>
      </c>
      <c r="IY137">
        <v>1.01929</v>
      </c>
      <c r="IZ137">
        <v>2.5903299999999998</v>
      </c>
      <c r="JA137">
        <v>1.64917</v>
      </c>
      <c r="JB137">
        <v>2.34131</v>
      </c>
      <c r="JC137">
        <v>1.5991200000000001</v>
      </c>
      <c r="JD137">
        <v>2.3095699999999999</v>
      </c>
      <c r="JE137">
        <v>47.9955</v>
      </c>
      <c r="JF137">
        <v>16.084599999999998</v>
      </c>
      <c r="JG137">
        <v>18</v>
      </c>
      <c r="JH137">
        <v>518.65</v>
      </c>
      <c r="JI137">
        <v>429.83300000000003</v>
      </c>
      <c r="JJ137">
        <v>25.997</v>
      </c>
      <c r="JK137">
        <v>34.872799999999998</v>
      </c>
      <c r="JL137">
        <v>30.000499999999999</v>
      </c>
      <c r="JM137">
        <v>34.965299999999999</v>
      </c>
      <c r="JN137">
        <v>34.972000000000001</v>
      </c>
      <c r="JO137">
        <v>20.410799999999998</v>
      </c>
      <c r="JP137">
        <v>94.308000000000007</v>
      </c>
      <c r="JQ137">
        <v>0</v>
      </c>
      <c r="JR137">
        <v>25.990300000000001</v>
      </c>
      <c r="JS137">
        <v>400</v>
      </c>
      <c r="JT137">
        <v>21.589500000000001</v>
      </c>
      <c r="JU137">
        <v>99.215000000000003</v>
      </c>
      <c r="JV137">
        <v>98.957599999999999</v>
      </c>
    </row>
    <row r="138" spans="1:282" x14ac:dyDescent="0.25">
      <c r="A138">
        <v>122</v>
      </c>
      <c r="B138">
        <v>1689022493.5999999</v>
      </c>
      <c r="C138">
        <v>22898.5</v>
      </c>
      <c r="D138" t="s">
        <v>1036</v>
      </c>
      <c r="E138" t="s">
        <v>1037</v>
      </c>
      <c r="F138" t="s">
        <v>414</v>
      </c>
      <c r="G138" t="s">
        <v>415</v>
      </c>
      <c r="H138" t="s">
        <v>577</v>
      </c>
      <c r="I138" t="s">
        <v>500</v>
      </c>
      <c r="J138" t="s">
        <v>656</v>
      </c>
      <c r="K138">
        <v>1689022493.5999999</v>
      </c>
      <c r="L138">
        <f t="shared" si="138"/>
        <v>4.9711448687289449E-3</v>
      </c>
      <c r="M138">
        <f t="shared" si="139"/>
        <v>4.9711448687289446</v>
      </c>
      <c r="N138">
        <f t="shared" si="140"/>
        <v>37.971037535970069</v>
      </c>
      <c r="O138">
        <f t="shared" si="141"/>
        <v>252.83600000000001</v>
      </c>
      <c r="P138">
        <f t="shared" si="142"/>
        <v>56.09874821830396</v>
      </c>
      <c r="Q138">
        <f t="shared" si="143"/>
        <v>5.5652340970789353</v>
      </c>
      <c r="R138">
        <f t="shared" si="144"/>
        <v>25.082405095626399</v>
      </c>
      <c r="S138">
        <f t="shared" si="145"/>
        <v>0.33204575822210325</v>
      </c>
      <c r="T138">
        <f t="shared" si="146"/>
        <v>2.9159781629045525</v>
      </c>
      <c r="U138">
        <f t="shared" si="147"/>
        <v>0.31237929393451036</v>
      </c>
      <c r="V138">
        <f t="shared" si="148"/>
        <v>0.19690687391091732</v>
      </c>
      <c r="W138">
        <f t="shared" si="149"/>
        <v>289.59360157744214</v>
      </c>
      <c r="X138">
        <f t="shared" si="150"/>
        <v>30.358207928712684</v>
      </c>
      <c r="Y138">
        <f t="shared" si="151"/>
        <v>30.072199999999999</v>
      </c>
      <c r="Z138">
        <f t="shared" si="152"/>
        <v>4.2781502825833204</v>
      </c>
      <c r="AA138">
        <f t="shared" si="153"/>
        <v>64.888621446516836</v>
      </c>
      <c r="AB138">
        <f t="shared" si="154"/>
        <v>2.7553979715349999</v>
      </c>
      <c r="AC138">
        <f t="shared" si="155"/>
        <v>4.2463499918950847</v>
      </c>
      <c r="AD138">
        <f t="shared" si="156"/>
        <v>1.5227523110483205</v>
      </c>
      <c r="AE138">
        <f t="shared" si="157"/>
        <v>-219.22748871094646</v>
      </c>
      <c r="AF138">
        <f t="shared" si="158"/>
        <v>-20.421087291934359</v>
      </c>
      <c r="AG138">
        <f t="shared" si="159"/>
        <v>-1.5572734592385453</v>
      </c>
      <c r="AH138">
        <f t="shared" si="160"/>
        <v>48.387752115322769</v>
      </c>
      <c r="AI138">
        <v>0</v>
      </c>
      <c r="AJ138">
        <v>0</v>
      </c>
      <c r="AK138">
        <f t="shared" si="161"/>
        <v>1</v>
      </c>
      <c r="AL138">
        <f t="shared" si="162"/>
        <v>0</v>
      </c>
      <c r="AM138">
        <f t="shared" si="163"/>
        <v>51956.896178034323</v>
      </c>
      <c r="AN138" t="s">
        <v>418</v>
      </c>
      <c r="AO138">
        <v>10021</v>
      </c>
      <c r="AP138">
        <v>177.53923076923081</v>
      </c>
      <c r="AQ138">
        <v>655.56</v>
      </c>
      <c r="AR138">
        <f t="shared" si="164"/>
        <v>0.72917928066198234</v>
      </c>
      <c r="AS138">
        <v>-3.1115002560329539</v>
      </c>
      <c r="AT138" t="s">
        <v>1038</v>
      </c>
      <c r="AU138">
        <v>8038.21</v>
      </c>
      <c r="AV138">
        <v>703.67655999999999</v>
      </c>
      <c r="AW138">
        <v>1005.719358049064</v>
      </c>
      <c r="AX138">
        <f t="shared" si="165"/>
        <v>0.30032513109320991</v>
      </c>
      <c r="AY138">
        <v>0.5</v>
      </c>
      <c r="AZ138">
        <f t="shared" si="166"/>
        <v>1513.3274992629233</v>
      </c>
      <c r="BA138">
        <f t="shared" si="167"/>
        <v>37.971037535970069</v>
      </c>
      <c r="BB138">
        <f t="shared" si="168"/>
        <v>227.24513980154848</v>
      </c>
      <c r="BC138">
        <f t="shared" si="169"/>
        <v>2.7147156059750821E-2</v>
      </c>
      <c r="BD138">
        <f t="shared" si="170"/>
        <v>-0.34816806025123914</v>
      </c>
      <c r="BE138">
        <f t="shared" si="171"/>
        <v>196.02240364119405</v>
      </c>
      <c r="BF138" t="s">
        <v>1039</v>
      </c>
      <c r="BG138">
        <v>556.30999999999995</v>
      </c>
      <c r="BH138">
        <f t="shared" si="172"/>
        <v>556.30999999999995</v>
      </c>
      <c r="BI138">
        <f t="shared" si="173"/>
        <v>0.44685364207451161</v>
      </c>
      <c r="BJ138">
        <f t="shared" si="174"/>
        <v>0.67208835917495213</v>
      </c>
      <c r="BK138">
        <f t="shared" si="175"/>
        <v>-3.528053985380998</v>
      </c>
      <c r="BL138">
        <f t="shared" si="176"/>
        <v>0.3647066478655156</v>
      </c>
      <c r="BM138">
        <f t="shared" si="177"/>
        <v>-0.73251913010503789</v>
      </c>
      <c r="BN138">
        <f t="shared" si="178"/>
        <v>0.53133711757091584</v>
      </c>
      <c r="BO138">
        <f t="shared" si="179"/>
        <v>0.46866288242908416</v>
      </c>
      <c r="BP138">
        <v>22709</v>
      </c>
      <c r="BQ138">
        <v>290.00000000000011</v>
      </c>
      <c r="BR138">
        <v>918.94</v>
      </c>
      <c r="BS138">
        <v>275</v>
      </c>
      <c r="BT138">
        <v>8038.21</v>
      </c>
      <c r="BU138">
        <v>921.06</v>
      </c>
      <c r="BV138">
        <v>-2.12</v>
      </c>
      <c r="BW138">
        <v>300.00000000000011</v>
      </c>
      <c r="BX138">
        <v>19.399999999999999</v>
      </c>
      <c r="BY138">
        <v>1005.719358049064</v>
      </c>
      <c r="BZ138">
        <v>2.7103433366450131</v>
      </c>
      <c r="CA138">
        <v>-68.051820892831103</v>
      </c>
      <c r="CB138">
        <v>2.0011230731115992</v>
      </c>
      <c r="CC138">
        <v>0.97636060394055801</v>
      </c>
      <c r="CD138">
        <v>-4.1509704115684134E-3</v>
      </c>
      <c r="CE138">
        <v>289.99999999999989</v>
      </c>
      <c r="CF138">
        <v>920.09</v>
      </c>
      <c r="CG138">
        <v>715</v>
      </c>
      <c r="CH138">
        <v>8025.86</v>
      </c>
      <c r="CI138">
        <v>920.93</v>
      </c>
      <c r="CJ138">
        <v>-0.84</v>
      </c>
      <c r="CX138">
        <f t="shared" si="180"/>
        <v>1800.17</v>
      </c>
      <c r="CY138">
        <f t="shared" si="181"/>
        <v>1513.3274992629233</v>
      </c>
      <c r="CZ138">
        <f t="shared" si="182"/>
        <v>0.8406581041029032</v>
      </c>
      <c r="DA138">
        <f t="shared" si="183"/>
        <v>0.16087014091860333</v>
      </c>
      <c r="DB138">
        <v>6</v>
      </c>
      <c r="DC138">
        <v>0.5</v>
      </c>
      <c r="DD138" t="s">
        <v>421</v>
      </c>
      <c r="DE138">
        <v>2</v>
      </c>
      <c r="DF138">
        <v>1689022493.5999999</v>
      </c>
      <c r="DG138">
        <v>252.83600000000001</v>
      </c>
      <c r="DH138">
        <v>299.90800000000002</v>
      </c>
      <c r="DI138">
        <v>27.774999999999999</v>
      </c>
      <c r="DJ138">
        <v>21.9755</v>
      </c>
      <c r="DK138">
        <v>252.21299999999999</v>
      </c>
      <c r="DL138">
        <v>27.529499999999999</v>
      </c>
      <c r="DM138">
        <v>500.01600000000002</v>
      </c>
      <c r="DN138">
        <v>99.104500000000002</v>
      </c>
      <c r="DO138">
        <v>9.97474E-2</v>
      </c>
      <c r="DP138">
        <v>29.942299999999999</v>
      </c>
      <c r="DQ138">
        <v>30.072199999999999</v>
      </c>
      <c r="DR138">
        <v>999.9</v>
      </c>
      <c r="DS138">
        <v>0</v>
      </c>
      <c r="DT138">
        <v>0</v>
      </c>
      <c r="DU138">
        <v>10012.5</v>
      </c>
      <c r="DV138">
        <v>0</v>
      </c>
      <c r="DW138">
        <v>1409.98</v>
      </c>
      <c r="DX138">
        <v>-47.072000000000003</v>
      </c>
      <c r="DY138">
        <v>260.05900000000003</v>
      </c>
      <c r="DZ138">
        <v>306.64699999999999</v>
      </c>
      <c r="EA138">
        <v>5.7995099999999997</v>
      </c>
      <c r="EB138">
        <v>299.90800000000002</v>
      </c>
      <c r="EC138">
        <v>21.9755</v>
      </c>
      <c r="ED138">
        <v>2.7526299999999999</v>
      </c>
      <c r="EE138">
        <v>2.17787</v>
      </c>
      <c r="EF138">
        <v>22.602699999999999</v>
      </c>
      <c r="EG138">
        <v>18.8005</v>
      </c>
      <c r="EH138">
        <v>1800.17</v>
      </c>
      <c r="EI138">
        <v>0.97800100000000001</v>
      </c>
      <c r="EJ138">
        <v>2.19986E-2</v>
      </c>
      <c r="EK138">
        <v>0</v>
      </c>
      <c r="EL138">
        <v>702.12900000000002</v>
      </c>
      <c r="EM138">
        <v>5.0011200000000002</v>
      </c>
      <c r="EN138">
        <v>14226.9</v>
      </c>
      <c r="EO138">
        <v>17212.5</v>
      </c>
      <c r="EP138">
        <v>48.5</v>
      </c>
      <c r="EQ138">
        <v>49.936999999999998</v>
      </c>
      <c r="ER138">
        <v>49.5</v>
      </c>
      <c r="ES138">
        <v>49.125</v>
      </c>
      <c r="ET138">
        <v>49.061999999999998</v>
      </c>
      <c r="EU138">
        <v>1755.68</v>
      </c>
      <c r="EV138">
        <v>39.49</v>
      </c>
      <c r="EW138">
        <v>0</v>
      </c>
      <c r="EX138">
        <v>101.3999998569489</v>
      </c>
      <c r="EY138">
        <v>0</v>
      </c>
      <c r="EZ138">
        <v>703.67655999999999</v>
      </c>
      <c r="FA138">
        <v>-15.17530773043301</v>
      </c>
      <c r="FB138">
        <v>-270.13076961571369</v>
      </c>
      <c r="FC138">
        <v>14257.364</v>
      </c>
      <c r="FD138">
        <v>15</v>
      </c>
      <c r="FE138">
        <v>1689022471.0999999</v>
      </c>
      <c r="FF138" t="s">
        <v>1040</v>
      </c>
      <c r="FG138">
        <v>1689022471.0999999</v>
      </c>
      <c r="FH138">
        <v>1689022463.5</v>
      </c>
      <c r="FI138">
        <v>136</v>
      </c>
      <c r="FJ138">
        <v>-0.13800000000000001</v>
      </c>
      <c r="FK138">
        <v>-2E-3</v>
      </c>
      <c r="FL138">
        <v>0.70899999999999996</v>
      </c>
      <c r="FM138">
        <v>0.23899999999999999</v>
      </c>
      <c r="FN138">
        <v>300</v>
      </c>
      <c r="FO138">
        <v>22</v>
      </c>
      <c r="FP138">
        <v>7.0000000000000007E-2</v>
      </c>
      <c r="FQ138">
        <v>0.06</v>
      </c>
      <c r="FR138">
        <v>37.808534839369877</v>
      </c>
      <c r="FS138">
        <v>0.68668871943183896</v>
      </c>
      <c r="FT138">
        <v>8.6044930102761666E-2</v>
      </c>
      <c r="FU138">
        <v>1</v>
      </c>
      <c r="FV138">
        <v>0.33114464060341492</v>
      </c>
      <c r="FW138">
        <v>5.54907568033082E-3</v>
      </c>
      <c r="FX138">
        <v>1.557103379879834E-3</v>
      </c>
      <c r="FY138">
        <v>1</v>
      </c>
      <c r="FZ138">
        <v>2</v>
      </c>
      <c r="GA138">
        <v>2</v>
      </c>
      <c r="GB138" t="s">
        <v>423</v>
      </c>
      <c r="GC138">
        <v>2.9232900000000002</v>
      </c>
      <c r="GD138">
        <v>2.8271500000000001</v>
      </c>
      <c r="GE138">
        <v>6.0229999999999999E-2</v>
      </c>
      <c r="GF138">
        <v>6.9820699999999999E-2</v>
      </c>
      <c r="GG138">
        <v>0.12354</v>
      </c>
      <c r="GH138">
        <v>0.10537299999999999</v>
      </c>
      <c r="GI138">
        <v>30566.7</v>
      </c>
      <c r="GJ138">
        <v>24536.6</v>
      </c>
      <c r="GK138">
        <v>31304.400000000001</v>
      </c>
      <c r="GL138">
        <v>26025.8</v>
      </c>
      <c r="GM138">
        <v>37615.699999999997</v>
      </c>
      <c r="GN138">
        <v>31584.400000000001</v>
      </c>
      <c r="GO138">
        <v>46485.7</v>
      </c>
      <c r="GP138">
        <v>37840.1</v>
      </c>
      <c r="GQ138">
        <v>1.90482</v>
      </c>
      <c r="GR138">
        <v>1.69885</v>
      </c>
      <c r="GS138">
        <v>-2.1301199999999999E-2</v>
      </c>
      <c r="GT138">
        <v>0</v>
      </c>
      <c r="GU138">
        <v>30.418700000000001</v>
      </c>
      <c r="GV138">
        <v>999.9</v>
      </c>
      <c r="GW138">
        <v>36.299999999999997</v>
      </c>
      <c r="GX138">
        <v>46.4</v>
      </c>
      <c r="GY138">
        <v>37.933399999999999</v>
      </c>
      <c r="GZ138">
        <v>62.382300000000001</v>
      </c>
      <c r="HA138">
        <v>19.663499999999999</v>
      </c>
      <c r="HB138">
        <v>1</v>
      </c>
      <c r="HC138">
        <v>0.63617100000000004</v>
      </c>
      <c r="HD138">
        <v>4.4302599999999996</v>
      </c>
      <c r="HE138">
        <v>20.289400000000001</v>
      </c>
      <c r="HF138">
        <v>5.2243300000000001</v>
      </c>
      <c r="HG138">
        <v>12.0631</v>
      </c>
      <c r="HH138">
        <v>4.9930500000000002</v>
      </c>
      <c r="HI138">
        <v>3.2919999999999998</v>
      </c>
      <c r="HJ138">
        <v>9999</v>
      </c>
      <c r="HK138">
        <v>9999</v>
      </c>
      <c r="HL138">
        <v>9999</v>
      </c>
      <c r="HM138">
        <v>467.4</v>
      </c>
      <c r="HN138">
        <v>1.8666499999999999</v>
      </c>
      <c r="HO138">
        <v>1.8701399999999999</v>
      </c>
      <c r="HP138">
        <v>1.8727199999999999</v>
      </c>
      <c r="HQ138">
        <v>1.8736299999999999</v>
      </c>
      <c r="HR138">
        <v>1.87042</v>
      </c>
      <c r="HS138">
        <v>1.86876</v>
      </c>
      <c r="HT138">
        <v>1.8702700000000001</v>
      </c>
      <c r="HU138">
        <v>1.8732</v>
      </c>
      <c r="HV138">
        <v>0</v>
      </c>
      <c r="HW138">
        <v>0</v>
      </c>
      <c r="HX138">
        <v>0</v>
      </c>
      <c r="HY138">
        <v>0</v>
      </c>
      <c r="HZ138" t="s">
        <v>424</v>
      </c>
      <c r="IA138" t="s">
        <v>425</v>
      </c>
      <c r="IB138" t="s">
        <v>426</v>
      </c>
      <c r="IC138" t="s">
        <v>426</v>
      </c>
      <c r="ID138" t="s">
        <v>426</v>
      </c>
      <c r="IE138" t="s">
        <v>426</v>
      </c>
      <c r="IF138">
        <v>0</v>
      </c>
      <c r="IG138">
        <v>100</v>
      </c>
      <c r="IH138">
        <v>100</v>
      </c>
      <c r="II138">
        <v>0.623</v>
      </c>
      <c r="IJ138">
        <v>0.2455</v>
      </c>
      <c r="IK138">
        <v>2.033750045325224E-3</v>
      </c>
      <c r="IL138">
        <v>3.042515301972944E-3</v>
      </c>
      <c r="IM138">
        <v>-2.5091471490852929E-6</v>
      </c>
      <c r="IN138">
        <v>8.1339755115576286E-10</v>
      </c>
      <c r="IO138">
        <v>0.24551999227041951</v>
      </c>
      <c r="IP138">
        <v>0</v>
      </c>
      <c r="IQ138">
        <v>0</v>
      </c>
      <c r="IR138">
        <v>0</v>
      </c>
      <c r="IS138">
        <v>3</v>
      </c>
      <c r="IT138">
        <v>2004</v>
      </c>
      <c r="IU138">
        <v>2</v>
      </c>
      <c r="IV138">
        <v>22</v>
      </c>
      <c r="IW138">
        <v>0.4</v>
      </c>
      <c r="IX138">
        <v>0.5</v>
      </c>
      <c r="IY138">
        <v>0.80688499999999996</v>
      </c>
      <c r="IZ138">
        <v>2.6000999999999999</v>
      </c>
      <c r="JA138">
        <v>1.64917</v>
      </c>
      <c r="JB138">
        <v>2.34009</v>
      </c>
      <c r="JC138">
        <v>1.5991200000000001</v>
      </c>
      <c r="JD138">
        <v>2.2827099999999998</v>
      </c>
      <c r="JE138">
        <v>47.813400000000001</v>
      </c>
      <c r="JF138">
        <v>16.0671</v>
      </c>
      <c r="JG138">
        <v>18</v>
      </c>
      <c r="JH138">
        <v>518.096</v>
      </c>
      <c r="JI138">
        <v>430.99700000000001</v>
      </c>
      <c r="JJ138">
        <v>26.029199999999999</v>
      </c>
      <c r="JK138">
        <v>34.856200000000001</v>
      </c>
      <c r="JL138">
        <v>30.0001</v>
      </c>
      <c r="JM138">
        <v>34.957900000000002</v>
      </c>
      <c r="JN138">
        <v>34.962499999999999</v>
      </c>
      <c r="JO138">
        <v>16.163900000000002</v>
      </c>
      <c r="JP138">
        <v>92.870500000000007</v>
      </c>
      <c r="JQ138">
        <v>0</v>
      </c>
      <c r="JR138">
        <v>25.963799999999999</v>
      </c>
      <c r="JS138">
        <v>300</v>
      </c>
      <c r="JT138">
        <v>22.152799999999999</v>
      </c>
      <c r="JU138">
        <v>99.216399999999993</v>
      </c>
      <c r="JV138">
        <v>98.953800000000001</v>
      </c>
    </row>
    <row r="139" spans="1:282" x14ac:dyDescent="0.25">
      <c r="A139">
        <v>123</v>
      </c>
      <c r="B139">
        <v>1689022674.5999999</v>
      </c>
      <c r="C139">
        <v>23079.5</v>
      </c>
      <c r="D139" t="s">
        <v>1041</v>
      </c>
      <c r="E139" t="s">
        <v>1042</v>
      </c>
      <c r="F139" t="s">
        <v>414</v>
      </c>
      <c r="G139" t="s">
        <v>415</v>
      </c>
      <c r="H139" t="s">
        <v>577</v>
      </c>
      <c r="I139" t="s">
        <v>500</v>
      </c>
      <c r="J139" t="s">
        <v>656</v>
      </c>
      <c r="K139">
        <v>1689022674.5999999</v>
      </c>
      <c r="L139">
        <f t="shared" si="138"/>
        <v>5.5601877806768949E-3</v>
      </c>
      <c r="M139">
        <f t="shared" si="139"/>
        <v>5.5601877806768947</v>
      </c>
      <c r="N139">
        <f t="shared" si="140"/>
        <v>27.556897377465994</v>
      </c>
      <c r="O139">
        <f t="shared" si="141"/>
        <v>165.792</v>
      </c>
      <c r="P139">
        <f t="shared" si="142"/>
        <v>45.838959643585135</v>
      </c>
      <c r="Q139">
        <f t="shared" si="143"/>
        <v>4.5473201004246402</v>
      </c>
      <c r="R139">
        <f t="shared" si="144"/>
        <v>16.446911098147201</v>
      </c>
      <c r="S139">
        <f t="shared" si="145"/>
        <v>0.39982129484298906</v>
      </c>
      <c r="T139">
        <f t="shared" si="146"/>
        <v>2.9112391737777044</v>
      </c>
      <c r="U139">
        <f t="shared" si="147"/>
        <v>0.37162965748094834</v>
      </c>
      <c r="V139">
        <f t="shared" si="148"/>
        <v>0.23463558098861004</v>
      </c>
      <c r="W139">
        <f t="shared" si="149"/>
        <v>289.56589057766809</v>
      </c>
      <c r="X139">
        <f t="shared" si="150"/>
        <v>29.952448069397811</v>
      </c>
      <c r="Y139">
        <f t="shared" si="151"/>
        <v>29.906500000000001</v>
      </c>
      <c r="Z139">
        <f t="shared" si="152"/>
        <v>4.2376222334017708</v>
      </c>
      <c r="AA139">
        <f t="shared" si="153"/>
        <v>67.049113843343008</v>
      </c>
      <c r="AB139">
        <f t="shared" si="154"/>
        <v>2.80608953067006</v>
      </c>
      <c r="AC139">
        <f t="shared" si="155"/>
        <v>4.1851254547917689</v>
      </c>
      <c r="AD139">
        <f t="shared" si="156"/>
        <v>1.4315327027317108</v>
      </c>
      <c r="AE139">
        <f t="shared" si="157"/>
        <v>-245.20428112785106</v>
      </c>
      <c r="AF139">
        <f t="shared" si="158"/>
        <v>-34.011222397163586</v>
      </c>
      <c r="AG139">
        <f t="shared" si="159"/>
        <v>-2.5924791389204929</v>
      </c>
      <c r="AH139">
        <f t="shared" si="160"/>
        <v>7.7579079137329288</v>
      </c>
      <c r="AI139">
        <v>0</v>
      </c>
      <c r="AJ139">
        <v>0</v>
      </c>
      <c r="AK139">
        <f t="shared" si="161"/>
        <v>1</v>
      </c>
      <c r="AL139">
        <f t="shared" si="162"/>
        <v>0</v>
      </c>
      <c r="AM139">
        <f t="shared" si="163"/>
        <v>51865.232168846276</v>
      </c>
      <c r="AN139" t="s">
        <v>418</v>
      </c>
      <c r="AO139">
        <v>10021</v>
      </c>
      <c r="AP139">
        <v>177.53923076923081</v>
      </c>
      <c r="AQ139">
        <v>655.56</v>
      </c>
      <c r="AR139">
        <f t="shared" si="164"/>
        <v>0.72917928066198234</v>
      </c>
      <c r="AS139">
        <v>-3.1115002560329539</v>
      </c>
      <c r="AT139" t="s">
        <v>1043</v>
      </c>
      <c r="AU139">
        <v>8036.6</v>
      </c>
      <c r="AV139">
        <v>681.54964000000007</v>
      </c>
      <c r="AW139">
        <v>876.78945615067664</v>
      </c>
      <c r="AX139">
        <f t="shared" si="165"/>
        <v>0.22267582574250822</v>
      </c>
      <c r="AY139">
        <v>0.5</v>
      </c>
      <c r="AZ139">
        <f t="shared" si="166"/>
        <v>1513.1843992630404</v>
      </c>
      <c r="BA139">
        <f t="shared" si="167"/>
        <v>27.556897377465994</v>
      </c>
      <c r="BB139">
        <f t="shared" si="168"/>
        <v>168.47479280328938</v>
      </c>
      <c r="BC139">
        <f t="shared" si="169"/>
        <v>2.0267455604508773E-2</v>
      </c>
      <c r="BD139">
        <f t="shared" si="170"/>
        <v>-0.25231765117469468</v>
      </c>
      <c r="BE139">
        <f t="shared" si="171"/>
        <v>190.56079239095951</v>
      </c>
      <c r="BF139" t="s">
        <v>1044</v>
      </c>
      <c r="BG139">
        <v>544.07000000000005</v>
      </c>
      <c r="BH139">
        <f t="shared" si="172"/>
        <v>544.07000000000005</v>
      </c>
      <c r="BI139">
        <f t="shared" si="173"/>
        <v>0.37947474597995012</v>
      </c>
      <c r="BJ139">
        <f t="shared" si="174"/>
        <v>0.58680011806180499</v>
      </c>
      <c r="BK139">
        <f t="shared" si="175"/>
        <v>-1.9842986469699246</v>
      </c>
      <c r="BL139">
        <f t="shared" si="176"/>
        <v>0.27921309005538314</v>
      </c>
      <c r="BM139">
        <f t="shared" si="177"/>
        <v>-0.46280302110445759</v>
      </c>
      <c r="BN139">
        <f t="shared" si="178"/>
        <v>0.46843299665433941</v>
      </c>
      <c r="BO139">
        <f t="shared" si="179"/>
        <v>0.53156700334566054</v>
      </c>
      <c r="BP139">
        <v>22711</v>
      </c>
      <c r="BQ139">
        <v>290.00000000000011</v>
      </c>
      <c r="BR139">
        <v>823.16</v>
      </c>
      <c r="BS139">
        <v>255</v>
      </c>
      <c r="BT139">
        <v>8036.6</v>
      </c>
      <c r="BU139">
        <v>824.97</v>
      </c>
      <c r="BV139">
        <v>-1.81</v>
      </c>
      <c r="BW139">
        <v>300.00000000000011</v>
      </c>
      <c r="BX139">
        <v>19.399999999999999</v>
      </c>
      <c r="BY139">
        <v>876.78945615067664</v>
      </c>
      <c r="BZ139">
        <v>2.6724402505816922</v>
      </c>
      <c r="CA139">
        <v>-41.643068846349003</v>
      </c>
      <c r="CB139">
        <v>1.972404603749214</v>
      </c>
      <c r="CC139">
        <v>0.94089736484904962</v>
      </c>
      <c r="CD139">
        <v>-4.1495897664071187E-3</v>
      </c>
      <c r="CE139">
        <v>289.99999999999989</v>
      </c>
      <c r="CF139">
        <v>823.62</v>
      </c>
      <c r="CG139">
        <v>685</v>
      </c>
      <c r="CH139">
        <v>8023.62</v>
      </c>
      <c r="CI139">
        <v>824.89</v>
      </c>
      <c r="CJ139">
        <v>-1.27</v>
      </c>
      <c r="CX139">
        <f t="shared" si="180"/>
        <v>1800</v>
      </c>
      <c r="CY139">
        <f t="shared" si="181"/>
        <v>1513.1843992630404</v>
      </c>
      <c r="CZ139">
        <f t="shared" si="182"/>
        <v>0.84065799959057796</v>
      </c>
      <c r="DA139">
        <f t="shared" si="183"/>
        <v>0.1608699392098156</v>
      </c>
      <c r="DB139">
        <v>6</v>
      </c>
      <c r="DC139">
        <v>0.5</v>
      </c>
      <c r="DD139" t="s">
        <v>421</v>
      </c>
      <c r="DE139">
        <v>2</v>
      </c>
      <c r="DF139">
        <v>1689022674.5999999</v>
      </c>
      <c r="DG139">
        <v>165.792</v>
      </c>
      <c r="DH139">
        <v>199.96600000000001</v>
      </c>
      <c r="DI139">
        <v>28.2866</v>
      </c>
      <c r="DJ139">
        <v>21.8032</v>
      </c>
      <c r="DK139">
        <v>165.36500000000001</v>
      </c>
      <c r="DL139">
        <v>28.037299999999998</v>
      </c>
      <c r="DM139">
        <v>500.00700000000001</v>
      </c>
      <c r="DN139">
        <v>99.102400000000003</v>
      </c>
      <c r="DO139">
        <v>9.9679100000000007E-2</v>
      </c>
      <c r="DP139">
        <v>29.689800000000002</v>
      </c>
      <c r="DQ139">
        <v>29.906500000000001</v>
      </c>
      <c r="DR139">
        <v>999.9</v>
      </c>
      <c r="DS139">
        <v>0</v>
      </c>
      <c r="DT139">
        <v>0</v>
      </c>
      <c r="DU139">
        <v>9985.6200000000008</v>
      </c>
      <c r="DV139">
        <v>0</v>
      </c>
      <c r="DW139">
        <v>1414.07</v>
      </c>
      <c r="DX139">
        <v>-34.173400000000001</v>
      </c>
      <c r="DY139">
        <v>170.619</v>
      </c>
      <c r="DZ139">
        <v>204.423</v>
      </c>
      <c r="EA139">
        <v>6.4834300000000002</v>
      </c>
      <c r="EB139">
        <v>199.96600000000001</v>
      </c>
      <c r="EC139">
        <v>21.8032</v>
      </c>
      <c r="ED139">
        <v>2.8032699999999999</v>
      </c>
      <c r="EE139">
        <v>2.1607400000000001</v>
      </c>
      <c r="EF139">
        <v>22.903300000000002</v>
      </c>
      <c r="EG139">
        <v>18.674199999999999</v>
      </c>
      <c r="EH139">
        <v>1800</v>
      </c>
      <c r="EI139">
        <v>0.97800500000000001</v>
      </c>
      <c r="EJ139">
        <v>2.1994699999999999E-2</v>
      </c>
      <c r="EK139">
        <v>0</v>
      </c>
      <c r="EL139">
        <v>681.14599999999996</v>
      </c>
      <c r="EM139">
        <v>5.0011200000000002</v>
      </c>
      <c r="EN139">
        <v>13850</v>
      </c>
      <c r="EO139">
        <v>17210.900000000001</v>
      </c>
      <c r="EP139">
        <v>49.061999999999998</v>
      </c>
      <c r="EQ139">
        <v>50.375</v>
      </c>
      <c r="ER139">
        <v>50</v>
      </c>
      <c r="ES139">
        <v>49.561999999999998</v>
      </c>
      <c r="ET139">
        <v>49.686999999999998</v>
      </c>
      <c r="EU139">
        <v>1755.52</v>
      </c>
      <c r="EV139">
        <v>39.479999999999997</v>
      </c>
      <c r="EW139">
        <v>0</v>
      </c>
      <c r="EX139">
        <v>178.79999995231631</v>
      </c>
      <c r="EY139">
        <v>0</v>
      </c>
      <c r="EZ139">
        <v>681.54964000000007</v>
      </c>
      <c r="FA139">
        <v>-3.328769230948422</v>
      </c>
      <c r="FB139">
        <v>-24.492307863138269</v>
      </c>
      <c r="FC139">
        <v>13856.82</v>
      </c>
      <c r="FD139">
        <v>15</v>
      </c>
      <c r="FE139">
        <v>1689022585.0999999</v>
      </c>
      <c r="FF139" t="s">
        <v>1045</v>
      </c>
      <c r="FG139">
        <v>1689022569.0999999</v>
      </c>
      <c r="FH139">
        <v>1689022585.0999999</v>
      </c>
      <c r="FI139">
        <v>137</v>
      </c>
      <c r="FJ139">
        <v>-1.2999999999999999E-2</v>
      </c>
      <c r="FK139">
        <v>4.0000000000000001E-3</v>
      </c>
      <c r="FL139">
        <v>0.503</v>
      </c>
      <c r="FM139">
        <v>0.246</v>
      </c>
      <c r="FN139">
        <v>200</v>
      </c>
      <c r="FO139">
        <v>22</v>
      </c>
      <c r="FP139">
        <v>0.13</v>
      </c>
      <c r="FQ139">
        <v>0.01</v>
      </c>
      <c r="FR139">
        <v>27.504742107036481</v>
      </c>
      <c r="FS139">
        <v>0.61628364736460151</v>
      </c>
      <c r="FT139">
        <v>5.3621477875272112E-2</v>
      </c>
      <c r="FU139">
        <v>1</v>
      </c>
      <c r="FV139">
        <v>0.40319481882798031</v>
      </c>
      <c r="FW139">
        <v>-2.943554404202128E-2</v>
      </c>
      <c r="FX139">
        <v>2.1764772148571412E-3</v>
      </c>
      <c r="FY139">
        <v>1</v>
      </c>
      <c r="FZ139">
        <v>2</v>
      </c>
      <c r="GA139">
        <v>2</v>
      </c>
      <c r="GB139" t="s">
        <v>423</v>
      </c>
      <c r="GC139">
        <v>2.9232300000000002</v>
      </c>
      <c r="GD139">
        <v>2.8268499999999999</v>
      </c>
      <c r="GE139">
        <v>4.14198E-2</v>
      </c>
      <c r="GF139">
        <v>4.9322900000000003E-2</v>
      </c>
      <c r="GG139">
        <v>0.125111</v>
      </c>
      <c r="GH139">
        <v>0.104783</v>
      </c>
      <c r="GI139">
        <v>31177.3</v>
      </c>
      <c r="GJ139">
        <v>25075.1</v>
      </c>
      <c r="GK139">
        <v>31303.8</v>
      </c>
      <c r="GL139">
        <v>26024.400000000001</v>
      </c>
      <c r="GM139">
        <v>37547.5</v>
      </c>
      <c r="GN139">
        <v>31603.200000000001</v>
      </c>
      <c r="GO139">
        <v>46484.9</v>
      </c>
      <c r="GP139">
        <v>37837.9</v>
      </c>
      <c r="GQ139">
        <v>1.9065000000000001</v>
      </c>
      <c r="GR139">
        <v>1.7000500000000001</v>
      </c>
      <c r="GS139">
        <v>-3.6790999999999997E-2</v>
      </c>
      <c r="GT139">
        <v>0</v>
      </c>
      <c r="GU139">
        <v>30.504999999999999</v>
      </c>
      <c r="GV139">
        <v>999.9</v>
      </c>
      <c r="GW139">
        <v>35.799999999999997</v>
      </c>
      <c r="GX139">
        <v>46.3</v>
      </c>
      <c r="GY139">
        <v>37.220700000000001</v>
      </c>
      <c r="GZ139">
        <v>62.402299999999997</v>
      </c>
      <c r="HA139">
        <v>19.803699999999999</v>
      </c>
      <c r="HB139">
        <v>1</v>
      </c>
      <c r="HC139">
        <v>0.63086600000000004</v>
      </c>
      <c r="HD139">
        <v>3.0989399999999998</v>
      </c>
      <c r="HE139">
        <v>20.3186</v>
      </c>
      <c r="HF139">
        <v>5.2219300000000004</v>
      </c>
      <c r="HG139">
        <v>12.0594</v>
      </c>
      <c r="HH139">
        <v>4.9908000000000001</v>
      </c>
      <c r="HI139">
        <v>3.29175</v>
      </c>
      <c r="HJ139">
        <v>9999</v>
      </c>
      <c r="HK139">
        <v>9999</v>
      </c>
      <c r="HL139">
        <v>9999</v>
      </c>
      <c r="HM139">
        <v>467.4</v>
      </c>
      <c r="HN139">
        <v>1.8666100000000001</v>
      </c>
      <c r="HO139">
        <v>1.8701300000000001</v>
      </c>
      <c r="HP139">
        <v>1.8727100000000001</v>
      </c>
      <c r="HQ139">
        <v>1.8736299999999999</v>
      </c>
      <c r="HR139">
        <v>1.87042</v>
      </c>
      <c r="HS139">
        <v>1.8687400000000001</v>
      </c>
      <c r="HT139">
        <v>1.8702700000000001</v>
      </c>
      <c r="HU139">
        <v>1.8731899999999999</v>
      </c>
      <c r="HV139">
        <v>0</v>
      </c>
      <c r="HW139">
        <v>0</v>
      </c>
      <c r="HX139">
        <v>0</v>
      </c>
      <c r="HY139">
        <v>0</v>
      </c>
      <c r="HZ139" t="s">
        <v>424</v>
      </c>
      <c r="IA139" t="s">
        <v>425</v>
      </c>
      <c r="IB139" t="s">
        <v>426</v>
      </c>
      <c r="IC139" t="s">
        <v>426</v>
      </c>
      <c r="ID139" t="s">
        <v>426</v>
      </c>
      <c r="IE139" t="s">
        <v>426</v>
      </c>
      <c r="IF139">
        <v>0</v>
      </c>
      <c r="IG139">
        <v>100</v>
      </c>
      <c r="IH139">
        <v>100</v>
      </c>
      <c r="II139">
        <v>0.42699999999999999</v>
      </c>
      <c r="IJ139">
        <v>0.24929999999999999</v>
      </c>
      <c r="IK139">
        <v>-1.0532927720344551E-2</v>
      </c>
      <c r="IL139">
        <v>3.042515301972944E-3</v>
      </c>
      <c r="IM139">
        <v>-2.5091471490852929E-6</v>
      </c>
      <c r="IN139">
        <v>8.1339755115576286E-10</v>
      </c>
      <c r="IO139">
        <v>0.2492917924572047</v>
      </c>
      <c r="IP139">
        <v>0</v>
      </c>
      <c r="IQ139">
        <v>0</v>
      </c>
      <c r="IR139">
        <v>0</v>
      </c>
      <c r="IS139">
        <v>3</v>
      </c>
      <c r="IT139">
        <v>2004</v>
      </c>
      <c r="IU139">
        <v>2</v>
      </c>
      <c r="IV139">
        <v>22</v>
      </c>
      <c r="IW139">
        <v>1.8</v>
      </c>
      <c r="IX139">
        <v>1.5</v>
      </c>
      <c r="IY139">
        <v>0.58471700000000004</v>
      </c>
      <c r="IZ139">
        <v>2.6074199999999998</v>
      </c>
      <c r="JA139">
        <v>1.64917</v>
      </c>
      <c r="JB139">
        <v>2.34131</v>
      </c>
      <c r="JC139">
        <v>1.5991200000000001</v>
      </c>
      <c r="JD139">
        <v>2.34497</v>
      </c>
      <c r="JE139">
        <v>47.601900000000001</v>
      </c>
      <c r="JF139">
        <v>16.084599999999998</v>
      </c>
      <c r="JG139">
        <v>18</v>
      </c>
      <c r="JH139">
        <v>519.30200000000002</v>
      </c>
      <c r="JI139">
        <v>431.87900000000002</v>
      </c>
      <c r="JJ139">
        <v>26.2744</v>
      </c>
      <c r="JK139">
        <v>34.878500000000003</v>
      </c>
      <c r="JL139">
        <v>29.999700000000001</v>
      </c>
      <c r="JM139">
        <v>34.9694</v>
      </c>
      <c r="JN139">
        <v>34.977699999999999</v>
      </c>
      <c r="JO139">
        <v>11.7202</v>
      </c>
      <c r="JP139">
        <v>100</v>
      </c>
      <c r="JQ139">
        <v>0</v>
      </c>
      <c r="JR139">
        <v>26.308900000000001</v>
      </c>
      <c r="JS139">
        <v>200</v>
      </c>
      <c r="JT139">
        <v>20.464400000000001</v>
      </c>
      <c r="JU139">
        <v>99.214799999999997</v>
      </c>
      <c r="JV139">
        <v>98.948099999999997</v>
      </c>
    </row>
    <row r="140" spans="1:282" x14ac:dyDescent="0.25">
      <c r="A140">
        <v>124</v>
      </c>
      <c r="B140">
        <v>1689022844.0999999</v>
      </c>
      <c r="C140">
        <v>23249</v>
      </c>
      <c r="D140" t="s">
        <v>1046</v>
      </c>
      <c r="E140" t="s">
        <v>1047</v>
      </c>
      <c r="F140" t="s">
        <v>414</v>
      </c>
      <c r="G140" t="s">
        <v>415</v>
      </c>
      <c r="H140" t="s">
        <v>577</v>
      </c>
      <c r="I140" t="s">
        <v>500</v>
      </c>
      <c r="J140" t="s">
        <v>656</v>
      </c>
      <c r="K140">
        <v>1689022844.0999999</v>
      </c>
      <c r="L140">
        <f t="shared" si="138"/>
        <v>5.8499465325047495E-3</v>
      </c>
      <c r="M140">
        <f t="shared" si="139"/>
        <v>5.8499465325047497</v>
      </c>
      <c r="N140">
        <f t="shared" si="140"/>
        <v>17.58809322030654</v>
      </c>
      <c r="O140">
        <f t="shared" si="141"/>
        <v>98.208699999999993</v>
      </c>
      <c r="P140">
        <f t="shared" si="142"/>
        <v>27.077303926156926</v>
      </c>
      <c r="Q140">
        <f t="shared" si="143"/>
        <v>2.686010414503238</v>
      </c>
      <c r="R140">
        <f t="shared" si="144"/>
        <v>9.7420921859210985</v>
      </c>
      <c r="S140">
        <f t="shared" si="145"/>
        <v>0.43221235734650482</v>
      </c>
      <c r="T140">
        <f t="shared" si="146"/>
        <v>2.9132371130467729</v>
      </c>
      <c r="U140">
        <f t="shared" si="147"/>
        <v>0.39948893443382255</v>
      </c>
      <c r="V140">
        <f t="shared" si="148"/>
        <v>0.2524138766204887</v>
      </c>
      <c r="W140">
        <f t="shared" si="149"/>
        <v>289.52758657747842</v>
      </c>
      <c r="X140">
        <f t="shared" si="150"/>
        <v>29.926739903749514</v>
      </c>
      <c r="Y140">
        <f t="shared" si="151"/>
        <v>29.969899999999999</v>
      </c>
      <c r="Z140">
        <f t="shared" si="152"/>
        <v>4.2530893454648417</v>
      </c>
      <c r="AA140">
        <f t="shared" si="153"/>
        <v>67.961089393467944</v>
      </c>
      <c r="AB140">
        <f t="shared" si="154"/>
        <v>2.8525037015121</v>
      </c>
      <c r="AC140">
        <f t="shared" si="155"/>
        <v>4.1972601189442784</v>
      </c>
      <c r="AD140">
        <f t="shared" si="156"/>
        <v>1.4005856439527418</v>
      </c>
      <c r="AE140">
        <f t="shared" si="157"/>
        <v>-257.98264208345944</v>
      </c>
      <c r="AF140">
        <f t="shared" si="158"/>
        <v>-36.092029337024719</v>
      </c>
      <c r="AG140">
        <f t="shared" si="159"/>
        <v>-2.7507491170717535</v>
      </c>
      <c r="AH140">
        <f t="shared" si="160"/>
        <v>-7.297833960077476</v>
      </c>
      <c r="AI140">
        <v>0</v>
      </c>
      <c r="AJ140">
        <v>0</v>
      </c>
      <c r="AK140">
        <f t="shared" si="161"/>
        <v>1</v>
      </c>
      <c r="AL140">
        <f t="shared" si="162"/>
        <v>0</v>
      </c>
      <c r="AM140">
        <f t="shared" si="163"/>
        <v>51913.38892311485</v>
      </c>
      <c r="AN140" t="s">
        <v>418</v>
      </c>
      <c r="AO140">
        <v>10021</v>
      </c>
      <c r="AP140">
        <v>177.53923076923081</v>
      </c>
      <c r="AQ140">
        <v>655.56</v>
      </c>
      <c r="AR140">
        <f t="shared" si="164"/>
        <v>0.72917928066198234</v>
      </c>
      <c r="AS140">
        <v>-3.1115002560329539</v>
      </c>
      <c r="AT140" t="s">
        <v>1048</v>
      </c>
      <c r="AU140">
        <v>8034.95</v>
      </c>
      <c r="AV140">
        <v>687.01419230769238</v>
      </c>
      <c r="AW140">
        <v>813.04485700421708</v>
      </c>
      <c r="AX140">
        <f t="shared" si="165"/>
        <v>0.155010715104826</v>
      </c>
      <c r="AY140">
        <v>0.5</v>
      </c>
      <c r="AZ140">
        <f t="shared" si="166"/>
        <v>1512.9827992629423</v>
      </c>
      <c r="BA140">
        <f t="shared" si="167"/>
        <v>17.58809322030654</v>
      </c>
      <c r="BB140">
        <f t="shared" si="168"/>
        <v>117.26427282752505</v>
      </c>
      <c r="BC140">
        <f t="shared" si="169"/>
        <v>1.3681314477879994E-2</v>
      </c>
      <c r="BD140">
        <f t="shared" si="170"/>
        <v>-0.19369762399640922</v>
      </c>
      <c r="BE140">
        <f t="shared" si="171"/>
        <v>187.36805883780778</v>
      </c>
      <c r="BF140" t="s">
        <v>1049</v>
      </c>
      <c r="BG140">
        <v>556.14</v>
      </c>
      <c r="BH140">
        <f t="shared" si="172"/>
        <v>556.14</v>
      </c>
      <c r="BI140">
        <f t="shared" si="173"/>
        <v>0.31597870005699402</v>
      </c>
      <c r="BJ140">
        <f t="shared" si="174"/>
        <v>0.49057330470967275</v>
      </c>
      <c r="BK140">
        <f t="shared" si="175"/>
        <v>-1.5840359787187406</v>
      </c>
      <c r="BL140">
        <f t="shared" si="176"/>
        <v>0.19831557659557722</v>
      </c>
      <c r="BM140">
        <f t="shared" si="177"/>
        <v>-0.32945191326653384</v>
      </c>
      <c r="BN140">
        <f t="shared" si="178"/>
        <v>0.39712052638214845</v>
      </c>
      <c r="BO140">
        <f t="shared" si="179"/>
        <v>0.60287947361785155</v>
      </c>
      <c r="BP140">
        <v>22713</v>
      </c>
      <c r="BQ140">
        <v>290.00000000000011</v>
      </c>
      <c r="BR140">
        <v>774.48</v>
      </c>
      <c r="BS140">
        <v>255</v>
      </c>
      <c r="BT140">
        <v>8034.95</v>
      </c>
      <c r="BU140">
        <v>774.98</v>
      </c>
      <c r="BV140">
        <v>-0.5</v>
      </c>
      <c r="BW140">
        <v>300.00000000000011</v>
      </c>
      <c r="BX140">
        <v>19.399999999999999</v>
      </c>
      <c r="BY140">
        <v>813.04485700421708</v>
      </c>
      <c r="BZ140">
        <v>2.9422472228594181</v>
      </c>
      <c r="CA140">
        <v>-30.58543528784088</v>
      </c>
      <c r="CB140">
        <v>2.1710781637902352</v>
      </c>
      <c r="CC140">
        <v>0.87635920938129386</v>
      </c>
      <c r="CD140">
        <v>-4.1487850945495109E-3</v>
      </c>
      <c r="CE140">
        <v>289.99999999999989</v>
      </c>
      <c r="CF140">
        <v>773.4</v>
      </c>
      <c r="CG140">
        <v>735</v>
      </c>
      <c r="CH140">
        <v>8020.52</v>
      </c>
      <c r="CI140">
        <v>774.91</v>
      </c>
      <c r="CJ140">
        <v>-1.51</v>
      </c>
      <c r="CX140">
        <f t="shared" si="180"/>
        <v>1799.76</v>
      </c>
      <c r="CY140">
        <f t="shared" si="181"/>
        <v>1512.9827992629423</v>
      </c>
      <c r="CZ140">
        <f t="shared" si="182"/>
        <v>0.84065808733550151</v>
      </c>
      <c r="DA140">
        <f t="shared" si="183"/>
        <v>0.1608701085575179</v>
      </c>
      <c r="DB140">
        <v>6</v>
      </c>
      <c r="DC140">
        <v>0.5</v>
      </c>
      <c r="DD140" t="s">
        <v>421</v>
      </c>
      <c r="DE140">
        <v>2</v>
      </c>
      <c r="DF140">
        <v>1689022844.0999999</v>
      </c>
      <c r="DG140">
        <v>98.208699999999993</v>
      </c>
      <c r="DH140">
        <v>120.002</v>
      </c>
      <c r="DI140">
        <v>28.755700000000001</v>
      </c>
      <c r="DJ140">
        <v>21.938199999999998</v>
      </c>
      <c r="DK140">
        <v>98.063100000000006</v>
      </c>
      <c r="DL140">
        <v>28.507999999999999</v>
      </c>
      <c r="DM140">
        <v>500.04199999999997</v>
      </c>
      <c r="DN140">
        <v>99.097800000000007</v>
      </c>
      <c r="DO140">
        <v>0.100053</v>
      </c>
      <c r="DP140">
        <v>29.740100000000002</v>
      </c>
      <c r="DQ140">
        <v>29.969899999999999</v>
      </c>
      <c r="DR140">
        <v>999.9</v>
      </c>
      <c r="DS140">
        <v>0</v>
      </c>
      <c r="DT140">
        <v>0</v>
      </c>
      <c r="DU140">
        <v>9997.5</v>
      </c>
      <c r="DV140">
        <v>0</v>
      </c>
      <c r="DW140">
        <v>1384.15</v>
      </c>
      <c r="DX140">
        <v>-21.793299999999999</v>
      </c>
      <c r="DY140">
        <v>101.116</v>
      </c>
      <c r="DZ140">
        <v>122.694</v>
      </c>
      <c r="EA140">
        <v>6.8174299999999999</v>
      </c>
      <c r="EB140">
        <v>120.002</v>
      </c>
      <c r="EC140">
        <v>21.938199999999998</v>
      </c>
      <c r="ED140">
        <v>2.8496199999999998</v>
      </c>
      <c r="EE140">
        <v>2.1740300000000001</v>
      </c>
      <c r="EF140">
        <v>23.174399999999999</v>
      </c>
      <c r="EG140">
        <v>18.772200000000002</v>
      </c>
      <c r="EH140">
        <v>1799.76</v>
      </c>
      <c r="EI140">
        <v>0.97800500000000001</v>
      </c>
      <c r="EJ140">
        <v>2.1994699999999999E-2</v>
      </c>
      <c r="EK140">
        <v>0</v>
      </c>
      <c r="EL140">
        <v>686.49199999999996</v>
      </c>
      <c r="EM140">
        <v>5.0011200000000002</v>
      </c>
      <c r="EN140">
        <v>13943.6</v>
      </c>
      <c r="EO140">
        <v>17208.599999999999</v>
      </c>
      <c r="EP140">
        <v>49.186999999999998</v>
      </c>
      <c r="EQ140">
        <v>50.625</v>
      </c>
      <c r="ER140">
        <v>50.186999999999998</v>
      </c>
      <c r="ES140">
        <v>49.686999999999998</v>
      </c>
      <c r="ET140">
        <v>49.061999999999998</v>
      </c>
      <c r="EU140">
        <v>1755.28</v>
      </c>
      <c r="EV140">
        <v>39.479999999999997</v>
      </c>
      <c r="EW140">
        <v>0</v>
      </c>
      <c r="EX140">
        <v>167.4000000953674</v>
      </c>
      <c r="EY140">
        <v>0</v>
      </c>
      <c r="EZ140">
        <v>687.01419230769238</v>
      </c>
      <c r="FA140">
        <v>-3.998256406781401</v>
      </c>
      <c r="FB140">
        <v>-61.124786329503117</v>
      </c>
      <c r="FC140">
        <v>13951.68076923077</v>
      </c>
      <c r="FD140">
        <v>15</v>
      </c>
      <c r="FE140">
        <v>1689022758.5999999</v>
      </c>
      <c r="FF140" t="s">
        <v>1050</v>
      </c>
      <c r="FG140">
        <v>1689022747.0999999</v>
      </c>
      <c r="FH140">
        <v>1689022758.5999999</v>
      </c>
      <c r="FI140">
        <v>138</v>
      </c>
      <c r="FJ140">
        <v>-0.11899999999999999</v>
      </c>
      <c r="FK140">
        <v>-2E-3</v>
      </c>
      <c r="FL140">
        <v>0.2</v>
      </c>
      <c r="FM140">
        <v>0.247</v>
      </c>
      <c r="FN140">
        <v>120</v>
      </c>
      <c r="FO140">
        <v>22</v>
      </c>
      <c r="FP140">
        <v>0.14000000000000001</v>
      </c>
      <c r="FQ140">
        <v>0.02</v>
      </c>
      <c r="FR140">
        <v>17.523718688865689</v>
      </c>
      <c r="FS140">
        <v>0.44460482070673912</v>
      </c>
      <c r="FT140">
        <v>3.81693838635562E-2</v>
      </c>
      <c r="FU140">
        <v>1</v>
      </c>
      <c r="FV140">
        <v>0.43660507058161369</v>
      </c>
      <c r="FW140">
        <v>-4.2056326341480849E-2</v>
      </c>
      <c r="FX140">
        <v>3.357735902742093E-3</v>
      </c>
      <c r="FY140">
        <v>1</v>
      </c>
      <c r="FZ140">
        <v>2</v>
      </c>
      <c r="GA140">
        <v>2</v>
      </c>
      <c r="GB140" t="s">
        <v>423</v>
      </c>
      <c r="GC140">
        <v>2.9232800000000001</v>
      </c>
      <c r="GD140">
        <v>2.8273299999999999</v>
      </c>
      <c r="GE140">
        <v>2.52889E-2</v>
      </c>
      <c r="GF140">
        <v>3.0813900000000002E-2</v>
      </c>
      <c r="GG140">
        <v>0.12654799999999999</v>
      </c>
      <c r="GH140">
        <v>0.105229</v>
      </c>
      <c r="GI140">
        <v>31698.5</v>
      </c>
      <c r="GJ140">
        <v>25559.7</v>
      </c>
      <c r="GK140">
        <v>31301.3</v>
      </c>
      <c r="GL140">
        <v>26021.8</v>
      </c>
      <c r="GM140">
        <v>37482.699999999997</v>
      </c>
      <c r="GN140">
        <v>31584.400000000001</v>
      </c>
      <c r="GO140">
        <v>46481.1</v>
      </c>
      <c r="GP140">
        <v>37834.5</v>
      </c>
      <c r="GQ140">
        <v>1.90632</v>
      </c>
      <c r="GR140">
        <v>1.7009000000000001</v>
      </c>
      <c r="GS140">
        <v>-4.1376799999999998E-2</v>
      </c>
      <c r="GT140">
        <v>0</v>
      </c>
      <c r="GU140">
        <v>30.642900000000001</v>
      </c>
      <c r="GV140">
        <v>999.9</v>
      </c>
      <c r="GW140">
        <v>35.5</v>
      </c>
      <c r="GX140">
        <v>46.2</v>
      </c>
      <c r="GY140">
        <v>36.726799999999997</v>
      </c>
      <c r="GZ140">
        <v>62.502299999999998</v>
      </c>
      <c r="HA140">
        <v>19.5473</v>
      </c>
      <c r="HB140">
        <v>1</v>
      </c>
      <c r="HC140">
        <v>0.63499499999999998</v>
      </c>
      <c r="HD140">
        <v>3.4243000000000001</v>
      </c>
      <c r="HE140">
        <v>20.312200000000001</v>
      </c>
      <c r="HF140">
        <v>5.22403</v>
      </c>
      <c r="HG140">
        <v>12.0601</v>
      </c>
      <c r="HH140">
        <v>4.9927000000000001</v>
      </c>
      <c r="HI140">
        <v>3.2919999999999998</v>
      </c>
      <c r="HJ140">
        <v>9999</v>
      </c>
      <c r="HK140">
        <v>9999</v>
      </c>
      <c r="HL140">
        <v>9999</v>
      </c>
      <c r="HM140">
        <v>467.5</v>
      </c>
      <c r="HN140">
        <v>1.8666199999999999</v>
      </c>
      <c r="HO140">
        <v>1.8701300000000001</v>
      </c>
      <c r="HP140">
        <v>1.8727100000000001</v>
      </c>
      <c r="HQ140">
        <v>1.8736299999999999</v>
      </c>
      <c r="HR140">
        <v>1.87042</v>
      </c>
      <c r="HS140">
        <v>1.8687400000000001</v>
      </c>
      <c r="HT140">
        <v>1.8702700000000001</v>
      </c>
      <c r="HU140">
        <v>1.87317</v>
      </c>
      <c r="HV140">
        <v>0</v>
      </c>
      <c r="HW140">
        <v>0</v>
      </c>
      <c r="HX140">
        <v>0</v>
      </c>
      <c r="HY140">
        <v>0</v>
      </c>
      <c r="HZ140" t="s">
        <v>424</v>
      </c>
      <c r="IA140" t="s">
        <v>425</v>
      </c>
      <c r="IB140" t="s">
        <v>426</v>
      </c>
      <c r="IC140" t="s">
        <v>426</v>
      </c>
      <c r="ID140" t="s">
        <v>426</v>
      </c>
      <c r="IE140" t="s">
        <v>426</v>
      </c>
      <c r="IF140">
        <v>0</v>
      </c>
      <c r="IG140">
        <v>100</v>
      </c>
      <c r="IH140">
        <v>100</v>
      </c>
      <c r="II140">
        <v>0.14599999999999999</v>
      </c>
      <c r="IJ140">
        <v>0.2477</v>
      </c>
      <c r="IK140">
        <v>-0.12934177878460271</v>
      </c>
      <c r="IL140">
        <v>3.042515301972944E-3</v>
      </c>
      <c r="IM140">
        <v>-2.5091471490852929E-6</v>
      </c>
      <c r="IN140">
        <v>8.1339755115576286E-10</v>
      </c>
      <c r="IO140">
        <v>0.24768413001967751</v>
      </c>
      <c r="IP140">
        <v>0</v>
      </c>
      <c r="IQ140">
        <v>0</v>
      </c>
      <c r="IR140">
        <v>0</v>
      </c>
      <c r="IS140">
        <v>3</v>
      </c>
      <c r="IT140">
        <v>2004</v>
      </c>
      <c r="IU140">
        <v>2</v>
      </c>
      <c r="IV140">
        <v>22</v>
      </c>
      <c r="IW140">
        <v>1.6</v>
      </c>
      <c r="IX140">
        <v>1.4</v>
      </c>
      <c r="IY140">
        <v>0.400391</v>
      </c>
      <c r="IZ140">
        <v>2.6159699999999999</v>
      </c>
      <c r="JA140">
        <v>1.64917</v>
      </c>
      <c r="JB140">
        <v>2.34131</v>
      </c>
      <c r="JC140">
        <v>1.5991200000000001</v>
      </c>
      <c r="JD140">
        <v>2.35229</v>
      </c>
      <c r="JE140">
        <v>47.541699999999999</v>
      </c>
      <c r="JF140">
        <v>16.0671</v>
      </c>
      <c r="JG140">
        <v>18</v>
      </c>
      <c r="JH140">
        <v>519.42700000000002</v>
      </c>
      <c r="JI140">
        <v>432.63200000000001</v>
      </c>
      <c r="JJ140">
        <v>26.291799999999999</v>
      </c>
      <c r="JK140">
        <v>34.9238</v>
      </c>
      <c r="JL140">
        <v>30.0002</v>
      </c>
      <c r="JM140">
        <v>35.001300000000001</v>
      </c>
      <c r="JN140">
        <v>35.006799999999998</v>
      </c>
      <c r="JO140">
        <v>8.03139</v>
      </c>
      <c r="JP140">
        <v>100</v>
      </c>
      <c r="JQ140">
        <v>0</v>
      </c>
      <c r="JR140">
        <v>26.309000000000001</v>
      </c>
      <c r="JS140">
        <v>120</v>
      </c>
      <c r="JT140">
        <v>20.111899999999999</v>
      </c>
      <c r="JU140">
        <v>99.206699999999998</v>
      </c>
      <c r="JV140">
        <v>98.938800000000001</v>
      </c>
    </row>
    <row r="141" spans="1:282" x14ac:dyDescent="0.25">
      <c r="A141">
        <v>125</v>
      </c>
      <c r="B141">
        <v>1689022976.0999999</v>
      </c>
      <c r="C141">
        <v>23381</v>
      </c>
      <c r="D141" t="s">
        <v>1051</v>
      </c>
      <c r="E141" t="s">
        <v>1052</v>
      </c>
      <c r="F141" t="s">
        <v>414</v>
      </c>
      <c r="G141" t="s">
        <v>415</v>
      </c>
      <c r="H141" t="s">
        <v>577</v>
      </c>
      <c r="I141" t="s">
        <v>500</v>
      </c>
      <c r="J141" t="s">
        <v>656</v>
      </c>
      <c r="K141">
        <v>1689022976.0999999</v>
      </c>
      <c r="L141">
        <f t="shared" si="138"/>
        <v>6.5037005824770781E-3</v>
      </c>
      <c r="M141">
        <f t="shared" si="139"/>
        <v>6.5037005824770784</v>
      </c>
      <c r="N141">
        <f t="shared" si="140"/>
        <v>10.611226757280441</v>
      </c>
      <c r="O141">
        <f t="shared" si="141"/>
        <v>56.596600000000002</v>
      </c>
      <c r="P141">
        <f t="shared" si="142"/>
        <v>20.369370367300853</v>
      </c>
      <c r="Q141">
        <f t="shared" si="143"/>
        <v>2.0205782120637723</v>
      </c>
      <c r="R141">
        <f t="shared" si="144"/>
        <v>5.6142067611705997</v>
      </c>
      <c r="S141">
        <f t="shared" si="145"/>
        <v>0.52013161258076002</v>
      </c>
      <c r="T141">
        <f t="shared" si="146"/>
        <v>2.9173586510598319</v>
      </c>
      <c r="U141">
        <f t="shared" si="147"/>
        <v>0.47356934854222638</v>
      </c>
      <c r="V141">
        <f t="shared" si="148"/>
        <v>0.29981615156768904</v>
      </c>
      <c r="W141">
        <f t="shared" si="149"/>
        <v>289.58779657705031</v>
      </c>
      <c r="X141">
        <f t="shared" si="150"/>
        <v>29.672895704609243</v>
      </c>
      <c r="Y141">
        <f t="shared" si="151"/>
        <v>29.918900000000001</v>
      </c>
      <c r="Z141">
        <f t="shared" si="152"/>
        <v>4.2406434844426659</v>
      </c>
      <c r="AA141">
        <f t="shared" si="153"/>
        <v>70.08575316846553</v>
      </c>
      <c r="AB141">
        <f t="shared" si="154"/>
        <v>2.9275581653265998</v>
      </c>
      <c r="AC141">
        <f t="shared" si="155"/>
        <v>4.1771088031109711</v>
      </c>
      <c r="AD141">
        <f t="shared" si="156"/>
        <v>1.3130853191160661</v>
      </c>
      <c r="AE141">
        <f t="shared" si="157"/>
        <v>-286.81319568723916</v>
      </c>
      <c r="AF141">
        <f t="shared" si="158"/>
        <v>-41.270439829973974</v>
      </c>
      <c r="AG141">
        <f t="shared" si="159"/>
        <v>-3.1388838863363455</v>
      </c>
      <c r="AH141">
        <f t="shared" si="160"/>
        <v>-41.634722826499193</v>
      </c>
      <c r="AI141">
        <v>0</v>
      </c>
      <c r="AJ141">
        <v>0</v>
      </c>
      <c r="AK141">
        <f t="shared" si="161"/>
        <v>1</v>
      </c>
      <c r="AL141">
        <f t="shared" si="162"/>
        <v>0</v>
      </c>
      <c r="AM141">
        <f t="shared" si="163"/>
        <v>52045.132902267847</v>
      </c>
      <c r="AN141" t="s">
        <v>418</v>
      </c>
      <c r="AO141">
        <v>10021</v>
      </c>
      <c r="AP141">
        <v>177.53923076923081</v>
      </c>
      <c r="AQ141">
        <v>655.56</v>
      </c>
      <c r="AR141">
        <f t="shared" si="164"/>
        <v>0.72917928066198234</v>
      </c>
      <c r="AS141">
        <v>-3.1115002560329539</v>
      </c>
      <c r="AT141" t="s">
        <v>1053</v>
      </c>
      <c r="AU141">
        <v>8032.19</v>
      </c>
      <c r="AV141">
        <v>701.41876000000013</v>
      </c>
      <c r="AW141">
        <v>792.11244274996011</v>
      </c>
      <c r="AX141">
        <f t="shared" si="165"/>
        <v>0.11449597033863101</v>
      </c>
      <c r="AY141">
        <v>0.5</v>
      </c>
      <c r="AZ141">
        <f t="shared" si="166"/>
        <v>1513.2941992627204</v>
      </c>
      <c r="BA141">
        <f t="shared" si="167"/>
        <v>10.611226757280441</v>
      </c>
      <c r="BB141">
        <f t="shared" si="168"/>
        <v>86.633043876203402</v>
      </c>
      <c r="BC141">
        <f t="shared" si="169"/>
        <v>9.0681157834340033E-3</v>
      </c>
      <c r="BD141">
        <f t="shared" si="170"/>
        <v>-0.17239022565520359</v>
      </c>
      <c r="BE141">
        <f t="shared" si="171"/>
        <v>186.23390417192545</v>
      </c>
      <c r="BF141" t="s">
        <v>1054</v>
      </c>
      <c r="BG141">
        <v>578.73</v>
      </c>
      <c r="BH141">
        <f t="shared" si="172"/>
        <v>578.73</v>
      </c>
      <c r="BI141">
        <f t="shared" si="173"/>
        <v>0.26938403089486229</v>
      </c>
      <c r="BJ141">
        <f t="shared" si="174"/>
        <v>0.42502879609562882</v>
      </c>
      <c r="BK141">
        <f t="shared" si="175"/>
        <v>-1.7773323278662019</v>
      </c>
      <c r="BL141">
        <f t="shared" si="176"/>
        <v>0.14757181240890757</v>
      </c>
      <c r="BM141">
        <f t="shared" si="177"/>
        <v>-0.28566215432375525</v>
      </c>
      <c r="BN141">
        <f t="shared" si="178"/>
        <v>0.35068482508854371</v>
      </c>
      <c r="BO141">
        <f t="shared" si="179"/>
        <v>0.64931517491145629</v>
      </c>
      <c r="BP141">
        <v>22715</v>
      </c>
      <c r="BQ141">
        <v>290.00000000000011</v>
      </c>
      <c r="BR141">
        <v>766.71</v>
      </c>
      <c r="BS141">
        <v>275</v>
      </c>
      <c r="BT141">
        <v>8032.19</v>
      </c>
      <c r="BU141">
        <v>765.29</v>
      </c>
      <c r="BV141">
        <v>1.42</v>
      </c>
      <c r="BW141">
        <v>300.00000000000011</v>
      </c>
      <c r="BX141">
        <v>19.399999999999999</v>
      </c>
      <c r="BY141">
        <v>792.11244274996011</v>
      </c>
      <c r="BZ141">
        <v>2.4628978644275361</v>
      </c>
      <c r="CA141">
        <v>-21.541935015899941</v>
      </c>
      <c r="CB141">
        <v>1.8170277931837731</v>
      </c>
      <c r="CC141">
        <v>0.83388211013905134</v>
      </c>
      <c r="CD141">
        <v>-4.1482429365962293E-3</v>
      </c>
      <c r="CE141">
        <v>289.99999999999989</v>
      </c>
      <c r="CF141">
        <v>764.08</v>
      </c>
      <c r="CG141">
        <v>705</v>
      </c>
      <c r="CH141">
        <v>8019.78</v>
      </c>
      <c r="CI141">
        <v>765.25</v>
      </c>
      <c r="CJ141">
        <v>-1.17</v>
      </c>
      <c r="CX141">
        <f t="shared" si="180"/>
        <v>1800.13</v>
      </c>
      <c r="CY141">
        <f t="shared" si="181"/>
        <v>1513.2941992627204</v>
      </c>
      <c r="CZ141">
        <f t="shared" si="182"/>
        <v>0.84065828538090048</v>
      </c>
      <c r="DA141">
        <f t="shared" si="183"/>
        <v>0.1608704907851379</v>
      </c>
      <c r="DB141">
        <v>6</v>
      </c>
      <c r="DC141">
        <v>0.5</v>
      </c>
      <c r="DD141" t="s">
        <v>421</v>
      </c>
      <c r="DE141">
        <v>2</v>
      </c>
      <c r="DF141">
        <v>1689022976.0999999</v>
      </c>
      <c r="DG141">
        <v>56.596600000000002</v>
      </c>
      <c r="DH141">
        <v>69.768799999999999</v>
      </c>
      <c r="DI141">
        <v>29.512599999999999</v>
      </c>
      <c r="DJ141">
        <v>21.940200000000001</v>
      </c>
      <c r="DK141">
        <v>56.530200000000001</v>
      </c>
      <c r="DL141">
        <v>29.267700000000001</v>
      </c>
      <c r="DM141">
        <v>500.113</v>
      </c>
      <c r="DN141">
        <v>99.096599999999995</v>
      </c>
      <c r="DO141">
        <v>0.10029100000000001</v>
      </c>
      <c r="DP141">
        <v>29.656500000000001</v>
      </c>
      <c r="DQ141">
        <v>29.918900000000001</v>
      </c>
      <c r="DR141">
        <v>999.9</v>
      </c>
      <c r="DS141">
        <v>0</v>
      </c>
      <c r="DT141">
        <v>0</v>
      </c>
      <c r="DU141">
        <v>10021.200000000001</v>
      </c>
      <c r="DV141">
        <v>0</v>
      </c>
      <c r="DW141">
        <v>849.16700000000003</v>
      </c>
      <c r="DX141">
        <v>-13.1722</v>
      </c>
      <c r="DY141">
        <v>58.317700000000002</v>
      </c>
      <c r="DZ141">
        <v>71.3339</v>
      </c>
      <c r="EA141">
        <v>7.5723799999999999</v>
      </c>
      <c r="EB141">
        <v>69.768799999999999</v>
      </c>
      <c r="EC141">
        <v>21.940200000000001</v>
      </c>
      <c r="ED141">
        <v>2.9245999999999999</v>
      </c>
      <c r="EE141">
        <v>2.1741999999999999</v>
      </c>
      <c r="EF141">
        <v>23.604700000000001</v>
      </c>
      <c r="EG141">
        <v>18.773499999999999</v>
      </c>
      <c r="EH141">
        <v>1800.13</v>
      </c>
      <c r="EI141">
        <v>0.97799400000000003</v>
      </c>
      <c r="EJ141">
        <v>2.20056E-2</v>
      </c>
      <c r="EK141">
        <v>0</v>
      </c>
      <c r="EL141">
        <v>701.47199999999998</v>
      </c>
      <c r="EM141">
        <v>5.0011200000000002</v>
      </c>
      <c r="EN141">
        <v>14044.5</v>
      </c>
      <c r="EO141">
        <v>17212.2</v>
      </c>
      <c r="EP141">
        <v>49.625</v>
      </c>
      <c r="EQ141">
        <v>51.061999999999998</v>
      </c>
      <c r="ER141">
        <v>50.625</v>
      </c>
      <c r="ES141">
        <v>50.125</v>
      </c>
      <c r="ET141">
        <v>50.25</v>
      </c>
      <c r="EU141">
        <v>1755.63</v>
      </c>
      <c r="EV141">
        <v>39.5</v>
      </c>
      <c r="EW141">
        <v>0</v>
      </c>
      <c r="EX141">
        <v>130.20000004768369</v>
      </c>
      <c r="EY141">
        <v>0</v>
      </c>
      <c r="EZ141">
        <v>701.41876000000013</v>
      </c>
      <c r="FA141">
        <v>0.95261537291439802</v>
      </c>
      <c r="FB141">
        <v>-1337.192304600291</v>
      </c>
      <c r="FC141">
        <v>14093.492</v>
      </c>
      <c r="FD141">
        <v>15</v>
      </c>
      <c r="FE141">
        <v>1689022923.5999999</v>
      </c>
      <c r="FF141" t="s">
        <v>1055</v>
      </c>
      <c r="FG141">
        <v>1689022922.5999999</v>
      </c>
      <c r="FH141">
        <v>1689022923.5999999</v>
      </c>
      <c r="FI141">
        <v>139</v>
      </c>
      <c r="FJ141">
        <v>3.2000000000000001E-2</v>
      </c>
      <c r="FK141">
        <v>-3.0000000000000001E-3</v>
      </c>
      <c r="FL141">
        <v>0.10299999999999999</v>
      </c>
      <c r="FM141">
        <v>0.245</v>
      </c>
      <c r="FN141">
        <v>70</v>
      </c>
      <c r="FO141">
        <v>22</v>
      </c>
      <c r="FP141">
        <v>0.19</v>
      </c>
      <c r="FQ141">
        <v>0.02</v>
      </c>
      <c r="FR141">
        <v>10.52829633962449</v>
      </c>
      <c r="FS141">
        <v>6.3081982945386974E-3</v>
      </c>
      <c r="FT141">
        <v>4.033259340083676E-2</v>
      </c>
      <c r="FU141">
        <v>1</v>
      </c>
      <c r="FV141">
        <v>0.54754031821418259</v>
      </c>
      <c r="FW141">
        <v>3.086141851126184E-2</v>
      </c>
      <c r="FX141">
        <v>1.256240803143327E-2</v>
      </c>
      <c r="FY141">
        <v>1</v>
      </c>
      <c r="FZ141">
        <v>2</v>
      </c>
      <c r="GA141">
        <v>2</v>
      </c>
      <c r="GB141" t="s">
        <v>423</v>
      </c>
      <c r="GC141">
        <v>2.9233199999999999</v>
      </c>
      <c r="GD141">
        <v>2.8277700000000001</v>
      </c>
      <c r="GE141">
        <v>1.4740899999999999E-2</v>
      </c>
      <c r="GF141">
        <v>1.8239499999999999E-2</v>
      </c>
      <c r="GG141">
        <v>0.12883800000000001</v>
      </c>
      <c r="GH141">
        <v>0.105211</v>
      </c>
      <c r="GI141">
        <v>32030.6</v>
      </c>
      <c r="GJ141">
        <v>25884.400000000001</v>
      </c>
      <c r="GK141">
        <v>31291.599999999999</v>
      </c>
      <c r="GL141">
        <v>26016.2</v>
      </c>
      <c r="GM141">
        <v>37373.1</v>
      </c>
      <c r="GN141">
        <v>31578.3</v>
      </c>
      <c r="GO141">
        <v>46466.5</v>
      </c>
      <c r="GP141">
        <v>37826.300000000003</v>
      </c>
      <c r="GQ141">
        <v>1.9049</v>
      </c>
      <c r="GR141">
        <v>1.6996500000000001</v>
      </c>
      <c r="GS141">
        <v>-5.01722E-2</v>
      </c>
      <c r="GT141">
        <v>0</v>
      </c>
      <c r="GU141">
        <v>30.734999999999999</v>
      </c>
      <c r="GV141">
        <v>999.9</v>
      </c>
      <c r="GW141">
        <v>35.299999999999997</v>
      </c>
      <c r="GX141">
        <v>46.2</v>
      </c>
      <c r="GY141">
        <v>36.515700000000002</v>
      </c>
      <c r="GZ141">
        <v>62.1723</v>
      </c>
      <c r="HA141">
        <v>19.4511</v>
      </c>
      <c r="HB141">
        <v>1</v>
      </c>
      <c r="HC141">
        <v>0.64929599999999998</v>
      </c>
      <c r="HD141">
        <v>3.9458199999999999</v>
      </c>
      <c r="HE141">
        <v>20.301400000000001</v>
      </c>
      <c r="HF141">
        <v>5.22403</v>
      </c>
      <c r="HG141">
        <v>12.0618</v>
      </c>
      <c r="HH141">
        <v>4.9927999999999999</v>
      </c>
      <c r="HI141">
        <v>3.2919999999999998</v>
      </c>
      <c r="HJ141">
        <v>9999</v>
      </c>
      <c r="HK141">
        <v>9999</v>
      </c>
      <c r="HL141">
        <v>9999</v>
      </c>
      <c r="HM141">
        <v>467.5</v>
      </c>
      <c r="HN141">
        <v>1.8666100000000001</v>
      </c>
      <c r="HO141">
        <v>1.87012</v>
      </c>
      <c r="HP141">
        <v>1.8727100000000001</v>
      </c>
      <c r="HQ141">
        <v>1.8736299999999999</v>
      </c>
      <c r="HR141">
        <v>1.87042</v>
      </c>
      <c r="HS141">
        <v>1.8687499999999999</v>
      </c>
      <c r="HT141">
        <v>1.8702700000000001</v>
      </c>
      <c r="HU141">
        <v>1.8731800000000001</v>
      </c>
      <c r="HV141">
        <v>0</v>
      </c>
      <c r="HW141">
        <v>0</v>
      </c>
      <c r="HX141">
        <v>0</v>
      </c>
      <c r="HY141">
        <v>0</v>
      </c>
      <c r="HZ141" t="s">
        <v>424</v>
      </c>
      <c r="IA141" t="s">
        <v>425</v>
      </c>
      <c r="IB141" t="s">
        <v>426</v>
      </c>
      <c r="IC141" t="s">
        <v>426</v>
      </c>
      <c r="ID141" t="s">
        <v>426</v>
      </c>
      <c r="IE141" t="s">
        <v>426</v>
      </c>
      <c r="IF141">
        <v>0</v>
      </c>
      <c r="IG141">
        <v>100</v>
      </c>
      <c r="IH141">
        <v>100</v>
      </c>
      <c r="II141">
        <v>6.6000000000000003E-2</v>
      </c>
      <c r="IJ141">
        <v>0.24490000000000001</v>
      </c>
      <c r="IK141">
        <v>-9.7690211373950675E-2</v>
      </c>
      <c r="IL141">
        <v>3.042515301972944E-3</v>
      </c>
      <c r="IM141">
        <v>-2.5091471490852929E-6</v>
      </c>
      <c r="IN141">
        <v>8.1339755115576286E-10</v>
      </c>
      <c r="IO141">
        <v>0.2448999999999977</v>
      </c>
      <c r="IP141">
        <v>0</v>
      </c>
      <c r="IQ141">
        <v>0</v>
      </c>
      <c r="IR141">
        <v>0</v>
      </c>
      <c r="IS141">
        <v>3</v>
      </c>
      <c r="IT141">
        <v>2004</v>
      </c>
      <c r="IU141">
        <v>2</v>
      </c>
      <c r="IV141">
        <v>22</v>
      </c>
      <c r="IW141">
        <v>0.9</v>
      </c>
      <c r="IX141">
        <v>0.9</v>
      </c>
      <c r="IY141">
        <v>0.28564499999999998</v>
      </c>
      <c r="IZ141">
        <v>2.63428</v>
      </c>
      <c r="JA141">
        <v>1.64917</v>
      </c>
      <c r="JB141">
        <v>2.34131</v>
      </c>
      <c r="JC141">
        <v>1.5991200000000001</v>
      </c>
      <c r="JD141">
        <v>2.32056</v>
      </c>
      <c r="JE141">
        <v>47.541699999999999</v>
      </c>
      <c r="JF141">
        <v>16.040800000000001</v>
      </c>
      <c r="JG141">
        <v>18</v>
      </c>
      <c r="JH141">
        <v>519.27300000000002</v>
      </c>
      <c r="JI141">
        <v>432.49299999999999</v>
      </c>
      <c r="JJ141">
        <v>25.9498</v>
      </c>
      <c r="JK141">
        <v>35.057299999999998</v>
      </c>
      <c r="JL141">
        <v>30.0014</v>
      </c>
      <c r="JM141">
        <v>35.106699999999996</v>
      </c>
      <c r="JN141">
        <v>35.104300000000002</v>
      </c>
      <c r="JO141">
        <v>5.7229900000000002</v>
      </c>
      <c r="JP141">
        <v>100</v>
      </c>
      <c r="JQ141">
        <v>0</v>
      </c>
      <c r="JR141">
        <v>25.9696</v>
      </c>
      <c r="JS141">
        <v>70</v>
      </c>
      <c r="JT141">
        <v>19.807300000000001</v>
      </c>
      <c r="JU141">
        <v>99.175600000000003</v>
      </c>
      <c r="JV141">
        <v>98.917500000000004</v>
      </c>
    </row>
    <row r="142" spans="1:282" x14ac:dyDescent="0.25">
      <c r="A142">
        <v>126</v>
      </c>
      <c r="B142">
        <v>1689023100.0999999</v>
      </c>
      <c r="C142">
        <v>23505</v>
      </c>
      <c r="D142" t="s">
        <v>1056</v>
      </c>
      <c r="E142" t="s">
        <v>1057</v>
      </c>
      <c r="F142" t="s">
        <v>414</v>
      </c>
      <c r="G142" t="s">
        <v>415</v>
      </c>
      <c r="H142" t="s">
        <v>577</v>
      </c>
      <c r="I142" t="s">
        <v>500</v>
      </c>
      <c r="J142" t="s">
        <v>656</v>
      </c>
      <c r="K142">
        <v>1689023100.0999999</v>
      </c>
      <c r="L142">
        <f t="shared" si="138"/>
        <v>6.5282463461064401E-3</v>
      </c>
      <c r="M142">
        <f t="shared" si="139"/>
        <v>6.5282463461064397</v>
      </c>
      <c r="N142">
        <f t="shared" si="140"/>
        <v>4.6502578088269928</v>
      </c>
      <c r="O142">
        <f t="shared" si="141"/>
        <v>23.865500000000001</v>
      </c>
      <c r="P142">
        <f t="shared" si="142"/>
        <v>7.9053678859725132</v>
      </c>
      <c r="Q142">
        <f t="shared" si="143"/>
        <v>0.78418039058948841</v>
      </c>
      <c r="R142">
        <f t="shared" si="144"/>
        <v>2.3673606822045001</v>
      </c>
      <c r="S142">
        <f t="shared" si="145"/>
        <v>0.51653271325878036</v>
      </c>
      <c r="T142">
        <f t="shared" si="146"/>
        <v>2.9127609075894072</v>
      </c>
      <c r="U142">
        <f t="shared" si="147"/>
        <v>0.47051650127490563</v>
      </c>
      <c r="V142">
        <f t="shared" si="148"/>
        <v>0.2978648172181052</v>
      </c>
      <c r="W142">
        <f t="shared" si="149"/>
        <v>289.54949257686053</v>
      </c>
      <c r="X142">
        <f t="shared" si="150"/>
        <v>29.883485669392734</v>
      </c>
      <c r="Y142">
        <f t="shared" si="151"/>
        <v>29.979099999999999</v>
      </c>
      <c r="Z142">
        <f t="shared" si="152"/>
        <v>4.255337867188195</v>
      </c>
      <c r="AA142">
        <f t="shared" si="153"/>
        <v>69.246307148064119</v>
      </c>
      <c r="AB142">
        <f t="shared" si="154"/>
        <v>2.9288692145079005</v>
      </c>
      <c r="AC142">
        <f t="shared" si="155"/>
        <v>4.2296395795451183</v>
      </c>
      <c r="AD142">
        <f t="shared" si="156"/>
        <v>1.3264686526802945</v>
      </c>
      <c r="AE142">
        <f t="shared" si="157"/>
        <v>-287.89566386329403</v>
      </c>
      <c r="AF142">
        <f t="shared" si="158"/>
        <v>-16.551253541665719</v>
      </c>
      <c r="AG142">
        <f t="shared" si="159"/>
        <v>-1.2625501745670862</v>
      </c>
      <c r="AH142">
        <f t="shared" si="160"/>
        <v>-16.159975002666304</v>
      </c>
      <c r="AI142">
        <v>0</v>
      </c>
      <c r="AJ142">
        <v>0</v>
      </c>
      <c r="AK142">
        <f t="shared" si="161"/>
        <v>1</v>
      </c>
      <c r="AL142">
        <f t="shared" si="162"/>
        <v>0</v>
      </c>
      <c r="AM142">
        <f t="shared" si="163"/>
        <v>51876.891063578398</v>
      </c>
      <c r="AN142" t="s">
        <v>418</v>
      </c>
      <c r="AO142">
        <v>10021</v>
      </c>
      <c r="AP142">
        <v>177.53923076923081</v>
      </c>
      <c r="AQ142">
        <v>655.56</v>
      </c>
      <c r="AR142">
        <f t="shared" si="164"/>
        <v>0.72917928066198234</v>
      </c>
      <c r="AS142">
        <v>-3.1115002560329539</v>
      </c>
      <c r="AT142" t="s">
        <v>1058</v>
      </c>
      <c r="AU142">
        <v>8044.43</v>
      </c>
      <c r="AV142">
        <v>716.89336000000014</v>
      </c>
      <c r="AW142">
        <v>784.94183394623701</v>
      </c>
      <c r="AX142">
        <f t="shared" si="165"/>
        <v>8.6692377706674373E-2</v>
      </c>
      <c r="AY142">
        <v>0.5</v>
      </c>
      <c r="AZ142">
        <f t="shared" si="166"/>
        <v>1513.0925992626221</v>
      </c>
      <c r="BA142">
        <f t="shared" si="167"/>
        <v>4.6502578088269928</v>
      </c>
      <c r="BB142">
        <f t="shared" si="168"/>
        <v>65.586797560224454</v>
      </c>
      <c r="BC142">
        <f t="shared" si="169"/>
        <v>5.129731034731448E-3</v>
      </c>
      <c r="BD142">
        <f t="shared" si="170"/>
        <v>-0.16482983623866684</v>
      </c>
      <c r="BE142">
        <f t="shared" si="171"/>
        <v>185.83477134837466</v>
      </c>
      <c r="BF142" t="s">
        <v>1059</v>
      </c>
      <c r="BG142">
        <v>604.03</v>
      </c>
      <c r="BH142">
        <f t="shared" si="172"/>
        <v>604.03</v>
      </c>
      <c r="BI142">
        <f t="shared" si="173"/>
        <v>0.23047801266587642</v>
      </c>
      <c r="BJ142">
        <f t="shared" si="174"/>
        <v>0.37614164016743845</v>
      </c>
      <c r="BK142">
        <f t="shared" si="175"/>
        <v>-2.5108060148697291</v>
      </c>
      <c r="BL142">
        <f t="shared" si="176"/>
        <v>0.11203191028538698</v>
      </c>
      <c r="BM142">
        <f t="shared" si="177"/>
        <v>-0.27066153245692287</v>
      </c>
      <c r="BN142">
        <f t="shared" si="178"/>
        <v>0.31692417253012051</v>
      </c>
      <c r="BO142">
        <f t="shared" si="179"/>
        <v>0.68307582746987949</v>
      </c>
      <c r="BP142">
        <v>22717</v>
      </c>
      <c r="BQ142">
        <v>290.00000000000011</v>
      </c>
      <c r="BR142">
        <v>765.77</v>
      </c>
      <c r="BS142">
        <v>125</v>
      </c>
      <c r="BT142">
        <v>8044.43</v>
      </c>
      <c r="BU142">
        <v>763.99</v>
      </c>
      <c r="BV142">
        <v>1.78</v>
      </c>
      <c r="BW142">
        <v>300.00000000000011</v>
      </c>
      <c r="BX142">
        <v>19.399999999999999</v>
      </c>
      <c r="BY142">
        <v>784.94183394623701</v>
      </c>
      <c r="BZ142">
        <v>1.874408326312712</v>
      </c>
      <c r="CA142">
        <v>-16.8510177279137</v>
      </c>
      <c r="CB142">
        <v>1.382837944364514</v>
      </c>
      <c r="CC142">
        <v>0.84135462286794804</v>
      </c>
      <c r="CD142">
        <v>-4.1481799777530583E-3</v>
      </c>
      <c r="CE142">
        <v>289.99999999999989</v>
      </c>
      <c r="CF142">
        <v>763</v>
      </c>
      <c r="CG142">
        <v>645</v>
      </c>
      <c r="CH142">
        <v>8021.4</v>
      </c>
      <c r="CI142">
        <v>763.93</v>
      </c>
      <c r="CJ142">
        <v>-0.93</v>
      </c>
      <c r="CX142">
        <f t="shared" si="180"/>
        <v>1799.89</v>
      </c>
      <c r="CY142">
        <f t="shared" si="181"/>
        <v>1513.0925992626221</v>
      </c>
      <c r="CZ142">
        <f t="shared" si="182"/>
        <v>0.84065837315759406</v>
      </c>
      <c r="DA142">
        <f t="shared" si="183"/>
        <v>0.16087066019415661</v>
      </c>
      <c r="DB142">
        <v>6</v>
      </c>
      <c r="DC142">
        <v>0.5</v>
      </c>
      <c r="DD142" t="s">
        <v>421</v>
      </c>
      <c r="DE142">
        <v>2</v>
      </c>
      <c r="DF142">
        <v>1689023100.0999999</v>
      </c>
      <c r="DG142">
        <v>23.865500000000001</v>
      </c>
      <c r="DH142">
        <v>29.6327</v>
      </c>
      <c r="DI142">
        <v>29.5261</v>
      </c>
      <c r="DJ142">
        <v>21.9236</v>
      </c>
      <c r="DK142">
        <v>23.669699999999999</v>
      </c>
      <c r="DL142">
        <v>29.287099999999999</v>
      </c>
      <c r="DM142">
        <v>500.00599999999997</v>
      </c>
      <c r="DN142">
        <v>99.095600000000005</v>
      </c>
      <c r="DO142">
        <v>0.100339</v>
      </c>
      <c r="DP142">
        <v>29.873699999999999</v>
      </c>
      <c r="DQ142">
        <v>29.979099999999999</v>
      </c>
      <c r="DR142">
        <v>999.9</v>
      </c>
      <c r="DS142">
        <v>0</v>
      </c>
      <c r="DT142">
        <v>0</v>
      </c>
      <c r="DU142">
        <v>9995</v>
      </c>
      <c r="DV142">
        <v>0</v>
      </c>
      <c r="DW142">
        <v>1366.2</v>
      </c>
      <c r="DX142">
        <v>-5.7672600000000003</v>
      </c>
      <c r="DY142">
        <v>24.5916</v>
      </c>
      <c r="DZ142">
        <v>30.297000000000001</v>
      </c>
      <c r="EA142">
        <v>7.6024799999999999</v>
      </c>
      <c r="EB142">
        <v>29.6327</v>
      </c>
      <c r="EC142">
        <v>21.9236</v>
      </c>
      <c r="ED142">
        <v>2.92591</v>
      </c>
      <c r="EE142">
        <v>2.1725300000000001</v>
      </c>
      <c r="EF142">
        <v>23.612200000000001</v>
      </c>
      <c r="EG142">
        <v>18.761199999999999</v>
      </c>
      <c r="EH142">
        <v>1799.89</v>
      </c>
      <c r="EI142">
        <v>0.97799100000000005</v>
      </c>
      <c r="EJ142">
        <v>2.20092E-2</v>
      </c>
      <c r="EK142">
        <v>0</v>
      </c>
      <c r="EL142">
        <v>717.18399999999997</v>
      </c>
      <c r="EM142">
        <v>5.0011200000000002</v>
      </c>
      <c r="EN142">
        <v>14562.9</v>
      </c>
      <c r="EO142">
        <v>17209.8</v>
      </c>
      <c r="EP142">
        <v>49.625</v>
      </c>
      <c r="EQ142">
        <v>50.936999999999998</v>
      </c>
      <c r="ER142">
        <v>50.686999999999998</v>
      </c>
      <c r="ES142">
        <v>50.125</v>
      </c>
      <c r="ET142">
        <v>50.25</v>
      </c>
      <c r="EU142">
        <v>1755.39</v>
      </c>
      <c r="EV142">
        <v>39.5</v>
      </c>
      <c r="EW142">
        <v>0</v>
      </c>
      <c r="EX142">
        <v>121.7999999523163</v>
      </c>
      <c r="EY142">
        <v>0</v>
      </c>
      <c r="EZ142">
        <v>716.89336000000014</v>
      </c>
      <c r="FA142">
        <v>2.7816153679986941</v>
      </c>
      <c r="FB142">
        <v>-6.6461538578672874</v>
      </c>
      <c r="FC142">
        <v>14563.451999999999</v>
      </c>
      <c r="FD142">
        <v>15</v>
      </c>
      <c r="FE142">
        <v>1689023046.5999999</v>
      </c>
      <c r="FF142" t="s">
        <v>1060</v>
      </c>
      <c r="FG142">
        <v>1689023043.5999999</v>
      </c>
      <c r="FH142">
        <v>1689023046.5999999</v>
      </c>
      <c r="FI142">
        <v>140</v>
      </c>
      <c r="FJ142">
        <v>0.223</v>
      </c>
      <c r="FK142">
        <v>-6.0000000000000001E-3</v>
      </c>
      <c r="FL142">
        <v>0.214</v>
      </c>
      <c r="FM142">
        <v>0.23699999999999999</v>
      </c>
      <c r="FN142">
        <v>30</v>
      </c>
      <c r="FO142">
        <v>22</v>
      </c>
      <c r="FP142">
        <v>0.45</v>
      </c>
      <c r="FQ142">
        <v>0.02</v>
      </c>
      <c r="FR142">
        <v>4.7565825279545173</v>
      </c>
      <c r="FS142">
        <v>-0.11548951372697221</v>
      </c>
      <c r="FT142">
        <v>0.112586046258703</v>
      </c>
      <c r="FU142">
        <v>1</v>
      </c>
      <c r="FV142">
        <v>0.52857665870907766</v>
      </c>
      <c r="FW142">
        <v>1.2830720713086489E-2</v>
      </c>
      <c r="FX142">
        <v>5.7772436780957129E-3</v>
      </c>
      <c r="FY142">
        <v>1</v>
      </c>
      <c r="FZ142">
        <v>2</v>
      </c>
      <c r="GA142">
        <v>2</v>
      </c>
      <c r="GB142" t="s">
        <v>423</v>
      </c>
      <c r="GC142">
        <v>2.9230499999999999</v>
      </c>
      <c r="GD142">
        <v>2.8275899999999998</v>
      </c>
      <c r="GE142">
        <v>6.19631E-3</v>
      </c>
      <c r="GF142">
        <v>7.8097100000000001E-3</v>
      </c>
      <c r="GG142">
        <v>0.12889300000000001</v>
      </c>
      <c r="GH142">
        <v>0.105152</v>
      </c>
      <c r="GI142">
        <v>32307.3</v>
      </c>
      <c r="GJ142">
        <v>26157.599999999999</v>
      </c>
      <c r="GK142">
        <v>31291.1</v>
      </c>
      <c r="GL142">
        <v>26015</v>
      </c>
      <c r="GM142">
        <v>37369.699999999997</v>
      </c>
      <c r="GN142">
        <v>31579.7</v>
      </c>
      <c r="GO142">
        <v>46465.4</v>
      </c>
      <c r="GP142">
        <v>37825.800000000003</v>
      </c>
      <c r="GQ142">
        <v>1.90513</v>
      </c>
      <c r="GR142">
        <v>1.7002999999999999</v>
      </c>
      <c r="GS142">
        <v>-2.36928E-2</v>
      </c>
      <c r="GT142">
        <v>0</v>
      </c>
      <c r="GU142">
        <v>30.364599999999999</v>
      </c>
      <c r="GV142">
        <v>999.9</v>
      </c>
      <c r="GW142">
        <v>35.1</v>
      </c>
      <c r="GX142">
        <v>46.1</v>
      </c>
      <c r="GY142">
        <v>36.1248</v>
      </c>
      <c r="GZ142">
        <v>62.702399999999997</v>
      </c>
      <c r="HA142">
        <v>19.631399999999999</v>
      </c>
      <c r="HB142">
        <v>1</v>
      </c>
      <c r="HC142">
        <v>0.65747199999999995</v>
      </c>
      <c r="HD142">
        <v>5.02041</v>
      </c>
      <c r="HE142">
        <v>20.2239</v>
      </c>
      <c r="HF142">
        <v>5.2244799999999998</v>
      </c>
      <c r="HG142">
        <v>12.063700000000001</v>
      </c>
      <c r="HH142">
        <v>4.9931000000000001</v>
      </c>
      <c r="HI142">
        <v>3.2919999999999998</v>
      </c>
      <c r="HJ142">
        <v>9999</v>
      </c>
      <c r="HK142">
        <v>9999</v>
      </c>
      <c r="HL142">
        <v>9999</v>
      </c>
      <c r="HM142">
        <v>467.5</v>
      </c>
      <c r="HN142">
        <v>1.86676</v>
      </c>
      <c r="HO142">
        <v>1.8702700000000001</v>
      </c>
      <c r="HP142">
        <v>1.87286</v>
      </c>
      <c r="HQ142">
        <v>1.87378</v>
      </c>
      <c r="HR142">
        <v>1.8705700000000001</v>
      </c>
      <c r="HS142">
        <v>1.8689</v>
      </c>
      <c r="HT142">
        <v>1.87042</v>
      </c>
      <c r="HU142">
        <v>1.8733299999999999</v>
      </c>
      <c r="HV142">
        <v>0</v>
      </c>
      <c r="HW142">
        <v>0</v>
      </c>
      <c r="HX142">
        <v>0</v>
      </c>
      <c r="HY142">
        <v>0</v>
      </c>
      <c r="HZ142" t="s">
        <v>424</v>
      </c>
      <c r="IA142" t="s">
        <v>425</v>
      </c>
      <c r="IB142" t="s">
        <v>426</v>
      </c>
      <c r="IC142" t="s">
        <v>426</v>
      </c>
      <c r="ID142" t="s">
        <v>426</v>
      </c>
      <c r="IE142" t="s">
        <v>426</v>
      </c>
      <c r="IF142">
        <v>0</v>
      </c>
      <c r="IG142">
        <v>100</v>
      </c>
      <c r="IH142">
        <v>100</v>
      </c>
      <c r="II142">
        <v>0.19600000000000001</v>
      </c>
      <c r="IJ142">
        <v>0.23899999999999999</v>
      </c>
      <c r="IK142">
        <v>0.12513644752735351</v>
      </c>
      <c r="IL142">
        <v>3.042515301972944E-3</v>
      </c>
      <c r="IM142">
        <v>-2.5091471490852929E-6</v>
      </c>
      <c r="IN142">
        <v>8.1339755115576286E-10</v>
      </c>
      <c r="IO142">
        <v>0.23901333575213529</v>
      </c>
      <c r="IP142">
        <v>0</v>
      </c>
      <c r="IQ142">
        <v>0</v>
      </c>
      <c r="IR142">
        <v>0</v>
      </c>
      <c r="IS142">
        <v>3</v>
      </c>
      <c r="IT142">
        <v>2004</v>
      </c>
      <c r="IU142">
        <v>2</v>
      </c>
      <c r="IV142">
        <v>22</v>
      </c>
      <c r="IW142">
        <v>0.9</v>
      </c>
      <c r="IX142">
        <v>0.9</v>
      </c>
      <c r="IY142">
        <v>0.19409199999999999</v>
      </c>
      <c r="IZ142">
        <v>2.65381</v>
      </c>
      <c r="JA142">
        <v>1.64917</v>
      </c>
      <c r="JB142">
        <v>2.34131</v>
      </c>
      <c r="JC142">
        <v>1.5991200000000001</v>
      </c>
      <c r="JD142">
        <v>2.3034699999999999</v>
      </c>
      <c r="JE142">
        <v>47.541699999999999</v>
      </c>
      <c r="JF142">
        <v>24.192599999999999</v>
      </c>
      <c r="JG142">
        <v>18</v>
      </c>
      <c r="JH142">
        <v>519.49800000000005</v>
      </c>
      <c r="JI142">
        <v>432.96600000000001</v>
      </c>
      <c r="JJ142">
        <v>25.404399999999999</v>
      </c>
      <c r="JK142">
        <v>35.042999999999999</v>
      </c>
      <c r="JL142">
        <v>29.998999999999999</v>
      </c>
      <c r="JM142">
        <v>35.116300000000003</v>
      </c>
      <c r="JN142">
        <v>35.111600000000003</v>
      </c>
      <c r="JO142">
        <v>3.8986000000000001</v>
      </c>
      <c r="JP142">
        <v>100</v>
      </c>
      <c r="JQ142">
        <v>0</v>
      </c>
      <c r="JR142">
        <v>25.436199999999999</v>
      </c>
      <c r="JS142">
        <v>30</v>
      </c>
      <c r="JT142">
        <v>20.202300000000001</v>
      </c>
      <c r="JU142">
        <v>99.173699999999997</v>
      </c>
      <c r="JV142">
        <v>98.914699999999996</v>
      </c>
    </row>
    <row r="143" spans="1:282" x14ac:dyDescent="0.25">
      <c r="A143">
        <v>127</v>
      </c>
      <c r="B143">
        <v>1689023266.0999999</v>
      </c>
      <c r="C143">
        <v>23671</v>
      </c>
      <c r="D143" t="s">
        <v>1061</v>
      </c>
      <c r="E143" t="s">
        <v>1062</v>
      </c>
      <c r="F143" t="s">
        <v>414</v>
      </c>
      <c r="G143" t="s">
        <v>415</v>
      </c>
      <c r="H143" t="s">
        <v>577</v>
      </c>
      <c r="I143" t="s">
        <v>500</v>
      </c>
      <c r="J143" t="s">
        <v>656</v>
      </c>
      <c r="K143">
        <v>1689023266.0999999</v>
      </c>
      <c r="L143">
        <f t="shared" si="138"/>
        <v>6.3671067134593706E-3</v>
      </c>
      <c r="M143">
        <f t="shared" si="139"/>
        <v>6.3671067134593704</v>
      </c>
      <c r="N143">
        <f t="shared" si="140"/>
        <v>1.7588442947420526</v>
      </c>
      <c r="O143">
        <f t="shared" si="141"/>
        <v>7.6838600000000001</v>
      </c>
      <c r="P143">
        <f t="shared" si="142"/>
        <v>1.5623909077396363</v>
      </c>
      <c r="Q143">
        <f t="shared" si="143"/>
        <v>0.15498187387027823</v>
      </c>
      <c r="R143">
        <f t="shared" si="144"/>
        <v>0.76220298995449998</v>
      </c>
      <c r="S143">
        <f t="shared" si="145"/>
        <v>0.50579715407850867</v>
      </c>
      <c r="T143">
        <f t="shared" si="146"/>
        <v>2.911656555111251</v>
      </c>
      <c r="U143">
        <f t="shared" si="147"/>
        <v>0.46157107911489653</v>
      </c>
      <c r="V143">
        <f t="shared" si="148"/>
        <v>0.29213252585356542</v>
      </c>
      <c r="W143">
        <f t="shared" si="149"/>
        <v>289.58939257705828</v>
      </c>
      <c r="X143">
        <f t="shared" si="150"/>
        <v>29.807691999710901</v>
      </c>
      <c r="Y143">
        <f t="shared" si="151"/>
        <v>29.905799999999999</v>
      </c>
      <c r="Z143">
        <f t="shared" si="152"/>
        <v>4.237451734862522</v>
      </c>
      <c r="AA143">
        <f t="shared" si="153"/>
        <v>69.470636545641568</v>
      </c>
      <c r="AB143">
        <f t="shared" si="154"/>
        <v>2.918465334955</v>
      </c>
      <c r="AC143">
        <f t="shared" si="155"/>
        <v>4.2010056047746094</v>
      </c>
      <c r="AD143">
        <f t="shared" si="156"/>
        <v>1.318986399907522</v>
      </c>
      <c r="AE143">
        <f t="shared" si="157"/>
        <v>-280.78940606355826</v>
      </c>
      <c r="AF143">
        <f t="shared" si="158"/>
        <v>-23.577378875513201</v>
      </c>
      <c r="AG143">
        <f t="shared" si="159"/>
        <v>-1.7974892918740273</v>
      </c>
      <c r="AH143">
        <f t="shared" si="160"/>
        <v>-16.574881653887186</v>
      </c>
      <c r="AI143">
        <v>0</v>
      </c>
      <c r="AJ143">
        <v>0</v>
      </c>
      <c r="AK143">
        <f t="shared" si="161"/>
        <v>1</v>
      </c>
      <c r="AL143">
        <f t="shared" si="162"/>
        <v>0</v>
      </c>
      <c r="AM143">
        <f t="shared" si="163"/>
        <v>51865.681072663952</v>
      </c>
      <c r="AN143" t="s">
        <v>418</v>
      </c>
      <c r="AO143">
        <v>10021</v>
      </c>
      <c r="AP143">
        <v>177.53923076923081</v>
      </c>
      <c r="AQ143">
        <v>655.56</v>
      </c>
      <c r="AR143">
        <f t="shared" si="164"/>
        <v>0.72917928066198234</v>
      </c>
      <c r="AS143">
        <v>-3.1115002560329539</v>
      </c>
      <c r="AT143" t="s">
        <v>1063</v>
      </c>
      <c r="AU143">
        <v>8033.11</v>
      </c>
      <c r="AV143">
        <v>723.31784615384618</v>
      </c>
      <c r="AW143">
        <v>782.53876347524329</v>
      </c>
      <c r="AX143">
        <f t="shared" si="165"/>
        <v>7.5677934545245851E-2</v>
      </c>
      <c r="AY143">
        <v>0.5</v>
      </c>
      <c r="AZ143">
        <f t="shared" si="166"/>
        <v>1513.3025992627245</v>
      </c>
      <c r="BA143">
        <f t="shared" si="167"/>
        <v>1.7588442947420526</v>
      </c>
      <c r="BB143">
        <f t="shared" si="168"/>
        <v>57.261807527077437</v>
      </c>
      <c r="BC143">
        <f t="shared" si="169"/>
        <v>3.218354711838743E-3</v>
      </c>
      <c r="BD143">
        <f t="shared" si="170"/>
        <v>-0.16226514187148058</v>
      </c>
      <c r="BE143">
        <f t="shared" si="171"/>
        <v>185.69976272844758</v>
      </c>
      <c r="BF143" t="s">
        <v>1064</v>
      </c>
      <c r="BG143">
        <v>607.38</v>
      </c>
      <c r="BH143">
        <f t="shared" si="172"/>
        <v>607.38</v>
      </c>
      <c r="BI143">
        <f t="shared" si="173"/>
        <v>0.22383397685932616</v>
      </c>
      <c r="BJ143">
        <f t="shared" si="174"/>
        <v>0.33809851215218995</v>
      </c>
      <c r="BK143">
        <f t="shared" si="175"/>
        <v>-2.6355077516654934</v>
      </c>
      <c r="BL143">
        <f t="shared" si="176"/>
        <v>9.7885889360139949E-2</v>
      </c>
      <c r="BM143">
        <f t="shared" si="177"/>
        <v>-0.2656344068053309</v>
      </c>
      <c r="BN143">
        <f t="shared" si="178"/>
        <v>0.28390599707022751</v>
      </c>
      <c r="BO143">
        <f t="shared" si="179"/>
        <v>0.71609400292977243</v>
      </c>
      <c r="BP143">
        <v>22719</v>
      </c>
      <c r="BQ143">
        <v>290.00000000000011</v>
      </c>
      <c r="BR143">
        <v>761.62</v>
      </c>
      <c r="BS143">
        <v>255</v>
      </c>
      <c r="BT143">
        <v>8033.11</v>
      </c>
      <c r="BU143">
        <v>761.15</v>
      </c>
      <c r="BV143">
        <v>0.47</v>
      </c>
      <c r="BW143">
        <v>300.00000000000011</v>
      </c>
      <c r="BX143">
        <v>19.399999999999999</v>
      </c>
      <c r="BY143">
        <v>782.53876347524329</v>
      </c>
      <c r="BZ143">
        <v>2.071929756781318</v>
      </c>
      <c r="CA143">
        <v>-17.185816068148689</v>
      </c>
      <c r="CB143">
        <v>1.528504845358936</v>
      </c>
      <c r="CC143">
        <v>0.81867322450488011</v>
      </c>
      <c r="CD143">
        <v>-4.1480856507230329E-3</v>
      </c>
      <c r="CE143">
        <v>289.99999999999989</v>
      </c>
      <c r="CF143">
        <v>759.81</v>
      </c>
      <c r="CG143">
        <v>655</v>
      </c>
      <c r="CH143">
        <v>8020.8</v>
      </c>
      <c r="CI143">
        <v>761.11</v>
      </c>
      <c r="CJ143">
        <v>-1.3</v>
      </c>
      <c r="CX143">
        <f t="shared" si="180"/>
        <v>1800.14</v>
      </c>
      <c r="CY143">
        <f t="shared" si="181"/>
        <v>1513.3025992627245</v>
      </c>
      <c r="CZ143">
        <f t="shared" si="182"/>
        <v>0.84065828172404611</v>
      </c>
      <c r="DA143">
        <f t="shared" si="183"/>
        <v>0.16087048372740911</v>
      </c>
      <c r="DB143">
        <v>6</v>
      </c>
      <c r="DC143">
        <v>0.5</v>
      </c>
      <c r="DD143" t="s">
        <v>421</v>
      </c>
      <c r="DE143">
        <v>2</v>
      </c>
      <c r="DF143">
        <v>1689023266.0999999</v>
      </c>
      <c r="DG143">
        <v>7.6838600000000001</v>
      </c>
      <c r="DH143">
        <v>9.8532600000000006</v>
      </c>
      <c r="DI143">
        <v>29.421399999999998</v>
      </c>
      <c r="DJ143">
        <v>22.005400000000002</v>
      </c>
      <c r="DK143">
        <v>7.3222899999999997</v>
      </c>
      <c r="DL143">
        <v>29.1752</v>
      </c>
      <c r="DM143">
        <v>499.98200000000003</v>
      </c>
      <c r="DN143">
        <v>99.094999999999999</v>
      </c>
      <c r="DO143">
        <v>0.100325</v>
      </c>
      <c r="DP143">
        <v>29.755600000000001</v>
      </c>
      <c r="DQ143">
        <v>29.905799999999999</v>
      </c>
      <c r="DR143">
        <v>999.9</v>
      </c>
      <c r="DS143">
        <v>0</v>
      </c>
      <c r="DT143">
        <v>0</v>
      </c>
      <c r="DU143">
        <v>9988.75</v>
      </c>
      <c r="DV143">
        <v>0</v>
      </c>
      <c r="DW143">
        <v>1383.76</v>
      </c>
      <c r="DX143">
        <v>-2.1694</v>
      </c>
      <c r="DY143">
        <v>7.9167800000000002</v>
      </c>
      <c r="DZ143">
        <v>10.074999999999999</v>
      </c>
      <c r="EA143">
        <v>7.4159699999999997</v>
      </c>
      <c r="EB143">
        <v>9.8532600000000006</v>
      </c>
      <c r="EC143">
        <v>22.005400000000002</v>
      </c>
      <c r="ED143">
        <v>2.9155099999999998</v>
      </c>
      <c r="EE143">
        <v>2.1806299999999998</v>
      </c>
      <c r="EF143">
        <v>23.553100000000001</v>
      </c>
      <c r="EG143">
        <v>18.820699999999999</v>
      </c>
      <c r="EH143">
        <v>1800.14</v>
      </c>
      <c r="EI143">
        <v>0.97799499999999995</v>
      </c>
      <c r="EJ143">
        <v>2.2005500000000001E-2</v>
      </c>
      <c r="EK143">
        <v>0</v>
      </c>
      <c r="EL143">
        <v>723.601</v>
      </c>
      <c r="EM143">
        <v>5.0011200000000002</v>
      </c>
      <c r="EN143">
        <v>14714.6</v>
      </c>
      <c r="EO143">
        <v>17212.3</v>
      </c>
      <c r="EP143">
        <v>49.686999999999998</v>
      </c>
      <c r="EQ143">
        <v>51</v>
      </c>
      <c r="ER143">
        <v>50.625</v>
      </c>
      <c r="ES143">
        <v>50.061999999999998</v>
      </c>
      <c r="ET143">
        <v>49.811999999999998</v>
      </c>
      <c r="EU143">
        <v>1755.64</v>
      </c>
      <c r="EV143">
        <v>39.5</v>
      </c>
      <c r="EW143">
        <v>0</v>
      </c>
      <c r="EX143">
        <v>163.79999995231631</v>
      </c>
      <c r="EY143">
        <v>0</v>
      </c>
      <c r="EZ143">
        <v>723.31784615384618</v>
      </c>
      <c r="FA143">
        <v>0.80225641556219029</v>
      </c>
      <c r="FB143">
        <v>34.52991446802934</v>
      </c>
      <c r="FC143">
        <v>14717.30769230769</v>
      </c>
      <c r="FD143">
        <v>15</v>
      </c>
      <c r="FE143">
        <v>1689023189.5999999</v>
      </c>
      <c r="FF143" t="s">
        <v>1065</v>
      </c>
      <c r="FG143">
        <v>1689023177.5999999</v>
      </c>
      <c r="FH143">
        <v>1689023189.5999999</v>
      </c>
      <c r="FI143">
        <v>141</v>
      </c>
      <c r="FJ143">
        <v>0.214</v>
      </c>
      <c r="FK143">
        <v>7.0000000000000001E-3</v>
      </c>
      <c r="FL143">
        <v>0.36899999999999999</v>
      </c>
      <c r="FM143">
        <v>0.246</v>
      </c>
      <c r="FN143">
        <v>10</v>
      </c>
      <c r="FO143">
        <v>22</v>
      </c>
      <c r="FP143">
        <v>0.74</v>
      </c>
      <c r="FQ143">
        <v>0.01</v>
      </c>
      <c r="FR143">
        <v>1.7340429192212381</v>
      </c>
      <c r="FS143">
        <v>0.51267671769533896</v>
      </c>
      <c r="FT143">
        <v>4.794833258553266E-2</v>
      </c>
      <c r="FU143">
        <v>1</v>
      </c>
      <c r="FV143">
        <v>0.51170868740212183</v>
      </c>
      <c r="FW143">
        <v>-4.6047189422188682E-2</v>
      </c>
      <c r="FX143">
        <v>3.6015145839440252E-3</v>
      </c>
      <c r="FY143">
        <v>1</v>
      </c>
      <c r="FZ143">
        <v>2</v>
      </c>
      <c r="GA143">
        <v>2</v>
      </c>
      <c r="GB143" t="s">
        <v>423</v>
      </c>
      <c r="GC143">
        <v>2.923</v>
      </c>
      <c r="GD143">
        <v>2.8275199999999998</v>
      </c>
      <c r="GE143">
        <v>1.9168799999999999E-3</v>
      </c>
      <c r="GF143">
        <v>2.6002999999999998E-3</v>
      </c>
      <c r="GG143">
        <v>0.128554</v>
      </c>
      <c r="GH143">
        <v>0.10542700000000001</v>
      </c>
      <c r="GI143">
        <v>32449.9</v>
      </c>
      <c r="GJ143">
        <v>26297.1</v>
      </c>
      <c r="GK143">
        <v>31294.799999999999</v>
      </c>
      <c r="GL143">
        <v>26017.5</v>
      </c>
      <c r="GM143">
        <v>37388.400000000001</v>
      </c>
      <c r="GN143">
        <v>31572.2</v>
      </c>
      <c r="GO143">
        <v>46470.7</v>
      </c>
      <c r="GP143">
        <v>37828.5</v>
      </c>
      <c r="GQ143">
        <v>1.9053500000000001</v>
      </c>
      <c r="GR143">
        <v>1.7018</v>
      </c>
      <c r="GS143">
        <v>-3.9115499999999997E-2</v>
      </c>
      <c r="GT143">
        <v>0</v>
      </c>
      <c r="GU143">
        <v>30.542100000000001</v>
      </c>
      <c r="GV143">
        <v>999.9</v>
      </c>
      <c r="GW143">
        <v>34.799999999999997</v>
      </c>
      <c r="GX143">
        <v>46.1</v>
      </c>
      <c r="GY143">
        <v>35.818300000000001</v>
      </c>
      <c r="GZ143">
        <v>62.572400000000002</v>
      </c>
      <c r="HA143">
        <v>19.7316</v>
      </c>
      <c r="HB143">
        <v>1</v>
      </c>
      <c r="HC143">
        <v>0.64689300000000005</v>
      </c>
      <c r="HD143">
        <v>3.7176300000000002</v>
      </c>
      <c r="HE143">
        <v>20.258199999999999</v>
      </c>
      <c r="HF143">
        <v>5.22403</v>
      </c>
      <c r="HG143">
        <v>12.0634</v>
      </c>
      <c r="HH143">
        <v>4.9926500000000003</v>
      </c>
      <c r="HI143">
        <v>3.2919999999999998</v>
      </c>
      <c r="HJ143">
        <v>9999</v>
      </c>
      <c r="HK143">
        <v>9999</v>
      </c>
      <c r="HL143">
        <v>9999</v>
      </c>
      <c r="HM143">
        <v>467.6</v>
      </c>
      <c r="HN143">
        <v>1.8668499999999999</v>
      </c>
      <c r="HO143">
        <v>1.8702700000000001</v>
      </c>
      <c r="HP143">
        <v>1.8728899999999999</v>
      </c>
      <c r="HQ143">
        <v>1.8738300000000001</v>
      </c>
      <c r="HR143">
        <v>1.8705700000000001</v>
      </c>
      <c r="HS143">
        <v>1.86897</v>
      </c>
      <c r="HT143">
        <v>1.87042</v>
      </c>
      <c r="HU143">
        <v>1.87341</v>
      </c>
      <c r="HV143">
        <v>0</v>
      </c>
      <c r="HW143">
        <v>0</v>
      </c>
      <c r="HX143">
        <v>0</v>
      </c>
      <c r="HY143">
        <v>0</v>
      </c>
      <c r="HZ143" t="s">
        <v>424</v>
      </c>
      <c r="IA143" t="s">
        <v>425</v>
      </c>
      <c r="IB143" t="s">
        <v>426</v>
      </c>
      <c r="IC143" t="s">
        <v>426</v>
      </c>
      <c r="ID143" t="s">
        <v>426</v>
      </c>
      <c r="IE143" t="s">
        <v>426</v>
      </c>
      <c r="IF143">
        <v>0</v>
      </c>
      <c r="IG143">
        <v>100</v>
      </c>
      <c r="IH143">
        <v>100</v>
      </c>
      <c r="II143">
        <v>0.36199999999999999</v>
      </c>
      <c r="IJ143">
        <v>0.2462</v>
      </c>
      <c r="IK143">
        <v>0.33942343422398519</v>
      </c>
      <c r="IL143">
        <v>3.042515301972944E-3</v>
      </c>
      <c r="IM143">
        <v>-2.5091471490852929E-6</v>
      </c>
      <c r="IN143">
        <v>8.1339755115576286E-10</v>
      </c>
      <c r="IO143">
        <v>0.2461699999999922</v>
      </c>
      <c r="IP143">
        <v>0</v>
      </c>
      <c r="IQ143">
        <v>0</v>
      </c>
      <c r="IR143">
        <v>0</v>
      </c>
      <c r="IS143">
        <v>3</v>
      </c>
      <c r="IT143">
        <v>2004</v>
      </c>
      <c r="IU143">
        <v>2</v>
      </c>
      <c r="IV143">
        <v>22</v>
      </c>
      <c r="IW143">
        <v>1.5</v>
      </c>
      <c r="IX143">
        <v>1.3</v>
      </c>
      <c r="IY143">
        <v>0.142822</v>
      </c>
      <c r="IZ143">
        <v>2.6831100000000001</v>
      </c>
      <c r="JA143">
        <v>1.64917</v>
      </c>
      <c r="JB143">
        <v>2.34131</v>
      </c>
      <c r="JC143">
        <v>1.5991200000000001</v>
      </c>
      <c r="JD143">
        <v>2.2583000000000002</v>
      </c>
      <c r="JE143">
        <v>47.692399999999999</v>
      </c>
      <c r="JF143">
        <v>24.2013</v>
      </c>
      <c r="JG143">
        <v>18</v>
      </c>
      <c r="JH143">
        <v>519.59900000000005</v>
      </c>
      <c r="JI143">
        <v>433.96499999999997</v>
      </c>
      <c r="JJ143">
        <v>25.953600000000002</v>
      </c>
      <c r="JK143">
        <v>35.031700000000001</v>
      </c>
      <c r="JL143">
        <v>29.9999</v>
      </c>
      <c r="JM143">
        <v>35.109900000000003</v>
      </c>
      <c r="JN143">
        <v>35.114800000000002</v>
      </c>
      <c r="JO143">
        <v>2.8675299999999999</v>
      </c>
      <c r="JP143">
        <v>100</v>
      </c>
      <c r="JQ143">
        <v>0</v>
      </c>
      <c r="JR143">
        <v>25.972799999999999</v>
      </c>
      <c r="JS143">
        <v>10</v>
      </c>
      <c r="JT143">
        <v>19.934100000000001</v>
      </c>
      <c r="JU143">
        <v>99.185100000000006</v>
      </c>
      <c r="JV143">
        <v>98.922899999999998</v>
      </c>
    </row>
    <row r="144" spans="1:282" x14ac:dyDescent="0.25">
      <c r="A144">
        <v>128</v>
      </c>
      <c r="B144">
        <v>1689023455.5999999</v>
      </c>
      <c r="C144">
        <v>23860.5</v>
      </c>
      <c r="D144" t="s">
        <v>1066</v>
      </c>
      <c r="E144" t="s">
        <v>1067</v>
      </c>
      <c r="F144" t="s">
        <v>414</v>
      </c>
      <c r="G144" t="s">
        <v>415</v>
      </c>
      <c r="H144" t="s">
        <v>577</v>
      </c>
      <c r="I144" t="s">
        <v>500</v>
      </c>
      <c r="J144" t="s">
        <v>656</v>
      </c>
      <c r="K144">
        <v>1689023455.5999999</v>
      </c>
      <c r="L144">
        <f t="shared" si="138"/>
        <v>5.8464684374200165E-3</v>
      </c>
      <c r="M144">
        <f t="shared" si="139"/>
        <v>5.8464684374200164</v>
      </c>
      <c r="N144">
        <f t="shared" si="140"/>
        <v>49.012310972212724</v>
      </c>
      <c r="O144">
        <f t="shared" si="141"/>
        <v>338.79399999999998</v>
      </c>
      <c r="P144">
        <f t="shared" si="142"/>
        <v>148.38041847768989</v>
      </c>
      <c r="Q144">
        <f t="shared" si="143"/>
        <v>14.719291796979904</v>
      </c>
      <c r="R144">
        <f t="shared" si="144"/>
        <v>33.608260417568601</v>
      </c>
      <c r="S144">
        <f t="shared" si="145"/>
        <v>0.45513879319388945</v>
      </c>
      <c r="T144">
        <f t="shared" si="146"/>
        <v>2.9119600372973564</v>
      </c>
      <c r="U144">
        <f t="shared" si="147"/>
        <v>0.41899263147670884</v>
      </c>
      <c r="V144">
        <f t="shared" si="148"/>
        <v>0.26487835321178171</v>
      </c>
      <c r="W144">
        <f t="shared" si="149"/>
        <v>289.56545257693961</v>
      </c>
      <c r="X144">
        <f t="shared" si="150"/>
        <v>29.976441591344482</v>
      </c>
      <c r="Y144">
        <f t="shared" si="151"/>
        <v>29.8965</v>
      </c>
      <c r="Z144">
        <f t="shared" si="152"/>
        <v>4.2351871072877962</v>
      </c>
      <c r="AA144">
        <f t="shared" si="153"/>
        <v>68.918620547945991</v>
      </c>
      <c r="AB144">
        <f t="shared" si="154"/>
        <v>2.9007775506014206</v>
      </c>
      <c r="AC144">
        <f t="shared" si="155"/>
        <v>4.2089895699281712</v>
      </c>
      <c r="AD144">
        <f t="shared" si="156"/>
        <v>1.3344095566863756</v>
      </c>
      <c r="AE144">
        <f t="shared" si="157"/>
        <v>-257.82925809022271</v>
      </c>
      <c r="AF144">
        <f t="shared" si="158"/>
        <v>-16.939176710370752</v>
      </c>
      <c r="AG144">
        <f t="shared" si="159"/>
        <v>-1.2914238205448791</v>
      </c>
      <c r="AH144">
        <f t="shared" si="160"/>
        <v>13.505593955801267</v>
      </c>
      <c r="AI144">
        <v>0</v>
      </c>
      <c r="AJ144">
        <v>0</v>
      </c>
      <c r="AK144">
        <f t="shared" si="161"/>
        <v>1</v>
      </c>
      <c r="AL144">
        <f t="shared" si="162"/>
        <v>0</v>
      </c>
      <c r="AM144">
        <f t="shared" si="163"/>
        <v>51868.766902138123</v>
      </c>
      <c r="AN144" t="s">
        <v>418</v>
      </c>
      <c r="AO144">
        <v>10021</v>
      </c>
      <c r="AP144">
        <v>177.53923076923081</v>
      </c>
      <c r="AQ144">
        <v>655.56</v>
      </c>
      <c r="AR144">
        <f t="shared" si="164"/>
        <v>0.72917928066198234</v>
      </c>
      <c r="AS144">
        <v>-3.1115002560329539</v>
      </c>
      <c r="AT144" t="s">
        <v>1068</v>
      </c>
      <c r="AU144">
        <v>8031.86</v>
      </c>
      <c r="AV144">
        <v>706.23203846153876</v>
      </c>
      <c r="AW144">
        <v>1081.5363451717999</v>
      </c>
      <c r="AX144">
        <f t="shared" si="165"/>
        <v>0.34701035095648569</v>
      </c>
      <c r="AY144">
        <v>0.5</v>
      </c>
      <c r="AZ144">
        <f t="shared" si="166"/>
        <v>1513.1765992626629</v>
      </c>
      <c r="BA144">
        <f t="shared" si="167"/>
        <v>49.012310972212724</v>
      </c>
      <c r="BB144">
        <f t="shared" si="168"/>
        <v>262.54397138463906</v>
      </c>
      <c r="BC144">
        <f t="shared" si="169"/>
        <v>3.4446614660605009E-2</v>
      </c>
      <c r="BD144">
        <f t="shared" si="170"/>
        <v>-0.39386225629258392</v>
      </c>
      <c r="BE144">
        <f t="shared" si="171"/>
        <v>198.73780983136604</v>
      </c>
      <c r="BF144" t="s">
        <v>1069</v>
      </c>
      <c r="BG144">
        <v>562.33000000000004</v>
      </c>
      <c r="BH144">
        <f t="shared" si="172"/>
        <v>562.33000000000004</v>
      </c>
      <c r="BI144">
        <f t="shared" si="173"/>
        <v>0.48006370520014741</v>
      </c>
      <c r="BJ144">
        <f t="shared" si="174"/>
        <v>0.72284229613194906</v>
      </c>
      <c r="BK144">
        <f t="shared" si="175"/>
        <v>-4.5690909060581397</v>
      </c>
      <c r="BL144">
        <f t="shared" si="176"/>
        <v>0.41516095652394991</v>
      </c>
      <c r="BM144">
        <f t="shared" si="177"/>
        <v>-0.89112518240008887</v>
      </c>
      <c r="BN144">
        <f t="shared" si="178"/>
        <v>0.57555574690345279</v>
      </c>
      <c r="BO144">
        <f t="shared" si="179"/>
        <v>0.42444425309654721</v>
      </c>
      <c r="BP144">
        <v>22721</v>
      </c>
      <c r="BQ144">
        <v>290.00000000000011</v>
      </c>
      <c r="BR144">
        <v>943.69</v>
      </c>
      <c r="BS144">
        <v>295</v>
      </c>
      <c r="BT144">
        <v>8031.86</v>
      </c>
      <c r="BU144">
        <v>946.26</v>
      </c>
      <c r="BV144">
        <v>-2.57</v>
      </c>
      <c r="BW144">
        <v>300.00000000000011</v>
      </c>
      <c r="BX144">
        <v>19.399999999999999</v>
      </c>
      <c r="BY144">
        <v>1081.5363451717999</v>
      </c>
      <c r="BZ144">
        <v>4.7430106233954943</v>
      </c>
      <c r="CA144">
        <v>-108.65498818315</v>
      </c>
      <c r="CB144">
        <v>3.4992810884663812</v>
      </c>
      <c r="CC144">
        <v>0.97177827607444922</v>
      </c>
      <c r="CD144">
        <v>-4.1489145717463864E-3</v>
      </c>
      <c r="CE144">
        <v>289.99999999999989</v>
      </c>
      <c r="CF144">
        <v>935.13</v>
      </c>
      <c r="CG144">
        <v>625</v>
      </c>
      <c r="CH144">
        <v>8022.39</v>
      </c>
      <c r="CI144">
        <v>946.1</v>
      </c>
      <c r="CJ144">
        <v>-10.97</v>
      </c>
      <c r="CX144">
        <f t="shared" si="180"/>
        <v>1799.99</v>
      </c>
      <c r="CY144">
        <f t="shared" si="181"/>
        <v>1513.1765992626629</v>
      </c>
      <c r="CZ144">
        <f t="shared" si="182"/>
        <v>0.8406583365811271</v>
      </c>
      <c r="DA144">
        <f t="shared" si="183"/>
        <v>0.16087058960157535</v>
      </c>
      <c r="DB144">
        <v>6</v>
      </c>
      <c r="DC144">
        <v>0.5</v>
      </c>
      <c r="DD144" t="s">
        <v>421</v>
      </c>
      <c r="DE144">
        <v>2</v>
      </c>
      <c r="DF144">
        <v>1689023455.5999999</v>
      </c>
      <c r="DG144">
        <v>338.79399999999998</v>
      </c>
      <c r="DH144">
        <v>399.98200000000003</v>
      </c>
      <c r="DI144">
        <v>29.241800000000001</v>
      </c>
      <c r="DJ144">
        <v>22.4316</v>
      </c>
      <c r="DK144">
        <v>337.77499999999998</v>
      </c>
      <c r="DL144">
        <v>28.9998</v>
      </c>
      <c r="DM144">
        <v>500.03</v>
      </c>
      <c r="DN144">
        <v>99.099800000000002</v>
      </c>
      <c r="DO144">
        <v>9.9891900000000006E-2</v>
      </c>
      <c r="DP144">
        <v>29.788599999999999</v>
      </c>
      <c r="DQ144">
        <v>29.8965</v>
      </c>
      <c r="DR144">
        <v>999.9</v>
      </c>
      <c r="DS144">
        <v>0</v>
      </c>
      <c r="DT144">
        <v>0</v>
      </c>
      <c r="DU144">
        <v>9990</v>
      </c>
      <c r="DV144">
        <v>0</v>
      </c>
      <c r="DW144">
        <v>368.584</v>
      </c>
      <c r="DX144">
        <v>-61.094200000000001</v>
      </c>
      <c r="DY144">
        <v>349.09699999999998</v>
      </c>
      <c r="DZ144">
        <v>409.16</v>
      </c>
      <c r="EA144">
        <v>6.8142800000000001</v>
      </c>
      <c r="EB144">
        <v>399.98200000000003</v>
      </c>
      <c r="EC144">
        <v>22.4316</v>
      </c>
      <c r="ED144">
        <v>2.8982600000000001</v>
      </c>
      <c r="EE144">
        <v>2.2229700000000001</v>
      </c>
      <c r="EF144">
        <v>23.454699999999999</v>
      </c>
      <c r="EG144">
        <v>19.128799999999998</v>
      </c>
      <c r="EH144">
        <v>1799.99</v>
      </c>
      <c r="EI144">
        <v>0.97799499999999995</v>
      </c>
      <c r="EJ144">
        <v>2.2005500000000001E-2</v>
      </c>
      <c r="EK144">
        <v>0</v>
      </c>
      <c r="EL144">
        <v>707.43399999999997</v>
      </c>
      <c r="EM144">
        <v>5.0011200000000002</v>
      </c>
      <c r="EN144">
        <v>13834</v>
      </c>
      <c r="EO144">
        <v>17210.8</v>
      </c>
      <c r="EP144">
        <v>49.75</v>
      </c>
      <c r="EQ144">
        <v>51.061999999999998</v>
      </c>
      <c r="ER144">
        <v>50.75</v>
      </c>
      <c r="ES144">
        <v>50.25</v>
      </c>
      <c r="ET144">
        <v>50.25</v>
      </c>
      <c r="EU144">
        <v>1755.49</v>
      </c>
      <c r="EV144">
        <v>39.5</v>
      </c>
      <c r="EW144">
        <v>0</v>
      </c>
      <c r="EX144">
        <v>187.79999995231631</v>
      </c>
      <c r="EY144">
        <v>0</v>
      </c>
      <c r="EZ144">
        <v>706.23203846153876</v>
      </c>
      <c r="FA144">
        <v>9.4632136685249524</v>
      </c>
      <c r="FB144">
        <v>-1556.649574662503</v>
      </c>
      <c r="FC144">
        <v>13911.33846153846</v>
      </c>
      <c r="FD144">
        <v>15</v>
      </c>
      <c r="FE144">
        <v>1689023481.0999999</v>
      </c>
      <c r="FF144" t="s">
        <v>1070</v>
      </c>
      <c r="FG144">
        <v>1689023481.0999999</v>
      </c>
      <c r="FH144">
        <v>1689023479.0999999</v>
      </c>
      <c r="FI144">
        <v>142</v>
      </c>
      <c r="FJ144">
        <v>-0.187</v>
      </c>
      <c r="FK144">
        <v>-4.0000000000000001E-3</v>
      </c>
      <c r="FL144">
        <v>1.0189999999999999</v>
      </c>
      <c r="FM144">
        <v>0.24199999999999999</v>
      </c>
      <c r="FN144">
        <v>400</v>
      </c>
      <c r="FO144">
        <v>22</v>
      </c>
      <c r="FP144">
        <v>0.12</v>
      </c>
      <c r="FQ144">
        <v>0.05</v>
      </c>
      <c r="FR144">
        <v>48.605693200004467</v>
      </c>
      <c r="FS144">
        <v>1.7346412716429009</v>
      </c>
      <c r="FT144">
        <v>0.1353020611720219</v>
      </c>
      <c r="FU144">
        <v>0</v>
      </c>
      <c r="FV144">
        <v>0.45138086301904351</v>
      </c>
      <c r="FW144">
        <v>2.5144115777437779E-2</v>
      </c>
      <c r="FX144">
        <v>2.07978324626711E-3</v>
      </c>
      <c r="FY144">
        <v>1</v>
      </c>
      <c r="FZ144">
        <v>1</v>
      </c>
      <c r="GA144">
        <v>2</v>
      </c>
      <c r="GB144" t="s">
        <v>462</v>
      </c>
      <c r="GC144">
        <v>2.9230900000000002</v>
      </c>
      <c r="GD144">
        <v>2.8271000000000002</v>
      </c>
      <c r="GE144">
        <v>7.6701900000000003E-2</v>
      </c>
      <c r="GF144">
        <v>8.7836499999999998E-2</v>
      </c>
      <c r="GG144">
        <v>0.12801699999999999</v>
      </c>
      <c r="GH144">
        <v>0.106859</v>
      </c>
      <c r="GI144">
        <v>30018.799999999999</v>
      </c>
      <c r="GJ144">
        <v>24051.3</v>
      </c>
      <c r="GK144">
        <v>31291.7</v>
      </c>
      <c r="GL144">
        <v>26015.200000000001</v>
      </c>
      <c r="GM144">
        <v>37409.4</v>
      </c>
      <c r="GN144">
        <v>31519.7</v>
      </c>
      <c r="GO144">
        <v>46466.5</v>
      </c>
      <c r="GP144">
        <v>37824.699999999997</v>
      </c>
      <c r="GQ144">
        <v>1.90438</v>
      </c>
      <c r="GR144">
        <v>1.70417</v>
      </c>
      <c r="GS144">
        <v>-4.6473E-2</v>
      </c>
      <c r="GT144">
        <v>0</v>
      </c>
      <c r="GU144">
        <v>30.6524</v>
      </c>
      <c r="GV144">
        <v>999.9</v>
      </c>
      <c r="GW144">
        <v>34.6</v>
      </c>
      <c r="GX144">
        <v>46</v>
      </c>
      <c r="GY144">
        <v>35.427500000000002</v>
      </c>
      <c r="GZ144">
        <v>62.542400000000001</v>
      </c>
      <c r="HA144">
        <v>19.595400000000001</v>
      </c>
      <c r="HB144">
        <v>1</v>
      </c>
      <c r="HC144">
        <v>0.65320100000000003</v>
      </c>
      <c r="HD144">
        <v>3.9133100000000001</v>
      </c>
      <c r="HE144">
        <v>20.252700000000001</v>
      </c>
      <c r="HF144">
        <v>5.2249299999999996</v>
      </c>
      <c r="HG144">
        <v>12.063000000000001</v>
      </c>
      <c r="HH144">
        <v>4.9930500000000002</v>
      </c>
      <c r="HI144">
        <v>3.2919999999999998</v>
      </c>
      <c r="HJ144">
        <v>9999</v>
      </c>
      <c r="HK144">
        <v>9999</v>
      </c>
      <c r="HL144">
        <v>9999</v>
      </c>
      <c r="HM144">
        <v>467.6</v>
      </c>
      <c r="HN144">
        <v>1.86686</v>
      </c>
      <c r="HO144">
        <v>1.87029</v>
      </c>
      <c r="HP144">
        <v>1.87286</v>
      </c>
      <c r="HQ144">
        <v>1.8737999999999999</v>
      </c>
      <c r="HR144">
        <v>1.8705700000000001</v>
      </c>
      <c r="HS144">
        <v>1.8689800000000001</v>
      </c>
      <c r="HT144">
        <v>1.87042</v>
      </c>
      <c r="HU144">
        <v>1.8734</v>
      </c>
      <c r="HV144">
        <v>0</v>
      </c>
      <c r="HW144">
        <v>0</v>
      </c>
      <c r="HX144">
        <v>0</v>
      </c>
      <c r="HY144">
        <v>0</v>
      </c>
      <c r="HZ144" t="s">
        <v>424</v>
      </c>
      <c r="IA144" t="s">
        <v>425</v>
      </c>
      <c r="IB144" t="s">
        <v>426</v>
      </c>
      <c r="IC144" t="s">
        <v>426</v>
      </c>
      <c r="ID144" t="s">
        <v>426</v>
      </c>
      <c r="IE144" t="s">
        <v>426</v>
      </c>
      <c r="IF144">
        <v>0</v>
      </c>
      <c r="IG144">
        <v>100</v>
      </c>
      <c r="IH144">
        <v>100</v>
      </c>
      <c r="II144">
        <v>1.0189999999999999</v>
      </c>
      <c r="IJ144">
        <v>0.24199999999999999</v>
      </c>
      <c r="IK144">
        <v>0.33942343422398519</v>
      </c>
      <c r="IL144">
        <v>3.042515301972944E-3</v>
      </c>
      <c r="IM144">
        <v>-2.5091471490852929E-6</v>
      </c>
      <c r="IN144">
        <v>8.1339755115576286E-10</v>
      </c>
      <c r="IO144">
        <v>0.2461699999999922</v>
      </c>
      <c r="IP144">
        <v>0</v>
      </c>
      <c r="IQ144">
        <v>0</v>
      </c>
      <c r="IR144">
        <v>0</v>
      </c>
      <c r="IS144">
        <v>3</v>
      </c>
      <c r="IT144">
        <v>2004</v>
      </c>
      <c r="IU144">
        <v>2</v>
      </c>
      <c r="IV144">
        <v>22</v>
      </c>
      <c r="IW144">
        <v>4.5999999999999996</v>
      </c>
      <c r="IX144">
        <v>4.4000000000000004</v>
      </c>
      <c r="IY144">
        <v>1.02905</v>
      </c>
      <c r="IZ144">
        <v>2.6220699999999999</v>
      </c>
      <c r="JA144">
        <v>1.64917</v>
      </c>
      <c r="JB144">
        <v>2.34131</v>
      </c>
      <c r="JC144">
        <v>1.5991200000000001</v>
      </c>
      <c r="JD144">
        <v>2.2607400000000002</v>
      </c>
      <c r="JE144">
        <v>47.783099999999997</v>
      </c>
      <c r="JF144">
        <v>24.2013</v>
      </c>
      <c r="JG144">
        <v>18</v>
      </c>
      <c r="JH144">
        <v>519.16399999999999</v>
      </c>
      <c r="JI144">
        <v>435.71300000000002</v>
      </c>
      <c r="JJ144">
        <v>25.791399999999999</v>
      </c>
      <c r="JK144">
        <v>35.067</v>
      </c>
      <c r="JL144">
        <v>29.999099999999999</v>
      </c>
      <c r="JM144">
        <v>35.1387</v>
      </c>
      <c r="JN144">
        <v>35.143500000000003</v>
      </c>
      <c r="JO144">
        <v>20.617799999999999</v>
      </c>
      <c r="JP144">
        <v>100</v>
      </c>
      <c r="JQ144">
        <v>0</v>
      </c>
      <c r="JR144">
        <v>25.953399999999998</v>
      </c>
      <c r="JS144">
        <v>400</v>
      </c>
      <c r="JT144">
        <v>19.934100000000001</v>
      </c>
      <c r="JU144">
        <v>99.175799999999995</v>
      </c>
      <c r="JV144">
        <v>98.913300000000007</v>
      </c>
    </row>
    <row r="145" spans="1:282" x14ac:dyDescent="0.25">
      <c r="A145">
        <v>129</v>
      </c>
      <c r="B145">
        <v>1689023634.5999999</v>
      </c>
      <c r="C145">
        <v>24039.5</v>
      </c>
      <c r="D145" t="s">
        <v>1071</v>
      </c>
      <c r="E145" t="s">
        <v>1072</v>
      </c>
      <c r="F145" t="s">
        <v>414</v>
      </c>
      <c r="G145" t="s">
        <v>415</v>
      </c>
      <c r="H145" t="s">
        <v>577</v>
      </c>
      <c r="I145" t="s">
        <v>500</v>
      </c>
      <c r="J145" t="s">
        <v>656</v>
      </c>
      <c r="K145">
        <v>1689023634.5999999</v>
      </c>
      <c r="L145">
        <f t="shared" ref="L145:L176" si="184">(M145)/1000</f>
        <v>5.9607112721589313E-3</v>
      </c>
      <c r="M145">
        <f t="shared" ref="M145:M166" si="185">1000*DM145*AK145*(DI145-DJ145)/(100*DB145*(1000-AK145*DI145))</f>
        <v>5.9607112721589317</v>
      </c>
      <c r="N145">
        <f t="shared" ref="N145:N166" si="186">DM145*AK145*(DH145-DG145*(1000-AK145*DJ145)/(1000-AK145*DI145))/(100*DB145)</f>
        <v>53.153169322564281</v>
      </c>
      <c r="O145">
        <f t="shared" ref="O145:O176" si="187">DG145 - IF(AK145&gt;1, N145*DB145*100/(AM145*DU145), 0)</f>
        <v>333.87</v>
      </c>
      <c r="P145">
        <f t="shared" ref="P145:P176" si="188">((V145-L145/2)*O145-N145)/(V145+L145/2)</f>
        <v>131.13524301753191</v>
      </c>
      <c r="Q145">
        <f t="shared" ref="Q145:Q176" si="189">P145*(DN145+DO145)/1000</f>
        <v>13.009302062681865</v>
      </c>
      <c r="R145">
        <f t="shared" ref="R145:R166" si="190">(DG145 - IF(AK145&gt;1, N145*DB145*100/(AM145*DU145), 0))*(DN145+DO145)/1000</f>
        <v>33.121650440582997</v>
      </c>
      <c r="S145">
        <f t="shared" ref="S145:S176" si="191">2/((1/U145-1/T145)+SIGN(U145)*SQRT((1/U145-1/T145)*(1/U145-1/T145) + 4*DC145/((DC145+1)*(DC145+1))*(2*1/U145*1/T145-1/T145*1/T145)))</f>
        <v>0.462756872542745</v>
      </c>
      <c r="T145">
        <f t="shared" ref="T145:T166" si="192">IF(LEFT(DD145,1)&lt;&gt;"0",IF(LEFT(DD145,1)="1",3,DE145),$D$5+$E$5*(DU145*DN145/($K$5*1000))+$F$5*(DU145*DN145/($K$5*1000))*MAX(MIN(DB145,$J$5),$I$5)*MAX(MIN(DB145,$J$5),$I$5)+$G$5*MAX(MIN(DB145,$J$5),$I$5)*(DU145*DN145/($K$5*1000))+$H$5*(DU145*DN145/($K$5*1000))*(DU145*DN145/($K$5*1000)))</f>
        <v>2.9140166804714571</v>
      </c>
      <c r="U145">
        <f t="shared" ref="U145:U166" si="193">L145*(1000-(1000*0.61365*EXP(17.502*Y145/(240.97+Y145))/(DN145+DO145)+DI145)/2)/(1000*0.61365*EXP(17.502*Y145/(240.97+Y145))/(DN145+DO145)-DI145)</f>
        <v>0.42546773466385235</v>
      </c>
      <c r="V145">
        <f t="shared" ref="V145:V166" si="194">1/((DC145+1)/(S145/1.6)+1/(T145/1.37)) + DC145/((DC145+1)/(S145/1.6) + DC145/(T145/1.37))</f>
        <v>0.26901677409026836</v>
      </c>
      <c r="W145">
        <f t="shared" ref="W145:W166" si="195">(CX145*DA145)</f>
        <v>289.56124357655563</v>
      </c>
      <c r="X145">
        <f t="shared" ref="X145:X176" si="196">(DP145+(W145+2*0.95*0.0000000567*(((DP145+$B$7)+273)^4-(DP145+273)^4)-44100*L145)/(1.84*29.3*T145+8*0.95*0.0000000567*(DP145+273)^3))</f>
        <v>30.254859111680354</v>
      </c>
      <c r="Y145">
        <f t="shared" ref="Y145:Y176" si="197">($C$7*DQ145+$D$7*DR145+$E$7*X145)</f>
        <v>30.081099999999999</v>
      </c>
      <c r="Z145">
        <f t="shared" ref="Z145:Z176" si="198">0.61365*EXP(17.502*Y145/(240.97+Y145))</f>
        <v>4.2803366319539355</v>
      </c>
      <c r="AA145">
        <f t="shared" ref="AA145:AA176" si="199">(AB145/AC145*100)</f>
        <v>68.648687305484628</v>
      </c>
      <c r="AB145">
        <f t="shared" ref="AB145:AB166" si="200">DI145*(DN145+DO145)/1000</f>
        <v>2.9410779573537602</v>
      </c>
      <c r="AC145">
        <f t="shared" ref="AC145:AC166" si="201">0.61365*EXP(17.502*DP145/(240.97+DP145))</f>
        <v>4.2842450056853245</v>
      </c>
      <c r="AD145">
        <f t="shared" ref="AD145:AD166" si="202">(Z145-DI145*(DN145+DO145)/1000)</f>
        <v>1.3392586746001753</v>
      </c>
      <c r="AE145">
        <f t="shared" ref="AE145:AE166" si="203">(-L145*44100)</f>
        <v>-262.86736710220885</v>
      </c>
      <c r="AF145">
        <f t="shared" ref="AF145:AF166" si="204">2*29.3*T145*0.92*(DP145-Y145)</f>
        <v>2.4978974297137957</v>
      </c>
      <c r="AG145">
        <f t="shared" ref="AG145:AG166" si="205">2*0.95*0.0000000567*(((DP145+$B$7)+273)^4-(Y145+273)^4)</f>
        <v>0.19076755571887405</v>
      </c>
      <c r="AH145">
        <f t="shared" ref="AH145:AH176" si="206">W145+AG145+AE145+AF145</f>
        <v>29.382541459779453</v>
      </c>
      <c r="AI145">
        <v>0</v>
      </c>
      <c r="AJ145">
        <v>0</v>
      </c>
      <c r="AK145">
        <f t="shared" ref="AK145:AK166" si="207">IF(AI145*$H$13&gt;=AM145,1,(AM145/(AM145-AI145*$H$13)))</f>
        <v>1</v>
      </c>
      <c r="AL145">
        <f t="shared" ref="AL145:AL176" si="208">(AK145-1)*100</f>
        <v>0</v>
      </c>
      <c r="AM145">
        <f t="shared" ref="AM145:AM166" si="209">MAX(0,($B$13+$C$13*DU145)/(1+$D$13*DU145)*DN145/(DP145+273)*$E$13)</f>
        <v>51874.592005454739</v>
      </c>
      <c r="AN145" t="s">
        <v>418</v>
      </c>
      <c r="AO145">
        <v>10021</v>
      </c>
      <c r="AP145">
        <v>177.53923076923081</v>
      </c>
      <c r="AQ145">
        <v>655.56</v>
      </c>
      <c r="AR145">
        <f t="shared" ref="AR145:AR176" si="210">1-AP145/AQ145</f>
        <v>0.72917928066198234</v>
      </c>
      <c r="AS145">
        <v>-3.1115002560329539</v>
      </c>
      <c r="AT145" t="s">
        <v>1073</v>
      </c>
      <c r="AU145">
        <v>8033.26</v>
      </c>
      <c r="AV145">
        <v>741.34576923076918</v>
      </c>
      <c r="AW145">
        <v>1162.369244638985</v>
      </c>
      <c r="AX145">
        <f t="shared" ref="AX145:AX176" si="211">1-AV145/AW145</f>
        <v>0.36221147225809436</v>
      </c>
      <c r="AY145">
        <v>0.5</v>
      </c>
      <c r="AZ145">
        <f t="shared" ref="AZ145:AZ166" si="212">CY145</f>
        <v>1513.151699262464</v>
      </c>
      <c r="BA145">
        <f t="shared" ref="BA145:BA166" si="213">N145</f>
        <v>53.153169322564281</v>
      </c>
      <c r="BB145">
        <f t="shared" ref="BB145:BB166" si="214">AX145*AY145*AZ145</f>
        <v>274.04045236984717</v>
      </c>
      <c r="BC145">
        <f t="shared" ref="BC145:BC166" si="215">(BA145-AS145)/AZ145</f>
        <v>3.7183759966711596E-2</v>
      </c>
      <c r="BD145">
        <f t="shared" ref="BD145:BD166" si="216">(AQ145-AW145)/AW145</f>
        <v>-0.43601398348800313</v>
      </c>
      <c r="BE145">
        <f t="shared" ref="BE145:BE166" si="217">AP145/(AR145+AP145/AW145)</f>
        <v>201.31027420021925</v>
      </c>
      <c r="BF145" t="s">
        <v>1074</v>
      </c>
      <c r="BG145">
        <v>577.46</v>
      </c>
      <c r="BH145">
        <f t="shared" ref="BH145:BH176" si="218">IF(BG145&lt;&gt;0, BG145, BE145)</f>
        <v>577.46</v>
      </c>
      <c r="BI145">
        <f t="shared" ref="BI145:BI176" si="219">1-BH145/AW145</f>
        <v>0.50320433660531794</v>
      </c>
      <c r="BJ145">
        <f t="shared" ref="BJ145:BJ166" si="220">(AW145-AV145)/(AW145-BH145)</f>
        <v>0.71980991797809257</v>
      </c>
      <c r="BK145">
        <f t="shared" ref="BK145:BK166" si="221">(AQ145-AW145)/(AQ145-BH145)</f>
        <v>-6.4892348865427101</v>
      </c>
      <c r="BL145">
        <f t="shared" ref="BL145:BL166" si="222">(AW145-AV145)/(AW145-AP145)</f>
        <v>0.42750877763550477</v>
      </c>
      <c r="BM145">
        <f t="shared" ref="BM145:BM166" si="223">(AQ145-AW145)/(AQ145-AP145)</f>
        <v>-1.0602243192373051</v>
      </c>
      <c r="BN145">
        <f t="shared" ref="BN145:BN166" si="224">(BJ145*BH145/AV145)</f>
        <v>0.56068497654869676</v>
      </c>
      <c r="BO145">
        <f t="shared" ref="BO145:BO176" si="225">(1-BN145)</f>
        <v>0.43931502345130324</v>
      </c>
      <c r="BP145">
        <v>22723</v>
      </c>
      <c r="BQ145">
        <v>290.00000000000011</v>
      </c>
      <c r="BR145">
        <v>1012.4</v>
      </c>
      <c r="BS145">
        <v>295</v>
      </c>
      <c r="BT145">
        <v>8033.26</v>
      </c>
      <c r="BU145">
        <v>1015.83</v>
      </c>
      <c r="BV145">
        <v>-3.43</v>
      </c>
      <c r="BW145">
        <v>300.00000000000011</v>
      </c>
      <c r="BX145">
        <v>19.399999999999999</v>
      </c>
      <c r="BY145">
        <v>1162.369244638985</v>
      </c>
      <c r="BZ145">
        <v>4.4864777196331742</v>
      </c>
      <c r="CA145">
        <v>-117.7217438429375</v>
      </c>
      <c r="CB145">
        <v>3.3106426910946651</v>
      </c>
      <c r="CC145">
        <v>0.9783350889629886</v>
      </c>
      <c r="CD145">
        <v>-4.1494126807563887E-3</v>
      </c>
      <c r="CE145">
        <v>289.99999999999989</v>
      </c>
      <c r="CF145">
        <v>1006.92</v>
      </c>
      <c r="CG145">
        <v>665</v>
      </c>
      <c r="CH145">
        <v>8022.65</v>
      </c>
      <c r="CI145">
        <v>1015.63</v>
      </c>
      <c r="CJ145">
        <v>-8.7100000000000009</v>
      </c>
      <c r="CX145">
        <f t="shared" ref="CX145:CX166" si="226">$B$11*DV145+$C$11*DW145+$F$11*EH145*(1-EK145)</f>
        <v>1799.96</v>
      </c>
      <c r="CY145">
        <f t="shared" ref="CY145:CY176" si="227">CX145*CZ145</f>
        <v>1513.151699262464</v>
      </c>
      <c r="CZ145">
        <f t="shared" ref="CZ145:CZ166" si="228">($B$11*$D$9+$C$11*$D$9+$F$11*((EU145+EM145)/MAX(EU145+EM145+EV145, 0.1)*$I$9+EV145/MAX(EU145+EM145+EV145, 0.1)*$J$9))/($B$11+$C$11+$F$11)</f>
        <v>0.84065851422390714</v>
      </c>
      <c r="DA145">
        <f t="shared" ref="DA145:DA166" si="229">($B$11*$K$9+$C$11*$K$9+$F$11*((EU145+EM145)/MAX(EU145+EM145+EV145, 0.1)*$P$9+EV145/MAX(EU145+EM145+EV145, 0.1)*$Q$9))/($B$11+$C$11+$F$11)</f>
        <v>0.16087093245214096</v>
      </c>
      <c r="DB145">
        <v>6</v>
      </c>
      <c r="DC145">
        <v>0.5</v>
      </c>
      <c r="DD145" t="s">
        <v>421</v>
      </c>
      <c r="DE145">
        <v>2</v>
      </c>
      <c r="DF145">
        <v>1689023634.5999999</v>
      </c>
      <c r="DG145">
        <v>333.87</v>
      </c>
      <c r="DH145">
        <v>400.041</v>
      </c>
      <c r="DI145">
        <v>29.6464</v>
      </c>
      <c r="DJ145">
        <v>22.7057</v>
      </c>
      <c r="DK145">
        <v>333.03</v>
      </c>
      <c r="DL145">
        <v>29.395099999999999</v>
      </c>
      <c r="DM145">
        <v>500.00700000000001</v>
      </c>
      <c r="DN145">
        <v>99.1053</v>
      </c>
      <c r="DO145">
        <v>9.9930900000000003E-2</v>
      </c>
      <c r="DP145">
        <v>30.097000000000001</v>
      </c>
      <c r="DQ145">
        <v>30.081099999999999</v>
      </c>
      <c r="DR145">
        <v>999.9</v>
      </c>
      <c r="DS145">
        <v>0</v>
      </c>
      <c r="DT145">
        <v>0</v>
      </c>
      <c r="DU145">
        <v>10001.200000000001</v>
      </c>
      <c r="DV145">
        <v>0</v>
      </c>
      <c r="DW145">
        <v>1354.91</v>
      </c>
      <c r="DX145">
        <v>-66.170199999999994</v>
      </c>
      <c r="DY145">
        <v>344.07100000000003</v>
      </c>
      <c r="DZ145">
        <v>409.33499999999998</v>
      </c>
      <c r="EA145">
        <v>6.9406600000000003</v>
      </c>
      <c r="EB145">
        <v>400.041</v>
      </c>
      <c r="EC145">
        <v>22.7057</v>
      </c>
      <c r="ED145">
        <v>2.93811</v>
      </c>
      <c r="EE145">
        <v>2.2502599999999999</v>
      </c>
      <c r="EF145">
        <v>23.6813</v>
      </c>
      <c r="EG145">
        <v>19.3247</v>
      </c>
      <c r="EH145">
        <v>1799.96</v>
      </c>
      <c r="EI145">
        <v>0.97799100000000005</v>
      </c>
      <c r="EJ145">
        <v>2.20092E-2</v>
      </c>
      <c r="EK145">
        <v>0</v>
      </c>
      <c r="EL145">
        <v>741.84100000000001</v>
      </c>
      <c r="EM145">
        <v>5.0011200000000002</v>
      </c>
      <c r="EN145">
        <v>15208.2</v>
      </c>
      <c r="EO145">
        <v>17210.400000000001</v>
      </c>
      <c r="EP145">
        <v>49.5</v>
      </c>
      <c r="EQ145">
        <v>50.375</v>
      </c>
      <c r="ER145">
        <v>50.5</v>
      </c>
      <c r="ES145">
        <v>49.686999999999998</v>
      </c>
      <c r="ET145">
        <v>50.125</v>
      </c>
      <c r="EU145">
        <v>1755.45</v>
      </c>
      <c r="EV145">
        <v>39.51</v>
      </c>
      <c r="EW145">
        <v>0</v>
      </c>
      <c r="EX145">
        <v>177</v>
      </c>
      <c r="EY145">
        <v>0</v>
      </c>
      <c r="EZ145">
        <v>741.34576923076918</v>
      </c>
      <c r="FA145">
        <v>2.3896068329687128</v>
      </c>
      <c r="FB145">
        <v>109.5760684211746</v>
      </c>
      <c r="FC145">
        <v>15201.81923076923</v>
      </c>
      <c r="FD145">
        <v>15</v>
      </c>
      <c r="FE145">
        <v>1689023580.5999999</v>
      </c>
      <c r="FF145" t="s">
        <v>1075</v>
      </c>
      <c r="FG145">
        <v>1689023568.0999999</v>
      </c>
      <c r="FH145">
        <v>1689023580.5999999</v>
      </c>
      <c r="FI145">
        <v>143</v>
      </c>
      <c r="FJ145">
        <v>-7.6999999999999999E-2</v>
      </c>
      <c r="FK145">
        <v>8.9999999999999993E-3</v>
      </c>
      <c r="FL145">
        <v>0.94199999999999995</v>
      </c>
      <c r="FM145">
        <v>0.251</v>
      </c>
      <c r="FN145">
        <v>400</v>
      </c>
      <c r="FO145">
        <v>22</v>
      </c>
      <c r="FP145">
        <v>0.06</v>
      </c>
      <c r="FQ145">
        <v>0.02</v>
      </c>
      <c r="FR145">
        <v>52.913502639551233</v>
      </c>
      <c r="FS145">
        <v>0.28307508940087361</v>
      </c>
      <c r="FT145">
        <v>5.3783581628288203E-2</v>
      </c>
      <c r="FU145">
        <v>1</v>
      </c>
      <c r="FV145">
        <v>0.47231027531222758</v>
      </c>
      <c r="FW145">
        <v>2.401596394160347E-2</v>
      </c>
      <c r="FX145">
        <v>5.3080737283091057E-3</v>
      </c>
      <c r="FY145">
        <v>1</v>
      </c>
      <c r="FZ145">
        <v>2</v>
      </c>
      <c r="GA145">
        <v>2</v>
      </c>
      <c r="GB145" t="s">
        <v>423</v>
      </c>
      <c r="GC145">
        <v>2.9234100000000001</v>
      </c>
      <c r="GD145">
        <v>2.8272400000000002</v>
      </c>
      <c r="GE145">
        <v>7.5889200000000004E-2</v>
      </c>
      <c r="GF145">
        <v>8.7907100000000002E-2</v>
      </c>
      <c r="GG145">
        <v>0.129299</v>
      </c>
      <c r="GH145">
        <v>0.10784000000000001</v>
      </c>
      <c r="GI145">
        <v>30066.400000000001</v>
      </c>
      <c r="GJ145">
        <v>24063</v>
      </c>
      <c r="GK145">
        <v>31312.6</v>
      </c>
      <c r="GL145">
        <v>26028.6</v>
      </c>
      <c r="GM145">
        <v>37378.699999999997</v>
      </c>
      <c r="GN145">
        <v>31500.5</v>
      </c>
      <c r="GO145">
        <v>46498.3</v>
      </c>
      <c r="GP145">
        <v>37843.9</v>
      </c>
      <c r="GQ145">
        <v>1.9075299999999999</v>
      </c>
      <c r="GR145">
        <v>1.71082</v>
      </c>
      <c r="GS145">
        <v>1.6830899999999999E-2</v>
      </c>
      <c r="GT145">
        <v>0</v>
      </c>
      <c r="GU145">
        <v>29.807200000000002</v>
      </c>
      <c r="GV145">
        <v>999.9</v>
      </c>
      <c r="GW145">
        <v>34.200000000000003</v>
      </c>
      <c r="GX145">
        <v>45.9</v>
      </c>
      <c r="GY145">
        <v>34.8369</v>
      </c>
      <c r="GZ145">
        <v>62.5824</v>
      </c>
      <c r="HA145">
        <v>19.270800000000001</v>
      </c>
      <c r="HB145">
        <v>1</v>
      </c>
      <c r="HC145">
        <v>0.62953800000000004</v>
      </c>
      <c r="HD145">
        <v>4.9551400000000001</v>
      </c>
      <c r="HE145">
        <v>20.2254</v>
      </c>
      <c r="HF145">
        <v>5.2262700000000004</v>
      </c>
      <c r="HG145">
        <v>12.0639</v>
      </c>
      <c r="HH145">
        <v>4.9931000000000001</v>
      </c>
      <c r="HI145">
        <v>3.2919999999999998</v>
      </c>
      <c r="HJ145">
        <v>9999</v>
      </c>
      <c r="HK145">
        <v>9999</v>
      </c>
      <c r="HL145">
        <v>9999</v>
      </c>
      <c r="HM145">
        <v>467.7</v>
      </c>
      <c r="HN145">
        <v>1.86686</v>
      </c>
      <c r="HO145">
        <v>1.8703099999999999</v>
      </c>
      <c r="HP145">
        <v>1.8728899999999999</v>
      </c>
      <c r="HQ145">
        <v>1.8737900000000001</v>
      </c>
      <c r="HR145">
        <v>1.8705700000000001</v>
      </c>
      <c r="HS145">
        <v>1.86896</v>
      </c>
      <c r="HT145">
        <v>1.87043</v>
      </c>
      <c r="HU145">
        <v>1.8734</v>
      </c>
      <c r="HV145">
        <v>0</v>
      </c>
      <c r="HW145">
        <v>0</v>
      </c>
      <c r="HX145">
        <v>0</v>
      </c>
      <c r="HY145">
        <v>0</v>
      </c>
      <c r="HZ145" t="s">
        <v>424</v>
      </c>
      <c r="IA145" t="s">
        <v>425</v>
      </c>
      <c r="IB145" t="s">
        <v>426</v>
      </c>
      <c r="IC145" t="s">
        <v>426</v>
      </c>
      <c r="ID145" t="s">
        <v>426</v>
      </c>
      <c r="IE145" t="s">
        <v>426</v>
      </c>
      <c r="IF145">
        <v>0</v>
      </c>
      <c r="IG145">
        <v>100</v>
      </c>
      <c r="IH145">
        <v>100</v>
      </c>
      <c r="II145">
        <v>0.84</v>
      </c>
      <c r="IJ145">
        <v>0.25130000000000002</v>
      </c>
      <c r="IK145">
        <v>7.5812362313420673E-2</v>
      </c>
      <c r="IL145">
        <v>3.042515301972944E-3</v>
      </c>
      <c r="IM145">
        <v>-2.5091471490852929E-6</v>
      </c>
      <c r="IN145">
        <v>8.1339755115576286E-10</v>
      </c>
      <c r="IO145">
        <v>0.2513285714285729</v>
      </c>
      <c r="IP145">
        <v>0</v>
      </c>
      <c r="IQ145">
        <v>0</v>
      </c>
      <c r="IR145">
        <v>0</v>
      </c>
      <c r="IS145">
        <v>3</v>
      </c>
      <c r="IT145">
        <v>2004</v>
      </c>
      <c r="IU145">
        <v>2</v>
      </c>
      <c r="IV145">
        <v>22</v>
      </c>
      <c r="IW145">
        <v>1.1000000000000001</v>
      </c>
      <c r="IX145">
        <v>0.9</v>
      </c>
      <c r="IY145">
        <v>1.03027</v>
      </c>
      <c r="IZ145">
        <v>2.6232899999999999</v>
      </c>
      <c r="JA145">
        <v>1.64917</v>
      </c>
      <c r="JB145">
        <v>2.34253</v>
      </c>
      <c r="JC145">
        <v>1.5991200000000001</v>
      </c>
      <c r="JD145">
        <v>2.31934</v>
      </c>
      <c r="JE145">
        <v>47.541699999999999</v>
      </c>
      <c r="JF145">
        <v>24.183800000000002</v>
      </c>
      <c r="JG145">
        <v>18</v>
      </c>
      <c r="JH145">
        <v>519.37900000000002</v>
      </c>
      <c r="JI145">
        <v>438.36799999999999</v>
      </c>
      <c r="JJ145">
        <v>25.8017</v>
      </c>
      <c r="JK145">
        <v>34.720999999999997</v>
      </c>
      <c r="JL145">
        <v>30</v>
      </c>
      <c r="JM145">
        <v>34.889200000000002</v>
      </c>
      <c r="JN145">
        <v>34.900399999999998</v>
      </c>
      <c r="JO145">
        <v>20.625599999999999</v>
      </c>
      <c r="JP145">
        <v>96.238299999999995</v>
      </c>
      <c r="JQ145">
        <v>0</v>
      </c>
      <c r="JR145">
        <v>25.719100000000001</v>
      </c>
      <c r="JS145">
        <v>400</v>
      </c>
      <c r="JT145">
        <v>21.308800000000002</v>
      </c>
      <c r="JU145">
        <v>99.242999999999995</v>
      </c>
      <c r="JV145">
        <v>98.963899999999995</v>
      </c>
    </row>
    <row r="146" spans="1:282" x14ac:dyDescent="0.25">
      <c r="A146">
        <v>130</v>
      </c>
      <c r="B146">
        <v>1689023781.5999999</v>
      </c>
      <c r="C146">
        <v>24186.5</v>
      </c>
      <c r="D146" t="s">
        <v>1076</v>
      </c>
      <c r="E146" t="s">
        <v>1077</v>
      </c>
      <c r="F146" t="s">
        <v>414</v>
      </c>
      <c r="G146" t="s">
        <v>415</v>
      </c>
      <c r="H146" t="s">
        <v>577</v>
      </c>
      <c r="I146" t="s">
        <v>500</v>
      </c>
      <c r="J146" t="s">
        <v>656</v>
      </c>
      <c r="K146">
        <v>1689023781.5999999</v>
      </c>
      <c r="L146">
        <f t="shared" si="184"/>
        <v>5.6142228186581156E-3</v>
      </c>
      <c r="M146">
        <f t="shared" si="185"/>
        <v>5.6142228186581153</v>
      </c>
      <c r="N146">
        <f t="shared" si="186"/>
        <v>54.049338536777462</v>
      </c>
      <c r="O146">
        <f t="shared" si="187"/>
        <v>332.904</v>
      </c>
      <c r="P146">
        <f t="shared" si="188"/>
        <v>112.84676041752459</v>
      </c>
      <c r="Q146">
        <f t="shared" si="189"/>
        <v>11.194790775910889</v>
      </c>
      <c r="R146">
        <f t="shared" si="190"/>
        <v>33.0252336414</v>
      </c>
      <c r="S146">
        <f t="shared" si="191"/>
        <v>0.43018352947340366</v>
      </c>
      <c r="T146">
        <f t="shared" si="192"/>
        <v>2.9123472956654473</v>
      </c>
      <c r="U146">
        <f t="shared" si="193"/>
        <v>0.39774514175866033</v>
      </c>
      <c r="V146">
        <f t="shared" si="194"/>
        <v>0.25130102825513467</v>
      </c>
      <c r="W146">
        <f t="shared" si="195"/>
        <v>289.56283957656353</v>
      </c>
      <c r="X146">
        <f t="shared" si="196"/>
        <v>30.051513891881044</v>
      </c>
      <c r="Y146">
        <f t="shared" si="197"/>
        <v>29.911899999999999</v>
      </c>
      <c r="Z146">
        <f t="shared" si="198"/>
        <v>4.2389377088262687</v>
      </c>
      <c r="AA146">
        <f t="shared" si="199"/>
        <v>68.580951100183938</v>
      </c>
      <c r="AB146">
        <f t="shared" si="200"/>
        <v>2.8889738379075003</v>
      </c>
      <c r="AC146">
        <f t="shared" si="201"/>
        <v>4.212501855926801</v>
      </c>
      <c r="AD146">
        <f t="shared" si="202"/>
        <v>1.3499638709187685</v>
      </c>
      <c r="AE146">
        <f t="shared" si="203"/>
        <v>-247.5872263028229</v>
      </c>
      <c r="AF146">
        <f t="shared" si="204"/>
        <v>-17.082738853545809</v>
      </c>
      <c r="AG146">
        <f t="shared" si="205"/>
        <v>-1.3023885208059609</v>
      </c>
      <c r="AH146">
        <f t="shared" si="206"/>
        <v>23.590485899388877</v>
      </c>
      <c r="AI146">
        <v>0</v>
      </c>
      <c r="AJ146">
        <v>0</v>
      </c>
      <c r="AK146">
        <f t="shared" si="207"/>
        <v>1</v>
      </c>
      <c r="AL146">
        <f t="shared" si="208"/>
        <v>0</v>
      </c>
      <c r="AM146">
        <f t="shared" si="209"/>
        <v>51877.374339503622</v>
      </c>
      <c r="AN146" t="s">
        <v>418</v>
      </c>
      <c r="AO146">
        <v>10021</v>
      </c>
      <c r="AP146">
        <v>177.53923076923081</v>
      </c>
      <c r="AQ146">
        <v>655.56</v>
      </c>
      <c r="AR146">
        <f t="shared" si="210"/>
        <v>0.72917928066198234</v>
      </c>
      <c r="AS146">
        <v>-3.1115002560329539</v>
      </c>
      <c r="AT146" t="s">
        <v>1078</v>
      </c>
      <c r="AU146">
        <v>8033.57</v>
      </c>
      <c r="AV146">
        <v>748.5630799999999</v>
      </c>
      <c r="AW146">
        <v>1176.9654521045491</v>
      </c>
      <c r="AX146">
        <f t="shared" si="211"/>
        <v>0.3639889100725231</v>
      </c>
      <c r="AY146">
        <v>0.5</v>
      </c>
      <c r="AZ146">
        <f t="shared" si="212"/>
        <v>1513.1600992624681</v>
      </c>
      <c r="BA146">
        <f t="shared" si="213"/>
        <v>54.049338536777462</v>
      </c>
      <c r="BB146">
        <f t="shared" si="214"/>
        <v>275.38674764788828</v>
      </c>
      <c r="BC146">
        <f t="shared" si="215"/>
        <v>3.7775803644750666E-2</v>
      </c>
      <c r="BD146">
        <f t="shared" si="216"/>
        <v>-0.44300828981191964</v>
      </c>
      <c r="BE146">
        <f t="shared" si="217"/>
        <v>201.74358336339125</v>
      </c>
      <c r="BF146" t="s">
        <v>1079</v>
      </c>
      <c r="BG146">
        <v>573.26</v>
      </c>
      <c r="BH146">
        <f t="shared" si="218"/>
        <v>573.26</v>
      </c>
      <c r="BI146">
        <f t="shared" si="219"/>
        <v>0.51293387671240009</v>
      </c>
      <c r="BJ146">
        <f t="shared" si="220"/>
        <v>0.70962150600282947</v>
      </c>
      <c r="BK146">
        <f t="shared" si="221"/>
        <v>-6.3354246914283037</v>
      </c>
      <c r="BL146">
        <f t="shared" si="222"/>
        <v>0.42864832136600062</v>
      </c>
      <c r="BM146">
        <f t="shared" si="223"/>
        <v>-1.09075899137938</v>
      </c>
      <c r="BN146">
        <f t="shared" si="224"/>
        <v>0.54343800195326497</v>
      </c>
      <c r="BO146">
        <f t="shared" si="225"/>
        <v>0.45656199804673503</v>
      </c>
      <c r="BP146">
        <v>22725</v>
      </c>
      <c r="BQ146">
        <v>290.00000000000011</v>
      </c>
      <c r="BR146">
        <v>1035.72</v>
      </c>
      <c r="BS146">
        <v>285</v>
      </c>
      <c r="BT146">
        <v>8033.57</v>
      </c>
      <c r="BU146">
        <v>1039.29</v>
      </c>
      <c r="BV146">
        <v>-3.57</v>
      </c>
      <c r="BW146">
        <v>300.00000000000011</v>
      </c>
      <c r="BX146">
        <v>19.399999999999999</v>
      </c>
      <c r="BY146">
        <v>1176.9654521045491</v>
      </c>
      <c r="BZ146">
        <v>4.2535731112185902</v>
      </c>
      <c r="CA146">
        <v>-110.60538003234861</v>
      </c>
      <c r="CB146">
        <v>3.138901408174386</v>
      </c>
      <c r="CC146">
        <v>0.97794657701067045</v>
      </c>
      <c r="CD146">
        <v>-4.1495657397107866E-3</v>
      </c>
      <c r="CE146">
        <v>289.99999999999989</v>
      </c>
      <c r="CF146">
        <v>1032.57</v>
      </c>
      <c r="CG146">
        <v>655</v>
      </c>
      <c r="CH146">
        <v>8023.31</v>
      </c>
      <c r="CI146">
        <v>1039.1099999999999</v>
      </c>
      <c r="CJ146">
        <v>-6.54</v>
      </c>
      <c r="CX146">
        <f t="shared" si="226"/>
        <v>1799.97</v>
      </c>
      <c r="CY146">
        <f t="shared" si="227"/>
        <v>1513.1600992624681</v>
      </c>
      <c r="CZ146">
        <f t="shared" si="228"/>
        <v>0.84065851056543617</v>
      </c>
      <c r="DA146">
        <f t="shared" si="229"/>
        <v>0.16087092539129183</v>
      </c>
      <c r="DB146">
        <v>6</v>
      </c>
      <c r="DC146">
        <v>0.5</v>
      </c>
      <c r="DD146" t="s">
        <v>421</v>
      </c>
      <c r="DE146">
        <v>2</v>
      </c>
      <c r="DF146">
        <v>1689023781.5999999</v>
      </c>
      <c r="DG146">
        <v>332.904</v>
      </c>
      <c r="DH146">
        <v>399.995</v>
      </c>
      <c r="DI146">
        <v>29.121700000000001</v>
      </c>
      <c r="DJ146">
        <v>22.581900000000001</v>
      </c>
      <c r="DK146">
        <v>331.95800000000003</v>
      </c>
      <c r="DL146">
        <v>28.8658</v>
      </c>
      <c r="DM146">
        <v>500.08199999999999</v>
      </c>
      <c r="DN146">
        <v>99.103099999999998</v>
      </c>
      <c r="DO146">
        <v>0.10037500000000001</v>
      </c>
      <c r="DP146">
        <v>29.803100000000001</v>
      </c>
      <c r="DQ146">
        <v>29.911899999999999</v>
      </c>
      <c r="DR146">
        <v>999.9</v>
      </c>
      <c r="DS146">
        <v>0</v>
      </c>
      <c r="DT146">
        <v>0</v>
      </c>
      <c r="DU146">
        <v>9991.8799999999992</v>
      </c>
      <c r="DV146">
        <v>0</v>
      </c>
      <c r="DW146">
        <v>1131.32</v>
      </c>
      <c r="DX146">
        <v>-67.091399999999993</v>
      </c>
      <c r="DY146">
        <v>342.88900000000001</v>
      </c>
      <c r="DZ146">
        <v>409.23599999999999</v>
      </c>
      <c r="EA146">
        <v>6.5397800000000004</v>
      </c>
      <c r="EB146">
        <v>399.995</v>
      </c>
      <c r="EC146">
        <v>22.581900000000001</v>
      </c>
      <c r="ED146">
        <v>2.88605</v>
      </c>
      <c r="EE146">
        <v>2.23794</v>
      </c>
      <c r="EF146">
        <v>23.384699999999999</v>
      </c>
      <c r="EG146">
        <v>19.236499999999999</v>
      </c>
      <c r="EH146">
        <v>1799.97</v>
      </c>
      <c r="EI146">
        <v>0.97799100000000005</v>
      </c>
      <c r="EJ146">
        <v>2.20092E-2</v>
      </c>
      <c r="EK146">
        <v>0</v>
      </c>
      <c r="EL146">
        <v>748.56899999999996</v>
      </c>
      <c r="EM146">
        <v>5.0011200000000002</v>
      </c>
      <c r="EN146">
        <v>15094.8</v>
      </c>
      <c r="EO146">
        <v>17210.599999999999</v>
      </c>
      <c r="EP146">
        <v>49.436999999999998</v>
      </c>
      <c r="EQ146">
        <v>50.5</v>
      </c>
      <c r="ER146">
        <v>50.436999999999998</v>
      </c>
      <c r="ES146">
        <v>49.75</v>
      </c>
      <c r="ET146">
        <v>50.061999999999998</v>
      </c>
      <c r="EU146">
        <v>1755.46</v>
      </c>
      <c r="EV146">
        <v>39.51</v>
      </c>
      <c r="EW146">
        <v>0</v>
      </c>
      <c r="EX146">
        <v>144.79999995231631</v>
      </c>
      <c r="EY146">
        <v>0</v>
      </c>
      <c r="EZ146">
        <v>748.5630799999999</v>
      </c>
      <c r="FA146">
        <v>1.330846165965639</v>
      </c>
      <c r="FB146">
        <v>-610.67692368786902</v>
      </c>
      <c r="FC146">
        <v>15264.516</v>
      </c>
      <c r="FD146">
        <v>15</v>
      </c>
      <c r="FE146">
        <v>1689023703.0999999</v>
      </c>
      <c r="FF146" t="s">
        <v>1080</v>
      </c>
      <c r="FG146">
        <v>1689023698.5999999</v>
      </c>
      <c r="FH146">
        <v>1689023703.0999999</v>
      </c>
      <c r="FI146">
        <v>144</v>
      </c>
      <c r="FJ146">
        <v>0.106</v>
      </c>
      <c r="FK146">
        <v>5.0000000000000001E-3</v>
      </c>
      <c r="FL146">
        <v>1.048</v>
      </c>
      <c r="FM146">
        <v>0.25600000000000001</v>
      </c>
      <c r="FN146">
        <v>400</v>
      </c>
      <c r="FO146">
        <v>22</v>
      </c>
      <c r="FP146">
        <v>0.09</v>
      </c>
      <c r="FQ146">
        <v>0.02</v>
      </c>
      <c r="FR146">
        <v>54.084740555024382</v>
      </c>
      <c r="FS146">
        <v>0.1940168517988321</v>
      </c>
      <c r="FT146">
        <v>3.4771670666043163E-2</v>
      </c>
      <c r="FU146">
        <v>1</v>
      </c>
      <c r="FV146">
        <v>0.43485584238553832</v>
      </c>
      <c r="FW146">
        <v>-4.9573401668524822E-2</v>
      </c>
      <c r="FX146">
        <v>3.704076212735143E-3</v>
      </c>
      <c r="FY146">
        <v>1</v>
      </c>
      <c r="FZ146">
        <v>2</v>
      </c>
      <c r="GA146">
        <v>2</v>
      </c>
      <c r="GB146" t="s">
        <v>423</v>
      </c>
      <c r="GC146">
        <v>2.9237299999999999</v>
      </c>
      <c r="GD146">
        <v>2.8275999999999999</v>
      </c>
      <c r="GE146">
        <v>7.5712100000000004E-2</v>
      </c>
      <c r="GF146">
        <v>8.7922299999999995E-2</v>
      </c>
      <c r="GG146">
        <v>0.127719</v>
      </c>
      <c r="GH146">
        <v>0.10745300000000001</v>
      </c>
      <c r="GI146">
        <v>30081.8</v>
      </c>
      <c r="GJ146">
        <v>24067.200000000001</v>
      </c>
      <c r="GK146">
        <v>31322.6</v>
      </c>
      <c r="GL146">
        <v>26033.200000000001</v>
      </c>
      <c r="GM146">
        <v>37458</v>
      </c>
      <c r="GN146">
        <v>31519.7</v>
      </c>
      <c r="GO146">
        <v>46513.1</v>
      </c>
      <c r="GP146">
        <v>37850.800000000003</v>
      </c>
      <c r="GQ146">
        <v>1.90968</v>
      </c>
      <c r="GR146">
        <v>1.7131799999999999</v>
      </c>
      <c r="GS146">
        <v>-2.3111699999999999E-2</v>
      </c>
      <c r="GT146">
        <v>0</v>
      </c>
      <c r="GU146">
        <v>30.288</v>
      </c>
      <c r="GV146">
        <v>999.9</v>
      </c>
      <c r="GW146">
        <v>34.200000000000003</v>
      </c>
      <c r="GX146">
        <v>45.7</v>
      </c>
      <c r="GY146">
        <v>34.482999999999997</v>
      </c>
      <c r="GZ146">
        <v>62.2224</v>
      </c>
      <c r="HA146">
        <v>19.411100000000001</v>
      </c>
      <c r="HB146">
        <v>1</v>
      </c>
      <c r="HC146">
        <v>0.60868900000000004</v>
      </c>
      <c r="HD146">
        <v>3.3718300000000001</v>
      </c>
      <c r="HE146">
        <v>20.2654</v>
      </c>
      <c r="HF146">
        <v>5.2249299999999996</v>
      </c>
      <c r="HG146">
        <v>12.0633</v>
      </c>
      <c r="HH146">
        <v>4.9932499999999997</v>
      </c>
      <c r="HI146">
        <v>3.2919999999999998</v>
      </c>
      <c r="HJ146">
        <v>9999</v>
      </c>
      <c r="HK146">
        <v>9999</v>
      </c>
      <c r="HL146">
        <v>9999</v>
      </c>
      <c r="HM146">
        <v>467.7</v>
      </c>
      <c r="HN146">
        <v>1.86683</v>
      </c>
      <c r="HO146">
        <v>1.87029</v>
      </c>
      <c r="HP146">
        <v>1.8728800000000001</v>
      </c>
      <c r="HQ146">
        <v>1.87381</v>
      </c>
      <c r="HR146">
        <v>1.8705700000000001</v>
      </c>
      <c r="HS146">
        <v>1.8689</v>
      </c>
      <c r="HT146">
        <v>1.87042</v>
      </c>
      <c r="HU146">
        <v>1.8734</v>
      </c>
      <c r="HV146">
        <v>0</v>
      </c>
      <c r="HW146">
        <v>0</v>
      </c>
      <c r="HX146">
        <v>0</v>
      </c>
      <c r="HY146">
        <v>0</v>
      </c>
      <c r="HZ146" t="s">
        <v>424</v>
      </c>
      <c r="IA146" t="s">
        <v>425</v>
      </c>
      <c r="IB146" t="s">
        <v>426</v>
      </c>
      <c r="IC146" t="s">
        <v>426</v>
      </c>
      <c r="ID146" t="s">
        <v>426</v>
      </c>
      <c r="IE146" t="s">
        <v>426</v>
      </c>
      <c r="IF146">
        <v>0</v>
      </c>
      <c r="IG146">
        <v>100</v>
      </c>
      <c r="IH146">
        <v>100</v>
      </c>
      <c r="II146">
        <v>0.94599999999999995</v>
      </c>
      <c r="IJ146">
        <v>0.25590000000000002</v>
      </c>
      <c r="IK146">
        <v>0.18184537410573121</v>
      </c>
      <c r="IL146">
        <v>3.042515301972944E-3</v>
      </c>
      <c r="IM146">
        <v>-2.5091471490852929E-6</v>
      </c>
      <c r="IN146">
        <v>8.1339755115576286E-10</v>
      </c>
      <c r="IO146">
        <v>0.25591499999999462</v>
      </c>
      <c r="IP146">
        <v>0</v>
      </c>
      <c r="IQ146">
        <v>0</v>
      </c>
      <c r="IR146">
        <v>0</v>
      </c>
      <c r="IS146">
        <v>3</v>
      </c>
      <c r="IT146">
        <v>2004</v>
      </c>
      <c r="IU146">
        <v>2</v>
      </c>
      <c r="IV146">
        <v>22</v>
      </c>
      <c r="IW146">
        <v>1.4</v>
      </c>
      <c r="IX146">
        <v>1.3</v>
      </c>
      <c r="IY146">
        <v>1.03027</v>
      </c>
      <c r="IZ146">
        <v>2.6147499999999999</v>
      </c>
      <c r="JA146">
        <v>1.64917</v>
      </c>
      <c r="JB146">
        <v>2.34131</v>
      </c>
      <c r="JC146">
        <v>1.5991200000000001</v>
      </c>
      <c r="JD146">
        <v>2.3144499999999999</v>
      </c>
      <c r="JE146">
        <v>47.451599999999999</v>
      </c>
      <c r="JF146">
        <v>24.2013</v>
      </c>
      <c r="JG146">
        <v>18</v>
      </c>
      <c r="JH146">
        <v>519.87199999999996</v>
      </c>
      <c r="JI146">
        <v>439.084</v>
      </c>
      <c r="JJ146">
        <v>26.185300000000002</v>
      </c>
      <c r="JK146">
        <v>34.6158</v>
      </c>
      <c r="JL146">
        <v>29.999400000000001</v>
      </c>
      <c r="JM146">
        <v>34.765300000000003</v>
      </c>
      <c r="JN146">
        <v>34.783299999999997</v>
      </c>
      <c r="JO146">
        <v>20.6371</v>
      </c>
      <c r="JP146">
        <v>100</v>
      </c>
      <c r="JQ146">
        <v>0</v>
      </c>
      <c r="JR146">
        <v>26.199200000000001</v>
      </c>
      <c r="JS146">
        <v>400</v>
      </c>
      <c r="JT146">
        <v>20.680700000000002</v>
      </c>
      <c r="JU146">
        <v>99.274600000000007</v>
      </c>
      <c r="JV146">
        <v>98.981800000000007</v>
      </c>
    </row>
    <row r="147" spans="1:282" x14ac:dyDescent="0.25">
      <c r="A147">
        <v>131</v>
      </c>
      <c r="B147">
        <v>1689023881.0999999</v>
      </c>
      <c r="C147">
        <v>24286</v>
      </c>
      <c r="D147" t="s">
        <v>1081</v>
      </c>
      <c r="E147" t="s">
        <v>1082</v>
      </c>
      <c r="F147" t="s">
        <v>414</v>
      </c>
      <c r="G147" t="s">
        <v>415</v>
      </c>
      <c r="H147" t="s">
        <v>577</v>
      </c>
      <c r="I147" t="s">
        <v>500</v>
      </c>
      <c r="J147" t="s">
        <v>656</v>
      </c>
      <c r="K147">
        <v>1689023881.0999999</v>
      </c>
      <c r="L147">
        <f t="shared" si="184"/>
        <v>5.478513963825175E-3</v>
      </c>
      <c r="M147">
        <f t="shared" si="185"/>
        <v>5.4785139638251747</v>
      </c>
      <c r="N147">
        <f t="shared" si="186"/>
        <v>58.790115287334025</v>
      </c>
      <c r="O147">
        <f t="shared" si="187"/>
        <v>426.65</v>
      </c>
      <c r="P147">
        <f t="shared" si="188"/>
        <v>176.21067988066716</v>
      </c>
      <c r="Q147">
        <f t="shared" si="189"/>
        <v>17.480486913826169</v>
      </c>
      <c r="R147">
        <f t="shared" si="190"/>
        <v>42.324618160684999</v>
      </c>
      <c r="S147">
        <f t="shared" si="191"/>
        <v>0.41196626378033491</v>
      </c>
      <c r="T147">
        <f t="shared" si="192"/>
        <v>2.9159375525512226</v>
      </c>
      <c r="U147">
        <f t="shared" si="193"/>
        <v>0.38214884878865935</v>
      </c>
      <c r="V147">
        <f t="shared" si="194"/>
        <v>0.24134191701613666</v>
      </c>
      <c r="W147">
        <f t="shared" si="195"/>
        <v>289.60056457711357</v>
      </c>
      <c r="X147">
        <f t="shared" si="196"/>
        <v>30.185410662311323</v>
      </c>
      <c r="Y147">
        <f t="shared" si="197"/>
        <v>30.0412</v>
      </c>
      <c r="Z147">
        <f t="shared" si="198"/>
        <v>4.2705425051642738</v>
      </c>
      <c r="AA147">
        <f t="shared" si="199"/>
        <v>68.448048516453369</v>
      </c>
      <c r="AB147">
        <f t="shared" si="200"/>
        <v>2.8997695558260097</v>
      </c>
      <c r="AC147">
        <f t="shared" si="201"/>
        <v>4.2364532206188033</v>
      </c>
      <c r="AD147">
        <f t="shared" si="202"/>
        <v>1.3707729493382641</v>
      </c>
      <c r="AE147">
        <f t="shared" si="203"/>
        <v>-241.60246580469021</v>
      </c>
      <c r="AF147">
        <f t="shared" si="204"/>
        <v>-21.929961533972957</v>
      </c>
      <c r="AG147">
        <f t="shared" si="205"/>
        <v>-1.6717679619646018</v>
      </c>
      <c r="AH147">
        <f t="shared" si="206"/>
        <v>24.396369276485828</v>
      </c>
      <c r="AI147">
        <v>0</v>
      </c>
      <c r="AJ147">
        <v>0</v>
      </c>
      <c r="AK147">
        <f t="shared" si="207"/>
        <v>1</v>
      </c>
      <c r="AL147">
        <f t="shared" si="208"/>
        <v>0</v>
      </c>
      <c r="AM147">
        <f t="shared" si="209"/>
        <v>51962.654350262972</v>
      </c>
      <c r="AN147" t="s">
        <v>418</v>
      </c>
      <c r="AO147">
        <v>10021</v>
      </c>
      <c r="AP147">
        <v>177.53923076923081</v>
      </c>
      <c r="AQ147">
        <v>655.56</v>
      </c>
      <c r="AR147">
        <f t="shared" si="210"/>
        <v>0.72917928066198234</v>
      </c>
      <c r="AS147">
        <v>-3.1115002560329539</v>
      </c>
      <c r="AT147" t="s">
        <v>1083</v>
      </c>
      <c r="AU147">
        <v>8033.48</v>
      </c>
      <c r="AV147">
        <v>775.52203846153839</v>
      </c>
      <c r="AW147">
        <v>1243.223534406724</v>
      </c>
      <c r="AX147">
        <f t="shared" si="211"/>
        <v>0.37620064533959807</v>
      </c>
      <c r="AY147">
        <v>0.5</v>
      </c>
      <c r="AZ147">
        <f t="shared" si="212"/>
        <v>1513.3613992627531</v>
      </c>
      <c r="BA147">
        <f t="shared" si="213"/>
        <v>58.790115287334025</v>
      </c>
      <c r="BB147">
        <f t="shared" si="214"/>
        <v>284.66376751734242</v>
      </c>
      <c r="BC147">
        <f t="shared" si="215"/>
        <v>4.0903392655265873E-2</v>
      </c>
      <c r="BD147">
        <f t="shared" si="216"/>
        <v>-0.47269337986524013</v>
      </c>
      <c r="BE147">
        <f t="shared" si="217"/>
        <v>203.60357527052963</v>
      </c>
      <c r="BF147" t="s">
        <v>1084</v>
      </c>
      <c r="BG147">
        <v>586.08000000000004</v>
      </c>
      <c r="BH147">
        <f t="shared" si="218"/>
        <v>586.08000000000004</v>
      </c>
      <c r="BI147">
        <f t="shared" si="219"/>
        <v>0.52858035278451987</v>
      </c>
      <c r="BJ147">
        <f t="shared" si="220"/>
        <v>0.71171893423166888</v>
      </c>
      <c r="BK147">
        <f t="shared" si="221"/>
        <v>-8.4580243869707079</v>
      </c>
      <c r="BL147">
        <f t="shared" si="222"/>
        <v>0.43887434050476604</v>
      </c>
      <c r="BM147">
        <f t="shared" si="223"/>
        <v>-1.2293682037129725</v>
      </c>
      <c r="BN147">
        <f t="shared" si="224"/>
        <v>0.53786251361982873</v>
      </c>
      <c r="BO147">
        <f t="shared" si="225"/>
        <v>0.46213748638017127</v>
      </c>
      <c r="BP147">
        <v>22727</v>
      </c>
      <c r="BQ147">
        <v>290.00000000000011</v>
      </c>
      <c r="BR147">
        <v>1105.74</v>
      </c>
      <c r="BS147">
        <v>285</v>
      </c>
      <c r="BT147">
        <v>8033.48</v>
      </c>
      <c r="BU147">
        <v>1108.69</v>
      </c>
      <c r="BV147">
        <v>-2.95</v>
      </c>
      <c r="BW147">
        <v>300.00000000000011</v>
      </c>
      <c r="BX147">
        <v>19.399999999999999</v>
      </c>
      <c r="BY147">
        <v>1243.223534406724</v>
      </c>
      <c r="BZ147">
        <v>5.442676030595889</v>
      </c>
      <c r="CA147">
        <v>-108.07367191330709</v>
      </c>
      <c r="CB147">
        <v>4.0163348002287567</v>
      </c>
      <c r="CC147">
        <v>0.96276937717874234</v>
      </c>
      <c r="CD147">
        <v>-4.1496020022247027E-3</v>
      </c>
      <c r="CE147">
        <v>289.99999999999989</v>
      </c>
      <c r="CF147">
        <v>1104.67</v>
      </c>
      <c r="CG147">
        <v>645</v>
      </c>
      <c r="CH147">
        <v>8023.49</v>
      </c>
      <c r="CI147">
        <v>1108.53</v>
      </c>
      <c r="CJ147">
        <v>-3.86</v>
      </c>
      <c r="CX147">
        <f t="shared" si="226"/>
        <v>1800.21</v>
      </c>
      <c r="CY147">
        <f t="shared" si="227"/>
        <v>1513.3613992627531</v>
      </c>
      <c r="CZ147">
        <f t="shared" si="228"/>
        <v>0.84065825612720357</v>
      </c>
      <c r="DA147">
        <f t="shared" si="229"/>
        <v>0.16087043432550288</v>
      </c>
      <c r="DB147">
        <v>6</v>
      </c>
      <c r="DC147">
        <v>0.5</v>
      </c>
      <c r="DD147" t="s">
        <v>421</v>
      </c>
      <c r="DE147">
        <v>2</v>
      </c>
      <c r="DF147">
        <v>1689023881.0999999</v>
      </c>
      <c r="DG147">
        <v>426.65</v>
      </c>
      <c r="DH147">
        <v>499.99099999999999</v>
      </c>
      <c r="DI147">
        <v>29.230899999999998</v>
      </c>
      <c r="DJ147">
        <v>22.849900000000002</v>
      </c>
      <c r="DK147">
        <v>425.35</v>
      </c>
      <c r="DL147">
        <v>28.9679</v>
      </c>
      <c r="DM147">
        <v>500.08199999999999</v>
      </c>
      <c r="DN147">
        <v>99.102199999999996</v>
      </c>
      <c r="DO147">
        <v>9.9998900000000002E-2</v>
      </c>
      <c r="DP147">
        <v>29.901700000000002</v>
      </c>
      <c r="DQ147">
        <v>30.0412</v>
      </c>
      <c r="DR147">
        <v>999.9</v>
      </c>
      <c r="DS147">
        <v>0</v>
      </c>
      <c r="DT147">
        <v>0</v>
      </c>
      <c r="DU147">
        <v>10012.5</v>
      </c>
      <c r="DV147">
        <v>0</v>
      </c>
      <c r="DW147">
        <v>1268.77</v>
      </c>
      <c r="DX147">
        <v>-73.557000000000002</v>
      </c>
      <c r="DY147">
        <v>439.27199999999999</v>
      </c>
      <c r="DZ147">
        <v>511.68299999999999</v>
      </c>
      <c r="EA147">
        <v>6.3739299999999997</v>
      </c>
      <c r="EB147">
        <v>499.99099999999999</v>
      </c>
      <c r="EC147">
        <v>22.849900000000002</v>
      </c>
      <c r="ED147">
        <v>2.89615</v>
      </c>
      <c r="EE147">
        <v>2.2644799999999998</v>
      </c>
      <c r="EF147">
        <v>23.442599999999999</v>
      </c>
      <c r="EG147">
        <v>19.425899999999999</v>
      </c>
      <c r="EH147">
        <v>1800.21</v>
      </c>
      <c r="EI147">
        <v>0.97799499999999995</v>
      </c>
      <c r="EJ147">
        <v>2.2005500000000001E-2</v>
      </c>
      <c r="EK147">
        <v>0</v>
      </c>
      <c r="EL147">
        <v>776.03200000000004</v>
      </c>
      <c r="EM147">
        <v>5.0011200000000002</v>
      </c>
      <c r="EN147">
        <v>15867.8</v>
      </c>
      <c r="EO147">
        <v>17212.900000000001</v>
      </c>
      <c r="EP147">
        <v>49.5</v>
      </c>
      <c r="EQ147">
        <v>50.686999999999998</v>
      </c>
      <c r="ER147">
        <v>50.5</v>
      </c>
      <c r="ES147">
        <v>49.811999999999998</v>
      </c>
      <c r="ET147">
        <v>50.125</v>
      </c>
      <c r="EU147">
        <v>1755.71</v>
      </c>
      <c r="EV147">
        <v>39.5</v>
      </c>
      <c r="EW147">
        <v>0</v>
      </c>
      <c r="EX147">
        <v>97.799999952316284</v>
      </c>
      <c r="EY147">
        <v>0</v>
      </c>
      <c r="EZ147">
        <v>775.52203846153839</v>
      </c>
      <c r="FA147">
        <v>4.1885470112509999</v>
      </c>
      <c r="FB147">
        <v>76.444444330712713</v>
      </c>
      <c r="FC147">
        <v>15853.63846153846</v>
      </c>
      <c r="FD147">
        <v>15</v>
      </c>
      <c r="FE147">
        <v>1689023911.0999999</v>
      </c>
      <c r="FF147" t="s">
        <v>1085</v>
      </c>
      <c r="FG147">
        <v>1689023907.0999999</v>
      </c>
      <c r="FH147">
        <v>1689023911.0999999</v>
      </c>
      <c r="FI147">
        <v>145</v>
      </c>
      <c r="FJ147">
        <v>0.124</v>
      </c>
      <c r="FK147">
        <v>8.0000000000000002E-3</v>
      </c>
      <c r="FL147">
        <v>1.3</v>
      </c>
      <c r="FM147">
        <v>0.26300000000000001</v>
      </c>
      <c r="FN147">
        <v>500</v>
      </c>
      <c r="FO147">
        <v>23</v>
      </c>
      <c r="FP147">
        <v>0.03</v>
      </c>
      <c r="FQ147">
        <v>0.02</v>
      </c>
      <c r="FR147">
        <v>58.962898146684303</v>
      </c>
      <c r="FS147">
        <v>0.38640133167800689</v>
      </c>
      <c r="FT147">
        <v>5.4932579569041823E-2</v>
      </c>
      <c r="FU147">
        <v>1</v>
      </c>
      <c r="FV147">
        <v>0.4106754166696856</v>
      </c>
      <c r="FW147">
        <v>-5.3649780233076044E-3</v>
      </c>
      <c r="FX147">
        <v>4.5627694811312732E-4</v>
      </c>
      <c r="FY147">
        <v>1</v>
      </c>
      <c r="FZ147">
        <v>2</v>
      </c>
      <c r="GA147">
        <v>2</v>
      </c>
      <c r="GB147" t="s">
        <v>423</v>
      </c>
      <c r="GC147">
        <v>2.9237199999999999</v>
      </c>
      <c r="GD147">
        <v>2.8273999999999999</v>
      </c>
      <c r="GE147">
        <v>9.1976500000000003E-2</v>
      </c>
      <c r="GF147">
        <v>0.104065</v>
      </c>
      <c r="GG147">
        <v>0.12803400000000001</v>
      </c>
      <c r="GH147">
        <v>0.10835</v>
      </c>
      <c r="GI147">
        <v>29550</v>
      </c>
      <c r="GJ147">
        <v>23640.1</v>
      </c>
      <c r="GK147">
        <v>31319.8</v>
      </c>
      <c r="GL147">
        <v>26031.8</v>
      </c>
      <c r="GM147">
        <v>37441</v>
      </c>
      <c r="GN147">
        <v>31486.6</v>
      </c>
      <c r="GO147">
        <v>46508.4</v>
      </c>
      <c r="GP147">
        <v>37848.699999999997</v>
      </c>
      <c r="GQ147">
        <v>1.9092800000000001</v>
      </c>
      <c r="GR147">
        <v>1.7141500000000001</v>
      </c>
      <c r="GS147">
        <v>-2.8710800000000002E-2</v>
      </c>
      <c r="GT147">
        <v>0</v>
      </c>
      <c r="GU147">
        <v>30.508199999999999</v>
      </c>
      <c r="GV147">
        <v>999.9</v>
      </c>
      <c r="GW147">
        <v>34.200000000000003</v>
      </c>
      <c r="GX147">
        <v>45.7</v>
      </c>
      <c r="GY147">
        <v>34.481000000000002</v>
      </c>
      <c r="GZ147">
        <v>62.302399999999999</v>
      </c>
      <c r="HA147">
        <v>19.302900000000001</v>
      </c>
      <c r="HB147">
        <v>1</v>
      </c>
      <c r="HC147">
        <v>0.61973800000000001</v>
      </c>
      <c r="HD147">
        <v>4.7218400000000003</v>
      </c>
      <c r="HE147">
        <v>20.232600000000001</v>
      </c>
      <c r="HF147">
        <v>5.2252299999999998</v>
      </c>
      <c r="HG147">
        <v>12.0639</v>
      </c>
      <c r="HH147">
        <v>4.9932999999999996</v>
      </c>
      <c r="HI147">
        <v>3.2919999999999998</v>
      </c>
      <c r="HJ147">
        <v>9999</v>
      </c>
      <c r="HK147">
        <v>9999</v>
      </c>
      <c r="HL147">
        <v>9999</v>
      </c>
      <c r="HM147">
        <v>467.7</v>
      </c>
      <c r="HN147">
        <v>1.8668100000000001</v>
      </c>
      <c r="HO147">
        <v>1.8703000000000001</v>
      </c>
      <c r="HP147">
        <v>1.8728800000000001</v>
      </c>
      <c r="HQ147">
        <v>1.8737999999999999</v>
      </c>
      <c r="HR147">
        <v>1.8705700000000001</v>
      </c>
      <c r="HS147">
        <v>1.8689100000000001</v>
      </c>
      <c r="HT147">
        <v>1.87042</v>
      </c>
      <c r="HU147">
        <v>1.87338</v>
      </c>
      <c r="HV147">
        <v>0</v>
      </c>
      <c r="HW147">
        <v>0</v>
      </c>
      <c r="HX147">
        <v>0</v>
      </c>
      <c r="HY147">
        <v>0</v>
      </c>
      <c r="HZ147" t="s">
        <v>424</v>
      </c>
      <c r="IA147" t="s">
        <v>425</v>
      </c>
      <c r="IB147" t="s">
        <v>426</v>
      </c>
      <c r="IC147" t="s">
        <v>426</v>
      </c>
      <c r="ID147" t="s">
        <v>426</v>
      </c>
      <c r="IE147" t="s">
        <v>426</v>
      </c>
      <c r="IF147">
        <v>0</v>
      </c>
      <c r="IG147">
        <v>100</v>
      </c>
      <c r="IH147">
        <v>100</v>
      </c>
      <c r="II147">
        <v>1.3</v>
      </c>
      <c r="IJ147">
        <v>0.26300000000000001</v>
      </c>
      <c r="IK147">
        <v>0.18184537410573121</v>
      </c>
      <c r="IL147">
        <v>3.042515301972944E-3</v>
      </c>
      <c r="IM147">
        <v>-2.5091471490852929E-6</v>
      </c>
      <c r="IN147">
        <v>8.1339755115576286E-10</v>
      </c>
      <c r="IO147">
        <v>0.25591499999999462</v>
      </c>
      <c r="IP147">
        <v>0</v>
      </c>
      <c r="IQ147">
        <v>0</v>
      </c>
      <c r="IR147">
        <v>0</v>
      </c>
      <c r="IS147">
        <v>3</v>
      </c>
      <c r="IT147">
        <v>2004</v>
      </c>
      <c r="IU147">
        <v>2</v>
      </c>
      <c r="IV147">
        <v>22</v>
      </c>
      <c r="IW147">
        <v>3</v>
      </c>
      <c r="IX147">
        <v>3</v>
      </c>
      <c r="IY147">
        <v>1.2377899999999999</v>
      </c>
      <c r="IZ147">
        <v>2.6098599999999998</v>
      </c>
      <c r="JA147">
        <v>1.64917</v>
      </c>
      <c r="JB147">
        <v>2.34131</v>
      </c>
      <c r="JC147">
        <v>1.5991200000000001</v>
      </c>
      <c r="JD147">
        <v>2.3168899999999999</v>
      </c>
      <c r="JE147">
        <v>47.451599999999999</v>
      </c>
      <c r="JF147">
        <v>24.192599999999999</v>
      </c>
      <c r="JG147">
        <v>18</v>
      </c>
      <c r="JH147">
        <v>519.49099999999999</v>
      </c>
      <c r="JI147">
        <v>439.63099999999997</v>
      </c>
      <c r="JJ147">
        <v>25.683599999999998</v>
      </c>
      <c r="JK147">
        <v>34.626899999999999</v>
      </c>
      <c r="JL147">
        <v>30.000599999999999</v>
      </c>
      <c r="JM147">
        <v>34.750799999999998</v>
      </c>
      <c r="JN147">
        <v>34.770299999999999</v>
      </c>
      <c r="JO147">
        <v>24.7896</v>
      </c>
      <c r="JP147">
        <v>100</v>
      </c>
      <c r="JQ147">
        <v>0</v>
      </c>
      <c r="JR147">
        <v>25.641400000000001</v>
      </c>
      <c r="JS147">
        <v>500</v>
      </c>
      <c r="JT147">
        <v>20.680700000000002</v>
      </c>
      <c r="JU147">
        <v>99.265000000000001</v>
      </c>
      <c r="JV147">
        <v>98.976399999999998</v>
      </c>
    </row>
    <row r="148" spans="1:282" x14ac:dyDescent="0.25">
      <c r="A148">
        <v>132</v>
      </c>
      <c r="B148">
        <v>1689024085.0999999</v>
      </c>
      <c r="C148">
        <v>24490</v>
      </c>
      <c r="D148" t="s">
        <v>1086</v>
      </c>
      <c r="E148" t="s">
        <v>1087</v>
      </c>
      <c r="F148" t="s">
        <v>414</v>
      </c>
      <c r="G148" t="s">
        <v>415</v>
      </c>
      <c r="H148" t="s">
        <v>577</v>
      </c>
      <c r="I148" t="s">
        <v>500</v>
      </c>
      <c r="J148" t="s">
        <v>656</v>
      </c>
      <c r="K148">
        <v>1689024085.0999999</v>
      </c>
      <c r="L148">
        <f t="shared" si="184"/>
        <v>5.288267404468628E-3</v>
      </c>
      <c r="M148">
        <f t="shared" si="185"/>
        <v>5.2882674044686278</v>
      </c>
      <c r="N148">
        <f t="shared" si="186"/>
        <v>61.223969711472471</v>
      </c>
      <c r="O148">
        <f t="shared" si="187"/>
        <v>622.56200000000001</v>
      </c>
      <c r="P148">
        <f t="shared" si="188"/>
        <v>352.17350752137673</v>
      </c>
      <c r="Q148">
        <f t="shared" si="189"/>
        <v>34.936616978876337</v>
      </c>
      <c r="R148">
        <f t="shared" si="190"/>
        <v>61.759927067435598</v>
      </c>
      <c r="S148">
        <f t="shared" si="191"/>
        <v>0.40219733476680869</v>
      </c>
      <c r="T148">
        <f t="shared" si="192"/>
        <v>2.9146388459160879</v>
      </c>
      <c r="U148">
        <f t="shared" si="193"/>
        <v>0.37371317235479495</v>
      </c>
      <c r="V148">
        <f t="shared" si="194"/>
        <v>0.23596159782102533</v>
      </c>
      <c r="W148">
        <f t="shared" si="195"/>
        <v>289.56385657693176</v>
      </c>
      <c r="X148">
        <f t="shared" si="196"/>
        <v>30.091356615740001</v>
      </c>
      <c r="Y148">
        <f t="shared" si="197"/>
        <v>29.977699999999999</v>
      </c>
      <c r="Z148">
        <f t="shared" si="198"/>
        <v>4.2549956340222623</v>
      </c>
      <c r="AA148">
        <f t="shared" si="199"/>
        <v>69.065242292608303</v>
      </c>
      <c r="AB148">
        <f t="shared" si="200"/>
        <v>2.9018521185014601</v>
      </c>
      <c r="AC148">
        <f t="shared" si="201"/>
        <v>4.2016099881430957</v>
      </c>
      <c r="AD148">
        <f t="shared" si="202"/>
        <v>1.3531435155208023</v>
      </c>
      <c r="AE148">
        <f t="shared" si="203"/>
        <v>-233.21259253706648</v>
      </c>
      <c r="AF148">
        <f t="shared" si="204"/>
        <v>-34.506628477641748</v>
      </c>
      <c r="AG148">
        <f t="shared" si="205"/>
        <v>-2.6289890843092714</v>
      </c>
      <c r="AH148">
        <f t="shared" si="206"/>
        <v>19.215646477914227</v>
      </c>
      <c r="AI148">
        <v>0</v>
      </c>
      <c r="AJ148">
        <v>0</v>
      </c>
      <c r="AK148">
        <f t="shared" si="207"/>
        <v>1</v>
      </c>
      <c r="AL148">
        <f t="shared" si="208"/>
        <v>0</v>
      </c>
      <c r="AM148">
        <f t="shared" si="209"/>
        <v>51950.324979487224</v>
      </c>
      <c r="AN148" t="s">
        <v>418</v>
      </c>
      <c r="AO148">
        <v>10021</v>
      </c>
      <c r="AP148">
        <v>177.53923076923081</v>
      </c>
      <c r="AQ148">
        <v>655.56</v>
      </c>
      <c r="AR148">
        <f t="shared" si="210"/>
        <v>0.72917928066198234</v>
      </c>
      <c r="AS148">
        <v>-3.1115002560329539</v>
      </c>
      <c r="AT148" t="s">
        <v>1088</v>
      </c>
      <c r="AU148">
        <v>8032.46</v>
      </c>
      <c r="AV148">
        <v>785.90065384615389</v>
      </c>
      <c r="AW148">
        <v>1302.350308379157</v>
      </c>
      <c r="AX148">
        <f t="shared" si="211"/>
        <v>0.39655202690875979</v>
      </c>
      <c r="AY148">
        <v>0.5</v>
      </c>
      <c r="AZ148">
        <f t="shared" si="212"/>
        <v>1513.1681992626591</v>
      </c>
      <c r="BA148">
        <f t="shared" si="213"/>
        <v>61.223969711472471</v>
      </c>
      <c r="BB148">
        <f t="shared" si="214"/>
        <v>300.02495823574282</v>
      </c>
      <c r="BC148">
        <f t="shared" si="215"/>
        <v>4.2517064526504715E-2</v>
      </c>
      <c r="BD148">
        <f t="shared" si="216"/>
        <v>-0.49663312875022186</v>
      </c>
      <c r="BE148">
        <f t="shared" si="217"/>
        <v>205.12874814827387</v>
      </c>
      <c r="BF148" t="s">
        <v>1089</v>
      </c>
      <c r="BG148">
        <v>593.41</v>
      </c>
      <c r="BH148">
        <f t="shared" si="218"/>
        <v>593.41</v>
      </c>
      <c r="BI148">
        <f t="shared" si="219"/>
        <v>0.54435454410224726</v>
      </c>
      <c r="BJ148">
        <f t="shared" si="220"/>
        <v>0.72848115480096864</v>
      </c>
      <c r="BK148">
        <f t="shared" si="221"/>
        <v>-10.406923706824735</v>
      </c>
      <c r="BL148">
        <f t="shared" si="222"/>
        <v>0.45914346401209877</v>
      </c>
      <c r="BM148">
        <f t="shared" si="223"/>
        <v>-1.3530590091722832</v>
      </c>
      <c r="BN148">
        <f t="shared" si="224"/>
        <v>0.55005425934543939</v>
      </c>
      <c r="BO148">
        <f t="shared" si="225"/>
        <v>0.44994574065456061</v>
      </c>
      <c r="BP148">
        <v>22729</v>
      </c>
      <c r="BQ148">
        <v>290.00000000000011</v>
      </c>
      <c r="BR148">
        <v>1140.33</v>
      </c>
      <c r="BS148">
        <v>295</v>
      </c>
      <c r="BT148">
        <v>8032.46</v>
      </c>
      <c r="BU148">
        <v>1144.3699999999999</v>
      </c>
      <c r="BV148">
        <v>-4.04</v>
      </c>
      <c r="BW148">
        <v>300.00000000000011</v>
      </c>
      <c r="BX148">
        <v>19.399999999999999</v>
      </c>
      <c r="BY148">
        <v>1302.350308379157</v>
      </c>
      <c r="BZ148">
        <v>4.8268922767261468</v>
      </c>
      <c r="CA148">
        <v>-126.8940823453166</v>
      </c>
      <c r="CB148">
        <v>3.561450733835807</v>
      </c>
      <c r="CC148">
        <v>0.97841985143201871</v>
      </c>
      <c r="CD148">
        <v>-4.1492177975528417E-3</v>
      </c>
      <c r="CE148">
        <v>289.99999999999989</v>
      </c>
      <c r="CF148">
        <v>1139.24</v>
      </c>
      <c r="CG148">
        <v>675</v>
      </c>
      <c r="CH148">
        <v>8021.47</v>
      </c>
      <c r="CI148">
        <v>1144.1600000000001</v>
      </c>
      <c r="CJ148">
        <v>-4.92</v>
      </c>
      <c r="CX148">
        <f t="shared" si="226"/>
        <v>1799.98</v>
      </c>
      <c r="CY148">
        <f t="shared" si="227"/>
        <v>1513.1681992626591</v>
      </c>
      <c r="CZ148">
        <f t="shared" si="228"/>
        <v>0.84065834023859098</v>
      </c>
      <c r="DA148">
        <f t="shared" si="229"/>
        <v>0.16087059666048054</v>
      </c>
      <c r="DB148">
        <v>6</v>
      </c>
      <c r="DC148">
        <v>0.5</v>
      </c>
      <c r="DD148" t="s">
        <v>421</v>
      </c>
      <c r="DE148">
        <v>2</v>
      </c>
      <c r="DF148">
        <v>1689024085.0999999</v>
      </c>
      <c r="DG148">
        <v>622.56200000000001</v>
      </c>
      <c r="DH148">
        <v>699.96400000000006</v>
      </c>
      <c r="DI148">
        <v>29.2517</v>
      </c>
      <c r="DJ148">
        <v>23.0928</v>
      </c>
      <c r="DK148">
        <v>621.24</v>
      </c>
      <c r="DL148">
        <v>28.9848</v>
      </c>
      <c r="DM148">
        <v>500.113</v>
      </c>
      <c r="DN148">
        <v>99.102900000000005</v>
      </c>
      <c r="DO148">
        <v>9.9953799999999995E-2</v>
      </c>
      <c r="DP148">
        <v>29.758099999999999</v>
      </c>
      <c r="DQ148">
        <v>29.977699999999999</v>
      </c>
      <c r="DR148">
        <v>999.9</v>
      </c>
      <c r="DS148">
        <v>0</v>
      </c>
      <c r="DT148">
        <v>0</v>
      </c>
      <c r="DU148">
        <v>10005</v>
      </c>
      <c r="DV148">
        <v>0</v>
      </c>
      <c r="DW148">
        <v>1264.6099999999999</v>
      </c>
      <c r="DX148">
        <v>-77.402199999999993</v>
      </c>
      <c r="DY148">
        <v>641.32100000000003</v>
      </c>
      <c r="DZ148">
        <v>716.51</v>
      </c>
      <c r="EA148">
        <v>6.1589700000000001</v>
      </c>
      <c r="EB148">
        <v>699.96400000000006</v>
      </c>
      <c r="EC148">
        <v>23.0928</v>
      </c>
      <c r="ED148">
        <v>2.89893</v>
      </c>
      <c r="EE148">
        <v>2.2885599999999999</v>
      </c>
      <c r="EF148">
        <v>23.458500000000001</v>
      </c>
      <c r="EG148">
        <v>19.5961</v>
      </c>
      <c r="EH148">
        <v>1799.98</v>
      </c>
      <c r="EI148">
        <v>0.97799499999999995</v>
      </c>
      <c r="EJ148">
        <v>2.2005500000000001E-2</v>
      </c>
      <c r="EK148">
        <v>0</v>
      </c>
      <c r="EL148">
        <v>784.99099999999999</v>
      </c>
      <c r="EM148">
        <v>5.0011200000000002</v>
      </c>
      <c r="EN148">
        <v>16113.4</v>
      </c>
      <c r="EO148">
        <v>17210.7</v>
      </c>
      <c r="EP148">
        <v>49.561999999999998</v>
      </c>
      <c r="EQ148">
        <v>51</v>
      </c>
      <c r="ER148">
        <v>50.625</v>
      </c>
      <c r="ES148">
        <v>50.061999999999998</v>
      </c>
      <c r="ET148">
        <v>49.625</v>
      </c>
      <c r="EU148">
        <v>1755.48</v>
      </c>
      <c r="EV148">
        <v>39.5</v>
      </c>
      <c r="EW148">
        <v>0</v>
      </c>
      <c r="EX148">
        <v>202.20000004768369</v>
      </c>
      <c r="EY148">
        <v>0</v>
      </c>
      <c r="EZ148">
        <v>785.90065384615389</v>
      </c>
      <c r="FA148">
        <v>-4.271897437938545</v>
      </c>
      <c r="FB148">
        <v>-84.694017150216823</v>
      </c>
      <c r="FC148">
        <v>16123.165384615389</v>
      </c>
      <c r="FD148">
        <v>15</v>
      </c>
      <c r="FE148">
        <v>1689024008.5999999</v>
      </c>
      <c r="FF148" t="s">
        <v>1090</v>
      </c>
      <c r="FG148">
        <v>1689024008.5999999</v>
      </c>
      <c r="FH148">
        <v>1689024007.0999999</v>
      </c>
      <c r="FI148">
        <v>146</v>
      </c>
      <c r="FJ148">
        <v>-0.10100000000000001</v>
      </c>
      <c r="FK148">
        <v>4.0000000000000001E-3</v>
      </c>
      <c r="FL148">
        <v>1.383</v>
      </c>
      <c r="FM148">
        <v>0.26700000000000002</v>
      </c>
      <c r="FN148">
        <v>700</v>
      </c>
      <c r="FO148">
        <v>23</v>
      </c>
      <c r="FP148">
        <v>0.08</v>
      </c>
      <c r="FQ148">
        <v>0.02</v>
      </c>
      <c r="FR148">
        <v>61.338787760224299</v>
      </c>
      <c r="FS148">
        <v>-0.60169747482289826</v>
      </c>
      <c r="FT148">
        <v>7.1817880422284736E-2</v>
      </c>
      <c r="FU148">
        <v>1</v>
      </c>
      <c r="FV148">
        <v>0.40744768200159531</v>
      </c>
      <c r="FW148">
        <v>-4.0488931849053833E-2</v>
      </c>
      <c r="FX148">
        <v>3.0347574232072378E-3</v>
      </c>
      <c r="FY148">
        <v>1</v>
      </c>
      <c r="FZ148">
        <v>2</v>
      </c>
      <c r="GA148">
        <v>2</v>
      </c>
      <c r="GB148" t="s">
        <v>423</v>
      </c>
      <c r="GC148">
        <v>2.9236</v>
      </c>
      <c r="GD148">
        <v>2.8272900000000001</v>
      </c>
      <c r="GE148">
        <v>0.12137000000000001</v>
      </c>
      <c r="GF148">
        <v>0.132184</v>
      </c>
      <c r="GG148">
        <v>0.128054</v>
      </c>
      <c r="GH148">
        <v>0.10913299999999999</v>
      </c>
      <c r="GI148">
        <v>28581.1</v>
      </c>
      <c r="GJ148">
        <v>22891.1</v>
      </c>
      <c r="GK148">
        <v>31307.3</v>
      </c>
      <c r="GL148">
        <v>26024.7</v>
      </c>
      <c r="GM148">
        <v>37426.1</v>
      </c>
      <c r="GN148">
        <v>31451.200000000001</v>
      </c>
      <c r="GO148">
        <v>46489.599999999999</v>
      </c>
      <c r="GP148">
        <v>37838.6</v>
      </c>
      <c r="GQ148">
        <v>1.90727</v>
      </c>
      <c r="GR148">
        <v>1.7136499999999999</v>
      </c>
      <c r="GS148">
        <v>-3.4235399999999999E-2</v>
      </c>
      <c r="GT148">
        <v>0</v>
      </c>
      <c r="GU148">
        <v>30.534600000000001</v>
      </c>
      <c r="GV148">
        <v>999.9</v>
      </c>
      <c r="GW148">
        <v>34.200000000000003</v>
      </c>
      <c r="GX148">
        <v>45.6</v>
      </c>
      <c r="GY148">
        <v>34.305999999999997</v>
      </c>
      <c r="GZ148">
        <v>62.452399999999997</v>
      </c>
      <c r="HA148">
        <v>19.146599999999999</v>
      </c>
      <c r="HB148">
        <v>1</v>
      </c>
      <c r="HC148">
        <v>0.63007599999999997</v>
      </c>
      <c r="HD148">
        <v>3.9034399999999998</v>
      </c>
      <c r="HE148">
        <v>20.254000000000001</v>
      </c>
      <c r="HF148">
        <v>5.2226800000000004</v>
      </c>
      <c r="HG148">
        <v>12.0624</v>
      </c>
      <c r="HH148">
        <v>4.9919000000000002</v>
      </c>
      <c r="HI148">
        <v>3.2919999999999998</v>
      </c>
      <c r="HJ148">
        <v>9999</v>
      </c>
      <c r="HK148">
        <v>9999</v>
      </c>
      <c r="HL148">
        <v>9999</v>
      </c>
      <c r="HM148">
        <v>467.8</v>
      </c>
      <c r="HN148">
        <v>1.8668800000000001</v>
      </c>
      <c r="HO148">
        <v>1.87033</v>
      </c>
      <c r="HP148">
        <v>1.8729100000000001</v>
      </c>
      <c r="HQ148">
        <v>1.8738300000000001</v>
      </c>
      <c r="HR148">
        <v>1.8705700000000001</v>
      </c>
      <c r="HS148">
        <v>1.8689899999999999</v>
      </c>
      <c r="HT148">
        <v>1.87042</v>
      </c>
      <c r="HU148">
        <v>1.8734200000000001</v>
      </c>
      <c r="HV148">
        <v>0</v>
      </c>
      <c r="HW148">
        <v>0</v>
      </c>
      <c r="HX148">
        <v>0</v>
      </c>
      <c r="HY148">
        <v>0</v>
      </c>
      <c r="HZ148" t="s">
        <v>424</v>
      </c>
      <c r="IA148" t="s">
        <v>425</v>
      </c>
      <c r="IB148" t="s">
        <v>426</v>
      </c>
      <c r="IC148" t="s">
        <v>426</v>
      </c>
      <c r="ID148" t="s">
        <v>426</v>
      </c>
      <c r="IE148" t="s">
        <v>426</v>
      </c>
      <c r="IF148">
        <v>0</v>
      </c>
      <c r="IG148">
        <v>100</v>
      </c>
      <c r="IH148">
        <v>100</v>
      </c>
      <c r="II148">
        <v>1.3220000000000001</v>
      </c>
      <c r="IJ148">
        <v>0.26690000000000003</v>
      </c>
      <c r="IK148">
        <v>0.20476918356289339</v>
      </c>
      <c r="IL148">
        <v>3.042515301972944E-3</v>
      </c>
      <c r="IM148">
        <v>-2.5091471490852929E-6</v>
      </c>
      <c r="IN148">
        <v>8.1339755115576286E-10</v>
      </c>
      <c r="IO148">
        <v>0.26698000000000022</v>
      </c>
      <c r="IP148">
        <v>0</v>
      </c>
      <c r="IQ148">
        <v>0</v>
      </c>
      <c r="IR148">
        <v>0</v>
      </c>
      <c r="IS148">
        <v>3</v>
      </c>
      <c r="IT148">
        <v>2004</v>
      </c>
      <c r="IU148">
        <v>2</v>
      </c>
      <c r="IV148">
        <v>22</v>
      </c>
      <c r="IW148">
        <v>1.3</v>
      </c>
      <c r="IX148">
        <v>1.3</v>
      </c>
      <c r="IY148">
        <v>1.63452</v>
      </c>
      <c r="IZ148">
        <v>2.6098599999999998</v>
      </c>
      <c r="JA148">
        <v>1.64917</v>
      </c>
      <c r="JB148">
        <v>2.34131</v>
      </c>
      <c r="JC148">
        <v>1.5991200000000001</v>
      </c>
      <c r="JD148">
        <v>2.34619</v>
      </c>
      <c r="JE148">
        <v>47.4816</v>
      </c>
      <c r="JF148">
        <v>24.2013</v>
      </c>
      <c r="JG148">
        <v>18</v>
      </c>
      <c r="JH148">
        <v>519.02800000000002</v>
      </c>
      <c r="JI148">
        <v>440.00099999999998</v>
      </c>
      <c r="JJ148">
        <v>25.9039</v>
      </c>
      <c r="JK148">
        <v>34.803800000000003</v>
      </c>
      <c r="JL148">
        <v>30.000399999999999</v>
      </c>
      <c r="JM148">
        <v>34.865400000000001</v>
      </c>
      <c r="JN148">
        <v>34.869199999999999</v>
      </c>
      <c r="JO148">
        <v>32.7089</v>
      </c>
      <c r="JP148">
        <v>100</v>
      </c>
      <c r="JQ148">
        <v>0</v>
      </c>
      <c r="JR148">
        <v>25.906400000000001</v>
      </c>
      <c r="JS148">
        <v>700</v>
      </c>
      <c r="JT148">
        <v>20.8809</v>
      </c>
      <c r="JU148">
        <v>99.225200000000001</v>
      </c>
      <c r="JV148">
        <v>98.949700000000007</v>
      </c>
    </row>
    <row r="149" spans="1:282" x14ac:dyDescent="0.25">
      <c r="A149">
        <v>133</v>
      </c>
      <c r="B149">
        <v>1689024238.0999999</v>
      </c>
      <c r="C149">
        <v>24643</v>
      </c>
      <c r="D149" t="s">
        <v>1091</v>
      </c>
      <c r="E149" t="s">
        <v>1092</v>
      </c>
      <c r="F149" t="s">
        <v>414</v>
      </c>
      <c r="G149" t="s">
        <v>415</v>
      </c>
      <c r="H149" t="s">
        <v>577</v>
      </c>
      <c r="I149" t="s">
        <v>500</v>
      </c>
      <c r="J149" t="s">
        <v>656</v>
      </c>
      <c r="K149">
        <v>1689024238.0999999</v>
      </c>
      <c r="L149">
        <f t="shared" si="184"/>
        <v>5.0561663762989338E-3</v>
      </c>
      <c r="M149">
        <f t="shared" si="185"/>
        <v>5.0561663762989335</v>
      </c>
      <c r="N149">
        <f t="shared" si="186"/>
        <v>60.559780461939908</v>
      </c>
      <c r="O149">
        <f t="shared" si="187"/>
        <v>822.31299999999999</v>
      </c>
      <c r="P149">
        <f t="shared" si="188"/>
        <v>535.23567780168901</v>
      </c>
      <c r="Q149">
        <f t="shared" si="189"/>
        <v>53.095439773082703</v>
      </c>
      <c r="R149">
        <f t="shared" si="190"/>
        <v>81.573542603600288</v>
      </c>
      <c r="S149">
        <f t="shared" si="191"/>
        <v>0.37855746770599119</v>
      </c>
      <c r="T149">
        <f t="shared" si="192"/>
        <v>2.9181959304724026</v>
      </c>
      <c r="U149">
        <f t="shared" si="193"/>
        <v>0.35323888044551133</v>
      </c>
      <c r="V149">
        <f t="shared" si="194"/>
        <v>0.22290780742053812</v>
      </c>
      <c r="W149">
        <f t="shared" si="195"/>
        <v>289.55587657689222</v>
      </c>
      <c r="X149">
        <f t="shared" si="196"/>
        <v>30.138999596781616</v>
      </c>
      <c r="Y149">
        <f t="shared" si="197"/>
        <v>29.9358</v>
      </c>
      <c r="Z149">
        <f t="shared" si="198"/>
        <v>4.2447641800153457</v>
      </c>
      <c r="AA149">
        <f t="shared" si="199"/>
        <v>68.494080428178478</v>
      </c>
      <c r="AB149">
        <f t="shared" si="200"/>
        <v>2.8758013587576898</v>
      </c>
      <c r="AC149">
        <f t="shared" si="201"/>
        <v>4.198612990757935</v>
      </c>
      <c r="AD149">
        <f t="shared" si="202"/>
        <v>1.3689628212576559</v>
      </c>
      <c r="AE149">
        <f t="shared" si="203"/>
        <v>-222.97693719478298</v>
      </c>
      <c r="AF149">
        <f t="shared" si="204"/>
        <v>-29.907630588589882</v>
      </c>
      <c r="AG149">
        <f t="shared" si="205"/>
        <v>-2.2752113733798685</v>
      </c>
      <c r="AH149">
        <f t="shared" si="206"/>
        <v>34.396097420139483</v>
      </c>
      <c r="AI149">
        <v>0</v>
      </c>
      <c r="AJ149">
        <v>0</v>
      </c>
      <c r="AK149">
        <f t="shared" si="207"/>
        <v>1</v>
      </c>
      <c r="AL149">
        <f t="shared" si="208"/>
        <v>0</v>
      </c>
      <c r="AM149">
        <f t="shared" si="209"/>
        <v>52053.744922006706</v>
      </c>
      <c r="AN149" t="s">
        <v>418</v>
      </c>
      <c r="AO149">
        <v>10021</v>
      </c>
      <c r="AP149">
        <v>177.53923076923081</v>
      </c>
      <c r="AQ149">
        <v>655.56</v>
      </c>
      <c r="AR149">
        <f t="shared" si="210"/>
        <v>0.72917928066198234</v>
      </c>
      <c r="AS149">
        <v>-3.1115002560329539</v>
      </c>
      <c r="AT149" t="s">
        <v>1093</v>
      </c>
      <c r="AU149">
        <v>8032.31</v>
      </c>
      <c r="AV149">
        <v>779.16352000000018</v>
      </c>
      <c r="AW149">
        <v>1295.751001625157</v>
      </c>
      <c r="AX149">
        <f t="shared" si="211"/>
        <v>0.39867804923727046</v>
      </c>
      <c r="AY149">
        <v>0.5</v>
      </c>
      <c r="AZ149">
        <f t="shared" si="212"/>
        <v>1513.1261992626385</v>
      </c>
      <c r="BA149">
        <f t="shared" si="213"/>
        <v>60.559780461939908</v>
      </c>
      <c r="BB149">
        <f t="shared" si="214"/>
        <v>301.62510068591706</v>
      </c>
      <c r="BC149">
        <f t="shared" si="215"/>
        <v>4.2079293021957134E-2</v>
      </c>
      <c r="BD149">
        <f t="shared" si="216"/>
        <v>-0.49406946305441135</v>
      </c>
      <c r="BE149">
        <f t="shared" si="217"/>
        <v>204.96432848317428</v>
      </c>
      <c r="BF149" t="s">
        <v>1094</v>
      </c>
      <c r="BG149">
        <v>587.12</v>
      </c>
      <c r="BH149">
        <f t="shared" si="218"/>
        <v>587.12</v>
      </c>
      <c r="BI149">
        <f t="shared" si="219"/>
        <v>0.54688825301803945</v>
      </c>
      <c r="BJ149">
        <f t="shared" si="220"/>
        <v>0.72899362353668939</v>
      </c>
      <c r="BK149">
        <f t="shared" si="221"/>
        <v>-9.3540473644821382</v>
      </c>
      <c r="BL149">
        <f t="shared" si="222"/>
        <v>0.46197642976852143</v>
      </c>
      <c r="BM149">
        <f t="shared" si="223"/>
        <v>-1.3392535279489051</v>
      </c>
      <c r="BN149">
        <f t="shared" si="224"/>
        <v>0.5493156767027042</v>
      </c>
      <c r="BO149">
        <f t="shared" si="225"/>
        <v>0.4506843232972958</v>
      </c>
      <c r="BP149">
        <v>22731</v>
      </c>
      <c r="BQ149">
        <v>290.00000000000011</v>
      </c>
      <c r="BR149">
        <v>1133.8399999999999</v>
      </c>
      <c r="BS149">
        <v>295</v>
      </c>
      <c r="BT149">
        <v>8032.31</v>
      </c>
      <c r="BU149">
        <v>1137.6199999999999</v>
      </c>
      <c r="BV149">
        <v>-3.78</v>
      </c>
      <c r="BW149">
        <v>300.00000000000011</v>
      </c>
      <c r="BX149">
        <v>19.399999999999999</v>
      </c>
      <c r="BY149">
        <v>1295.751001625157</v>
      </c>
      <c r="BZ149">
        <v>5.2602477919413131</v>
      </c>
      <c r="CA149">
        <v>-127.0167191739326</v>
      </c>
      <c r="CB149">
        <v>3.8811200871077118</v>
      </c>
      <c r="CC149">
        <v>0.9745233305793396</v>
      </c>
      <c r="CD149">
        <v>-4.1491757508342582E-3</v>
      </c>
      <c r="CE149">
        <v>289.99999999999989</v>
      </c>
      <c r="CF149">
        <v>1131.83</v>
      </c>
      <c r="CG149">
        <v>675</v>
      </c>
      <c r="CH149">
        <v>8021.34</v>
      </c>
      <c r="CI149">
        <v>1137.4000000000001</v>
      </c>
      <c r="CJ149">
        <v>-5.57</v>
      </c>
      <c r="CX149">
        <f t="shared" si="226"/>
        <v>1799.93</v>
      </c>
      <c r="CY149">
        <f t="shared" si="227"/>
        <v>1513.1261992626385</v>
      </c>
      <c r="CZ149">
        <f t="shared" si="228"/>
        <v>0.8406583585265196</v>
      </c>
      <c r="DA149">
        <f t="shared" si="229"/>
        <v>0.16087063195618287</v>
      </c>
      <c r="DB149">
        <v>6</v>
      </c>
      <c r="DC149">
        <v>0.5</v>
      </c>
      <c r="DD149" t="s">
        <v>421</v>
      </c>
      <c r="DE149">
        <v>2</v>
      </c>
      <c r="DF149">
        <v>1689024238.0999999</v>
      </c>
      <c r="DG149">
        <v>822.31299999999999</v>
      </c>
      <c r="DH149">
        <v>899.97</v>
      </c>
      <c r="DI149">
        <v>28.989899999999999</v>
      </c>
      <c r="DJ149">
        <v>23.098700000000001</v>
      </c>
      <c r="DK149">
        <v>821.10900000000004</v>
      </c>
      <c r="DL149">
        <v>28.723099999999999</v>
      </c>
      <c r="DM149">
        <v>500.02600000000001</v>
      </c>
      <c r="DN149">
        <v>99.100499999999997</v>
      </c>
      <c r="DO149">
        <v>9.9613099999999996E-2</v>
      </c>
      <c r="DP149">
        <v>29.745699999999999</v>
      </c>
      <c r="DQ149">
        <v>29.9358</v>
      </c>
      <c r="DR149">
        <v>999.9</v>
      </c>
      <c r="DS149">
        <v>0</v>
      </c>
      <c r="DT149">
        <v>0</v>
      </c>
      <c r="DU149">
        <v>10025.6</v>
      </c>
      <c r="DV149">
        <v>0</v>
      </c>
      <c r="DW149">
        <v>1236.04</v>
      </c>
      <c r="DX149">
        <v>-77.657200000000003</v>
      </c>
      <c r="DY149">
        <v>846.86300000000006</v>
      </c>
      <c r="DZ149">
        <v>921.24900000000002</v>
      </c>
      <c r="EA149">
        <v>5.8912000000000004</v>
      </c>
      <c r="EB149">
        <v>899.97</v>
      </c>
      <c r="EC149">
        <v>23.098700000000001</v>
      </c>
      <c r="ED149">
        <v>2.8729100000000001</v>
      </c>
      <c r="EE149">
        <v>2.2890899999999998</v>
      </c>
      <c r="EF149">
        <v>23.309100000000001</v>
      </c>
      <c r="EG149">
        <v>19.599799999999998</v>
      </c>
      <c r="EH149">
        <v>1799.93</v>
      </c>
      <c r="EI149">
        <v>0.97799499999999995</v>
      </c>
      <c r="EJ149">
        <v>2.2005500000000001E-2</v>
      </c>
      <c r="EK149">
        <v>0</v>
      </c>
      <c r="EL149">
        <v>778.86599999999999</v>
      </c>
      <c r="EM149">
        <v>5.0011200000000002</v>
      </c>
      <c r="EN149">
        <v>16049.9</v>
      </c>
      <c r="EO149">
        <v>17210.2</v>
      </c>
      <c r="EP149">
        <v>49.625</v>
      </c>
      <c r="EQ149">
        <v>50.811999999999998</v>
      </c>
      <c r="ER149">
        <v>50.561999999999998</v>
      </c>
      <c r="ES149">
        <v>50.125</v>
      </c>
      <c r="ET149">
        <v>49.686999999999998</v>
      </c>
      <c r="EU149">
        <v>1755.43</v>
      </c>
      <c r="EV149">
        <v>39.5</v>
      </c>
      <c r="EW149">
        <v>0</v>
      </c>
      <c r="EX149">
        <v>151.20000004768369</v>
      </c>
      <c r="EY149">
        <v>0</v>
      </c>
      <c r="EZ149">
        <v>779.16352000000018</v>
      </c>
      <c r="FA149">
        <v>-3.3782307736963122</v>
      </c>
      <c r="FB149">
        <v>-54.661538370928469</v>
      </c>
      <c r="FC149">
        <v>16060.288</v>
      </c>
      <c r="FD149">
        <v>15</v>
      </c>
      <c r="FE149">
        <v>1689024154.5999999</v>
      </c>
      <c r="FF149" t="s">
        <v>1095</v>
      </c>
      <c r="FG149">
        <v>1689024151.5999999</v>
      </c>
      <c r="FH149">
        <v>1689024154.5999999</v>
      </c>
      <c r="FI149">
        <v>147</v>
      </c>
      <c r="FJ149">
        <v>-0.25800000000000001</v>
      </c>
      <c r="FK149">
        <v>0</v>
      </c>
      <c r="FL149">
        <v>1.2450000000000001</v>
      </c>
      <c r="FM149">
        <v>0.26700000000000002</v>
      </c>
      <c r="FN149">
        <v>900</v>
      </c>
      <c r="FO149">
        <v>23</v>
      </c>
      <c r="FP149">
        <v>0.05</v>
      </c>
      <c r="FQ149">
        <v>0.02</v>
      </c>
      <c r="FR149">
        <v>60.62479518290727</v>
      </c>
      <c r="FS149">
        <v>-0.35669840132220509</v>
      </c>
      <c r="FT149">
        <v>9.2145934133805396E-2</v>
      </c>
      <c r="FU149">
        <v>1</v>
      </c>
      <c r="FV149">
        <v>0.38291754604032319</v>
      </c>
      <c r="FW149">
        <v>-3.7711327809405677E-2</v>
      </c>
      <c r="FX149">
        <v>2.9486195176038751E-3</v>
      </c>
      <c r="FY149">
        <v>1</v>
      </c>
      <c r="FZ149">
        <v>2</v>
      </c>
      <c r="GA149">
        <v>2</v>
      </c>
      <c r="GB149" t="s">
        <v>423</v>
      </c>
      <c r="GC149">
        <v>2.9233099999999999</v>
      </c>
      <c r="GD149">
        <v>2.8271299999999999</v>
      </c>
      <c r="GE149">
        <v>0.14690800000000001</v>
      </c>
      <c r="GF149">
        <v>0.156472</v>
      </c>
      <c r="GG149">
        <v>0.12723400000000001</v>
      </c>
      <c r="GH149">
        <v>0.109137</v>
      </c>
      <c r="GI149">
        <v>27745.599999999999</v>
      </c>
      <c r="GJ149">
        <v>22247</v>
      </c>
      <c r="GK149">
        <v>31303.4</v>
      </c>
      <c r="GL149">
        <v>26021.8</v>
      </c>
      <c r="GM149">
        <v>37457.300000000003</v>
      </c>
      <c r="GN149">
        <v>31447.599999999999</v>
      </c>
      <c r="GO149">
        <v>46483.9</v>
      </c>
      <c r="GP149">
        <v>37833.9</v>
      </c>
      <c r="GQ149">
        <v>1.9060999999999999</v>
      </c>
      <c r="GR149">
        <v>1.7144299999999999</v>
      </c>
      <c r="GS149">
        <v>-2.3148999999999999E-2</v>
      </c>
      <c r="GT149">
        <v>0</v>
      </c>
      <c r="GU149">
        <v>30.3125</v>
      </c>
      <c r="GV149">
        <v>999.9</v>
      </c>
      <c r="GW149">
        <v>34.200000000000003</v>
      </c>
      <c r="GX149">
        <v>45.6</v>
      </c>
      <c r="GY149">
        <v>34.304099999999998</v>
      </c>
      <c r="GZ149">
        <v>61.852499999999999</v>
      </c>
      <c r="HA149">
        <v>19.114599999999999</v>
      </c>
      <c r="HB149">
        <v>1</v>
      </c>
      <c r="HC149">
        <v>0.63278500000000004</v>
      </c>
      <c r="HD149">
        <v>3.4887999999999999</v>
      </c>
      <c r="HE149">
        <v>20.262899999999998</v>
      </c>
      <c r="HF149">
        <v>5.2232799999999999</v>
      </c>
      <c r="HG149">
        <v>12.063599999999999</v>
      </c>
      <c r="HH149">
        <v>4.9928499999999998</v>
      </c>
      <c r="HI149">
        <v>3.2919999999999998</v>
      </c>
      <c r="HJ149">
        <v>9999</v>
      </c>
      <c r="HK149">
        <v>9999</v>
      </c>
      <c r="HL149">
        <v>9999</v>
      </c>
      <c r="HM149">
        <v>467.8</v>
      </c>
      <c r="HN149">
        <v>1.8668100000000001</v>
      </c>
      <c r="HO149">
        <v>1.8703099999999999</v>
      </c>
      <c r="HP149">
        <v>1.8728800000000001</v>
      </c>
      <c r="HQ149">
        <v>1.8737999999999999</v>
      </c>
      <c r="HR149">
        <v>1.8705799999999999</v>
      </c>
      <c r="HS149">
        <v>1.86893</v>
      </c>
      <c r="HT149">
        <v>1.87042</v>
      </c>
      <c r="HU149">
        <v>1.8734299999999999</v>
      </c>
      <c r="HV149">
        <v>0</v>
      </c>
      <c r="HW149">
        <v>0</v>
      </c>
      <c r="HX149">
        <v>0</v>
      </c>
      <c r="HY149">
        <v>0</v>
      </c>
      <c r="HZ149" t="s">
        <v>424</v>
      </c>
      <c r="IA149" t="s">
        <v>425</v>
      </c>
      <c r="IB149" t="s">
        <v>426</v>
      </c>
      <c r="IC149" t="s">
        <v>426</v>
      </c>
      <c r="ID149" t="s">
        <v>426</v>
      </c>
      <c r="IE149" t="s">
        <v>426</v>
      </c>
      <c r="IF149">
        <v>0</v>
      </c>
      <c r="IG149">
        <v>100</v>
      </c>
      <c r="IH149">
        <v>100</v>
      </c>
      <c r="II149">
        <v>1.204</v>
      </c>
      <c r="IJ149">
        <v>0.26679999999999998</v>
      </c>
      <c r="IK149">
        <v>-5.2959902906312271E-2</v>
      </c>
      <c r="IL149">
        <v>3.042515301972944E-3</v>
      </c>
      <c r="IM149">
        <v>-2.5091471490852929E-6</v>
      </c>
      <c r="IN149">
        <v>8.1339755115576286E-10</v>
      </c>
      <c r="IO149">
        <v>0.26680499999999441</v>
      </c>
      <c r="IP149">
        <v>0</v>
      </c>
      <c r="IQ149">
        <v>0</v>
      </c>
      <c r="IR149">
        <v>0</v>
      </c>
      <c r="IS149">
        <v>3</v>
      </c>
      <c r="IT149">
        <v>2004</v>
      </c>
      <c r="IU149">
        <v>2</v>
      </c>
      <c r="IV149">
        <v>22</v>
      </c>
      <c r="IW149">
        <v>1.4</v>
      </c>
      <c r="IX149">
        <v>1.4</v>
      </c>
      <c r="IY149">
        <v>2.01172</v>
      </c>
      <c r="IZ149">
        <v>2.5988799999999999</v>
      </c>
      <c r="JA149">
        <v>1.64917</v>
      </c>
      <c r="JB149">
        <v>2.34253</v>
      </c>
      <c r="JC149">
        <v>1.5991200000000001</v>
      </c>
      <c r="JD149">
        <v>2.2961399999999998</v>
      </c>
      <c r="JE149">
        <v>47.3917</v>
      </c>
      <c r="JF149">
        <v>24.2013</v>
      </c>
      <c r="JG149">
        <v>18</v>
      </c>
      <c r="JH149">
        <v>518.64800000000002</v>
      </c>
      <c r="JI149">
        <v>440.85399999999998</v>
      </c>
      <c r="JJ149">
        <v>26.1921</v>
      </c>
      <c r="JK149">
        <v>34.857799999999997</v>
      </c>
      <c r="JL149">
        <v>29.999700000000001</v>
      </c>
      <c r="JM149">
        <v>34.918500000000002</v>
      </c>
      <c r="JN149">
        <v>34.9176</v>
      </c>
      <c r="JO149">
        <v>40.2485</v>
      </c>
      <c r="JP149">
        <v>100</v>
      </c>
      <c r="JQ149">
        <v>0</v>
      </c>
      <c r="JR149">
        <v>26.233000000000001</v>
      </c>
      <c r="JS149">
        <v>900</v>
      </c>
      <c r="JT149">
        <v>21.058199999999999</v>
      </c>
      <c r="JU149">
        <v>99.212900000000005</v>
      </c>
      <c r="JV149">
        <v>98.937899999999999</v>
      </c>
    </row>
    <row r="150" spans="1:282" x14ac:dyDescent="0.25">
      <c r="A150">
        <v>134</v>
      </c>
      <c r="B150">
        <v>1689024402</v>
      </c>
      <c r="C150">
        <v>24806.900000095371</v>
      </c>
      <c r="D150" t="s">
        <v>1096</v>
      </c>
      <c r="E150" t="s">
        <v>1097</v>
      </c>
      <c r="F150" t="s">
        <v>414</v>
      </c>
      <c r="G150" t="s">
        <v>415</v>
      </c>
      <c r="H150" t="s">
        <v>577</v>
      </c>
      <c r="I150" t="s">
        <v>500</v>
      </c>
      <c r="J150" t="s">
        <v>656</v>
      </c>
      <c r="K150">
        <v>1689024402</v>
      </c>
      <c r="L150">
        <f t="shared" si="184"/>
        <v>4.6464414273057458E-3</v>
      </c>
      <c r="M150">
        <f t="shared" si="185"/>
        <v>4.6464414273057457</v>
      </c>
      <c r="N150">
        <f t="shared" si="186"/>
        <v>59.060762037044917</v>
      </c>
      <c r="O150">
        <f t="shared" si="187"/>
        <v>1122.97</v>
      </c>
      <c r="P150">
        <f t="shared" si="188"/>
        <v>802.13118704299086</v>
      </c>
      <c r="Q150">
        <f t="shared" si="189"/>
        <v>79.56804055238382</v>
      </c>
      <c r="R150">
        <f t="shared" si="190"/>
        <v>111.39390157425902</v>
      </c>
      <c r="S150">
        <f t="shared" si="191"/>
        <v>0.33403304494214436</v>
      </c>
      <c r="T150">
        <f t="shared" si="192"/>
        <v>2.915181382517551</v>
      </c>
      <c r="U150">
        <f t="shared" si="193"/>
        <v>0.31413294773372769</v>
      </c>
      <c r="V150">
        <f t="shared" si="194"/>
        <v>0.19802216697259156</v>
      </c>
      <c r="W150">
        <f t="shared" si="195"/>
        <v>289.53832057680518</v>
      </c>
      <c r="X150">
        <f t="shared" si="196"/>
        <v>30.178937515432615</v>
      </c>
      <c r="Y150">
        <f t="shared" si="197"/>
        <v>30.0123</v>
      </c>
      <c r="Z150">
        <f t="shared" si="198"/>
        <v>4.2634607151818038</v>
      </c>
      <c r="AA150">
        <f t="shared" si="199"/>
        <v>68.114513760004172</v>
      </c>
      <c r="AB150">
        <f t="shared" si="200"/>
        <v>2.8488238671482402</v>
      </c>
      <c r="AC150">
        <f t="shared" si="201"/>
        <v>4.1824035875611392</v>
      </c>
      <c r="AD150">
        <f t="shared" si="202"/>
        <v>1.4146368480335636</v>
      </c>
      <c r="AE150">
        <f t="shared" si="203"/>
        <v>-204.90806694418339</v>
      </c>
      <c r="AF150">
        <f t="shared" si="204"/>
        <v>-52.461095752152751</v>
      </c>
      <c r="AG150">
        <f t="shared" si="205"/>
        <v>-3.9952693146134513</v>
      </c>
      <c r="AH150">
        <f t="shared" si="206"/>
        <v>28.173888565855599</v>
      </c>
      <c r="AI150">
        <v>0</v>
      </c>
      <c r="AJ150">
        <v>0</v>
      </c>
      <c r="AK150">
        <f t="shared" si="207"/>
        <v>1</v>
      </c>
      <c r="AL150">
        <f t="shared" si="208"/>
        <v>0</v>
      </c>
      <c r="AM150">
        <f t="shared" si="209"/>
        <v>51979.294201950361</v>
      </c>
      <c r="AN150" t="s">
        <v>418</v>
      </c>
      <c r="AO150">
        <v>10021</v>
      </c>
      <c r="AP150">
        <v>177.53923076923081</v>
      </c>
      <c r="AQ150">
        <v>655.56</v>
      </c>
      <c r="AR150">
        <f t="shared" si="210"/>
        <v>0.72917928066198234</v>
      </c>
      <c r="AS150">
        <v>-3.1115002560329539</v>
      </c>
      <c r="AT150" t="s">
        <v>1098</v>
      </c>
      <c r="AU150">
        <v>8031.59</v>
      </c>
      <c r="AV150">
        <v>768.16687999999999</v>
      </c>
      <c r="AW150">
        <v>1280.061327449569</v>
      </c>
      <c r="AX150">
        <f t="shared" si="211"/>
        <v>0.39989837711094844</v>
      </c>
      <c r="AY150">
        <v>0.5</v>
      </c>
      <c r="AZ150">
        <f t="shared" si="212"/>
        <v>1513.0337992625932</v>
      </c>
      <c r="BA150">
        <f t="shared" si="213"/>
        <v>59.060762037044917</v>
      </c>
      <c r="BB150">
        <f t="shared" si="214"/>
        <v>302.52988041956178</v>
      </c>
      <c r="BC150">
        <f t="shared" si="215"/>
        <v>4.1091125871331326E-2</v>
      </c>
      <c r="BD150">
        <f t="shared" si="216"/>
        <v>-0.48786828729045623</v>
      </c>
      <c r="BE150">
        <f t="shared" si="217"/>
        <v>204.56770634244751</v>
      </c>
      <c r="BF150" t="s">
        <v>1099</v>
      </c>
      <c r="BG150">
        <v>585.96</v>
      </c>
      <c r="BH150">
        <f t="shared" si="218"/>
        <v>585.96</v>
      </c>
      <c r="BI150">
        <f t="shared" si="219"/>
        <v>0.54224068219646671</v>
      </c>
      <c r="BJ150">
        <f t="shared" si="220"/>
        <v>0.73749239081632723</v>
      </c>
      <c r="BK150">
        <f t="shared" si="221"/>
        <v>-8.9727202219765783</v>
      </c>
      <c r="BL150">
        <f t="shared" si="222"/>
        <v>0.46429404815637554</v>
      </c>
      <c r="BM150">
        <f t="shared" si="223"/>
        <v>-1.3064313679393396</v>
      </c>
      <c r="BN150">
        <f t="shared" si="224"/>
        <v>0.56256140764977414</v>
      </c>
      <c r="BO150">
        <f t="shared" si="225"/>
        <v>0.43743859235022586</v>
      </c>
      <c r="BP150">
        <v>22733</v>
      </c>
      <c r="BQ150">
        <v>290.00000000000011</v>
      </c>
      <c r="BR150">
        <v>1118.46</v>
      </c>
      <c r="BS150">
        <v>295</v>
      </c>
      <c r="BT150">
        <v>8031.59</v>
      </c>
      <c r="BU150">
        <v>1121.6300000000001</v>
      </c>
      <c r="BV150">
        <v>-3.17</v>
      </c>
      <c r="BW150">
        <v>300.00000000000011</v>
      </c>
      <c r="BX150">
        <v>19.399999999999999</v>
      </c>
      <c r="BY150">
        <v>1280.061327449569</v>
      </c>
      <c r="BZ150">
        <v>5.0981547247935852</v>
      </c>
      <c r="CA150">
        <v>-127.2435535055677</v>
      </c>
      <c r="CB150">
        <v>3.761191445193635</v>
      </c>
      <c r="CC150">
        <v>0.97611966608487111</v>
      </c>
      <c r="CD150">
        <v>-4.1488224694104601E-3</v>
      </c>
      <c r="CE150">
        <v>289.99999999999989</v>
      </c>
      <c r="CF150">
        <v>1116.97</v>
      </c>
      <c r="CG150">
        <v>645</v>
      </c>
      <c r="CH150">
        <v>8021.52</v>
      </c>
      <c r="CI150">
        <v>1121.43</v>
      </c>
      <c r="CJ150">
        <v>-4.46</v>
      </c>
      <c r="CX150">
        <f t="shared" si="226"/>
        <v>1799.82</v>
      </c>
      <c r="CY150">
        <f t="shared" si="227"/>
        <v>1513.0337992625932</v>
      </c>
      <c r="CZ150">
        <f t="shared" si="228"/>
        <v>0.84065839876353932</v>
      </c>
      <c r="DA150">
        <f t="shared" si="229"/>
        <v>0.16087070961363092</v>
      </c>
      <c r="DB150">
        <v>6</v>
      </c>
      <c r="DC150">
        <v>0.5</v>
      </c>
      <c r="DD150" t="s">
        <v>421</v>
      </c>
      <c r="DE150">
        <v>2</v>
      </c>
      <c r="DF150">
        <v>1689024402</v>
      </c>
      <c r="DG150">
        <v>1122.97</v>
      </c>
      <c r="DH150">
        <v>1200.1099999999999</v>
      </c>
      <c r="DI150">
        <v>28.719200000000001</v>
      </c>
      <c r="DJ150">
        <v>23.3032</v>
      </c>
      <c r="DK150">
        <v>1121.71</v>
      </c>
      <c r="DL150">
        <v>28.454000000000001</v>
      </c>
      <c r="DM150">
        <v>499.96300000000002</v>
      </c>
      <c r="DN150">
        <v>99.096000000000004</v>
      </c>
      <c r="DO150">
        <v>9.97947E-2</v>
      </c>
      <c r="DP150">
        <v>29.6785</v>
      </c>
      <c r="DQ150">
        <v>30.0123</v>
      </c>
      <c r="DR150">
        <v>999.9</v>
      </c>
      <c r="DS150">
        <v>0</v>
      </c>
      <c r="DT150">
        <v>0</v>
      </c>
      <c r="DU150">
        <v>10008.799999999999</v>
      </c>
      <c r="DV150">
        <v>0</v>
      </c>
      <c r="DW150">
        <v>1202.6600000000001</v>
      </c>
      <c r="DX150">
        <v>-77.147000000000006</v>
      </c>
      <c r="DY150">
        <v>1156.17</v>
      </c>
      <c r="DZ150">
        <v>1228.75</v>
      </c>
      <c r="EA150">
        <v>5.4160599999999999</v>
      </c>
      <c r="EB150">
        <v>1200.1099999999999</v>
      </c>
      <c r="EC150">
        <v>23.3032</v>
      </c>
      <c r="ED150">
        <v>2.8459599999999998</v>
      </c>
      <c r="EE150">
        <v>2.30925</v>
      </c>
      <c r="EF150">
        <v>23.153099999999998</v>
      </c>
      <c r="EG150">
        <v>19.741099999999999</v>
      </c>
      <c r="EH150">
        <v>1799.82</v>
      </c>
      <c r="EI150">
        <v>0.97799499999999995</v>
      </c>
      <c r="EJ150">
        <v>2.2005500000000001E-2</v>
      </c>
      <c r="EK150">
        <v>0</v>
      </c>
      <c r="EL150">
        <v>767.81899999999996</v>
      </c>
      <c r="EM150">
        <v>5.0011200000000002</v>
      </c>
      <c r="EN150">
        <v>15878.8</v>
      </c>
      <c r="EO150">
        <v>17209.099999999999</v>
      </c>
      <c r="EP150">
        <v>49.75</v>
      </c>
      <c r="EQ150">
        <v>50.875</v>
      </c>
      <c r="ER150">
        <v>50.75</v>
      </c>
      <c r="ES150">
        <v>50.061999999999998</v>
      </c>
      <c r="ET150">
        <v>50.311999999999998</v>
      </c>
      <c r="EU150">
        <v>1755.32</v>
      </c>
      <c r="EV150">
        <v>39.5</v>
      </c>
      <c r="EW150">
        <v>0</v>
      </c>
      <c r="EX150">
        <v>162</v>
      </c>
      <c r="EY150">
        <v>0</v>
      </c>
      <c r="EZ150">
        <v>768.16687999999999</v>
      </c>
      <c r="FA150">
        <v>-4.2902307826660842</v>
      </c>
      <c r="FB150">
        <v>-72.476923244656646</v>
      </c>
      <c r="FC150">
        <v>15885.832</v>
      </c>
      <c r="FD150">
        <v>15</v>
      </c>
      <c r="FE150">
        <v>1689024308.5999999</v>
      </c>
      <c r="FF150" t="s">
        <v>1100</v>
      </c>
      <c r="FG150">
        <v>1689024306.5999999</v>
      </c>
      <c r="FH150">
        <v>1689024308.5999999</v>
      </c>
      <c r="FI150">
        <v>148</v>
      </c>
      <c r="FJ150">
        <v>-8.8999999999999996E-2</v>
      </c>
      <c r="FK150">
        <v>-2E-3</v>
      </c>
      <c r="FL150">
        <v>1.3009999999999999</v>
      </c>
      <c r="FM150">
        <v>0.26500000000000001</v>
      </c>
      <c r="FN150">
        <v>1201</v>
      </c>
      <c r="FO150">
        <v>23</v>
      </c>
      <c r="FP150">
        <v>0.05</v>
      </c>
      <c r="FQ150">
        <v>0.03</v>
      </c>
      <c r="FR150">
        <v>59.032645506629883</v>
      </c>
      <c r="FS150">
        <v>0.2301990827087943</v>
      </c>
      <c r="FT150">
        <v>5.8824727495808041E-2</v>
      </c>
      <c r="FU150">
        <v>1</v>
      </c>
      <c r="FV150">
        <v>0.33990018679741912</v>
      </c>
      <c r="FW150">
        <v>-4.8878034466030687E-2</v>
      </c>
      <c r="FX150">
        <v>3.5540701381858819E-3</v>
      </c>
      <c r="FY150">
        <v>1</v>
      </c>
      <c r="FZ150">
        <v>2</v>
      </c>
      <c r="GA150">
        <v>2</v>
      </c>
      <c r="GB150" t="s">
        <v>423</v>
      </c>
      <c r="GC150">
        <v>2.9231199999999999</v>
      </c>
      <c r="GD150">
        <v>2.8271600000000001</v>
      </c>
      <c r="GE150">
        <v>0.179922</v>
      </c>
      <c r="GF150">
        <v>0.188142</v>
      </c>
      <c r="GG150">
        <v>0.12639500000000001</v>
      </c>
      <c r="GH150">
        <v>0.109802</v>
      </c>
      <c r="GI150">
        <v>26668.7</v>
      </c>
      <c r="GJ150">
        <v>21410</v>
      </c>
      <c r="GK150">
        <v>31302.6</v>
      </c>
      <c r="GL150">
        <v>26021.9</v>
      </c>
      <c r="GM150">
        <v>37492.9</v>
      </c>
      <c r="GN150">
        <v>31424.799999999999</v>
      </c>
      <c r="GO150">
        <v>46482.6</v>
      </c>
      <c r="GP150">
        <v>37834.1</v>
      </c>
      <c r="GQ150">
        <v>1.9053500000000001</v>
      </c>
      <c r="GR150">
        <v>1.7165999999999999</v>
      </c>
      <c r="GS150">
        <v>-2.6524099999999998E-2</v>
      </c>
      <c r="GT150">
        <v>0</v>
      </c>
      <c r="GU150">
        <v>30.4438</v>
      </c>
      <c r="GV150">
        <v>999.9</v>
      </c>
      <c r="GW150">
        <v>34</v>
      </c>
      <c r="GX150">
        <v>45.5</v>
      </c>
      <c r="GY150">
        <v>33.931899999999999</v>
      </c>
      <c r="GZ150">
        <v>62.252499999999998</v>
      </c>
      <c r="HA150">
        <v>19.415099999999999</v>
      </c>
      <c r="HB150">
        <v>1</v>
      </c>
      <c r="HC150">
        <v>0.63648899999999997</v>
      </c>
      <c r="HD150">
        <v>4.1025700000000001</v>
      </c>
      <c r="HE150">
        <v>20.249199999999998</v>
      </c>
      <c r="HF150">
        <v>5.2265699999999997</v>
      </c>
      <c r="HG150">
        <v>12.063599999999999</v>
      </c>
      <c r="HH150">
        <v>4.9927999999999999</v>
      </c>
      <c r="HI150">
        <v>3.2919999999999998</v>
      </c>
      <c r="HJ150">
        <v>9999</v>
      </c>
      <c r="HK150">
        <v>9999</v>
      </c>
      <c r="HL150">
        <v>9999</v>
      </c>
      <c r="HM150">
        <v>467.9</v>
      </c>
      <c r="HN150">
        <v>1.8668499999999999</v>
      </c>
      <c r="HO150">
        <v>1.8703099999999999</v>
      </c>
      <c r="HP150">
        <v>1.87287</v>
      </c>
      <c r="HQ150">
        <v>1.8737999999999999</v>
      </c>
      <c r="HR150">
        <v>1.8705700000000001</v>
      </c>
      <c r="HS150">
        <v>1.8689499999999999</v>
      </c>
      <c r="HT150">
        <v>1.87042</v>
      </c>
      <c r="HU150">
        <v>1.8734200000000001</v>
      </c>
      <c r="HV150">
        <v>0</v>
      </c>
      <c r="HW150">
        <v>0</v>
      </c>
      <c r="HX150">
        <v>0</v>
      </c>
      <c r="HY150">
        <v>0</v>
      </c>
      <c r="HZ150" t="s">
        <v>424</v>
      </c>
      <c r="IA150" t="s">
        <v>425</v>
      </c>
      <c r="IB150" t="s">
        <v>426</v>
      </c>
      <c r="IC150" t="s">
        <v>426</v>
      </c>
      <c r="ID150" t="s">
        <v>426</v>
      </c>
      <c r="IE150" t="s">
        <v>426</v>
      </c>
      <c r="IF150">
        <v>0</v>
      </c>
      <c r="IG150">
        <v>100</v>
      </c>
      <c r="IH150">
        <v>100</v>
      </c>
      <c r="II150">
        <v>1.26</v>
      </c>
      <c r="IJ150">
        <v>0.26519999999999999</v>
      </c>
      <c r="IK150">
        <v>-0.14246828403504261</v>
      </c>
      <c r="IL150">
        <v>3.042515301972944E-3</v>
      </c>
      <c r="IM150">
        <v>-2.5091471490852929E-6</v>
      </c>
      <c r="IN150">
        <v>8.1339755115576286E-10</v>
      </c>
      <c r="IO150">
        <v>0.26524999999999821</v>
      </c>
      <c r="IP150">
        <v>0</v>
      </c>
      <c r="IQ150">
        <v>0</v>
      </c>
      <c r="IR150">
        <v>0</v>
      </c>
      <c r="IS150">
        <v>3</v>
      </c>
      <c r="IT150">
        <v>2004</v>
      </c>
      <c r="IU150">
        <v>2</v>
      </c>
      <c r="IV150">
        <v>22</v>
      </c>
      <c r="IW150">
        <v>1.6</v>
      </c>
      <c r="IX150">
        <v>1.6</v>
      </c>
      <c r="IY150">
        <v>2.5512700000000001</v>
      </c>
      <c r="IZ150">
        <v>2.5964399999999999</v>
      </c>
      <c r="JA150">
        <v>1.64917</v>
      </c>
      <c r="JB150">
        <v>2.34253</v>
      </c>
      <c r="JC150">
        <v>1.5991200000000001</v>
      </c>
      <c r="JD150">
        <v>2.2680699999999998</v>
      </c>
      <c r="JE150">
        <v>47.271999999999998</v>
      </c>
      <c r="JF150">
        <v>24.192599999999999</v>
      </c>
      <c r="JG150">
        <v>18</v>
      </c>
      <c r="JH150">
        <v>518.36400000000003</v>
      </c>
      <c r="JI150">
        <v>442.49299999999999</v>
      </c>
      <c r="JJ150">
        <v>26.028099999999998</v>
      </c>
      <c r="JK150">
        <v>34.884900000000002</v>
      </c>
      <c r="JL150">
        <v>30.000800000000002</v>
      </c>
      <c r="JM150">
        <v>34.947099999999999</v>
      </c>
      <c r="JN150">
        <v>34.9467</v>
      </c>
      <c r="JO150">
        <v>51.0505</v>
      </c>
      <c r="JP150">
        <v>100</v>
      </c>
      <c r="JQ150">
        <v>0</v>
      </c>
      <c r="JR150">
        <v>25.897300000000001</v>
      </c>
      <c r="JS150">
        <v>1200</v>
      </c>
      <c r="JT150">
        <v>21.2301</v>
      </c>
      <c r="JU150">
        <v>99.2102</v>
      </c>
      <c r="JV150">
        <v>98.938299999999998</v>
      </c>
    </row>
    <row r="151" spans="1:282" x14ac:dyDescent="0.25">
      <c r="A151">
        <v>135</v>
      </c>
      <c r="B151">
        <v>1689024591.5</v>
      </c>
      <c r="C151">
        <v>24996.400000095371</v>
      </c>
      <c r="D151" t="s">
        <v>1101</v>
      </c>
      <c r="E151" t="s">
        <v>1102</v>
      </c>
      <c r="F151" t="s">
        <v>414</v>
      </c>
      <c r="G151" t="s">
        <v>415</v>
      </c>
      <c r="H151" t="s">
        <v>577</v>
      </c>
      <c r="I151" t="s">
        <v>500</v>
      </c>
      <c r="J151" t="s">
        <v>656</v>
      </c>
      <c r="K151">
        <v>1689024591.5</v>
      </c>
      <c r="L151">
        <f t="shared" si="184"/>
        <v>3.8825079431821369E-3</v>
      </c>
      <c r="M151">
        <f t="shared" si="185"/>
        <v>3.8825079431821368</v>
      </c>
      <c r="N151">
        <f t="shared" si="186"/>
        <v>57.225400459698719</v>
      </c>
      <c r="O151">
        <f t="shared" si="187"/>
        <v>1424.53</v>
      </c>
      <c r="P151">
        <f t="shared" si="188"/>
        <v>1026.1826671977599</v>
      </c>
      <c r="Q151">
        <f t="shared" si="189"/>
        <v>101.80047199298873</v>
      </c>
      <c r="R151">
        <f t="shared" si="190"/>
        <v>141.31775073162999</v>
      </c>
      <c r="S151">
        <f t="shared" si="191"/>
        <v>0.25947652030445206</v>
      </c>
      <c r="T151">
        <f t="shared" si="192"/>
        <v>2.912454033179372</v>
      </c>
      <c r="U151">
        <f t="shared" si="193"/>
        <v>0.24728368702306655</v>
      </c>
      <c r="V151">
        <f t="shared" si="194"/>
        <v>0.15560002805113882</v>
      </c>
      <c r="W151">
        <f t="shared" si="195"/>
        <v>289.55747257690012</v>
      </c>
      <c r="X151">
        <f t="shared" si="196"/>
        <v>30.556285844452741</v>
      </c>
      <c r="Y151">
        <f t="shared" si="197"/>
        <v>30.080200000000001</v>
      </c>
      <c r="Z151">
        <f t="shared" si="198"/>
        <v>4.2801154961993726</v>
      </c>
      <c r="AA151">
        <f t="shared" si="199"/>
        <v>65.745607285913749</v>
      </c>
      <c r="AB151">
        <f t="shared" si="200"/>
        <v>2.7779736769059</v>
      </c>
      <c r="AC151">
        <f t="shared" si="201"/>
        <v>4.2253373139061283</v>
      </c>
      <c r="AD151">
        <f t="shared" si="202"/>
        <v>1.5021418192934726</v>
      </c>
      <c r="AE151">
        <f t="shared" si="203"/>
        <v>-171.21860029433225</v>
      </c>
      <c r="AF151">
        <f t="shared" si="204"/>
        <v>-35.20303693580297</v>
      </c>
      <c r="AG151">
        <f t="shared" si="205"/>
        <v>-2.6867238398269953</v>
      </c>
      <c r="AH151">
        <f t="shared" si="206"/>
        <v>80.449111506937925</v>
      </c>
      <c r="AI151">
        <v>0</v>
      </c>
      <c r="AJ151">
        <v>0</v>
      </c>
      <c r="AK151">
        <f t="shared" si="207"/>
        <v>1</v>
      </c>
      <c r="AL151">
        <f t="shared" si="208"/>
        <v>0</v>
      </c>
      <c r="AM151">
        <f t="shared" si="209"/>
        <v>51871.348056919785</v>
      </c>
      <c r="AN151" t="s">
        <v>418</v>
      </c>
      <c r="AO151">
        <v>10021</v>
      </c>
      <c r="AP151">
        <v>177.53923076923081</v>
      </c>
      <c r="AQ151">
        <v>655.56</v>
      </c>
      <c r="AR151">
        <f t="shared" si="210"/>
        <v>0.72917928066198234</v>
      </c>
      <c r="AS151">
        <v>-3.1115002560329539</v>
      </c>
      <c r="AT151" t="s">
        <v>1103</v>
      </c>
      <c r="AU151">
        <v>8032.16</v>
      </c>
      <c r="AV151">
        <v>756.39461538461524</v>
      </c>
      <c r="AW151">
        <v>1259.723194688346</v>
      </c>
      <c r="AX151">
        <f t="shared" si="211"/>
        <v>0.39955490335180632</v>
      </c>
      <c r="AY151">
        <v>0.5</v>
      </c>
      <c r="AZ151">
        <f t="shared" si="212"/>
        <v>1513.1345992626427</v>
      </c>
      <c r="BA151">
        <f t="shared" si="213"/>
        <v>57.225400459698719</v>
      </c>
      <c r="BB151">
        <f t="shared" si="214"/>
        <v>302.29017428332969</v>
      </c>
      <c r="BC151">
        <f t="shared" si="215"/>
        <v>3.9875435235658556E-2</v>
      </c>
      <c r="BD151">
        <f t="shared" si="216"/>
        <v>-0.47959996071820787</v>
      </c>
      <c r="BE151">
        <f t="shared" si="217"/>
        <v>204.0412525825981</v>
      </c>
      <c r="BF151" t="s">
        <v>1104</v>
      </c>
      <c r="BG151">
        <v>588.37</v>
      </c>
      <c r="BH151">
        <f t="shared" si="218"/>
        <v>588.37</v>
      </c>
      <c r="BI151">
        <f t="shared" si="219"/>
        <v>0.53293707500117748</v>
      </c>
      <c r="BJ151">
        <f t="shared" si="220"/>
        <v>0.74972247586813789</v>
      </c>
      <c r="BK151">
        <f t="shared" si="221"/>
        <v>-8.9918618051547341</v>
      </c>
      <c r="BL151">
        <f t="shared" si="222"/>
        <v>0.46510445181698384</v>
      </c>
      <c r="BM151">
        <f t="shared" si="223"/>
        <v>-1.2638848217004572</v>
      </c>
      <c r="BN151">
        <f t="shared" si="224"/>
        <v>0.58318000175376239</v>
      </c>
      <c r="BO151">
        <f t="shared" si="225"/>
        <v>0.41681999824623761</v>
      </c>
      <c r="BP151">
        <v>22735</v>
      </c>
      <c r="BQ151">
        <v>290.00000000000011</v>
      </c>
      <c r="BR151">
        <v>1099.1500000000001</v>
      </c>
      <c r="BS151">
        <v>285</v>
      </c>
      <c r="BT151">
        <v>8032.16</v>
      </c>
      <c r="BU151">
        <v>1102.4100000000001</v>
      </c>
      <c r="BV151">
        <v>-3.26</v>
      </c>
      <c r="BW151">
        <v>300.00000000000011</v>
      </c>
      <c r="BX151">
        <v>19.399999999999999</v>
      </c>
      <c r="BY151">
        <v>1259.723194688346</v>
      </c>
      <c r="BZ151">
        <v>4.8267688070448873</v>
      </c>
      <c r="CA151">
        <v>-126.3571914313203</v>
      </c>
      <c r="CB151">
        <v>3.561248507267408</v>
      </c>
      <c r="CC151">
        <v>0.97824249028993937</v>
      </c>
      <c r="CD151">
        <v>-4.1489323692992181E-3</v>
      </c>
      <c r="CE151">
        <v>289.99999999999989</v>
      </c>
      <c r="CF151">
        <v>1097.8</v>
      </c>
      <c r="CG151">
        <v>675</v>
      </c>
      <c r="CH151">
        <v>8021.25</v>
      </c>
      <c r="CI151">
        <v>1102.2</v>
      </c>
      <c r="CJ151">
        <v>-4.4000000000000004</v>
      </c>
      <c r="CX151">
        <f t="shared" si="226"/>
        <v>1799.94</v>
      </c>
      <c r="CY151">
        <f t="shared" si="227"/>
        <v>1513.1345992626427</v>
      </c>
      <c r="CZ151">
        <f t="shared" si="228"/>
        <v>0.84065835486885265</v>
      </c>
      <c r="DA151">
        <f t="shared" si="229"/>
        <v>0.16087062489688553</v>
      </c>
      <c r="DB151">
        <v>6</v>
      </c>
      <c r="DC151">
        <v>0.5</v>
      </c>
      <c r="DD151" t="s">
        <v>421</v>
      </c>
      <c r="DE151">
        <v>2</v>
      </c>
      <c r="DF151">
        <v>1689024591.5</v>
      </c>
      <c r="DG151">
        <v>1424.53</v>
      </c>
      <c r="DH151">
        <v>1499.83</v>
      </c>
      <c r="DI151">
        <v>28.0029</v>
      </c>
      <c r="DJ151">
        <v>23.474799999999998</v>
      </c>
      <c r="DK151">
        <v>1423.08</v>
      </c>
      <c r="DL151">
        <v>27.734000000000002</v>
      </c>
      <c r="DM151">
        <v>500.04899999999998</v>
      </c>
      <c r="DN151">
        <v>99.102999999999994</v>
      </c>
      <c r="DO151">
        <v>0.10007099999999999</v>
      </c>
      <c r="DP151">
        <v>29.856000000000002</v>
      </c>
      <c r="DQ151">
        <v>30.080200000000001</v>
      </c>
      <c r="DR151">
        <v>999.9</v>
      </c>
      <c r="DS151">
        <v>0</v>
      </c>
      <c r="DT151">
        <v>0</v>
      </c>
      <c r="DU151">
        <v>9992.5</v>
      </c>
      <c r="DV151">
        <v>0</v>
      </c>
      <c r="DW151">
        <v>1210.3499999999999</v>
      </c>
      <c r="DX151">
        <v>-75.299300000000002</v>
      </c>
      <c r="DY151">
        <v>1465.57</v>
      </c>
      <c r="DZ151">
        <v>1535.88</v>
      </c>
      <c r="EA151">
        <v>4.5280699999999996</v>
      </c>
      <c r="EB151">
        <v>1499.83</v>
      </c>
      <c r="EC151">
        <v>23.474799999999998</v>
      </c>
      <c r="ED151">
        <v>2.7751700000000001</v>
      </c>
      <c r="EE151">
        <v>2.3264300000000002</v>
      </c>
      <c r="EF151">
        <v>22.737100000000002</v>
      </c>
      <c r="EG151">
        <v>19.860499999999998</v>
      </c>
      <c r="EH151">
        <v>1799.94</v>
      </c>
      <c r="EI151">
        <v>0.97799499999999995</v>
      </c>
      <c r="EJ151">
        <v>2.2005500000000001E-2</v>
      </c>
      <c r="EK151">
        <v>0</v>
      </c>
      <c r="EL151">
        <v>756.06700000000001</v>
      </c>
      <c r="EM151">
        <v>5.0011200000000002</v>
      </c>
      <c r="EN151">
        <v>15713.7</v>
      </c>
      <c r="EO151">
        <v>17210.3</v>
      </c>
      <c r="EP151">
        <v>49.5</v>
      </c>
      <c r="EQ151">
        <v>50.436999999999998</v>
      </c>
      <c r="ER151">
        <v>50.5</v>
      </c>
      <c r="ES151">
        <v>49.811999999999998</v>
      </c>
      <c r="ET151">
        <v>50.125</v>
      </c>
      <c r="EU151">
        <v>1755.44</v>
      </c>
      <c r="EV151">
        <v>39.5</v>
      </c>
      <c r="EW151">
        <v>0</v>
      </c>
      <c r="EX151">
        <v>187.4000000953674</v>
      </c>
      <c r="EY151">
        <v>0</v>
      </c>
      <c r="EZ151">
        <v>756.39461538461524</v>
      </c>
      <c r="FA151">
        <v>-2.110153840804065</v>
      </c>
      <c r="FB151">
        <v>-66.895726622400971</v>
      </c>
      <c r="FC151">
        <v>15725.188461538461</v>
      </c>
      <c r="FD151">
        <v>15</v>
      </c>
      <c r="FE151">
        <v>1689024484</v>
      </c>
      <c r="FF151" t="s">
        <v>1105</v>
      </c>
      <c r="FG151">
        <v>1689024306.5999999</v>
      </c>
      <c r="FH151">
        <v>1689024471.5</v>
      </c>
      <c r="FI151">
        <v>149</v>
      </c>
      <c r="FJ151">
        <v>-8.8999999999999996E-2</v>
      </c>
      <c r="FK151">
        <v>4.0000000000000001E-3</v>
      </c>
      <c r="FL151">
        <v>1.3009999999999999</v>
      </c>
      <c r="FM151">
        <v>0.26900000000000002</v>
      </c>
      <c r="FN151">
        <v>1201</v>
      </c>
      <c r="FO151">
        <v>23</v>
      </c>
      <c r="FP151">
        <v>0.05</v>
      </c>
      <c r="FQ151">
        <v>0.01</v>
      </c>
      <c r="FR151">
        <v>57.403243026155693</v>
      </c>
      <c r="FS151">
        <v>-0.96794016805506622</v>
      </c>
      <c r="FT151">
        <v>0.1923392572501221</v>
      </c>
      <c r="FU151">
        <v>0</v>
      </c>
      <c r="FV151">
        <v>0.26282884775655802</v>
      </c>
      <c r="FW151">
        <v>-3.4901998241446068E-2</v>
      </c>
      <c r="FX151">
        <v>2.586833421629112E-3</v>
      </c>
      <c r="FY151">
        <v>1</v>
      </c>
      <c r="FZ151">
        <v>1</v>
      </c>
      <c r="GA151">
        <v>2</v>
      </c>
      <c r="GB151" t="s">
        <v>462</v>
      </c>
      <c r="GC151">
        <v>2.9234499999999999</v>
      </c>
      <c r="GD151">
        <v>2.8273000000000001</v>
      </c>
      <c r="GE151">
        <v>0.208617</v>
      </c>
      <c r="GF151">
        <v>0.21575900000000001</v>
      </c>
      <c r="GG151">
        <v>0.124195</v>
      </c>
      <c r="GH151">
        <v>0.11039</v>
      </c>
      <c r="GI151">
        <v>25737.599999999999</v>
      </c>
      <c r="GJ151">
        <v>20681.8</v>
      </c>
      <c r="GK151">
        <v>31308.5</v>
      </c>
      <c r="GL151">
        <v>26024.5</v>
      </c>
      <c r="GM151">
        <v>37594.1</v>
      </c>
      <c r="GN151">
        <v>31408.7</v>
      </c>
      <c r="GO151">
        <v>46490.9</v>
      </c>
      <c r="GP151">
        <v>37839.5</v>
      </c>
      <c r="GQ151">
        <v>1.9057500000000001</v>
      </c>
      <c r="GR151">
        <v>1.7207300000000001</v>
      </c>
      <c r="GS151">
        <v>6.2398599999999999E-3</v>
      </c>
      <c r="GT151">
        <v>0</v>
      </c>
      <c r="GU151">
        <v>29.9786</v>
      </c>
      <c r="GV151">
        <v>999.9</v>
      </c>
      <c r="GW151">
        <v>33.9</v>
      </c>
      <c r="GX151">
        <v>45.3</v>
      </c>
      <c r="GY151">
        <v>33.483499999999999</v>
      </c>
      <c r="GZ151">
        <v>62.1325</v>
      </c>
      <c r="HA151">
        <v>19.390999999999998</v>
      </c>
      <c r="HB151">
        <v>1</v>
      </c>
      <c r="HC151">
        <v>0.63005299999999997</v>
      </c>
      <c r="HD151">
        <v>4.0320999999999998</v>
      </c>
      <c r="HE151">
        <v>20.250599999999999</v>
      </c>
      <c r="HF151">
        <v>5.2234299999999996</v>
      </c>
      <c r="HG151">
        <v>12.0639</v>
      </c>
      <c r="HH151">
        <v>4.9928999999999997</v>
      </c>
      <c r="HI151">
        <v>3.2919999999999998</v>
      </c>
      <c r="HJ151">
        <v>9999</v>
      </c>
      <c r="HK151">
        <v>9999</v>
      </c>
      <c r="HL151">
        <v>9999</v>
      </c>
      <c r="HM151">
        <v>467.9</v>
      </c>
      <c r="HN151">
        <v>1.8667899999999999</v>
      </c>
      <c r="HO151">
        <v>1.8702700000000001</v>
      </c>
      <c r="HP151">
        <v>1.87286</v>
      </c>
      <c r="HQ151">
        <v>1.87378</v>
      </c>
      <c r="HR151">
        <v>1.8705700000000001</v>
      </c>
      <c r="HS151">
        <v>1.8689100000000001</v>
      </c>
      <c r="HT151">
        <v>1.87042</v>
      </c>
      <c r="HU151">
        <v>1.87338</v>
      </c>
      <c r="HV151">
        <v>0</v>
      </c>
      <c r="HW151">
        <v>0</v>
      </c>
      <c r="HX151">
        <v>0</v>
      </c>
      <c r="HY151">
        <v>0</v>
      </c>
      <c r="HZ151" t="s">
        <v>424</v>
      </c>
      <c r="IA151" t="s">
        <v>425</v>
      </c>
      <c r="IB151" t="s">
        <v>426</v>
      </c>
      <c r="IC151" t="s">
        <v>426</v>
      </c>
      <c r="ID151" t="s">
        <v>426</v>
      </c>
      <c r="IE151" t="s">
        <v>426</v>
      </c>
      <c r="IF151">
        <v>0</v>
      </c>
      <c r="IG151">
        <v>100</v>
      </c>
      <c r="IH151">
        <v>100</v>
      </c>
      <c r="II151">
        <v>1.45</v>
      </c>
      <c r="IJ151">
        <v>0.26889999999999997</v>
      </c>
      <c r="IK151">
        <v>-0.14246828403504261</v>
      </c>
      <c r="IL151">
        <v>3.042515301972944E-3</v>
      </c>
      <c r="IM151">
        <v>-2.5091471490852929E-6</v>
      </c>
      <c r="IN151">
        <v>8.1339755115576286E-10</v>
      </c>
      <c r="IO151">
        <v>0.26888999999999902</v>
      </c>
      <c r="IP151">
        <v>0</v>
      </c>
      <c r="IQ151">
        <v>0</v>
      </c>
      <c r="IR151">
        <v>0</v>
      </c>
      <c r="IS151">
        <v>3</v>
      </c>
      <c r="IT151">
        <v>2004</v>
      </c>
      <c r="IU151">
        <v>2</v>
      </c>
      <c r="IV151">
        <v>22</v>
      </c>
      <c r="IW151">
        <v>4.7</v>
      </c>
      <c r="IX151">
        <v>2</v>
      </c>
      <c r="IY151">
        <v>3.0639599999999998</v>
      </c>
      <c r="IZ151">
        <v>2.5952099999999998</v>
      </c>
      <c r="JA151">
        <v>1.64917</v>
      </c>
      <c r="JB151">
        <v>2.34131</v>
      </c>
      <c r="JC151">
        <v>1.5991200000000001</v>
      </c>
      <c r="JD151">
        <v>2.2399900000000001</v>
      </c>
      <c r="JE151">
        <v>47.063400000000001</v>
      </c>
      <c r="JF151">
        <v>24.192599999999999</v>
      </c>
      <c r="JG151">
        <v>18</v>
      </c>
      <c r="JH151">
        <v>518.17399999999998</v>
      </c>
      <c r="JI151">
        <v>444.80700000000002</v>
      </c>
      <c r="JJ151">
        <v>26.232199999999999</v>
      </c>
      <c r="JK151">
        <v>34.781999999999996</v>
      </c>
      <c r="JL151">
        <v>29.998999999999999</v>
      </c>
      <c r="JM151">
        <v>34.886800000000001</v>
      </c>
      <c r="JN151">
        <v>34.887999999999998</v>
      </c>
      <c r="JO151">
        <v>61.311300000000003</v>
      </c>
      <c r="JP151">
        <v>100</v>
      </c>
      <c r="JQ151">
        <v>0</v>
      </c>
      <c r="JR151">
        <v>26.192799999999998</v>
      </c>
      <c r="JS151">
        <v>1500</v>
      </c>
      <c r="JT151">
        <v>21.806100000000001</v>
      </c>
      <c r="JU151">
        <v>99.228300000000004</v>
      </c>
      <c r="JV151">
        <v>98.950599999999994</v>
      </c>
    </row>
    <row r="152" spans="1:282" x14ac:dyDescent="0.25">
      <c r="A152">
        <v>136</v>
      </c>
      <c r="B152">
        <v>1689025557.5</v>
      </c>
      <c r="C152">
        <v>25962.400000095371</v>
      </c>
      <c r="D152" t="s">
        <v>1106</v>
      </c>
      <c r="E152" t="s">
        <v>1107</v>
      </c>
      <c r="F152" t="s">
        <v>414</v>
      </c>
      <c r="G152" t="s">
        <v>415</v>
      </c>
      <c r="H152" t="s">
        <v>31</v>
      </c>
      <c r="I152" t="s">
        <v>500</v>
      </c>
      <c r="J152" t="s">
        <v>501</v>
      </c>
      <c r="K152">
        <v>1689025557.5</v>
      </c>
      <c r="L152">
        <f t="shared" si="184"/>
        <v>5.1505242176642669E-3</v>
      </c>
      <c r="M152">
        <f t="shared" si="185"/>
        <v>5.1505242176642669</v>
      </c>
      <c r="N152">
        <f t="shared" si="186"/>
        <v>47.41728658443742</v>
      </c>
      <c r="O152">
        <f t="shared" si="187"/>
        <v>341.01400000000001</v>
      </c>
      <c r="P152">
        <f t="shared" si="188"/>
        <v>112.76363762030697</v>
      </c>
      <c r="Q152">
        <f t="shared" si="189"/>
        <v>11.184224593731143</v>
      </c>
      <c r="R152">
        <f t="shared" si="190"/>
        <v>33.822757460600002</v>
      </c>
      <c r="S152">
        <f t="shared" si="191"/>
        <v>0.36052584613879779</v>
      </c>
      <c r="T152">
        <f t="shared" si="192"/>
        <v>2.9151774915073956</v>
      </c>
      <c r="U152">
        <f t="shared" si="193"/>
        <v>0.33746083754888123</v>
      </c>
      <c r="V152">
        <f t="shared" si="194"/>
        <v>0.21286223791230635</v>
      </c>
      <c r="W152">
        <f t="shared" si="195"/>
        <v>289.54151257682099</v>
      </c>
      <c r="X152">
        <f t="shared" si="196"/>
        <v>30.720531332987182</v>
      </c>
      <c r="Y152">
        <f t="shared" si="197"/>
        <v>30.057600000000001</v>
      </c>
      <c r="Z152">
        <f t="shared" si="198"/>
        <v>4.2745657947234328</v>
      </c>
      <c r="AA152">
        <f t="shared" si="199"/>
        <v>64.750404988174623</v>
      </c>
      <c r="AB152">
        <f t="shared" si="200"/>
        <v>2.8148801300300001</v>
      </c>
      <c r="AC152">
        <f t="shared" si="201"/>
        <v>4.3472780294487459</v>
      </c>
      <c r="AD152">
        <f t="shared" si="202"/>
        <v>1.4596856646934326</v>
      </c>
      <c r="AE152">
        <f t="shared" si="203"/>
        <v>-227.13811799899418</v>
      </c>
      <c r="AF152">
        <f t="shared" si="204"/>
        <v>46.221652688003388</v>
      </c>
      <c r="AG152">
        <f t="shared" si="205"/>
        <v>3.532639739558431</v>
      </c>
      <c r="AH152">
        <f t="shared" si="206"/>
        <v>112.15768700538862</v>
      </c>
      <c r="AI152">
        <v>0</v>
      </c>
      <c r="AJ152">
        <v>0</v>
      </c>
      <c r="AK152">
        <f t="shared" si="207"/>
        <v>1</v>
      </c>
      <c r="AL152">
        <f t="shared" si="208"/>
        <v>0</v>
      </c>
      <c r="AM152">
        <f t="shared" si="209"/>
        <v>51863.570536995969</v>
      </c>
      <c r="AN152" t="s">
        <v>418</v>
      </c>
      <c r="AO152">
        <v>10021</v>
      </c>
      <c r="AP152">
        <v>177.53923076923081</v>
      </c>
      <c r="AQ152">
        <v>655.56</v>
      </c>
      <c r="AR152">
        <f t="shared" si="210"/>
        <v>0.72917928066198234</v>
      </c>
      <c r="AS152">
        <v>-3.1115002560329539</v>
      </c>
      <c r="AT152" t="s">
        <v>1108</v>
      </c>
      <c r="AU152">
        <v>8011.99</v>
      </c>
      <c r="AV152">
        <v>807.40019230769224</v>
      </c>
      <c r="AW152">
        <v>1140.141530884285</v>
      </c>
      <c r="AX152">
        <f t="shared" si="211"/>
        <v>0.29184213500101264</v>
      </c>
      <c r="AY152">
        <v>0.5</v>
      </c>
      <c r="AZ152">
        <f t="shared" si="212"/>
        <v>1513.0505992626013</v>
      </c>
      <c r="BA152">
        <f t="shared" si="213"/>
        <v>47.41728658443742</v>
      </c>
      <c r="BB152">
        <f t="shared" si="214"/>
        <v>220.78595862667959</v>
      </c>
      <c r="BC152">
        <f t="shared" si="215"/>
        <v>3.3395305395005313E-2</v>
      </c>
      <c r="BD152">
        <f t="shared" si="216"/>
        <v>-0.4250187522845934</v>
      </c>
      <c r="BE152">
        <f t="shared" si="217"/>
        <v>200.63285125159913</v>
      </c>
      <c r="BF152" t="s">
        <v>1109</v>
      </c>
      <c r="BG152">
        <v>584.76</v>
      </c>
      <c r="BH152">
        <f t="shared" si="218"/>
        <v>584.76</v>
      </c>
      <c r="BI152">
        <f t="shared" si="219"/>
        <v>0.4871163060374929</v>
      </c>
      <c r="BJ152">
        <f t="shared" si="220"/>
        <v>0.59912208107964637</v>
      </c>
      <c r="BK152">
        <f t="shared" si="221"/>
        <v>-6.8443719051452732</v>
      </c>
      <c r="BL152">
        <f t="shared" si="222"/>
        <v>0.34566854716306217</v>
      </c>
      <c r="BM152">
        <f t="shared" si="223"/>
        <v>-1.0137248464414494</v>
      </c>
      <c r="BN152">
        <f t="shared" si="224"/>
        <v>0.43391447199287003</v>
      </c>
      <c r="BO152">
        <f t="shared" si="225"/>
        <v>0.56608552800712997</v>
      </c>
      <c r="BP152">
        <v>22737</v>
      </c>
      <c r="BQ152">
        <v>290.00000000000011</v>
      </c>
      <c r="BR152">
        <v>1048.97</v>
      </c>
      <c r="BS152">
        <v>285</v>
      </c>
      <c r="BT152">
        <v>8011.99</v>
      </c>
      <c r="BU152">
        <v>1050.25</v>
      </c>
      <c r="BV152">
        <v>-1.28</v>
      </c>
      <c r="BW152">
        <v>300.00000000000011</v>
      </c>
      <c r="BX152">
        <v>19.399999999999999</v>
      </c>
      <c r="BY152">
        <v>1140.141530884285</v>
      </c>
      <c r="BZ152">
        <v>2.7248777759047682</v>
      </c>
      <c r="CA152">
        <v>-72.019001045743821</v>
      </c>
      <c r="CB152">
        <v>2.0054236162692121</v>
      </c>
      <c r="CC152">
        <v>0.97875052986172706</v>
      </c>
      <c r="CD152">
        <v>-4.1378682981090126E-3</v>
      </c>
      <c r="CE152">
        <v>289.99999999999989</v>
      </c>
      <c r="CF152">
        <v>1052.23</v>
      </c>
      <c r="CG152">
        <v>645</v>
      </c>
      <c r="CH152">
        <v>8002.17</v>
      </c>
      <c r="CI152">
        <v>1050.1400000000001</v>
      </c>
      <c r="CJ152">
        <v>2.09</v>
      </c>
      <c r="CX152">
        <f t="shared" si="226"/>
        <v>1799.84</v>
      </c>
      <c r="CY152">
        <f t="shared" si="227"/>
        <v>1513.0505992626013</v>
      </c>
      <c r="CZ152">
        <f t="shared" si="228"/>
        <v>0.84065839144735166</v>
      </c>
      <c r="DA152">
        <f t="shared" si="229"/>
        <v>0.16087069549338887</v>
      </c>
      <c r="DB152">
        <v>6</v>
      </c>
      <c r="DC152">
        <v>0.5</v>
      </c>
      <c r="DD152" t="s">
        <v>421</v>
      </c>
      <c r="DE152">
        <v>2</v>
      </c>
      <c r="DF152">
        <v>1689025557.5</v>
      </c>
      <c r="DG152">
        <v>341.01400000000001</v>
      </c>
      <c r="DH152">
        <v>400.036</v>
      </c>
      <c r="DI152">
        <v>28.380700000000001</v>
      </c>
      <c r="DJ152">
        <v>22.374099999999999</v>
      </c>
      <c r="DK152">
        <v>340.178</v>
      </c>
      <c r="DL152">
        <v>28.136600000000001</v>
      </c>
      <c r="DM152">
        <v>499.88499999999999</v>
      </c>
      <c r="DN152">
        <v>99.0839</v>
      </c>
      <c r="DO152">
        <v>9.9000000000000005E-2</v>
      </c>
      <c r="DP152">
        <v>30.351700000000001</v>
      </c>
      <c r="DQ152">
        <v>30.057600000000001</v>
      </c>
      <c r="DR152">
        <v>999.9</v>
      </c>
      <c r="DS152">
        <v>0</v>
      </c>
      <c r="DT152">
        <v>0</v>
      </c>
      <c r="DU152">
        <v>10010</v>
      </c>
      <c r="DV152">
        <v>0</v>
      </c>
      <c r="DW152">
        <v>1396.46</v>
      </c>
      <c r="DX152">
        <v>-59.021900000000002</v>
      </c>
      <c r="DY152">
        <v>350.97500000000002</v>
      </c>
      <c r="DZ152">
        <v>409.19099999999997</v>
      </c>
      <c r="EA152">
        <v>6.0066499999999996</v>
      </c>
      <c r="EB152">
        <v>400.036</v>
      </c>
      <c r="EC152">
        <v>22.374099999999999</v>
      </c>
      <c r="ED152">
        <v>2.8120699999999998</v>
      </c>
      <c r="EE152">
        <v>2.2169099999999999</v>
      </c>
      <c r="EF152">
        <v>22.955100000000002</v>
      </c>
      <c r="EG152">
        <v>19.085000000000001</v>
      </c>
      <c r="EH152">
        <v>1799.84</v>
      </c>
      <c r="EI152">
        <v>0.97799199999999997</v>
      </c>
      <c r="EJ152">
        <v>2.2008199999999999E-2</v>
      </c>
      <c r="EK152">
        <v>0</v>
      </c>
      <c r="EL152">
        <v>803.77300000000002</v>
      </c>
      <c r="EM152">
        <v>5.0011200000000002</v>
      </c>
      <c r="EN152">
        <v>16391.599999999999</v>
      </c>
      <c r="EO152">
        <v>17209.3</v>
      </c>
      <c r="EP152">
        <v>49.186999999999998</v>
      </c>
      <c r="EQ152">
        <v>50.25</v>
      </c>
      <c r="ER152">
        <v>50.311999999999998</v>
      </c>
      <c r="ES152">
        <v>49.061999999999998</v>
      </c>
      <c r="ET152">
        <v>49.811999999999998</v>
      </c>
      <c r="EU152">
        <v>1755.34</v>
      </c>
      <c r="EV152">
        <v>39.5</v>
      </c>
      <c r="EW152">
        <v>0</v>
      </c>
      <c r="EX152">
        <v>963.79999995231628</v>
      </c>
      <c r="EY152">
        <v>0</v>
      </c>
      <c r="EZ152">
        <v>807.40019230769224</v>
      </c>
      <c r="FA152">
        <v>-31.50547007979225</v>
      </c>
      <c r="FB152">
        <v>-620.80000028292397</v>
      </c>
      <c r="FC152">
        <v>16471.56923076923</v>
      </c>
      <c r="FD152">
        <v>15</v>
      </c>
      <c r="FE152">
        <v>1689025523</v>
      </c>
      <c r="FF152" t="s">
        <v>1110</v>
      </c>
      <c r="FG152">
        <v>1689025523</v>
      </c>
      <c r="FH152">
        <v>1689025510.5</v>
      </c>
      <c r="FI152">
        <v>154</v>
      </c>
      <c r="FJ152">
        <v>-2.4E-2</v>
      </c>
      <c r="FK152">
        <v>-0.13200000000000001</v>
      </c>
      <c r="FL152">
        <v>0.92600000000000005</v>
      </c>
      <c r="FM152">
        <v>0.22900000000000001</v>
      </c>
      <c r="FN152">
        <v>400</v>
      </c>
      <c r="FO152">
        <v>21</v>
      </c>
      <c r="FP152">
        <v>7.0000000000000007E-2</v>
      </c>
      <c r="FQ152">
        <v>0.03</v>
      </c>
      <c r="FR152">
        <v>47.489944870362677</v>
      </c>
      <c r="FS152">
        <v>-0.60022850623366619</v>
      </c>
      <c r="FT152">
        <v>7.3125765763791345E-2</v>
      </c>
      <c r="FU152">
        <v>1</v>
      </c>
      <c r="FV152">
        <v>0.36027596940416617</v>
      </c>
      <c r="FW152">
        <v>1.2368966172352301E-3</v>
      </c>
      <c r="FX152">
        <v>6.1432924761571737E-4</v>
      </c>
      <c r="FY152">
        <v>1</v>
      </c>
      <c r="FZ152">
        <v>2</v>
      </c>
      <c r="GA152">
        <v>2</v>
      </c>
      <c r="GB152" t="s">
        <v>423</v>
      </c>
      <c r="GC152">
        <v>2.9230299999999998</v>
      </c>
      <c r="GD152">
        <v>2.8263799999999999</v>
      </c>
      <c r="GE152">
        <v>7.7173800000000001E-2</v>
      </c>
      <c r="GF152">
        <v>8.7890599999999999E-2</v>
      </c>
      <c r="GG152">
        <v>0.12542</v>
      </c>
      <c r="GH152">
        <v>0.106714</v>
      </c>
      <c r="GI152">
        <v>30015.5</v>
      </c>
      <c r="GJ152">
        <v>24058.6</v>
      </c>
      <c r="GK152">
        <v>31303.5</v>
      </c>
      <c r="GL152">
        <v>26023.599999999999</v>
      </c>
      <c r="GM152">
        <v>37533.800000000003</v>
      </c>
      <c r="GN152">
        <v>31534.400000000001</v>
      </c>
      <c r="GO152">
        <v>46484.2</v>
      </c>
      <c r="GP152">
        <v>37836.800000000003</v>
      </c>
      <c r="GQ152">
        <v>1.90482</v>
      </c>
      <c r="GR152">
        <v>1.71522</v>
      </c>
      <c r="GS152">
        <v>6.6869E-3</v>
      </c>
      <c r="GT152">
        <v>0</v>
      </c>
      <c r="GU152">
        <v>29.948799999999999</v>
      </c>
      <c r="GV152">
        <v>999.9</v>
      </c>
      <c r="GW152">
        <v>35.6</v>
      </c>
      <c r="GX152">
        <v>44.9</v>
      </c>
      <c r="GY152">
        <v>34.451599999999999</v>
      </c>
      <c r="GZ152">
        <v>62.282699999999998</v>
      </c>
      <c r="HA152">
        <v>19.1587</v>
      </c>
      <c r="HB152">
        <v>1</v>
      </c>
      <c r="HC152">
        <v>0.62717500000000004</v>
      </c>
      <c r="HD152">
        <v>3.3532000000000002</v>
      </c>
      <c r="HE152">
        <v>20.312799999999999</v>
      </c>
      <c r="HF152">
        <v>5.2192400000000001</v>
      </c>
      <c r="HG152">
        <v>12.061299999999999</v>
      </c>
      <c r="HH152">
        <v>4.9916</v>
      </c>
      <c r="HI152">
        <v>3.2913299999999999</v>
      </c>
      <c r="HJ152">
        <v>9999</v>
      </c>
      <c r="HK152">
        <v>9999</v>
      </c>
      <c r="HL152">
        <v>9999</v>
      </c>
      <c r="HM152">
        <v>468.2</v>
      </c>
      <c r="HN152">
        <v>1.8666100000000001</v>
      </c>
      <c r="HO152">
        <v>1.87012</v>
      </c>
      <c r="HP152">
        <v>1.8727100000000001</v>
      </c>
      <c r="HQ152">
        <v>1.8736299999999999</v>
      </c>
      <c r="HR152">
        <v>1.87042</v>
      </c>
      <c r="HS152">
        <v>1.8687400000000001</v>
      </c>
      <c r="HT152">
        <v>1.8702700000000001</v>
      </c>
      <c r="HU152">
        <v>1.87321</v>
      </c>
      <c r="HV152">
        <v>0</v>
      </c>
      <c r="HW152">
        <v>0</v>
      </c>
      <c r="HX152">
        <v>0</v>
      </c>
      <c r="HY152">
        <v>0</v>
      </c>
      <c r="HZ152" t="s">
        <v>424</v>
      </c>
      <c r="IA152" t="s">
        <v>425</v>
      </c>
      <c r="IB152" t="s">
        <v>426</v>
      </c>
      <c r="IC152" t="s">
        <v>426</v>
      </c>
      <c r="ID152" t="s">
        <v>426</v>
      </c>
      <c r="IE152" t="s">
        <v>426</v>
      </c>
      <c r="IF152">
        <v>0</v>
      </c>
      <c r="IG152">
        <v>100</v>
      </c>
      <c r="IH152">
        <v>100</v>
      </c>
      <c r="II152">
        <v>0.83599999999999997</v>
      </c>
      <c r="IJ152">
        <v>0.24410000000000001</v>
      </c>
      <c r="IK152">
        <v>5.958266311951186E-2</v>
      </c>
      <c r="IL152">
        <v>3.042515301972944E-3</v>
      </c>
      <c r="IM152">
        <v>-2.5091471490852929E-6</v>
      </c>
      <c r="IN152">
        <v>8.1339755115576286E-10</v>
      </c>
      <c r="IO152">
        <v>0.2441451520894419</v>
      </c>
      <c r="IP152">
        <v>0</v>
      </c>
      <c r="IQ152">
        <v>0</v>
      </c>
      <c r="IR152">
        <v>0</v>
      </c>
      <c r="IS152">
        <v>3</v>
      </c>
      <c r="IT152">
        <v>2004</v>
      </c>
      <c r="IU152">
        <v>2</v>
      </c>
      <c r="IV152">
        <v>22</v>
      </c>
      <c r="IW152">
        <v>0.6</v>
      </c>
      <c r="IX152">
        <v>0.8</v>
      </c>
      <c r="IY152">
        <v>1.0449200000000001</v>
      </c>
      <c r="IZ152">
        <v>2.5939899999999998</v>
      </c>
      <c r="JA152">
        <v>1.64917</v>
      </c>
      <c r="JB152">
        <v>2.33887</v>
      </c>
      <c r="JC152">
        <v>1.5991200000000001</v>
      </c>
      <c r="JD152">
        <v>2.3327599999999999</v>
      </c>
      <c r="JE152">
        <v>46.8264</v>
      </c>
      <c r="JF152">
        <v>15.997</v>
      </c>
      <c r="JG152">
        <v>18</v>
      </c>
      <c r="JH152">
        <v>517.52599999999995</v>
      </c>
      <c r="JI152">
        <v>441.08800000000002</v>
      </c>
      <c r="JJ152">
        <v>27.074999999999999</v>
      </c>
      <c r="JK152">
        <v>34.759099999999997</v>
      </c>
      <c r="JL152">
        <v>29.999500000000001</v>
      </c>
      <c r="JM152">
        <v>34.882800000000003</v>
      </c>
      <c r="JN152">
        <v>34.876199999999997</v>
      </c>
      <c r="JO152">
        <v>20.918600000000001</v>
      </c>
      <c r="JP152">
        <v>49.0184</v>
      </c>
      <c r="JQ152">
        <v>0</v>
      </c>
      <c r="JR152">
        <v>27.041499999999999</v>
      </c>
      <c r="JS152">
        <v>400</v>
      </c>
      <c r="JT152">
        <v>22.4358</v>
      </c>
      <c r="JU152">
        <v>99.213399999999993</v>
      </c>
      <c r="JV152">
        <v>98.945099999999996</v>
      </c>
    </row>
    <row r="153" spans="1:282" x14ac:dyDescent="0.25">
      <c r="A153">
        <v>137</v>
      </c>
      <c r="B153">
        <v>1689025677</v>
      </c>
      <c r="C153">
        <v>26081.900000095371</v>
      </c>
      <c r="D153" t="s">
        <v>1111</v>
      </c>
      <c r="E153" t="s">
        <v>1112</v>
      </c>
      <c r="F153" t="s">
        <v>414</v>
      </c>
      <c r="G153" t="s">
        <v>415</v>
      </c>
      <c r="H153" t="s">
        <v>31</v>
      </c>
      <c r="I153" t="s">
        <v>500</v>
      </c>
      <c r="J153" t="s">
        <v>501</v>
      </c>
      <c r="K153">
        <v>1689025677</v>
      </c>
      <c r="L153">
        <f t="shared" si="184"/>
        <v>5.2863631305202176E-3</v>
      </c>
      <c r="M153">
        <f t="shared" si="185"/>
        <v>5.2863631305202174</v>
      </c>
      <c r="N153">
        <f t="shared" si="186"/>
        <v>37.021557145145799</v>
      </c>
      <c r="O153">
        <f t="shared" si="187"/>
        <v>253.99</v>
      </c>
      <c r="P153">
        <f t="shared" si="188"/>
        <v>81.775597984017566</v>
      </c>
      <c r="Q153">
        <f t="shared" si="189"/>
        <v>8.1107649993148225</v>
      </c>
      <c r="R153">
        <f t="shared" si="190"/>
        <v>25.191539444059998</v>
      </c>
      <c r="S153">
        <f t="shared" si="191"/>
        <v>0.37356520518785408</v>
      </c>
      <c r="T153">
        <f t="shared" si="192"/>
        <v>2.9162432606285571</v>
      </c>
      <c r="U153">
        <f t="shared" si="193"/>
        <v>0.34887130276296097</v>
      </c>
      <c r="V153">
        <f t="shared" si="194"/>
        <v>0.22012704013261053</v>
      </c>
      <c r="W153">
        <f t="shared" si="195"/>
        <v>289.52874457675779</v>
      </c>
      <c r="X153">
        <f t="shared" si="196"/>
        <v>30.481883797998904</v>
      </c>
      <c r="Y153">
        <f t="shared" si="197"/>
        <v>29.993099999999998</v>
      </c>
      <c r="Z153">
        <f t="shared" si="198"/>
        <v>4.2587615184795657</v>
      </c>
      <c r="AA153">
        <f t="shared" si="199"/>
        <v>65.381571121113353</v>
      </c>
      <c r="AB153">
        <f t="shared" si="200"/>
        <v>2.8094135616470002</v>
      </c>
      <c r="AC153">
        <f t="shared" si="201"/>
        <v>4.2969502162051434</v>
      </c>
      <c r="AD153">
        <f t="shared" si="202"/>
        <v>1.4493479568325656</v>
      </c>
      <c r="AE153">
        <f t="shared" si="203"/>
        <v>-233.1286140559416</v>
      </c>
      <c r="AF153">
        <f t="shared" si="204"/>
        <v>24.447788786719546</v>
      </c>
      <c r="AG153">
        <f t="shared" si="205"/>
        <v>1.8653467471249594</v>
      </c>
      <c r="AH153">
        <f t="shared" si="206"/>
        <v>82.713266054660664</v>
      </c>
      <c r="AI153">
        <v>0</v>
      </c>
      <c r="AJ153">
        <v>0</v>
      </c>
      <c r="AK153">
        <f t="shared" si="207"/>
        <v>1</v>
      </c>
      <c r="AL153">
        <f t="shared" si="208"/>
        <v>0</v>
      </c>
      <c r="AM153">
        <f t="shared" si="209"/>
        <v>51928.613843241168</v>
      </c>
      <c r="AN153" t="s">
        <v>418</v>
      </c>
      <c r="AO153">
        <v>10021</v>
      </c>
      <c r="AP153">
        <v>177.53923076923081</v>
      </c>
      <c r="AQ153">
        <v>655.56</v>
      </c>
      <c r="AR153">
        <f t="shared" si="210"/>
        <v>0.72917928066198234</v>
      </c>
      <c r="AS153">
        <v>-3.1115002560329539</v>
      </c>
      <c r="AT153" t="s">
        <v>1113</v>
      </c>
      <c r="AU153">
        <v>8011.5</v>
      </c>
      <c r="AV153">
        <v>766.84528</v>
      </c>
      <c r="AW153">
        <v>1018.974567707863</v>
      </c>
      <c r="AX153">
        <f t="shared" si="211"/>
        <v>0.24743432829242873</v>
      </c>
      <c r="AY153">
        <v>0.5</v>
      </c>
      <c r="AZ153">
        <f t="shared" si="212"/>
        <v>1512.9833992625688</v>
      </c>
      <c r="BA153">
        <f t="shared" si="213"/>
        <v>37.021557145145799</v>
      </c>
      <c r="BB153">
        <f t="shared" si="214"/>
        <v>187.1820155570646</v>
      </c>
      <c r="BC153">
        <f t="shared" si="215"/>
        <v>2.6525775114743286E-2</v>
      </c>
      <c r="BD153">
        <f t="shared" si="216"/>
        <v>-0.35664733863313941</v>
      </c>
      <c r="BE153">
        <f t="shared" si="217"/>
        <v>196.52066865128324</v>
      </c>
      <c r="BF153" t="s">
        <v>1114</v>
      </c>
      <c r="BG153">
        <v>568.27</v>
      </c>
      <c r="BH153">
        <f t="shared" si="218"/>
        <v>568.27</v>
      </c>
      <c r="BI153">
        <f t="shared" si="219"/>
        <v>0.44231189078811106</v>
      </c>
      <c r="BJ153">
        <f t="shared" si="220"/>
        <v>0.55941143217187839</v>
      </c>
      <c r="BK153">
        <f t="shared" si="221"/>
        <v>-4.1633012682765864</v>
      </c>
      <c r="BL153">
        <f t="shared" si="222"/>
        <v>0.29964190549113029</v>
      </c>
      <c r="BM153">
        <f t="shared" si="223"/>
        <v>-0.76024848939653744</v>
      </c>
      <c r="BN153">
        <f t="shared" si="224"/>
        <v>0.41455133499721525</v>
      </c>
      <c r="BO153">
        <f t="shared" si="225"/>
        <v>0.58544866500278481</v>
      </c>
      <c r="BP153">
        <v>22739</v>
      </c>
      <c r="BQ153">
        <v>290.00000000000011</v>
      </c>
      <c r="BR153">
        <v>945.61</v>
      </c>
      <c r="BS153">
        <v>295</v>
      </c>
      <c r="BT153">
        <v>8011.5</v>
      </c>
      <c r="BU153">
        <v>947.14</v>
      </c>
      <c r="BV153">
        <v>-1.53</v>
      </c>
      <c r="BW153">
        <v>300.00000000000011</v>
      </c>
      <c r="BX153">
        <v>19.399999999999999</v>
      </c>
      <c r="BY153">
        <v>1018.974567707863</v>
      </c>
      <c r="BZ153">
        <v>3.898355806146987</v>
      </c>
      <c r="CA153">
        <v>-57.546608658501007</v>
      </c>
      <c r="CB153">
        <v>2.8688900034067411</v>
      </c>
      <c r="CC153">
        <v>0.93493775369414445</v>
      </c>
      <c r="CD153">
        <v>-4.1375624026696372E-3</v>
      </c>
      <c r="CE153">
        <v>289.99999999999989</v>
      </c>
      <c r="CF153">
        <v>947.13</v>
      </c>
      <c r="CG153">
        <v>655</v>
      </c>
      <c r="CH153">
        <v>8001.37</v>
      </c>
      <c r="CI153">
        <v>947.05</v>
      </c>
      <c r="CJ153">
        <v>0.08</v>
      </c>
      <c r="CX153">
        <f t="shared" si="226"/>
        <v>1799.76</v>
      </c>
      <c r="CY153">
        <f t="shared" si="227"/>
        <v>1512.9833992625688</v>
      </c>
      <c r="CZ153">
        <f t="shared" si="228"/>
        <v>0.84065842071307773</v>
      </c>
      <c r="DA153">
        <f t="shared" si="229"/>
        <v>0.16087075197624004</v>
      </c>
      <c r="DB153">
        <v>6</v>
      </c>
      <c r="DC153">
        <v>0.5</v>
      </c>
      <c r="DD153" t="s">
        <v>421</v>
      </c>
      <c r="DE153">
        <v>2</v>
      </c>
      <c r="DF153">
        <v>1689025677</v>
      </c>
      <c r="DG153">
        <v>253.99</v>
      </c>
      <c r="DH153">
        <v>300.02</v>
      </c>
      <c r="DI153">
        <v>28.325500000000002</v>
      </c>
      <c r="DJ153">
        <v>22.162500000000001</v>
      </c>
      <c r="DK153">
        <v>253.477</v>
      </c>
      <c r="DL153">
        <v>28.064699999999998</v>
      </c>
      <c r="DM153">
        <v>500.077</v>
      </c>
      <c r="DN153">
        <v>99.082899999999995</v>
      </c>
      <c r="DO153">
        <v>0.10029399999999999</v>
      </c>
      <c r="DP153">
        <v>30.148599999999998</v>
      </c>
      <c r="DQ153">
        <v>29.993099999999998</v>
      </c>
      <c r="DR153">
        <v>999.9</v>
      </c>
      <c r="DS153">
        <v>0</v>
      </c>
      <c r="DT153">
        <v>0</v>
      </c>
      <c r="DU153">
        <v>10016.200000000001</v>
      </c>
      <c r="DV153">
        <v>0</v>
      </c>
      <c r="DW153">
        <v>1352.92</v>
      </c>
      <c r="DX153">
        <v>-46.030500000000004</v>
      </c>
      <c r="DY153">
        <v>261.39400000000001</v>
      </c>
      <c r="DZ153">
        <v>306.82</v>
      </c>
      <c r="EA153">
        <v>6.1629500000000004</v>
      </c>
      <c r="EB153">
        <v>300.02</v>
      </c>
      <c r="EC153">
        <v>22.162500000000001</v>
      </c>
      <c r="ED153">
        <v>2.8065699999999998</v>
      </c>
      <c r="EE153">
        <v>2.1959300000000002</v>
      </c>
      <c r="EF153">
        <v>22.922799999999999</v>
      </c>
      <c r="EG153">
        <v>18.932600000000001</v>
      </c>
      <c r="EH153">
        <v>1799.76</v>
      </c>
      <c r="EI153">
        <v>0.97799199999999997</v>
      </c>
      <c r="EJ153">
        <v>2.2008199999999999E-2</v>
      </c>
      <c r="EK153">
        <v>0</v>
      </c>
      <c r="EL153">
        <v>765.649</v>
      </c>
      <c r="EM153">
        <v>5.0011200000000002</v>
      </c>
      <c r="EN153">
        <v>15623.3</v>
      </c>
      <c r="EO153">
        <v>17208.599999999999</v>
      </c>
      <c r="EP153">
        <v>49.061999999999998</v>
      </c>
      <c r="EQ153">
        <v>50.125</v>
      </c>
      <c r="ER153">
        <v>50</v>
      </c>
      <c r="ES153">
        <v>48.875</v>
      </c>
      <c r="ET153">
        <v>48.811999999999998</v>
      </c>
      <c r="EU153">
        <v>1755.26</v>
      </c>
      <c r="EV153">
        <v>39.5</v>
      </c>
      <c r="EW153">
        <v>0</v>
      </c>
      <c r="EX153">
        <v>117.6000001430511</v>
      </c>
      <c r="EY153">
        <v>0</v>
      </c>
      <c r="EZ153">
        <v>766.84528</v>
      </c>
      <c r="FA153">
        <v>-11.285692298901211</v>
      </c>
      <c r="FB153">
        <v>-244.4615378671075</v>
      </c>
      <c r="FC153">
        <v>15653.86</v>
      </c>
      <c r="FD153">
        <v>15</v>
      </c>
      <c r="FE153">
        <v>1689025647</v>
      </c>
      <c r="FF153" t="s">
        <v>1115</v>
      </c>
      <c r="FG153">
        <v>1689025644</v>
      </c>
      <c r="FH153">
        <v>1689025647</v>
      </c>
      <c r="FI153">
        <v>155</v>
      </c>
      <c r="FJ153">
        <v>-0.17</v>
      </c>
      <c r="FK153">
        <v>1.7000000000000001E-2</v>
      </c>
      <c r="FL153">
        <v>0.59799999999999998</v>
      </c>
      <c r="FM153">
        <v>0.26100000000000001</v>
      </c>
      <c r="FN153">
        <v>300</v>
      </c>
      <c r="FO153">
        <v>23</v>
      </c>
      <c r="FP153">
        <v>0.09</v>
      </c>
      <c r="FQ153">
        <v>0.02</v>
      </c>
      <c r="FR153">
        <v>36.881072588560997</v>
      </c>
      <c r="FS153">
        <v>-0.50624561187137873</v>
      </c>
      <c r="FT153">
        <v>6.7339841277936893E-2</v>
      </c>
      <c r="FU153">
        <v>1</v>
      </c>
      <c r="FV153">
        <v>0.38036795261909878</v>
      </c>
      <c r="FW153">
        <v>5.7440862482358987E-3</v>
      </c>
      <c r="FX153">
        <v>4.5518897428233548E-3</v>
      </c>
      <c r="FY153">
        <v>1</v>
      </c>
      <c r="FZ153">
        <v>2</v>
      </c>
      <c r="GA153">
        <v>2</v>
      </c>
      <c r="GB153" t="s">
        <v>423</v>
      </c>
      <c r="GC153">
        <v>2.92381</v>
      </c>
      <c r="GD153">
        <v>2.8277299999999999</v>
      </c>
      <c r="GE153">
        <v>6.0518500000000003E-2</v>
      </c>
      <c r="GF153">
        <v>6.9874199999999997E-2</v>
      </c>
      <c r="GG153">
        <v>0.125246</v>
      </c>
      <c r="GH153">
        <v>0.106041</v>
      </c>
      <c r="GI153">
        <v>30573.3</v>
      </c>
      <c r="GJ153">
        <v>24542.2</v>
      </c>
      <c r="GK153">
        <v>31319.7</v>
      </c>
      <c r="GL153">
        <v>26032</v>
      </c>
      <c r="GM153">
        <v>37560.400000000001</v>
      </c>
      <c r="GN153">
        <v>31567.8</v>
      </c>
      <c r="GO153">
        <v>46509.2</v>
      </c>
      <c r="GP153">
        <v>37849.1</v>
      </c>
      <c r="GQ153">
        <v>1.90828</v>
      </c>
      <c r="GR153">
        <v>1.71732</v>
      </c>
      <c r="GS153">
        <v>-8.9406999999999993E-3</v>
      </c>
      <c r="GT153">
        <v>0</v>
      </c>
      <c r="GU153">
        <v>30.138500000000001</v>
      </c>
      <c r="GV153">
        <v>999.9</v>
      </c>
      <c r="GW153">
        <v>35.799999999999997</v>
      </c>
      <c r="GX153">
        <v>44.8</v>
      </c>
      <c r="GY153">
        <v>34.470500000000001</v>
      </c>
      <c r="GZ153">
        <v>62.3127</v>
      </c>
      <c r="HA153">
        <v>19.270800000000001</v>
      </c>
      <c r="HB153">
        <v>1</v>
      </c>
      <c r="HC153">
        <v>0.60269099999999998</v>
      </c>
      <c r="HD153">
        <v>2.78471</v>
      </c>
      <c r="HE153">
        <v>20.324200000000001</v>
      </c>
      <c r="HF153">
        <v>5.2250800000000002</v>
      </c>
      <c r="HG153">
        <v>12.061199999999999</v>
      </c>
      <c r="HH153">
        <v>4.99315</v>
      </c>
      <c r="HI153">
        <v>3.2919999999999998</v>
      </c>
      <c r="HJ153">
        <v>9999</v>
      </c>
      <c r="HK153">
        <v>9999</v>
      </c>
      <c r="HL153">
        <v>9999</v>
      </c>
      <c r="HM153">
        <v>468.2</v>
      </c>
      <c r="HN153">
        <v>1.8666499999999999</v>
      </c>
      <c r="HO153">
        <v>1.8701399999999999</v>
      </c>
      <c r="HP153">
        <v>1.8727100000000001</v>
      </c>
      <c r="HQ153">
        <v>1.8736299999999999</v>
      </c>
      <c r="HR153">
        <v>1.87042</v>
      </c>
      <c r="HS153">
        <v>1.86876</v>
      </c>
      <c r="HT153">
        <v>1.8702700000000001</v>
      </c>
      <c r="HU153">
        <v>1.8732500000000001</v>
      </c>
      <c r="HV153">
        <v>0</v>
      </c>
      <c r="HW153">
        <v>0</v>
      </c>
      <c r="HX153">
        <v>0</v>
      </c>
      <c r="HY153">
        <v>0</v>
      </c>
      <c r="HZ153" t="s">
        <v>424</v>
      </c>
      <c r="IA153" t="s">
        <v>425</v>
      </c>
      <c r="IB153" t="s">
        <v>426</v>
      </c>
      <c r="IC153" t="s">
        <v>426</v>
      </c>
      <c r="ID153" t="s">
        <v>426</v>
      </c>
      <c r="IE153" t="s">
        <v>426</v>
      </c>
      <c r="IF153">
        <v>0</v>
      </c>
      <c r="IG153">
        <v>100</v>
      </c>
      <c r="IH153">
        <v>100</v>
      </c>
      <c r="II153">
        <v>0.51300000000000001</v>
      </c>
      <c r="IJ153">
        <v>0.26079999999999998</v>
      </c>
      <c r="IK153">
        <v>-0.1102779381806181</v>
      </c>
      <c r="IL153">
        <v>3.042515301972944E-3</v>
      </c>
      <c r="IM153">
        <v>-2.5091471490852929E-6</v>
      </c>
      <c r="IN153">
        <v>8.1339755115576286E-10</v>
      </c>
      <c r="IO153">
        <v>0.26078000000000051</v>
      </c>
      <c r="IP153">
        <v>0</v>
      </c>
      <c r="IQ153">
        <v>0</v>
      </c>
      <c r="IR153">
        <v>0</v>
      </c>
      <c r="IS153">
        <v>3</v>
      </c>
      <c r="IT153">
        <v>2004</v>
      </c>
      <c r="IU153">
        <v>2</v>
      </c>
      <c r="IV153">
        <v>22</v>
      </c>
      <c r="IW153">
        <v>0.6</v>
      </c>
      <c r="IX153">
        <v>0.5</v>
      </c>
      <c r="IY153">
        <v>0.83007799999999998</v>
      </c>
      <c r="IZ153">
        <v>2.5915499999999998</v>
      </c>
      <c r="JA153">
        <v>1.64917</v>
      </c>
      <c r="JB153">
        <v>2.33887</v>
      </c>
      <c r="JC153">
        <v>1.5991200000000001</v>
      </c>
      <c r="JD153">
        <v>2.3107899999999999</v>
      </c>
      <c r="JE153">
        <v>47.063400000000001</v>
      </c>
      <c r="JF153">
        <v>15.997</v>
      </c>
      <c r="JG153">
        <v>18</v>
      </c>
      <c r="JH153">
        <v>518.5</v>
      </c>
      <c r="JI153">
        <v>441.34500000000003</v>
      </c>
      <c r="JJ153">
        <v>27.005099999999999</v>
      </c>
      <c r="JK153">
        <v>34.521599999999999</v>
      </c>
      <c r="JL153">
        <v>29.999400000000001</v>
      </c>
      <c r="JM153">
        <v>34.708199999999998</v>
      </c>
      <c r="JN153">
        <v>34.717300000000002</v>
      </c>
      <c r="JO153">
        <v>16.6265</v>
      </c>
      <c r="JP153">
        <v>50.005299999999998</v>
      </c>
      <c r="JQ153">
        <v>0</v>
      </c>
      <c r="JR153">
        <v>27.003599999999999</v>
      </c>
      <c r="JS153">
        <v>300</v>
      </c>
      <c r="JT153">
        <v>22.207999999999998</v>
      </c>
      <c r="JU153">
        <v>99.265900000000002</v>
      </c>
      <c r="JV153">
        <v>98.9773</v>
      </c>
    </row>
    <row r="154" spans="1:282" x14ac:dyDescent="0.25">
      <c r="A154">
        <v>138</v>
      </c>
      <c r="B154">
        <v>1689025824.5</v>
      </c>
      <c r="C154">
        <v>26229.400000095371</v>
      </c>
      <c r="D154" t="s">
        <v>1116</v>
      </c>
      <c r="E154" t="s">
        <v>1117</v>
      </c>
      <c r="F154" t="s">
        <v>414</v>
      </c>
      <c r="G154" t="s">
        <v>415</v>
      </c>
      <c r="H154" t="s">
        <v>31</v>
      </c>
      <c r="I154" t="s">
        <v>500</v>
      </c>
      <c r="J154" t="s">
        <v>501</v>
      </c>
      <c r="K154">
        <v>1689025824.5</v>
      </c>
      <c r="L154">
        <f t="shared" si="184"/>
        <v>5.5409497243591602E-3</v>
      </c>
      <c r="M154">
        <f t="shared" si="185"/>
        <v>5.5409497243591606</v>
      </c>
      <c r="N154">
        <f t="shared" si="186"/>
        <v>26.124461325918485</v>
      </c>
      <c r="O154">
        <f t="shared" si="187"/>
        <v>167.495</v>
      </c>
      <c r="P154">
        <f t="shared" si="188"/>
        <v>51.876764906630108</v>
      </c>
      <c r="Q154">
        <f t="shared" si="189"/>
        <v>5.1450342049238804</v>
      </c>
      <c r="R154">
        <f t="shared" si="190"/>
        <v>16.61182044996</v>
      </c>
      <c r="S154">
        <f t="shared" si="191"/>
        <v>0.39358525472934419</v>
      </c>
      <c r="T154">
        <f t="shared" si="192"/>
        <v>2.9146345580851052</v>
      </c>
      <c r="U154">
        <f t="shared" si="193"/>
        <v>0.36626342075751567</v>
      </c>
      <c r="V154">
        <f t="shared" si="194"/>
        <v>0.23121115163603828</v>
      </c>
      <c r="W154">
        <f t="shared" si="195"/>
        <v>289.55587657689222</v>
      </c>
      <c r="X154">
        <f t="shared" si="196"/>
        <v>30.338050685826897</v>
      </c>
      <c r="Y154">
        <f t="shared" si="197"/>
        <v>29.934100000000001</v>
      </c>
      <c r="Z154">
        <f t="shared" si="198"/>
        <v>4.24434951437427</v>
      </c>
      <c r="AA154">
        <f t="shared" si="199"/>
        <v>65.389039210491163</v>
      </c>
      <c r="AB154">
        <f t="shared" si="200"/>
        <v>2.7972165376320004</v>
      </c>
      <c r="AC154">
        <f t="shared" si="201"/>
        <v>4.2778064510591687</v>
      </c>
      <c r="AD154">
        <f t="shared" si="202"/>
        <v>1.4471329767422696</v>
      </c>
      <c r="AE154">
        <f t="shared" si="203"/>
        <v>-244.35588284423898</v>
      </c>
      <c r="AF154">
        <f t="shared" si="204"/>
        <v>21.480187492992311</v>
      </c>
      <c r="AG154">
        <f t="shared" si="205"/>
        <v>1.6387156758751644</v>
      </c>
      <c r="AH154">
        <f t="shared" si="206"/>
        <v>68.318896901520731</v>
      </c>
      <c r="AI154">
        <v>0</v>
      </c>
      <c r="AJ154">
        <v>0</v>
      </c>
      <c r="AK154">
        <f t="shared" si="207"/>
        <v>1</v>
      </c>
      <c r="AL154">
        <f t="shared" si="208"/>
        <v>0</v>
      </c>
      <c r="AM154">
        <f t="shared" si="209"/>
        <v>51896.064977511414</v>
      </c>
      <c r="AN154" t="s">
        <v>418</v>
      </c>
      <c r="AO154">
        <v>10021</v>
      </c>
      <c r="AP154">
        <v>177.53923076923081</v>
      </c>
      <c r="AQ154">
        <v>655.56</v>
      </c>
      <c r="AR154">
        <f t="shared" si="210"/>
        <v>0.72917928066198234</v>
      </c>
      <c r="AS154">
        <v>-3.1115002560329539</v>
      </c>
      <c r="AT154" t="s">
        <v>1118</v>
      </c>
      <c r="AU154">
        <v>8011.65</v>
      </c>
      <c r="AV154">
        <v>760.67488000000003</v>
      </c>
      <c r="AW154">
        <v>941.96100031344827</v>
      </c>
      <c r="AX154">
        <f t="shared" si="211"/>
        <v>0.19245607859892633</v>
      </c>
      <c r="AY154">
        <v>0.5</v>
      </c>
      <c r="AZ154">
        <f t="shared" si="212"/>
        <v>1513.1261992626385</v>
      </c>
      <c r="BA154">
        <f t="shared" si="213"/>
        <v>26.124461325918485</v>
      </c>
      <c r="BB154">
        <f t="shared" si="214"/>
        <v>145.6051673676925</v>
      </c>
      <c r="BC154">
        <f t="shared" si="215"/>
        <v>1.9321561939908527E-2</v>
      </c>
      <c r="BD154">
        <f t="shared" si="216"/>
        <v>-0.30404762003750169</v>
      </c>
      <c r="BE154">
        <f t="shared" si="217"/>
        <v>193.47001521599569</v>
      </c>
      <c r="BF154" t="s">
        <v>1119</v>
      </c>
      <c r="BG154">
        <v>568.88</v>
      </c>
      <c r="BH154">
        <f t="shared" si="218"/>
        <v>568.88</v>
      </c>
      <c r="BI154">
        <f t="shared" si="219"/>
        <v>0.39606841492301836</v>
      </c>
      <c r="BJ154">
        <f t="shared" si="220"/>
        <v>0.48591624918218462</v>
      </c>
      <c r="BK154">
        <f t="shared" si="221"/>
        <v>-3.3041186007550585</v>
      </c>
      <c r="BL154">
        <f t="shared" si="222"/>
        <v>0.23715457557094319</v>
      </c>
      <c r="BM154">
        <f t="shared" si="223"/>
        <v>-0.59913923985839512</v>
      </c>
      <c r="BN154">
        <f t="shared" si="224"/>
        <v>0.36339840200160312</v>
      </c>
      <c r="BO154">
        <f t="shared" si="225"/>
        <v>0.63660159799839688</v>
      </c>
      <c r="BP154">
        <v>22741</v>
      </c>
      <c r="BQ154">
        <v>290.00000000000011</v>
      </c>
      <c r="BR154">
        <v>885.47</v>
      </c>
      <c r="BS154">
        <v>295</v>
      </c>
      <c r="BT154">
        <v>8011.65</v>
      </c>
      <c r="BU154">
        <v>886.95</v>
      </c>
      <c r="BV154">
        <v>-1.48</v>
      </c>
      <c r="BW154">
        <v>300.00000000000011</v>
      </c>
      <c r="BX154">
        <v>19.399999999999999</v>
      </c>
      <c r="BY154">
        <v>941.96100031344827</v>
      </c>
      <c r="BZ154">
        <v>3.0530858297953718</v>
      </c>
      <c r="CA154">
        <v>-44.074235068658062</v>
      </c>
      <c r="CB154">
        <v>2.246893941530649</v>
      </c>
      <c r="CC154">
        <v>0.9321660812720064</v>
      </c>
      <c r="CD154">
        <v>-4.137447608453834E-3</v>
      </c>
      <c r="CE154">
        <v>289.99999999999989</v>
      </c>
      <c r="CF154">
        <v>884.77</v>
      </c>
      <c r="CG154">
        <v>635</v>
      </c>
      <c r="CH154">
        <v>8002.17</v>
      </c>
      <c r="CI154">
        <v>886.88</v>
      </c>
      <c r="CJ154">
        <v>-2.11</v>
      </c>
      <c r="CX154">
        <f t="shared" si="226"/>
        <v>1799.93</v>
      </c>
      <c r="CY154">
        <f t="shared" si="227"/>
        <v>1513.1261992626385</v>
      </c>
      <c r="CZ154">
        <f t="shared" si="228"/>
        <v>0.8406583585265196</v>
      </c>
      <c r="DA154">
        <f t="shared" si="229"/>
        <v>0.16087063195618287</v>
      </c>
      <c r="DB154">
        <v>6</v>
      </c>
      <c r="DC154">
        <v>0.5</v>
      </c>
      <c r="DD154" t="s">
        <v>421</v>
      </c>
      <c r="DE154">
        <v>2</v>
      </c>
      <c r="DF154">
        <v>1689025824.5</v>
      </c>
      <c r="DG154">
        <v>167.495</v>
      </c>
      <c r="DH154">
        <v>199.95500000000001</v>
      </c>
      <c r="DI154">
        <v>28.204000000000001</v>
      </c>
      <c r="DJ154">
        <v>21.742999999999999</v>
      </c>
      <c r="DK154">
        <v>167.16399999999999</v>
      </c>
      <c r="DL154">
        <v>27.9559</v>
      </c>
      <c r="DM154">
        <v>500.04700000000003</v>
      </c>
      <c r="DN154">
        <v>99.0779</v>
      </c>
      <c r="DO154">
        <v>0.100108</v>
      </c>
      <c r="DP154">
        <v>30.070799999999998</v>
      </c>
      <c r="DQ154">
        <v>29.934100000000001</v>
      </c>
      <c r="DR154">
        <v>999.9</v>
      </c>
      <c r="DS154">
        <v>0</v>
      </c>
      <c r="DT154">
        <v>0</v>
      </c>
      <c r="DU154">
        <v>10007.5</v>
      </c>
      <c r="DV154">
        <v>0</v>
      </c>
      <c r="DW154">
        <v>1298.67</v>
      </c>
      <c r="DX154">
        <v>-32.460299999999997</v>
      </c>
      <c r="DY154">
        <v>172.35599999999999</v>
      </c>
      <c r="DZ154">
        <v>204.399</v>
      </c>
      <c r="EA154">
        <v>6.4610200000000004</v>
      </c>
      <c r="EB154">
        <v>199.95500000000001</v>
      </c>
      <c r="EC154">
        <v>21.742999999999999</v>
      </c>
      <c r="ED154">
        <v>2.7943899999999999</v>
      </c>
      <c r="EE154">
        <v>2.1542500000000002</v>
      </c>
      <c r="EF154">
        <v>22.850999999999999</v>
      </c>
      <c r="EG154">
        <v>18.626100000000001</v>
      </c>
      <c r="EH154">
        <v>1799.93</v>
      </c>
      <c r="EI154">
        <v>0.97799199999999997</v>
      </c>
      <c r="EJ154">
        <v>2.2008199999999999E-2</v>
      </c>
      <c r="EK154">
        <v>0</v>
      </c>
      <c r="EL154">
        <v>760.17899999999997</v>
      </c>
      <c r="EM154">
        <v>5.0011200000000002</v>
      </c>
      <c r="EN154">
        <v>15493.1</v>
      </c>
      <c r="EO154">
        <v>17210.2</v>
      </c>
      <c r="EP154">
        <v>49.061999999999998</v>
      </c>
      <c r="EQ154">
        <v>50.311999999999998</v>
      </c>
      <c r="ER154">
        <v>50.186999999999998</v>
      </c>
      <c r="ES154">
        <v>48.936999999999998</v>
      </c>
      <c r="ET154">
        <v>49.686999999999998</v>
      </c>
      <c r="EU154">
        <v>1755.43</v>
      </c>
      <c r="EV154">
        <v>39.5</v>
      </c>
      <c r="EW154">
        <v>0</v>
      </c>
      <c r="EX154">
        <v>145.4000000953674</v>
      </c>
      <c r="EY154">
        <v>0</v>
      </c>
      <c r="EZ154">
        <v>760.67488000000003</v>
      </c>
      <c r="FA154">
        <v>-3.988538473537854</v>
      </c>
      <c r="FB154">
        <v>-89.784615614475797</v>
      </c>
      <c r="FC154">
        <v>15507.987999999999</v>
      </c>
      <c r="FD154">
        <v>15</v>
      </c>
      <c r="FE154">
        <v>1689025761.5</v>
      </c>
      <c r="FF154" t="s">
        <v>1120</v>
      </c>
      <c r="FG154">
        <v>1689025761.5</v>
      </c>
      <c r="FH154">
        <v>1689025754.5</v>
      </c>
      <c r="FI154">
        <v>156</v>
      </c>
      <c r="FJ154">
        <v>-1E-3</v>
      </c>
      <c r="FK154">
        <v>-1.2999999999999999E-2</v>
      </c>
      <c r="FL154">
        <v>0.40200000000000002</v>
      </c>
      <c r="FM154">
        <v>0.248</v>
      </c>
      <c r="FN154">
        <v>200</v>
      </c>
      <c r="FO154">
        <v>22</v>
      </c>
      <c r="FP154">
        <v>0.08</v>
      </c>
      <c r="FQ154">
        <v>0.02</v>
      </c>
      <c r="FR154">
        <v>26.118556183904879</v>
      </c>
      <c r="FS154">
        <v>0.63251137408210523</v>
      </c>
      <c r="FT154">
        <v>5.5130340733872157E-2</v>
      </c>
      <c r="FU154">
        <v>1</v>
      </c>
      <c r="FV154">
        <v>0.39383946499928368</v>
      </c>
      <c r="FW154">
        <v>-1.1921695166776819E-2</v>
      </c>
      <c r="FX154">
        <v>1.206964557506351E-3</v>
      </c>
      <c r="FY154">
        <v>1</v>
      </c>
      <c r="FZ154">
        <v>2</v>
      </c>
      <c r="GA154">
        <v>2</v>
      </c>
      <c r="GB154" t="s">
        <v>423</v>
      </c>
      <c r="GC154">
        <v>2.9239600000000001</v>
      </c>
      <c r="GD154">
        <v>2.8274699999999999</v>
      </c>
      <c r="GE154">
        <v>4.1877999999999999E-2</v>
      </c>
      <c r="GF154">
        <v>4.9370799999999999E-2</v>
      </c>
      <c r="GG154">
        <v>0.124955</v>
      </c>
      <c r="GH154">
        <v>0.104659</v>
      </c>
      <c r="GI154">
        <v>31192.5</v>
      </c>
      <c r="GJ154">
        <v>25089.1</v>
      </c>
      <c r="GK154">
        <v>31332.400000000001</v>
      </c>
      <c r="GL154">
        <v>26038.2</v>
      </c>
      <c r="GM154">
        <v>37587</v>
      </c>
      <c r="GN154">
        <v>31623.7</v>
      </c>
      <c r="GO154">
        <v>46527.9</v>
      </c>
      <c r="GP154">
        <v>37858.400000000001</v>
      </c>
      <c r="GQ154">
        <v>1.9113500000000001</v>
      </c>
      <c r="GR154">
        <v>1.71855</v>
      </c>
      <c r="GS154">
        <v>-2.5238799999999999E-2</v>
      </c>
      <c r="GT154">
        <v>0</v>
      </c>
      <c r="GU154">
        <v>30.3447</v>
      </c>
      <c r="GV154">
        <v>999.9</v>
      </c>
      <c r="GW154">
        <v>36</v>
      </c>
      <c r="GX154">
        <v>44.8</v>
      </c>
      <c r="GY154">
        <v>34.664000000000001</v>
      </c>
      <c r="GZ154">
        <v>62.252699999999997</v>
      </c>
      <c r="HA154">
        <v>19.375</v>
      </c>
      <c r="HB154">
        <v>1</v>
      </c>
      <c r="HC154">
        <v>0.58175299999999996</v>
      </c>
      <c r="HD154">
        <v>2.2006299999999999</v>
      </c>
      <c r="HE154">
        <v>20.332999999999998</v>
      </c>
      <c r="HF154">
        <v>5.2235800000000001</v>
      </c>
      <c r="HG154">
        <v>12.0604</v>
      </c>
      <c r="HH154">
        <v>4.9913999999999996</v>
      </c>
      <c r="HI154">
        <v>3.2919999999999998</v>
      </c>
      <c r="HJ154">
        <v>9999</v>
      </c>
      <c r="HK154">
        <v>9999</v>
      </c>
      <c r="HL154">
        <v>9999</v>
      </c>
      <c r="HM154">
        <v>468.3</v>
      </c>
      <c r="HN154">
        <v>1.8666400000000001</v>
      </c>
      <c r="HO154">
        <v>1.87016</v>
      </c>
      <c r="HP154">
        <v>1.8727199999999999</v>
      </c>
      <c r="HQ154">
        <v>1.8736299999999999</v>
      </c>
      <c r="HR154">
        <v>1.87042</v>
      </c>
      <c r="HS154">
        <v>1.86876</v>
      </c>
      <c r="HT154">
        <v>1.8702700000000001</v>
      </c>
      <c r="HU154">
        <v>1.8732200000000001</v>
      </c>
      <c r="HV154">
        <v>0</v>
      </c>
      <c r="HW154">
        <v>0</v>
      </c>
      <c r="HX154">
        <v>0</v>
      </c>
      <c r="HY154">
        <v>0</v>
      </c>
      <c r="HZ154" t="s">
        <v>424</v>
      </c>
      <c r="IA154" t="s">
        <v>425</v>
      </c>
      <c r="IB154" t="s">
        <v>426</v>
      </c>
      <c r="IC154" t="s">
        <v>426</v>
      </c>
      <c r="ID154" t="s">
        <v>426</v>
      </c>
      <c r="IE154" t="s">
        <v>426</v>
      </c>
      <c r="IF154">
        <v>0</v>
      </c>
      <c r="IG154">
        <v>100</v>
      </c>
      <c r="IH154">
        <v>100</v>
      </c>
      <c r="II154">
        <v>0.33100000000000002</v>
      </c>
      <c r="IJ154">
        <v>0.24809999999999999</v>
      </c>
      <c r="IK154">
        <v>-0.1114537708063932</v>
      </c>
      <c r="IL154">
        <v>3.042515301972944E-3</v>
      </c>
      <c r="IM154">
        <v>-2.5091471490852929E-6</v>
      </c>
      <c r="IN154">
        <v>8.1339755115576286E-10</v>
      </c>
      <c r="IO154">
        <v>0.24808500000000319</v>
      </c>
      <c r="IP154">
        <v>0</v>
      </c>
      <c r="IQ154">
        <v>0</v>
      </c>
      <c r="IR154">
        <v>0</v>
      </c>
      <c r="IS154">
        <v>3</v>
      </c>
      <c r="IT154">
        <v>2004</v>
      </c>
      <c r="IU154">
        <v>2</v>
      </c>
      <c r="IV154">
        <v>22</v>
      </c>
      <c r="IW154">
        <v>1.1000000000000001</v>
      </c>
      <c r="IX154">
        <v>1.2</v>
      </c>
      <c r="IY154">
        <v>0.60668900000000003</v>
      </c>
      <c r="IZ154">
        <v>2.6000999999999999</v>
      </c>
      <c r="JA154">
        <v>1.64917</v>
      </c>
      <c r="JB154">
        <v>2.34009</v>
      </c>
      <c r="JC154">
        <v>1.5991200000000001</v>
      </c>
      <c r="JD154">
        <v>2.3303199999999999</v>
      </c>
      <c r="JE154">
        <v>47.3917</v>
      </c>
      <c r="JF154">
        <v>15.988300000000001</v>
      </c>
      <c r="JG154">
        <v>18</v>
      </c>
      <c r="JH154">
        <v>519.125</v>
      </c>
      <c r="JI154">
        <v>440.899</v>
      </c>
      <c r="JJ154">
        <v>27.1999</v>
      </c>
      <c r="JK154">
        <v>34.316400000000002</v>
      </c>
      <c r="JL154">
        <v>29.999500000000001</v>
      </c>
      <c r="JM154">
        <v>34.521599999999999</v>
      </c>
      <c r="JN154">
        <v>34.5413</v>
      </c>
      <c r="JO154">
        <v>12.1533</v>
      </c>
      <c r="JP154">
        <v>51.403700000000001</v>
      </c>
      <c r="JQ154">
        <v>0</v>
      </c>
      <c r="JR154">
        <v>27.244599999999998</v>
      </c>
      <c r="JS154">
        <v>200</v>
      </c>
      <c r="JT154">
        <v>21.605599999999999</v>
      </c>
      <c r="JU154">
        <v>99.305999999999997</v>
      </c>
      <c r="JV154">
        <v>99.001199999999997</v>
      </c>
    </row>
    <row r="155" spans="1:282" x14ac:dyDescent="0.25">
      <c r="A155">
        <v>139</v>
      </c>
      <c r="B155">
        <v>1689025946</v>
      </c>
      <c r="C155">
        <v>26350.900000095371</v>
      </c>
      <c r="D155" t="s">
        <v>1121</v>
      </c>
      <c r="E155" t="s">
        <v>1122</v>
      </c>
      <c r="F155" t="s">
        <v>414</v>
      </c>
      <c r="G155" t="s">
        <v>415</v>
      </c>
      <c r="H155" t="s">
        <v>31</v>
      </c>
      <c r="I155" t="s">
        <v>500</v>
      </c>
      <c r="J155" t="s">
        <v>501</v>
      </c>
      <c r="K155">
        <v>1689025946</v>
      </c>
      <c r="L155">
        <f t="shared" si="184"/>
        <v>5.7006669232906888E-3</v>
      </c>
      <c r="M155">
        <f t="shared" si="185"/>
        <v>5.7006669232906884</v>
      </c>
      <c r="N155">
        <f t="shared" si="186"/>
        <v>16.156111372347102</v>
      </c>
      <c r="O155">
        <f t="shared" si="187"/>
        <v>99.962999999999994</v>
      </c>
      <c r="P155">
        <f t="shared" si="188"/>
        <v>31.331874617911492</v>
      </c>
      <c r="Q155">
        <f t="shared" si="189"/>
        <v>3.1072929520263046</v>
      </c>
      <c r="R155">
        <f t="shared" si="190"/>
        <v>9.9136846789829995</v>
      </c>
      <c r="S155">
        <f t="shared" si="191"/>
        <v>0.41109494725914103</v>
      </c>
      <c r="T155">
        <f t="shared" si="192"/>
        <v>2.914888978026708</v>
      </c>
      <c r="U155">
        <f t="shared" si="193"/>
        <v>0.3813888005051253</v>
      </c>
      <c r="V155">
        <f t="shared" si="194"/>
        <v>0.24085785355819317</v>
      </c>
      <c r="W155">
        <f t="shared" si="195"/>
        <v>289.54789657685268</v>
      </c>
      <c r="X155">
        <f t="shared" si="196"/>
        <v>30.330134105927133</v>
      </c>
      <c r="Y155">
        <f t="shared" si="197"/>
        <v>29.9453</v>
      </c>
      <c r="Z155">
        <f t="shared" si="198"/>
        <v>4.2470820792017623</v>
      </c>
      <c r="AA155">
        <f t="shared" si="199"/>
        <v>65.73600540190597</v>
      </c>
      <c r="AB155">
        <f t="shared" si="200"/>
        <v>2.81752029981</v>
      </c>
      <c r="AC155">
        <f t="shared" si="201"/>
        <v>4.2861142574512261</v>
      </c>
      <c r="AD155">
        <f t="shared" si="202"/>
        <v>1.4295617793917623</v>
      </c>
      <c r="AE155">
        <f t="shared" si="203"/>
        <v>-251.39941131711939</v>
      </c>
      <c r="AF155">
        <f t="shared" si="204"/>
        <v>25.033595887132059</v>
      </c>
      <c r="AG155">
        <f t="shared" si="205"/>
        <v>1.910062691251279</v>
      </c>
      <c r="AH155">
        <f t="shared" si="206"/>
        <v>65.092143838116613</v>
      </c>
      <c r="AI155">
        <v>0</v>
      </c>
      <c r="AJ155">
        <v>0</v>
      </c>
      <c r="AK155">
        <f t="shared" si="207"/>
        <v>1</v>
      </c>
      <c r="AL155">
        <f t="shared" si="208"/>
        <v>0</v>
      </c>
      <c r="AM155">
        <f t="shared" si="209"/>
        <v>51897.420123849974</v>
      </c>
      <c r="AN155" t="s">
        <v>418</v>
      </c>
      <c r="AO155">
        <v>10021</v>
      </c>
      <c r="AP155">
        <v>177.53923076923081</v>
      </c>
      <c r="AQ155">
        <v>655.56</v>
      </c>
      <c r="AR155">
        <f t="shared" si="210"/>
        <v>0.72917928066198234</v>
      </c>
      <c r="AS155">
        <v>-3.1115002560329539</v>
      </c>
      <c r="AT155" t="s">
        <v>1123</v>
      </c>
      <c r="AU155">
        <v>8012.79</v>
      </c>
      <c r="AV155">
        <v>767.75142307692306</v>
      </c>
      <c r="AW155">
        <v>911.45204180771884</v>
      </c>
      <c r="AX155">
        <f t="shared" si="211"/>
        <v>0.15766119569581372</v>
      </c>
      <c r="AY155">
        <v>0.5</v>
      </c>
      <c r="AZ155">
        <f t="shared" si="212"/>
        <v>1513.0841992626179</v>
      </c>
      <c r="BA155">
        <f t="shared" si="213"/>
        <v>16.156111372347102</v>
      </c>
      <c r="BB155">
        <f t="shared" si="214"/>
        <v>119.27733202209359</v>
      </c>
      <c r="BC155">
        <f t="shared" si="215"/>
        <v>1.2733998304767097E-2</v>
      </c>
      <c r="BD155">
        <f t="shared" si="216"/>
        <v>-0.28075206381698165</v>
      </c>
      <c r="BE155">
        <f t="shared" si="217"/>
        <v>192.14898606639773</v>
      </c>
      <c r="BF155" t="s">
        <v>1124</v>
      </c>
      <c r="BG155">
        <v>583.73</v>
      </c>
      <c r="BH155">
        <f t="shared" si="218"/>
        <v>583.73</v>
      </c>
      <c r="BI155">
        <f t="shared" si="219"/>
        <v>0.35956037923590001</v>
      </c>
      <c r="BJ155">
        <f t="shared" si="220"/>
        <v>0.43848322785413335</v>
      </c>
      <c r="BK155">
        <f t="shared" si="221"/>
        <v>-3.5624675178577077</v>
      </c>
      <c r="BL155">
        <f t="shared" si="222"/>
        <v>0.19580066810314856</v>
      </c>
      <c r="BM155">
        <f t="shared" si="223"/>
        <v>-0.53531573998238668</v>
      </c>
      <c r="BN155">
        <f t="shared" si="224"/>
        <v>0.33338370584778243</v>
      </c>
      <c r="BO155">
        <f t="shared" si="225"/>
        <v>0.66661629415221757</v>
      </c>
      <c r="BP155">
        <v>22743</v>
      </c>
      <c r="BQ155">
        <v>290.00000000000011</v>
      </c>
      <c r="BR155">
        <v>854.07</v>
      </c>
      <c r="BS155">
        <v>265</v>
      </c>
      <c r="BT155">
        <v>8012.79</v>
      </c>
      <c r="BU155">
        <v>855.34</v>
      </c>
      <c r="BV155">
        <v>-1.27</v>
      </c>
      <c r="BW155">
        <v>300.00000000000011</v>
      </c>
      <c r="BX155">
        <v>19.399999999999999</v>
      </c>
      <c r="BY155">
        <v>911.45204180771884</v>
      </c>
      <c r="BZ155">
        <v>3.1925751696321498</v>
      </c>
      <c r="CA155">
        <v>-44.96162103927557</v>
      </c>
      <c r="CB155">
        <v>2.3495122765019469</v>
      </c>
      <c r="CC155">
        <v>0.92897160724472561</v>
      </c>
      <c r="CD155">
        <v>-4.1373944382647448E-3</v>
      </c>
      <c r="CE155">
        <v>289.99999999999989</v>
      </c>
      <c r="CF155">
        <v>849.1</v>
      </c>
      <c r="CG155">
        <v>625</v>
      </c>
      <c r="CH155">
        <v>8002.34</v>
      </c>
      <c r="CI155">
        <v>855.27</v>
      </c>
      <c r="CJ155">
        <v>-6.17</v>
      </c>
      <c r="CX155">
        <f t="shared" si="226"/>
        <v>1799.88</v>
      </c>
      <c r="CY155">
        <f t="shared" si="227"/>
        <v>1513.0841992626179</v>
      </c>
      <c r="CZ155">
        <f t="shared" si="228"/>
        <v>0.84065837681546429</v>
      </c>
      <c r="DA155">
        <f t="shared" si="229"/>
        <v>0.16087066725384619</v>
      </c>
      <c r="DB155">
        <v>6</v>
      </c>
      <c r="DC155">
        <v>0.5</v>
      </c>
      <c r="DD155" t="s">
        <v>421</v>
      </c>
      <c r="DE155">
        <v>2</v>
      </c>
      <c r="DF155">
        <v>1689025946</v>
      </c>
      <c r="DG155">
        <v>99.962999999999994</v>
      </c>
      <c r="DH155">
        <v>120.03400000000001</v>
      </c>
      <c r="DI155">
        <v>28.41</v>
      </c>
      <c r="DJ155">
        <v>21.7636</v>
      </c>
      <c r="DK155">
        <v>99.796700000000001</v>
      </c>
      <c r="DL155">
        <v>28.157499999999999</v>
      </c>
      <c r="DM155">
        <v>500.00400000000002</v>
      </c>
      <c r="DN155">
        <v>99.073499999999996</v>
      </c>
      <c r="DO155">
        <v>0.100041</v>
      </c>
      <c r="DP155">
        <v>30.104600000000001</v>
      </c>
      <c r="DQ155">
        <v>29.9453</v>
      </c>
      <c r="DR155">
        <v>999.9</v>
      </c>
      <c r="DS155">
        <v>0</v>
      </c>
      <c r="DT155">
        <v>0</v>
      </c>
      <c r="DU155">
        <v>10009.4</v>
      </c>
      <c r="DV155">
        <v>0</v>
      </c>
      <c r="DW155">
        <v>1291.01</v>
      </c>
      <c r="DX155">
        <v>-20.070499999999999</v>
      </c>
      <c r="DY155">
        <v>102.886</v>
      </c>
      <c r="DZ155">
        <v>122.70399999999999</v>
      </c>
      <c r="EA155">
        <v>6.6464600000000003</v>
      </c>
      <c r="EB155">
        <v>120.03400000000001</v>
      </c>
      <c r="EC155">
        <v>21.7636</v>
      </c>
      <c r="ED155">
        <v>2.8146800000000001</v>
      </c>
      <c r="EE155">
        <v>2.1561900000000001</v>
      </c>
      <c r="EF155">
        <v>22.970400000000001</v>
      </c>
      <c r="EG155">
        <v>18.640499999999999</v>
      </c>
      <c r="EH155">
        <v>1799.88</v>
      </c>
      <c r="EI155">
        <v>0.97799199999999997</v>
      </c>
      <c r="EJ155">
        <v>2.2008199999999999E-2</v>
      </c>
      <c r="EK155">
        <v>0</v>
      </c>
      <c r="EL155">
        <v>767.51400000000001</v>
      </c>
      <c r="EM155">
        <v>5.0011200000000002</v>
      </c>
      <c r="EN155">
        <v>15613</v>
      </c>
      <c r="EO155">
        <v>17209.7</v>
      </c>
      <c r="EP155">
        <v>49.061999999999998</v>
      </c>
      <c r="EQ155">
        <v>50.186999999999998</v>
      </c>
      <c r="ER155">
        <v>50.061999999999998</v>
      </c>
      <c r="ES155">
        <v>48.875</v>
      </c>
      <c r="ET155">
        <v>49.625</v>
      </c>
      <c r="EU155">
        <v>1755.38</v>
      </c>
      <c r="EV155">
        <v>39.5</v>
      </c>
      <c r="EW155">
        <v>0</v>
      </c>
      <c r="EX155">
        <v>119.6000001430511</v>
      </c>
      <c r="EY155">
        <v>0</v>
      </c>
      <c r="EZ155">
        <v>767.75142307692306</v>
      </c>
      <c r="FA155">
        <v>-4.6772991422446522</v>
      </c>
      <c r="FB155">
        <v>-102.10598329584781</v>
      </c>
      <c r="FC155">
        <v>15647.323076923079</v>
      </c>
      <c r="FD155">
        <v>15</v>
      </c>
      <c r="FE155">
        <v>1689025917.5</v>
      </c>
      <c r="FF155" t="s">
        <v>1125</v>
      </c>
      <c r="FG155">
        <v>1689025911</v>
      </c>
      <c r="FH155">
        <v>1689025917.5</v>
      </c>
      <c r="FI155">
        <v>157</v>
      </c>
      <c r="FJ155">
        <v>-2E-3</v>
      </c>
      <c r="FK155">
        <v>4.0000000000000001E-3</v>
      </c>
      <c r="FL155">
        <v>0.217</v>
      </c>
      <c r="FM155">
        <v>0.246</v>
      </c>
      <c r="FN155">
        <v>120</v>
      </c>
      <c r="FO155">
        <v>22</v>
      </c>
      <c r="FP155">
        <v>0.11</v>
      </c>
      <c r="FQ155">
        <v>0.02</v>
      </c>
      <c r="FR155">
        <v>16.05247955790427</v>
      </c>
      <c r="FS155">
        <v>0.1597508226131327</v>
      </c>
      <c r="FT155">
        <v>5.0744716365759238E-2</v>
      </c>
      <c r="FU155">
        <v>1</v>
      </c>
      <c r="FV155">
        <v>0.41222437177292598</v>
      </c>
      <c r="FW155">
        <v>2.4030211940573719E-2</v>
      </c>
      <c r="FX155">
        <v>4.123345422085564E-3</v>
      </c>
      <c r="FY155">
        <v>1</v>
      </c>
      <c r="FZ155">
        <v>2</v>
      </c>
      <c r="GA155">
        <v>2</v>
      </c>
      <c r="GB155" t="s">
        <v>423</v>
      </c>
      <c r="GC155">
        <v>2.9240300000000001</v>
      </c>
      <c r="GD155">
        <v>2.82742</v>
      </c>
      <c r="GE155">
        <v>2.5764599999999999E-2</v>
      </c>
      <c r="GF155">
        <v>3.0872400000000001E-2</v>
      </c>
      <c r="GG155">
        <v>0.125615</v>
      </c>
      <c r="GH155">
        <v>0.104759</v>
      </c>
      <c r="GI155">
        <v>31726.6</v>
      </c>
      <c r="GJ155">
        <v>25584.1</v>
      </c>
      <c r="GK155">
        <v>31342</v>
      </c>
      <c r="GL155">
        <v>26045.4</v>
      </c>
      <c r="GM155">
        <v>37569.9</v>
      </c>
      <c r="GN155">
        <v>31627.4</v>
      </c>
      <c r="GO155">
        <v>46542.8</v>
      </c>
      <c r="GP155">
        <v>37867.699999999997</v>
      </c>
      <c r="GQ155">
        <v>1.9129</v>
      </c>
      <c r="GR155">
        <v>1.7202200000000001</v>
      </c>
      <c r="GS155">
        <v>-2.35438E-2</v>
      </c>
      <c r="GT155">
        <v>0</v>
      </c>
      <c r="GU155">
        <v>30.328299999999999</v>
      </c>
      <c r="GV155">
        <v>999.9</v>
      </c>
      <c r="GW155">
        <v>36</v>
      </c>
      <c r="GX155">
        <v>44.8</v>
      </c>
      <c r="GY155">
        <v>34.664999999999999</v>
      </c>
      <c r="GZ155">
        <v>62.412700000000001</v>
      </c>
      <c r="HA155">
        <v>19.122599999999998</v>
      </c>
      <c r="HB155">
        <v>1</v>
      </c>
      <c r="HC155">
        <v>0.56534799999999996</v>
      </c>
      <c r="HD155">
        <v>1.8491299999999999</v>
      </c>
      <c r="HE155">
        <v>20.3367</v>
      </c>
      <c r="HF155">
        <v>5.2198399999999996</v>
      </c>
      <c r="HG155">
        <v>12.059799999999999</v>
      </c>
      <c r="HH155">
        <v>4.9912999999999998</v>
      </c>
      <c r="HI155">
        <v>3.2912499999999998</v>
      </c>
      <c r="HJ155">
        <v>9999</v>
      </c>
      <c r="HK155">
        <v>9999</v>
      </c>
      <c r="HL155">
        <v>9999</v>
      </c>
      <c r="HM155">
        <v>468.3</v>
      </c>
      <c r="HN155">
        <v>1.8666799999999999</v>
      </c>
      <c r="HO155">
        <v>1.8701399999999999</v>
      </c>
      <c r="HP155">
        <v>1.87276</v>
      </c>
      <c r="HQ155">
        <v>1.87364</v>
      </c>
      <c r="HR155">
        <v>1.87042</v>
      </c>
      <c r="HS155">
        <v>1.8688400000000001</v>
      </c>
      <c r="HT155">
        <v>1.8702700000000001</v>
      </c>
      <c r="HU155">
        <v>1.8732899999999999</v>
      </c>
      <c r="HV155">
        <v>0</v>
      </c>
      <c r="HW155">
        <v>0</v>
      </c>
      <c r="HX155">
        <v>0</v>
      </c>
      <c r="HY155">
        <v>0</v>
      </c>
      <c r="HZ155" t="s">
        <v>424</v>
      </c>
      <c r="IA155" t="s">
        <v>425</v>
      </c>
      <c r="IB155" t="s">
        <v>426</v>
      </c>
      <c r="IC155" t="s">
        <v>426</v>
      </c>
      <c r="ID155" t="s">
        <v>426</v>
      </c>
      <c r="IE155" t="s">
        <v>426</v>
      </c>
      <c r="IF155">
        <v>0</v>
      </c>
      <c r="IG155">
        <v>100</v>
      </c>
      <c r="IH155">
        <v>100</v>
      </c>
      <c r="II155">
        <v>0.16600000000000001</v>
      </c>
      <c r="IJ155">
        <v>0.2525</v>
      </c>
      <c r="IK155">
        <v>-0.1130999782879952</v>
      </c>
      <c r="IL155">
        <v>3.042515301972944E-3</v>
      </c>
      <c r="IM155">
        <v>-2.5091471490852929E-6</v>
      </c>
      <c r="IN155">
        <v>8.1339755115576286E-10</v>
      </c>
      <c r="IO155">
        <v>0.2525657591838813</v>
      </c>
      <c r="IP155">
        <v>0</v>
      </c>
      <c r="IQ155">
        <v>0</v>
      </c>
      <c r="IR155">
        <v>0</v>
      </c>
      <c r="IS155">
        <v>3</v>
      </c>
      <c r="IT155">
        <v>2004</v>
      </c>
      <c r="IU155">
        <v>2</v>
      </c>
      <c r="IV155">
        <v>22</v>
      </c>
      <c r="IW155">
        <v>0.6</v>
      </c>
      <c r="IX155">
        <v>0.5</v>
      </c>
      <c r="IY155">
        <v>0.42236299999999999</v>
      </c>
      <c r="IZ155">
        <v>2.6184099999999999</v>
      </c>
      <c r="JA155">
        <v>1.64917</v>
      </c>
      <c r="JB155">
        <v>2.34009</v>
      </c>
      <c r="JC155">
        <v>1.5991200000000001</v>
      </c>
      <c r="JD155">
        <v>2.2595200000000002</v>
      </c>
      <c r="JE155">
        <v>47.601900000000001</v>
      </c>
      <c r="JF155">
        <v>15.970800000000001</v>
      </c>
      <c r="JG155">
        <v>18</v>
      </c>
      <c r="JH155">
        <v>519.02499999999998</v>
      </c>
      <c r="JI155">
        <v>440.93900000000002</v>
      </c>
      <c r="JJ155">
        <v>27.122299999999999</v>
      </c>
      <c r="JK155">
        <v>34.152999999999999</v>
      </c>
      <c r="JL155">
        <v>29.997599999999998</v>
      </c>
      <c r="JM155">
        <v>34.373699999999999</v>
      </c>
      <c r="JN155">
        <v>34.392400000000002</v>
      </c>
      <c r="JO155">
        <v>8.4632000000000005</v>
      </c>
      <c r="JP155">
        <v>51.4039</v>
      </c>
      <c r="JQ155">
        <v>0</v>
      </c>
      <c r="JR155">
        <v>27.147600000000001</v>
      </c>
      <c r="JS155">
        <v>120</v>
      </c>
      <c r="JT155">
        <v>21.569700000000001</v>
      </c>
      <c r="JU155">
        <v>99.337299999999999</v>
      </c>
      <c r="JV155">
        <v>99.026700000000005</v>
      </c>
    </row>
    <row r="156" spans="1:282" x14ac:dyDescent="0.25">
      <c r="A156">
        <v>140</v>
      </c>
      <c r="B156">
        <v>1689026064</v>
      </c>
      <c r="C156">
        <v>26468.900000095371</v>
      </c>
      <c r="D156" t="s">
        <v>1126</v>
      </c>
      <c r="E156" t="s">
        <v>1127</v>
      </c>
      <c r="F156" t="s">
        <v>414</v>
      </c>
      <c r="G156" t="s">
        <v>415</v>
      </c>
      <c r="H156" t="s">
        <v>31</v>
      </c>
      <c r="I156" t="s">
        <v>500</v>
      </c>
      <c r="J156" t="s">
        <v>501</v>
      </c>
      <c r="K156">
        <v>1689026064</v>
      </c>
      <c r="L156">
        <f t="shared" si="184"/>
        <v>5.9970132748623315E-3</v>
      </c>
      <c r="M156">
        <f t="shared" si="185"/>
        <v>5.9970132748623319</v>
      </c>
      <c r="N156">
        <f t="shared" si="186"/>
        <v>9.943089026724083</v>
      </c>
      <c r="O156">
        <f t="shared" si="187"/>
        <v>57.671100000000003</v>
      </c>
      <c r="P156">
        <f t="shared" si="188"/>
        <v>17.4807869929502</v>
      </c>
      <c r="Q156">
        <f t="shared" si="189"/>
        <v>1.733649690614512</v>
      </c>
      <c r="R156">
        <f t="shared" si="190"/>
        <v>5.7195070629669003</v>
      </c>
      <c r="S156">
        <f t="shared" si="191"/>
        <v>0.43330799835328693</v>
      </c>
      <c r="T156">
        <f t="shared" si="192"/>
        <v>2.9123867548727844</v>
      </c>
      <c r="U156">
        <f t="shared" si="193"/>
        <v>0.40041640054083727</v>
      </c>
      <c r="V156">
        <f t="shared" si="194"/>
        <v>0.25300704816367747</v>
      </c>
      <c r="W156">
        <f t="shared" si="195"/>
        <v>289.56226057692385</v>
      </c>
      <c r="X156">
        <f t="shared" si="196"/>
        <v>30.377861139898869</v>
      </c>
      <c r="Y156">
        <f t="shared" si="197"/>
        <v>29.9879</v>
      </c>
      <c r="Z156">
        <f t="shared" si="198"/>
        <v>4.2574895964460433</v>
      </c>
      <c r="AA156">
        <f t="shared" si="199"/>
        <v>65.444852680571003</v>
      </c>
      <c r="AB156">
        <f t="shared" si="200"/>
        <v>2.8251961494308997</v>
      </c>
      <c r="AC156">
        <f t="shared" si="201"/>
        <v>4.3169111606383552</v>
      </c>
      <c r="AD156">
        <f t="shared" si="202"/>
        <v>1.4322934470151436</v>
      </c>
      <c r="AE156">
        <f t="shared" si="203"/>
        <v>-264.46828542142885</v>
      </c>
      <c r="AF156">
        <f t="shared" si="204"/>
        <v>37.918541626981195</v>
      </c>
      <c r="AG156">
        <f t="shared" si="205"/>
        <v>2.8980698318313665</v>
      </c>
      <c r="AH156">
        <f t="shared" si="206"/>
        <v>65.910586614307576</v>
      </c>
      <c r="AI156">
        <v>0</v>
      </c>
      <c r="AJ156">
        <v>0</v>
      </c>
      <c r="AK156">
        <f t="shared" si="207"/>
        <v>1</v>
      </c>
      <c r="AL156">
        <f t="shared" si="208"/>
        <v>0</v>
      </c>
      <c r="AM156">
        <f t="shared" si="209"/>
        <v>51804.952177150313</v>
      </c>
      <c r="AN156" t="s">
        <v>418</v>
      </c>
      <c r="AO156">
        <v>10021</v>
      </c>
      <c r="AP156">
        <v>177.53923076923081</v>
      </c>
      <c r="AQ156">
        <v>655.56</v>
      </c>
      <c r="AR156">
        <f t="shared" si="210"/>
        <v>0.72917928066198234</v>
      </c>
      <c r="AS156">
        <v>-3.1115002560329539</v>
      </c>
      <c r="AT156" t="s">
        <v>1128</v>
      </c>
      <c r="AU156">
        <v>8012.45</v>
      </c>
      <c r="AV156">
        <v>771.22126923076928</v>
      </c>
      <c r="AW156">
        <v>858.93814207188768</v>
      </c>
      <c r="AX156">
        <f t="shared" si="211"/>
        <v>0.10212245625689897</v>
      </c>
      <c r="AY156">
        <v>0.5</v>
      </c>
      <c r="AZ156">
        <f t="shared" si="212"/>
        <v>1513.1597992626548</v>
      </c>
      <c r="BA156">
        <f t="shared" si="213"/>
        <v>9.943089026724083</v>
      </c>
      <c r="BB156">
        <f t="shared" si="214"/>
        <v>77.263797704949255</v>
      </c>
      <c r="BC156">
        <f t="shared" si="215"/>
        <v>8.6273698846072878E-3</v>
      </c>
      <c r="BD156">
        <f t="shared" si="216"/>
        <v>-0.23677856659306007</v>
      </c>
      <c r="BE156">
        <f t="shared" si="217"/>
        <v>189.70390686079628</v>
      </c>
      <c r="BF156" t="s">
        <v>1129</v>
      </c>
      <c r="BG156">
        <v>601.85</v>
      </c>
      <c r="BH156">
        <f t="shared" si="218"/>
        <v>601.85</v>
      </c>
      <c r="BI156">
        <f t="shared" si="219"/>
        <v>0.29930926277386227</v>
      </c>
      <c r="BJ156">
        <f t="shared" si="220"/>
        <v>0.34119377165435649</v>
      </c>
      <c r="BK156">
        <f t="shared" si="221"/>
        <v>-3.7865973202734691</v>
      </c>
      <c r="BL156">
        <f t="shared" si="222"/>
        <v>0.12873057380356925</v>
      </c>
      <c r="BM156">
        <f t="shared" si="223"/>
        <v>-0.42545879836803696</v>
      </c>
      <c r="BN156">
        <f t="shared" si="224"/>
        <v>0.26626271818850633</v>
      </c>
      <c r="BO156">
        <f t="shared" si="225"/>
        <v>0.73373728181149367</v>
      </c>
      <c r="BP156">
        <v>22745</v>
      </c>
      <c r="BQ156">
        <v>290.00000000000011</v>
      </c>
      <c r="BR156">
        <v>829.74</v>
      </c>
      <c r="BS156">
        <v>275</v>
      </c>
      <c r="BT156">
        <v>8012.45</v>
      </c>
      <c r="BU156">
        <v>829.34</v>
      </c>
      <c r="BV156">
        <v>0.4</v>
      </c>
      <c r="BW156">
        <v>300.00000000000011</v>
      </c>
      <c r="BX156">
        <v>19.399999999999999</v>
      </c>
      <c r="BY156">
        <v>858.93814207188768</v>
      </c>
      <c r="BZ156">
        <v>2.1732833984872628</v>
      </c>
      <c r="CA156">
        <v>-23.71178003228124</v>
      </c>
      <c r="CB156">
        <v>1.5994476142568299</v>
      </c>
      <c r="CC156">
        <v>0.88699655341954964</v>
      </c>
      <c r="CD156">
        <v>-4.1375090100111336E-3</v>
      </c>
      <c r="CE156">
        <v>289.99999999999989</v>
      </c>
      <c r="CF156">
        <v>826.68</v>
      </c>
      <c r="CG156">
        <v>645</v>
      </c>
      <c r="CH156">
        <v>8002.05</v>
      </c>
      <c r="CI156">
        <v>829.31</v>
      </c>
      <c r="CJ156">
        <v>-2.63</v>
      </c>
      <c r="CX156">
        <f t="shared" si="226"/>
        <v>1799.97</v>
      </c>
      <c r="CY156">
        <f t="shared" si="227"/>
        <v>1513.1597992626548</v>
      </c>
      <c r="CZ156">
        <f t="shared" si="228"/>
        <v>0.84065834389609539</v>
      </c>
      <c r="DA156">
        <f t="shared" si="229"/>
        <v>0.16087060371946413</v>
      </c>
      <c r="DB156">
        <v>6</v>
      </c>
      <c r="DC156">
        <v>0.5</v>
      </c>
      <c r="DD156" t="s">
        <v>421</v>
      </c>
      <c r="DE156">
        <v>2</v>
      </c>
      <c r="DF156">
        <v>1689026064</v>
      </c>
      <c r="DG156">
        <v>57.671100000000003</v>
      </c>
      <c r="DH156">
        <v>70.016400000000004</v>
      </c>
      <c r="DI156">
        <v>28.487100000000002</v>
      </c>
      <c r="DJ156">
        <v>21.496500000000001</v>
      </c>
      <c r="DK156">
        <v>57.617100000000001</v>
      </c>
      <c r="DL156">
        <v>28.241199999999999</v>
      </c>
      <c r="DM156">
        <v>500.05799999999999</v>
      </c>
      <c r="DN156">
        <v>99.074399999999997</v>
      </c>
      <c r="DO156">
        <v>0.100179</v>
      </c>
      <c r="DP156">
        <v>30.229399999999998</v>
      </c>
      <c r="DQ156">
        <v>29.9879</v>
      </c>
      <c r="DR156">
        <v>999.9</v>
      </c>
      <c r="DS156">
        <v>0</v>
      </c>
      <c r="DT156">
        <v>0</v>
      </c>
      <c r="DU156">
        <v>9995</v>
      </c>
      <c r="DV156">
        <v>0</v>
      </c>
      <c r="DW156">
        <v>1286.5999999999999</v>
      </c>
      <c r="DX156">
        <v>-12.3452</v>
      </c>
      <c r="DY156">
        <v>59.362200000000001</v>
      </c>
      <c r="DZ156">
        <v>71.554500000000004</v>
      </c>
      <c r="EA156">
        <v>6.9906800000000002</v>
      </c>
      <c r="EB156">
        <v>70.016400000000004</v>
      </c>
      <c r="EC156">
        <v>21.496500000000001</v>
      </c>
      <c r="ED156">
        <v>2.8223500000000001</v>
      </c>
      <c r="EE156">
        <v>2.12975</v>
      </c>
      <c r="EF156">
        <v>23.0154</v>
      </c>
      <c r="EG156">
        <v>18.4434</v>
      </c>
      <c r="EH156">
        <v>1799.97</v>
      </c>
      <c r="EI156">
        <v>0.97799199999999997</v>
      </c>
      <c r="EJ156">
        <v>2.2008199999999999E-2</v>
      </c>
      <c r="EK156">
        <v>0</v>
      </c>
      <c r="EL156">
        <v>770.85900000000004</v>
      </c>
      <c r="EM156">
        <v>5.0011200000000002</v>
      </c>
      <c r="EN156">
        <v>15714.5</v>
      </c>
      <c r="EO156">
        <v>17210.599999999999</v>
      </c>
      <c r="EP156">
        <v>48.936999999999998</v>
      </c>
      <c r="EQ156">
        <v>50</v>
      </c>
      <c r="ER156">
        <v>49.936999999999998</v>
      </c>
      <c r="ES156">
        <v>48.75</v>
      </c>
      <c r="ET156">
        <v>49.5</v>
      </c>
      <c r="EU156">
        <v>1755.47</v>
      </c>
      <c r="EV156">
        <v>39.5</v>
      </c>
      <c r="EW156">
        <v>0</v>
      </c>
      <c r="EX156">
        <v>116</v>
      </c>
      <c r="EY156">
        <v>0</v>
      </c>
      <c r="EZ156">
        <v>771.22126923076928</v>
      </c>
      <c r="FA156">
        <v>-2.838735031669275</v>
      </c>
      <c r="FB156">
        <v>-39.282051097206249</v>
      </c>
      <c r="FC156">
        <v>15719.446153846149</v>
      </c>
      <c r="FD156">
        <v>15</v>
      </c>
      <c r="FE156">
        <v>1689026034</v>
      </c>
      <c r="FF156" t="s">
        <v>1130</v>
      </c>
      <c r="FG156">
        <v>1689025911</v>
      </c>
      <c r="FH156">
        <v>1689026016.5</v>
      </c>
      <c r="FI156">
        <v>158</v>
      </c>
      <c r="FJ156">
        <v>-2E-3</v>
      </c>
      <c r="FK156">
        <v>-7.0000000000000001E-3</v>
      </c>
      <c r="FL156">
        <v>0.217</v>
      </c>
      <c r="FM156">
        <v>0.22500000000000001</v>
      </c>
      <c r="FN156">
        <v>120</v>
      </c>
      <c r="FO156">
        <v>21</v>
      </c>
      <c r="FP156">
        <v>0.11</v>
      </c>
      <c r="FQ156">
        <v>0.08</v>
      </c>
      <c r="FR156">
        <v>9.889823840565013</v>
      </c>
      <c r="FS156">
        <v>0.66157995121706425</v>
      </c>
      <c r="FT156">
        <v>8.2133490339324267E-2</v>
      </c>
      <c r="FU156">
        <v>1</v>
      </c>
      <c r="FV156">
        <v>0.43399432469429211</v>
      </c>
      <c r="FW156">
        <v>2.146493146256442E-2</v>
      </c>
      <c r="FX156">
        <v>2.954452791307341E-3</v>
      </c>
      <c r="FY156">
        <v>1</v>
      </c>
      <c r="FZ156">
        <v>2</v>
      </c>
      <c r="GA156">
        <v>2</v>
      </c>
      <c r="GB156" t="s">
        <v>423</v>
      </c>
      <c r="GC156">
        <v>2.9243600000000001</v>
      </c>
      <c r="GD156">
        <v>2.8274300000000001</v>
      </c>
      <c r="GE156">
        <v>1.50607E-2</v>
      </c>
      <c r="GF156">
        <v>1.8349500000000001E-2</v>
      </c>
      <c r="GG156">
        <v>0.125919</v>
      </c>
      <c r="GH156">
        <v>0.10388799999999999</v>
      </c>
      <c r="GI156">
        <v>32084.6</v>
      </c>
      <c r="GJ156">
        <v>25919.9</v>
      </c>
      <c r="GK156">
        <v>31351.3</v>
      </c>
      <c r="GL156">
        <v>26050.6</v>
      </c>
      <c r="GM156">
        <v>37567.199999999997</v>
      </c>
      <c r="GN156">
        <v>31665</v>
      </c>
      <c r="GO156">
        <v>46556.7</v>
      </c>
      <c r="GP156">
        <v>37876.300000000003</v>
      </c>
      <c r="GQ156">
        <v>1.915</v>
      </c>
      <c r="GR156">
        <v>1.7217499999999999</v>
      </c>
      <c r="GS156">
        <v>-8.2701400000000005E-3</v>
      </c>
      <c r="GT156">
        <v>0</v>
      </c>
      <c r="GU156">
        <v>30.122499999999999</v>
      </c>
      <c r="GV156">
        <v>999.9</v>
      </c>
      <c r="GW156">
        <v>35.9</v>
      </c>
      <c r="GX156">
        <v>44.8</v>
      </c>
      <c r="GY156">
        <v>34.569899999999997</v>
      </c>
      <c r="GZ156">
        <v>62.342700000000001</v>
      </c>
      <c r="HA156">
        <v>19.078499999999998</v>
      </c>
      <c r="HB156">
        <v>1</v>
      </c>
      <c r="HC156">
        <v>0.55439000000000005</v>
      </c>
      <c r="HD156">
        <v>2.47559</v>
      </c>
      <c r="HE156">
        <v>20.329000000000001</v>
      </c>
      <c r="HF156">
        <v>5.2241799999999996</v>
      </c>
      <c r="HG156">
        <v>12.0618</v>
      </c>
      <c r="HH156">
        <v>4.9930500000000002</v>
      </c>
      <c r="HI156">
        <v>3.2919999999999998</v>
      </c>
      <c r="HJ156">
        <v>9999</v>
      </c>
      <c r="HK156">
        <v>9999</v>
      </c>
      <c r="HL156">
        <v>9999</v>
      </c>
      <c r="HM156">
        <v>468.4</v>
      </c>
      <c r="HN156">
        <v>1.8667100000000001</v>
      </c>
      <c r="HO156">
        <v>1.8701700000000001</v>
      </c>
      <c r="HP156">
        <v>1.8727400000000001</v>
      </c>
      <c r="HQ156">
        <v>1.8736699999999999</v>
      </c>
      <c r="HR156">
        <v>1.87043</v>
      </c>
      <c r="HS156">
        <v>1.86886</v>
      </c>
      <c r="HT156">
        <v>1.8702700000000001</v>
      </c>
      <c r="HU156">
        <v>1.87331</v>
      </c>
      <c r="HV156">
        <v>0</v>
      </c>
      <c r="HW156">
        <v>0</v>
      </c>
      <c r="HX156">
        <v>0</v>
      </c>
      <c r="HY156">
        <v>0</v>
      </c>
      <c r="HZ156" t="s">
        <v>424</v>
      </c>
      <c r="IA156" t="s">
        <v>425</v>
      </c>
      <c r="IB156" t="s">
        <v>426</v>
      </c>
      <c r="IC156" t="s">
        <v>426</v>
      </c>
      <c r="ID156" t="s">
        <v>426</v>
      </c>
      <c r="IE156" t="s">
        <v>426</v>
      </c>
      <c r="IF156">
        <v>0</v>
      </c>
      <c r="IG156">
        <v>100</v>
      </c>
      <c r="IH156">
        <v>100</v>
      </c>
      <c r="II156">
        <v>5.3999999999999999E-2</v>
      </c>
      <c r="IJ156">
        <v>0.24590000000000001</v>
      </c>
      <c r="IK156">
        <v>-0.1130999782879952</v>
      </c>
      <c r="IL156">
        <v>3.042515301972944E-3</v>
      </c>
      <c r="IM156">
        <v>-2.5091471490852929E-6</v>
      </c>
      <c r="IN156">
        <v>8.1339755115576286E-10</v>
      </c>
      <c r="IO156">
        <v>0.24594780175434769</v>
      </c>
      <c r="IP156">
        <v>0</v>
      </c>
      <c r="IQ156">
        <v>0</v>
      </c>
      <c r="IR156">
        <v>0</v>
      </c>
      <c r="IS156">
        <v>3</v>
      </c>
      <c r="IT156">
        <v>2004</v>
      </c>
      <c r="IU156">
        <v>2</v>
      </c>
      <c r="IV156">
        <v>22</v>
      </c>
      <c r="IW156">
        <v>2.5</v>
      </c>
      <c r="IX156">
        <v>0.8</v>
      </c>
      <c r="IY156">
        <v>0.306396</v>
      </c>
      <c r="IZ156">
        <v>2.6257299999999999</v>
      </c>
      <c r="JA156">
        <v>1.64917</v>
      </c>
      <c r="JB156">
        <v>2.34009</v>
      </c>
      <c r="JC156">
        <v>1.5991200000000001</v>
      </c>
      <c r="JD156">
        <v>2.2827099999999998</v>
      </c>
      <c r="JE156">
        <v>47.601900000000001</v>
      </c>
      <c r="JF156">
        <v>15.962</v>
      </c>
      <c r="JG156">
        <v>18</v>
      </c>
      <c r="JH156">
        <v>519.22299999999996</v>
      </c>
      <c r="JI156">
        <v>440.83</v>
      </c>
      <c r="JJ156">
        <v>27.217700000000001</v>
      </c>
      <c r="JK156">
        <v>33.983800000000002</v>
      </c>
      <c r="JL156">
        <v>29.999500000000001</v>
      </c>
      <c r="JM156">
        <v>34.217399999999998</v>
      </c>
      <c r="JN156">
        <v>34.236899999999999</v>
      </c>
      <c r="JO156">
        <v>6.1580700000000004</v>
      </c>
      <c r="JP156">
        <v>51.1755</v>
      </c>
      <c r="JQ156">
        <v>0</v>
      </c>
      <c r="JR156">
        <v>27.221599999999999</v>
      </c>
      <c r="JS156">
        <v>70</v>
      </c>
      <c r="JT156">
        <v>21.504200000000001</v>
      </c>
      <c r="JU156">
        <v>99.366799999999998</v>
      </c>
      <c r="JV156">
        <v>99.048199999999994</v>
      </c>
    </row>
    <row r="157" spans="1:282" x14ac:dyDescent="0.25">
      <c r="A157">
        <v>141</v>
      </c>
      <c r="B157">
        <v>1689026180.5999999</v>
      </c>
      <c r="C157">
        <v>26585.5</v>
      </c>
      <c r="D157" t="s">
        <v>1131</v>
      </c>
      <c r="E157" t="s">
        <v>1132</v>
      </c>
      <c r="F157" t="s">
        <v>414</v>
      </c>
      <c r="G157" t="s">
        <v>415</v>
      </c>
      <c r="H157" t="s">
        <v>31</v>
      </c>
      <c r="I157" t="s">
        <v>500</v>
      </c>
      <c r="J157" t="s">
        <v>501</v>
      </c>
      <c r="K157">
        <v>1689026180.5999999</v>
      </c>
      <c r="L157">
        <f t="shared" si="184"/>
        <v>6.2182348568408071E-3</v>
      </c>
      <c r="M157">
        <f t="shared" si="185"/>
        <v>6.218234856840807</v>
      </c>
      <c r="N157">
        <f t="shared" si="186"/>
        <v>4.4878432388262341</v>
      </c>
      <c r="O157">
        <f t="shared" si="187"/>
        <v>24.422000000000001</v>
      </c>
      <c r="P157">
        <f t="shared" si="188"/>
        <v>7.0912901919423534</v>
      </c>
      <c r="Q157">
        <f t="shared" si="189"/>
        <v>0.70326934499195848</v>
      </c>
      <c r="R157">
        <f t="shared" si="190"/>
        <v>2.4220196154022</v>
      </c>
      <c r="S157">
        <f t="shared" si="191"/>
        <v>0.45458054842054596</v>
      </c>
      <c r="T157">
        <f t="shared" si="192"/>
        <v>2.9169559147559663</v>
      </c>
      <c r="U157">
        <f t="shared" si="193"/>
        <v>0.41857576364621851</v>
      </c>
      <c r="V157">
        <f t="shared" si="194"/>
        <v>0.26460669005355825</v>
      </c>
      <c r="W157">
        <f t="shared" si="195"/>
        <v>289.56531157802834</v>
      </c>
      <c r="X157">
        <f t="shared" si="196"/>
        <v>30.28653149064743</v>
      </c>
      <c r="Y157">
        <f t="shared" si="197"/>
        <v>29.964400000000001</v>
      </c>
      <c r="Z157">
        <f t="shared" si="198"/>
        <v>4.2517456151298871</v>
      </c>
      <c r="AA157">
        <f t="shared" si="199"/>
        <v>65.706835404533862</v>
      </c>
      <c r="AB157">
        <f t="shared" si="200"/>
        <v>2.8310614589746503</v>
      </c>
      <c r="AC157">
        <f t="shared" si="201"/>
        <v>4.3086254900952108</v>
      </c>
      <c r="AD157">
        <f t="shared" si="202"/>
        <v>1.4206841561552368</v>
      </c>
      <c r="AE157">
        <f t="shared" si="203"/>
        <v>-274.22415718667958</v>
      </c>
      <c r="AF157">
        <f t="shared" si="204"/>
        <v>36.405441664469009</v>
      </c>
      <c r="AG157">
        <f t="shared" si="205"/>
        <v>2.7772833492696947</v>
      </c>
      <c r="AH157">
        <f t="shared" si="206"/>
        <v>54.523879405087456</v>
      </c>
      <c r="AI157">
        <v>0</v>
      </c>
      <c r="AJ157">
        <v>0</v>
      </c>
      <c r="AK157">
        <f t="shared" si="207"/>
        <v>1</v>
      </c>
      <c r="AL157">
        <f t="shared" si="208"/>
        <v>0</v>
      </c>
      <c r="AM157">
        <f t="shared" si="209"/>
        <v>51940.588958390326</v>
      </c>
      <c r="AN157" t="s">
        <v>418</v>
      </c>
      <c r="AO157">
        <v>10021</v>
      </c>
      <c r="AP157">
        <v>177.53923076923081</v>
      </c>
      <c r="AQ157">
        <v>655.56</v>
      </c>
      <c r="AR157">
        <f t="shared" si="210"/>
        <v>0.72917928066198234</v>
      </c>
      <c r="AS157">
        <v>-3.1115002560329539</v>
      </c>
      <c r="AT157" t="s">
        <v>1133</v>
      </c>
      <c r="AU157">
        <v>8019.96</v>
      </c>
      <c r="AV157">
        <v>776.56115384615373</v>
      </c>
      <c r="AW157">
        <v>837.35784893505297</v>
      </c>
      <c r="AX157">
        <f t="shared" si="211"/>
        <v>7.26053922659472E-2</v>
      </c>
      <c r="AY157">
        <v>0.5</v>
      </c>
      <c r="AZ157">
        <f t="shared" si="212"/>
        <v>1513.1840992632269</v>
      </c>
      <c r="BA157">
        <f t="shared" si="213"/>
        <v>4.4878432388262341</v>
      </c>
      <c r="BB157">
        <f t="shared" si="214"/>
        <v>54.932662548800288</v>
      </c>
      <c r="BC157">
        <f t="shared" si="215"/>
        <v>5.0220878600028421E-3</v>
      </c>
      <c r="BD157">
        <f t="shared" si="216"/>
        <v>-0.2171089088927303</v>
      </c>
      <c r="BE157">
        <f t="shared" si="217"/>
        <v>188.63023410173599</v>
      </c>
      <c r="BF157" t="s">
        <v>1134</v>
      </c>
      <c r="BG157">
        <v>624.80999999999995</v>
      </c>
      <c r="BH157">
        <f t="shared" si="218"/>
        <v>624.80999999999995</v>
      </c>
      <c r="BI157">
        <f t="shared" si="219"/>
        <v>0.25383155983474714</v>
      </c>
      <c r="BJ157">
        <f t="shared" si="220"/>
        <v>0.28603768701266191</v>
      </c>
      <c r="BK157">
        <f t="shared" si="221"/>
        <v>-5.9121251686196103</v>
      </c>
      <c r="BL157">
        <f t="shared" si="222"/>
        <v>9.2141527103165394E-2</v>
      </c>
      <c r="BM157">
        <f t="shared" si="223"/>
        <v>-0.38031370316315349</v>
      </c>
      <c r="BN157">
        <f t="shared" si="224"/>
        <v>0.23014183279349013</v>
      </c>
      <c r="BO157">
        <f t="shared" si="225"/>
        <v>0.7698581672065099</v>
      </c>
      <c r="BP157">
        <v>22747</v>
      </c>
      <c r="BQ157">
        <v>290.00000000000011</v>
      </c>
      <c r="BR157">
        <v>818.03</v>
      </c>
      <c r="BS157">
        <v>175</v>
      </c>
      <c r="BT157">
        <v>8019.96</v>
      </c>
      <c r="BU157">
        <v>817.77</v>
      </c>
      <c r="BV157">
        <v>0.26</v>
      </c>
      <c r="BW157">
        <v>300.00000000000011</v>
      </c>
      <c r="BX157">
        <v>19.399999999999999</v>
      </c>
      <c r="BY157">
        <v>837.35784893505297</v>
      </c>
      <c r="BZ157">
        <v>2.6561057661737988</v>
      </c>
      <c r="CA157">
        <v>-15.70639044558963</v>
      </c>
      <c r="CB157">
        <v>1.9548197134500831</v>
      </c>
      <c r="CC157">
        <v>0.69748177830768565</v>
      </c>
      <c r="CD157">
        <v>-4.1375276974416116E-3</v>
      </c>
      <c r="CE157">
        <v>289.99999999999989</v>
      </c>
      <c r="CF157">
        <v>816.5</v>
      </c>
      <c r="CG157">
        <v>795</v>
      </c>
      <c r="CH157">
        <v>7998.23</v>
      </c>
      <c r="CI157">
        <v>817.72</v>
      </c>
      <c r="CJ157">
        <v>-1.22</v>
      </c>
      <c r="CX157">
        <f t="shared" si="226"/>
        <v>1800</v>
      </c>
      <c r="CY157">
        <f t="shared" si="227"/>
        <v>1513.1840992632269</v>
      </c>
      <c r="CZ157">
        <f t="shared" si="228"/>
        <v>0.84065783292401497</v>
      </c>
      <c r="DA157">
        <f t="shared" si="229"/>
        <v>0.16086961754334908</v>
      </c>
      <c r="DB157">
        <v>6</v>
      </c>
      <c r="DC157">
        <v>0.5</v>
      </c>
      <c r="DD157" t="s">
        <v>421</v>
      </c>
      <c r="DE157">
        <v>2</v>
      </c>
      <c r="DF157">
        <v>1689026180.5999999</v>
      </c>
      <c r="DG157">
        <v>24.422000000000001</v>
      </c>
      <c r="DH157">
        <v>29.988900000000001</v>
      </c>
      <c r="DI157">
        <v>28.546500000000002</v>
      </c>
      <c r="DJ157">
        <v>21.2986</v>
      </c>
      <c r="DK157">
        <v>24.2912</v>
      </c>
      <c r="DL157">
        <v>28.284500000000001</v>
      </c>
      <c r="DM157">
        <v>500.06700000000001</v>
      </c>
      <c r="DN157">
        <v>99.073800000000006</v>
      </c>
      <c r="DO157">
        <v>9.9880099999999999E-2</v>
      </c>
      <c r="DP157">
        <v>30.195900000000002</v>
      </c>
      <c r="DQ157">
        <v>29.964400000000001</v>
      </c>
      <c r="DR157">
        <v>999.9</v>
      </c>
      <c r="DS157">
        <v>0</v>
      </c>
      <c r="DT157">
        <v>0</v>
      </c>
      <c r="DU157">
        <v>10021.200000000001</v>
      </c>
      <c r="DV157">
        <v>0</v>
      </c>
      <c r="DW157">
        <v>1254.04</v>
      </c>
      <c r="DX157">
        <v>-5.5668800000000003</v>
      </c>
      <c r="DY157">
        <v>25.139600000000002</v>
      </c>
      <c r="DZ157">
        <v>30.641500000000001</v>
      </c>
      <c r="EA157">
        <v>7.2479199999999997</v>
      </c>
      <c r="EB157">
        <v>29.988900000000001</v>
      </c>
      <c r="EC157">
        <v>21.2986</v>
      </c>
      <c r="ED157">
        <v>2.82822</v>
      </c>
      <c r="EE157">
        <v>2.1101399999999999</v>
      </c>
      <c r="EF157">
        <v>23.049700000000001</v>
      </c>
      <c r="EG157">
        <v>18.2959</v>
      </c>
      <c r="EH157">
        <v>1800</v>
      </c>
      <c r="EI157">
        <v>0.97801000000000005</v>
      </c>
      <c r="EJ157">
        <v>2.1989999999999999E-2</v>
      </c>
      <c r="EK157">
        <v>0</v>
      </c>
      <c r="EL157">
        <v>776.33199999999999</v>
      </c>
      <c r="EM157">
        <v>5.0011200000000002</v>
      </c>
      <c r="EN157">
        <v>15806.5</v>
      </c>
      <c r="EO157">
        <v>17211</v>
      </c>
      <c r="EP157">
        <v>48.936999999999998</v>
      </c>
      <c r="EQ157">
        <v>49.936999999999998</v>
      </c>
      <c r="ER157">
        <v>49.936999999999998</v>
      </c>
      <c r="ES157">
        <v>48.686999999999998</v>
      </c>
      <c r="ET157">
        <v>49.5</v>
      </c>
      <c r="EU157">
        <v>1755.53</v>
      </c>
      <c r="EV157">
        <v>39.47</v>
      </c>
      <c r="EW157">
        <v>0</v>
      </c>
      <c r="EX157">
        <v>114.7999999523163</v>
      </c>
      <c r="EY157">
        <v>0</v>
      </c>
      <c r="EZ157">
        <v>776.56115384615373</v>
      </c>
      <c r="FA157">
        <v>-3.7595897463602399</v>
      </c>
      <c r="FB157">
        <v>-68.160683636959206</v>
      </c>
      <c r="FC157">
        <v>15813.788461538459</v>
      </c>
      <c r="FD157">
        <v>15</v>
      </c>
      <c r="FE157">
        <v>1689026151.0999999</v>
      </c>
      <c r="FF157" t="s">
        <v>1135</v>
      </c>
      <c r="FG157">
        <v>1689026138.5999999</v>
      </c>
      <c r="FH157">
        <v>1689026151.0999999</v>
      </c>
      <c r="FI157">
        <v>159</v>
      </c>
      <c r="FJ157">
        <v>0.17199999999999999</v>
      </c>
      <c r="FK157">
        <v>1.6E-2</v>
      </c>
      <c r="FL157">
        <v>0.14699999999999999</v>
      </c>
      <c r="FM157">
        <v>0.24099999999999999</v>
      </c>
      <c r="FN157">
        <v>30</v>
      </c>
      <c r="FO157">
        <v>21</v>
      </c>
      <c r="FP157">
        <v>0.38</v>
      </c>
      <c r="FQ157">
        <v>0.01</v>
      </c>
      <c r="FR157">
        <v>4.5217689114877491</v>
      </c>
      <c r="FS157">
        <v>-0.38095743719186281</v>
      </c>
      <c r="FT157">
        <v>3.9433282236233193E-2</v>
      </c>
      <c r="FU157">
        <v>1</v>
      </c>
      <c r="FV157">
        <v>0.45757878506538952</v>
      </c>
      <c r="FW157">
        <v>3.6830772591647097E-2</v>
      </c>
      <c r="FX157">
        <v>5.2903093392291977E-3</v>
      </c>
      <c r="FY157">
        <v>1</v>
      </c>
      <c r="FZ157">
        <v>2</v>
      </c>
      <c r="GA157">
        <v>2</v>
      </c>
      <c r="GB157" t="s">
        <v>423</v>
      </c>
      <c r="GC157">
        <v>2.92456</v>
      </c>
      <c r="GD157">
        <v>2.8273600000000001</v>
      </c>
      <c r="GE157">
        <v>6.3792800000000002E-3</v>
      </c>
      <c r="GF157">
        <v>7.9279499999999996E-3</v>
      </c>
      <c r="GG157">
        <v>0.12609699999999999</v>
      </c>
      <c r="GH157">
        <v>0.10324800000000001</v>
      </c>
      <c r="GI157">
        <v>32377.8</v>
      </c>
      <c r="GJ157">
        <v>26201.4</v>
      </c>
      <c r="GK157">
        <v>31361.4</v>
      </c>
      <c r="GL157">
        <v>26057</v>
      </c>
      <c r="GM157">
        <v>37571.199999999997</v>
      </c>
      <c r="GN157">
        <v>31694.7</v>
      </c>
      <c r="GO157">
        <v>46571.9</v>
      </c>
      <c r="GP157">
        <v>37885.199999999997</v>
      </c>
      <c r="GQ157">
        <v>1.91733</v>
      </c>
      <c r="GR157">
        <v>1.7239500000000001</v>
      </c>
      <c r="GS157">
        <v>-1.44169E-2</v>
      </c>
      <c r="GT157">
        <v>0</v>
      </c>
      <c r="GU157">
        <v>30.199000000000002</v>
      </c>
      <c r="GV157">
        <v>999.9</v>
      </c>
      <c r="GW157">
        <v>35.700000000000003</v>
      </c>
      <c r="GX157">
        <v>44.7</v>
      </c>
      <c r="GY157">
        <v>34.196100000000001</v>
      </c>
      <c r="GZ157">
        <v>62.257300000000001</v>
      </c>
      <c r="HA157">
        <v>19.555299999999999</v>
      </c>
      <c r="HB157">
        <v>1</v>
      </c>
      <c r="HC157">
        <v>0.53770799999999996</v>
      </c>
      <c r="HD157">
        <v>1.6348499999999999</v>
      </c>
      <c r="HE157">
        <v>20.338799999999999</v>
      </c>
      <c r="HF157">
        <v>5.2262700000000004</v>
      </c>
      <c r="HG157">
        <v>12.0603</v>
      </c>
      <c r="HH157">
        <v>4.9930000000000003</v>
      </c>
      <c r="HI157">
        <v>3.2919999999999998</v>
      </c>
      <c r="HJ157">
        <v>9999</v>
      </c>
      <c r="HK157">
        <v>9999</v>
      </c>
      <c r="HL157">
        <v>9999</v>
      </c>
      <c r="HM157">
        <v>468.4</v>
      </c>
      <c r="HN157">
        <v>1.8667400000000001</v>
      </c>
      <c r="HO157">
        <v>1.8702000000000001</v>
      </c>
      <c r="HP157">
        <v>1.8727400000000001</v>
      </c>
      <c r="HQ157">
        <v>1.8736900000000001</v>
      </c>
      <c r="HR157">
        <v>1.87042</v>
      </c>
      <c r="HS157">
        <v>1.86886</v>
      </c>
      <c r="HT157">
        <v>1.8702799999999999</v>
      </c>
      <c r="HU157">
        <v>1.8733</v>
      </c>
      <c r="HV157">
        <v>0</v>
      </c>
      <c r="HW157">
        <v>0</v>
      </c>
      <c r="HX157">
        <v>0</v>
      </c>
      <c r="HY157">
        <v>0</v>
      </c>
      <c r="HZ157" t="s">
        <v>424</v>
      </c>
      <c r="IA157" t="s">
        <v>425</v>
      </c>
      <c r="IB157" t="s">
        <v>426</v>
      </c>
      <c r="IC157" t="s">
        <v>426</v>
      </c>
      <c r="ID157" t="s">
        <v>426</v>
      </c>
      <c r="IE157" t="s">
        <v>426</v>
      </c>
      <c r="IF157">
        <v>0</v>
      </c>
      <c r="IG157">
        <v>100</v>
      </c>
      <c r="IH157">
        <v>100</v>
      </c>
      <c r="II157">
        <v>0.13100000000000001</v>
      </c>
      <c r="IJ157">
        <v>0.26200000000000001</v>
      </c>
      <c r="IK157">
        <v>5.8405084477784759E-2</v>
      </c>
      <c r="IL157">
        <v>3.042515301972944E-3</v>
      </c>
      <c r="IM157">
        <v>-2.5091471490852929E-6</v>
      </c>
      <c r="IN157">
        <v>8.1339755115576286E-10</v>
      </c>
      <c r="IO157">
        <v>0.2620736123898123</v>
      </c>
      <c r="IP157">
        <v>0</v>
      </c>
      <c r="IQ157">
        <v>0</v>
      </c>
      <c r="IR157">
        <v>0</v>
      </c>
      <c r="IS157">
        <v>3</v>
      </c>
      <c r="IT157">
        <v>2004</v>
      </c>
      <c r="IU157">
        <v>2</v>
      </c>
      <c r="IV157">
        <v>22</v>
      </c>
      <c r="IW157">
        <v>0.7</v>
      </c>
      <c r="IX157">
        <v>0.5</v>
      </c>
      <c r="IY157">
        <v>0.21606400000000001</v>
      </c>
      <c r="IZ157">
        <v>2.65259</v>
      </c>
      <c r="JA157">
        <v>1.64917</v>
      </c>
      <c r="JB157">
        <v>2.34009</v>
      </c>
      <c r="JC157">
        <v>1.5991200000000001</v>
      </c>
      <c r="JD157">
        <v>2.2277800000000001</v>
      </c>
      <c r="JE157">
        <v>47.541699999999999</v>
      </c>
      <c r="JF157">
        <v>15.9445</v>
      </c>
      <c r="JG157">
        <v>18</v>
      </c>
      <c r="JH157">
        <v>519.55499999999995</v>
      </c>
      <c r="JI157">
        <v>441.161</v>
      </c>
      <c r="JJ157">
        <v>27.150600000000001</v>
      </c>
      <c r="JK157">
        <v>33.827500000000001</v>
      </c>
      <c r="JL157">
        <v>29.997599999999998</v>
      </c>
      <c r="JM157">
        <v>34.059800000000003</v>
      </c>
      <c r="JN157">
        <v>34.081600000000002</v>
      </c>
      <c r="JO157">
        <v>4.34199</v>
      </c>
      <c r="JP157">
        <v>51.308399999999999</v>
      </c>
      <c r="JQ157">
        <v>0</v>
      </c>
      <c r="JR157">
        <v>27.2746</v>
      </c>
      <c r="JS157">
        <v>30</v>
      </c>
      <c r="JT157">
        <v>21.286300000000001</v>
      </c>
      <c r="JU157">
        <v>99.399199999999993</v>
      </c>
      <c r="JV157">
        <v>99.071899999999999</v>
      </c>
    </row>
    <row r="158" spans="1:282" x14ac:dyDescent="0.25">
      <c r="A158">
        <v>142</v>
      </c>
      <c r="B158">
        <v>1689026316.0999999</v>
      </c>
      <c r="C158">
        <v>26721</v>
      </c>
      <c r="D158" t="s">
        <v>1136</v>
      </c>
      <c r="E158" t="s">
        <v>1137</v>
      </c>
      <c r="F158" t="s">
        <v>414</v>
      </c>
      <c r="G158" t="s">
        <v>415</v>
      </c>
      <c r="H158" t="s">
        <v>31</v>
      </c>
      <c r="I158" t="s">
        <v>500</v>
      </c>
      <c r="J158" t="s">
        <v>501</v>
      </c>
      <c r="K158">
        <v>1689026316.0999999</v>
      </c>
      <c r="L158">
        <f t="shared" si="184"/>
        <v>6.4362805739908348E-3</v>
      </c>
      <c r="M158">
        <f t="shared" si="185"/>
        <v>6.4362805739908344</v>
      </c>
      <c r="N158">
        <f t="shared" si="186"/>
        <v>1.5287585023935786</v>
      </c>
      <c r="O158">
        <f t="shared" si="187"/>
        <v>8.0856499999999993</v>
      </c>
      <c r="P158">
        <f t="shared" si="188"/>
        <v>2.3267995892795672</v>
      </c>
      <c r="Q158">
        <f t="shared" si="189"/>
        <v>0.23075209610865791</v>
      </c>
      <c r="R158">
        <f t="shared" si="190"/>
        <v>0.80186565894944983</v>
      </c>
      <c r="S158">
        <f t="shared" si="191"/>
        <v>0.46697762679766491</v>
      </c>
      <c r="T158">
        <f t="shared" si="192"/>
        <v>2.9113486252556169</v>
      </c>
      <c r="U158">
        <f t="shared" si="193"/>
        <v>0.42900327994948895</v>
      </c>
      <c r="V158">
        <f t="shared" si="194"/>
        <v>0.27128109162115022</v>
      </c>
      <c r="W158">
        <f t="shared" si="195"/>
        <v>289.56052357800462</v>
      </c>
      <c r="X158">
        <f t="shared" si="196"/>
        <v>30.282554707199612</v>
      </c>
      <c r="Y158">
        <f t="shared" si="197"/>
        <v>30.011900000000001</v>
      </c>
      <c r="Z158">
        <f t="shared" si="198"/>
        <v>4.2633627691789329</v>
      </c>
      <c r="AA158">
        <f t="shared" si="199"/>
        <v>65.453708382771111</v>
      </c>
      <c r="AB158">
        <f t="shared" si="200"/>
        <v>2.8287070225002</v>
      </c>
      <c r="AC158">
        <f t="shared" si="201"/>
        <v>4.321690997182337</v>
      </c>
      <c r="AD158">
        <f t="shared" si="202"/>
        <v>1.4346557466787329</v>
      </c>
      <c r="AE158">
        <f t="shared" si="203"/>
        <v>-283.83997331299582</v>
      </c>
      <c r="AF158">
        <f t="shared" si="204"/>
        <v>37.167329293675905</v>
      </c>
      <c r="AG158">
        <f t="shared" si="205"/>
        <v>2.8422774104115267</v>
      </c>
      <c r="AH158">
        <f t="shared" si="206"/>
        <v>45.730156969096257</v>
      </c>
      <c r="AI158">
        <v>0</v>
      </c>
      <c r="AJ158">
        <v>0</v>
      </c>
      <c r="AK158">
        <f t="shared" si="207"/>
        <v>1</v>
      </c>
      <c r="AL158">
        <f t="shared" si="208"/>
        <v>0</v>
      </c>
      <c r="AM158">
        <f t="shared" si="209"/>
        <v>51772.092726285693</v>
      </c>
      <c r="AN158" t="s">
        <v>418</v>
      </c>
      <c r="AO158">
        <v>10021</v>
      </c>
      <c r="AP158">
        <v>177.53923076923081</v>
      </c>
      <c r="AQ158">
        <v>655.56</v>
      </c>
      <c r="AR158">
        <f t="shared" si="210"/>
        <v>0.72917928066198234</v>
      </c>
      <c r="AS158">
        <v>-3.1115002560329539</v>
      </c>
      <c r="AT158" t="s">
        <v>1138</v>
      </c>
      <c r="AU158">
        <v>8019.09</v>
      </c>
      <c r="AV158">
        <v>777.58734615384617</v>
      </c>
      <c r="AW158">
        <v>829.00920335907074</v>
      </c>
      <c r="AX158">
        <f t="shared" si="211"/>
        <v>6.2028089672428011E-2</v>
      </c>
      <c r="AY158">
        <v>0.5</v>
      </c>
      <c r="AZ158">
        <f t="shared" si="212"/>
        <v>1513.1588992632148</v>
      </c>
      <c r="BA158">
        <f t="shared" si="213"/>
        <v>1.5287585023935786</v>
      </c>
      <c r="BB158">
        <f t="shared" si="214"/>
        <v>46.929177946065579</v>
      </c>
      <c r="BC158">
        <f t="shared" si="215"/>
        <v>3.0666037523791856E-3</v>
      </c>
      <c r="BD158">
        <f t="shared" si="216"/>
        <v>-0.20922470179615646</v>
      </c>
      <c r="BE158">
        <f t="shared" si="217"/>
        <v>188.20327717653444</v>
      </c>
      <c r="BF158" t="s">
        <v>1139</v>
      </c>
      <c r="BG158">
        <v>627.16999999999996</v>
      </c>
      <c r="BH158">
        <f t="shared" si="218"/>
        <v>627.16999999999996</v>
      </c>
      <c r="BI158">
        <f t="shared" si="219"/>
        <v>0.24347040122261188</v>
      </c>
      <c r="BJ158">
        <f t="shared" si="220"/>
        <v>0.254766449477832</v>
      </c>
      <c r="BK158">
        <f t="shared" si="221"/>
        <v>-6.109517554035607</v>
      </c>
      <c r="BL158">
        <f t="shared" si="222"/>
        <v>7.8932045019363226E-2</v>
      </c>
      <c r="BM158">
        <f t="shared" si="223"/>
        <v>-0.36284867629953649</v>
      </c>
      <c r="BN158">
        <f t="shared" si="224"/>
        <v>0.20548414902754725</v>
      </c>
      <c r="BO158">
        <f t="shared" si="225"/>
        <v>0.79451585097245281</v>
      </c>
      <c r="BP158">
        <v>22749</v>
      </c>
      <c r="BQ158">
        <v>290.00000000000011</v>
      </c>
      <c r="BR158">
        <v>812.14</v>
      </c>
      <c r="BS158">
        <v>185</v>
      </c>
      <c r="BT158">
        <v>8019.09</v>
      </c>
      <c r="BU158">
        <v>811.24</v>
      </c>
      <c r="BV158">
        <v>0.9</v>
      </c>
      <c r="BW158">
        <v>300.00000000000011</v>
      </c>
      <c r="BX158">
        <v>19.399999999999999</v>
      </c>
      <c r="BY158">
        <v>829.00920335907074</v>
      </c>
      <c r="BZ158">
        <v>2.5863548164241168</v>
      </c>
      <c r="CA158">
        <v>-14.24574642553093</v>
      </c>
      <c r="CB158">
        <v>1.903475252679194</v>
      </c>
      <c r="CC158">
        <v>0.66671165386694398</v>
      </c>
      <c r="CD158">
        <v>-4.1376896551724163E-3</v>
      </c>
      <c r="CE158">
        <v>289.99999999999989</v>
      </c>
      <c r="CF158">
        <v>810.17</v>
      </c>
      <c r="CG158">
        <v>675</v>
      </c>
      <c r="CH158">
        <v>8001.21</v>
      </c>
      <c r="CI158">
        <v>811.2</v>
      </c>
      <c r="CJ158">
        <v>-1.03</v>
      </c>
      <c r="CX158">
        <f t="shared" si="226"/>
        <v>1799.97</v>
      </c>
      <c r="CY158">
        <f t="shared" si="227"/>
        <v>1513.1588992632148</v>
      </c>
      <c r="CZ158">
        <f t="shared" si="228"/>
        <v>0.84065784388807308</v>
      </c>
      <c r="DA158">
        <f t="shared" si="229"/>
        <v>0.16086963870398097</v>
      </c>
      <c r="DB158">
        <v>6</v>
      </c>
      <c r="DC158">
        <v>0.5</v>
      </c>
      <c r="DD158" t="s">
        <v>421</v>
      </c>
      <c r="DE158">
        <v>2</v>
      </c>
      <c r="DF158">
        <v>1689026316.0999999</v>
      </c>
      <c r="DG158">
        <v>8.0856499999999993</v>
      </c>
      <c r="DH158">
        <v>9.9824999999999999</v>
      </c>
      <c r="DI158">
        <v>28.523399999999999</v>
      </c>
      <c r="DJ158">
        <v>21.020600000000002</v>
      </c>
      <c r="DK158">
        <v>7.8302100000000001</v>
      </c>
      <c r="DL158">
        <v>28.265699999999999</v>
      </c>
      <c r="DM158">
        <v>500.029</v>
      </c>
      <c r="DN158">
        <v>99.071299999999994</v>
      </c>
      <c r="DO158">
        <v>0.10015300000000001</v>
      </c>
      <c r="DP158">
        <v>30.248699999999999</v>
      </c>
      <c r="DQ158">
        <v>30.011900000000001</v>
      </c>
      <c r="DR158">
        <v>999.9</v>
      </c>
      <c r="DS158">
        <v>0</v>
      </c>
      <c r="DT158">
        <v>0</v>
      </c>
      <c r="DU158">
        <v>9989.3799999999992</v>
      </c>
      <c r="DV158">
        <v>0</v>
      </c>
      <c r="DW158">
        <v>1235.93</v>
      </c>
      <c r="DX158">
        <v>-1.8968499999999999</v>
      </c>
      <c r="DY158">
        <v>8.3230500000000003</v>
      </c>
      <c r="DZ158">
        <v>10.1968</v>
      </c>
      <c r="EA158">
        <v>7.5028499999999996</v>
      </c>
      <c r="EB158">
        <v>9.9824999999999999</v>
      </c>
      <c r="EC158">
        <v>21.020600000000002</v>
      </c>
      <c r="ED158">
        <v>2.82585</v>
      </c>
      <c r="EE158">
        <v>2.0825300000000002</v>
      </c>
      <c r="EF158">
        <v>23.035900000000002</v>
      </c>
      <c r="EG158">
        <v>18.086200000000002</v>
      </c>
      <c r="EH158">
        <v>1799.97</v>
      </c>
      <c r="EI158">
        <v>0.97801000000000005</v>
      </c>
      <c r="EJ158">
        <v>2.1989999999999999E-2</v>
      </c>
      <c r="EK158">
        <v>0</v>
      </c>
      <c r="EL158">
        <v>777.27599999999995</v>
      </c>
      <c r="EM158">
        <v>5.0011200000000002</v>
      </c>
      <c r="EN158">
        <v>15834.4</v>
      </c>
      <c r="EO158">
        <v>17210.7</v>
      </c>
      <c r="EP158">
        <v>48.875</v>
      </c>
      <c r="EQ158">
        <v>49.936999999999998</v>
      </c>
      <c r="ER158">
        <v>49.875</v>
      </c>
      <c r="ES158">
        <v>48.686999999999998</v>
      </c>
      <c r="ET158">
        <v>49.375</v>
      </c>
      <c r="EU158">
        <v>1755.5</v>
      </c>
      <c r="EV158">
        <v>39.47</v>
      </c>
      <c r="EW158">
        <v>0</v>
      </c>
      <c r="EX158">
        <v>133.79999995231631</v>
      </c>
      <c r="EY158">
        <v>0</v>
      </c>
      <c r="EZ158">
        <v>777.58734615384617</v>
      </c>
      <c r="FA158">
        <v>-1.775145306002893</v>
      </c>
      <c r="FB158">
        <v>5.2923075950662364</v>
      </c>
      <c r="FC158">
        <v>15834.323076923079</v>
      </c>
      <c r="FD158">
        <v>15</v>
      </c>
      <c r="FE158">
        <v>1689026288.0999999</v>
      </c>
      <c r="FF158" t="s">
        <v>1140</v>
      </c>
      <c r="FG158">
        <v>1689026288.0999999</v>
      </c>
      <c r="FH158">
        <v>1689026283.0999999</v>
      </c>
      <c r="FI158">
        <v>160</v>
      </c>
      <c r="FJ158">
        <v>0.17299999999999999</v>
      </c>
      <c r="FK158">
        <v>-4.0000000000000001E-3</v>
      </c>
      <c r="FL158">
        <v>0.26100000000000001</v>
      </c>
      <c r="FM158">
        <v>0.22600000000000001</v>
      </c>
      <c r="FN158">
        <v>10</v>
      </c>
      <c r="FO158">
        <v>21</v>
      </c>
      <c r="FP158">
        <v>0.31</v>
      </c>
      <c r="FQ158">
        <v>0.02</v>
      </c>
      <c r="FR158">
        <v>1.566998524537605</v>
      </c>
      <c r="FS158">
        <v>-0.42027923395746802</v>
      </c>
      <c r="FT158">
        <v>5.1075611943550321E-2</v>
      </c>
      <c r="FU158">
        <v>1</v>
      </c>
      <c r="FV158">
        <v>0.46998438580460999</v>
      </c>
      <c r="FW158">
        <v>4.7948461264257197E-2</v>
      </c>
      <c r="FX158">
        <v>8.7949797393505509E-3</v>
      </c>
      <c r="FY158">
        <v>1</v>
      </c>
      <c r="FZ158">
        <v>2</v>
      </c>
      <c r="GA158">
        <v>2</v>
      </c>
      <c r="GB158" t="s">
        <v>423</v>
      </c>
      <c r="GC158">
        <v>2.9245999999999999</v>
      </c>
      <c r="GD158">
        <v>2.8273600000000001</v>
      </c>
      <c r="GE158">
        <v>2.0573599999999998E-3</v>
      </c>
      <c r="GF158">
        <v>2.6438500000000001E-3</v>
      </c>
      <c r="GG158">
        <v>0.12607599999999999</v>
      </c>
      <c r="GH158">
        <v>0.102324</v>
      </c>
      <c r="GI158">
        <v>32526.6</v>
      </c>
      <c r="GJ158">
        <v>26344.9</v>
      </c>
      <c r="GK158">
        <v>31369</v>
      </c>
      <c r="GL158">
        <v>26060.799999999999</v>
      </c>
      <c r="GM158">
        <v>37581.300000000003</v>
      </c>
      <c r="GN158">
        <v>31732.799999999999</v>
      </c>
      <c r="GO158">
        <v>46583.9</v>
      </c>
      <c r="GP158">
        <v>37892</v>
      </c>
      <c r="GQ158">
        <v>1.9187000000000001</v>
      </c>
      <c r="GR158">
        <v>1.7259</v>
      </c>
      <c r="GS158">
        <v>-1.7318900000000002E-2</v>
      </c>
      <c r="GT158">
        <v>0</v>
      </c>
      <c r="GU158">
        <v>30.293700000000001</v>
      </c>
      <c r="GV158">
        <v>999.9</v>
      </c>
      <c r="GW158">
        <v>35.5</v>
      </c>
      <c r="GX158">
        <v>44.6</v>
      </c>
      <c r="GY158">
        <v>33.830199999999998</v>
      </c>
      <c r="GZ158">
        <v>62.457299999999996</v>
      </c>
      <c r="HA158">
        <v>19.499199999999998</v>
      </c>
      <c r="HB158">
        <v>1</v>
      </c>
      <c r="HC158">
        <v>0.52828799999999998</v>
      </c>
      <c r="HD158">
        <v>2.4420799999999998</v>
      </c>
      <c r="HE158">
        <v>20.3294</v>
      </c>
      <c r="HF158">
        <v>5.2234299999999996</v>
      </c>
      <c r="HG158">
        <v>12.0633</v>
      </c>
      <c r="HH158">
        <v>4.99125</v>
      </c>
      <c r="HI158">
        <v>3.2919999999999998</v>
      </c>
      <c r="HJ158">
        <v>9999</v>
      </c>
      <c r="HK158">
        <v>9999</v>
      </c>
      <c r="HL158">
        <v>9999</v>
      </c>
      <c r="HM158">
        <v>468.4</v>
      </c>
      <c r="HN158">
        <v>1.86673</v>
      </c>
      <c r="HO158">
        <v>1.8702099999999999</v>
      </c>
      <c r="HP158">
        <v>1.87273</v>
      </c>
      <c r="HQ158">
        <v>1.87365</v>
      </c>
      <c r="HR158">
        <v>1.87042</v>
      </c>
      <c r="HS158">
        <v>1.8688400000000001</v>
      </c>
      <c r="HT158">
        <v>1.8702700000000001</v>
      </c>
      <c r="HU158">
        <v>1.8732899999999999</v>
      </c>
      <c r="HV158">
        <v>0</v>
      </c>
      <c r="HW158">
        <v>0</v>
      </c>
      <c r="HX158">
        <v>0</v>
      </c>
      <c r="HY158">
        <v>0</v>
      </c>
      <c r="HZ158" t="s">
        <v>424</v>
      </c>
      <c r="IA158" t="s">
        <v>425</v>
      </c>
      <c r="IB158" t="s">
        <v>426</v>
      </c>
      <c r="IC158" t="s">
        <v>426</v>
      </c>
      <c r="ID158" t="s">
        <v>426</v>
      </c>
      <c r="IE158" t="s">
        <v>426</v>
      </c>
      <c r="IF158">
        <v>0</v>
      </c>
      <c r="IG158">
        <v>100</v>
      </c>
      <c r="IH158">
        <v>100</v>
      </c>
      <c r="II158">
        <v>0.255</v>
      </c>
      <c r="IJ158">
        <v>0.25769999999999998</v>
      </c>
      <c r="IK158">
        <v>0.2317649178873287</v>
      </c>
      <c r="IL158">
        <v>3.042515301972944E-3</v>
      </c>
      <c r="IM158">
        <v>-2.5091471490852929E-6</v>
      </c>
      <c r="IN158">
        <v>8.1339755115576286E-10</v>
      </c>
      <c r="IO158">
        <v>0.25776996349007691</v>
      </c>
      <c r="IP158">
        <v>0</v>
      </c>
      <c r="IQ158">
        <v>0</v>
      </c>
      <c r="IR158">
        <v>0</v>
      </c>
      <c r="IS158">
        <v>3</v>
      </c>
      <c r="IT158">
        <v>2004</v>
      </c>
      <c r="IU158">
        <v>2</v>
      </c>
      <c r="IV158">
        <v>22</v>
      </c>
      <c r="IW158">
        <v>0.5</v>
      </c>
      <c r="IX158">
        <v>0.6</v>
      </c>
      <c r="IY158">
        <v>0.17089799999999999</v>
      </c>
      <c r="IZ158">
        <v>2.6660200000000001</v>
      </c>
      <c r="JA158">
        <v>1.64917</v>
      </c>
      <c r="JB158">
        <v>2.34009</v>
      </c>
      <c r="JC158">
        <v>1.5991200000000001</v>
      </c>
      <c r="JD158">
        <v>2.2460900000000001</v>
      </c>
      <c r="JE158">
        <v>47.541699999999999</v>
      </c>
      <c r="JF158">
        <v>15.927</v>
      </c>
      <c r="JG158">
        <v>18</v>
      </c>
      <c r="JH158">
        <v>519.40099999999995</v>
      </c>
      <c r="JI158">
        <v>441.43400000000003</v>
      </c>
      <c r="JJ158">
        <v>27.308599999999998</v>
      </c>
      <c r="JK158">
        <v>33.703400000000002</v>
      </c>
      <c r="JL158">
        <v>30.0002</v>
      </c>
      <c r="JM158">
        <v>33.921500000000002</v>
      </c>
      <c r="JN158">
        <v>33.941699999999997</v>
      </c>
      <c r="JO158">
        <v>3.45343</v>
      </c>
      <c r="JP158">
        <v>50.628599999999999</v>
      </c>
      <c r="JQ158">
        <v>0</v>
      </c>
      <c r="JR158">
        <v>27.2867</v>
      </c>
      <c r="JS158">
        <v>10</v>
      </c>
      <c r="JT158">
        <v>20.923999999999999</v>
      </c>
      <c r="JU158">
        <v>99.424199999999999</v>
      </c>
      <c r="JV158">
        <v>99.088200000000001</v>
      </c>
    </row>
    <row r="159" spans="1:282" x14ac:dyDescent="0.25">
      <c r="A159">
        <v>143</v>
      </c>
      <c r="B159">
        <v>1689026505.5999999</v>
      </c>
      <c r="C159">
        <v>26910.5</v>
      </c>
      <c r="D159" t="s">
        <v>1141</v>
      </c>
      <c r="E159" t="s">
        <v>1142</v>
      </c>
      <c r="F159" t="s">
        <v>414</v>
      </c>
      <c r="G159" t="s">
        <v>415</v>
      </c>
      <c r="H159" t="s">
        <v>31</v>
      </c>
      <c r="I159" t="s">
        <v>500</v>
      </c>
      <c r="J159" t="s">
        <v>501</v>
      </c>
      <c r="K159">
        <v>1689026505.5999999</v>
      </c>
      <c r="L159">
        <f t="shared" si="184"/>
        <v>5.9835465641980131E-3</v>
      </c>
      <c r="M159">
        <f t="shared" si="185"/>
        <v>5.9835465641980132</v>
      </c>
      <c r="N159">
        <f t="shared" si="186"/>
        <v>46.699741983422058</v>
      </c>
      <c r="O159">
        <f t="shared" si="187"/>
        <v>341.52300000000002</v>
      </c>
      <c r="P159">
        <f t="shared" si="188"/>
        <v>146.59794306114981</v>
      </c>
      <c r="Q159">
        <f t="shared" si="189"/>
        <v>14.536897087065233</v>
      </c>
      <c r="R159">
        <f t="shared" si="190"/>
        <v>33.865991569846805</v>
      </c>
      <c r="S159">
        <f t="shared" si="191"/>
        <v>0.42241515259934825</v>
      </c>
      <c r="T159">
        <f t="shared" si="192"/>
        <v>2.9154530392945208</v>
      </c>
      <c r="U159">
        <f t="shared" si="193"/>
        <v>0.39112277110761273</v>
      </c>
      <c r="V159">
        <f t="shared" si="194"/>
        <v>0.24706977099621236</v>
      </c>
      <c r="W159">
        <f t="shared" si="195"/>
        <v>289.56531157802834</v>
      </c>
      <c r="X159">
        <f t="shared" si="196"/>
        <v>30.457836040814374</v>
      </c>
      <c r="Y159">
        <f t="shared" si="197"/>
        <v>30.028300000000002</v>
      </c>
      <c r="Z159">
        <f t="shared" si="198"/>
        <v>4.2673801636954076</v>
      </c>
      <c r="AA159">
        <f t="shared" si="199"/>
        <v>64.679876539855741</v>
      </c>
      <c r="AB159">
        <f t="shared" si="200"/>
        <v>2.8044606476897198</v>
      </c>
      <c r="AC159">
        <f t="shared" si="201"/>
        <v>4.3359090921603896</v>
      </c>
      <c r="AD159">
        <f t="shared" si="202"/>
        <v>1.4629195160056878</v>
      </c>
      <c r="AE159">
        <f t="shared" si="203"/>
        <v>-263.87440348113239</v>
      </c>
      <c r="AF159">
        <f t="shared" si="204"/>
        <v>43.648304011459622</v>
      </c>
      <c r="AG159">
        <f t="shared" si="205"/>
        <v>3.3344103491589974</v>
      </c>
      <c r="AH159">
        <f t="shared" si="206"/>
        <v>72.673622457514568</v>
      </c>
      <c r="AI159">
        <v>0</v>
      </c>
      <c r="AJ159">
        <v>0</v>
      </c>
      <c r="AK159">
        <f t="shared" si="207"/>
        <v>1</v>
      </c>
      <c r="AL159">
        <f t="shared" si="208"/>
        <v>0</v>
      </c>
      <c r="AM159">
        <f t="shared" si="209"/>
        <v>51878.744373364745</v>
      </c>
      <c r="AN159" t="s">
        <v>418</v>
      </c>
      <c r="AO159">
        <v>10021</v>
      </c>
      <c r="AP159">
        <v>177.53923076923081</v>
      </c>
      <c r="AQ159">
        <v>655.56</v>
      </c>
      <c r="AR159">
        <f t="shared" si="210"/>
        <v>0.72917928066198234</v>
      </c>
      <c r="AS159">
        <v>-3.1115002560329539</v>
      </c>
      <c r="AT159" t="s">
        <v>1143</v>
      </c>
      <c r="AU159">
        <v>8014.99</v>
      </c>
      <c r="AV159">
        <v>726.97738461538449</v>
      </c>
      <c r="AW159">
        <v>1095.7172645340841</v>
      </c>
      <c r="AX159">
        <f t="shared" si="211"/>
        <v>0.33652831059068278</v>
      </c>
      <c r="AY159">
        <v>0.5</v>
      </c>
      <c r="AZ159">
        <f t="shared" si="212"/>
        <v>1513.1840992632269</v>
      </c>
      <c r="BA159">
        <f t="shared" si="213"/>
        <v>46.699741983422058</v>
      </c>
      <c r="BB159">
        <f t="shared" si="214"/>
        <v>254.61464426886889</v>
      </c>
      <c r="BC159">
        <f t="shared" si="215"/>
        <v>3.2918163932404675E-2</v>
      </c>
      <c r="BD159">
        <f t="shared" si="216"/>
        <v>-0.40170697202735578</v>
      </c>
      <c r="BE159">
        <f t="shared" si="217"/>
        <v>199.21157139669282</v>
      </c>
      <c r="BF159" t="s">
        <v>1144</v>
      </c>
      <c r="BG159">
        <v>570.28</v>
      </c>
      <c r="BH159">
        <f t="shared" si="218"/>
        <v>570.28</v>
      </c>
      <c r="BI159">
        <f t="shared" si="219"/>
        <v>0.47953726891170978</v>
      </c>
      <c r="BJ159">
        <f t="shared" si="220"/>
        <v>0.70177717647352</v>
      </c>
      <c r="BK159">
        <f t="shared" si="221"/>
        <v>-5.1613187679887931</v>
      </c>
      <c r="BL159">
        <f t="shared" si="222"/>
        <v>0.40159954427001071</v>
      </c>
      <c r="BM159">
        <f t="shared" si="223"/>
        <v>-0.92079108872692927</v>
      </c>
      <c r="BN159">
        <f t="shared" si="224"/>
        <v>0.55051160692028167</v>
      </c>
      <c r="BO159">
        <f t="shared" si="225"/>
        <v>0.44948839307971833</v>
      </c>
      <c r="BP159">
        <v>22751</v>
      </c>
      <c r="BQ159">
        <v>290.00000000000011</v>
      </c>
      <c r="BR159">
        <v>932.4</v>
      </c>
      <c r="BS159">
        <v>255</v>
      </c>
      <c r="BT159">
        <v>8014.99</v>
      </c>
      <c r="BU159">
        <v>934.8</v>
      </c>
      <c r="BV159">
        <v>-2.4</v>
      </c>
      <c r="BW159">
        <v>300.00000000000011</v>
      </c>
      <c r="BX159">
        <v>19.399999999999999</v>
      </c>
      <c r="BY159">
        <v>1095.7172645340841</v>
      </c>
      <c r="BZ159">
        <v>3.5456244713685878</v>
      </c>
      <c r="CA159">
        <v>-128.97157636491141</v>
      </c>
      <c r="CB159">
        <v>2.6098209651818238</v>
      </c>
      <c r="CC159">
        <v>0.98866450760477653</v>
      </c>
      <c r="CD159">
        <v>-4.1385223581757481E-3</v>
      </c>
      <c r="CE159">
        <v>289.99999999999989</v>
      </c>
      <c r="CF159">
        <v>917.66</v>
      </c>
      <c r="CG159">
        <v>625</v>
      </c>
      <c r="CH159">
        <v>8003.88</v>
      </c>
      <c r="CI159">
        <v>934.58</v>
      </c>
      <c r="CJ159">
        <v>-16.920000000000002</v>
      </c>
      <c r="CX159">
        <f t="shared" si="226"/>
        <v>1800</v>
      </c>
      <c r="CY159">
        <f t="shared" si="227"/>
        <v>1513.1840992632269</v>
      </c>
      <c r="CZ159">
        <f t="shared" si="228"/>
        <v>0.84065783292401497</v>
      </c>
      <c r="DA159">
        <f t="shared" si="229"/>
        <v>0.16086961754334908</v>
      </c>
      <c r="DB159">
        <v>6</v>
      </c>
      <c r="DC159">
        <v>0.5</v>
      </c>
      <c r="DD159" t="s">
        <v>421</v>
      </c>
      <c r="DE159">
        <v>2</v>
      </c>
      <c r="DF159">
        <v>1689026505.5999999</v>
      </c>
      <c r="DG159">
        <v>341.52300000000002</v>
      </c>
      <c r="DH159">
        <v>400.01</v>
      </c>
      <c r="DI159">
        <v>28.281700000000001</v>
      </c>
      <c r="DJ159">
        <v>21.305099999999999</v>
      </c>
      <c r="DK159">
        <v>340.57299999999998</v>
      </c>
      <c r="DL159">
        <v>28.016400000000001</v>
      </c>
      <c r="DM159">
        <v>500.04199999999997</v>
      </c>
      <c r="DN159">
        <v>99.061899999999994</v>
      </c>
      <c r="DO159">
        <v>9.9771600000000002E-2</v>
      </c>
      <c r="DP159">
        <v>30.306000000000001</v>
      </c>
      <c r="DQ159">
        <v>30.028300000000002</v>
      </c>
      <c r="DR159">
        <v>999.9</v>
      </c>
      <c r="DS159">
        <v>0</v>
      </c>
      <c r="DT159">
        <v>0</v>
      </c>
      <c r="DU159">
        <v>10013.799999999999</v>
      </c>
      <c r="DV159">
        <v>0</v>
      </c>
      <c r="DW159">
        <v>1220.49</v>
      </c>
      <c r="DX159">
        <v>-58.487099999999998</v>
      </c>
      <c r="DY159">
        <v>351.46300000000002</v>
      </c>
      <c r="DZ159">
        <v>408.71699999999998</v>
      </c>
      <c r="EA159">
        <v>6.9765899999999998</v>
      </c>
      <c r="EB159">
        <v>400.01</v>
      </c>
      <c r="EC159">
        <v>21.305099999999999</v>
      </c>
      <c r="ED159">
        <v>2.8016399999999999</v>
      </c>
      <c r="EE159">
        <v>2.1105200000000002</v>
      </c>
      <c r="EF159">
        <v>22.893699999999999</v>
      </c>
      <c r="EG159">
        <v>18.2988</v>
      </c>
      <c r="EH159">
        <v>1800</v>
      </c>
      <c r="EI159">
        <v>0.97801000000000005</v>
      </c>
      <c r="EJ159">
        <v>2.1989999999999999E-2</v>
      </c>
      <c r="EK159">
        <v>0</v>
      </c>
      <c r="EL159">
        <v>726.56500000000005</v>
      </c>
      <c r="EM159">
        <v>5.0011200000000002</v>
      </c>
      <c r="EN159">
        <v>14889.4</v>
      </c>
      <c r="EO159">
        <v>17211</v>
      </c>
      <c r="EP159">
        <v>48.936999999999998</v>
      </c>
      <c r="EQ159">
        <v>49.875</v>
      </c>
      <c r="ER159">
        <v>49.875</v>
      </c>
      <c r="ES159">
        <v>48.686999999999998</v>
      </c>
      <c r="ET159">
        <v>49.436999999999998</v>
      </c>
      <c r="EU159">
        <v>1755.53</v>
      </c>
      <c r="EV159">
        <v>39.47</v>
      </c>
      <c r="EW159">
        <v>0</v>
      </c>
      <c r="EX159">
        <v>187.79999995231631</v>
      </c>
      <c r="EY159">
        <v>0</v>
      </c>
      <c r="EZ159">
        <v>726.97738461538449</v>
      </c>
      <c r="FA159">
        <v>-5.0601025538452493</v>
      </c>
      <c r="FB159">
        <v>-67.685470284264298</v>
      </c>
      <c r="FC159">
        <v>14899.561538461539</v>
      </c>
      <c r="FD159">
        <v>15</v>
      </c>
      <c r="FE159">
        <v>1689026392.5999999</v>
      </c>
      <c r="FF159" t="s">
        <v>1145</v>
      </c>
      <c r="FG159">
        <v>1689026390.5999999</v>
      </c>
      <c r="FH159">
        <v>1689026392.5999999</v>
      </c>
      <c r="FI159">
        <v>161</v>
      </c>
      <c r="FJ159">
        <v>-5.8999999999999997E-2</v>
      </c>
      <c r="FK159">
        <v>8.0000000000000002E-3</v>
      </c>
      <c r="FL159">
        <v>1.0389999999999999</v>
      </c>
      <c r="FM159">
        <v>0.23499999999999999</v>
      </c>
      <c r="FN159">
        <v>400</v>
      </c>
      <c r="FO159">
        <v>21</v>
      </c>
      <c r="FP159">
        <v>0.08</v>
      </c>
      <c r="FQ159">
        <v>0.02</v>
      </c>
      <c r="FR159">
        <v>46.24426001931063</v>
      </c>
      <c r="FS159">
        <v>2.8975302570110379</v>
      </c>
      <c r="FT159">
        <v>0.21302828491905859</v>
      </c>
      <c r="FU159">
        <v>0</v>
      </c>
      <c r="FV159">
        <v>0.42441883744063308</v>
      </c>
      <c r="FW159">
        <v>-1.1378018101301429E-2</v>
      </c>
      <c r="FX159">
        <v>8.3845241704709559E-4</v>
      </c>
      <c r="FY159">
        <v>1</v>
      </c>
      <c r="FZ159">
        <v>1</v>
      </c>
      <c r="GA159">
        <v>2</v>
      </c>
      <c r="GB159" t="s">
        <v>462</v>
      </c>
      <c r="GC159">
        <v>2.9248099999999999</v>
      </c>
      <c r="GD159">
        <v>2.8271899999999999</v>
      </c>
      <c r="GE159">
        <v>7.7456300000000006E-2</v>
      </c>
      <c r="GF159">
        <v>8.8102600000000003E-2</v>
      </c>
      <c r="GG159">
        <v>0.12534000000000001</v>
      </c>
      <c r="GH159">
        <v>0.10333199999999999</v>
      </c>
      <c r="GI159">
        <v>30080.5</v>
      </c>
      <c r="GJ159">
        <v>24096.2</v>
      </c>
      <c r="GK159">
        <v>31377.3</v>
      </c>
      <c r="GL159">
        <v>26066.1</v>
      </c>
      <c r="GM159">
        <v>37623.5</v>
      </c>
      <c r="GN159">
        <v>31703.9</v>
      </c>
      <c r="GO159">
        <v>46596.1</v>
      </c>
      <c r="GP159">
        <v>37899</v>
      </c>
      <c r="GQ159">
        <v>1.92075</v>
      </c>
      <c r="GR159">
        <v>1.73085</v>
      </c>
      <c r="GS159">
        <v>-7.0780499999999998E-3</v>
      </c>
      <c r="GT159">
        <v>0</v>
      </c>
      <c r="GU159">
        <v>30.1435</v>
      </c>
      <c r="GV159">
        <v>999.9</v>
      </c>
      <c r="GW159">
        <v>35.1</v>
      </c>
      <c r="GX159">
        <v>44.5</v>
      </c>
      <c r="GY159">
        <v>33.2759</v>
      </c>
      <c r="GZ159">
        <v>62.0974</v>
      </c>
      <c r="HA159">
        <v>19.142600000000002</v>
      </c>
      <c r="HB159">
        <v>1</v>
      </c>
      <c r="HC159">
        <v>0.51474600000000004</v>
      </c>
      <c r="HD159">
        <v>2.2218300000000002</v>
      </c>
      <c r="HE159">
        <v>20.331299999999999</v>
      </c>
      <c r="HF159">
        <v>5.2249299999999996</v>
      </c>
      <c r="HG159">
        <v>12.061199999999999</v>
      </c>
      <c r="HH159">
        <v>4.9928999999999997</v>
      </c>
      <c r="HI159">
        <v>3.2919999999999998</v>
      </c>
      <c r="HJ159">
        <v>9999</v>
      </c>
      <c r="HK159">
        <v>9999</v>
      </c>
      <c r="HL159">
        <v>9999</v>
      </c>
      <c r="HM159">
        <v>468.5</v>
      </c>
      <c r="HN159">
        <v>1.8667400000000001</v>
      </c>
      <c r="HO159">
        <v>1.87019</v>
      </c>
      <c r="HP159">
        <v>1.8727199999999999</v>
      </c>
      <c r="HQ159">
        <v>1.87365</v>
      </c>
      <c r="HR159">
        <v>1.87042</v>
      </c>
      <c r="HS159">
        <v>1.8688100000000001</v>
      </c>
      <c r="HT159">
        <v>1.8702700000000001</v>
      </c>
      <c r="HU159">
        <v>1.8732500000000001</v>
      </c>
      <c r="HV159">
        <v>0</v>
      </c>
      <c r="HW159">
        <v>0</v>
      </c>
      <c r="HX159">
        <v>0</v>
      </c>
      <c r="HY159">
        <v>0</v>
      </c>
      <c r="HZ159" t="s">
        <v>424</v>
      </c>
      <c r="IA159" t="s">
        <v>425</v>
      </c>
      <c r="IB159" t="s">
        <v>426</v>
      </c>
      <c r="IC159" t="s">
        <v>426</v>
      </c>
      <c r="ID159" t="s">
        <v>426</v>
      </c>
      <c r="IE159" t="s">
        <v>426</v>
      </c>
      <c r="IF159">
        <v>0</v>
      </c>
      <c r="IG159">
        <v>100</v>
      </c>
      <c r="IH159">
        <v>100</v>
      </c>
      <c r="II159">
        <v>0.95</v>
      </c>
      <c r="IJ159">
        <v>0.26529999999999998</v>
      </c>
      <c r="IK159">
        <v>0.1724041245820874</v>
      </c>
      <c r="IL159">
        <v>3.042515301972944E-3</v>
      </c>
      <c r="IM159">
        <v>-2.5091471490852929E-6</v>
      </c>
      <c r="IN159">
        <v>8.1339755115576286E-10</v>
      </c>
      <c r="IO159">
        <v>0.2653217442817058</v>
      </c>
      <c r="IP159">
        <v>0</v>
      </c>
      <c r="IQ159">
        <v>0</v>
      </c>
      <c r="IR159">
        <v>0</v>
      </c>
      <c r="IS159">
        <v>3</v>
      </c>
      <c r="IT159">
        <v>2004</v>
      </c>
      <c r="IU159">
        <v>2</v>
      </c>
      <c r="IV159">
        <v>22</v>
      </c>
      <c r="IW159">
        <v>1.9</v>
      </c>
      <c r="IX159">
        <v>1.9</v>
      </c>
      <c r="IY159">
        <v>1.0424800000000001</v>
      </c>
      <c r="IZ159">
        <v>2.6135299999999999</v>
      </c>
      <c r="JA159">
        <v>1.64917</v>
      </c>
      <c r="JB159">
        <v>2.34009</v>
      </c>
      <c r="JC159">
        <v>1.5991200000000001</v>
      </c>
      <c r="JD159">
        <v>2.3571800000000001</v>
      </c>
      <c r="JE159">
        <v>47.301900000000003</v>
      </c>
      <c r="JF159">
        <v>15.900700000000001</v>
      </c>
      <c r="JG159">
        <v>18</v>
      </c>
      <c r="JH159">
        <v>519.45000000000005</v>
      </c>
      <c r="JI159">
        <v>443.46699999999998</v>
      </c>
      <c r="JJ159">
        <v>27.450600000000001</v>
      </c>
      <c r="JK159">
        <v>33.551000000000002</v>
      </c>
      <c r="JL159">
        <v>29.999700000000001</v>
      </c>
      <c r="JM159">
        <v>33.752099999999999</v>
      </c>
      <c r="JN159">
        <v>33.773000000000003</v>
      </c>
      <c r="JO159">
        <v>20.866700000000002</v>
      </c>
      <c r="JP159">
        <v>47.698300000000003</v>
      </c>
      <c r="JQ159">
        <v>0</v>
      </c>
      <c r="JR159">
        <v>27.437799999999999</v>
      </c>
      <c r="JS159">
        <v>400</v>
      </c>
      <c r="JT159">
        <v>21.441800000000001</v>
      </c>
      <c r="JU159">
        <v>99.450299999999999</v>
      </c>
      <c r="JV159">
        <v>99.107299999999995</v>
      </c>
    </row>
    <row r="160" spans="1:282" x14ac:dyDescent="0.25">
      <c r="A160">
        <v>144</v>
      </c>
      <c r="B160">
        <v>1689026611.5999999</v>
      </c>
      <c r="C160">
        <v>27016.5</v>
      </c>
      <c r="D160" t="s">
        <v>1146</v>
      </c>
      <c r="E160" t="s">
        <v>1147</v>
      </c>
      <c r="F160" t="s">
        <v>414</v>
      </c>
      <c r="G160" t="s">
        <v>415</v>
      </c>
      <c r="H160" t="s">
        <v>31</v>
      </c>
      <c r="I160" t="s">
        <v>500</v>
      </c>
      <c r="J160" t="s">
        <v>501</v>
      </c>
      <c r="K160">
        <v>1689026611.5999999</v>
      </c>
      <c r="L160">
        <f t="shared" si="184"/>
        <v>5.7870796554725743E-3</v>
      </c>
      <c r="M160">
        <f t="shared" si="185"/>
        <v>5.7870796554725743</v>
      </c>
      <c r="N160">
        <f t="shared" si="186"/>
        <v>49.65646300282058</v>
      </c>
      <c r="O160">
        <f t="shared" si="187"/>
        <v>338.14600000000002</v>
      </c>
      <c r="P160">
        <f t="shared" si="188"/>
        <v>129.82592754382856</v>
      </c>
      <c r="Q160">
        <f t="shared" si="189"/>
        <v>12.873543765822765</v>
      </c>
      <c r="R160">
        <f t="shared" si="190"/>
        <v>33.5305698375874</v>
      </c>
      <c r="S160">
        <f t="shared" si="191"/>
        <v>0.41838734042899894</v>
      </c>
      <c r="T160">
        <f t="shared" si="192"/>
        <v>2.9160711814376636</v>
      </c>
      <c r="U160">
        <f t="shared" si="193"/>
        <v>0.38767161935458283</v>
      </c>
      <c r="V160">
        <f t="shared" si="194"/>
        <v>0.24486626666358952</v>
      </c>
      <c r="W160">
        <f t="shared" si="195"/>
        <v>289.53500027545653</v>
      </c>
      <c r="X160">
        <f t="shared" si="196"/>
        <v>30.389040322722654</v>
      </c>
      <c r="Y160">
        <f t="shared" si="197"/>
        <v>29.953299999999999</v>
      </c>
      <c r="Z160">
        <f t="shared" si="198"/>
        <v>4.2490348498207151</v>
      </c>
      <c r="AA160">
        <f t="shared" si="199"/>
        <v>65.522970060581514</v>
      </c>
      <c r="AB160">
        <f t="shared" si="200"/>
        <v>2.8215691019784299</v>
      </c>
      <c r="AC160">
        <f t="shared" si="201"/>
        <v>4.3062289443986614</v>
      </c>
      <c r="AD160">
        <f t="shared" si="202"/>
        <v>1.4274657478422852</v>
      </c>
      <c r="AE160">
        <f t="shared" si="203"/>
        <v>-255.21021280634054</v>
      </c>
      <c r="AF160">
        <f t="shared" si="204"/>
        <v>36.614495358391245</v>
      </c>
      <c r="AG160">
        <f t="shared" si="205"/>
        <v>2.793791399092783</v>
      </c>
      <c r="AH160">
        <f t="shared" si="206"/>
        <v>73.733074226600053</v>
      </c>
      <c r="AI160">
        <v>0</v>
      </c>
      <c r="AJ160">
        <v>0</v>
      </c>
      <c r="AK160">
        <f t="shared" si="207"/>
        <v>1</v>
      </c>
      <c r="AL160">
        <f t="shared" si="208"/>
        <v>0</v>
      </c>
      <c r="AM160">
        <f t="shared" si="209"/>
        <v>51916.790133693707</v>
      </c>
      <c r="AN160" t="s">
        <v>418</v>
      </c>
      <c r="AO160">
        <v>10021</v>
      </c>
      <c r="AP160">
        <v>177.53923076923081</v>
      </c>
      <c r="AQ160">
        <v>655.56</v>
      </c>
      <c r="AR160">
        <f t="shared" si="210"/>
        <v>0.72917928066198234</v>
      </c>
      <c r="AS160">
        <v>-3.1115002560329539</v>
      </c>
      <c r="AT160" t="s">
        <v>1148</v>
      </c>
      <c r="AU160">
        <v>8013.5</v>
      </c>
      <c r="AV160">
        <v>728.76850000000013</v>
      </c>
      <c r="AW160">
        <v>1059.327140777151</v>
      </c>
      <c r="AX160">
        <f t="shared" si="211"/>
        <v>0.31204585255376749</v>
      </c>
      <c r="AY160">
        <v>0.5</v>
      </c>
      <c r="AZ160">
        <f t="shared" si="212"/>
        <v>1513.0245058422051</v>
      </c>
      <c r="BA160">
        <f t="shared" si="213"/>
        <v>49.65646300282058</v>
      </c>
      <c r="BB160">
        <f t="shared" si="214"/>
        <v>236.06651093013684</v>
      </c>
      <c r="BC160">
        <f t="shared" si="215"/>
        <v>3.4875815332205039E-2</v>
      </c>
      <c r="BD160">
        <f t="shared" si="216"/>
        <v>-0.38115434338908433</v>
      </c>
      <c r="BE160">
        <f t="shared" si="217"/>
        <v>197.97511135570846</v>
      </c>
      <c r="BF160" t="s">
        <v>1149</v>
      </c>
      <c r="BG160">
        <v>571.20000000000005</v>
      </c>
      <c r="BH160">
        <f t="shared" si="218"/>
        <v>571.20000000000005</v>
      </c>
      <c r="BI160">
        <f t="shared" si="219"/>
        <v>0.46078979947502119</v>
      </c>
      <c r="BJ160">
        <f t="shared" si="220"/>
        <v>0.67719783057108018</v>
      </c>
      <c r="BK160">
        <f t="shared" si="221"/>
        <v>-4.7862392221094305</v>
      </c>
      <c r="BL160">
        <f t="shared" si="222"/>
        <v>0.37487318325126712</v>
      </c>
      <c r="BM160">
        <f t="shared" si="223"/>
        <v>-0.84466443043237027</v>
      </c>
      <c r="BN160">
        <f t="shared" si="224"/>
        <v>0.53077952850898602</v>
      </c>
      <c r="BO160">
        <f t="shared" si="225"/>
        <v>0.46922047149101398</v>
      </c>
      <c r="BP160">
        <v>22753</v>
      </c>
      <c r="BQ160">
        <v>290.00000000000011</v>
      </c>
      <c r="BR160">
        <v>941.64</v>
      </c>
      <c r="BS160">
        <v>295</v>
      </c>
      <c r="BT160">
        <v>8013.5</v>
      </c>
      <c r="BU160">
        <v>942.78</v>
      </c>
      <c r="BV160">
        <v>-1.1399999999999999</v>
      </c>
      <c r="BW160">
        <v>300.00000000000011</v>
      </c>
      <c r="BX160">
        <v>19.399999999999999</v>
      </c>
      <c r="BY160">
        <v>1059.327140777151</v>
      </c>
      <c r="BZ160">
        <v>4.0205474130162324</v>
      </c>
      <c r="CA160">
        <v>-93.393938052215688</v>
      </c>
      <c r="CB160">
        <v>2.9595606263268248</v>
      </c>
      <c r="CC160">
        <v>0.97265156822278498</v>
      </c>
      <c r="CD160">
        <v>-4.1385581757508363E-3</v>
      </c>
      <c r="CE160">
        <v>289.99999999999989</v>
      </c>
      <c r="CF160">
        <v>936.46</v>
      </c>
      <c r="CG160">
        <v>635</v>
      </c>
      <c r="CH160">
        <v>8004.02</v>
      </c>
      <c r="CI160">
        <v>942.64</v>
      </c>
      <c r="CJ160">
        <v>-6.18</v>
      </c>
      <c r="CX160">
        <f t="shared" si="226"/>
        <v>1799.81</v>
      </c>
      <c r="CY160">
        <f t="shared" si="227"/>
        <v>1513.0245058422051</v>
      </c>
      <c r="CZ160">
        <f t="shared" si="228"/>
        <v>0.84065790602463886</v>
      </c>
      <c r="DA160">
        <f t="shared" si="229"/>
        <v>0.16086975862755321</v>
      </c>
      <c r="DB160">
        <v>6</v>
      </c>
      <c r="DC160">
        <v>0.5</v>
      </c>
      <c r="DD160" t="s">
        <v>421</v>
      </c>
      <c r="DE160">
        <v>2</v>
      </c>
      <c r="DF160">
        <v>1689026611.5999999</v>
      </c>
      <c r="DG160">
        <v>338.14600000000002</v>
      </c>
      <c r="DH160">
        <v>400.08300000000003</v>
      </c>
      <c r="DI160">
        <v>28.454699999999999</v>
      </c>
      <c r="DJ160">
        <v>21.707699999999999</v>
      </c>
      <c r="DK160">
        <v>337.21199999999999</v>
      </c>
      <c r="DL160">
        <v>28.192799999999998</v>
      </c>
      <c r="DM160">
        <v>499.99200000000002</v>
      </c>
      <c r="DN160">
        <v>99.060299999999998</v>
      </c>
      <c r="DO160">
        <v>9.9736900000000003E-2</v>
      </c>
      <c r="DP160">
        <v>30.186199999999999</v>
      </c>
      <c r="DQ160">
        <v>29.953299999999999</v>
      </c>
      <c r="DR160">
        <v>999.9</v>
      </c>
      <c r="DS160">
        <v>0</v>
      </c>
      <c r="DT160">
        <v>0</v>
      </c>
      <c r="DU160">
        <v>10017.5</v>
      </c>
      <c r="DV160">
        <v>0</v>
      </c>
      <c r="DW160">
        <v>1214.1099999999999</v>
      </c>
      <c r="DX160">
        <v>-61.937100000000001</v>
      </c>
      <c r="DY160">
        <v>348.04899999999998</v>
      </c>
      <c r="DZ160">
        <v>408.96</v>
      </c>
      <c r="EA160">
        <v>6.7469799999999998</v>
      </c>
      <c r="EB160">
        <v>400.08300000000003</v>
      </c>
      <c r="EC160">
        <v>21.707699999999999</v>
      </c>
      <c r="ED160">
        <v>2.81873</v>
      </c>
      <c r="EE160">
        <v>2.1503700000000001</v>
      </c>
      <c r="EF160">
        <v>22.994199999999999</v>
      </c>
      <c r="EG160">
        <v>18.597300000000001</v>
      </c>
      <c r="EH160">
        <v>1799.81</v>
      </c>
      <c r="EI160">
        <v>0.97800600000000004</v>
      </c>
      <c r="EJ160">
        <v>2.1993700000000001E-2</v>
      </c>
      <c r="EK160">
        <v>0</v>
      </c>
      <c r="EL160">
        <v>729.34699999999998</v>
      </c>
      <c r="EM160">
        <v>5.0011200000000002</v>
      </c>
      <c r="EN160">
        <v>14950.5</v>
      </c>
      <c r="EO160">
        <v>17209.099999999999</v>
      </c>
      <c r="EP160">
        <v>48.875</v>
      </c>
      <c r="EQ160">
        <v>49.875</v>
      </c>
      <c r="ER160">
        <v>49.875</v>
      </c>
      <c r="ES160">
        <v>48.561999999999998</v>
      </c>
      <c r="ET160">
        <v>49.5</v>
      </c>
      <c r="EU160">
        <v>1755.33</v>
      </c>
      <c r="EV160">
        <v>39.47</v>
      </c>
      <c r="EW160">
        <v>0</v>
      </c>
      <c r="EX160">
        <v>103.7999999523163</v>
      </c>
      <c r="EY160">
        <v>0</v>
      </c>
      <c r="EZ160">
        <v>728.76850000000013</v>
      </c>
      <c r="FA160">
        <v>3.6060512899146149</v>
      </c>
      <c r="FB160">
        <v>23.008547001141419</v>
      </c>
      <c r="FC160">
        <v>14949.815384615389</v>
      </c>
      <c r="FD160">
        <v>15</v>
      </c>
      <c r="FE160">
        <v>1689026582.0999999</v>
      </c>
      <c r="FF160" t="s">
        <v>1150</v>
      </c>
      <c r="FG160">
        <v>1689026575.0999999</v>
      </c>
      <c r="FH160">
        <v>1689026582.0999999</v>
      </c>
      <c r="FI160">
        <v>162</v>
      </c>
      <c r="FJ160">
        <v>-0.01</v>
      </c>
      <c r="FK160">
        <v>-4.0000000000000001E-3</v>
      </c>
      <c r="FL160">
        <v>1.028</v>
      </c>
      <c r="FM160">
        <v>0.252</v>
      </c>
      <c r="FN160">
        <v>400</v>
      </c>
      <c r="FO160">
        <v>22</v>
      </c>
      <c r="FP160">
        <v>0.04</v>
      </c>
      <c r="FQ160">
        <v>0.02</v>
      </c>
      <c r="FR160">
        <v>49.536264128918113</v>
      </c>
      <c r="FS160">
        <v>-0.34985120532861352</v>
      </c>
      <c r="FT160">
        <v>4.8679565177816457E-2</v>
      </c>
      <c r="FU160">
        <v>1</v>
      </c>
      <c r="FV160">
        <v>0.42143940479210013</v>
      </c>
      <c r="FW160">
        <v>-9.0888223218188492E-3</v>
      </c>
      <c r="FX160">
        <v>1.630692133741476E-3</v>
      </c>
      <c r="FY160">
        <v>1</v>
      </c>
      <c r="FZ160">
        <v>2</v>
      </c>
      <c r="GA160">
        <v>2</v>
      </c>
      <c r="GB160" t="s">
        <v>423</v>
      </c>
      <c r="GC160">
        <v>2.92475</v>
      </c>
      <c r="GD160">
        <v>2.8271799999999998</v>
      </c>
      <c r="GE160">
        <v>7.6857700000000001E-2</v>
      </c>
      <c r="GF160">
        <v>8.8135000000000005E-2</v>
      </c>
      <c r="GG160">
        <v>0.12590599999999999</v>
      </c>
      <c r="GH160">
        <v>0.104724</v>
      </c>
      <c r="GI160">
        <v>30104.6</v>
      </c>
      <c r="GJ160">
        <v>24096.7</v>
      </c>
      <c r="GK160">
        <v>31381.9</v>
      </c>
      <c r="GL160">
        <v>26067.200000000001</v>
      </c>
      <c r="GM160">
        <v>37604.800000000003</v>
      </c>
      <c r="GN160">
        <v>31655.8</v>
      </c>
      <c r="GO160">
        <v>46603.4</v>
      </c>
      <c r="GP160">
        <v>37900.6</v>
      </c>
      <c r="GQ160">
        <v>1.9211</v>
      </c>
      <c r="GR160">
        <v>1.7329000000000001</v>
      </c>
      <c r="GS160">
        <v>-1.41561E-2</v>
      </c>
      <c r="GT160">
        <v>0</v>
      </c>
      <c r="GU160">
        <v>30.183700000000002</v>
      </c>
      <c r="GV160">
        <v>999.9</v>
      </c>
      <c r="GW160">
        <v>34.9</v>
      </c>
      <c r="GX160">
        <v>44.4</v>
      </c>
      <c r="GY160">
        <v>32.9208</v>
      </c>
      <c r="GZ160">
        <v>62.147399999999998</v>
      </c>
      <c r="HA160">
        <v>19.571300000000001</v>
      </c>
      <c r="HB160">
        <v>1</v>
      </c>
      <c r="HC160">
        <v>0.50799000000000005</v>
      </c>
      <c r="HD160">
        <v>2.0702099999999999</v>
      </c>
      <c r="HE160">
        <v>20.334299999999999</v>
      </c>
      <c r="HF160">
        <v>5.2259799999999998</v>
      </c>
      <c r="HG160">
        <v>12.060600000000001</v>
      </c>
      <c r="HH160">
        <v>4.9928999999999997</v>
      </c>
      <c r="HI160">
        <v>3.2919999999999998</v>
      </c>
      <c r="HJ160">
        <v>9999</v>
      </c>
      <c r="HK160">
        <v>9999</v>
      </c>
      <c r="HL160">
        <v>9999</v>
      </c>
      <c r="HM160">
        <v>468.5</v>
      </c>
      <c r="HN160">
        <v>1.8667400000000001</v>
      </c>
      <c r="HO160">
        <v>1.87018</v>
      </c>
      <c r="HP160">
        <v>1.8727199999999999</v>
      </c>
      <c r="HQ160">
        <v>1.8736600000000001</v>
      </c>
      <c r="HR160">
        <v>1.87042</v>
      </c>
      <c r="HS160">
        <v>1.86883</v>
      </c>
      <c r="HT160">
        <v>1.8702700000000001</v>
      </c>
      <c r="HU160">
        <v>1.87323</v>
      </c>
      <c r="HV160">
        <v>0</v>
      </c>
      <c r="HW160">
        <v>0</v>
      </c>
      <c r="HX160">
        <v>0</v>
      </c>
      <c r="HY160">
        <v>0</v>
      </c>
      <c r="HZ160" t="s">
        <v>424</v>
      </c>
      <c r="IA160" t="s">
        <v>425</v>
      </c>
      <c r="IB160" t="s">
        <v>426</v>
      </c>
      <c r="IC160" t="s">
        <v>426</v>
      </c>
      <c r="ID160" t="s">
        <v>426</v>
      </c>
      <c r="IE160" t="s">
        <v>426</v>
      </c>
      <c r="IF160">
        <v>0</v>
      </c>
      <c r="IG160">
        <v>100</v>
      </c>
      <c r="IH160">
        <v>100</v>
      </c>
      <c r="II160">
        <v>0.93400000000000005</v>
      </c>
      <c r="IJ160">
        <v>0.26190000000000002</v>
      </c>
      <c r="IK160">
        <v>0.16185849673608449</v>
      </c>
      <c r="IL160">
        <v>3.042515301972944E-3</v>
      </c>
      <c r="IM160">
        <v>-2.5091471490852929E-6</v>
      </c>
      <c r="IN160">
        <v>8.1339755115576286E-10</v>
      </c>
      <c r="IO160">
        <v>0.26182131420946192</v>
      </c>
      <c r="IP160">
        <v>0</v>
      </c>
      <c r="IQ160">
        <v>0</v>
      </c>
      <c r="IR160">
        <v>0</v>
      </c>
      <c r="IS160">
        <v>3</v>
      </c>
      <c r="IT160">
        <v>2004</v>
      </c>
      <c r="IU160">
        <v>2</v>
      </c>
      <c r="IV160">
        <v>22</v>
      </c>
      <c r="IW160">
        <v>0.6</v>
      </c>
      <c r="IX160">
        <v>0.5</v>
      </c>
      <c r="IY160">
        <v>1.0424800000000001</v>
      </c>
      <c r="IZ160">
        <v>2.6196299999999999</v>
      </c>
      <c r="JA160">
        <v>1.64917</v>
      </c>
      <c r="JB160">
        <v>2.34009</v>
      </c>
      <c r="JC160">
        <v>1.5991200000000001</v>
      </c>
      <c r="JD160">
        <v>2.2644000000000002</v>
      </c>
      <c r="JE160">
        <v>47.182499999999997</v>
      </c>
      <c r="JF160">
        <v>15.874499999999999</v>
      </c>
      <c r="JG160">
        <v>18</v>
      </c>
      <c r="JH160">
        <v>519.09100000000001</v>
      </c>
      <c r="JI160">
        <v>444.226</v>
      </c>
      <c r="JJ160">
        <v>27.3764</v>
      </c>
      <c r="JK160">
        <v>33.481499999999997</v>
      </c>
      <c r="JL160">
        <v>30</v>
      </c>
      <c r="JM160">
        <v>33.675800000000002</v>
      </c>
      <c r="JN160">
        <v>33.691899999999997</v>
      </c>
      <c r="JO160">
        <v>20.8779</v>
      </c>
      <c r="JP160">
        <v>46.371200000000002</v>
      </c>
      <c r="JQ160">
        <v>0</v>
      </c>
      <c r="JR160">
        <v>27.3797</v>
      </c>
      <c r="JS160">
        <v>400</v>
      </c>
      <c r="JT160">
        <v>21.667000000000002</v>
      </c>
      <c r="JU160">
        <v>99.465500000000006</v>
      </c>
      <c r="JV160">
        <v>99.111699999999999</v>
      </c>
    </row>
    <row r="161" spans="1:282" x14ac:dyDescent="0.25">
      <c r="A161">
        <v>145</v>
      </c>
      <c r="B161">
        <v>1689026730.5999999</v>
      </c>
      <c r="C161">
        <v>27135.5</v>
      </c>
      <c r="D161" t="s">
        <v>1151</v>
      </c>
      <c r="E161" t="s">
        <v>1152</v>
      </c>
      <c r="F161" t="s">
        <v>414</v>
      </c>
      <c r="G161" t="s">
        <v>415</v>
      </c>
      <c r="H161" t="s">
        <v>31</v>
      </c>
      <c r="I161" t="s">
        <v>500</v>
      </c>
      <c r="J161" t="s">
        <v>501</v>
      </c>
      <c r="K161">
        <v>1689026730.5999999</v>
      </c>
      <c r="L161">
        <f t="shared" si="184"/>
        <v>5.6149651885444669E-3</v>
      </c>
      <c r="M161">
        <f t="shared" si="185"/>
        <v>5.6149651885444669</v>
      </c>
      <c r="N161">
        <f t="shared" si="186"/>
        <v>49.556844545910451</v>
      </c>
      <c r="O161">
        <f t="shared" si="187"/>
        <v>338.22899999999998</v>
      </c>
      <c r="P161">
        <f t="shared" si="188"/>
        <v>122.2666326615622</v>
      </c>
      <c r="Q161">
        <f t="shared" si="189"/>
        <v>12.123381976134405</v>
      </c>
      <c r="R161">
        <f t="shared" si="190"/>
        <v>33.537190590307802</v>
      </c>
      <c r="S161">
        <f t="shared" si="191"/>
        <v>0.40130316133360294</v>
      </c>
      <c r="T161">
        <f t="shared" si="192"/>
        <v>2.9120496185221469</v>
      </c>
      <c r="U161">
        <f t="shared" si="193"/>
        <v>0.37291741840878412</v>
      </c>
      <c r="V161">
        <f t="shared" si="194"/>
        <v>0.23545619843877197</v>
      </c>
      <c r="W161">
        <f t="shared" si="195"/>
        <v>289.55471857761273</v>
      </c>
      <c r="X161">
        <f t="shared" si="196"/>
        <v>30.478321205584418</v>
      </c>
      <c r="Y161">
        <f t="shared" si="197"/>
        <v>30.0015</v>
      </c>
      <c r="Z161">
        <f t="shared" si="198"/>
        <v>4.2608168613183315</v>
      </c>
      <c r="AA161">
        <f t="shared" si="199"/>
        <v>65.348497028810982</v>
      </c>
      <c r="AB161">
        <f t="shared" si="200"/>
        <v>2.8211659753464002</v>
      </c>
      <c r="AC161">
        <f t="shared" si="201"/>
        <v>4.317109197021928</v>
      </c>
      <c r="AD161">
        <f t="shared" si="202"/>
        <v>1.4396508859719312</v>
      </c>
      <c r="AE161">
        <f t="shared" si="203"/>
        <v>-247.619964814811</v>
      </c>
      <c r="AF161">
        <f t="shared" si="204"/>
        <v>35.904623633022268</v>
      </c>
      <c r="AG161">
        <f t="shared" si="205"/>
        <v>2.7446616652584224</v>
      </c>
      <c r="AH161">
        <f t="shared" si="206"/>
        <v>80.584039061082436</v>
      </c>
      <c r="AI161">
        <v>0</v>
      </c>
      <c r="AJ161">
        <v>0</v>
      </c>
      <c r="AK161">
        <f t="shared" si="207"/>
        <v>1</v>
      </c>
      <c r="AL161">
        <f t="shared" si="208"/>
        <v>0</v>
      </c>
      <c r="AM161">
        <f t="shared" si="209"/>
        <v>51794.828341313121</v>
      </c>
      <c r="AN161" t="s">
        <v>418</v>
      </c>
      <c r="AO161">
        <v>10021</v>
      </c>
      <c r="AP161">
        <v>177.53923076923081</v>
      </c>
      <c r="AQ161">
        <v>655.56</v>
      </c>
      <c r="AR161">
        <f t="shared" si="210"/>
        <v>0.72917928066198234</v>
      </c>
      <c r="AS161">
        <v>-3.1115002560329539</v>
      </c>
      <c r="AT161" t="s">
        <v>1153</v>
      </c>
      <c r="AU161">
        <v>8014.06</v>
      </c>
      <c r="AV161">
        <v>731.34161538461535</v>
      </c>
      <c r="AW161">
        <v>1078.7160106404219</v>
      </c>
      <c r="AX161">
        <f t="shared" si="211"/>
        <v>0.3220258083029417</v>
      </c>
      <c r="AY161">
        <v>0.5</v>
      </c>
      <c r="AZ161">
        <f t="shared" si="212"/>
        <v>1513.1255992630117</v>
      </c>
      <c r="BA161">
        <f t="shared" si="213"/>
        <v>49.556844545910451</v>
      </c>
      <c r="BB161">
        <f t="shared" si="214"/>
        <v>243.63274708327219</v>
      </c>
      <c r="BC161">
        <f t="shared" si="215"/>
        <v>3.4807649032966091E-2</v>
      </c>
      <c r="BD161">
        <f t="shared" si="216"/>
        <v>-0.3922774914494862</v>
      </c>
      <c r="BE161">
        <f t="shared" si="217"/>
        <v>198.64237546792231</v>
      </c>
      <c r="BF161" t="s">
        <v>1154</v>
      </c>
      <c r="BG161">
        <v>572.21</v>
      </c>
      <c r="BH161">
        <f t="shared" si="218"/>
        <v>572.21</v>
      </c>
      <c r="BI161">
        <f t="shared" si="219"/>
        <v>0.46954527942874857</v>
      </c>
      <c r="BJ161">
        <f t="shared" si="220"/>
        <v>0.68582482331569838</v>
      </c>
      <c r="BK161">
        <f t="shared" si="221"/>
        <v>-5.076856756333803</v>
      </c>
      <c r="BL161">
        <f t="shared" si="222"/>
        <v>0.38546753868365119</v>
      </c>
      <c r="BM161">
        <f t="shared" si="223"/>
        <v>-0.88522515731139573</v>
      </c>
      <c r="BN161">
        <f t="shared" si="224"/>
        <v>0.5365971440625491</v>
      </c>
      <c r="BO161">
        <f t="shared" si="225"/>
        <v>0.4634028559374509</v>
      </c>
      <c r="BP161">
        <v>22755</v>
      </c>
      <c r="BQ161">
        <v>290.00000000000011</v>
      </c>
      <c r="BR161">
        <v>952.31</v>
      </c>
      <c r="BS161">
        <v>295</v>
      </c>
      <c r="BT161">
        <v>8014.06</v>
      </c>
      <c r="BU161">
        <v>953.97</v>
      </c>
      <c r="BV161">
        <v>-1.66</v>
      </c>
      <c r="BW161">
        <v>300.00000000000011</v>
      </c>
      <c r="BX161">
        <v>19.399999999999999</v>
      </c>
      <c r="BY161">
        <v>1078.7160106404219</v>
      </c>
      <c r="BZ161">
        <v>2.5561464658174868</v>
      </c>
      <c r="CA161">
        <v>-99.968259233199248</v>
      </c>
      <c r="CB161">
        <v>1.881746288088022</v>
      </c>
      <c r="CC161">
        <v>0.99017644908188274</v>
      </c>
      <c r="CD161">
        <v>-4.138835595105677E-3</v>
      </c>
      <c r="CE161">
        <v>289.99999999999989</v>
      </c>
      <c r="CF161">
        <v>946.28</v>
      </c>
      <c r="CG161">
        <v>655</v>
      </c>
      <c r="CH161">
        <v>8003.98</v>
      </c>
      <c r="CI161">
        <v>953.82</v>
      </c>
      <c r="CJ161">
        <v>-7.54</v>
      </c>
      <c r="CX161">
        <f t="shared" si="226"/>
        <v>1799.93</v>
      </c>
      <c r="CY161">
        <f t="shared" si="227"/>
        <v>1513.1255992630117</v>
      </c>
      <c r="CZ161">
        <f t="shared" si="228"/>
        <v>0.8406580251804302</v>
      </c>
      <c r="DA161">
        <f t="shared" si="229"/>
        <v>0.16086998859823035</v>
      </c>
      <c r="DB161">
        <v>6</v>
      </c>
      <c r="DC161">
        <v>0.5</v>
      </c>
      <c r="DD161" t="s">
        <v>421</v>
      </c>
      <c r="DE161">
        <v>2</v>
      </c>
      <c r="DF161">
        <v>1689026730.5999999</v>
      </c>
      <c r="DG161">
        <v>338.22899999999998</v>
      </c>
      <c r="DH161">
        <v>399.971</v>
      </c>
      <c r="DI161">
        <v>28.452000000000002</v>
      </c>
      <c r="DJ161">
        <v>21.906300000000002</v>
      </c>
      <c r="DK161">
        <v>337.25599999999997</v>
      </c>
      <c r="DL161">
        <v>28.191800000000001</v>
      </c>
      <c r="DM161">
        <v>500.04199999999997</v>
      </c>
      <c r="DN161">
        <v>99.055300000000003</v>
      </c>
      <c r="DO161">
        <v>9.9978200000000003E-2</v>
      </c>
      <c r="DP161">
        <v>30.2302</v>
      </c>
      <c r="DQ161">
        <v>30.0015</v>
      </c>
      <c r="DR161">
        <v>999.9</v>
      </c>
      <c r="DS161">
        <v>0</v>
      </c>
      <c r="DT161">
        <v>0</v>
      </c>
      <c r="DU161">
        <v>9995</v>
      </c>
      <c r="DV161">
        <v>0</v>
      </c>
      <c r="DW161">
        <v>1176.6400000000001</v>
      </c>
      <c r="DX161">
        <v>-61.742899999999999</v>
      </c>
      <c r="DY161">
        <v>348.13400000000001</v>
      </c>
      <c r="DZ161">
        <v>408.93</v>
      </c>
      <c r="EA161">
        <v>6.5457200000000002</v>
      </c>
      <c r="EB161">
        <v>399.971</v>
      </c>
      <c r="EC161">
        <v>21.906300000000002</v>
      </c>
      <c r="ED161">
        <v>2.8183199999999999</v>
      </c>
      <c r="EE161">
        <v>2.1699299999999999</v>
      </c>
      <c r="EF161">
        <v>22.991800000000001</v>
      </c>
      <c r="EG161">
        <v>18.742100000000001</v>
      </c>
      <c r="EH161">
        <v>1799.93</v>
      </c>
      <c r="EI161">
        <v>0.97800600000000004</v>
      </c>
      <c r="EJ161">
        <v>2.1993700000000001E-2</v>
      </c>
      <c r="EK161">
        <v>0</v>
      </c>
      <c r="EL161">
        <v>731.97299999999996</v>
      </c>
      <c r="EM161">
        <v>5.0011200000000002</v>
      </c>
      <c r="EN161">
        <v>15010.3</v>
      </c>
      <c r="EO161">
        <v>17210.3</v>
      </c>
      <c r="EP161">
        <v>48.686999999999998</v>
      </c>
      <c r="EQ161">
        <v>49.75</v>
      </c>
      <c r="ER161">
        <v>49.686999999999998</v>
      </c>
      <c r="ES161">
        <v>48.436999999999998</v>
      </c>
      <c r="ET161">
        <v>49</v>
      </c>
      <c r="EU161">
        <v>1755.45</v>
      </c>
      <c r="EV161">
        <v>39.479999999999997</v>
      </c>
      <c r="EW161">
        <v>0</v>
      </c>
      <c r="EX161">
        <v>117</v>
      </c>
      <c r="EY161">
        <v>0</v>
      </c>
      <c r="EZ161">
        <v>731.34161538461535</v>
      </c>
      <c r="FA161">
        <v>3.394803430610124</v>
      </c>
      <c r="FB161">
        <v>22.60170923479378</v>
      </c>
      <c r="FC161">
        <v>15000.857692307691</v>
      </c>
      <c r="FD161">
        <v>15</v>
      </c>
      <c r="FE161">
        <v>1689026698.5999999</v>
      </c>
      <c r="FF161" t="s">
        <v>1155</v>
      </c>
      <c r="FG161">
        <v>1689026691.0999999</v>
      </c>
      <c r="FH161">
        <v>1689026698.5999999</v>
      </c>
      <c r="FI161">
        <v>163</v>
      </c>
      <c r="FJ161">
        <v>3.7999999999999999E-2</v>
      </c>
      <c r="FK161">
        <v>-2E-3</v>
      </c>
      <c r="FL161">
        <v>1.0660000000000001</v>
      </c>
      <c r="FM161">
        <v>0.252</v>
      </c>
      <c r="FN161">
        <v>400</v>
      </c>
      <c r="FO161">
        <v>22</v>
      </c>
      <c r="FP161">
        <v>0.04</v>
      </c>
      <c r="FQ161">
        <v>0.03</v>
      </c>
      <c r="FR161">
        <v>49.52415101240279</v>
      </c>
      <c r="FS161">
        <v>-0.41324073222142937</v>
      </c>
      <c r="FT161">
        <v>6.3820421025729476E-2</v>
      </c>
      <c r="FU161">
        <v>1</v>
      </c>
      <c r="FV161">
        <v>0.40443387136249631</v>
      </c>
      <c r="FW161">
        <v>6.4923164200850203E-3</v>
      </c>
      <c r="FX161">
        <v>3.4077777163567802E-3</v>
      </c>
      <c r="FY161">
        <v>1</v>
      </c>
      <c r="FZ161">
        <v>2</v>
      </c>
      <c r="GA161">
        <v>2</v>
      </c>
      <c r="GB161" t="s">
        <v>423</v>
      </c>
      <c r="GC161">
        <v>2.9249800000000001</v>
      </c>
      <c r="GD161">
        <v>2.8272300000000001</v>
      </c>
      <c r="GE161">
        <v>7.6880599999999993E-2</v>
      </c>
      <c r="GF161">
        <v>8.8134100000000007E-2</v>
      </c>
      <c r="GG161">
        <v>0.12592300000000001</v>
      </c>
      <c r="GH161">
        <v>0.105417</v>
      </c>
      <c r="GI161">
        <v>30107.8</v>
      </c>
      <c r="GJ161">
        <v>24101.200000000001</v>
      </c>
      <c r="GK161">
        <v>31385.8</v>
      </c>
      <c r="GL161">
        <v>26071.7</v>
      </c>
      <c r="GM161">
        <v>37608.9</v>
      </c>
      <c r="GN161">
        <v>31636.400000000001</v>
      </c>
      <c r="GO161">
        <v>46609.8</v>
      </c>
      <c r="GP161">
        <v>37906.9</v>
      </c>
      <c r="GQ161">
        <v>1.9220200000000001</v>
      </c>
      <c r="GR161">
        <v>1.7357499999999999</v>
      </c>
      <c r="GS161">
        <v>-7.2456899999999999E-3</v>
      </c>
      <c r="GT161">
        <v>0</v>
      </c>
      <c r="GU161">
        <v>30.119399999999999</v>
      </c>
      <c r="GV161">
        <v>999.9</v>
      </c>
      <c r="GW161">
        <v>34.799999999999997</v>
      </c>
      <c r="GX161">
        <v>44.2</v>
      </c>
      <c r="GY161">
        <v>32.49</v>
      </c>
      <c r="GZ161">
        <v>62.427399999999999</v>
      </c>
      <c r="HA161">
        <v>19.2468</v>
      </c>
      <c r="HB161">
        <v>1</v>
      </c>
      <c r="HC161">
        <v>0.50176600000000005</v>
      </c>
      <c r="HD161">
        <v>2.4677899999999999</v>
      </c>
      <c r="HE161">
        <v>20.329000000000001</v>
      </c>
      <c r="HF161">
        <v>5.2261300000000004</v>
      </c>
      <c r="HG161">
        <v>12.0625</v>
      </c>
      <c r="HH161">
        <v>4.9930000000000003</v>
      </c>
      <c r="HI161">
        <v>3.2919999999999998</v>
      </c>
      <c r="HJ161">
        <v>9999</v>
      </c>
      <c r="HK161">
        <v>9999</v>
      </c>
      <c r="HL161">
        <v>9999</v>
      </c>
      <c r="HM161">
        <v>468.5</v>
      </c>
      <c r="HN161">
        <v>1.8666100000000001</v>
      </c>
      <c r="HO161">
        <v>1.8701399999999999</v>
      </c>
      <c r="HP161">
        <v>1.8727100000000001</v>
      </c>
      <c r="HQ161">
        <v>1.8736299999999999</v>
      </c>
      <c r="HR161">
        <v>1.87042</v>
      </c>
      <c r="HS161">
        <v>1.8687400000000001</v>
      </c>
      <c r="HT161">
        <v>1.87026</v>
      </c>
      <c r="HU161">
        <v>1.8731800000000001</v>
      </c>
      <c r="HV161">
        <v>0</v>
      </c>
      <c r="HW161">
        <v>0</v>
      </c>
      <c r="HX161">
        <v>0</v>
      </c>
      <c r="HY161">
        <v>0</v>
      </c>
      <c r="HZ161" t="s">
        <v>424</v>
      </c>
      <c r="IA161" t="s">
        <v>425</v>
      </c>
      <c r="IB161" t="s">
        <v>426</v>
      </c>
      <c r="IC161" t="s">
        <v>426</v>
      </c>
      <c r="ID161" t="s">
        <v>426</v>
      </c>
      <c r="IE161" t="s">
        <v>426</v>
      </c>
      <c r="IF161">
        <v>0</v>
      </c>
      <c r="IG161">
        <v>100</v>
      </c>
      <c r="IH161">
        <v>100</v>
      </c>
      <c r="II161">
        <v>0.97299999999999998</v>
      </c>
      <c r="IJ161">
        <v>0.26019999999999999</v>
      </c>
      <c r="IK161">
        <v>0.20044675004998949</v>
      </c>
      <c r="IL161">
        <v>3.042515301972944E-3</v>
      </c>
      <c r="IM161">
        <v>-2.5091471490852929E-6</v>
      </c>
      <c r="IN161">
        <v>8.1339755115576286E-10</v>
      </c>
      <c r="IO161">
        <v>0.26019876674882991</v>
      </c>
      <c r="IP161">
        <v>0</v>
      </c>
      <c r="IQ161">
        <v>0</v>
      </c>
      <c r="IR161">
        <v>0</v>
      </c>
      <c r="IS161">
        <v>3</v>
      </c>
      <c r="IT161">
        <v>2004</v>
      </c>
      <c r="IU161">
        <v>2</v>
      </c>
      <c r="IV161">
        <v>22</v>
      </c>
      <c r="IW161">
        <v>0.7</v>
      </c>
      <c r="IX161">
        <v>0.5</v>
      </c>
      <c r="IY161">
        <v>1.0424800000000001</v>
      </c>
      <c r="IZ161">
        <v>2.6171899999999999</v>
      </c>
      <c r="JA161">
        <v>1.64917</v>
      </c>
      <c r="JB161">
        <v>2.33887</v>
      </c>
      <c r="JC161">
        <v>1.5991200000000001</v>
      </c>
      <c r="JD161">
        <v>2.3034699999999999</v>
      </c>
      <c r="JE161">
        <v>46.8264</v>
      </c>
      <c r="JF161">
        <v>15.8569</v>
      </c>
      <c r="JG161">
        <v>18</v>
      </c>
      <c r="JH161">
        <v>518.98599999999999</v>
      </c>
      <c r="JI161">
        <v>445.42099999999999</v>
      </c>
      <c r="JJ161">
        <v>27.138300000000001</v>
      </c>
      <c r="JK161">
        <v>33.392400000000002</v>
      </c>
      <c r="JL161">
        <v>29.9998</v>
      </c>
      <c r="JM161">
        <v>33.583300000000001</v>
      </c>
      <c r="JN161">
        <v>33.598399999999998</v>
      </c>
      <c r="JO161">
        <v>20.884799999999998</v>
      </c>
      <c r="JP161">
        <v>44.544499999999999</v>
      </c>
      <c r="JQ161">
        <v>0</v>
      </c>
      <c r="JR161">
        <v>27.1449</v>
      </c>
      <c r="JS161">
        <v>400</v>
      </c>
      <c r="JT161">
        <v>21.9756</v>
      </c>
      <c r="JU161">
        <v>99.478700000000003</v>
      </c>
      <c r="JV161">
        <v>99.128299999999996</v>
      </c>
    </row>
    <row r="162" spans="1:282" x14ac:dyDescent="0.25">
      <c r="A162">
        <v>146</v>
      </c>
      <c r="B162">
        <v>1689026856.5999999</v>
      </c>
      <c r="C162">
        <v>27261.5</v>
      </c>
      <c r="D162" t="s">
        <v>1156</v>
      </c>
      <c r="E162" t="s">
        <v>1157</v>
      </c>
      <c r="F162" t="s">
        <v>414</v>
      </c>
      <c r="G162" t="s">
        <v>415</v>
      </c>
      <c r="H162" t="s">
        <v>31</v>
      </c>
      <c r="I162" t="s">
        <v>500</v>
      </c>
      <c r="J162" t="s">
        <v>501</v>
      </c>
      <c r="K162">
        <v>1689026856.5999999</v>
      </c>
      <c r="L162">
        <f t="shared" si="184"/>
        <v>5.6429363279489296E-3</v>
      </c>
      <c r="M162">
        <f t="shared" si="185"/>
        <v>5.64293632794893</v>
      </c>
      <c r="N162">
        <f t="shared" si="186"/>
        <v>53.707517006611816</v>
      </c>
      <c r="O162">
        <f t="shared" si="187"/>
        <v>432.70600000000002</v>
      </c>
      <c r="P162">
        <f t="shared" si="188"/>
        <v>196.83047555798774</v>
      </c>
      <c r="Q162">
        <f t="shared" si="189"/>
        <v>19.516931865777135</v>
      </c>
      <c r="R162">
        <f t="shared" si="190"/>
        <v>42.905416429911405</v>
      </c>
      <c r="S162">
        <f t="shared" si="191"/>
        <v>0.40086531299587919</v>
      </c>
      <c r="T162">
        <f t="shared" si="192"/>
        <v>2.914022365626169</v>
      </c>
      <c r="U162">
        <f t="shared" si="193"/>
        <v>0.37255685939316957</v>
      </c>
      <c r="V162">
        <f t="shared" si="194"/>
        <v>0.23522463494977627</v>
      </c>
      <c r="W162">
        <f t="shared" si="195"/>
        <v>289.59142657779449</v>
      </c>
      <c r="X162">
        <f t="shared" si="196"/>
        <v>30.459090262861483</v>
      </c>
      <c r="Y162">
        <f t="shared" si="197"/>
        <v>30.022099999999998</v>
      </c>
      <c r="Z162">
        <f t="shared" si="198"/>
        <v>4.265861004910465</v>
      </c>
      <c r="AA162">
        <f t="shared" si="199"/>
        <v>65.311705183689909</v>
      </c>
      <c r="AB162">
        <f t="shared" si="200"/>
        <v>2.8176380599197799</v>
      </c>
      <c r="AC162">
        <f t="shared" si="201"/>
        <v>4.3141394823410923</v>
      </c>
      <c r="AD162">
        <f t="shared" si="202"/>
        <v>1.4482229449906852</v>
      </c>
      <c r="AE162">
        <f t="shared" si="203"/>
        <v>-248.85349206254779</v>
      </c>
      <c r="AF162">
        <f t="shared" si="204"/>
        <v>30.807461737402818</v>
      </c>
      <c r="AG162">
        <f t="shared" si="205"/>
        <v>2.3535244359622811</v>
      </c>
      <c r="AH162">
        <f t="shared" si="206"/>
        <v>73.898920688611824</v>
      </c>
      <c r="AI162">
        <v>0</v>
      </c>
      <c r="AJ162">
        <v>0</v>
      </c>
      <c r="AK162">
        <f t="shared" si="207"/>
        <v>1</v>
      </c>
      <c r="AL162">
        <f t="shared" si="208"/>
        <v>0</v>
      </c>
      <c r="AM162">
        <f t="shared" si="209"/>
        <v>51852.964020555708</v>
      </c>
      <c r="AN162" t="s">
        <v>418</v>
      </c>
      <c r="AO162">
        <v>10021</v>
      </c>
      <c r="AP162">
        <v>177.53923076923081</v>
      </c>
      <c r="AQ162">
        <v>655.56</v>
      </c>
      <c r="AR162">
        <f t="shared" si="210"/>
        <v>0.72917928066198234</v>
      </c>
      <c r="AS162">
        <v>-3.1115002560329539</v>
      </c>
      <c r="AT162" t="s">
        <v>1158</v>
      </c>
      <c r="AU162">
        <v>8014.12</v>
      </c>
      <c r="AV162">
        <v>745.14311538461538</v>
      </c>
      <c r="AW162">
        <v>1140.3443774492309</v>
      </c>
      <c r="AX162">
        <f t="shared" si="211"/>
        <v>0.34656308206527742</v>
      </c>
      <c r="AY162">
        <v>0.5</v>
      </c>
      <c r="AZ162">
        <f t="shared" si="212"/>
        <v>1513.3187992631063</v>
      </c>
      <c r="BA162">
        <f t="shared" si="213"/>
        <v>53.707517006611816</v>
      </c>
      <c r="BB162">
        <f t="shared" si="214"/>
        <v>262.23021360997348</v>
      </c>
      <c r="BC162">
        <f t="shared" si="215"/>
        <v>3.7545966712573819E-2</v>
      </c>
      <c r="BD162">
        <f t="shared" si="216"/>
        <v>-0.42512103101136567</v>
      </c>
      <c r="BE162">
        <f t="shared" si="217"/>
        <v>200.63913169854439</v>
      </c>
      <c r="BF162" t="s">
        <v>1159</v>
      </c>
      <c r="BG162">
        <v>576.79</v>
      </c>
      <c r="BH162">
        <f t="shared" si="218"/>
        <v>576.79</v>
      </c>
      <c r="BI162">
        <f t="shared" si="219"/>
        <v>0.49419665549613401</v>
      </c>
      <c r="BJ162">
        <f t="shared" si="220"/>
        <v>0.70126553510839884</v>
      </c>
      <c r="BK162">
        <f t="shared" si="221"/>
        <v>-6.1544290649896043</v>
      </c>
      <c r="BL162">
        <f t="shared" si="222"/>
        <v>0.41046858071684722</v>
      </c>
      <c r="BM162">
        <f t="shared" si="223"/>
        <v>-1.0141491932020985</v>
      </c>
      <c r="BN162">
        <f t="shared" si="224"/>
        <v>0.54282585404603001</v>
      </c>
      <c r="BO162">
        <f t="shared" si="225"/>
        <v>0.45717414595396999</v>
      </c>
      <c r="BP162">
        <v>22757</v>
      </c>
      <c r="BQ162">
        <v>290.00000000000011</v>
      </c>
      <c r="BR162">
        <v>998.59</v>
      </c>
      <c r="BS162">
        <v>295</v>
      </c>
      <c r="BT162">
        <v>8014.12</v>
      </c>
      <c r="BU162">
        <v>1000.31</v>
      </c>
      <c r="BV162">
        <v>-1.72</v>
      </c>
      <c r="BW162">
        <v>300.00000000000011</v>
      </c>
      <c r="BX162">
        <v>19.399999999999999</v>
      </c>
      <c r="BY162">
        <v>1140.3443774492309</v>
      </c>
      <c r="BZ162">
        <v>4.0762486678670076</v>
      </c>
      <c r="CA162">
        <v>-112.22688921564981</v>
      </c>
      <c r="CB162">
        <v>3.0007978831127402</v>
      </c>
      <c r="CC162">
        <v>0.98037410360807742</v>
      </c>
      <c r="CD162">
        <v>-4.1388789766407122E-3</v>
      </c>
      <c r="CE162">
        <v>289.99999999999989</v>
      </c>
      <c r="CF162">
        <v>991.47</v>
      </c>
      <c r="CG162">
        <v>635</v>
      </c>
      <c r="CH162">
        <v>8004.66</v>
      </c>
      <c r="CI162">
        <v>1000.14</v>
      </c>
      <c r="CJ162">
        <v>-8.67</v>
      </c>
      <c r="CX162">
        <f t="shared" si="226"/>
        <v>1800.16</v>
      </c>
      <c r="CY162">
        <f t="shared" si="227"/>
        <v>1513.3187992631063</v>
      </c>
      <c r="CZ162">
        <f t="shared" si="228"/>
        <v>0.84065794110696057</v>
      </c>
      <c r="DA162">
        <f t="shared" si="229"/>
        <v>0.16086982633643371</v>
      </c>
      <c r="DB162">
        <v>6</v>
      </c>
      <c r="DC162">
        <v>0.5</v>
      </c>
      <c r="DD162" t="s">
        <v>421</v>
      </c>
      <c r="DE162">
        <v>2</v>
      </c>
      <c r="DF162">
        <v>1689026856.5999999</v>
      </c>
      <c r="DG162">
        <v>432.70600000000002</v>
      </c>
      <c r="DH162">
        <v>500.08199999999999</v>
      </c>
      <c r="DI162">
        <v>28.4162</v>
      </c>
      <c r="DJ162">
        <v>21.837399999999999</v>
      </c>
      <c r="DK162">
        <v>431.53899999999999</v>
      </c>
      <c r="DL162">
        <v>28.154599999999999</v>
      </c>
      <c r="DM162">
        <v>500.02300000000002</v>
      </c>
      <c r="DN162">
        <v>99.056100000000001</v>
      </c>
      <c r="DO162">
        <v>9.9946900000000005E-2</v>
      </c>
      <c r="DP162">
        <v>30.2182</v>
      </c>
      <c r="DQ162">
        <v>30.022099999999998</v>
      </c>
      <c r="DR162">
        <v>999.9</v>
      </c>
      <c r="DS162">
        <v>0</v>
      </c>
      <c r="DT162">
        <v>0</v>
      </c>
      <c r="DU162">
        <v>10006.200000000001</v>
      </c>
      <c r="DV162">
        <v>0</v>
      </c>
      <c r="DW162">
        <v>1164.08</v>
      </c>
      <c r="DX162">
        <v>-67.376199999999997</v>
      </c>
      <c r="DY162">
        <v>445.36099999999999</v>
      </c>
      <c r="DZ162">
        <v>511.24599999999998</v>
      </c>
      <c r="EA162">
        <v>6.5788099999999998</v>
      </c>
      <c r="EB162">
        <v>500.08199999999999</v>
      </c>
      <c r="EC162">
        <v>21.837399999999999</v>
      </c>
      <c r="ED162">
        <v>2.8148</v>
      </c>
      <c r="EE162">
        <v>2.1631200000000002</v>
      </c>
      <c r="EF162">
        <v>22.9711</v>
      </c>
      <c r="EG162">
        <v>18.691800000000001</v>
      </c>
      <c r="EH162">
        <v>1800.16</v>
      </c>
      <c r="EI162">
        <v>0.97801000000000005</v>
      </c>
      <c r="EJ162">
        <v>2.1990099999999999E-2</v>
      </c>
      <c r="EK162">
        <v>0</v>
      </c>
      <c r="EL162">
        <v>745.25400000000002</v>
      </c>
      <c r="EM162">
        <v>5.0011200000000002</v>
      </c>
      <c r="EN162">
        <v>15302.7</v>
      </c>
      <c r="EO162">
        <v>17212.5</v>
      </c>
      <c r="EP162">
        <v>48.75</v>
      </c>
      <c r="EQ162">
        <v>49.75</v>
      </c>
      <c r="ER162">
        <v>49.75</v>
      </c>
      <c r="ES162">
        <v>48.561999999999998</v>
      </c>
      <c r="ET162">
        <v>49.375</v>
      </c>
      <c r="EU162">
        <v>1755.68</v>
      </c>
      <c r="EV162">
        <v>39.479999999999997</v>
      </c>
      <c r="EW162">
        <v>0</v>
      </c>
      <c r="EX162">
        <v>123.7999999523163</v>
      </c>
      <c r="EY162">
        <v>0</v>
      </c>
      <c r="EZ162">
        <v>745.14311538461538</v>
      </c>
      <c r="FA162">
        <v>-0.3092307719455179</v>
      </c>
      <c r="FB162">
        <v>3.572649631542713</v>
      </c>
      <c r="FC162">
        <v>15288.357692307691</v>
      </c>
      <c r="FD162">
        <v>15</v>
      </c>
      <c r="FE162">
        <v>1689026824.5999999</v>
      </c>
      <c r="FF162" t="s">
        <v>1160</v>
      </c>
      <c r="FG162">
        <v>1689026824.5999999</v>
      </c>
      <c r="FH162">
        <v>1689026822.5999999</v>
      </c>
      <c r="FI162">
        <v>164</v>
      </c>
      <c r="FJ162">
        <v>5.5E-2</v>
      </c>
      <c r="FK162">
        <v>1E-3</v>
      </c>
      <c r="FL162">
        <v>1.25</v>
      </c>
      <c r="FM162">
        <v>0.25600000000000001</v>
      </c>
      <c r="FN162">
        <v>500</v>
      </c>
      <c r="FO162">
        <v>22</v>
      </c>
      <c r="FP162">
        <v>0.04</v>
      </c>
      <c r="FQ162">
        <v>0.02</v>
      </c>
      <c r="FR162">
        <v>53.736556895823419</v>
      </c>
      <c r="FS162">
        <v>-0.39073105901273408</v>
      </c>
      <c r="FT162">
        <v>5.7034465077181781E-2</v>
      </c>
      <c r="FU162">
        <v>1</v>
      </c>
      <c r="FV162">
        <v>0.39506627522478538</v>
      </c>
      <c r="FW162">
        <v>-1.204769736913153E-2</v>
      </c>
      <c r="FX162">
        <v>2.240447051057456E-3</v>
      </c>
      <c r="FY162">
        <v>1</v>
      </c>
      <c r="FZ162">
        <v>2</v>
      </c>
      <c r="GA162">
        <v>2</v>
      </c>
      <c r="GB162" t="s">
        <v>423</v>
      </c>
      <c r="GC162">
        <v>2.92503</v>
      </c>
      <c r="GD162">
        <v>2.8273000000000001</v>
      </c>
      <c r="GE162">
        <v>9.3235600000000002E-2</v>
      </c>
      <c r="GF162">
        <v>0.104336</v>
      </c>
      <c r="GG162">
        <v>0.125835</v>
      </c>
      <c r="GH162">
        <v>0.10520599999999999</v>
      </c>
      <c r="GI162">
        <v>29579.200000000001</v>
      </c>
      <c r="GJ162">
        <v>23674.799999999999</v>
      </c>
      <c r="GK162">
        <v>31390.6</v>
      </c>
      <c r="GL162">
        <v>26073.3</v>
      </c>
      <c r="GM162">
        <v>37618.1</v>
      </c>
      <c r="GN162">
        <v>31645.599999999999</v>
      </c>
      <c r="GO162">
        <v>46616.5</v>
      </c>
      <c r="GP162">
        <v>37908.9</v>
      </c>
      <c r="GQ162">
        <v>1.923</v>
      </c>
      <c r="GR162">
        <v>1.7384299999999999</v>
      </c>
      <c r="GS162">
        <v>-8.7395300000000006E-3</v>
      </c>
      <c r="GT162">
        <v>0</v>
      </c>
      <c r="GU162">
        <v>30.164300000000001</v>
      </c>
      <c r="GV162">
        <v>999.9</v>
      </c>
      <c r="GW162">
        <v>34.6</v>
      </c>
      <c r="GX162">
        <v>44.1</v>
      </c>
      <c r="GY162">
        <v>32.1357</v>
      </c>
      <c r="GZ162">
        <v>62.187399999999997</v>
      </c>
      <c r="HA162">
        <v>19.118600000000001</v>
      </c>
      <c r="HB162">
        <v>1</v>
      </c>
      <c r="HC162">
        <v>0.49407499999999999</v>
      </c>
      <c r="HD162">
        <v>2.5912099999999998</v>
      </c>
      <c r="HE162">
        <v>20.3278</v>
      </c>
      <c r="HF162">
        <v>5.2253800000000004</v>
      </c>
      <c r="HG162">
        <v>12.061199999999999</v>
      </c>
      <c r="HH162">
        <v>4.9930000000000003</v>
      </c>
      <c r="HI162">
        <v>3.2919999999999998</v>
      </c>
      <c r="HJ162">
        <v>9999</v>
      </c>
      <c r="HK162">
        <v>9999</v>
      </c>
      <c r="HL162">
        <v>9999</v>
      </c>
      <c r="HM162">
        <v>468.6</v>
      </c>
      <c r="HN162">
        <v>1.8666100000000001</v>
      </c>
      <c r="HO162">
        <v>1.87012</v>
      </c>
      <c r="HP162">
        <v>1.8727100000000001</v>
      </c>
      <c r="HQ162">
        <v>1.8736299999999999</v>
      </c>
      <c r="HR162">
        <v>1.8704099999999999</v>
      </c>
      <c r="HS162">
        <v>1.8687400000000001</v>
      </c>
      <c r="HT162">
        <v>1.87025</v>
      </c>
      <c r="HU162">
        <v>1.8731800000000001</v>
      </c>
      <c r="HV162">
        <v>0</v>
      </c>
      <c r="HW162">
        <v>0</v>
      </c>
      <c r="HX162">
        <v>0</v>
      </c>
      <c r="HY162">
        <v>0</v>
      </c>
      <c r="HZ162" t="s">
        <v>424</v>
      </c>
      <c r="IA162" t="s">
        <v>425</v>
      </c>
      <c r="IB162" t="s">
        <v>426</v>
      </c>
      <c r="IC162" t="s">
        <v>426</v>
      </c>
      <c r="ID162" t="s">
        <v>426</v>
      </c>
      <c r="IE162" t="s">
        <v>426</v>
      </c>
      <c r="IF162">
        <v>0</v>
      </c>
      <c r="IG162">
        <v>100</v>
      </c>
      <c r="IH162">
        <v>100</v>
      </c>
      <c r="II162">
        <v>1.167</v>
      </c>
      <c r="IJ162">
        <v>0.2616</v>
      </c>
      <c r="IK162">
        <v>0.25548084363895029</v>
      </c>
      <c r="IL162">
        <v>3.042515301972944E-3</v>
      </c>
      <c r="IM162">
        <v>-2.5091471490852929E-6</v>
      </c>
      <c r="IN162">
        <v>8.1339755115576286E-10</v>
      </c>
      <c r="IO162">
        <v>0.26153256057998109</v>
      </c>
      <c r="IP162">
        <v>0</v>
      </c>
      <c r="IQ162">
        <v>0</v>
      </c>
      <c r="IR162">
        <v>0</v>
      </c>
      <c r="IS162">
        <v>3</v>
      </c>
      <c r="IT162">
        <v>2004</v>
      </c>
      <c r="IU162">
        <v>2</v>
      </c>
      <c r="IV162">
        <v>22</v>
      </c>
      <c r="IW162">
        <v>0.5</v>
      </c>
      <c r="IX162">
        <v>0.6</v>
      </c>
      <c r="IY162">
        <v>1.24878</v>
      </c>
      <c r="IZ162">
        <v>2.6049799999999999</v>
      </c>
      <c r="JA162">
        <v>1.64917</v>
      </c>
      <c r="JB162">
        <v>2.33887</v>
      </c>
      <c r="JC162">
        <v>1.5991200000000001</v>
      </c>
      <c r="JD162">
        <v>2.3107899999999999</v>
      </c>
      <c r="JE162">
        <v>46.5321</v>
      </c>
      <c r="JF162">
        <v>15.839399999999999</v>
      </c>
      <c r="JG162">
        <v>18</v>
      </c>
      <c r="JH162">
        <v>518.91499999999996</v>
      </c>
      <c r="JI162">
        <v>446.51499999999999</v>
      </c>
      <c r="JJ162">
        <v>27.120200000000001</v>
      </c>
      <c r="JK162">
        <v>33.305799999999998</v>
      </c>
      <c r="JL162">
        <v>30.0001</v>
      </c>
      <c r="JM162">
        <v>33.491100000000003</v>
      </c>
      <c r="JN162">
        <v>33.506700000000002</v>
      </c>
      <c r="JO162">
        <v>25.0078</v>
      </c>
      <c r="JP162">
        <v>43.790199999999999</v>
      </c>
      <c r="JQ162">
        <v>0</v>
      </c>
      <c r="JR162">
        <v>27.101199999999999</v>
      </c>
      <c r="JS162">
        <v>500</v>
      </c>
      <c r="JT162">
        <v>21.974399999999999</v>
      </c>
      <c r="JU162">
        <v>99.493300000000005</v>
      </c>
      <c r="JV162">
        <v>99.133799999999994</v>
      </c>
    </row>
    <row r="163" spans="1:282" x14ac:dyDescent="0.25">
      <c r="A163">
        <v>147</v>
      </c>
      <c r="B163">
        <v>1689026976.0999999</v>
      </c>
      <c r="C163">
        <v>27381</v>
      </c>
      <c r="D163" t="s">
        <v>1161</v>
      </c>
      <c r="E163" t="s">
        <v>1162</v>
      </c>
      <c r="F163" t="s">
        <v>414</v>
      </c>
      <c r="G163" t="s">
        <v>415</v>
      </c>
      <c r="H163" t="s">
        <v>31</v>
      </c>
      <c r="I163" t="s">
        <v>500</v>
      </c>
      <c r="J163" t="s">
        <v>501</v>
      </c>
      <c r="K163">
        <v>1689026976.0999999</v>
      </c>
      <c r="L163">
        <f t="shared" si="184"/>
        <v>5.3515828351275311E-3</v>
      </c>
      <c r="M163">
        <f t="shared" si="185"/>
        <v>5.3515828351275312</v>
      </c>
      <c r="N163">
        <f t="shared" si="186"/>
        <v>55.642664208387252</v>
      </c>
      <c r="O163">
        <f t="shared" si="187"/>
        <v>629.19899999999996</v>
      </c>
      <c r="P163">
        <f t="shared" si="188"/>
        <v>367.3299914770688</v>
      </c>
      <c r="Q163">
        <f t="shared" si="189"/>
        <v>36.421858192439089</v>
      </c>
      <c r="R163">
        <f t="shared" si="190"/>
        <v>62.386947117153895</v>
      </c>
      <c r="S163">
        <f t="shared" si="191"/>
        <v>0.3781349912081502</v>
      </c>
      <c r="T163">
        <f t="shared" si="192"/>
        <v>2.9163859493649915</v>
      </c>
      <c r="U163">
        <f t="shared" si="193"/>
        <v>0.35285630669983248</v>
      </c>
      <c r="V163">
        <f t="shared" si="194"/>
        <v>0.2226654015304339</v>
      </c>
      <c r="W163">
        <f t="shared" si="195"/>
        <v>289.56110257764436</v>
      </c>
      <c r="X163">
        <f t="shared" si="196"/>
        <v>30.489459016047551</v>
      </c>
      <c r="Y163">
        <f t="shared" si="197"/>
        <v>29.988199999999999</v>
      </c>
      <c r="Z163">
        <f t="shared" si="198"/>
        <v>4.2575629675634321</v>
      </c>
      <c r="AA163">
        <f t="shared" si="199"/>
        <v>65.241869344301904</v>
      </c>
      <c r="AB163">
        <f t="shared" si="200"/>
        <v>2.8073377597825195</v>
      </c>
      <c r="AC163">
        <f t="shared" si="201"/>
        <v>4.3029695316780598</v>
      </c>
      <c r="AD163">
        <f t="shared" si="202"/>
        <v>1.4502252077809126</v>
      </c>
      <c r="AE163">
        <f t="shared" si="203"/>
        <v>-236.00480302912413</v>
      </c>
      <c r="AF163">
        <f t="shared" si="204"/>
        <v>29.05577123104004</v>
      </c>
      <c r="AG163">
        <f t="shared" si="205"/>
        <v>2.2170376756320964</v>
      </c>
      <c r="AH163">
        <f t="shared" si="206"/>
        <v>84.82910845519234</v>
      </c>
      <c r="AI163">
        <v>0</v>
      </c>
      <c r="AJ163">
        <v>0</v>
      </c>
      <c r="AK163">
        <f t="shared" si="207"/>
        <v>1</v>
      </c>
      <c r="AL163">
        <f t="shared" si="208"/>
        <v>0</v>
      </c>
      <c r="AM163">
        <f t="shared" si="209"/>
        <v>51927.854891004594</v>
      </c>
      <c r="AN163" t="s">
        <v>418</v>
      </c>
      <c r="AO163">
        <v>10021</v>
      </c>
      <c r="AP163">
        <v>177.53923076923081</v>
      </c>
      <c r="AQ163">
        <v>655.56</v>
      </c>
      <c r="AR163">
        <f t="shared" si="210"/>
        <v>0.72917928066198234</v>
      </c>
      <c r="AS163">
        <v>-3.1115002560329539</v>
      </c>
      <c r="AT163" t="s">
        <v>1163</v>
      </c>
      <c r="AU163">
        <v>8014.49</v>
      </c>
      <c r="AV163">
        <v>748.75724000000002</v>
      </c>
      <c r="AW163">
        <v>1162.846946517139</v>
      </c>
      <c r="AX163">
        <f t="shared" si="211"/>
        <v>0.35609992162544313</v>
      </c>
      <c r="AY163">
        <v>0.5</v>
      </c>
      <c r="AZ163">
        <f t="shared" si="212"/>
        <v>1513.1591992630281</v>
      </c>
      <c r="BA163">
        <f t="shared" si="213"/>
        <v>55.642664208387252</v>
      </c>
      <c r="BB163">
        <f t="shared" si="214"/>
        <v>269.4179361321913</v>
      </c>
      <c r="BC163">
        <f t="shared" si="215"/>
        <v>3.882880564915836E-2</v>
      </c>
      <c r="BD163">
        <f t="shared" si="216"/>
        <v>-0.4362456710545804</v>
      </c>
      <c r="BE163">
        <f t="shared" si="217"/>
        <v>201.32459782916948</v>
      </c>
      <c r="BF163" t="s">
        <v>1164</v>
      </c>
      <c r="BG163">
        <v>577.84</v>
      </c>
      <c r="BH163">
        <f t="shared" si="218"/>
        <v>577.84</v>
      </c>
      <c r="BI163">
        <f t="shared" si="219"/>
        <v>0.50308163793120186</v>
      </c>
      <c r="BJ163">
        <f t="shared" si="220"/>
        <v>0.70783724703174511</v>
      </c>
      <c r="BK163">
        <f t="shared" si="221"/>
        <v>-6.5271094508123992</v>
      </c>
      <c r="BL163">
        <f t="shared" si="222"/>
        <v>0.42026434980550198</v>
      </c>
      <c r="BM163">
        <f t="shared" si="223"/>
        <v>-1.0612236521301472</v>
      </c>
      <c r="BN163">
        <f t="shared" si="224"/>
        <v>0.54626072774244372</v>
      </c>
      <c r="BO163">
        <f t="shared" si="225"/>
        <v>0.45373927225755628</v>
      </c>
      <c r="BP163">
        <v>22759</v>
      </c>
      <c r="BQ163">
        <v>290.00000000000011</v>
      </c>
      <c r="BR163">
        <v>1014.92</v>
      </c>
      <c r="BS163">
        <v>285</v>
      </c>
      <c r="BT163">
        <v>8014.49</v>
      </c>
      <c r="BU163">
        <v>1015.87</v>
      </c>
      <c r="BV163">
        <v>-0.95</v>
      </c>
      <c r="BW163">
        <v>300.00000000000011</v>
      </c>
      <c r="BX163">
        <v>19.399999999999999</v>
      </c>
      <c r="BY163">
        <v>1162.846946517139</v>
      </c>
      <c r="BZ163">
        <v>3.5805777939026142</v>
      </c>
      <c r="CA163">
        <v>-117.7919948276419</v>
      </c>
      <c r="CB163">
        <v>2.636033588687194</v>
      </c>
      <c r="CC163">
        <v>0.98617132004197161</v>
      </c>
      <c r="CD163">
        <v>-4.1390540600667342E-3</v>
      </c>
      <c r="CE163">
        <v>289.99999999999989</v>
      </c>
      <c r="CF163">
        <v>1006.91</v>
      </c>
      <c r="CG163">
        <v>675</v>
      </c>
      <c r="CH163">
        <v>8003.84</v>
      </c>
      <c r="CI163">
        <v>1015.68</v>
      </c>
      <c r="CJ163">
        <v>-8.77</v>
      </c>
      <c r="CX163">
        <f t="shared" si="226"/>
        <v>1799.97</v>
      </c>
      <c r="CY163">
        <f t="shared" si="227"/>
        <v>1513.1591992630281</v>
      </c>
      <c r="CZ163">
        <f t="shared" si="228"/>
        <v>0.84065801055741374</v>
      </c>
      <c r="DA163">
        <f t="shared" si="229"/>
        <v>0.1608699603758087</v>
      </c>
      <c r="DB163">
        <v>6</v>
      </c>
      <c r="DC163">
        <v>0.5</v>
      </c>
      <c r="DD163" t="s">
        <v>421</v>
      </c>
      <c r="DE163">
        <v>2</v>
      </c>
      <c r="DF163">
        <v>1689026976.0999999</v>
      </c>
      <c r="DG163">
        <v>629.19899999999996</v>
      </c>
      <c r="DH163">
        <v>700.01</v>
      </c>
      <c r="DI163">
        <v>28.313199999999998</v>
      </c>
      <c r="DJ163">
        <v>22.0732</v>
      </c>
      <c r="DK163">
        <v>627.96299999999997</v>
      </c>
      <c r="DL163">
        <v>28.046600000000002</v>
      </c>
      <c r="DM163">
        <v>500.00599999999997</v>
      </c>
      <c r="DN163">
        <v>99.053399999999996</v>
      </c>
      <c r="DO163">
        <v>9.9566100000000005E-2</v>
      </c>
      <c r="DP163">
        <v>30.172999999999998</v>
      </c>
      <c r="DQ163">
        <v>29.988199999999999</v>
      </c>
      <c r="DR163">
        <v>999.9</v>
      </c>
      <c r="DS163">
        <v>0</v>
      </c>
      <c r="DT163">
        <v>0</v>
      </c>
      <c r="DU163">
        <v>10020</v>
      </c>
      <c r="DV163">
        <v>0</v>
      </c>
      <c r="DW163">
        <v>1154.07</v>
      </c>
      <c r="DX163">
        <v>-70.811599999999999</v>
      </c>
      <c r="DY163">
        <v>647.53200000000004</v>
      </c>
      <c r="DZ163">
        <v>715.81100000000004</v>
      </c>
      <c r="EA163">
        <v>6.2400099999999998</v>
      </c>
      <c r="EB163">
        <v>700.01</v>
      </c>
      <c r="EC163">
        <v>22.0732</v>
      </c>
      <c r="ED163">
        <v>2.8045200000000001</v>
      </c>
      <c r="EE163">
        <v>2.1864300000000001</v>
      </c>
      <c r="EF163">
        <v>22.910699999999999</v>
      </c>
      <c r="EG163">
        <v>18.863199999999999</v>
      </c>
      <c r="EH163">
        <v>1799.97</v>
      </c>
      <c r="EI163">
        <v>0.97800600000000004</v>
      </c>
      <c r="EJ163">
        <v>2.1993700000000001E-2</v>
      </c>
      <c r="EK163">
        <v>0</v>
      </c>
      <c r="EL163">
        <v>748.65300000000002</v>
      </c>
      <c r="EM163">
        <v>5.0011200000000002</v>
      </c>
      <c r="EN163">
        <v>15366.6</v>
      </c>
      <c r="EO163">
        <v>17210.599999999999</v>
      </c>
      <c r="EP163">
        <v>48.75</v>
      </c>
      <c r="EQ163">
        <v>49.625</v>
      </c>
      <c r="ER163">
        <v>49.686999999999998</v>
      </c>
      <c r="ES163">
        <v>48.436999999999998</v>
      </c>
      <c r="ET163">
        <v>49.311999999999998</v>
      </c>
      <c r="EU163">
        <v>1755.49</v>
      </c>
      <c r="EV163">
        <v>39.479999999999997</v>
      </c>
      <c r="EW163">
        <v>0</v>
      </c>
      <c r="EX163">
        <v>117.5999999046326</v>
      </c>
      <c r="EY163">
        <v>0</v>
      </c>
      <c r="EZ163">
        <v>748.75724000000002</v>
      </c>
      <c r="FA163">
        <v>-1.81292306802041</v>
      </c>
      <c r="FB163">
        <v>-3.0153844412029791</v>
      </c>
      <c r="FC163">
        <v>15379.056</v>
      </c>
      <c r="FD163">
        <v>15</v>
      </c>
      <c r="FE163">
        <v>1689026942.5999999</v>
      </c>
      <c r="FF163" t="s">
        <v>1165</v>
      </c>
      <c r="FG163">
        <v>1689026937.5999999</v>
      </c>
      <c r="FH163">
        <v>1689026942.5999999</v>
      </c>
      <c r="FI163">
        <v>165</v>
      </c>
      <c r="FJ163">
        <v>-0.14299999999999999</v>
      </c>
      <c r="FK163">
        <v>5.0000000000000001E-3</v>
      </c>
      <c r="FL163">
        <v>1.2909999999999999</v>
      </c>
      <c r="FM163">
        <v>0.26200000000000001</v>
      </c>
      <c r="FN163">
        <v>700</v>
      </c>
      <c r="FO163">
        <v>22</v>
      </c>
      <c r="FP163">
        <v>0.06</v>
      </c>
      <c r="FQ163">
        <v>0.02</v>
      </c>
      <c r="FR163">
        <v>55.533281769695932</v>
      </c>
      <c r="FS163">
        <v>-0.42863499986956077</v>
      </c>
      <c r="FT163">
        <v>8.0660718457957789E-2</v>
      </c>
      <c r="FU163">
        <v>1</v>
      </c>
      <c r="FV163">
        <v>0.38390657602726891</v>
      </c>
      <c r="FW163">
        <v>-4.4528500705765341E-2</v>
      </c>
      <c r="FX163">
        <v>3.3236139415417768E-3</v>
      </c>
      <c r="FY163">
        <v>1</v>
      </c>
      <c r="FZ163">
        <v>2</v>
      </c>
      <c r="GA163">
        <v>2</v>
      </c>
      <c r="GB163" t="s">
        <v>423</v>
      </c>
      <c r="GC163">
        <v>2.9250600000000002</v>
      </c>
      <c r="GD163">
        <v>2.8270400000000002</v>
      </c>
      <c r="GE163">
        <v>0.122624</v>
      </c>
      <c r="GF163">
        <v>0.13253499999999999</v>
      </c>
      <c r="GG163">
        <v>0.12551799999999999</v>
      </c>
      <c r="GH163">
        <v>0.106021</v>
      </c>
      <c r="GI163">
        <v>28624.5</v>
      </c>
      <c r="GJ163">
        <v>22931.8</v>
      </c>
      <c r="GK163">
        <v>31395.1</v>
      </c>
      <c r="GL163">
        <v>26076</v>
      </c>
      <c r="GM163">
        <v>37637.599999999999</v>
      </c>
      <c r="GN163">
        <v>31620.3</v>
      </c>
      <c r="GO163">
        <v>46623.5</v>
      </c>
      <c r="GP163">
        <v>37912.800000000003</v>
      </c>
      <c r="GQ163">
        <v>1.92388</v>
      </c>
      <c r="GR163">
        <v>1.7415</v>
      </c>
      <c r="GS163">
        <v>-2.0787100000000001E-3</v>
      </c>
      <c r="GT163">
        <v>0</v>
      </c>
      <c r="GU163">
        <v>30.022099999999998</v>
      </c>
      <c r="GV163">
        <v>999.9</v>
      </c>
      <c r="GW163">
        <v>34.5</v>
      </c>
      <c r="GX163">
        <v>43.9</v>
      </c>
      <c r="GY163">
        <v>31.712499999999999</v>
      </c>
      <c r="GZ163">
        <v>62.337400000000002</v>
      </c>
      <c r="HA163">
        <v>19.146599999999999</v>
      </c>
      <c r="HB163">
        <v>1</v>
      </c>
      <c r="HC163">
        <v>0.48585400000000001</v>
      </c>
      <c r="HD163">
        <v>1.9172499999999999</v>
      </c>
      <c r="HE163">
        <v>20.336099999999998</v>
      </c>
      <c r="HF163">
        <v>5.2234299999999996</v>
      </c>
      <c r="HG163">
        <v>12.058199999999999</v>
      </c>
      <c r="HH163">
        <v>4.9926500000000003</v>
      </c>
      <c r="HI163">
        <v>3.2916500000000002</v>
      </c>
      <c r="HJ163">
        <v>9999</v>
      </c>
      <c r="HK163">
        <v>9999</v>
      </c>
      <c r="HL163">
        <v>9999</v>
      </c>
      <c r="HM163">
        <v>468.6</v>
      </c>
      <c r="HN163">
        <v>1.8666199999999999</v>
      </c>
      <c r="HO163">
        <v>1.87012</v>
      </c>
      <c r="HP163">
        <v>1.8727100000000001</v>
      </c>
      <c r="HQ163">
        <v>1.8736299999999999</v>
      </c>
      <c r="HR163">
        <v>1.8704099999999999</v>
      </c>
      <c r="HS163">
        <v>1.8687400000000001</v>
      </c>
      <c r="HT163">
        <v>1.87022</v>
      </c>
      <c r="HU163">
        <v>1.87317</v>
      </c>
      <c r="HV163">
        <v>0</v>
      </c>
      <c r="HW163">
        <v>0</v>
      </c>
      <c r="HX163">
        <v>0</v>
      </c>
      <c r="HY163">
        <v>0</v>
      </c>
      <c r="HZ163" t="s">
        <v>424</v>
      </c>
      <c r="IA163" t="s">
        <v>425</v>
      </c>
      <c r="IB163" t="s">
        <v>426</v>
      </c>
      <c r="IC163" t="s">
        <v>426</v>
      </c>
      <c r="ID163" t="s">
        <v>426</v>
      </c>
      <c r="IE163" t="s">
        <v>426</v>
      </c>
      <c r="IF163">
        <v>0</v>
      </c>
      <c r="IG163">
        <v>100</v>
      </c>
      <c r="IH163">
        <v>100</v>
      </c>
      <c r="II163">
        <v>1.236</v>
      </c>
      <c r="IJ163">
        <v>0.2666</v>
      </c>
      <c r="IK163">
        <v>0.11274790399823451</v>
      </c>
      <c r="IL163">
        <v>3.042515301972944E-3</v>
      </c>
      <c r="IM163">
        <v>-2.5091471490852929E-6</v>
      </c>
      <c r="IN163">
        <v>8.1339755115576286E-10</v>
      </c>
      <c r="IO163">
        <v>0.26658859733792978</v>
      </c>
      <c r="IP163">
        <v>0</v>
      </c>
      <c r="IQ163">
        <v>0</v>
      </c>
      <c r="IR163">
        <v>0</v>
      </c>
      <c r="IS163">
        <v>3</v>
      </c>
      <c r="IT163">
        <v>2004</v>
      </c>
      <c r="IU163">
        <v>2</v>
      </c>
      <c r="IV163">
        <v>22</v>
      </c>
      <c r="IW163">
        <v>0.6</v>
      </c>
      <c r="IX163">
        <v>0.6</v>
      </c>
      <c r="IY163">
        <v>1.64307</v>
      </c>
      <c r="IZ163">
        <v>2.5976599999999999</v>
      </c>
      <c r="JA163">
        <v>1.64917</v>
      </c>
      <c r="JB163">
        <v>2.33887</v>
      </c>
      <c r="JC163">
        <v>1.5991200000000001</v>
      </c>
      <c r="JD163">
        <v>2.2961399999999998</v>
      </c>
      <c r="JE163">
        <v>46.414999999999999</v>
      </c>
      <c r="JF163">
        <v>15.8132</v>
      </c>
      <c r="JG163">
        <v>18</v>
      </c>
      <c r="JH163">
        <v>518.91499999999996</v>
      </c>
      <c r="JI163">
        <v>447.98099999999999</v>
      </c>
      <c r="JJ163">
        <v>27.4665</v>
      </c>
      <c r="JK163">
        <v>33.235500000000002</v>
      </c>
      <c r="JL163">
        <v>29.9998</v>
      </c>
      <c r="JM163">
        <v>33.416800000000002</v>
      </c>
      <c r="JN163">
        <v>33.4298</v>
      </c>
      <c r="JO163">
        <v>32.8855</v>
      </c>
      <c r="JP163">
        <v>42.336399999999998</v>
      </c>
      <c r="JQ163">
        <v>0</v>
      </c>
      <c r="JR163">
        <v>27.4756</v>
      </c>
      <c r="JS163">
        <v>700</v>
      </c>
      <c r="JT163">
        <v>21.9938</v>
      </c>
      <c r="JU163">
        <v>99.507999999999996</v>
      </c>
      <c r="JV163">
        <v>99.144199999999998</v>
      </c>
    </row>
    <row r="164" spans="1:282" x14ac:dyDescent="0.25">
      <c r="A164">
        <v>148</v>
      </c>
      <c r="B164">
        <v>1689027086.5999999</v>
      </c>
      <c r="C164">
        <v>27491.5</v>
      </c>
      <c r="D164" t="s">
        <v>1166</v>
      </c>
      <c r="E164" t="s">
        <v>1167</v>
      </c>
      <c r="F164" t="s">
        <v>414</v>
      </c>
      <c r="G164" t="s">
        <v>415</v>
      </c>
      <c r="H164" t="s">
        <v>31</v>
      </c>
      <c r="I164" t="s">
        <v>500</v>
      </c>
      <c r="J164" t="s">
        <v>501</v>
      </c>
      <c r="K164">
        <v>1689027086.5999999</v>
      </c>
      <c r="L164">
        <f t="shared" si="184"/>
        <v>4.9256532988991601E-3</v>
      </c>
      <c r="M164">
        <f t="shared" si="185"/>
        <v>4.9256532988991601</v>
      </c>
      <c r="N164">
        <f t="shared" si="186"/>
        <v>55.06388776711438</v>
      </c>
      <c r="O164">
        <f t="shared" si="187"/>
        <v>829.24199999999996</v>
      </c>
      <c r="P164">
        <f t="shared" si="188"/>
        <v>541.83362251363621</v>
      </c>
      <c r="Q164">
        <f t="shared" si="189"/>
        <v>53.724280168848381</v>
      </c>
      <c r="R164">
        <f t="shared" si="190"/>
        <v>82.221603984449999</v>
      </c>
      <c r="S164">
        <f t="shared" si="191"/>
        <v>0.34353090696563054</v>
      </c>
      <c r="T164">
        <f t="shared" si="192"/>
        <v>2.9098107514383877</v>
      </c>
      <c r="U164">
        <f t="shared" si="193"/>
        <v>0.32248500681829162</v>
      </c>
      <c r="V164">
        <f t="shared" si="194"/>
        <v>0.20333648538628418</v>
      </c>
      <c r="W164">
        <f t="shared" si="195"/>
        <v>289.58504257776286</v>
      </c>
      <c r="X164">
        <f t="shared" si="196"/>
        <v>30.535407758680758</v>
      </c>
      <c r="Y164">
        <f t="shared" si="197"/>
        <v>30.005500000000001</v>
      </c>
      <c r="Z164">
        <f t="shared" si="198"/>
        <v>4.2617958998064047</v>
      </c>
      <c r="AA164">
        <f t="shared" si="199"/>
        <v>65.348303156809806</v>
      </c>
      <c r="AB164">
        <f t="shared" si="200"/>
        <v>2.8012727019724997</v>
      </c>
      <c r="AC164">
        <f t="shared" si="201"/>
        <v>4.2866800921373045</v>
      </c>
      <c r="AD164">
        <f t="shared" si="202"/>
        <v>1.4605231978339051</v>
      </c>
      <c r="AE164">
        <f t="shared" si="203"/>
        <v>-217.22131048145295</v>
      </c>
      <c r="AF164">
        <f t="shared" si="204"/>
        <v>15.906994927278514</v>
      </c>
      <c r="AG164">
        <f t="shared" si="205"/>
        <v>1.2161975896315793</v>
      </c>
      <c r="AH164">
        <f t="shared" si="206"/>
        <v>89.486924613220012</v>
      </c>
      <c r="AI164">
        <v>0</v>
      </c>
      <c r="AJ164">
        <v>0</v>
      </c>
      <c r="AK164">
        <f t="shared" si="207"/>
        <v>1</v>
      </c>
      <c r="AL164">
        <f t="shared" si="208"/>
        <v>0</v>
      </c>
      <c r="AM164">
        <f t="shared" si="209"/>
        <v>51752.209865282399</v>
      </c>
      <c r="AN164" t="s">
        <v>418</v>
      </c>
      <c r="AO164">
        <v>10021</v>
      </c>
      <c r="AP164">
        <v>177.53923076923081</v>
      </c>
      <c r="AQ164">
        <v>655.56</v>
      </c>
      <c r="AR164">
        <f t="shared" si="210"/>
        <v>0.72917928066198234</v>
      </c>
      <c r="AS164">
        <v>-3.1115002560329539</v>
      </c>
      <c r="AT164" t="s">
        <v>1168</v>
      </c>
      <c r="AU164">
        <v>8015.26</v>
      </c>
      <c r="AV164">
        <v>745.36588461538463</v>
      </c>
      <c r="AW164">
        <v>1158.874543124351</v>
      </c>
      <c r="AX164">
        <f t="shared" si="211"/>
        <v>0.35681917508873573</v>
      </c>
      <c r="AY164">
        <v>0.5</v>
      </c>
      <c r="AZ164">
        <f t="shared" si="212"/>
        <v>1513.2851992630895</v>
      </c>
      <c r="BA164">
        <f t="shared" si="213"/>
        <v>55.06388776711438</v>
      </c>
      <c r="BB164">
        <f t="shared" si="214"/>
        <v>269.98458823752435</v>
      </c>
      <c r="BC164">
        <f t="shared" si="215"/>
        <v>3.8443109105591247E-2</v>
      </c>
      <c r="BD164">
        <f t="shared" si="216"/>
        <v>-0.43431322752798079</v>
      </c>
      <c r="BE164">
        <f t="shared" si="217"/>
        <v>201.20519066478647</v>
      </c>
      <c r="BF164" t="s">
        <v>1169</v>
      </c>
      <c r="BG164">
        <v>578.53</v>
      </c>
      <c r="BH164">
        <f t="shared" si="218"/>
        <v>578.53</v>
      </c>
      <c r="BI164">
        <f t="shared" si="219"/>
        <v>0.50078289023394151</v>
      </c>
      <c r="BJ164">
        <f t="shared" si="220"/>
        <v>0.71252269605706187</v>
      </c>
      <c r="BK164">
        <f t="shared" si="221"/>
        <v>-6.5340067911768305</v>
      </c>
      <c r="BL164">
        <f t="shared" si="222"/>
        <v>0.42137346256967073</v>
      </c>
      <c r="BM164">
        <f t="shared" si="223"/>
        <v>-1.0529135458576093</v>
      </c>
      <c r="BN164">
        <f t="shared" si="224"/>
        <v>0.55303813047815964</v>
      </c>
      <c r="BO164">
        <f t="shared" si="225"/>
        <v>0.44696186952184036</v>
      </c>
      <c r="BP164">
        <v>22761</v>
      </c>
      <c r="BQ164">
        <v>290.00000000000011</v>
      </c>
      <c r="BR164">
        <v>1009.89</v>
      </c>
      <c r="BS164">
        <v>285</v>
      </c>
      <c r="BT164">
        <v>8015.26</v>
      </c>
      <c r="BU164">
        <v>1012.05</v>
      </c>
      <c r="BV164">
        <v>-2.16</v>
      </c>
      <c r="BW164">
        <v>300.00000000000011</v>
      </c>
      <c r="BX164">
        <v>19.399999999999999</v>
      </c>
      <c r="BY164">
        <v>1158.874543124351</v>
      </c>
      <c r="BZ164">
        <v>4.2401201037651006</v>
      </c>
      <c r="CA164">
        <v>-117.6876383060236</v>
      </c>
      <c r="CB164">
        <v>3.121887789029874</v>
      </c>
      <c r="CC164">
        <v>0.98067777011523072</v>
      </c>
      <c r="CD164">
        <v>-4.1394676307007841E-3</v>
      </c>
      <c r="CE164">
        <v>289.99999999999989</v>
      </c>
      <c r="CF164">
        <v>1004.23</v>
      </c>
      <c r="CG164">
        <v>645</v>
      </c>
      <c r="CH164">
        <v>8005.52</v>
      </c>
      <c r="CI164">
        <v>1011.87</v>
      </c>
      <c r="CJ164">
        <v>-7.64</v>
      </c>
      <c r="CX164">
        <f t="shared" si="226"/>
        <v>1800.12</v>
      </c>
      <c r="CY164">
        <f t="shared" si="227"/>
        <v>1513.2851992630895</v>
      </c>
      <c r="CZ164">
        <f t="shared" si="228"/>
        <v>0.84065795572689017</v>
      </c>
      <c r="DA164">
        <f t="shared" si="229"/>
        <v>0.16086985455289807</v>
      </c>
      <c r="DB164">
        <v>6</v>
      </c>
      <c r="DC164">
        <v>0.5</v>
      </c>
      <c r="DD164" t="s">
        <v>421</v>
      </c>
      <c r="DE164">
        <v>2</v>
      </c>
      <c r="DF164">
        <v>1689027086.5999999</v>
      </c>
      <c r="DG164">
        <v>829.24199999999996</v>
      </c>
      <c r="DH164">
        <v>900.21900000000005</v>
      </c>
      <c r="DI164">
        <v>28.252099999999999</v>
      </c>
      <c r="DJ164">
        <v>22.508400000000002</v>
      </c>
      <c r="DK164">
        <v>828.072</v>
      </c>
      <c r="DL164">
        <v>27.989799999999999</v>
      </c>
      <c r="DM164">
        <v>500.00799999999998</v>
      </c>
      <c r="DN164">
        <v>99.052400000000006</v>
      </c>
      <c r="DO164">
        <v>0.100325</v>
      </c>
      <c r="DP164">
        <v>30.1069</v>
      </c>
      <c r="DQ164">
        <v>30.005500000000001</v>
      </c>
      <c r="DR164">
        <v>999.9</v>
      </c>
      <c r="DS164">
        <v>0</v>
      </c>
      <c r="DT164">
        <v>0</v>
      </c>
      <c r="DU164">
        <v>9982.5</v>
      </c>
      <c r="DV164">
        <v>0</v>
      </c>
      <c r="DW164">
        <v>1137.22</v>
      </c>
      <c r="DX164">
        <v>-70.976900000000001</v>
      </c>
      <c r="DY164">
        <v>853.351</v>
      </c>
      <c r="DZ164">
        <v>920.94799999999998</v>
      </c>
      <c r="EA164">
        <v>5.7437100000000001</v>
      </c>
      <c r="EB164">
        <v>900.21900000000005</v>
      </c>
      <c r="EC164">
        <v>22.508400000000002</v>
      </c>
      <c r="ED164">
        <v>2.7984399999999998</v>
      </c>
      <c r="EE164">
        <v>2.2295099999999999</v>
      </c>
      <c r="EF164">
        <v>22.8749</v>
      </c>
      <c r="EG164">
        <v>19.175999999999998</v>
      </c>
      <c r="EH164">
        <v>1800.12</v>
      </c>
      <c r="EI164">
        <v>0.97800600000000004</v>
      </c>
      <c r="EJ164">
        <v>2.1993700000000001E-2</v>
      </c>
      <c r="EK164">
        <v>0</v>
      </c>
      <c r="EL164">
        <v>745.24300000000005</v>
      </c>
      <c r="EM164">
        <v>5.0011200000000002</v>
      </c>
      <c r="EN164">
        <v>15307.1</v>
      </c>
      <c r="EO164">
        <v>17212.099999999999</v>
      </c>
      <c r="EP164">
        <v>48.561999999999998</v>
      </c>
      <c r="EQ164">
        <v>49.5</v>
      </c>
      <c r="ER164">
        <v>49.625</v>
      </c>
      <c r="ES164">
        <v>48.311999999999998</v>
      </c>
      <c r="ET164">
        <v>49</v>
      </c>
      <c r="EU164">
        <v>1755.64</v>
      </c>
      <c r="EV164">
        <v>39.479999999999997</v>
      </c>
      <c r="EW164">
        <v>0</v>
      </c>
      <c r="EX164">
        <v>108.7999999523163</v>
      </c>
      <c r="EY164">
        <v>0</v>
      </c>
      <c r="EZ164">
        <v>745.36588461538463</v>
      </c>
      <c r="FA164">
        <v>-1.14800000019624</v>
      </c>
      <c r="FB164">
        <v>-68.201709687887359</v>
      </c>
      <c r="FC164">
        <v>15308.719230769229</v>
      </c>
      <c r="FD164">
        <v>15</v>
      </c>
      <c r="FE164">
        <v>1689027050.0999999</v>
      </c>
      <c r="FF164" t="s">
        <v>1170</v>
      </c>
      <c r="FG164">
        <v>1689027050.0999999</v>
      </c>
      <c r="FH164">
        <v>1689027046.0999999</v>
      </c>
      <c r="FI164">
        <v>166</v>
      </c>
      <c r="FJ164">
        <v>-0.20399999999999999</v>
      </c>
      <c r="FK164">
        <v>-4.0000000000000001E-3</v>
      </c>
      <c r="FL164">
        <v>1.2070000000000001</v>
      </c>
      <c r="FM164">
        <v>0.26200000000000001</v>
      </c>
      <c r="FN164">
        <v>900</v>
      </c>
      <c r="FO164">
        <v>22</v>
      </c>
      <c r="FP164">
        <v>0.12</v>
      </c>
      <c r="FQ164">
        <v>0.04</v>
      </c>
      <c r="FR164">
        <v>54.987298480964817</v>
      </c>
      <c r="FS164">
        <v>-0.63640100391038257</v>
      </c>
      <c r="FT164">
        <v>8.4172968008097204E-2</v>
      </c>
      <c r="FU164">
        <v>1</v>
      </c>
      <c r="FV164">
        <v>0.34197855545863381</v>
      </c>
      <c r="FW164">
        <v>-2.144281452423652E-2</v>
      </c>
      <c r="FX164">
        <v>1.7180819763189289E-3</v>
      </c>
      <c r="FY164">
        <v>1</v>
      </c>
      <c r="FZ164">
        <v>2</v>
      </c>
      <c r="GA164">
        <v>2</v>
      </c>
      <c r="GB164" t="s">
        <v>423</v>
      </c>
      <c r="GC164">
        <v>2.9251399999999999</v>
      </c>
      <c r="GD164">
        <v>2.8274699999999999</v>
      </c>
      <c r="GE164">
        <v>0.14816199999999999</v>
      </c>
      <c r="GF164">
        <v>0.15693699999999999</v>
      </c>
      <c r="GG164">
        <v>0.125363</v>
      </c>
      <c r="GH164">
        <v>0.107505</v>
      </c>
      <c r="GI164">
        <v>27793.4</v>
      </c>
      <c r="GJ164">
        <v>22287.9</v>
      </c>
      <c r="GK164">
        <v>31398</v>
      </c>
      <c r="GL164">
        <v>26077.7</v>
      </c>
      <c r="GM164">
        <v>37648.199999999997</v>
      </c>
      <c r="GN164">
        <v>31569.9</v>
      </c>
      <c r="GO164">
        <v>46628.1</v>
      </c>
      <c r="GP164">
        <v>37915.199999999997</v>
      </c>
      <c r="GQ164">
        <v>1.92448</v>
      </c>
      <c r="GR164">
        <v>1.7448699999999999</v>
      </c>
      <c r="GS164">
        <v>-1.8402900000000001E-3</v>
      </c>
      <c r="GT164">
        <v>0</v>
      </c>
      <c r="GU164">
        <v>30.035399999999999</v>
      </c>
      <c r="GV164">
        <v>999.9</v>
      </c>
      <c r="GW164">
        <v>34.4</v>
      </c>
      <c r="GX164">
        <v>43.8</v>
      </c>
      <c r="GY164">
        <v>31.4587</v>
      </c>
      <c r="GZ164">
        <v>62.557400000000001</v>
      </c>
      <c r="HA164">
        <v>19.539300000000001</v>
      </c>
      <c r="HB164">
        <v>1</v>
      </c>
      <c r="HC164">
        <v>0.48366900000000002</v>
      </c>
      <c r="HD164">
        <v>2.9296600000000002</v>
      </c>
      <c r="HE164">
        <v>20.322399999999998</v>
      </c>
      <c r="HF164">
        <v>5.2228300000000001</v>
      </c>
      <c r="HG164">
        <v>12.062799999999999</v>
      </c>
      <c r="HH164">
        <v>4.9913999999999996</v>
      </c>
      <c r="HI164">
        <v>3.2917000000000001</v>
      </c>
      <c r="HJ164">
        <v>9999</v>
      </c>
      <c r="HK164">
        <v>9999</v>
      </c>
      <c r="HL164">
        <v>9999</v>
      </c>
      <c r="HM164">
        <v>468.6</v>
      </c>
      <c r="HN164">
        <v>1.8666100000000001</v>
      </c>
      <c r="HO164">
        <v>1.87012</v>
      </c>
      <c r="HP164">
        <v>1.8727100000000001</v>
      </c>
      <c r="HQ164">
        <v>1.8736299999999999</v>
      </c>
      <c r="HR164">
        <v>1.8704099999999999</v>
      </c>
      <c r="HS164">
        <v>1.8687400000000001</v>
      </c>
      <c r="HT164">
        <v>1.8702300000000001</v>
      </c>
      <c r="HU164">
        <v>1.8731899999999999</v>
      </c>
      <c r="HV164">
        <v>0</v>
      </c>
      <c r="HW164">
        <v>0</v>
      </c>
      <c r="HX164">
        <v>0</v>
      </c>
      <c r="HY164">
        <v>0</v>
      </c>
      <c r="HZ164" t="s">
        <v>424</v>
      </c>
      <c r="IA164" t="s">
        <v>425</v>
      </c>
      <c r="IB164" t="s">
        <v>426</v>
      </c>
      <c r="IC164" t="s">
        <v>426</v>
      </c>
      <c r="ID164" t="s">
        <v>426</v>
      </c>
      <c r="IE164" t="s">
        <v>426</v>
      </c>
      <c r="IF164">
        <v>0</v>
      </c>
      <c r="IG164">
        <v>100</v>
      </c>
      <c r="IH164">
        <v>100</v>
      </c>
      <c r="II164">
        <v>1.17</v>
      </c>
      <c r="IJ164">
        <v>0.26229999999999998</v>
      </c>
      <c r="IK164">
        <v>-9.088339853572372E-2</v>
      </c>
      <c r="IL164">
        <v>3.042515301972944E-3</v>
      </c>
      <c r="IM164">
        <v>-2.5091471490852929E-6</v>
      </c>
      <c r="IN164">
        <v>8.1339755115576286E-10</v>
      </c>
      <c r="IO164">
        <v>0.26231500000000102</v>
      </c>
      <c r="IP164">
        <v>0</v>
      </c>
      <c r="IQ164">
        <v>0</v>
      </c>
      <c r="IR164">
        <v>0</v>
      </c>
      <c r="IS164">
        <v>3</v>
      </c>
      <c r="IT164">
        <v>2004</v>
      </c>
      <c r="IU164">
        <v>2</v>
      </c>
      <c r="IV164">
        <v>22</v>
      </c>
      <c r="IW164">
        <v>0.6</v>
      </c>
      <c r="IX164">
        <v>0.7</v>
      </c>
      <c r="IY164">
        <v>2.0190399999999999</v>
      </c>
      <c r="IZ164">
        <v>2.6037599999999999</v>
      </c>
      <c r="JA164">
        <v>1.64917</v>
      </c>
      <c r="JB164">
        <v>2.33887</v>
      </c>
      <c r="JC164">
        <v>1.5991200000000001</v>
      </c>
      <c r="JD164">
        <v>2.2595200000000002</v>
      </c>
      <c r="JE164">
        <v>46.3566</v>
      </c>
      <c r="JF164">
        <v>15.7781</v>
      </c>
      <c r="JG164">
        <v>18</v>
      </c>
      <c r="JH164">
        <v>518.70899999999995</v>
      </c>
      <c r="JI164">
        <v>449.661</v>
      </c>
      <c r="JJ164">
        <v>26.614599999999999</v>
      </c>
      <c r="JK164">
        <v>33.158799999999999</v>
      </c>
      <c r="JL164">
        <v>29.999700000000001</v>
      </c>
      <c r="JM164">
        <v>33.339399999999998</v>
      </c>
      <c r="JN164">
        <v>33.354700000000001</v>
      </c>
      <c r="JO164">
        <v>40.407400000000003</v>
      </c>
      <c r="JP164">
        <v>40.110799999999998</v>
      </c>
      <c r="JQ164">
        <v>0</v>
      </c>
      <c r="JR164">
        <v>26.6233</v>
      </c>
      <c r="JS164">
        <v>900</v>
      </c>
      <c r="JT164">
        <v>22.5306</v>
      </c>
      <c r="JU164">
        <v>99.517600000000002</v>
      </c>
      <c r="JV164">
        <v>99.150599999999997</v>
      </c>
    </row>
    <row r="165" spans="1:282" x14ac:dyDescent="0.25">
      <c r="A165">
        <v>149</v>
      </c>
      <c r="B165">
        <v>1689027238.5999999</v>
      </c>
      <c r="C165">
        <v>27643.5</v>
      </c>
      <c r="D165" t="s">
        <v>1171</v>
      </c>
      <c r="E165" t="s">
        <v>1172</v>
      </c>
      <c r="F165" t="s">
        <v>414</v>
      </c>
      <c r="G165" t="s">
        <v>415</v>
      </c>
      <c r="H165" t="s">
        <v>31</v>
      </c>
      <c r="I165" t="s">
        <v>500</v>
      </c>
      <c r="J165" t="s">
        <v>501</v>
      </c>
      <c r="K165">
        <v>1689027238.5999999</v>
      </c>
      <c r="L165">
        <f t="shared" si="184"/>
        <v>4.4005864254774846E-3</v>
      </c>
      <c r="M165">
        <f t="shared" si="185"/>
        <v>4.4005864254774849</v>
      </c>
      <c r="N165">
        <f t="shared" si="186"/>
        <v>53.133325373159046</v>
      </c>
      <c r="O165">
        <f t="shared" si="187"/>
        <v>1130.3399999999999</v>
      </c>
      <c r="P165">
        <f t="shared" si="188"/>
        <v>808.76713760706366</v>
      </c>
      <c r="Q165">
        <f t="shared" si="189"/>
        <v>80.191140136294166</v>
      </c>
      <c r="R165">
        <f t="shared" si="190"/>
        <v>112.075836327684</v>
      </c>
      <c r="S165">
        <f t="shared" si="191"/>
        <v>0.2995092063629865</v>
      </c>
      <c r="T165">
        <f t="shared" si="192"/>
        <v>2.9135427485160883</v>
      </c>
      <c r="U165">
        <f t="shared" si="193"/>
        <v>0.28339507536197467</v>
      </c>
      <c r="V165">
        <f t="shared" si="194"/>
        <v>0.17849743047244759</v>
      </c>
      <c r="W165">
        <f t="shared" si="195"/>
        <v>289.55312257760488</v>
      </c>
      <c r="X165">
        <f t="shared" si="196"/>
        <v>30.478839249852321</v>
      </c>
      <c r="Y165">
        <f t="shared" si="197"/>
        <v>29.954599999999999</v>
      </c>
      <c r="Z165">
        <f t="shared" si="198"/>
        <v>4.2493522489456099</v>
      </c>
      <c r="AA165">
        <f t="shared" si="199"/>
        <v>65.200885475642494</v>
      </c>
      <c r="AB165">
        <f t="shared" si="200"/>
        <v>2.7641585342105399</v>
      </c>
      <c r="AC165">
        <f t="shared" si="201"/>
        <v>4.2394493787099927</v>
      </c>
      <c r="AD165">
        <f t="shared" si="202"/>
        <v>1.48519371473507</v>
      </c>
      <c r="AE165">
        <f t="shared" si="203"/>
        <v>-194.06586136355708</v>
      </c>
      <c r="AF165">
        <f t="shared" si="204"/>
        <v>-6.3772416163144205</v>
      </c>
      <c r="AG165">
        <f t="shared" si="205"/>
        <v>-0.48637140658643241</v>
      </c>
      <c r="AH165">
        <f t="shared" si="206"/>
        <v>88.623648191146941</v>
      </c>
      <c r="AI165">
        <v>0</v>
      </c>
      <c r="AJ165">
        <v>0</v>
      </c>
      <c r="AK165">
        <f t="shared" si="207"/>
        <v>1</v>
      </c>
      <c r="AL165">
        <f t="shared" si="208"/>
        <v>0</v>
      </c>
      <c r="AM165">
        <f t="shared" si="209"/>
        <v>51891.316738700567</v>
      </c>
      <c r="AN165" t="s">
        <v>418</v>
      </c>
      <c r="AO165">
        <v>10021</v>
      </c>
      <c r="AP165">
        <v>177.53923076923081</v>
      </c>
      <c r="AQ165">
        <v>655.56</v>
      </c>
      <c r="AR165">
        <f t="shared" si="210"/>
        <v>0.72917928066198234</v>
      </c>
      <c r="AS165">
        <v>-3.1115002560329539</v>
      </c>
      <c r="AT165" t="s">
        <v>1173</v>
      </c>
      <c r="AU165">
        <v>8015.76</v>
      </c>
      <c r="AV165">
        <v>741.28411999999992</v>
      </c>
      <c r="AW165">
        <v>1132.617340022488</v>
      </c>
      <c r="AX165">
        <f t="shared" si="211"/>
        <v>0.34551229810300998</v>
      </c>
      <c r="AY165">
        <v>0.5</v>
      </c>
      <c r="AZ165">
        <f t="shared" si="212"/>
        <v>1513.1171992630077</v>
      </c>
      <c r="BA165">
        <f t="shared" si="213"/>
        <v>53.133325373159046</v>
      </c>
      <c r="BB165">
        <f t="shared" si="214"/>
        <v>261.40030040827594</v>
      </c>
      <c r="BC165">
        <f t="shared" si="215"/>
        <v>3.7171493164301551E-2</v>
      </c>
      <c r="BD165">
        <f t="shared" si="216"/>
        <v>-0.42119904328236413</v>
      </c>
      <c r="BE165">
        <f t="shared" si="217"/>
        <v>200.39858241445629</v>
      </c>
      <c r="BF165" t="s">
        <v>1174</v>
      </c>
      <c r="BG165">
        <v>576.25</v>
      </c>
      <c r="BH165">
        <f t="shared" si="218"/>
        <v>576.25</v>
      </c>
      <c r="BI165">
        <f t="shared" si="219"/>
        <v>0.49122269310431121</v>
      </c>
      <c r="BJ165">
        <f t="shared" si="220"/>
        <v>0.70337202037537039</v>
      </c>
      <c r="BK165">
        <f t="shared" si="221"/>
        <v>-6.0150969615746854</v>
      </c>
      <c r="BL165">
        <f t="shared" si="222"/>
        <v>0.40973949275044957</v>
      </c>
      <c r="BM165">
        <f t="shared" si="223"/>
        <v>-0.99798454529531955</v>
      </c>
      <c r="BN165">
        <f t="shared" si="224"/>
        <v>0.5467783752622507</v>
      </c>
      <c r="BO165">
        <f t="shared" si="225"/>
        <v>0.4532216247377493</v>
      </c>
      <c r="BP165">
        <v>22763</v>
      </c>
      <c r="BQ165">
        <v>290.00000000000011</v>
      </c>
      <c r="BR165">
        <v>1000.2</v>
      </c>
      <c r="BS165">
        <v>295</v>
      </c>
      <c r="BT165">
        <v>8015.76</v>
      </c>
      <c r="BU165">
        <v>1002.22</v>
      </c>
      <c r="BV165">
        <v>-2.02</v>
      </c>
      <c r="BW165">
        <v>300.00000000000011</v>
      </c>
      <c r="BX165">
        <v>19.399999999999999</v>
      </c>
      <c r="BY165">
        <v>1132.617340022488</v>
      </c>
      <c r="BZ165">
        <v>4.0736932002314186</v>
      </c>
      <c r="CA165">
        <v>-104.5242587562318</v>
      </c>
      <c r="CB165">
        <v>2.9995599287883659</v>
      </c>
      <c r="CC165">
        <v>0.97746081130073714</v>
      </c>
      <c r="CD165">
        <v>-4.1395374860956676E-3</v>
      </c>
      <c r="CE165">
        <v>289.99999999999989</v>
      </c>
      <c r="CF165">
        <v>996.54</v>
      </c>
      <c r="CG165">
        <v>635</v>
      </c>
      <c r="CH165">
        <v>8006.4</v>
      </c>
      <c r="CI165">
        <v>1002.07</v>
      </c>
      <c r="CJ165">
        <v>-5.53</v>
      </c>
      <c r="CX165">
        <f t="shared" si="226"/>
        <v>1799.92</v>
      </c>
      <c r="CY165">
        <f t="shared" si="227"/>
        <v>1513.1171992630077</v>
      </c>
      <c r="CZ165">
        <f t="shared" si="228"/>
        <v>0.84065802883628582</v>
      </c>
      <c r="DA165">
        <f t="shared" si="229"/>
        <v>0.16086999565403176</v>
      </c>
      <c r="DB165">
        <v>6</v>
      </c>
      <c r="DC165">
        <v>0.5</v>
      </c>
      <c r="DD165" t="s">
        <v>421</v>
      </c>
      <c r="DE165">
        <v>2</v>
      </c>
      <c r="DF165">
        <v>1689027238.5999999</v>
      </c>
      <c r="DG165">
        <v>1130.3399999999999</v>
      </c>
      <c r="DH165">
        <v>1200.08</v>
      </c>
      <c r="DI165">
        <v>27.8779</v>
      </c>
      <c r="DJ165">
        <v>22.743600000000001</v>
      </c>
      <c r="DK165">
        <v>1129.02</v>
      </c>
      <c r="DL165">
        <v>27.610099999999999</v>
      </c>
      <c r="DM165">
        <v>499.92099999999999</v>
      </c>
      <c r="DN165">
        <v>99.052700000000002</v>
      </c>
      <c r="DO165">
        <v>9.9622600000000006E-2</v>
      </c>
      <c r="DP165">
        <v>29.914000000000001</v>
      </c>
      <c r="DQ165">
        <v>29.954599999999999</v>
      </c>
      <c r="DR165">
        <v>999.9</v>
      </c>
      <c r="DS165">
        <v>0</v>
      </c>
      <c r="DT165">
        <v>0</v>
      </c>
      <c r="DU165">
        <v>10003.799999999999</v>
      </c>
      <c r="DV165">
        <v>0</v>
      </c>
      <c r="DW165">
        <v>1114.4100000000001</v>
      </c>
      <c r="DX165">
        <v>-69.739400000000003</v>
      </c>
      <c r="DY165">
        <v>1162.75</v>
      </c>
      <c r="DZ165">
        <v>1228.01</v>
      </c>
      <c r="EA165">
        <v>5.1343100000000002</v>
      </c>
      <c r="EB165">
        <v>1200.08</v>
      </c>
      <c r="EC165">
        <v>22.743600000000001</v>
      </c>
      <c r="ED165">
        <v>2.7613799999999999</v>
      </c>
      <c r="EE165">
        <v>2.2528100000000002</v>
      </c>
      <c r="EF165">
        <v>22.655000000000001</v>
      </c>
      <c r="EG165">
        <v>19.3429</v>
      </c>
      <c r="EH165">
        <v>1799.92</v>
      </c>
      <c r="EI165">
        <v>0.97800299999999996</v>
      </c>
      <c r="EJ165">
        <v>2.19974E-2</v>
      </c>
      <c r="EK165">
        <v>0</v>
      </c>
      <c r="EL165">
        <v>740.53700000000003</v>
      </c>
      <c r="EM165">
        <v>5.0011200000000002</v>
      </c>
      <c r="EN165">
        <v>15239.9</v>
      </c>
      <c r="EO165">
        <v>17210.099999999999</v>
      </c>
      <c r="EP165">
        <v>48.375</v>
      </c>
      <c r="EQ165">
        <v>49.5</v>
      </c>
      <c r="ER165">
        <v>49.375</v>
      </c>
      <c r="ES165">
        <v>48.061999999999998</v>
      </c>
      <c r="ET165">
        <v>48.25</v>
      </c>
      <c r="EU165">
        <v>1755.44</v>
      </c>
      <c r="EV165">
        <v>39.479999999999997</v>
      </c>
      <c r="EW165">
        <v>0</v>
      </c>
      <c r="EX165">
        <v>150</v>
      </c>
      <c r="EY165">
        <v>0</v>
      </c>
      <c r="EZ165">
        <v>741.28411999999992</v>
      </c>
      <c r="FA165">
        <v>-2.9553076884923661</v>
      </c>
      <c r="FB165">
        <v>378.21538403460818</v>
      </c>
      <c r="FC165">
        <v>15220.248</v>
      </c>
      <c r="FD165">
        <v>15</v>
      </c>
      <c r="FE165">
        <v>1689027205.5999999</v>
      </c>
      <c r="FF165" t="s">
        <v>1175</v>
      </c>
      <c r="FG165">
        <v>1689027050.0999999</v>
      </c>
      <c r="FH165">
        <v>1689027188.0999999</v>
      </c>
      <c r="FI165">
        <v>167</v>
      </c>
      <c r="FJ165">
        <v>-0.20399999999999999</v>
      </c>
      <c r="FK165">
        <v>6.0000000000000001E-3</v>
      </c>
      <c r="FL165">
        <v>1.2070000000000001</v>
      </c>
      <c r="FM165">
        <v>0.26800000000000002</v>
      </c>
      <c r="FN165">
        <v>900</v>
      </c>
      <c r="FO165">
        <v>23</v>
      </c>
      <c r="FP165">
        <v>0.12</v>
      </c>
      <c r="FQ165">
        <v>0.02</v>
      </c>
      <c r="FR165">
        <v>53.06103236203797</v>
      </c>
      <c r="FS165">
        <v>-0.67391951087245339</v>
      </c>
      <c r="FT165">
        <v>6.7488599588642756E-2</v>
      </c>
      <c r="FU165">
        <v>1</v>
      </c>
      <c r="FV165">
        <v>0.307074303446635</v>
      </c>
      <c r="FW165">
        <v>-4.7612620660862727E-2</v>
      </c>
      <c r="FX165">
        <v>3.576906700317337E-3</v>
      </c>
      <c r="FY165">
        <v>1</v>
      </c>
      <c r="FZ165">
        <v>2</v>
      </c>
      <c r="GA165">
        <v>2</v>
      </c>
      <c r="GB165" t="s">
        <v>423</v>
      </c>
      <c r="GC165">
        <v>2.9249700000000001</v>
      </c>
      <c r="GD165">
        <v>2.8269500000000001</v>
      </c>
      <c r="GE165">
        <v>0.18118899999999999</v>
      </c>
      <c r="GF165">
        <v>0.18867999999999999</v>
      </c>
      <c r="GG165">
        <v>0.1242</v>
      </c>
      <c r="GH165">
        <v>0.108311</v>
      </c>
      <c r="GI165">
        <v>26718.3</v>
      </c>
      <c r="GJ165">
        <v>21449.3</v>
      </c>
      <c r="GK165">
        <v>31403</v>
      </c>
      <c r="GL165">
        <v>26079.8</v>
      </c>
      <c r="GM165">
        <v>37704.6</v>
      </c>
      <c r="GN165">
        <v>31543.3</v>
      </c>
      <c r="GO165">
        <v>46635.3</v>
      </c>
      <c r="GP165">
        <v>37917.199999999997</v>
      </c>
      <c r="GQ165">
        <v>1.9248799999999999</v>
      </c>
      <c r="GR165">
        <v>1.7485299999999999</v>
      </c>
      <c r="GS165">
        <v>-2.2351700000000001E-4</v>
      </c>
      <c r="GT165">
        <v>0</v>
      </c>
      <c r="GU165">
        <v>29.958200000000001</v>
      </c>
      <c r="GV165">
        <v>999.9</v>
      </c>
      <c r="GW165">
        <v>34.200000000000003</v>
      </c>
      <c r="GX165">
        <v>43.7</v>
      </c>
      <c r="GY165">
        <v>31.1112</v>
      </c>
      <c r="GZ165">
        <v>62.237400000000001</v>
      </c>
      <c r="HA165">
        <v>19.3429</v>
      </c>
      <c r="HB165">
        <v>1</v>
      </c>
      <c r="HC165">
        <v>0.47353200000000001</v>
      </c>
      <c r="HD165">
        <v>1.86107</v>
      </c>
      <c r="HE165">
        <v>20.337</v>
      </c>
      <c r="HF165">
        <v>5.2210299999999998</v>
      </c>
      <c r="HG165">
        <v>12.0603</v>
      </c>
      <c r="HH165">
        <v>4.9902499999999996</v>
      </c>
      <c r="HI165">
        <v>3.2913299999999999</v>
      </c>
      <c r="HJ165">
        <v>9999</v>
      </c>
      <c r="HK165">
        <v>9999</v>
      </c>
      <c r="HL165">
        <v>9999</v>
      </c>
      <c r="HM165">
        <v>468.7</v>
      </c>
      <c r="HN165">
        <v>1.8666400000000001</v>
      </c>
      <c r="HO165">
        <v>1.87012</v>
      </c>
      <c r="HP165">
        <v>1.8727100000000001</v>
      </c>
      <c r="HQ165">
        <v>1.8736299999999999</v>
      </c>
      <c r="HR165">
        <v>1.87042</v>
      </c>
      <c r="HS165">
        <v>1.8687400000000001</v>
      </c>
      <c r="HT165">
        <v>1.8702700000000001</v>
      </c>
      <c r="HU165">
        <v>1.87321</v>
      </c>
      <c r="HV165">
        <v>0</v>
      </c>
      <c r="HW165">
        <v>0</v>
      </c>
      <c r="HX165">
        <v>0</v>
      </c>
      <c r="HY165">
        <v>0</v>
      </c>
      <c r="HZ165" t="s">
        <v>424</v>
      </c>
      <c r="IA165" t="s">
        <v>425</v>
      </c>
      <c r="IB165" t="s">
        <v>426</v>
      </c>
      <c r="IC165" t="s">
        <v>426</v>
      </c>
      <c r="ID165" t="s">
        <v>426</v>
      </c>
      <c r="IE165" t="s">
        <v>426</v>
      </c>
      <c r="IF165">
        <v>0</v>
      </c>
      <c r="IG165">
        <v>100</v>
      </c>
      <c r="IH165">
        <v>100</v>
      </c>
      <c r="II165">
        <v>1.32</v>
      </c>
      <c r="IJ165">
        <v>0.26779999999999998</v>
      </c>
      <c r="IK165">
        <v>-9.088339853572372E-2</v>
      </c>
      <c r="IL165">
        <v>3.042515301972944E-3</v>
      </c>
      <c r="IM165">
        <v>-2.5091471490852929E-6</v>
      </c>
      <c r="IN165">
        <v>8.1339755115576286E-10</v>
      </c>
      <c r="IO165">
        <v>0.2678149999999988</v>
      </c>
      <c r="IP165">
        <v>0</v>
      </c>
      <c r="IQ165">
        <v>0</v>
      </c>
      <c r="IR165">
        <v>0</v>
      </c>
      <c r="IS165">
        <v>3</v>
      </c>
      <c r="IT165">
        <v>2004</v>
      </c>
      <c r="IU165">
        <v>2</v>
      </c>
      <c r="IV165">
        <v>22</v>
      </c>
      <c r="IW165">
        <v>3.1</v>
      </c>
      <c r="IX165">
        <v>0.8</v>
      </c>
      <c r="IY165">
        <v>2.5573700000000001</v>
      </c>
      <c r="IZ165">
        <v>2.5976599999999999</v>
      </c>
      <c r="JA165">
        <v>1.64917</v>
      </c>
      <c r="JB165">
        <v>2.33887</v>
      </c>
      <c r="JC165">
        <v>1.5991200000000001</v>
      </c>
      <c r="JD165">
        <v>2.2448700000000001</v>
      </c>
      <c r="JE165">
        <v>46.327399999999997</v>
      </c>
      <c r="JF165">
        <v>15.7606</v>
      </c>
      <c r="JG165">
        <v>18</v>
      </c>
      <c r="JH165">
        <v>518.43799999999999</v>
      </c>
      <c r="JI165">
        <v>451.54700000000003</v>
      </c>
      <c r="JJ165">
        <v>27.154900000000001</v>
      </c>
      <c r="JK165">
        <v>33.104799999999997</v>
      </c>
      <c r="JL165">
        <v>29.999500000000001</v>
      </c>
      <c r="JM165">
        <v>33.270699999999998</v>
      </c>
      <c r="JN165">
        <v>33.282299999999999</v>
      </c>
      <c r="JO165">
        <v>51.161499999999997</v>
      </c>
      <c r="JP165">
        <v>38.825299999999999</v>
      </c>
      <c r="JQ165">
        <v>0</v>
      </c>
      <c r="JR165">
        <v>27.163</v>
      </c>
      <c r="JS165">
        <v>1200</v>
      </c>
      <c r="JT165">
        <v>22.764800000000001</v>
      </c>
      <c r="JU165">
        <v>99.533199999999994</v>
      </c>
      <c r="JV165">
        <v>99.156800000000004</v>
      </c>
    </row>
    <row r="166" spans="1:282" x14ac:dyDescent="0.25">
      <c r="A166">
        <v>150</v>
      </c>
      <c r="B166">
        <v>1689027345.0999999</v>
      </c>
      <c r="C166">
        <v>27750</v>
      </c>
      <c r="D166" t="s">
        <v>1176</v>
      </c>
      <c r="E166" t="s">
        <v>1177</v>
      </c>
      <c r="F166" t="s">
        <v>414</v>
      </c>
      <c r="G166" t="s">
        <v>415</v>
      </c>
      <c r="H166" t="s">
        <v>31</v>
      </c>
      <c r="I166" t="s">
        <v>500</v>
      </c>
      <c r="J166" t="s">
        <v>501</v>
      </c>
      <c r="K166">
        <v>1689027345.0999999</v>
      </c>
      <c r="L166">
        <f t="shared" si="184"/>
        <v>3.7721575944580235E-3</v>
      </c>
      <c r="M166">
        <f t="shared" si="185"/>
        <v>3.7721575944580237</v>
      </c>
      <c r="N166">
        <f t="shared" si="186"/>
        <v>52.408091403906347</v>
      </c>
      <c r="O166">
        <f t="shared" si="187"/>
        <v>1430.99</v>
      </c>
      <c r="P166">
        <f t="shared" si="188"/>
        <v>1055.1437952407066</v>
      </c>
      <c r="Q166">
        <f t="shared" si="189"/>
        <v>104.6183089963717</v>
      </c>
      <c r="R166">
        <f t="shared" si="190"/>
        <v>141.88374576620203</v>
      </c>
      <c r="S166">
        <f t="shared" si="191"/>
        <v>0.25307507555219005</v>
      </c>
      <c r="T166">
        <f t="shared" si="192"/>
        <v>2.9141648441590515</v>
      </c>
      <c r="U166">
        <f t="shared" si="193"/>
        <v>0.24146844439124154</v>
      </c>
      <c r="V166">
        <f t="shared" si="194"/>
        <v>0.15191622243133091</v>
      </c>
      <c r="W166">
        <f t="shared" si="195"/>
        <v>289.57604557735516</v>
      </c>
      <c r="X166">
        <f t="shared" si="196"/>
        <v>30.584795834461882</v>
      </c>
      <c r="Y166">
        <f t="shared" si="197"/>
        <v>29.9589</v>
      </c>
      <c r="Z166">
        <f t="shared" si="198"/>
        <v>4.2504022548050067</v>
      </c>
      <c r="AA166">
        <f t="shared" si="199"/>
        <v>65.230829195038638</v>
      </c>
      <c r="AB166">
        <f t="shared" si="200"/>
        <v>2.7562225661483404</v>
      </c>
      <c r="AC166">
        <f t="shared" si="201"/>
        <v>4.2253373139061283</v>
      </c>
      <c r="AD166">
        <f t="shared" si="202"/>
        <v>1.4941796886566663</v>
      </c>
      <c r="AE166">
        <f t="shared" si="203"/>
        <v>-166.35214991559883</v>
      </c>
      <c r="AF166">
        <f t="shared" si="204"/>
        <v>-16.166460027557076</v>
      </c>
      <c r="AG166">
        <f t="shared" si="205"/>
        <v>-1.2323722293713599</v>
      </c>
      <c r="AH166">
        <f t="shared" si="206"/>
        <v>105.82506340482787</v>
      </c>
      <c r="AI166">
        <v>0</v>
      </c>
      <c r="AJ166">
        <v>0</v>
      </c>
      <c r="AK166">
        <f t="shared" si="207"/>
        <v>1</v>
      </c>
      <c r="AL166">
        <f t="shared" si="208"/>
        <v>0</v>
      </c>
      <c r="AM166">
        <f t="shared" si="209"/>
        <v>51918.929445979229</v>
      </c>
      <c r="AN166" t="s">
        <v>418</v>
      </c>
      <c r="AO166">
        <v>10021</v>
      </c>
      <c r="AP166">
        <v>177.53923076923081</v>
      </c>
      <c r="AQ166">
        <v>655.56</v>
      </c>
      <c r="AR166">
        <f t="shared" si="210"/>
        <v>0.72917928066198234</v>
      </c>
      <c r="AS166">
        <v>-3.1115002560329539</v>
      </c>
      <c r="AT166" t="s">
        <v>1178</v>
      </c>
      <c r="AU166">
        <v>8016.21</v>
      </c>
      <c r="AV166">
        <v>739.84924000000012</v>
      </c>
      <c r="AW166">
        <v>1126.2892163018671</v>
      </c>
      <c r="AX166">
        <f t="shared" si="211"/>
        <v>0.34310900851091308</v>
      </c>
      <c r="AY166">
        <v>0.5</v>
      </c>
      <c r="AZ166">
        <f t="shared" si="212"/>
        <v>1513.2350992628783</v>
      </c>
      <c r="BA166">
        <f t="shared" si="213"/>
        <v>52.408091403906347</v>
      </c>
      <c r="BB166">
        <f t="shared" si="214"/>
        <v>259.60229727599966</v>
      </c>
      <c r="BC166">
        <f t="shared" si="215"/>
        <v>3.6689336433567928E-2</v>
      </c>
      <c r="BD166">
        <f t="shared" si="216"/>
        <v>-0.41794701528572809</v>
      </c>
      <c r="BE166">
        <f t="shared" si="217"/>
        <v>200.19956109767941</v>
      </c>
      <c r="BF166" t="s">
        <v>1179</v>
      </c>
      <c r="BG166">
        <v>574.76</v>
      </c>
      <c r="BH166">
        <f t="shared" si="218"/>
        <v>574.76</v>
      </c>
      <c r="BI166">
        <f t="shared" si="219"/>
        <v>0.4896870256050172</v>
      </c>
      <c r="BJ166">
        <f t="shared" si="220"/>
        <v>0.70067000057229556</v>
      </c>
      <c r="BK166">
        <f t="shared" si="221"/>
        <v>-5.8258566373993492</v>
      </c>
      <c r="BL166">
        <f t="shared" si="222"/>
        <v>0.40731486924336163</v>
      </c>
      <c r="BM166">
        <f t="shared" si="223"/>
        <v>-0.98474636794414694</v>
      </c>
      <c r="BN166">
        <f t="shared" si="224"/>
        <v>0.54432317796113783</v>
      </c>
      <c r="BO166">
        <f t="shared" si="225"/>
        <v>0.45567682203886217</v>
      </c>
      <c r="BP166">
        <v>22765</v>
      </c>
      <c r="BQ166">
        <v>290.00000000000011</v>
      </c>
      <c r="BR166">
        <v>994.95</v>
      </c>
      <c r="BS166">
        <v>285</v>
      </c>
      <c r="BT166">
        <v>8016.21</v>
      </c>
      <c r="BU166">
        <v>997.28</v>
      </c>
      <c r="BV166">
        <v>-2.33</v>
      </c>
      <c r="BW166">
        <v>300.00000000000011</v>
      </c>
      <c r="BX166">
        <v>19.399999999999999</v>
      </c>
      <c r="BY166">
        <v>1126.2892163018671</v>
      </c>
      <c r="BZ166">
        <v>5.0440594294879277</v>
      </c>
      <c r="CA166">
        <v>-103.41271707307649</v>
      </c>
      <c r="CB166">
        <v>3.7142847759060822</v>
      </c>
      <c r="CC166">
        <v>0.96513818232765169</v>
      </c>
      <c r="CD166">
        <v>-4.1397103448275923E-3</v>
      </c>
      <c r="CE166">
        <v>289.99999999999989</v>
      </c>
      <c r="CF166">
        <v>992.06</v>
      </c>
      <c r="CG166">
        <v>635</v>
      </c>
      <c r="CH166">
        <v>8006.89</v>
      </c>
      <c r="CI166">
        <v>997.13</v>
      </c>
      <c r="CJ166">
        <v>-5.07</v>
      </c>
      <c r="CX166">
        <f t="shared" si="226"/>
        <v>1800.06</v>
      </c>
      <c r="CY166">
        <f t="shared" si="227"/>
        <v>1513.2350992628783</v>
      </c>
      <c r="CZ166">
        <f t="shared" si="228"/>
        <v>0.84065814431901065</v>
      </c>
      <c r="DA166">
        <f t="shared" si="229"/>
        <v>0.16087021853569058</v>
      </c>
      <c r="DB166">
        <v>6</v>
      </c>
      <c r="DC166">
        <v>0.5</v>
      </c>
      <c r="DD166" t="s">
        <v>421</v>
      </c>
      <c r="DE166">
        <v>2</v>
      </c>
      <c r="DF166">
        <v>1689027345.0999999</v>
      </c>
      <c r="DG166">
        <v>1430.99</v>
      </c>
      <c r="DH166">
        <v>1500.35</v>
      </c>
      <c r="DI166">
        <v>27.798300000000001</v>
      </c>
      <c r="DJ166">
        <v>23.398</v>
      </c>
      <c r="DK166">
        <v>1429.43</v>
      </c>
      <c r="DL166">
        <v>27.5154</v>
      </c>
      <c r="DM166">
        <v>500.05200000000002</v>
      </c>
      <c r="DN166">
        <v>99.051299999999998</v>
      </c>
      <c r="DO166">
        <v>9.9459800000000001E-2</v>
      </c>
      <c r="DP166">
        <v>29.856000000000002</v>
      </c>
      <c r="DQ166">
        <v>29.9589</v>
      </c>
      <c r="DR166">
        <v>999.9</v>
      </c>
      <c r="DS166">
        <v>0</v>
      </c>
      <c r="DT166">
        <v>0</v>
      </c>
      <c r="DU166">
        <v>10007.5</v>
      </c>
      <c r="DV166">
        <v>0</v>
      </c>
      <c r="DW166">
        <v>1108.43</v>
      </c>
      <c r="DX166">
        <v>-69.357100000000003</v>
      </c>
      <c r="DY166">
        <v>1471.91</v>
      </c>
      <c r="DZ166">
        <v>1536.29</v>
      </c>
      <c r="EA166">
        <v>4.4003399999999999</v>
      </c>
      <c r="EB166">
        <v>1500.35</v>
      </c>
      <c r="EC166">
        <v>23.398</v>
      </c>
      <c r="ED166">
        <v>2.75346</v>
      </c>
      <c r="EE166">
        <v>2.3176000000000001</v>
      </c>
      <c r="EF166">
        <v>22.607700000000001</v>
      </c>
      <c r="EG166">
        <v>19.799199999999999</v>
      </c>
      <c r="EH166">
        <v>1800.06</v>
      </c>
      <c r="EI166">
        <v>0.97800299999999996</v>
      </c>
      <c r="EJ166">
        <v>2.19974E-2</v>
      </c>
      <c r="EK166">
        <v>0</v>
      </c>
      <c r="EL166">
        <v>740.11300000000006</v>
      </c>
      <c r="EM166">
        <v>5.0011200000000002</v>
      </c>
      <c r="EN166">
        <v>15228.2</v>
      </c>
      <c r="EO166">
        <v>17211.5</v>
      </c>
      <c r="EP166">
        <v>48.311999999999998</v>
      </c>
      <c r="EQ166">
        <v>49.375</v>
      </c>
      <c r="ER166">
        <v>49.375</v>
      </c>
      <c r="ES166">
        <v>48.061999999999998</v>
      </c>
      <c r="ET166">
        <v>48.561999999999998</v>
      </c>
      <c r="EU166">
        <v>1755.57</v>
      </c>
      <c r="EV166">
        <v>39.49</v>
      </c>
      <c r="EW166">
        <v>0</v>
      </c>
      <c r="EX166">
        <v>104.5999999046326</v>
      </c>
      <c r="EY166">
        <v>0</v>
      </c>
      <c r="EZ166">
        <v>739.84924000000012</v>
      </c>
      <c r="FA166">
        <v>-0.1234615384295919</v>
      </c>
      <c r="FB166">
        <v>-46.199999869848916</v>
      </c>
      <c r="FC166">
        <v>15223.32</v>
      </c>
      <c r="FD166">
        <v>15</v>
      </c>
      <c r="FE166">
        <v>1689027311.5999999</v>
      </c>
      <c r="FF166" t="s">
        <v>1180</v>
      </c>
      <c r="FG166">
        <v>1689027311.5999999</v>
      </c>
      <c r="FH166">
        <v>1689027310.5999999</v>
      </c>
      <c r="FI166">
        <v>168</v>
      </c>
      <c r="FJ166">
        <v>5.8999999999999997E-2</v>
      </c>
      <c r="FK166">
        <v>1.4999999999999999E-2</v>
      </c>
      <c r="FL166">
        <v>1.6279999999999999</v>
      </c>
      <c r="FM166">
        <v>0.28299999999999997</v>
      </c>
      <c r="FN166">
        <v>1500</v>
      </c>
      <c r="FO166">
        <v>23</v>
      </c>
      <c r="FP166">
        <v>0.09</v>
      </c>
      <c r="FQ166">
        <v>0.03</v>
      </c>
      <c r="FR166">
        <v>52.191592639397712</v>
      </c>
      <c r="FS166">
        <v>0.1246103783925448</v>
      </c>
      <c r="FT166">
        <v>0.15611544080597811</v>
      </c>
      <c r="FU166">
        <v>1</v>
      </c>
      <c r="FV166">
        <v>0.25706779521767448</v>
      </c>
      <c r="FW166">
        <v>-3.0191586430474631E-2</v>
      </c>
      <c r="FX166">
        <v>2.3248455047218141E-3</v>
      </c>
      <c r="FY166">
        <v>1</v>
      </c>
      <c r="FZ166">
        <v>2</v>
      </c>
      <c r="GA166">
        <v>2</v>
      </c>
      <c r="GB166" t="s">
        <v>423</v>
      </c>
      <c r="GC166">
        <v>2.9253800000000001</v>
      </c>
      <c r="GD166">
        <v>2.8268200000000001</v>
      </c>
      <c r="GE166">
        <v>0.20976600000000001</v>
      </c>
      <c r="GF166">
        <v>0.21639600000000001</v>
      </c>
      <c r="GG166">
        <v>0.123921</v>
      </c>
      <c r="GH166">
        <v>0.1105</v>
      </c>
      <c r="GI166">
        <v>25786.9</v>
      </c>
      <c r="GJ166">
        <v>20717.2</v>
      </c>
      <c r="GK166">
        <v>31407</v>
      </c>
      <c r="GL166">
        <v>26082.3</v>
      </c>
      <c r="GM166">
        <v>37722</v>
      </c>
      <c r="GN166">
        <v>31469</v>
      </c>
      <c r="GO166">
        <v>46641.599999999999</v>
      </c>
      <c r="GP166">
        <v>37920.9</v>
      </c>
      <c r="GQ166">
        <v>1.9254</v>
      </c>
      <c r="GR166">
        <v>1.7522200000000001</v>
      </c>
      <c r="GS166">
        <v>2.7231899999999999E-3</v>
      </c>
      <c r="GT166">
        <v>0</v>
      </c>
      <c r="GU166">
        <v>29.9146</v>
      </c>
      <c r="GV166">
        <v>999.9</v>
      </c>
      <c r="GW166">
        <v>34.1</v>
      </c>
      <c r="GX166">
        <v>43.6</v>
      </c>
      <c r="GY166">
        <v>30.8613</v>
      </c>
      <c r="GZ166">
        <v>62.547400000000003</v>
      </c>
      <c r="HA166">
        <v>18.894200000000001</v>
      </c>
      <c r="HB166">
        <v>1</v>
      </c>
      <c r="HC166">
        <v>0.468727</v>
      </c>
      <c r="HD166">
        <v>0.86436299999999999</v>
      </c>
      <c r="HE166">
        <v>20.343499999999999</v>
      </c>
      <c r="HF166">
        <v>5.22133</v>
      </c>
      <c r="HG166">
        <v>12.0589</v>
      </c>
      <c r="HH166">
        <v>4.9916499999999999</v>
      </c>
      <c r="HI166">
        <v>3.29122</v>
      </c>
      <c r="HJ166">
        <v>9999</v>
      </c>
      <c r="HK166">
        <v>9999</v>
      </c>
      <c r="HL166">
        <v>9999</v>
      </c>
      <c r="HM166">
        <v>468.7</v>
      </c>
      <c r="HN166">
        <v>1.86663</v>
      </c>
      <c r="HO166">
        <v>1.87012</v>
      </c>
      <c r="HP166">
        <v>1.8727100000000001</v>
      </c>
      <c r="HQ166">
        <v>1.8736299999999999</v>
      </c>
      <c r="HR166">
        <v>1.8704099999999999</v>
      </c>
      <c r="HS166">
        <v>1.8687400000000001</v>
      </c>
      <c r="HT166">
        <v>1.87025</v>
      </c>
      <c r="HU166">
        <v>1.8732</v>
      </c>
      <c r="HV166">
        <v>0</v>
      </c>
      <c r="HW166">
        <v>0</v>
      </c>
      <c r="HX166">
        <v>0</v>
      </c>
      <c r="HY166">
        <v>0</v>
      </c>
      <c r="HZ166" t="s">
        <v>424</v>
      </c>
      <c r="IA166" t="s">
        <v>425</v>
      </c>
      <c r="IB166" t="s">
        <v>426</v>
      </c>
      <c r="IC166" t="s">
        <v>426</v>
      </c>
      <c r="ID166" t="s">
        <v>426</v>
      </c>
      <c r="IE166" t="s">
        <v>426</v>
      </c>
      <c r="IF166">
        <v>0</v>
      </c>
      <c r="IG166">
        <v>100</v>
      </c>
      <c r="IH166">
        <v>100</v>
      </c>
      <c r="II166">
        <v>1.56</v>
      </c>
      <c r="IJ166">
        <v>0.28289999999999998</v>
      </c>
      <c r="IK166">
        <v>-3.3858751200435487E-2</v>
      </c>
      <c r="IL166">
        <v>3.042515301972944E-3</v>
      </c>
      <c r="IM166">
        <v>-2.5091471490852929E-6</v>
      </c>
      <c r="IN166">
        <v>8.1339755115576286E-10</v>
      </c>
      <c r="IO166">
        <v>0.2829238095238118</v>
      </c>
      <c r="IP166">
        <v>0</v>
      </c>
      <c r="IQ166">
        <v>0</v>
      </c>
      <c r="IR166">
        <v>0</v>
      </c>
      <c r="IS166">
        <v>3</v>
      </c>
      <c r="IT166">
        <v>2004</v>
      </c>
      <c r="IU166">
        <v>2</v>
      </c>
      <c r="IV166">
        <v>22</v>
      </c>
      <c r="IW166">
        <v>0.6</v>
      </c>
      <c r="IX166">
        <v>0.6</v>
      </c>
      <c r="IY166">
        <v>3.0676299999999999</v>
      </c>
      <c r="IZ166">
        <v>2.5854499999999998</v>
      </c>
      <c r="JA166">
        <v>1.64917</v>
      </c>
      <c r="JB166">
        <v>2.33887</v>
      </c>
      <c r="JC166">
        <v>1.5991200000000001</v>
      </c>
      <c r="JD166">
        <v>2.3083499999999999</v>
      </c>
      <c r="JE166">
        <v>46.123699999999999</v>
      </c>
      <c r="JF166">
        <v>15.7431</v>
      </c>
      <c r="JG166">
        <v>18</v>
      </c>
      <c r="JH166">
        <v>518.28499999999997</v>
      </c>
      <c r="JI166">
        <v>453.54199999999997</v>
      </c>
      <c r="JJ166">
        <v>26.6648</v>
      </c>
      <c r="JK166">
        <v>33.0396</v>
      </c>
      <c r="JL166">
        <v>29.997499999999999</v>
      </c>
      <c r="JM166">
        <v>33.206699999999998</v>
      </c>
      <c r="JN166">
        <v>33.2194</v>
      </c>
      <c r="JO166">
        <v>61.39</v>
      </c>
      <c r="JP166">
        <v>36.160800000000002</v>
      </c>
      <c r="JQ166">
        <v>0</v>
      </c>
      <c r="JR166">
        <v>26.946300000000001</v>
      </c>
      <c r="JS166">
        <v>1500</v>
      </c>
      <c r="JT166">
        <v>23.4223</v>
      </c>
      <c r="JU166">
        <v>99.546099999999996</v>
      </c>
      <c r="JV166">
        <v>99.166399999999996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2023-07-10T22:16:03Z</dcterms:created>
  <dcterms:modified xsi:type="dcterms:W3CDTF">2023-07-10T23:55:58Z</dcterms:modified>
</cp:coreProperties>
</file>