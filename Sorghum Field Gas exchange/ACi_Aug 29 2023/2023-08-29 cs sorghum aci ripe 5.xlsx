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field 2023\Aug 29 2023 ACi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CZ128" i="1" l="1"/>
  <c r="CY128" i="1"/>
  <c r="CW128" i="1"/>
  <c r="CX128" i="1" s="1"/>
  <c r="AY128" i="1" s="1"/>
  <c r="BL128" i="1"/>
  <c r="BK128" i="1"/>
  <c r="BG128" i="1"/>
  <c r="BJ128" i="1" s="1"/>
  <c r="BC128" i="1"/>
  <c r="BA128" i="1"/>
  <c r="AW128" i="1"/>
  <c r="AQ128" i="1"/>
  <c r="BD128" i="1" s="1"/>
  <c r="AL128" i="1"/>
  <c r="AJ128" i="1"/>
  <c r="N128" i="1" s="1"/>
  <c r="AB128" i="1"/>
  <c r="AA128" i="1"/>
  <c r="Z128" i="1"/>
  <c r="S128" i="1"/>
  <c r="Q128" i="1"/>
  <c r="CZ127" i="1"/>
  <c r="CY127" i="1"/>
  <c r="CX127" i="1" s="1"/>
  <c r="AY127" i="1" s="1"/>
  <c r="BA127" i="1" s="1"/>
  <c r="CW127" i="1"/>
  <c r="BL127" i="1"/>
  <c r="BK127" i="1"/>
  <c r="BJ127" i="1"/>
  <c r="BI127" i="1"/>
  <c r="BM127" i="1" s="1"/>
  <c r="BN127" i="1" s="1"/>
  <c r="BH127" i="1"/>
  <c r="BG127" i="1"/>
  <c r="BC127" i="1"/>
  <c r="AW127" i="1"/>
  <c r="AQ127" i="1"/>
  <c r="BD127" i="1" s="1"/>
  <c r="AL127" i="1"/>
  <c r="AJ127" i="1"/>
  <c r="M127" i="1" s="1"/>
  <c r="AZ127" i="1" s="1"/>
  <c r="AB127" i="1"/>
  <c r="AA127" i="1"/>
  <c r="Z127" i="1"/>
  <c r="V127" i="1"/>
  <c r="S127" i="1"/>
  <c r="Q127" i="1"/>
  <c r="N127" i="1"/>
  <c r="CZ126" i="1"/>
  <c r="CY126" i="1"/>
  <c r="CW126" i="1"/>
  <c r="BL126" i="1"/>
  <c r="BK126" i="1"/>
  <c r="BG126" i="1"/>
  <c r="BC126" i="1"/>
  <c r="AW126" i="1"/>
  <c r="AQ126" i="1"/>
  <c r="BD126" i="1" s="1"/>
  <c r="AL126" i="1"/>
  <c r="AJ126" i="1" s="1"/>
  <c r="AB126" i="1"/>
  <c r="AA126" i="1"/>
  <c r="Z126" i="1" s="1"/>
  <c r="S126" i="1"/>
  <c r="M126" i="1"/>
  <c r="AZ126" i="1" s="1"/>
  <c r="CZ125" i="1"/>
  <c r="CY125" i="1"/>
  <c r="CW125" i="1"/>
  <c r="CX125" i="1" s="1"/>
  <c r="AY125" i="1" s="1"/>
  <c r="BA125" i="1" s="1"/>
  <c r="BL125" i="1"/>
  <c r="BK125" i="1"/>
  <c r="BG125" i="1"/>
  <c r="BJ125" i="1" s="1"/>
  <c r="BC125" i="1"/>
  <c r="AW125" i="1"/>
  <c r="AQ125" i="1"/>
  <c r="BD125" i="1" s="1"/>
  <c r="AL125" i="1"/>
  <c r="AK125" i="1"/>
  <c r="AJ125" i="1"/>
  <c r="Q125" i="1" s="1"/>
  <c r="AB125" i="1"/>
  <c r="AA125" i="1"/>
  <c r="Z125" i="1" s="1"/>
  <c r="S125" i="1"/>
  <c r="M125" i="1"/>
  <c r="AZ125" i="1" s="1"/>
  <c r="BB125" i="1" s="1"/>
  <c r="L125" i="1"/>
  <c r="K125" i="1"/>
  <c r="CZ124" i="1"/>
  <c r="CY124" i="1"/>
  <c r="CW124" i="1"/>
  <c r="CX124" i="1" s="1"/>
  <c r="AY124" i="1" s="1"/>
  <c r="BL124" i="1"/>
  <c r="BK124" i="1"/>
  <c r="BG124" i="1"/>
  <c r="BJ124" i="1" s="1"/>
  <c r="BC124" i="1"/>
  <c r="BA124" i="1"/>
  <c r="AW124" i="1"/>
  <c r="AQ124" i="1"/>
  <c r="BD124" i="1" s="1"/>
  <c r="AL124" i="1"/>
  <c r="AK124" i="1"/>
  <c r="AJ124" i="1"/>
  <c r="N124" i="1" s="1"/>
  <c r="AB124" i="1"/>
  <c r="AA124" i="1"/>
  <c r="Z124" i="1" s="1"/>
  <c r="S124" i="1"/>
  <c r="Q124" i="1"/>
  <c r="M124" i="1"/>
  <c r="AZ124" i="1" s="1"/>
  <c r="CZ123" i="1"/>
  <c r="CY123" i="1"/>
  <c r="CX123" i="1" s="1"/>
  <c r="AY123" i="1" s="1"/>
  <c r="BA123" i="1" s="1"/>
  <c r="CW123" i="1"/>
  <c r="BL123" i="1"/>
  <c r="BK123" i="1"/>
  <c r="BJ123" i="1"/>
  <c r="BI123" i="1"/>
  <c r="BM123" i="1" s="1"/>
  <c r="BN123" i="1" s="1"/>
  <c r="BH123" i="1"/>
  <c r="BG123" i="1"/>
  <c r="BC123" i="1"/>
  <c r="AZ123" i="1"/>
  <c r="AW123" i="1"/>
  <c r="AQ123" i="1"/>
  <c r="BD123" i="1" s="1"/>
  <c r="AL123" i="1"/>
  <c r="AK123" i="1"/>
  <c r="AJ123" i="1"/>
  <c r="L123" i="1" s="1"/>
  <c r="K123" i="1" s="1"/>
  <c r="AB123" i="1"/>
  <c r="AA123" i="1"/>
  <c r="Z123" i="1" s="1"/>
  <c r="W123" i="1"/>
  <c r="X123" i="1" s="1"/>
  <c r="V123" i="1"/>
  <c r="S123" i="1"/>
  <c r="Q123" i="1"/>
  <c r="N123" i="1"/>
  <c r="M123" i="1"/>
  <c r="CZ122" i="1"/>
  <c r="CY122" i="1"/>
  <c r="CW122" i="1"/>
  <c r="BL122" i="1"/>
  <c r="BK122" i="1"/>
  <c r="BG122" i="1"/>
  <c r="BC122" i="1"/>
  <c r="AW122" i="1"/>
  <c r="AQ122" i="1"/>
  <c r="BD122" i="1" s="1"/>
  <c r="AL122" i="1"/>
  <c r="AJ122" i="1" s="1"/>
  <c r="AB122" i="1"/>
  <c r="AA122" i="1"/>
  <c r="Z122" i="1" s="1"/>
  <c r="S122" i="1"/>
  <c r="CZ121" i="1"/>
  <c r="CY121" i="1"/>
  <c r="CW121" i="1"/>
  <c r="CX121" i="1" s="1"/>
  <c r="AY121" i="1" s="1"/>
  <c r="BA121" i="1" s="1"/>
  <c r="BL121" i="1"/>
  <c r="BK121" i="1"/>
  <c r="BG121" i="1"/>
  <c r="BJ121" i="1" s="1"/>
  <c r="BC121" i="1"/>
  <c r="AW121" i="1"/>
  <c r="AQ121" i="1"/>
  <c r="BD121" i="1" s="1"/>
  <c r="AL121" i="1"/>
  <c r="AK121" i="1"/>
  <c r="AJ121" i="1"/>
  <c r="Q121" i="1" s="1"/>
  <c r="AB121" i="1"/>
  <c r="AA121" i="1"/>
  <c r="Z121" i="1" s="1"/>
  <c r="S121" i="1"/>
  <c r="M121" i="1"/>
  <c r="AZ121" i="1" s="1"/>
  <c r="BB121" i="1" s="1"/>
  <c r="CZ120" i="1"/>
  <c r="CY120" i="1"/>
  <c r="CW120" i="1"/>
  <c r="CX120" i="1" s="1"/>
  <c r="AY120" i="1" s="1"/>
  <c r="BL120" i="1"/>
  <c r="BK120" i="1"/>
  <c r="BG120" i="1"/>
  <c r="BJ120" i="1" s="1"/>
  <c r="BC120" i="1"/>
  <c r="BA120" i="1"/>
  <c r="AW120" i="1"/>
  <c r="AQ120" i="1"/>
  <c r="BD120" i="1" s="1"/>
  <c r="AL120" i="1"/>
  <c r="AJ120" i="1" s="1"/>
  <c r="AB120" i="1"/>
  <c r="AA120" i="1"/>
  <c r="Z120" i="1" s="1"/>
  <c r="S120" i="1"/>
  <c r="CZ119" i="1"/>
  <c r="CY119" i="1"/>
  <c r="CX119" i="1" s="1"/>
  <c r="CW119" i="1"/>
  <c r="BL119" i="1"/>
  <c r="BK119" i="1"/>
  <c r="BI119" i="1"/>
  <c r="BM119" i="1" s="1"/>
  <c r="BN119" i="1" s="1"/>
  <c r="BH119" i="1"/>
  <c r="BG119" i="1"/>
  <c r="BJ119" i="1" s="1"/>
  <c r="BC119" i="1"/>
  <c r="AY119" i="1"/>
  <c r="BA119" i="1" s="1"/>
  <c r="AW119" i="1"/>
  <c r="AQ119" i="1"/>
  <c r="BD119" i="1" s="1"/>
  <c r="AL119" i="1"/>
  <c r="AK119" i="1"/>
  <c r="AJ119" i="1"/>
  <c r="N119" i="1" s="1"/>
  <c r="AB119" i="1"/>
  <c r="AA119" i="1"/>
  <c r="Z119" i="1" s="1"/>
  <c r="V119" i="1"/>
  <c r="S119" i="1"/>
  <c r="Q119" i="1"/>
  <c r="CZ118" i="1"/>
  <c r="CY118" i="1"/>
  <c r="CW118" i="1"/>
  <c r="BL118" i="1"/>
  <c r="BK118" i="1"/>
  <c r="BG118" i="1"/>
  <c r="BC118" i="1"/>
  <c r="AW118" i="1"/>
  <c r="AQ118" i="1"/>
  <c r="BD118" i="1" s="1"/>
  <c r="AL118" i="1"/>
  <c r="AJ118" i="1" s="1"/>
  <c r="AB118" i="1"/>
  <c r="AA118" i="1"/>
  <c r="Z118" i="1" s="1"/>
  <c r="S118" i="1"/>
  <c r="M118" i="1"/>
  <c r="AZ118" i="1" s="1"/>
  <c r="CZ117" i="1"/>
  <c r="CY117" i="1"/>
  <c r="CW117" i="1"/>
  <c r="CX117" i="1" s="1"/>
  <c r="AY117" i="1" s="1"/>
  <c r="BL117" i="1"/>
  <c r="BK117" i="1"/>
  <c r="BG117" i="1"/>
  <c r="BJ117" i="1" s="1"/>
  <c r="BC117" i="1"/>
  <c r="AW117" i="1"/>
  <c r="AQ117" i="1"/>
  <c r="BD117" i="1" s="1"/>
  <c r="AL117" i="1"/>
  <c r="AK117" i="1"/>
  <c r="AJ117" i="1"/>
  <c r="L117" i="1" s="1"/>
  <c r="AB117" i="1"/>
  <c r="AA117" i="1"/>
  <c r="Z117" i="1" s="1"/>
  <c r="S117" i="1"/>
  <c r="Q117" i="1"/>
  <c r="N117" i="1"/>
  <c r="M117" i="1"/>
  <c r="AZ117" i="1" s="1"/>
  <c r="BB117" i="1" s="1"/>
  <c r="K117" i="1"/>
  <c r="CZ116" i="1"/>
  <c r="CY116" i="1"/>
  <c r="CW116" i="1"/>
  <c r="CX116" i="1" s="1"/>
  <c r="AY116" i="1" s="1"/>
  <c r="BL116" i="1"/>
  <c r="BK116" i="1"/>
  <c r="BG116" i="1"/>
  <c r="BJ116" i="1" s="1"/>
  <c r="BC116" i="1"/>
  <c r="BA116" i="1"/>
  <c r="AW116" i="1"/>
  <c r="AQ116" i="1"/>
  <c r="BD116" i="1" s="1"/>
  <c r="AL116" i="1"/>
  <c r="AJ116" i="1" s="1"/>
  <c r="AB116" i="1"/>
  <c r="AA116" i="1"/>
  <c r="Z116" i="1" s="1"/>
  <c r="S116" i="1"/>
  <c r="Q116" i="1"/>
  <c r="CZ115" i="1"/>
  <c r="CY115" i="1"/>
  <c r="CX115" i="1" s="1"/>
  <c r="AY115" i="1" s="1"/>
  <c r="CW115" i="1"/>
  <c r="BL115" i="1"/>
  <c r="BK115" i="1"/>
  <c r="BI115" i="1"/>
  <c r="BM115" i="1" s="1"/>
  <c r="BN115" i="1" s="1"/>
  <c r="BH115" i="1"/>
  <c r="BG115" i="1"/>
  <c r="BJ115" i="1" s="1"/>
  <c r="BC115" i="1"/>
  <c r="BA115" i="1"/>
  <c r="AW115" i="1"/>
  <c r="AQ115" i="1"/>
  <c r="BD115" i="1" s="1"/>
  <c r="AL115" i="1"/>
  <c r="AK115" i="1"/>
  <c r="AJ115" i="1"/>
  <c r="N115" i="1" s="1"/>
  <c r="AB115" i="1"/>
  <c r="AA115" i="1"/>
  <c r="Z115" i="1" s="1"/>
  <c r="V115" i="1"/>
  <c r="S115" i="1"/>
  <c r="Q115" i="1"/>
  <c r="CZ114" i="1"/>
  <c r="CY114" i="1"/>
  <c r="CW114" i="1"/>
  <c r="BL114" i="1"/>
  <c r="BK114" i="1"/>
  <c r="BG114" i="1"/>
  <c r="BC114" i="1"/>
  <c r="AW114" i="1"/>
  <c r="AQ114" i="1"/>
  <c r="BD114" i="1" s="1"/>
  <c r="AL114" i="1"/>
  <c r="AJ114" i="1" s="1"/>
  <c r="AB114" i="1"/>
  <c r="AA114" i="1"/>
  <c r="Z114" i="1" s="1"/>
  <c r="S114" i="1"/>
  <c r="Q114" i="1"/>
  <c r="CZ113" i="1"/>
  <c r="CY113" i="1"/>
  <c r="CW113" i="1"/>
  <c r="BL113" i="1"/>
  <c r="BK113" i="1"/>
  <c r="BG113" i="1"/>
  <c r="BC113" i="1"/>
  <c r="AW113" i="1"/>
  <c r="AQ113" i="1"/>
  <c r="BD113" i="1" s="1"/>
  <c r="AL113" i="1"/>
  <c r="AK113" i="1"/>
  <c r="AJ113" i="1"/>
  <c r="Q113" i="1" s="1"/>
  <c r="AB113" i="1"/>
  <c r="AA113" i="1"/>
  <c r="Z113" i="1" s="1"/>
  <c r="S113" i="1"/>
  <c r="N113" i="1"/>
  <c r="M113" i="1"/>
  <c r="AZ113" i="1" s="1"/>
  <c r="CZ112" i="1"/>
  <c r="CY112" i="1"/>
  <c r="CW112" i="1"/>
  <c r="BL112" i="1"/>
  <c r="BK112" i="1"/>
  <c r="BG112" i="1"/>
  <c r="BC112" i="1"/>
  <c r="AW112" i="1"/>
  <c r="AQ112" i="1"/>
  <c r="BD112" i="1" s="1"/>
  <c r="AL112" i="1"/>
  <c r="AJ112" i="1" s="1"/>
  <c r="N112" i="1" s="1"/>
  <c r="AK112" i="1"/>
  <c r="AB112" i="1"/>
  <c r="AA112" i="1"/>
  <c r="S112" i="1"/>
  <c r="Q112" i="1"/>
  <c r="M112" i="1"/>
  <c r="AZ112" i="1" s="1"/>
  <c r="L112" i="1"/>
  <c r="K112" i="1" s="1"/>
  <c r="CZ111" i="1"/>
  <c r="CY111" i="1"/>
  <c r="CX111" i="1" s="1"/>
  <c r="AY111" i="1" s="1"/>
  <c r="CW111" i="1"/>
  <c r="BL111" i="1"/>
  <c r="BK111" i="1"/>
  <c r="BI111" i="1"/>
  <c r="BM111" i="1" s="1"/>
  <c r="BN111" i="1" s="1"/>
  <c r="BH111" i="1"/>
  <c r="BG111" i="1"/>
  <c r="BJ111" i="1" s="1"/>
  <c r="BC111" i="1"/>
  <c r="AW111" i="1"/>
  <c r="BA111" i="1" s="1"/>
  <c r="AQ111" i="1"/>
  <c r="BD111" i="1" s="1"/>
  <c r="AL111" i="1"/>
  <c r="AJ111" i="1"/>
  <c r="AB111" i="1"/>
  <c r="AA111" i="1"/>
  <c r="Z111" i="1" s="1"/>
  <c r="V111" i="1"/>
  <c r="S111" i="1"/>
  <c r="CZ110" i="1"/>
  <c r="CY110" i="1"/>
  <c r="CW110" i="1"/>
  <c r="BL110" i="1"/>
  <c r="BK110" i="1"/>
  <c r="BJ110" i="1"/>
  <c r="BG110" i="1"/>
  <c r="BH110" i="1" s="1"/>
  <c r="BD110" i="1"/>
  <c r="BC110" i="1"/>
  <c r="AW110" i="1"/>
  <c r="AQ110" i="1"/>
  <c r="AL110" i="1"/>
  <c r="AJ110" i="1" s="1"/>
  <c r="N110" i="1" s="1"/>
  <c r="AB110" i="1"/>
  <c r="AA110" i="1"/>
  <c r="S110" i="1"/>
  <c r="Q110" i="1"/>
  <c r="L110" i="1"/>
  <c r="K110" i="1" s="1"/>
  <c r="CZ109" i="1"/>
  <c r="CY109" i="1"/>
  <c r="CX109" i="1"/>
  <c r="AY109" i="1" s="1"/>
  <c r="BA109" i="1" s="1"/>
  <c r="CW109" i="1"/>
  <c r="BL109" i="1"/>
  <c r="BK109" i="1"/>
  <c r="BG109" i="1"/>
  <c r="BC109" i="1"/>
  <c r="AW109" i="1"/>
  <c r="AQ109" i="1"/>
  <c r="BD109" i="1" s="1"/>
  <c r="AL109" i="1"/>
  <c r="AJ109" i="1"/>
  <c r="AK109" i="1" s="1"/>
  <c r="AB109" i="1"/>
  <c r="AA109" i="1"/>
  <c r="Z109" i="1"/>
  <c r="V109" i="1"/>
  <c r="S109" i="1"/>
  <c r="L109" i="1"/>
  <c r="K109" i="1" s="1"/>
  <c r="CZ108" i="1"/>
  <c r="V108" i="1" s="1"/>
  <c r="CY108" i="1"/>
  <c r="CX108" i="1"/>
  <c r="AY108" i="1" s="1"/>
  <c r="CW108" i="1"/>
  <c r="BL108" i="1"/>
  <c r="BK108" i="1"/>
  <c r="BJ108" i="1"/>
  <c r="BH108" i="1"/>
  <c r="BG108" i="1"/>
  <c r="BI108" i="1" s="1"/>
  <c r="BM108" i="1" s="1"/>
  <c r="BN108" i="1" s="1"/>
  <c r="BC108" i="1"/>
  <c r="AW108" i="1"/>
  <c r="BA108" i="1" s="1"/>
  <c r="AQ108" i="1"/>
  <c r="BD108" i="1" s="1"/>
  <c r="AL108" i="1"/>
  <c r="AJ108" i="1"/>
  <c r="AB108" i="1"/>
  <c r="AA108" i="1"/>
  <c r="Z108" i="1"/>
  <c r="S108" i="1"/>
  <c r="CZ107" i="1"/>
  <c r="V107" i="1" s="1"/>
  <c r="CY107" i="1"/>
  <c r="CX107" i="1"/>
  <c r="AY107" i="1" s="1"/>
  <c r="CW107" i="1"/>
  <c r="BL107" i="1"/>
  <c r="BK107" i="1"/>
  <c r="BJ107" i="1"/>
  <c r="BH107" i="1"/>
  <c r="BG107" i="1"/>
  <c r="BI107" i="1" s="1"/>
  <c r="BM107" i="1" s="1"/>
  <c r="BN107" i="1" s="1"/>
  <c r="BD107" i="1"/>
  <c r="BC107" i="1"/>
  <c r="AW107" i="1"/>
  <c r="BA107" i="1" s="1"/>
  <c r="AQ107" i="1"/>
  <c r="AL107" i="1"/>
  <c r="AJ107" i="1" s="1"/>
  <c r="AB107" i="1"/>
  <c r="AA107" i="1"/>
  <c r="Z107" i="1" s="1"/>
  <c r="S107" i="1"/>
  <c r="CZ106" i="1"/>
  <c r="CY106" i="1"/>
  <c r="CX106" i="1"/>
  <c r="AY106" i="1" s="1"/>
  <c r="CW106" i="1"/>
  <c r="BL106" i="1"/>
  <c r="BK106" i="1"/>
  <c r="BJ106" i="1"/>
  <c r="BI106" i="1"/>
  <c r="BM106" i="1" s="1"/>
  <c r="BN106" i="1" s="1"/>
  <c r="BH106" i="1"/>
  <c r="BG106" i="1"/>
  <c r="BD106" i="1"/>
  <c r="BC106" i="1"/>
  <c r="AW106" i="1"/>
  <c r="AQ106" i="1"/>
  <c r="AL106" i="1"/>
  <c r="AJ106" i="1" s="1"/>
  <c r="AB106" i="1"/>
  <c r="Z106" i="1" s="1"/>
  <c r="AA106" i="1"/>
  <c r="V106" i="1"/>
  <c r="S106" i="1"/>
  <c r="CZ105" i="1"/>
  <c r="CY105" i="1"/>
  <c r="CW105" i="1"/>
  <c r="CX105" i="1" s="1"/>
  <c r="AY105" i="1" s="1"/>
  <c r="BA105" i="1" s="1"/>
  <c r="BN105" i="1"/>
  <c r="BL105" i="1"/>
  <c r="BK105" i="1"/>
  <c r="BJ105" i="1"/>
  <c r="BI105" i="1"/>
  <c r="BM105" i="1" s="1"/>
  <c r="BG105" i="1"/>
  <c r="BH105" i="1" s="1"/>
  <c r="BD105" i="1"/>
  <c r="BC105" i="1"/>
  <c r="AW105" i="1"/>
  <c r="AQ105" i="1"/>
  <c r="AL105" i="1"/>
  <c r="AJ105" i="1" s="1"/>
  <c r="AB105" i="1"/>
  <c r="Z105" i="1" s="1"/>
  <c r="AA105" i="1"/>
  <c r="S105" i="1"/>
  <c r="CZ104" i="1"/>
  <c r="CY104" i="1"/>
  <c r="CW104" i="1"/>
  <c r="CX104" i="1" s="1"/>
  <c r="AY104" i="1" s="1"/>
  <c r="BL104" i="1"/>
  <c r="BK104" i="1"/>
  <c r="BJ104" i="1"/>
  <c r="BG104" i="1"/>
  <c r="BI104" i="1" s="1"/>
  <c r="BM104" i="1" s="1"/>
  <c r="BN104" i="1" s="1"/>
  <c r="BC104" i="1"/>
  <c r="AW104" i="1"/>
  <c r="AQ104" i="1"/>
  <c r="BD104" i="1" s="1"/>
  <c r="AL104" i="1"/>
  <c r="AJ104" i="1"/>
  <c r="AB104" i="1"/>
  <c r="AA104" i="1"/>
  <c r="Z104" i="1"/>
  <c r="S104" i="1"/>
  <c r="CZ103" i="1"/>
  <c r="V103" i="1" s="1"/>
  <c r="CY103" i="1"/>
  <c r="CX103" i="1"/>
  <c r="AY103" i="1" s="1"/>
  <c r="CW103" i="1"/>
  <c r="BM103" i="1"/>
  <c r="BN103" i="1" s="1"/>
  <c r="BL103" i="1"/>
  <c r="BK103" i="1"/>
  <c r="BJ103" i="1"/>
  <c r="BI103" i="1"/>
  <c r="BH103" i="1"/>
  <c r="BG103" i="1"/>
  <c r="BD103" i="1"/>
  <c r="BC103" i="1"/>
  <c r="AW103" i="1"/>
  <c r="BA103" i="1" s="1"/>
  <c r="AQ103" i="1"/>
  <c r="AL103" i="1"/>
  <c r="AJ103" i="1" s="1"/>
  <c r="AB103" i="1"/>
  <c r="AA103" i="1"/>
  <c r="Z103" i="1" s="1"/>
  <c r="S103" i="1"/>
  <c r="CZ102" i="1"/>
  <c r="CY102" i="1"/>
  <c r="CX102" i="1"/>
  <c r="AY102" i="1" s="1"/>
  <c r="CW102" i="1"/>
  <c r="BL102" i="1"/>
  <c r="BK102" i="1"/>
  <c r="BI102" i="1"/>
  <c r="BM102" i="1" s="1"/>
  <c r="BN102" i="1" s="1"/>
  <c r="BH102" i="1"/>
  <c r="BG102" i="1"/>
  <c r="BJ102" i="1" s="1"/>
  <c r="BD102" i="1"/>
  <c r="BC102" i="1"/>
  <c r="AW102" i="1"/>
  <c r="AQ102" i="1"/>
  <c r="AL102" i="1"/>
  <c r="AJ102" i="1" s="1"/>
  <c r="AB102" i="1"/>
  <c r="Z102" i="1" s="1"/>
  <c r="AA102" i="1"/>
  <c r="V102" i="1"/>
  <c r="S102" i="1"/>
  <c r="CZ101" i="1"/>
  <c r="CY101" i="1"/>
  <c r="CW101" i="1"/>
  <c r="CX101" i="1" s="1"/>
  <c r="AY101" i="1" s="1"/>
  <c r="BA101" i="1" s="1"/>
  <c r="BN101" i="1"/>
  <c r="BL101" i="1"/>
  <c r="BK101" i="1"/>
  <c r="BJ101" i="1"/>
  <c r="BI101" i="1"/>
  <c r="BM101" i="1" s="1"/>
  <c r="BG101" i="1"/>
  <c r="BH101" i="1" s="1"/>
  <c r="BD101" i="1"/>
  <c r="BC101" i="1"/>
  <c r="AW101" i="1"/>
  <c r="AQ101" i="1"/>
  <c r="AL101" i="1"/>
  <c r="AJ101" i="1" s="1"/>
  <c r="AB101" i="1"/>
  <c r="Z101" i="1" s="1"/>
  <c r="AA101" i="1"/>
  <c r="S101" i="1"/>
  <c r="CZ100" i="1"/>
  <c r="CY100" i="1"/>
  <c r="CW100" i="1"/>
  <c r="CX100" i="1" s="1"/>
  <c r="AY100" i="1" s="1"/>
  <c r="BB100" i="1" s="1"/>
  <c r="BL100" i="1"/>
  <c r="BK100" i="1"/>
  <c r="BG100" i="1"/>
  <c r="BC100" i="1"/>
  <c r="AW100" i="1"/>
  <c r="AQ100" i="1"/>
  <c r="BD100" i="1" s="1"/>
  <c r="AL100" i="1"/>
  <c r="AJ100" i="1"/>
  <c r="AB100" i="1"/>
  <c r="AA100" i="1"/>
  <c r="Z100" i="1"/>
  <c r="S100" i="1"/>
  <c r="M100" i="1"/>
  <c r="AZ100" i="1" s="1"/>
  <c r="CZ99" i="1"/>
  <c r="CY99" i="1"/>
  <c r="CX99" i="1"/>
  <c r="AY99" i="1" s="1"/>
  <c r="CW99" i="1"/>
  <c r="BM99" i="1"/>
  <c r="BN99" i="1" s="1"/>
  <c r="BL99" i="1"/>
  <c r="BK99" i="1"/>
  <c r="BJ99" i="1"/>
  <c r="BI99" i="1"/>
  <c r="BH99" i="1"/>
  <c r="BG99" i="1"/>
  <c r="BD99" i="1"/>
  <c r="BC99" i="1"/>
  <c r="AW99" i="1"/>
  <c r="BA99" i="1" s="1"/>
  <c r="AQ99" i="1"/>
  <c r="AL99" i="1"/>
  <c r="AJ99" i="1" s="1"/>
  <c r="AK99" i="1" s="1"/>
  <c r="AB99" i="1"/>
  <c r="AA99" i="1"/>
  <c r="Z99" i="1" s="1"/>
  <c r="V99" i="1"/>
  <c r="S99" i="1"/>
  <c r="N99" i="1"/>
  <c r="L99" i="1"/>
  <c r="K99" i="1" s="1"/>
  <c r="CZ98" i="1"/>
  <c r="CY98" i="1"/>
  <c r="CX98" i="1"/>
  <c r="CW98" i="1"/>
  <c r="BL98" i="1"/>
  <c r="BK98" i="1"/>
  <c r="BI98" i="1"/>
  <c r="BM98" i="1" s="1"/>
  <c r="BN98" i="1" s="1"/>
  <c r="BH98" i="1"/>
  <c r="BG98" i="1"/>
  <c r="BJ98" i="1" s="1"/>
  <c r="BD98" i="1"/>
  <c r="BC98" i="1"/>
  <c r="AY98" i="1"/>
  <c r="BA98" i="1" s="1"/>
  <c r="AW98" i="1"/>
  <c r="AQ98" i="1"/>
  <c r="AL98" i="1"/>
  <c r="AJ98" i="1" s="1"/>
  <c r="AB98" i="1"/>
  <c r="Z98" i="1" s="1"/>
  <c r="AA98" i="1"/>
  <c r="V98" i="1"/>
  <c r="S98" i="1"/>
  <c r="N98" i="1"/>
  <c r="CZ97" i="1"/>
  <c r="CY97" i="1"/>
  <c r="CW97" i="1"/>
  <c r="BL97" i="1"/>
  <c r="BK97" i="1"/>
  <c r="BJ97" i="1"/>
  <c r="BG97" i="1"/>
  <c r="BH97" i="1" s="1"/>
  <c r="BC97" i="1"/>
  <c r="AW97" i="1"/>
  <c r="AQ97" i="1"/>
  <c r="BD97" i="1" s="1"/>
  <c r="AL97" i="1"/>
  <c r="AJ97" i="1" s="1"/>
  <c r="AB97" i="1"/>
  <c r="AA97" i="1"/>
  <c r="Z97" i="1"/>
  <c r="S97" i="1"/>
  <c r="CZ96" i="1"/>
  <c r="CY96" i="1"/>
  <c r="CW96" i="1"/>
  <c r="BL96" i="1"/>
  <c r="BK96" i="1"/>
  <c r="BI96" i="1"/>
  <c r="BM96" i="1" s="1"/>
  <c r="BN96" i="1" s="1"/>
  <c r="BG96" i="1"/>
  <c r="BJ96" i="1" s="1"/>
  <c r="BC96" i="1"/>
  <c r="AW96" i="1"/>
  <c r="AQ96" i="1"/>
  <c r="BD96" i="1" s="1"/>
  <c r="AL96" i="1"/>
  <c r="AK96" i="1"/>
  <c r="AJ96" i="1"/>
  <c r="L96" i="1" s="1"/>
  <c r="K96" i="1" s="1"/>
  <c r="AB96" i="1"/>
  <c r="AA96" i="1"/>
  <c r="Z96" i="1" s="1"/>
  <c r="S96" i="1"/>
  <c r="Q96" i="1"/>
  <c r="N96" i="1"/>
  <c r="M96" i="1"/>
  <c r="AZ96" i="1" s="1"/>
  <c r="CZ95" i="1"/>
  <c r="CY95" i="1"/>
  <c r="CW95" i="1"/>
  <c r="BL95" i="1"/>
  <c r="BK95" i="1"/>
  <c r="BJ95" i="1"/>
  <c r="BI95" i="1"/>
  <c r="BM95" i="1" s="1"/>
  <c r="BN95" i="1" s="1"/>
  <c r="BG95" i="1"/>
  <c r="BH95" i="1" s="1"/>
  <c r="BC95" i="1"/>
  <c r="AW95" i="1"/>
  <c r="AQ95" i="1"/>
  <c r="BD95" i="1" s="1"/>
  <c r="AL95" i="1"/>
  <c r="AJ95" i="1" s="1"/>
  <c r="AK95" i="1" s="1"/>
  <c r="AB95" i="1"/>
  <c r="AA95" i="1"/>
  <c r="Z95" i="1" s="1"/>
  <c r="S95" i="1"/>
  <c r="Q95" i="1"/>
  <c r="N95" i="1"/>
  <c r="L95" i="1"/>
  <c r="K95" i="1"/>
  <c r="CZ94" i="1"/>
  <c r="CY94" i="1"/>
  <c r="CW94" i="1"/>
  <c r="CX94" i="1" s="1"/>
  <c r="AY94" i="1" s="1"/>
  <c r="BL94" i="1"/>
  <c r="BK94" i="1"/>
  <c r="BI94" i="1"/>
  <c r="BM94" i="1" s="1"/>
  <c r="BN94" i="1" s="1"/>
  <c r="BH94" i="1"/>
  <c r="BG94" i="1"/>
  <c r="BJ94" i="1" s="1"/>
  <c r="BC94" i="1"/>
  <c r="AW94" i="1"/>
  <c r="AQ94" i="1"/>
  <c r="BD94" i="1" s="1"/>
  <c r="AL94" i="1"/>
  <c r="AJ94" i="1"/>
  <c r="AK94" i="1" s="1"/>
  <c r="AB94" i="1"/>
  <c r="Z94" i="1" s="1"/>
  <c r="AA94" i="1"/>
  <c r="V94" i="1"/>
  <c r="S94" i="1"/>
  <c r="Q94" i="1"/>
  <c r="N94" i="1"/>
  <c r="M94" i="1"/>
  <c r="AZ94" i="1" s="1"/>
  <c r="L94" i="1"/>
  <c r="K94" i="1" s="1"/>
  <c r="CZ93" i="1"/>
  <c r="CY93" i="1"/>
  <c r="CW93" i="1"/>
  <c r="CX93" i="1" s="1"/>
  <c r="AY93" i="1" s="1"/>
  <c r="BA93" i="1" s="1"/>
  <c r="BL93" i="1"/>
  <c r="BK93" i="1"/>
  <c r="BI93" i="1"/>
  <c r="BM93" i="1" s="1"/>
  <c r="BN93" i="1" s="1"/>
  <c r="BG93" i="1"/>
  <c r="BJ93" i="1" s="1"/>
  <c r="BD93" i="1"/>
  <c r="BC93" i="1"/>
  <c r="AW93" i="1"/>
  <c r="AQ93" i="1"/>
  <c r="AL93" i="1"/>
  <c r="AJ93" i="1" s="1"/>
  <c r="AB93" i="1"/>
  <c r="Z93" i="1" s="1"/>
  <c r="AA93" i="1"/>
  <c r="S93" i="1"/>
  <c r="CZ92" i="1"/>
  <c r="CY92" i="1"/>
  <c r="CW92" i="1"/>
  <c r="CX92" i="1" s="1"/>
  <c r="AY92" i="1" s="1"/>
  <c r="BA92" i="1" s="1"/>
  <c r="BL92" i="1"/>
  <c r="BK92" i="1"/>
  <c r="BJ92" i="1"/>
  <c r="BG92" i="1"/>
  <c r="BI92" i="1" s="1"/>
  <c r="BM92" i="1" s="1"/>
  <c r="BN92" i="1" s="1"/>
  <c r="BC92" i="1"/>
  <c r="AW92" i="1"/>
  <c r="AQ92" i="1"/>
  <c r="BD92" i="1" s="1"/>
  <c r="AL92" i="1"/>
  <c r="AJ92" i="1"/>
  <c r="AB92" i="1"/>
  <c r="AA92" i="1"/>
  <c r="Z92" i="1"/>
  <c r="S92" i="1"/>
  <c r="CZ91" i="1"/>
  <c r="V91" i="1" s="1"/>
  <c r="CY91" i="1"/>
  <c r="CX91" i="1" s="1"/>
  <c r="AY91" i="1" s="1"/>
  <c r="CW91" i="1"/>
  <c r="BL91" i="1"/>
  <c r="BK91" i="1"/>
  <c r="BJ91" i="1"/>
  <c r="BI91" i="1"/>
  <c r="BM91" i="1" s="1"/>
  <c r="BN91" i="1" s="1"/>
  <c r="BH91" i="1"/>
  <c r="BG91" i="1"/>
  <c r="BD91" i="1"/>
  <c r="BC91" i="1"/>
  <c r="AW91" i="1"/>
  <c r="BA91" i="1" s="1"/>
  <c r="AQ91" i="1"/>
  <c r="AL91" i="1"/>
  <c r="AJ91" i="1" s="1"/>
  <c r="AB91" i="1"/>
  <c r="AA91" i="1"/>
  <c r="Z91" i="1" s="1"/>
  <c r="S91" i="1"/>
  <c r="CZ90" i="1"/>
  <c r="CY90" i="1"/>
  <c r="CX90" i="1"/>
  <c r="AY90" i="1" s="1"/>
  <c r="CW90" i="1"/>
  <c r="BL90" i="1"/>
  <c r="BK90" i="1"/>
  <c r="BH90" i="1"/>
  <c r="BG90" i="1"/>
  <c r="BJ90" i="1" s="1"/>
  <c r="BC90" i="1"/>
  <c r="AW90" i="1"/>
  <c r="AQ90" i="1"/>
  <c r="BD90" i="1" s="1"/>
  <c r="AL90" i="1"/>
  <c r="AJ90" i="1" s="1"/>
  <c r="AB90" i="1"/>
  <c r="Z90" i="1" s="1"/>
  <c r="AA90" i="1"/>
  <c r="V90" i="1"/>
  <c r="S90" i="1"/>
  <c r="CZ89" i="1"/>
  <c r="CY89" i="1"/>
  <c r="CW89" i="1"/>
  <c r="CX89" i="1" s="1"/>
  <c r="AY89" i="1" s="1"/>
  <c r="BA89" i="1" s="1"/>
  <c r="BN89" i="1"/>
  <c r="BL89" i="1"/>
  <c r="BK89" i="1"/>
  <c r="BI89" i="1"/>
  <c r="BM89" i="1" s="1"/>
  <c r="BG89" i="1"/>
  <c r="BJ89" i="1" s="1"/>
  <c r="BD89" i="1"/>
  <c r="BC89" i="1"/>
  <c r="AW89" i="1"/>
  <c r="AQ89" i="1"/>
  <c r="AL89" i="1"/>
  <c r="AJ89" i="1" s="1"/>
  <c r="AB89" i="1"/>
  <c r="AA89" i="1"/>
  <c r="S89" i="1"/>
  <c r="CZ88" i="1"/>
  <c r="CY88" i="1"/>
  <c r="CW88" i="1"/>
  <c r="CX88" i="1" s="1"/>
  <c r="AY88" i="1" s="1"/>
  <c r="BA88" i="1" s="1"/>
  <c r="BL88" i="1"/>
  <c r="BK88" i="1"/>
  <c r="BG88" i="1"/>
  <c r="BJ88" i="1" s="1"/>
  <c r="BC88" i="1"/>
  <c r="AW88" i="1"/>
  <c r="AQ88" i="1"/>
  <c r="BD88" i="1" s="1"/>
  <c r="AL88" i="1"/>
  <c r="AJ88" i="1"/>
  <c r="AB88" i="1"/>
  <c r="AA88" i="1"/>
  <c r="Z88" i="1"/>
  <c r="S88" i="1"/>
  <c r="CZ87" i="1"/>
  <c r="V87" i="1" s="1"/>
  <c r="CY87" i="1"/>
  <c r="CX87" i="1" s="1"/>
  <c r="AY87" i="1" s="1"/>
  <c r="CW87" i="1"/>
  <c r="BL87" i="1"/>
  <c r="BK87" i="1"/>
  <c r="BJ87" i="1"/>
  <c r="BI87" i="1"/>
  <c r="BM87" i="1" s="1"/>
  <c r="BN87" i="1" s="1"/>
  <c r="BH87" i="1"/>
  <c r="BG87" i="1"/>
  <c r="BD87" i="1"/>
  <c r="BC87" i="1"/>
  <c r="AW87" i="1"/>
  <c r="AQ87" i="1"/>
  <c r="AL87" i="1"/>
  <c r="AJ87" i="1" s="1"/>
  <c r="AB87" i="1"/>
  <c r="AA87" i="1"/>
  <c r="Z87" i="1" s="1"/>
  <c r="S87" i="1"/>
  <c r="CZ86" i="1"/>
  <c r="CY86" i="1"/>
  <c r="CX86" i="1"/>
  <c r="AY86" i="1" s="1"/>
  <c r="CW86" i="1"/>
  <c r="BL86" i="1"/>
  <c r="BK86" i="1"/>
  <c r="BH86" i="1"/>
  <c r="BG86" i="1"/>
  <c r="BJ86" i="1" s="1"/>
  <c r="BC86" i="1"/>
  <c r="AW86" i="1"/>
  <c r="AQ86" i="1"/>
  <c r="BD86" i="1" s="1"/>
  <c r="AL86" i="1"/>
  <c r="AJ86" i="1" s="1"/>
  <c r="AB86" i="1"/>
  <c r="Z86" i="1" s="1"/>
  <c r="AA86" i="1"/>
  <c r="V86" i="1"/>
  <c r="S86" i="1"/>
  <c r="CZ85" i="1"/>
  <c r="CY85" i="1"/>
  <c r="CW85" i="1"/>
  <c r="CX85" i="1" s="1"/>
  <c r="AY85" i="1" s="1"/>
  <c r="BA85" i="1" s="1"/>
  <c r="BN85" i="1"/>
  <c r="BM85" i="1"/>
  <c r="BL85" i="1"/>
  <c r="BK85" i="1"/>
  <c r="BI85" i="1"/>
  <c r="BG85" i="1"/>
  <c r="BJ85" i="1" s="1"/>
  <c r="BD85" i="1"/>
  <c r="BC85" i="1"/>
  <c r="AW85" i="1"/>
  <c r="AQ85" i="1"/>
  <c r="AL85" i="1"/>
  <c r="AJ85" i="1" s="1"/>
  <c r="AK85" i="1" s="1"/>
  <c r="AB85" i="1"/>
  <c r="AA85" i="1"/>
  <c r="Z85" i="1" s="1"/>
  <c r="S85" i="1"/>
  <c r="L85" i="1"/>
  <c r="K85" i="1" s="1"/>
  <c r="CZ84" i="1"/>
  <c r="CY84" i="1"/>
  <c r="CW84" i="1"/>
  <c r="CX84" i="1" s="1"/>
  <c r="AY84" i="1" s="1"/>
  <c r="BA84" i="1" s="1"/>
  <c r="BL84" i="1"/>
  <c r="BK84" i="1"/>
  <c r="BG84" i="1"/>
  <c r="BJ84" i="1" s="1"/>
  <c r="BC84" i="1"/>
  <c r="AW84" i="1"/>
  <c r="AQ84" i="1"/>
  <c r="BD84" i="1" s="1"/>
  <c r="AL84" i="1"/>
  <c r="AJ84" i="1"/>
  <c r="AB84" i="1"/>
  <c r="AA84" i="1"/>
  <c r="Z84" i="1"/>
  <c r="S84" i="1"/>
  <c r="Q84" i="1"/>
  <c r="CZ83" i="1"/>
  <c r="V83" i="1" s="1"/>
  <c r="CY83" i="1"/>
  <c r="CX83" i="1" s="1"/>
  <c r="AY83" i="1" s="1"/>
  <c r="BA83" i="1" s="1"/>
  <c r="CW83" i="1"/>
  <c r="BL83" i="1"/>
  <c r="BK83" i="1"/>
  <c r="BJ83" i="1"/>
  <c r="BI83" i="1"/>
  <c r="BM83" i="1" s="1"/>
  <c r="BN83" i="1" s="1"/>
  <c r="BH83" i="1"/>
  <c r="BG83" i="1"/>
  <c r="BD83" i="1"/>
  <c r="BC83" i="1"/>
  <c r="AW83" i="1"/>
  <c r="AQ83" i="1"/>
  <c r="AL83" i="1"/>
  <c r="AJ83" i="1" s="1"/>
  <c r="AK83" i="1"/>
  <c r="AB83" i="1"/>
  <c r="AA83" i="1"/>
  <c r="Z83" i="1" s="1"/>
  <c r="S83" i="1"/>
  <c r="CZ82" i="1"/>
  <c r="CY82" i="1"/>
  <c r="CW82" i="1"/>
  <c r="V82" i="1" s="1"/>
  <c r="BL82" i="1"/>
  <c r="BK82" i="1"/>
  <c r="BI82" i="1"/>
  <c r="BM82" i="1" s="1"/>
  <c r="BN82" i="1" s="1"/>
  <c r="BG82" i="1"/>
  <c r="BJ82" i="1" s="1"/>
  <c r="BC82" i="1"/>
  <c r="AW82" i="1"/>
  <c r="AQ82" i="1"/>
  <c r="BD82" i="1" s="1"/>
  <c r="AL82" i="1"/>
  <c r="AJ82" i="1" s="1"/>
  <c r="AB82" i="1"/>
  <c r="Z82" i="1" s="1"/>
  <c r="AA82" i="1"/>
  <c r="S82" i="1"/>
  <c r="CZ81" i="1"/>
  <c r="CY81" i="1"/>
  <c r="CW81" i="1"/>
  <c r="BL81" i="1"/>
  <c r="BK81" i="1"/>
  <c r="BG81" i="1"/>
  <c r="BC81" i="1"/>
  <c r="AW81" i="1"/>
  <c r="AQ81" i="1"/>
  <c r="BD81" i="1" s="1"/>
  <c r="AL81" i="1"/>
  <c r="AJ81" i="1" s="1"/>
  <c r="AK81" i="1" s="1"/>
  <c r="AB81" i="1"/>
  <c r="AA81" i="1"/>
  <c r="Z81" i="1" s="1"/>
  <c r="S81" i="1"/>
  <c r="CZ80" i="1"/>
  <c r="CY80" i="1"/>
  <c r="CW80" i="1"/>
  <c r="BL80" i="1"/>
  <c r="BK80" i="1"/>
  <c r="BG80" i="1"/>
  <c r="BC80" i="1"/>
  <c r="AW80" i="1"/>
  <c r="AQ80" i="1"/>
  <c r="BD80" i="1" s="1"/>
  <c r="AL80" i="1"/>
  <c r="AJ80" i="1"/>
  <c r="AB80" i="1"/>
  <c r="AA80" i="1"/>
  <c r="Z80" i="1" s="1"/>
  <c r="S80" i="1"/>
  <c r="CZ79" i="1"/>
  <c r="V79" i="1" s="1"/>
  <c r="CY79" i="1"/>
  <c r="CX79" i="1"/>
  <c r="CW79" i="1"/>
  <c r="BL79" i="1"/>
  <c r="BK79" i="1"/>
  <c r="BJ79" i="1"/>
  <c r="BH79" i="1"/>
  <c r="BG79" i="1"/>
  <c r="BI79" i="1" s="1"/>
  <c r="BM79" i="1" s="1"/>
  <c r="BN79" i="1" s="1"/>
  <c r="BC79" i="1"/>
  <c r="AY79" i="1"/>
  <c r="BA79" i="1" s="1"/>
  <c r="AW79" i="1"/>
  <c r="AQ79" i="1"/>
  <c r="BD79" i="1" s="1"/>
  <c r="AL79" i="1"/>
  <c r="AJ79" i="1" s="1"/>
  <c r="AK79" i="1"/>
  <c r="AB79" i="1"/>
  <c r="AA79" i="1"/>
  <c r="S79" i="1"/>
  <c r="Q79" i="1"/>
  <c r="N79" i="1"/>
  <c r="M79" i="1"/>
  <c r="AZ79" i="1" s="1"/>
  <c r="BB79" i="1" s="1"/>
  <c r="L79" i="1"/>
  <c r="K79" i="1" s="1"/>
  <c r="CZ78" i="1"/>
  <c r="CY78" i="1"/>
  <c r="CW78" i="1"/>
  <c r="CX78" i="1" s="1"/>
  <c r="AY78" i="1" s="1"/>
  <c r="BL78" i="1"/>
  <c r="BK78" i="1"/>
  <c r="BJ78" i="1"/>
  <c r="BG78" i="1"/>
  <c r="BI78" i="1" s="1"/>
  <c r="BM78" i="1" s="1"/>
  <c r="BN78" i="1" s="1"/>
  <c r="BC78" i="1"/>
  <c r="AW78" i="1"/>
  <c r="AQ78" i="1"/>
  <c r="BD78" i="1" s="1"/>
  <c r="AL78" i="1"/>
  <c r="AJ78" i="1"/>
  <c r="AB78" i="1"/>
  <c r="AA78" i="1"/>
  <c r="Z78" i="1"/>
  <c r="S78" i="1"/>
  <c r="CZ77" i="1"/>
  <c r="V77" i="1" s="1"/>
  <c r="CY77" i="1"/>
  <c r="CX77" i="1"/>
  <c r="AY77" i="1" s="1"/>
  <c r="CW77" i="1"/>
  <c r="BL77" i="1"/>
  <c r="BK77" i="1"/>
  <c r="BJ77" i="1"/>
  <c r="BH77" i="1"/>
  <c r="BG77" i="1"/>
  <c r="BI77" i="1" s="1"/>
  <c r="BM77" i="1" s="1"/>
  <c r="BN77" i="1" s="1"/>
  <c r="BC77" i="1"/>
  <c r="AW77" i="1"/>
  <c r="BA77" i="1" s="1"/>
  <c r="AQ77" i="1"/>
  <c r="BD77" i="1" s="1"/>
  <c r="AL77" i="1"/>
  <c r="AK77" i="1"/>
  <c r="AJ77" i="1"/>
  <c r="M77" i="1" s="1"/>
  <c r="AZ77" i="1" s="1"/>
  <c r="BB77" i="1" s="1"/>
  <c r="AB77" i="1"/>
  <c r="AA77" i="1"/>
  <c r="Z77" i="1" s="1"/>
  <c r="S77" i="1"/>
  <c r="Q77" i="1"/>
  <c r="N77" i="1"/>
  <c r="CZ76" i="1"/>
  <c r="CY76" i="1"/>
  <c r="CX76" i="1"/>
  <c r="AY76" i="1" s="1"/>
  <c r="CW76" i="1"/>
  <c r="BL76" i="1"/>
  <c r="BK76" i="1"/>
  <c r="BJ76" i="1"/>
  <c r="BI76" i="1"/>
  <c r="BM76" i="1" s="1"/>
  <c r="BN76" i="1" s="1"/>
  <c r="BH76" i="1"/>
  <c r="BG76" i="1"/>
  <c r="BD76" i="1"/>
  <c r="BC76" i="1"/>
  <c r="AW76" i="1"/>
  <c r="BA76" i="1" s="1"/>
  <c r="AQ76" i="1"/>
  <c r="AL76" i="1"/>
  <c r="AJ76" i="1" s="1"/>
  <c r="AB76" i="1"/>
  <c r="AA76" i="1"/>
  <c r="Z76" i="1" s="1"/>
  <c r="V76" i="1"/>
  <c r="S76" i="1"/>
  <c r="N76" i="1"/>
  <c r="CZ75" i="1"/>
  <c r="CY75" i="1"/>
  <c r="CW75" i="1"/>
  <c r="CX75" i="1" s="1"/>
  <c r="AY75" i="1" s="1"/>
  <c r="BN75" i="1"/>
  <c r="BL75" i="1"/>
  <c r="BK75" i="1"/>
  <c r="BI75" i="1"/>
  <c r="BM75" i="1" s="1"/>
  <c r="BG75" i="1"/>
  <c r="BJ75" i="1" s="1"/>
  <c r="BD75" i="1"/>
  <c r="BC75" i="1"/>
  <c r="AW75" i="1"/>
  <c r="BA75" i="1" s="1"/>
  <c r="AQ75" i="1"/>
  <c r="AL75" i="1"/>
  <c r="AJ75" i="1" s="1"/>
  <c r="AB75" i="1"/>
  <c r="Z75" i="1" s="1"/>
  <c r="AA75" i="1"/>
  <c r="S75" i="1"/>
  <c r="L75" i="1"/>
  <c r="K75" i="1" s="1"/>
  <c r="AD75" i="1" s="1"/>
  <c r="CZ74" i="1"/>
  <c r="CY74" i="1"/>
  <c r="CW74" i="1"/>
  <c r="CX74" i="1" s="1"/>
  <c r="AY74" i="1" s="1"/>
  <c r="BL74" i="1"/>
  <c r="BK74" i="1"/>
  <c r="BJ74" i="1"/>
  <c r="BG74" i="1"/>
  <c r="BI74" i="1" s="1"/>
  <c r="BM74" i="1" s="1"/>
  <c r="BN74" i="1" s="1"/>
  <c r="BC74" i="1"/>
  <c r="AW74" i="1"/>
  <c r="AQ74" i="1"/>
  <c r="BD74" i="1" s="1"/>
  <c r="AL74" i="1"/>
  <c r="AJ74" i="1"/>
  <c r="AB74" i="1"/>
  <c r="AA74" i="1"/>
  <c r="Z74" i="1"/>
  <c r="S74" i="1"/>
  <c r="CZ73" i="1"/>
  <c r="V73" i="1" s="1"/>
  <c r="CY73" i="1"/>
  <c r="CX73" i="1"/>
  <c r="AY73" i="1" s="1"/>
  <c r="CW73" i="1"/>
  <c r="BL73" i="1"/>
  <c r="BK73" i="1"/>
  <c r="BJ73" i="1"/>
  <c r="BH73" i="1"/>
  <c r="BG73" i="1"/>
  <c r="BI73" i="1" s="1"/>
  <c r="BM73" i="1" s="1"/>
  <c r="BN73" i="1" s="1"/>
  <c r="BC73" i="1"/>
  <c r="AZ73" i="1"/>
  <c r="BB73" i="1" s="1"/>
  <c r="AW73" i="1"/>
  <c r="BA73" i="1" s="1"/>
  <c r="AQ73" i="1"/>
  <c r="BD73" i="1" s="1"/>
  <c r="AL73" i="1"/>
  <c r="AK73" i="1"/>
  <c r="AJ73" i="1"/>
  <c r="L73" i="1" s="1"/>
  <c r="K73" i="1" s="1"/>
  <c r="AB73" i="1"/>
  <c r="AA73" i="1"/>
  <c r="Z73" i="1" s="1"/>
  <c r="S73" i="1"/>
  <c r="Q73" i="1"/>
  <c r="N73" i="1"/>
  <c r="M73" i="1"/>
  <c r="CZ72" i="1"/>
  <c r="CY72" i="1"/>
  <c r="CX72" i="1"/>
  <c r="AY72" i="1" s="1"/>
  <c r="CW72" i="1"/>
  <c r="BL72" i="1"/>
  <c r="BK72" i="1"/>
  <c r="BJ72" i="1"/>
  <c r="BI72" i="1"/>
  <c r="BM72" i="1" s="1"/>
  <c r="BN72" i="1" s="1"/>
  <c r="BH72" i="1"/>
  <c r="BG72" i="1"/>
  <c r="BD72" i="1"/>
  <c r="BC72" i="1"/>
  <c r="AW72" i="1"/>
  <c r="AQ72" i="1"/>
  <c r="AL72" i="1"/>
  <c r="AJ72" i="1" s="1"/>
  <c r="AB72" i="1"/>
  <c r="AA72" i="1"/>
  <c r="Z72" i="1" s="1"/>
  <c r="V72" i="1"/>
  <c r="S72" i="1"/>
  <c r="N72" i="1"/>
  <c r="CZ71" i="1"/>
  <c r="CY71" i="1"/>
  <c r="CW71" i="1"/>
  <c r="CX71" i="1" s="1"/>
  <c r="AY71" i="1" s="1"/>
  <c r="BA71" i="1" s="1"/>
  <c r="BN71" i="1"/>
  <c r="BL71" i="1"/>
  <c r="BK71" i="1"/>
  <c r="BI71" i="1"/>
  <c r="BM71" i="1" s="1"/>
  <c r="BG71" i="1"/>
  <c r="BJ71" i="1" s="1"/>
  <c r="BD71" i="1"/>
  <c r="BC71" i="1"/>
  <c r="AW71" i="1"/>
  <c r="AQ71" i="1"/>
  <c r="AL71" i="1"/>
  <c r="AJ71" i="1" s="1"/>
  <c r="AB71" i="1"/>
  <c r="Z71" i="1" s="1"/>
  <c r="AA71" i="1"/>
  <c r="S71" i="1"/>
  <c r="L71" i="1"/>
  <c r="K71" i="1" s="1"/>
  <c r="AD71" i="1" s="1"/>
  <c r="CZ70" i="1"/>
  <c r="CY70" i="1"/>
  <c r="CW70" i="1"/>
  <c r="CX70" i="1" s="1"/>
  <c r="AY70" i="1" s="1"/>
  <c r="BA70" i="1" s="1"/>
  <c r="BL70" i="1"/>
  <c r="BK70" i="1"/>
  <c r="BJ70" i="1"/>
  <c r="BG70" i="1"/>
  <c r="BI70" i="1" s="1"/>
  <c r="BM70" i="1" s="1"/>
  <c r="BN70" i="1" s="1"/>
  <c r="BC70" i="1"/>
  <c r="AW70" i="1"/>
  <c r="AQ70" i="1"/>
  <c r="BD70" i="1" s="1"/>
  <c r="AL70" i="1"/>
  <c r="AJ70" i="1"/>
  <c r="AB70" i="1"/>
  <c r="AA70" i="1"/>
  <c r="Z70" i="1"/>
  <c r="S70" i="1"/>
  <c r="CZ69" i="1"/>
  <c r="V69" i="1" s="1"/>
  <c r="CY69" i="1"/>
  <c r="CX69" i="1"/>
  <c r="AY69" i="1" s="1"/>
  <c r="CW69" i="1"/>
  <c r="BL69" i="1"/>
  <c r="BK69" i="1"/>
  <c r="BJ69" i="1"/>
  <c r="BH69" i="1"/>
  <c r="BG69" i="1"/>
  <c r="BI69" i="1" s="1"/>
  <c r="BM69" i="1" s="1"/>
  <c r="BN69" i="1" s="1"/>
  <c r="BC69" i="1"/>
  <c r="AZ69" i="1"/>
  <c r="BB69" i="1" s="1"/>
  <c r="AW69" i="1"/>
  <c r="BA69" i="1" s="1"/>
  <c r="AQ69" i="1"/>
  <c r="BD69" i="1" s="1"/>
  <c r="AL69" i="1"/>
  <c r="AK69" i="1"/>
  <c r="AJ69" i="1"/>
  <c r="L69" i="1" s="1"/>
  <c r="K69" i="1" s="1"/>
  <c r="AB69" i="1"/>
  <c r="AA69" i="1"/>
  <c r="Z69" i="1" s="1"/>
  <c r="S69" i="1"/>
  <c r="Q69" i="1"/>
  <c r="N69" i="1"/>
  <c r="M69" i="1"/>
  <c r="CZ68" i="1"/>
  <c r="CY68" i="1"/>
  <c r="CX68" i="1"/>
  <c r="AY68" i="1" s="1"/>
  <c r="CW68" i="1"/>
  <c r="BL68" i="1"/>
  <c r="BK68" i="1"/>
  <c r="BJ68" i="1"/>
  <c r="BI68" i="1"/>
  <c r="BM68" i="1" s="1"/>
  <c r="BN68" i="1" s="1"/>
  <c r="BH68" i="1"/>
  <c r="BG68" i="1"/>
  <c r="BD68" i="1"/>
  <c r="BC68" i="1"/>
  <c r="AW68" i="1"/>
  <c r="BA68" i="1" s="1"/>
  <c r="AQ68" i="1"/>
  <c r="AL68" i="1"/>
  <c r="AJ68" i="1" s="1"/>
  <c r="AB68" i="1"/>
  <c r="AA68" i="1"/>
  <c r="Z68" i="1" s="1"/>
  <c r="V68" i="1"/>
  <c r="S68" i="1"/>
  <c r="N68" i="1"/>
  <c r="CZ67" i="1"/>
  <c r="CY67" i="1"/>
  <c r="CW67" i="1"/>
  <c r="CX67" i="1" s="1"/>
  <c r="AY67" i="1" s="1"/>
  <c r="BA67" i="1" s="1"/>
  <c r="BN67" i="1"/>
  <c r="BL67" i="1"/>
  <c r="BK67" i="1"/>
  <c r="BI67" i="1"/>
  <c r="BM67" i="1" s="1"/>
  <c r="BG67" i="1"/>
  <c r="BJ67" i="1" s="1"/>
  <c r="BD67" i="1"/>
  <c r="BC67" i="1"/>
  <c r="AW67" i="1"/>
  <c r="AQ67" i="1"/>
  <c r="AL67" i="1"/>
  <c r="AJ67" i="1" s="1"/>
  <c r="AB67" i="1"/>
  <c r="Z67" i="1" s="1"/>
  <c r="AA67" i="1"/>
  <c r="S67" i="1"/>
  <c r="L67" i="1"/>
  <c r="K67" i="1" s="1"/>
  <c r="AD67" i="1" s="1"/>
  <c r="CZ66" i="1"/>
  <c r="CY66" i="1"/>
  <c r="CW66" i="1"/>
  <c r="CX66" i="1" s="1"/>
  <c r="AY66" i="1" s="1"/>
  <c r="BA66" i="1" s="1"/>
  <c r="BL66" i="1"/>
  <c r="BK66" i="1"/>
  <c r="BJ66" i="1"/>
  <c r="BI66" i="1"/>
  <c r="BM66" i="1" s="1"/>
  <c r="BN66" i="1" s="1"/>
  <c r="BG66" i="1"/>
  <c r="BH66" i="1" s="1"/>
  <c r="BC66" i="1"/>
  <c r="AW66" i="1"/>
  <c r="AQ66" i="1"/>
  <c r="BD66" i="1" s="1"/>
  <c r="AL66" i="1"/>
  <c r="AJ66" i="1"/>
  <c r="AB66" i="1"/>
  <c r="AA66" i="1"/>
  <c r="Z66" i="1"/>
  <c r="S66" i="1"/>
  <c r="CZ65" i="1"/>
  <c r="CY65" i="1"/>
  <c r="CW65" i="1"/>
  <c r="CX65" i="1" s="1"/>
  <c r="AY65" i="1" s="1"/>
  <c r="BL65" i="1"/>
  <c r="BK65" i="1"/>
  <c r="BJ65" i="1"/>
  <c r="BH65" i="1"/>
  <c r="BG65" i="1"/>
  <c r="BI65" i="1" s="1"/>
  <c r="BM65" i="1" s="1"/>
  <c r="BN65" i="1" s="1"/>
  <c r="BC65" i="1"/>
  <c r="AW65" i="1"/>
  <c r="AQ65" i="1"/>
  <c r="BD65" i="1" s="1"/>
  <c r="AL65" i="1"/>
  <c r="AJ65" i="1" s="1"/>
  <c r="AB65" i="1"/>
  <c r="AA65" i="1"/>
  <c r="Z65" i="1" s="1"/>
  <c r="V65" i="1"/>
  <c r="S65" i="1"/>
  <c r="N65" i="1"/>
  <c r="M65" i="1"/>
  <c r="AZ65" i="1" s="1"/>
  <c r="BB65" i="1" s="1"/>
  <c r="CZ64" i="1"/>
  <c r="CY64" i="1"/>
  <c r="CX64" i="1"/>
  <c r="AY64" i="1" s="1"/>
  <c r="CW64" i="1"/>
  <c r="BN64" i="1"/>
  <c r="BM64" i="1"/>
  <c r="BL64" i="1"/>
  <c r="BK64" i="1"/>
  <c r="BI64" i="1"/>
  <c r="BH64" i="1"/>
  <c r="BG64" i="1"/>
  <c r="BJ64" i="1" s="1"/>
  <c r="BD64" i="1"/>
  <c r="BC64" i="1"/>
  <c r="AW64" i="1"/>
  <c r="BA64" i="1" s="1"/>
  <c r="AQ64" i="1"/>
  <c r="AL64" i="1"/>
  <c r="AJ64" i="1" s="1"/>
  <c r="M64" i="1" s="1"/>
  <c r="AZ64" i="1" s="1"/>
  <c r="BB64" i="1" s="1"/>
  <c r="AB64" i="1"/>
  <c r="AA64" i="1"/>
  <c r="Z64" i="1" s="1"/>
  <c r="V64" i="1"/>
  <c r="S64" i="1"/>
  <c r="Q64" i="1"/>
  <c r="CZ63" i="1"/>
  <c r="CY63" i="1"/>
  <c r="CW63" i="1"/>
  <c r="BL63" i="1"/>
  <c r="BK63" i="1"/>
  <c r="BG63" i="1"/>
  <c r="BD63" i="1"/>
  <c r="BC63" i="1"/>
  <c r="AW63" i="1"/>
  <c r="AQ63" i="1"/>
  <c r="AL63" i="1"/>
  <c r="AJ63" i="1" s="1"/>
  <c r="AB63" i="1"/>
  <c r="Z63" i="1" s="1"/>
  <c r="AA63" i="1"/>
  <c r="S63" i="1"/>
  <c r="CZ62" i="1"/>
  <c r="CY62" i="1"/>
  <c r="CW62" i="1"/>
  <c r="BL62" i="1"/>
  <c r="BK62" i="1"/>
  <c r="BJ62" i="1"/>
  <c r="BI62" i="1"/>
  <c r="BM62" i="1" s="1"/>
  <c r="BN62" i="1" s="1"/>
  <c r="BG62" i="1"/>
  <c r="BH62" i="1" s="1"/>
  <c r="BC62" i="1"/>
  <c r="AW62" i="1"/>
  <c r="AQ62" i="1"/>
  <c r="BD62" i="1" s="1"/>
  <c r="AL62" i="1"/>
  <c r="AJ62" i="1"/>
  <c r="AB62" i="1"/>
  <c r="AA62" i="1"/>
  <c r="Z62" i="1" s="1"/>
  <c r="S62" i="1"/>
  <c r="CZ61" i="1"/>
  <c r="CY61" i="1"/>
  <c r="CX61" i="1" s="1"/>
  <c r="AY61" i="1" s="1"/>
  <c r="CW61" i="1"/>
  <c r="BL61" i="1"/>
  <c r="BK61" i="1"/>
  <c r="BI61" i="1"/>
  <c r="BM61" i="1" s="1"/>
  <c r="BN61" i="1" s="1"/>
  <c r="BH61" i="1"/>
  <c r="BG61" i="1"/>
  <c r="BJ61" i="1" s="1"/>
  <c r="BC61" i="1"/>
  <c r="AW61" i="1"/>
  <c r="BA61" i="1" s="1"/>
  <c r="AQ61" i="1"/>
  <c r="BD61" i="1" s="1"/>
  <c r="AL61" i="1"/>
  <c r="AJ61" i="1" s="1"/>
  <c r="AB61" i="1"/>
  <c r="AA61" i="1"/>
  <c r="Z61" i="1" s="1"/>
  <c r="V61" i="1"/>
  <c r="S61" i="1"/>
  <c r="CZ60" i="1"/>
  <c r="CY60" i="1"/>
  <c r="CW60" i="1"/>
  <c r="BL60" i="1"/>
  <c r="BK60" i="1"/>
  <c r="BG60" i="1"/>
  <c r="BJ60" i="1" s="1"/>
  <c r="BD60" i="1"/>
  <c r="BC60" i="1"/>
  <c r="AW60" i="1"/>
  <c r="AQ60" i="1"/>
  <c r="AL60" i="1"/>
  <c r="AJ60" i="1" s="1"/>
  <c r="AB60" i="1"/>
  <c r="AA60" i="1"/>
  <c r="Z60" i="1" s="1"/>
  <c r="S60" i="1"/>
  <c r="CZ59" i="1"/>
  <c r="CY59" i="1"/>
  <c r="CX59" i="1"/>
  <c r="AY59" i="1" s="1"/>
  <c r="CW59" i="1"/>
  <c r="BL59" i="1"/>
  <c r="BK59" i="1"/>
  <c r="BH59" i="1"/>
  <c r="BG59" i="1"/>
  <c r="BJ59" i="1" s="1"/>
  <c r="BC59" i="1"/>
  <c r="AW59" i="1"/>
  <c r="BA59" i="1" s="1"/>
  <c r="AQ59" i="1"/>
  <c r="BD59" i="1" s="1"/>
  <c r="AL59" i="1"/>
  <c r="AJ59" i="1"/>
  <c r="AB59" i="1"/>
  <c r="AA59" i="1"/>
  <c r="Z59" i="1"/>
  <c r="V59" i="1"/>
  <c r="S59" i="1"/>
  <c r="CZ58" i="1"/>
  <c r="V58" i="1" s="1"/>
  <c r="CY58" i="1"/>
  <c r="CX58" i="1" s="1"/>
  <c r="AY58" i="1" s="1"/>
  <c r="BA58" i="1" s="1"/>
  <c r="CW58" i="1"/>
  <c r="BL58" i="1"/>
  <c r="BK58" i="1"/>
  <c r="BJ58" i="1"/>
  <c r="BI58" i="1"/>
  <c r="BM58" i="1" s="1"/>
  <c r="BN58" i="1" s="1"/>
  <c r="BH58" i="1"/>
  <c r="BG58" i="1"/>
  <c r="BD58" i="1"/>
  <c r="BC58" i="1"/>
  <c r="AW58" i="1"/>
  <c r="AQ58" i="1"/>
  <c r="AL58" i="1"/>
  <c r="AJ58" i="1" s="1"/>
  <c r="AB58" i="1"/>
  <c r="Z58" i="1" s="1"/>
  <c r="AA58" i="1"/>
  <c r="S58" i="1"/>
  <c r="CZ57" i="1"/>
  <c r="CY57" i="1"/>
  <c r="CX57" i="1"/>
  <c r="AY57" i="1" s="1"/>
  <c r="CW57" i="1"/>
  <c r="BL57" i="1"/>
  <c r="BK57" i="1"/>
  <c r="BI57" i="1"/>
  <c r="BM57" i="1" s="1"/>
  <c r="BN57" i="1" s="1"/>
  <c r="BH57" i="1"/>
  <c r="BG57" i="1"/>
  <c r="BJ57" i="1" s="1"/>
  <c r="BC57" i="1"/>
  <c r="AW57" i="1"/>
  <c r="BA57" i="1" s="1"/>
  <c r="AQ57" i="1"/>
  <c r="BD57" i="1" s="1"/>
  <c r="AL57" i="1"/>
  <c r="AJ57" i="1"/>
  <c r="M57" i="1" s="1"/>
  <c r="AZ57" i="1" s="1"/>
  <c r="AB57" i="1"/>
  <c r="AA57" i="1"/>
  <c r="Z57" i="1"/>
  <c r="V57" i="1"/>
  <c r="S57" i="1"/>
  <c r="N57" i="1"/>
  <c r="CZ56" i="1"/>
  <c r="CY56" i="1"/>
  <c r="CW56" i="1"/>
  <c r="CX56" i="1" s="1"/>
  <c r="AY56" i="1" s="1"/>
  <c r="BL56" i="1"/>
  <c r="BK56" i="1"/>
  <c r="BG56" i="1"/>
  <c r="BJ56" i="1" s="1"/>
  <c r="BD56" i="1"/>
  <c r="BC56" i="1"/>
  <c r="AW56" i="1"/>
  <c r="AQ56" i="1"/>
  <c r="AL56" i="1"/>
  <c r="AJ56" i="1" s="1"/>
  <c r="AB56" i="1"/>
  <c r="AA56" i="1"/>
  <c r="S56" i="1"/>
  <c r="L56" i="1"/>
  <c r="K56" i="1" s="1"/>
  <c r="AD56" i="1" s="1"/>
  <c r="CZ55" i="1"/>
  <c r="CY55" i="1"/>
  <c r="CX55" i="1"/>
  <c r="AY55" i="1" s="1"/>
  <c r="CW55" i="1"/>
  <c r="BL55" i="1"/>
  <c r="BK55" i="1"/>
  <c r="BH55" i="1"/>
  <c r="BG55" i="1"/>
  <c r="BJ55" i="1" s="1"/>
  <c r="BC55" i="1"/>
  <c r="AW55" i="1"/>
  <c r="BA55" i="1" s="1"/>
  <c r="AQ55" i="1"/>
  <c r="BD55" i="1" s="1"/>
  <c r="AL55" i="1"/>
  <c r="AJ55" i="1"/>
  <c r="AB55" i="1"/>
  <c r="AA55" i="1"/>
  <c r="Z55" i="1"/>
  <c r="V55" i="1"/>
  <c r="S55" i="1"/>
  <c r="CZ54" i="1"/>
  <c r="V54" i="1" s="1"/>
  <c r="CY54" i="1"/>
  <c r="CW54" i="1"/>
  <c r="CX54" i="1" s="1"/>
  <c r="AY54" i="1" s="1"/>
  <c r="BA54" i="1" s="1"/>
  <c r="BL54" i="1"/>
  <c r="BK54" i="1"/>
  <c r="BJ54" i="1"/>
  <c r="BI54" i="1"/>
  <c r="BM54" i="1" s="1"/>
  <c r="BN54" i="1" s="1"/>
  <c r="BG54" i="1"/>
  <c r="BH54" i="1" s="1"/>
  <c r="BD54" i="1"/>
  <c r="BC54" i="1"/>
  <c r="AW54" i="1"/>
  <c r="AQ54" i="1"/>
  <c r="AL54" i="1"/>
  <c r="AJ54" i="1" s="1"/>
  <c r="AB54" i="1"/>
  <c r="AA54" i="1"/>
  <c r="Z54" i="1" s="1"/>
  <c r="S54" i="1"/>
  <c r="CZ53" i="1"/>
  <c r="CY53" i="1"/>
  <c r="CX53" i="1"/>
  <c r="AY53" i="1" s="1"/>
  <c r="CW53" i="1"/>
  <c r="BL53" i="1"/>
  <c r="BK53" i="1"/>
  <c r="BI53" i="1"/>
  <c r="BM53" i="1" s="1"/>
  <c r="BN53" i="1" s="1"/>
  <c r="BH53" i="1"/>
  <c r="BG53" i="1"/>
  <c r="BJ53" i="1" s="1"/>
  <c r="BC53" i="1"/>
  <c r="AW53" i="1"/>
  <c r="BA53" i="1" s="1"/>
  <c r="AQ53" i="1"/>
  <c r="BD53" i="1" s="1"/>
  <c r="AL53" i="1"/>
  <c r="AJ53" i="1"/>
  <c r="M53" i="1" s="1"/>
  <c r="AZ53" i="1" s="1"/>
  <c r="BB53" i="1" s="1"/>
  <c r="AB53" i="1"/>
  <c r="AA53" i="1"/>
  <c r="Z53" i="1"/>
  <c r="V53" i="1"/>
  <c r="S53" i="1"/>
  <c r="N53" i="1"/>
  <c r="CZ52" i="1"/>
  <c r="CY52" i="1"/>
  <c r="CW52" i="1"/>
  <c r="CX52" i="1" s="1"/>
  <c r="AY52" i="1" s="1"/>
  <c r="BL52" i="1"/>
  <c r="BK52" i="1"/>
  <c r="BG52" i="1"/>
  <c r="BJ52" i="1" s="1"/>
  <c r="BD52" i="1"/>
  <c r="BC52" i="1"/>
  <c r="AW52" i="1"/>
  <c r="AQ52" i="1"/>
  <c r="AL52" i="1"/>
  <c r="AJ52" i="1" s="1"/>
  <c r="AB52" i="1"/>
  <c r="AA52" i="1"/>
  <c r="S52" i="1"/>
  <c r="L52" i="1"/>
  <c r="K52" i="1" s="1"/>
  <c r="CZ51" i="1"/>
  <c r="CY51" i="1"/>
  <c r="CX51" i="1"/>
  <c r="AY51" i="1" s="1"/>
  <c r="CW51" i="1"/>
  <c r="BL51" i="1"/>
  <c r="BK51" i="1"/>
  <c r="BH51" i="1"/>
  <c r="BG51" i="1"/>
  <c r="BJ51" i="1" s="1"/>
  <c r="BC51" i="1"/>
  <c r="AW51" i="1"/>
  <c r="BA51" i="1" s="1"/>
  <c r="AQ51" i="1"/>
  <c r="BD51" i="1" s="1"/>
  <c r="AL51" i="1"/>
  <c r="AJ51" i="1"/>
  <c r="AB51" i="1"/>
  <c r="AA51" i="1"/>
  <c r="Z51" i="1"/>
  <c r="V51" i="1"/>
  <c r="S51" i="1"/>
  <c r="CZ50" i="1"/>
  <c r="CY50" i="1"/>
  <c r="CW50" i="1"/>
  <c r="CX50" i="1" s="1"/>
  <c r="AY50" i="1" s="1"/>
  <c r="BA50" i="1" s="1"/>
  <c r="BL50" i="1"/>
  <c r="BK50" i="1"/>
  <c r="BJ50" i="1"/>
  <c r="BI50" i="1"/>
  <c r="BM50" i="1" s="1"/>
  <c r="BN50" i="1" s="1"/>
  <c r="BG50" i="1"/>
  <c r="BH50" i="1" s="1"/>
  <c r="BD50" i="1"/>
  <c r="BC50" i="1"/>
  <c r="AW50" i="1"/>
  <c r="AQ50" i="1"/>
  <c r="AL50" i="1"/>
  <c r="AJ50" i="1" s="1"/>
  <c r="AB50" i="1"/>
  <c r="AA50" i="1"/>
  <c r="Z50" i="1" s="1"/>
  <c r="S50" i="1"/>
  <c r="CZ49" i="1"/>
  <c r="CY49" i="1"/>
  <c r="CX49" i="1"/>
  <c r="CW49" i="1"/>
  <c r="BL49" i="1"/>
  <c r="BK49" i="1"/>
  <c r="BI49" i="1"/>
  <c r="BM49" i="1" s="1"/>
  <c r="BN49" i="1" s="1"/>
  <c r="BH49" i="1"/>
  <c r="BG49" i="1"/>
  <c r="BJ49" i="1" s="1"/>
  <c r="BC49" i="1"/>
  <c r="AY49" i="1"/>
  <c r="AW49" i="1"/>
  <c r="BA49" i="1" s="1"/>
  <c r="AQ49" i="1"/>
  <c r="BD49" i="1" s="1"/>
  <c r="AL49" i="1"/>
  <c r="AJ49" i="1"/>
  <c r="M49" i="1" s="1"/>
  <c r="AZ49" i="1" s="1"/>
  <c r="BB49" i="1" s="1"/>
  <c r="AB49" i="1"/>
  <c r="AA49" i="1"/>
  <c r="Z49" i="1"/>
  <c r="V49" i="1"/>
  <c r="S49" i="1"/>
  <c r="N49" i="1"/>
  <c r="CZ48" i="1"/>
  <c r="CY48" i="1"/>
  <c r="CW48" i="1"/>
  <c r="BL48" i="1"/>
  <c r="BK48" i="1"/>
  <c r="BG48" i="1"/>
  <c r="BC48" i="1"/>
  <c r="AW48" i="1"/>
  <c r="AQ48" i="1"/>
  <c r="BD48" i="1" s="1"/>
  <c r="AL48" i="1"/>
  <c r="AJ48" i="1" s="1"/>
  <c r="AB48" i="1"/>
  <c r="AA48" i="1"/>
  <c r="S48" i="1"/>
  <c r="CZ47" i="1"/>
  <c r="CY47" i="1"/>
  <c r="CX47" i="1"/>
  <c r="AY47" i="1" s="1"/>
  <c r="CW47" i="1"/>
  <c r="BL47" i="1"/>
  <c r="BK47" i="1"/>
  <c r="BH47" i="1"/>
  <c r="BG47" i="1"/>
  <c r="BJ47" i="1" s="1"/>
  <c r="BC47" i="1"/>
  <c r="BA47" i="1"/>
  <c r="AW47" i="1"/>
  <c r="AQ47" i="1"/>
  <c r="BD47" i="1" s="1"/>
  <c r="AL47" i="1"/>
  <c r="AK47" i="1"/>
  <c r="AJ47" i="1"/>
  <c r="L47" i="1" s="1"/>
  <c r="K47" i="1" s="1"/>
  <c r="AB47" i="1"/>
  <c r="AA47" i="1"/>
  <c r="Z47" i="1"/>
  <c r="V47" i="1"/>
  <c r="S47" i="1"/>
  <c r="Q47" i="1"/>
  <c r="N47" i="1"/>
  <c r="CZ46" i="1"/>
  <c r="CY46" i="1"/>
  <c r="CW46" i="1"/>
  <c r="CX46" i="1" s="1"/>
  <c r="AY46" i="1" s="1"/>
  <c r="BA46" i="1" s="1"/>
  <c r="BM46" i="1"/>
  <c r="BN46" i="1" s="1"/>
  <c r="BL46" i="1"/>
  <c r="BK46" i="1"/>
  <c r="BJ46" i="1"/>
  <c r="BI46" i="1"/>
  <c r="BG46" i="1"/>
  <c r="BH46" i="1" s="1"/>
  <c r="BD46" i="1"/>
  <c r="BC46" i="1"/>
  <c r="AW46" i="1"/>
  <c r="AQ46" i="1"/>
  <c r="AL46" i="1"/>
  <c r="AJ46" i="1" s="1"/>
  <c r="AK46" i="1" s="1"/>
  <c r="AB46" i="1"/>
  <c r="AA46" i="1"/>
  <c r="Z46" i="1" s="1"/>
  <c r="S46" i="1"/>
  <c r="Q46" i="1"/>
  <c r="CZ45" i="1"/>
  <c r="CY45" i="1"/>
  <c r="CW45" i="1"/>
  <c r="BL45" i="1"/>
  <c r="BK45" i="1"/>
  <c r="BG45" i="1"/>
  <c r="BJ45" i="1" s="1"/>
  <c r="BD45" i="1"/>
  <c r="BC45" i="1"/>
  <c r="AW45" i="1"/>
  <c r="AQ45" i="1"/>
  <c r="AL45" i="1"/>
  <c r="AJ45" i="1" s="1"/>
  <c r="AB45" i="1"/>
  <c r="Z45" i="1" s="1"/>
  <c r="AA45" i="1"/>
  <c r="S45" i="1"/>
  <c r="CZ44" i="1"/>
  <c r="CY44" i="1"/>
  <c r="CW44" i="1"/>
  <c r="CX44" i="1" s="1"/>
  <c r="AY44" i="1" s="1"/>
  <c r="BL44" i="1"/>
  <c r="BK44" i="1"/>
  <c r="BG44" i="1"/>
  <c r="BJ44" i="1" s="1"/>
  <c r="BC44" i="1"/>
  <c r="BA44" i="1"/>
  <c r="AW44" i="1"/>
  <c r="AQ44" i="1"/>
  <c r="BD44" i="1" s="1"/>
  <c r="AL44" i="1"/>
  <c r="AJ44" i="1"/>
  <c r="N44" i="1" s="1"/>
  <c r="AB44" i="1"/>
  <c r="AA44" i="1"/>
  <c r="Z44" i="1"/>
  <c r="S44" i="1"/>
  <c r="Q44" i="1"/>
  <c r="CZ43" i="1"/>
  <c r="CY43" i="1"/>
  <c r="CW43" i="1"/>
  <c r="BL43" i="1"/>
  <c r="BK43" i="1"/>
  <c r="BJ43" i="1"/>
  <c r="BI43" i="1"/>
  <c r="BM43" i="1" s="1"/>
  <c r="BN43" i="1" s="1"/>
  <c r="BG43" i="1"/>
  <c r="BH43" i="1" s="1"/>
  <c r="BC43" i="1"/>
  <c r="AW43" i="1"/>
  <c r="AQ43" i="1"/>
  <c r="BD43" i="1" s="1"/>
  <c r="AL43" i="1"/>
  <c r="AK43" i="1"/>
  <c r="AJ43" i="1"/>
  <c r="N43" i="1" s="1"/>
  <c r="AB43" i="1"/>
  <c r="AA43" i="1"/>
  <c r="Z43" i="1" s="1"/>
  <c r="S43" i="1"/>
  <c r="Q43" i="1"/>
  <c r="CZ42" i="1"/>
  <c r="CY42" i="1"/>
  <c r="CW42" i="1"/>
  <c r="BL42" i="1"/>
  <c r="BK42" i="1"/>
  <c r="BG42" i="1"/>
  <c r="BC42" i="1"/>
  <c r="AW42" i="1"/>
  <c r="AQ42" i="1"/>
  <c r="BD42" i="1" s="1"/>
  <c r="AL42" i="1"/>
  <c r="AJ42" i="1"/>
  <c r="L42" i="1" s="1"/>
  <c r="K42" i="1" s="1"/>
  <c r="AB42" i="1"/>
  <c r="AA42" i="1"/>
  <c r="Z42" i="1"/>
  <c r="S42" i="1"/>
  <c r="Q42" i="1"/>
  <c r="N42" i="1"/>
  <c r="M42" i="1"/>
  <c r="AZ42" i="1" s="1"/>
  <c r="CZ41" i="1"/>
  <c r="CY41" i="1"/>
  <c r="CW41" i="1"/>
  <c r="CX41" i="1" s="1"/>
  <c r="AY41" i="1" s="1"/>
  <c r="BL41" i="1"/>
  <c r="BK41" i="1"/>
  <c r="BG41" i="1"/>
  <c r="BJ41" i="1" s="1"/>
  <c r="BC41" i="1"/>
  <c r="AW41" i="1"/>
  <c r="AQ41" i="1"/>
  <c r="BD41" i="1" s="1"/>
  <c r="AL41" i="1"/>
  <c r="AJ41" i="1" s="1"/>
  <c r="AK41" i="1" s="1"/>
  <c r="AB41" i="1"/>
  <c r="AA41" i="1"/>
  <c r="Z41" i="1" s="1"/>
  <c r="S41" i="1"/>
  <c r="CZ40" i="1"/>
  <c r="CY40" i="1"/>
  <c r="CW40" i="1"/>
  <c r="CX40" i="1" s="1"/>
  <c r="AY40" i="1" s="1"/>
  <c r="BL40" i="1"/>
  <c r="BK40" i="1"/>
  <c r="BG40" i="1"/>
  <c r="BJ40" i="1" s="1"/>
  <c r="BC40" i="1"/>
  <c r="BA40" i="1"/>
  <c r="AW40" i="1"/>
  <c r="AQ40" i="1"/>
  <c r="BD40" i="1" s="1"/>
  <c r="AL40" i="1"/>
  <c r="AJ40" i="1"/>
  <c r="N40" i="1" s="1"/>
  <c r="AB40" i="1"/>
  <c r="AA40" i="1"/>
  <c r="Z40" i="1"/>
  <c r="S40" i="1"/>
  <c r="Q40" i="1"/>
  <c r="CZ39" i="1"/>
  <c r="CY39" i="1"/>
  <c r="CW39" i="1"/>
  <c r="BL39" i="1"/>
  <c r="BK39" i="1"/>
  <c r="BJ39" i="1"/>
  <c r="BI39" i="1"/>
  <c r="BM39" i="1" s="1"/>
  <c r="BN39" i="1" s="1"/>
  <c r="BG39" i="1"/>
  <c r="BH39" i="1" s="1"/>
  <c r="BC39" i="1"/>
  <c r="AZ39" i="1"/>
  <c r="AW39" i="1"/>
  <c r="AQ39" i="1"/>
  <c r="BD39" i="1" s="1"/>
  <c r="AL39" i="1"/>
  <c r="AK39" i="1"/>
  <c r="AJ39" i="1"/>
  <c r="N39" i="1" s="1"/>
  <c r="AB39" i="1"/>
  <c r="AA39" i="1"/>
  <c r="Z39" i="1" s="1"/>
  <c r="S39" i="1"/>
  <c r="Q39" i="1"/>
  <c r="M39" i="1"/>
  <c r="L39" i="1"/>
  <c r="K39" i="1"/>
  <c r="AD39" i="1" s="1"/>
  <c r="CZ38" i="1"/>
  <c r="CY38" i="1"/>
  <c r="CW38" i="1"/>
  <c r="BL38" i="1"/>
  <c r="BK38" i="1"/>
  <c r="BG38" i="1"/>
  <c r="BC38" i="1"/>
  <c r="AW38" i="1"/>
  <c r="AQ38" i="1"/>
  <c r="BD38" i="1" s="1"/>
  <c r="AL38" i="1"/>
  <c r="AK38" i="1"/>
  <c r="AJ38" i="1"/>
  <c r="L38" i="1" s="1"/>
  <c r="K38" i="1" s="1"/>
  <c r="AB38" i="1"/>
  <c r="AA38" i="1"/>
  <c r="Z38" i="1" s="1"/>
  <c r="S38" i="1"/>
  <c r="Q38" i="1"/>
  <c r="N38" i="1"/>
  <c r="M38" i="1"/>
  <c r="AZ38" i="1" s="1"/>
  <c r="CZ37" i="1"/>
  <c r="CY37" i="1"/>
  <c r="CW37" i="1"/>
  <c r="BL37" i="1"/>
  <c r="BK37" i="1"/>
  <c r="BG37" i="1"/>
  <c r="BC37" i="1"/>
  <c r="AW37" i="1"/>
  <c r="AQ37" i="1"/>
  <c r="BD37" i="1" s="1"/>
  <c r="AL37" i="1"/>
  <c r="AJ37" i="1" s="1"/>
  <c r="AB37" i="1"/>
  <c r="AA37" i="1"/>
  <c r="Z37" i="1" s="1"/>
  <c r="S37" i="1"/>
  <c r="CZ36" i="1"/>
  <c r="CY36" i="1"/>
  <c r="CW36" i="1"/>
  <c r="CX36" i="1" s="1"/>
  <c r="AY36" i="1" s="1"/>
  <c r="BL36" i="1"/>
  <c r="BK36" i="1"/>
  <c r="BG36" i="1"/>
  <c r="BJ36" i="1" s="1"/>
  <c r="BC36" i="1"/>
  <c r="BA36" i="1"/>
  <c r="AW36" i="1"/>
  <c r="AQ36" i="1"/>
  <c r="BD36" i="1" s="1"/>
  <c r="AL36" i="1"/>
  <c r="AK36" i="1"/>
  <c r="AJ36" i="1"/>
  <c r="AB36" i="1"/>
  <c r="AA36" i="1"/>
  <c r="Z36" i="1" s="1"/>
  <c r="S36" i="1"/>
  <c r="Q36" i="1"/>
  <c r="M36" i="1"/>
  <c r="AZ36" i="1" s="1"/>
  <c r="BB36" i="1" s="1"/>
  <c r="CZ35" i="1"/>
  <c r="CY35" i="1"/>
  <c r="CW35" i="1"/>
  <c r="BM35" i="1"/>
  <c r="BN35" i="1" s="1"/>
  <c r="BL35" i="1"/>
  <c r="BK35" i="1"/>
  <c r="BJ35" i="1"/>
  <c r="BI35" i="1"/>
  <c r="BG35" i="1"/>
  <c r="BH35" i="1" s="1"/>
  <c r="BC35" i="1"/>
  <c r="AW35" i="1"/>
  <c r="AQ35" i="1"/>
  <c r="BD35" i="1" s="1"/>
  <c r="AL35" i="1"/>
  <c r="AJ35" i="1" s="1"/>
  <c r="Q35" i="1" s="1"/>
  <c r="AK35" i="1"/>
  <c r="AB35" i="1"/>
  <c r="AA35" i="1"/>
  <c r="Z35" i="1" s="1"/>
  <c r="S35" i="1"/>
  <c r="CZ34" i="1"/>
  <c r="CY34" i="1"/>
  <c r="CX34" i="1"/>
  <c r="AY34" i="1" s="1"/>
  <c r="BA34" i="1" s="1"/>
  <c r="CW34" i="1"/>
  <c r="V34" i="1" s="1"/>
  <c r="BL34" i="1"/>
  <c r="BK34" i="1"/>
  <c r="BG34" i="1"/>
  <c r="BC34" i="1"/>
  <c r="AW34" i="1"/>
  <c r="AQ34" i="1"/>
  <c r="BD34" i="1" s="1"/>
  <c r="AL34" i="1"/>
  <c r="AK34" i="1"/>
  <c r="AJ34" i="1"/>
  <c r="L34" i="1" s="1"/>
  <c r="AB34" i="1"/>
  <c r="AA34" i="1"/>
  <c r="Z34" i="1" s="1"/>
  <c r="S34" i="1"/>
  <c r="Q34" i="1"/>
  <c r="N34" i="1"/>
  <c r="M34" i="1"/>
  <c r="AZ34" i="1" s="1"/>
  <c r="K34" i="1"/>
  <c r="CZ33" i="1"/>
  <c r="CY33" i="1"/>
  <c r="CW33" i="1"/>
  <c r="BL33" i="1"/>
  <c r="BK33" i="1"/>
  <c r="BI33" i="1"/>
  <c r="BM33" i="1" s="1"/>
  <c r="BN33" i="1" s="1"/>
  <c r="BG33" i="1"/>
  <c r="BD33" i="1"/>
  <c r="BC33" i="1"/>
  <c r="AW33" i="1"/>
  <c r="AQ33" i="1"/>
  <c r="AL33" i="1"/>
  <c r="AJ33" i="1" s="1"/>
  <c r="AB33" i="1"/>
  <c r="AA33" i="1"/>
  <c r="S33" i="1"/>
  <c r="CZ32" i="1"/>
  <c r="CY32" i="1"/>
  <c r="CW32" i="1"/>
  <c r="BL32" i="1"/>
  <c r="BK32" i="1"/>
  <c r="BG32" i="1"/>
  <c r="BC32" i="1"/>
  <c r="AW32" i="1"/>
  <c r="AQ32" i="1"/>
  <c r="BD32" i="1" s="1"/>
  <c r="AL32" i="1"/>
  <c r="AK32" i="1"/>
  <c r="AJ32" i="1"/>
  <c r="AB32" i="1"/>
  <c r="AA32" i="1"/>
  <c r="Z32" i="1" s="1"/>
  <c r="S32" i="1"/>
  <c r="Q32" i="1"/>
  <c r="M32" i="1"/>
  <c r="AZ32" i="1" s="1"/>
  <c r="CZ31" i="1"/>
  <c r="CY31" i="1"/>
  <c r="CW31" i="1"/>
  <c r="BL31" i="1"/>
  <c r="BK31" i="1"/>
  <c r="BI31" i="1"/>
  <c r="BM31" i="1" s="1"/>
  <c r="BN31" i="1" s="1"/>
  <c r="BG31" i="1"/>
  <c r="BH31" i="1" s="1"/>
  <c r="BC31" i="1"/>
  <c r="AW31" i="1"/>
  <c r="AQ31" i="1"/>
  <c r="BD31" i="1" s="1"/>
  <c r="AL31" i="1"/>
  <c r="AJ31" i="1" s="1"/>
  <c r="AB31" i="1"/>
  <c r="AA31" i="1"/>
  <c r="Z31" i="1" s="1"/>
  <c r="S31" i="1"/>
  <c r="CZ30" i="1"/>
  <c r="CY30" i="1"/>
  <c r="CX30" i="1"/>
  <c r="CW30" i="1"/>
  <c r="V30" i="1" s="1"/>
  <c r="BL30" i="1"/>
  <c r="BK30" i="1"/>
  <c r="BI30" i="1"/>
  <c r="BM30" i="1" s="1"/>
  <c r="BN30" i="1" s="1"/>
  <c r="BH30" i="1"/>
  <c r="BG30" i="1"/>
  <c r="BJ30" i="1" s="1"/>
  <c r="BC30" i="1"/>
  <c r="AY30" i="1"/>
  <c r="AW30" i="1"/>
  <c r="BA30" i="1" s="1"/>
  <c r="AQ30" i="1"/>
  <c r="BD30" i="1" s="1"/>
  <c r="AL30" i="1"/>
  <c r="AJ30" i="1"/>
  <c r="L30" i="1" s="1"/>
  <c r="AD30" i="1"/>
  <c r="AB30" i="1"/>
  <c r="AA30" i="1"/>
  <c r="Z30" i="1" s="1"/>
  <c r="S30" i="1"/>
  <c r="Q30" i="1"/>
  <c r="K30" i="1"/>
  <c r="CZ29" i="1"/>
  <c r="CY29" i="1"/>
  <c r="CX29" i="1" s="1"/>
  <c r="AY29" i="1" s="1"/>
  <c r="CW29" i="1"/>
  <c r="BL29" i="1"/>
  <c r="BK29" i="1"/>
  <c r="BJ29" i="1"/>
  <c r="BI29" i="1"/>
  <c r="BM29" i="1" s="1"/>
  <c r="BN29" i="1" s="1"/>
  <c r="BH29" i="1"/>
  <c r="BG29" i="1"/>
  <c r="BD29" i="1"/>
  <c r="BC29" i="1"/>
  <c r="BA29" i="1"/>
  <c r="AW29" i="1"/>
  <c r="AQ29" i="1"/>
  <c r="AL29" i="1"/>
  <c r="AJ29" i="1" s="1"/>
  <c r="AB29" i="1"/>
  <c r="AA29" i="1"/>
  <c r="Z29" i="1" s="1"/>
  <c r="V29" i="1"/>
  <c r="S29" i="1"/>
  <c r="CZ28" i="1"/>
  <c r="CY28" i="1"/>
  <c r="CW28" i="1"/>
  <c r="CX28" i="1" s="1"/>
  <c r="BL28" i="1"/>
  <c r="BK28" i="1"/>
  <c r="BI28" i="1"/>
  <c r="BM28" i="1" s="1"/>
  <c r="BN28" i="1" s="1"/>
  <c r="BG28" i="1"/>
  <c r="BH28" i="1" s="1"/>
  <c r="BC28" i="1"/>
  <c r="AY28" i="1"/>
  <c r="AW28" i="1"/>
  <c r="AQ28" i="1"/>
  <c r="BD28" i="1" s="1"/>
  <c r="AL28" i="1"/>
  <c r="AJ28" i="1" s="1"/>
  <c r="AB28" i="1"/>
  <c r="Z28" i="1" s="1"/>
  <c r="AA28" i="1"/>
  <c r="S28" i="1"/>
  <c r="CZ27" i="1"/>
  <c r="CY27" i="1"/>
  <c r="CW27" i="1"/>
  <c r="BL27" i="1"/>
  <c r="BK27" i="1"/>
  <c r="BG27" i="1"/>
  <c r="BC27" i="1"/>
  <c r="AW27" i="1"/>
  <c r="AQ27" i="1"/>
  <c r="BD27" i="1" s="1"/>
  <c r="AL27" i="1"/>
  <c r="AK27" i="1"/>
  <c r="AJ27" i="1"/>
  <c r="L27" i="1" s="1"/>
  <c r="K27" i="1" s="1"/>
  <c r="AB27" i="1"/>
  <c r="AA27" i="1"/>
  <c r="Z27" i="1" s="1"/>
  <c r="S27" i="1"/>
  <c r="M27" i="1"/>
  <c r="AZ27" i="1" s="1"/>
  <c r="CZ26" i="1"/>
  <c r="V26" i="1" s="1"/>
  <c r="CY26" i="1"/>
  <c r="CX26" i="1"/>
  <c r="AY26" i="1" s="1"/>
  <c r="BA26" i="1" s="1"/>
  <c r="CW26" i="1"/>
  <c r="BM26" i="1"/>
  <c r="BN26" i="1" s="1"/>
  <c r="BL26" i="1"/>
  <c r="BK26" i="1"/>
  <c r="BJ26" i="1"/>
  <c r="BI26" i="1"/>
  <c r="BH26" i="1"/>
  <c r="BG26" i="1"/>
  <c r="BC26" i="1"/>
  <c r="AW26" i="1"/>
  <c r="AQ26" i="1"/>
  <c r="BD26" i="1" s="1"/>
  <c r="AL26" i="1"/>
  <c r="AK26" i="1"/>
  <c r="AJ26" i="1"/>
  <c r="M26" i="1" s="1"/>
  <c r="AZ26" i="1" s="1"/>
  <c r="BB26" i="1" s="1"/>
  <c r="AB26" i="1"/>
  <c r="AA26" i="1"/>
  <c r="Z26" i="1" s="1"/>
  <c r="S26" i="1"/>
  <c r="Q26" i="1"/>
  <c r="N26" i="1"/>
  <c r="CZ25" i="1"/>
  <c r="CY25" i="1"/>
  <c r="CX25" i="1" s="1"/>
  <c r="AY25" i="1" s="1"/>
  <c r="CW25" i="1"/>
  <c r="BL25" i="1"/>
  <c r="BK25" i="1"/>
  <c r="BJ25" i="1"/>
  <c r="BI25" i="1"/>
  <c r="BM25" i="1" s="1"/>
  <c r="BN25" i="1" s="1"/>
  <c r="BH25" i="1"/>
  <c r="BG25" i="1"/>
  <c r="BD25" i="1"/>
  <c r="BC25" i="1"/>
  <c r="BA25" i="1"/>
  <c r="AW25" i="1"/>
  <c r="AQ25" i="1"/>
  <c r="AL25" i="1"/>
  <c r="AJ25" i="1" s="1"/>
  <c r="AB25" i="1"/>
  <c r="AA25" i="1"/>
  <c r="Z25" i="1" s="1"/>
  <c r="V25" i="1"/>
  <c r="S25" i="1"/>
  <c r="Q25" i="1"/>
  <c r="CZ24" i="1"/>
  <c r="CY24" i="1"/>
  <c r="CW24" i="1"/>
  <c r="BL24" i="1"/>
  <c r="BK24" i="1"/>
  <c r="BI24" i="1"/>
  <c r="BM24" i="1" s="1"/>
  <c r="BN24" i="1" s="1"/>
  <c r="BG24" i="1"/>
  <c r="BH24" i="1" s="1"/>
  <c r="BC24" i="1"/>
  <c r="AW24" i="1"/>
  <c r="AQ24" i="1"/>
  <c r="BD24" i="1" s="1"/>
  <c r="AL24" i="1"/>
  <c r="AJ24" i="1" s="1"/>
  <c r="AB24" i="1"/>
  <c r="Z24" i="1" s="1"/>
  <c r="AA24" i="1"/>
  <c r="S24" i="1"/>
  <c r="CZ23" i="1"/>
  <c r="CY23" i="1"/>
  <c r="CW23" i="1"/>
  <c r="BL23" i="1"/>
  <c r="BK23" i="1"/>
  <c r="BG23" i="1"/>
  <c r="BC23" i="1"/>
  <c r="AW23" i="1"/>
  <c r="AQ23" i="1"/>
  <c r="BD23" i="1" s="1"/>
  <c r="AL23" i="1"/>
  <c r="AK23" i="1"/>
  <c r="AJ23" i="1"/>
  <c r="L23" i="1" s="1"/>
  <c r="K23" i="1" s="1"/>
  <c r="AB23" i="1"/>
  <c r="AA23" i="1"/>
  <c r="Z23" i="1" s="1"/>
  <c r="S23" i="1"/>
  <c r="M23" i="1"/>
  <c r="AZ23" i="1" s="1"/>
  <c r="CZ22" i="1"/>
  <c r="V22" i="1" s="1"/>
  <c r="CY22" i="1"/>
  <c r="CX22" i="1"/>
  <c r="AY22" i="1" s="1"/>
  <c r="BA22" i="1" s="1"/>
  <c r="CW22" i="1"/>
  <c r="BM22" i="1"/>
  <c r="BN22" i="1" s="1"/>
  <c r="BL22" i="1"/>
  <c r="BK22" i="1"/>
  <c r="BJ22" i="1"/>
  <c r="BI22" i="1"/>
  <c r="BH22" i="1"/>
  <c r="BG22" i="1"/>
  <c r="BC22" i="1"/>
  <c r="AW22" i="1"/>
  <c r="AQ22" i="1"/>
  <c r="BD22" i="1" s="1"/>
  <c r="AL22" i="1"/>
  <c r="AK22" i="1"/>
  <c r="AJ22" i="1"/>
  <c r="M22" i="1" s="1"/>
  <c r="AZ22" i="1" s="1"/>
  <c r="BB22" i="1" s="1"/>
  <c r="AB22" i="1"/>
  <c r="AA22" i="1"/>
  <c r="Z22" i="1" s="1"/>
  <c r="S22" i="1"/>
  <c r="Q22" i="1"/>
  <c r="N22" i="1"/>
  <c r="CZ21" i="1"/>
  <c r="CY21" i="1"/>
  <c r="CX21" i="1" s="1"/>
  <c r="AY21" i="1" s="1"/>
  <c r="BA21" i="1" s="1"/>
  <c r="CW21" i="1"/>
  <c r="BL21" i="1"/>
  <c r="BK21" i="1"/>
  <c r="BJ21" i="1"/>
  <c r="BI21" i="1"/>
  <c r="BM21" i="1" s="1"/>
  <c r="BN21" i="1" s="1"/>
  <c r="BH21" i="1"/>
  <c r="BG21" i="1"/>
  <c r="BD21" i="1"/>
  <c r="BC21" i="1"/>
  <c r="AW21" i="1"/>
  <c r="AQ21" i="1"/>
  <c r="AL21" i="1"/>
  <c r="AJ21" i="1" s="1"/>
  <c r="AB21" i="1"/>
  <c r="AA21" i="1"/>
  <c r="Z21" i="1" s="1"/>
  <c r="V21" i="1"/>
  <c r="S21" i="1"/>
  <c r="CZ20" i="1"/>
  <c r="CY20" i="1"/>
  <c r="CW20" i="1"/>
  <c r="CX20" i="1" s="1"/>
  <c r="BL20" i="1"/>
  <c r="BK20" i="1"/>
  <c r="BI20" i="1"/>
  <c r="BM20" i="1" s="1"/>
  <c r="BN20" i="1" s="1"/>
  <c r="BG20" i="1"/>
  <c r="BH20" i="1" s="1"/>
  <c r="BC20" i="1"/>
  <c r="AY20" i="1"/>
  <c r="AW20" i="1"/>
  <c r="AQ20" i="1"/>
  <c r="BD20" i="1" s="1"/>
  <c r="AL20" i="1"/>
  <c r="AJ20" i="1" s="1"/>
  <c r="AB20" i="1"/>
  <c r="Z20" i="1" s="1"/>
  <c r="AA20" i="1"/>
  <c r="S20" i="1"/>
  <c r="CZ19" i="1"/>
  <c r="CY19" i="1"/>
  <c r="CW19" i="1"/>
  <c r="BL19" i="1"/>
  <c r="BK19" i="1"/>
  <c r="BG19" i="1"/>
  <c r="BC19" i="1"/>
  <c r="AW19" i="1"/>
  <c r="AQ19" i="1"/>
  <c r="BD19" i="1" s="1"/>
  <c r="AL19" i="1"/>
  <c r="AK19" i="1"/>
  <c r="AJ19" i="1"/>
  <c r="L19" i="1" s="1"/>
  <c r="K19" i="1" s="1"/>
  <c r="AB19" i="1"/>
  <c r="AA19" i="1"/>
  <c r="Z19" i="1" s="1"/>
  <c r="S19" i="1"/>
  <c r="M19" i="1"/>
  <c r="AZ19" i="1" s="1"/>
  <c r="CZ18" i="1"/>
  <c r="V18" i="1" s="1"/>
  <c r="CY18" i="1"/>
  <c r="CX18" i="1"/>
  <c r="AY18" i="1" s="1"/>
  <c r="BA18" i="1" s="1"/>
  <c r="CW18" i="1"/>
  <c r="BM18" i="1"/>
  <c r="BN18" i="1" s="1"/>
  <c r="BL18" i="1"/>
  <c r="BK18" i="1"/>
  <c r="BJ18" i="1"/>
  <c r="BI18" i="1"/>
  <c r="BH18" i="1"/>
  <c r="BG18" i="1"/>
  <c r="BC18" i="1"/>
  <c r="AW18" i="1"/>
  <c r="AQ18" i="1"/>
  <c r="BD18" i="1" s="1"/>
  <c r="AL18" i="1"/>
  <c r="AK18" i="1"/>
  <c r="AJ18" i="1"/>
  <c r="M18" i="1" s="1"/>
  <c r="AZ18" i="1" s="1"/>
  <c r="AB18" i="1"/>
  <c r="AA18" i="1"/>
  <c r="Z18" i="1" s="1"/>
  <c r="S18" i="1"/>
  <c r="Q18" i="1"/>
  <c r="N18" i="1"/>
  <c r="CZ17" i="1"/>
  <c r="CY17" i="1"/>
  <c r="CX17" i="1" s="1"/>
  <c r="AY17" i="1" s="1"/>
  <c r="CW17" i="1"/>
  <c r="BL17" i="1"/>
  <c r="BK17" i="1"/>
  <c r="BJ17" i="1"/>
  <c r="BI17" i="1"/>
  <c r="BM17" i="1" s="1"/>
  <c r="BN17" i="1" s="1"/>
  <c r="BH17" i="1"/>
  <c r="BG17" i="1"/>
  <c r="BD17" i="1"/>
  <c r="BC17" i="1"/>
  <c r="BA17" i="1"/>
  <c r="AW17" i="1"/>
  <c r="AQ17" i="1"/>
  <c r="AL17" i="1"/>
  <c r="AJ17" i="1" s="1"/>
  <c r="AB17" i="1"/>
  <c r="AA17" i="1"/>
  <c r="Z17" i="1" s="1"/>
  <c r="V17" i="1"/>
  <c r="S17" i="1"/>
  <c r="Q17" i="1"/>
  <c r="N29" i="1" l="1"/>
  <c r="M29" i="1"/>
  <c r="AZ29" i="1" s="1"/>
  <c r="BB29" i="1" s="1"/>
  <c r="L29" i="1"/>
  <c r="K29" i="1" s="1"/>
  <c r="AK29" i="1"/>
  <c r="BJ27" i="1"/>
  <c r="BI27" i="1"/>
  <c r="BM27" i="1" s="1"/>
  <c r="BN27" i="1" s="1"/>
  <c r="BH27" i="1"/>
  <c r="Q29" i="1"/>
  <c r="W30" i="1"/>
  <c r="X30" i="1" s="1"/>
  <c r="AE30" i="1" s="1"/>
  <c r="AD34" i="1"/>
  <c r="BJ23" i="1"/>
  <c r="BI23" i="1"/>
  <c r="BM23" i="1" s="1"/>
  <c r="BN23" i="1" s="1"/>
  <c r="BH23" i="1"/>
  <c r="AD19" i="1"/>
  <c r="BB18" i="1"/>
  <c r="CX19" i="1"/>
  <c r="AY19" i="1" s="1"/>
  <c r="BA19" i="1" s="1"/>
  <c r="V19" i="1"/>
  <c r="AD23" i="1"/>
  <c r="N31" i="1"/>
  <c r="AK31" i="1"/>
  <c r="L31" i="1"/>
  <c r="K31" i="1" s="1"/>
  <c r="Q31" i="1"/>
  <c r="BJ32" i="1"/>
  <c r="BH32" i="1"/>
  <c r="BI32" i="1"/>
  <c r="BM32" i="1" s="1"/>
  <c r="BN32" i="1" s="1"/>
  <c r="AD27" i="1"/>
  <c r="N24" i="1"/>
  <c r="M24" i="1"/>
  <c r="AZ24" i="1" s="1"/>
  <c r="L24" i="1"/>
  <c r="K24" i="1" s="1"/>
  <c r="AK24" i="1"/>
  <c r="Q24" i="1"/>
  <c r="W26" i="1"/>
  <c r="X26" i="1" s="1"/>
  <c r="CX27" i="1"/>
  <c r="AY27" i="1" s="1"/>
  <c r="BA27" i="1" s="1"/>
  <c r="V27" i="1"/>
  <c r="N20" i="1"/>
  <c r="M20" i="1"/>
  <c r="AZ20" i="1" s="1"/>
  <c r="BB20" i="1" s="1"/>
  <c r="L20" i="1"/>
  <c r="K20" i="1" s="1"/>
  <c r="AK20" i="1"/>
  <c r="Q20" i="1"/>
  <c r="N17" i="1"/>
  <c r="M17" i="1"/>
  <c r="AZ17" i="1" s="1"/>
  <c r="BB17" i="1" s="1"/>
  <c r="L17" i="1"/>
  <c r="K17" i="1" s="1"/>
  <c r="AK17" i="1"/>
  <c r="BA20" i="1"/>
  <c r="CX24" i="1"/>
  <c r="AY24" i="1" s="1"/>
  <c r="BA24" i="1" s="1"/>
  <c r="BB27" i="1"/>
  <c r="N28" i="1"/>
  <c r="M28" i="1"/>
  <c r="AZ28" i="1" s="1"/>
  <c r="BB28" i="1" s="1"/>
  <c r="L28" i="1"/>
  <c r="K28" i="1" s="1"/>
  <c r="AK28" i="1"/>
  <c r="Q28" i="1"/>
  <c r="M31" i="1"/>
  <c r="AZ31" i="1" s="1"/>
  <c r="BB31" i="1" s="1"/>
  <c r="N33" i="1"/>
  <c r="AK33" i="1"/>
  <c r="Q33" i="1"/>
  <c r="M33" i="1"/>
  <c r="AZ33" i="1" s="1"/>
  <c r="BB33" i="1" s="1"/>
  <c r="L33" i="1"/>
  <c r="K33" i="1" s="1"/>
  <c r="W22" i="1"/>
  <c r="X22" i="1" s="1"/>
  <c r="CX23" i="1"/>
  <c r="AY23" i="1" s="1"/>
  <c r="BA23" i="1" s="1"/>
  <c r="V23" i="1"/>
  <c r="N21" i="1"/>
  <c r="M21" i="1"/>
  <c r="AZ21" i="1" s="1"/>
  <c r="BB21" i="1" s="1"/>
  <c r="L21" i="1"/>
  <c r="K21" i="1" s="1"/>
  <c r="AK21" i="1"/>
  <c r="W34" i="1"/>
  <c r="X34" i="1" s="1"/>
  <c r="CX37" i="1"/>
  <c r="AY37" i="1" s="1"/>
  <c r="BA37" i="1" s="1"/>
  <c r="V37" i="1"/>
  <c r="BJ19" i="1"/>
  <c r="BI19" i="1"/>
  <c r="BM19" i="1" s="1"/>
  <c r="BN19" i="1" s="1"/>
  <c r="BH19" i="1"/>
  <c r="Q21" i="1"/>
  <c r="N25" i="1"/>
  <c r="M25" i="1"/>
  <c r="AZ25" i="1" s="1"/>
  <c r="BB25" i="1" s="1"/>
  <c r="L25" i="1"/>
  <c r="K25" i="1" s="1"/>
  <c r="AK25" i="1"/>
  <c r="BA28" i="1"/>
  <c r="T30" i="1"/>
  <c r="R30" i="1" s="1"/>
  <c r="U30" i="1" s="1"/>
  <c r="BJ34" i="1"/>
  <c r="BI34" i="1"/>
  <c r="BM34" i="1" s="1"/>
  <c r="BN34" i="1" s="1"/>
  <c r="BH34" i="1"/>
  <c r="Q37" i="1"/>
  <c r="N37" i="1"/>
  <c r="L37" i="1"/>
  <c r="K37" i="1" s="1"/>
  <c r="AK37" i="1"/>
  <c r="M37" i="1"/>
  <c r="AZ37" i="1" s="1"/>
  <c r="BB37" i="1" s="1"/>
  <c r="BB39" i="1"/>
  <c r="L18" i="1"/>
  <c r="K18" i="1" s="1"/>
  <c r="W18" i="1" s="1"/>
  <c r="X18" i="1" s="1"/>
  <c r="N19" i="1"/>
  <c r="BJ20" i="1"/>
  <c r="L22" i="1"/>
  <c r="K22" i="1" s="1"/>
  <c r="N23" i="1"/>
  <c r="BJ24" i="1"/>
  <c r="L26" i="1"/>
  <c r="K26" i="1" s="1"/>
  <c r="N27" i="1"/>
  <c r="BJ28" i="1"/>
  <c r="M30" i="1"/>
  <c r="AZ30" i="1" s="1"/>
  <c r="BB30" i="1" s="1"/>
  <c r="BJ31" i="1"/>
  <c r="BB34" i="1"/>
  <c r="N36" i="1"/>
  <c r="L36" i="1"/>
  <c r="K36" i="1" s="1"/>
  <c r="BA42" i="1"/>
  <c r="BA45" i="1"/>
  <c r="N30" i="1"/>
  <c r="Z33" i="1"/>
  <c r="BJ38" i="1"/>
  <c r="BI38" i="1"/>
  <c r="BM38" i="1" s="1"/>
  <c r="BN38" i="1" s="1"/>
  <c r="BH38" i="1"/>
  <c r="Q41" i="1"/>
  <c r="N41" i="1"/>
  <c r="M41" i="1"/>
  <c r="AZ41" i="1" s="1"/>
  <c r="BB41" i="1" s="1"/>
  <c r="L41" i="1"/>
  <c r="K41" i="1" s="1"/>
  <c r="AD52" i="1"/>
  <c r="BJ42" i="1"/>
  <c r="BI42" i="1"/>
  <c r="BM42" i="1" s="1"/>
  <c r="BN42" i="1" s="1"/>
  <c r="BH42" i="1"/>
  <c r="Q55" i="1"/>
  <c r="N55" i="1"/>
  <c r="M55" i="1"/>
  <c r="AZ55" i="1" s="1"/>
  <c r="BB55" i="1" s="1"/>
  <c r="L55" i="1"/>
  <c r="K55" i="1" s="1"/>
  <c r="AK55" i="1"/>
  <c r="Q19" i="1"/>
  <c r="Q23" i="1"/>
  <c r="Q27" i="1"/>
  <c r="AK30" i="1"/>
  <c r="CX35" i="1"/>
  <c r="AY35" i="1" s="1"/>
  <c r="BA35" i="1" s="1"/>
  <c r="BJ37" i="1"/>
  <c r="BI37" i="1"/>
  <c r="BM37" i="1" s="1"/>
  <c r="BN37" i="1" s="1"/>
  <c r="BH37" i="1"/>
  <c r="AD38" i="1"/>
  <c r="BA41" i="1"/>
  <c r="CX43" i="1"/>
  <c r="AY43" i="1" s="1"/>
  <c r="BA43" i="1" s="1"/>
  <c r="AD47" i="1"/>
  <c r="W58" i="1"/>
  <c r="X58" i="1" s="1"/>
  <c r="CX31" i="1"/>
  <c r="AY31" i="1" s="1"/>
  <c r="BA31" i="1" s="1"/>
  <c r="V31" i="1"/>
  <c r="CX32" i="1"/>
  <c r="AY32" i="1" s="1"/>
  <c r="V32" i="1"/>
  <c r="CX33" i="1"/>
  <c r="AY33" i="1" s="1"/>
  <c r="BA33" i="1" s="1"/>
  <c r="V33" i="1"/>
  <c r="CX38" i="1"/>
  <c r="AY38" i="1" s="1"/>
  <c r="BA38" i="1" s="1"/>
  <c r="V38" i="1"/>
  <c r="BB42" i="1"/>
  <c r="AD42" i="1"/>
  <c r="CX42" i="1"/>
  <c r="AY42" i="1" s="1"/>
  <c r="V42" i="1"/>
  <c r="AK45" i="1"/>
  <c r="Q45" i="1"/>
  <c r="N45" i="1"/>
  <c r="M45" i="1"/>
  <c r="AZ45" i="1" s="1"/>
  <c r="BB45" i="1" s="1"/>
  <c r="L45" i="1"/>
  <c r="K45" i="1" s="1"/>
  <c r="V45" i="1"/>
  <c r="CX45" i="1"/>
  <c r="AY45" i="1" s="1"/>
  <c r="AK48" i="1"/>
  <c r="Q48" i="1"/>
  <c r="N48" i="1"/>
  <c r="M48" i="1"/>
  <c r="AZ48" i="1" s="1"/>
  <c r="BB48" i="1" s="1"/>
  <c r="L48" i="1"/>
  <c r="K48" i="1" s="1"/>
  <c r="V20" i="1"/>
  <c r="V24" i="1"/>
  <c r="V28" i="1"/>
  <c r="N32" i="1"/>
  <c r="L32" i="1"/>
  <c r="K32" i="1" s="1"/>
  <c r="BJ33" i="1"/>
  <c r="BH33" i="1"/>
  <c r="N35" i="1"/>
  <c r="M35" i="1"/>
  <c r="AZ35" i="1" s="1"/>
  <c r="BB35" i="1" s="1"/>
  <c r="L35" i="1"/>
  <c r="K35" i="1" s="1"/>
  <c r="CX39" i="1"/>
  <c r="AY39" i="1" s="1"/>
  <c r="BA39" i="1" s="1"/>
  <c r="W54" i="1"/>
  <c r="X54" i="1" s="1"/>
  <c r="Z56" i="1"/>
  <c r="AK40" i="1"/>
  <c r="AK44" i="1"/>
  <c r="BH45" i="1"/>
  <c r="BA48" i="1"/>
  <c r="Q51" i="1"/>
  <c r="N51" i="1"/>
  <c r="M51" i="1"/>
  <c r="AZ51" i="1" s="1"/>
  <c r="BB51" i="1" s="1"/>
  <c r="L51" i="1"/>
  <c r="K51" i="1" s="1"/>
  <c r="AK51" i="1"/>
  <c r="N58" i="1"/>
  <c r="M58" i="1"/>
  <c r="AZ58" i="1" s="1"/>
  <c r="BB58" i="1" s="1"/>
  <c r="L58" i="1"/>
  <c r="K58" i="1" s="1"/>
  <c r="AK58" i="1"/>
  <c r="Q58" i="1"/>
  <c r="AK60" i="1"/>
  <c r="Q60" i="1"/>
  <c r="N60" i="1"/>
  <c r="M60" i="1"/>
  <c r="AZ60" i="1" s="1"/>
  <c r="BB60" i="1" s="1"/>
  <c r="V60" i="1"/>
  <c r="CX60" i="1"/>
  <c r="AY60" i="1" s="1"/>
  <c r="L61" i="1"/>
  <c r="K61" i="1" s="1"/>
  <c r="AK61" i="1"/>
  <c r="N61" i="1"/>
  <c r="M61" i="1"/>
  <c r="AZ61" i="1" s="1"/>
  <c r="BB61" i="1" s="1"/>
  <c r="Q61" i="1"/>
  <c r="Q88" i="1"/>
  <c r="N88" i="1"/>
  <c r="M88" i="1"/>
  <c r="AZ88" i="1" s="1"/>
  <c r="BB88" i="1" s="1"/>
  <c r="L88" i="1"/>
  <c r="K88" i="1" s="1"/>
  <c r="AK88" i="1"/>
  <c r="L40" i="1"/>
  <c r="K40" i="1" s="1"/>
  <c r="V41" i="1"/>
  <c r="BH41" i="1"/>
  <c r="L44" i="1"/>
  <c r="K44" i="1" s="1"/>
  <c r="BI45" i="1"/>
  <c r="BM45" i="1" s="1"/>
  <c r="BN45" i="1" s="1"/>
  <c r="CX48" i="1"/>
  <c r="AY48" i="1" s="1"/>
  <c r="V48" i="1"/>
  <c r="Z52" i="1"/>
  <c r="W53" i="1"/>
  <c r="X53" i="1" s="1"/>
  <c r="AK56" i="1"/>
  <c r="Q56" i="1"/>
  <c r="N56" i="1"/>
  <c r="M56" i="1"/>
  <c r="AZ56" i="1" s="1"/>
  <c r="BB56" i="1" s="1"/>
  <c r="AD85" i="1"/>
  <c r="M40" i="1"/>
  <c r="AZ40" i="1" s="1"/>
  <c r="BB40" i="1" s="1"/>
  <c r="BI41" i="1"/>
  <c r="BM41" i="1" s="1"/>
  <c r="BN41" i="1" s="1"/>
  <c r="M44" i="1"/>
  <c r="AZ44" i="1" s="1"/>
  <c r="BB44" i="1" s="1"/>
  <c r="N46" i="1"/>
  <c r="M46" i="1"/>
  <c r="AZ46" i="1" s="1"/>
  <c r="BB46" i="1" s="1"/>
  <c r="W47" i="1"/>
  <c r="X47" i="1" s="1"/>
  <c r="Z48" i="1"/>
  <c r="N54" i="1"/>
  <c r="M54" i="1"/>
  <c r="AZ54" i="1" s="1"/>
  <c r="BB54" i="1" s="1"/>
  <c r="L54" i="1"/>
  <c r="K54" i="1" s="1"/>
  <c r="AK54" i="1"/>
  <c r="Q54" i="1"/>
  <c r="BA60" i="1"/>
  <c r="V36" i="1"/>
  <c r="BH36" i="1"/>
  <c r="V40" i="1"/>
  <c r="BH40" i="1"/>
  <c r="L43" i="1"/>
  <c r="K43" i="1" s="1"/>
  <c r="V44" i="1"/>
  <c r="BH44" i="1"/>
  <c r="L46" i="1"/>
  <c r="K46" i="1" s="1"/>
  <c r="AK52" i="1"/>
  <c r="Q52" i="1"/>
  <c r="N52" i="1"/>
  <c r="M52" i="1"/>
  <c r="AZ52" i="1" s="1"/>
  <c r="BB52" i="1" s="1"/>
  <c r="BA56" i="1"/>
  <c r="AE58" i="1"/>
  <c r="L60" i="1"/>
  <c r="K60" i="1" s="1"/>
  <c r="AK63" i="1"/>
  <c r="N63" i="1"/>
  <c r="Q63" i="1"/>
  <c r="M63" i="1"/>
  <c r="AZ63" i="1" s="1"/>
  <c r="L63" i="1"/>
  <c r="K63" i="1" s="1"/>
  <c r="W72" i="1"/>
  <c r="X72" i="1" s="1"/>
  <c r="BI36" i="1"/>
  <c r="BM36" i="1" s="1"/>
  <c r="BN36" i="1" s="1"/>
  <c r="BI40" i="1"/>
  <c r="BM40" i="1" s="1"/>
  <c r="BN40" i="1" s="1"/>
  <c r="AK42" i="1"/>
  <c r="M43" i="1"/>
  <c r="AZ43" i="1" s="1"/>
  <c r="BB43" i="1" s="1"/>
  <c r="BI44" i="1"/>
  <c r="BM44" i="1" s="1"/>
  <c r="BN44" i="1" s="1"/>
  <c r="BI48" i="1"/>
  <c r="BM48" i="1" s="1"/>
  <c r="BN48" i="1" s="1"/>
  <c r="BH48" i="1"/>
  <c r="N50" i="1"/>
  <c r="M50" i="1"/>
  <c r="AZ50" i="1" s="1"/>
  <c r="BB50" i="1" s="1"/>
  <c r="L50" i="1"/>
  <c r="K50" i="1" s="1"/>
  <c r="AK50" i="1"/>
  <c r="Q50" i="1"/>
  <c r="BB57" i="1"/>
  <c r="CX62" i="1"/>
  <c r="AY62" i="1" s="1"/>
  <c r="BA62" i="1" s="1"/>
  <c r="V62" i="1"/>
  <c r="V35" i="1"/>
  <c r="V39" i="1"/>
  <c r="V43" i="1"/>
  <c r="M47" i="1"/>
  <c r="AZ47" i="1" s="1"/>
  <c r="BB47" i="1" s="1"/>
  <c r="BJ48" i="1"/>
  <c r="BA52" i="1"/>
  <c r="Q59" i="1"/>
  <c r="N59" i="1"/>
  <c r="M59" i="1"/>
  <c r="AZ59" i="1" s="1"/>
  <c r="BB59" i="1" s="1"/>
  <c r="L59" i="1"/>
  <c r="K59" i="1" s="1"/>
  <c r="AK59" i="1"/>
  <c r="Q62" i="1"/>
  <c r="N62" i="1"/>
  <c r="L62" i="1"/>
  <c r="K62" i="1" s="1"/>
  <c r="CX63" i="1"/>
  <c r="AY63" i="1" s="1"/>
  <c r="BA63" i="1" s="1"/>
  <c r="V63" i="1"/>
  <c r="W69" i="1"/>
  <c r="X69" i="1" s="1"/>
  <c r="T69" i="1" s="1"/>
  <c r="R69" i="1" s="1"/>
  <c r="U69" i="1" s="1"/>
  <c r="O69" i="1" s="1"/>
  <c r="P69" i="1" s="1"/>
  <c r="AK71" i="1"/>
  <c r="Q71" i="1"/>
  <c r="N71" i="1"/>
  <c r="M71" i="1"/>
  <c r="AZ71" i="1" s="1"/>
  <c r="BB71" i="1" s="1"/>
  <c r="Q74" i="1"/>
  <c r="N74" i="1"/>
  <c r="M74" i="1"/>
  <c r="AZ74" i="1" s="1"/>
  <c r="BB74" i="1" s="1"/>
  <c r="L74" i="1"/>
  <c r="K74" i="1" s="1"/>
  <c r="AK74" i="1"/>
  <c r="L82" i="1"/>
  <c r="K82" i="1" s="1"/>
  <c r="AK82" i="1"/>
  <c r="Q82" i="1"/>
  <c r="N82" i="1"/>
  <c r="M82" i="1"/>
  <c r="AZ82" i="1" s="1"/>
  <c r="BB82" i="1" s="1"/>
  <c r="AD95" i="1"/>
  <c r="V52" i="1"/>
  <c r="BH52" i="1"/>
  <c r="V56" i="1"/>
  <c r="BH56" i="1"/>
  <c r="BH60" i="1"/>
  <c r="AK62" i="1"/>
  <c r="L65" i="1"/>
  <c r="K65" i="1" s="1"/>
  <c r="AK65" i="1"/>
  <c r="Q65" i="1"/>
  <c r="M68" i="1"/>
  <c r="AZ68" i="1" s="1"/>
  <c r="BB68" i="1" s="1"/>
  <c r="L68" i="1"/>
  <c r="K68" i="1" s="1"/>
  <c r="AK68" i="1"/>
  <c r="Q68" i="1"/>
  <c r="AD69" i="1"/>
  <c r="Q78" i="1"/>
  <c r="N78" i="1"/>
  <c r="M78" i="1"/>
  <c r="AZ78" i="1" s="1"/>
  <c r="BB78" i="1" s="1"/>
  <c r="L78" i="1"/>
  <c r="K78" i="1" s="1"/>
  <c r="AK78" i="1"/>
  <c r="BJ109" i="1"/>
  <c r="BI109" i="1"/>
  <c r="BM109" i="1" s="1"/>
  <c r="BN109" i="1" s="1"/>
  <c r="BH109" i="1"/>
  <c r="Q49" i="1"/>
  <c r="BI52" i="1"/>
  <c r="BM52" i="1" s="1"/>
  <c r="BN52" i="1" s="1"/>
  <c r="Q53" i="1"/>
  <c r="BI56" i="1"/>
  <c r="BM56" i="1" s="1"/>
  <c r="BN56" i="1" s="1"/>
  <c r="Q57" i="1"/>
  <c r="BI60" i="1"/>
  <c r="BM60" i="1" s="1"/>
  <c r="BN60" i="1" s="1"/>
  <c r="M62" i="1"/>
  <c r="AZ62" i="1" s="1"/>
  <c r="AK64" i="1"/>
  <c r="Q66" i="1"/>
  <c r="N66" i="1"/>
  <c r="M66" i="1"/>
  <c r="AZ66" i="1" s="1"/>
  <c r="BB66" i="1" s="1"/>
  <c r="L66" i="1"/>
  <c r="K66" i="1" s="1"/>
  <c r="AK66" i="1"/>
  <c r="W73" i="1"/>
  <c r="X73" i="1" s="1"/>
  <c r="T73" i="1" s="1"/>
  <c r="R73" i="1" s="1"/>
  <c r="U73" i="1" s="1"/>
  <c r="O73" i="1" s="1"/>
  <c r="P73" i="1" s="1"/>
  <c r="AK75" i="1"/>
  <c r="Q75" i="1"/>
  <c r="N75" i="1"/>
  <c r="M75" i="1"/>
  <c r="AZ75" i="1" s="1"/>
  <c r="BB75" i="1" s="1"/>
  <c r="N80" i="1"/>
  <c r="L80" i="1"/>
  <c r="K80" i="1" s="1"/>
  <c r="Q80" i="1"/>
  <c r="M80" i="1"/>
  <c r="AZ80" i="1" s="1"/>
  <c r="AK80" i="1"/>
  <c r="Q81" i="1"/>
  <c r="N81" i="1"/>
  <c r="M81" i="1"/>
  <c r="AZ81" i="1" s="1"/>
  <c r="L81" i="1"/>
  <c r="K81" i="1" s="1"/>
  <c r="BA82" i="1"/>
  <c r="BJ63" i="1"/>
  <c r="BH63" i="1"/>
  <c r="BA65" i="1"/>
  <c r="M72" i="1"/>
  <c r="AZ72" i="1" s="1"/>
  <c r="BB72" i="1" s="1"/>
  <c r="L72" i="1"/>
  <c r="K72" i="1" s="1"/>
  <c r="AK72" i="1"/>
  <c r="Q72" i="1"/>
  <c r="AD73" i="1"/>
  <c r="BA74" i="1"/>
  <c r="W102" i="1"/>
  <c r="X102" i="1" s="1"/>
  <c r="BI47" i="1"/>
  <c r="BM47" i="1" s="1"/>
  <c r="BN47" i="1" s="1"/>
  <c r="AK49" i="1"/>
  <c r="W51" i="1"/>
  <c r="X51" i="1" s="1"/>
  <c r="BI51" i="1"/>
  <c r="BM51" i="1" s="1"/>
  <c r="BN51" i="1" s="1"/>
  <c r="AK53" i="1"/>
  <c r="BI55" i="1"/>
  <c r="BM55" i="1" s="1"/>
  <c r="BN55" i="1" s="1"/>
  <c r="AK57" i="1"/>
  <c r="BI59" i="1"/>
  <c r="BM59" i="1" s="1"/>
  <c r="BN59" i="1" s="1"/>
  <c r="W61" i="1"/>
  <c r="X61" i="1" s="1"/>
  <c r="BI63" i="1"/>
  <c r="BM63" i="1" s="1"/>
  <c r="BN63" i="1" s="1"/>
  <c r="L64" i="1"/>
  <c r="K64" i="1" s="1"/>
  <c r="BA78" i="1"/>
  <c r="V46" i="1"/>
  <c r="L49" i="1"/>
  <c r="K49" i="1" s="1"/>
  <c r="V50" i="1"/>
  <c r="L53" i="1"/>
  <c r="K53" i="1" s="1"/>
  <c r="L57" i="1"/>
  <c r="K57" i="1" s="1"/>
  <c r="N64" i="1"/>
  <c r="W68" i="1"/>
  <c r="X68" i="1" s="1"/>
  <c r="BA72" i="1"/>
  <c r="M76" i="1"/>
  <c r="AZ76" i="1" s="1"/>
  <c r="BB76" i="1" s="1"/>
  <c r="L76" i="1"/>
  <c r="K76" i="1" s="1"/>
  <c r="AK76" i="1"/>
  <c r="Q76" i="1"/>
  <c r="W79" i="1"/>
  <c r="X79" i="1" s="1"/>
  <c r="AK67" i="1"/>
  <c r="Q67" i="1"/>
  <c r="N67" i="1"/>
  <c r="M67" i="1"/>
  <c r="AZ67" i="1" s="1"/>
  <c r="BB67" i="1" s="1"/>
  <c r="Q70" i="1"/>
  <c r="N70" i="1"/>
  <c r="M70" i="1"/>
  <c r="AZ70" i="1" s="1"/>
  <c r="BB70" i="1" s="1"/>
  <c r="L70" i="1"/>
  <c r="K70" i="1" s="1"/>
  <c r="AK70" i="1"/>
  <c r="AD79" i="1"/>
  <c r="BJ81" i="1"/>
  <c r="BH81" i="1"/>
  <c r="BI81" i="1"/>
  <c r="BM81" i="1" s="1"/>
  <c r="BN81" i="1" s="1"/>
  <c r="BI80" i="1"/>
  <c r="BM80" i="1" s="1"/>
  <c r="BN80" i="1" s="1"/>
  <c r="BH80" i="1"/>
  <c r="AK89" i="1"/>
  <c r="Q89" i="1"/>
  <c r="N89" i="1"/>
  <c r="M89" i="1"/>
  <c r="AZ89" i="1" s="1"/>
  <c r="BB89" i="1" s="1"/>
  <c r="T94" i="1"/>
  <c r="R94" i="1" s="1"/>
  <c r="U94" i="1" s="1"/>
  <c r="O94" i="1" s="1"/>
  <c r="P94" i="1" s="1"/>
  <c r="AD94" i="1"/>
  <c r="AK101" i="1"/>
  <c r="Q101" i="1"/>
  <c r="N101" i="1"/>
  <c r="M101" i="1"/>
  <c r="AZ101" i="1" s="1"/>
  <c r="BB101" i="1" s="1"/>
  <c r="L101" i="1"/>
  <c r="K101" i="1" s="1"/>
  <c r="V67" i="1"/>
  <c r="BH67" i="1"/>
  <c r="V71" i="1"/>
  <c r="BH71" i="1"/>
  <c r="V75" i="1"/>
  <c r="BH75" i="1"/>
  <c r="BJ80" i="1"/>
  <c r="N83" i="1"/>
  <c r="M83" i="1"/>
  <c r="AZ83" i="1" s="1"/>
  <c r="BB83" i="1" s="1"/>
  <c r="L83" i="1"/>
  <c r="K83" i="1" s="1"/>
  <c r="Q83" i="1"/>
  <c r="N84" i="1"/>
  <c r="M84" i="1"/>
  <c r="AZ84" i="1" s="1"/>
  <c r="BB84" i="1" s="1"/>
  <c r="L84" i="1"/>
  <c r="K84" i="1" s="1"/>
  <c r="AK84" i="1"/>
  <c r="M86" i="1"/>
  <c r="AZ86" i="1" s="1"/>
  <c r="BB86" i="1" s="1"/>
  <c r="L86" i="1"/>
  <c r="K86" i="1" s="1"/>
  <c r="AK86" i="1"/>
  <c r="Q86" i="1"/>
  <c r="Q92" i="1"/>
  <c r="N92" i="1"/>
  <c r="M92" i="1"/>
  <c r="AZ92" i="1" s="1"/>
  <c r="BB92" i="1" s="1"/>
  <c r="L92" i="1"/>
  <c r="K92" i="1" s="1"/>
  <c r="AK92" i="1"/>
  <c r="BB94" i="1"/>
  <c r="CX95" i="1"/>
  <c r="AY95" i="1" s="1"/>
  <c r="BA95" i="1" s="1"/>
  <c r="W103" i="1"/>
  <c r="X103" i="1" s="1"/>
  <c r="V66" i="1"/>
  <c r="V70" i="1"/>
  <c r="BH70" i="1"/>
  <c r="V74" i="1"/>
  <c r="BH74" i="1"/>
  <c r="L77" i="1"/>
  <c r="K77" i="1" s="1"/>
  <c r="V78" i="1"/>
  <c r="BH78" i="1"/>
  <c r="CX82" i="1"/>
  <c r="AY82" i="1" s="1"/>
  <c r="N86" i="1"/>
  <c r="BA86" i="1"/>
  <c r="N87" i="1"/>
  <c r="M87" i="1"/>
  <c r="AZ87" i="1" s="1"/>
  <c r="BB87" i="1" s="1"/>
  <c r="L87" i="1"/>
  <c r="K87" i="1" s="1"/>
  <c r="W87" i="1" s="1"/>
  <c r="X87" i="1" s="1"/>
  <c r="AK87" i="1"/>
  <c r="Q87" i="1"/>
  <c r="L89" i="1"/>
  <c r="K89" i="1" s="1"/>
  <c r="M90" i="1"/>
  <c r="AZ90" i="1" s="1"/>
  <c r="BB90" i="1" s="1"/>
  <c r="L90" i="1"/>
  <c r="K90" i="1" s="1"/>
  <c r="AK90" i="1"/>
  <c r="Q90" i="1"/>
  <c r="W91" i="1"/>
  <c r="X91" i="1" s="1"/>
  <c r="AK93" i="1"/>
  <c r="Q93" i="1"/>
  <c r="N93" i="1"/>
  <c r="M93" i="1"/>
  <c r="AZ93" i="1" s="1"/>
  <c r="BB93" i="1" s="1"/>
  <c r="AD96" i="1"/>
  <c r="N103" i="1"/>
  <c r="M103" i="1"/>
  <c r="AZ103" i="1" s="1"/>
  <c r="BB103" i="1" s="1"/>
  <c r="L103" i="1"/>
  <c r="K103" i="1" s="1"/>
  <c r="AK103" i="1"/>
  <c r="Q103" i="1"/>
  <c r="BJ114" i="1"/>
  <c r="BH114" i="1"/>
  <c r="BI114" i="1"/>
  <c r="BM114" i="1" s="1"/>
  <c r="BN114" i="1" s="1"/>
  <c r="Z79" i="1"/>
  <c r="BA94" i="1"/>
  <c r="CX80" i="1"/>
  <c r="AY80" i="1" s="1"/>
  <c r="BA80" i="1" s="1"/>
  <c r="V80" i="1"/>
  <c r="CX81" i="1"/>
  <c r="AY81" i="1" s="1"/>
  <c r="BA81" i="1" s="1"/>
  <c r="V81" i="1"/>
  <c r="Q85" i="1"/>
  <c r="N85" i="1"/>
  <c r="M85" i="1"/>
  <c r="AZ85" i="1" s="1"/>
  <c r="BB85" i="1" s="1"/>
  <c r="W86" i="1"/>
  <c r="X86" i="1" s="1"/>
  <c r="BA87" i="1"/>
  <c r="N90" i="1"/>
  <c r="BA90" i="1"/>
  <c r="N91" i="1"/>
  <c r="M91" i="1"/>
  <c r="AZ91" i="1" s="1"/>
  <c r="BB91" i="1" s="1"/>
  <c r="L91" i="1"/>
  <c r="K91" i="1" s="1"/>
  <c r="AK91" i="1"/>
  <c r="Q91" i="1"/>
  <c r="W94" i="1"/>
  <c r="X94" i="1" s="1"/>
  <c r="V96" i="1"/>
  <c r="CX96" i="1"/>
  <c r="AY96" i="1" s="1"/>
  <c r="BA96" i="1" s="1"/>
  <c r="AK97" i="1"/>
  <c r="Q97" i="1"/>
  <c r="N97" i="1"/>
  <c r="M97" i="1"/>
  <c r="AZ97" i="1" s="1"/>
  <c r="BB97" i="1" s="1"/>
  <c r="L97" i="1"/>
  <c r="K97" i="1" s="1"/>
  <c r="AD99" i="1"/>
  <c r="BH82" i="1"/>
  <c r="Z89" i="1"/>
  <c r="L93" i="1"/>
  <c r="K93" i="1" s="1"/>
  <c r="M98" i="1"/>
  <c r="AZ98" i="1" s="1"/>
  <c r="BB98" i="1" s="1"/>
  <c r="AK98" i="1"/>
  <c r="L98" i="1"/>
  <c r="K98" i="1" s="1"/>
  <c r="Q98" i="1"/>
  <c r="AK105" i="1"/>
  <c r="Q105" i="1"/>
  <c r="N105" i="1"/>
  <c r="M105" i="1"/>
  <c r="AZ105" i="1" s="1"/>
  <c r="BB105" i="1" s="1"/>
  <c r="L105" i="1"/>
  <c r="K105" i="1" s="1"/>
  <c r="BI86" i="1"/>
  <c r="BM86" i="1" s="1"/>
  <c r="BN86" i="1" s="1"/>
  <c r="BI90" i="1"/>
  <c r="BM90" i="1" s="1"/>
  <c r="BN90" i="1" s="1"/>
  <c r="BA104" i="1"/>
  <c r="N107" i="1"/>
  <c r="M107" i="1"/>
  <c r="AZ107" i="1" s="1"/>
  <c r="BB107" i="1" s="1"/>
  <c r="L107" i="1"/>
  <c r="K107" i="1" s="1"/>
  <c r="AK107" i="1"/>
  <c r="Q107" i="1"/>
  <c r="V85" i="1"/>
  <c r="BH85" i="1"/>
  <c r="V89" i="1"/>
  <c r="BH89" i="1"/>
  <c r="V93" i="1"/>
  <c r="BH93" i="1"/>
  <c r="M95" i="1"/>
  <c r="AZ95" i="1" s="1"/>
  <c r="V95" i="1"/>
  <c r="BH96" i="1"/>
  <c r="BA100" i="1"/>
  <c r="AD112" i="1"/>
  <c r="Y123" i="1"/>
  <c r="AC123" i="1" s="1"/>
  <c r="AF123" i="1"/>
  <c r="AE123" i="1"/>
  <c r="V84" i="1"/>
  <c r="BH84" i="1"/>
  <c r="V88" i="1"/>
  <c r="BH88" i="1"/>
  <c r="V92" i="1"/>
  <c r="BH92" i="1"/>
  <c r="CX97" i="1"/>
  <c r="AY97" i="1" s="1"/>
  <c r="BA97" i="1" s="1"/>
  <c r="V97" i="1"/>
  <c r="M102" i="1"/>
  <c r="AZ102" i="1" s="1"/>
  <c r="BB102" i="1" s="1"/>
  <c r="L102" i="1"/>
  <c r="K102" i="1" s="1"/>
  <c r="AK102" i="1"/>
  <c r="Q102" i="1"/>
  <c r="M106" i="1"/>
  <c r="AZ106" i="1" s="1"/>
  <c r="BB106" i="1" s="1"/>
  <c r="L106" i="1"/>
  <c r="K106" i="1" s="1"/>
  <c r="AK106" i="1"/>
  <c r="Q106" i="1"/>
  <c r="W109" i="1"/>
  <c r="X109" i="1" s="1"/>
  <c r="AD109" i="1"/>
  <c r="L122" i="1"/>
  <c r="K122" i="1" s="1"/>
  <c r="AK122" i="1"/>
  <c r="Q122" i="1"/>
  <c r="N122" i="1"/>
  <c r="M122" i="1"/>
  <c r="AZ122" i="1" s="1"/>
  <c r="BI84" i="1"/>
  <c r="BM84" i="1" s="1"/>
  <c r="BN84" i="1" s="1"/>
  <c r="BI88" i="1"/>
  <c r="BM88" i="1" s="1"/>
  <c r="BN88" i="1" s="1"/>
  <c r="BJ100" i="1"/>
  <c r="BI100" i="1"/>
  <c r="BM100" i="1" s="1"/>
  <c r="BN100" i="1" s="1"/>
  <c r="BH100" i="1"/>
  <c r="Q108" i="1"/>
  <c r="N108" i="1"/>
  <c r="M108" i="1"/>
  <c r="AZ108" i="1" s="1"/>
  <c r="BB108" i="1" s="1"/>
  <c r="L108" i="1"/>
  <c r="K108" i="1" s="1"/>
  <c r="W108" i="1" s="1"/>
  <c r="X108" i="1" s="1"/>
  <c r="AK108" i="1"/>
  <c r="M99" i="1"/>
  <c r="AZ99" i="1" s="1"/>
  <c r="BB99" i="1" s="1"/>
  <c r="Q99" i="1"/>
  <c r="N102" i="1"/>
  <c r="BA102" i="1"/>
  <c r="Q104" i="1"/>
  <c r="N104" i="1"/>
  <c r="M104" i="1"/>
  <c r="AZ104" i="1" s="1"/>
  <c r="BB104" i="1" s="1"/>
  <c r="L104" i="1"/>
  <c r="K104" i="1" s="1"/>
  <c r="AK104" i="1"/>
  <c r="N106" i="1"/>
  <c r="BA106" i="1"/>
  <c r="T109" i="1"/>
  <c r="R109" i="1" s="1"/>
  <c r="U109" i="1" s="1"/>
  <c r="L111" i="1"/>
  <c r="K111" i="1" s="1"/>
  <c r="Q111" i="1"/>
  <c r="N111" i="1"/>
  <c r="AK111" i="1"/>
  <c r="M111" i="1"/>
  <c r="AZ111" i="1" s="1"/>
  <c r="BB111" i="1" s="1"/>
  <c r="BI97" i="1"/>
  <c r="BM97" i="1" s="1"/>
  <c r="BN97" i="1" s="1"/>
  <c r="W99" i="1"/>
  <c r="X99" i="1" s="1"/>
  <c r="Q100" i="1"/>
  <c r="N100" i="1"/>
  <c r="L100" i="1"/>
  <c r="K100" i="1" s="1"/>
  <c r="AK100" i="1"/>
  <c r="W107" i="1"/>
  <c r="X107" i="1" s="1"/>
  <c r="AD110" i="1"/>
  <c r="M109" i="1"/>
  <c r="AZ109" i="1" s="1"/>
  <c r="BB109" i="1" s="1"/>
  <c r="CX112" i="1"/>
  <c r="AY112" i="1" s="1"/>
  <c r="BA112" i="1" s="1"/>
  <c r="V112" i="1"/>
  <c r="N116" i="1"/>
  <c r="M116" i="1"/>
  <c r="AZ116" i="1" s="1"/>
  <c r="BB116" i="1" s="1"/>
  <c r="L116" i="1"/>
  <c r="K116" i="1" s="1"/>
  <c r="AK116" i="1"/>
  <c r="AD125" i="1"/>
  <c r="CX126" i="1"/>
  <c r="AY126" i="1" s="1"/>
  <c r="BA126" i="1" s="1"/>
  <c r="V126" i="1"/>
  <c r="V101" i="1"/>
  <c r="V105" i="1"/>
  <c r="N109" i="1"/>
  <c r="Z112" i="1"/>
  <c r="L114" i="1"/>
  <c r="K114" i="1" s="1"/>
  <c r="AK114" i="1"/>
  <c r="N114" i="1"/>
  <c r="BJ118" i="1"/>
  <c r="BI118" i="1"/>
  <c r="BM118" i="1" s="1"/>
  <c r="BN118" i="1" s="1"/>
  <c r="BH118" i="1"/>
  <c r="BB123" i="1"/>
  <c r="L126" i="1"/>
  <c r="K126" i="1" s="1"/>
  <c r="AK126" i="1"/>
  <c r="Q126" i="1"/>
  <c r="N126" i="1"/>
  <c r="CX113" i="1"/>
  <c r="AY113" i="1" s="1"/>
  <c r="BB113" i="1" s="1"/>
  <c r="V113" i="1"/>
  <c r="V100" i="1"/>
  <c r="V104" i="1"/>
  <c r="BH104" i="1"/>
  <c r="BB112" i="1"/>
  <c r="CX114" i="1"/>
  <c r="AY114" i="1" s="1"/>
  <c r="BA114" i="1" s="1"/>
  <c r="V114" i="1"/>
  <c r="AD117" i="1"/>
  <c r="BJ122" i="1"/>
  <c r="BI122" i="1"/>
  <c r="BM122" i="1" s="1"/>
  <c r="BN122" i="1" s="1"/>
  <c r="BH122" i="1"/>
  <c r="AD123" i="1"/>
  <c r="T123" i="1"/>
  <c r="R123" i="1" s="1"/>
  <c r="U123" i="1" s="1"/>
  <c r="O123" i="1" s="1"/>
  <c r="P123" i="1" s="1"/>
  <c r="BB126" i="1"/>
  <c r="Q109" i="1"/>
  <c r="M110" i="1"/>
  <c r="AZ110" i="1" s="1"/>
  <c r="BB110" i="1" s="1"/>
  <c r="AK110" i="1"/>
  <c r="CX110" i="1"/>
  <c r="AY110" i="1" s="1"/>
  <c r="BA110" i="1" s="1"/>
  <c r="V110" i="1"/>
  <c r="BJ112" i="1"/>
  <c r="BI112" i="1"/>
  <c r="BM112" i="1" s="1"/>
  <c r="BN112" i="1" s="1"/>
  <c r="BH112" i="1"/>
  <c r="CX118" i="1"/>
  <c r="AY118" i="1" s="1"/>
  <c r="BA118" i="1" s="1"/>
  <c r="V118" i="1"/>
  <c r="N120" i="1"/>
  <c r="M120" i="1"/>
  <c r="AZ120" i="1" s="1"/>
  <c r="BB120" i="1" s="1"/>
  <c r="L120" i="1"/>
  <c r="K120" i="1" s="1"/>
  <c r="AK120" i="1"/>
  <c r="BB124" i="1"/>
  <c r="BJ113" i="1"/>
  <c r="BH113" i="1"/>
  <c r="M114" i="1"/>
  <c r="AZ114" i="1" s="1"/>
  <c r="BB114" i="1" s="1"/>
  <c r="L118" i="1"/>
  <c r="K118" i="1" s="1"/>
  <c r="AK118" i="1"/>
  <c r="Q118" i="1"/>
  <c r="N118" i="1"/>
  <c r="BJ126" i="1"/>
  <c r="BI126" i="1"/>
  <c r="BM126" i="1" s="1"/>
  <c r="BN126" i="1" s="1"/>
  <c r="BH126" i="1"/>
  <c r="BB127" i="1"/>
  <c r="Z110" i="1"/>
  <c r="BI110" i="1"/>
  <c r="BM110" i="1" s="1"/>
  <c r="BN110" i="1" s="1"/>
  <c r="BI113" i="1"/>
  <c r="BM113" i="1" s="1"/>
  <c r="BN113" i="1" s="1"/>
  <c r="BA117" i="1"/>
  <c r="Q120" i="1"/>
  <c r="CX122" i="1"/>
  <c r="AY122" i="1" s="1"/>
  <c r="BA122" i="1" s="1"/>
  <c r="V122" i="1"/>
  <c r="L113" i="1"/>
  <c r="K113" i="1" s="1"/>
  <c r="L121" i="1"/>
  <c r="K121" i="1" s="1"/>
  <c r="AK128" i="1"/>
  <c r="V117" i="1"/>
  <c r="BH117" i="1"/>
  <c r="N121" i="1"/>
  <c r="V121" i="1"/>
  <c r="BH121" i="1"/>
  <c r="L124" i="1"/>
  <c r="K124" i="1" s="1"/>
  <c r="N125" i="1"/>
  <c r="V125" i="1"/>
  <c r="BH125" i="1"/>
  <c r="L128" i="1"/>
  <c r="K128" i="1" s="1"/>
  <c r="BI117" i="1"/>
  <c r="BM117" i="1" s="1"/>
  <c r="BN117" i="1" s="1"/>
  <c r="BI121" i="1"/>
  <c r="BM121" i="1" s="1"/>
  <c r="BN121" i="1" s="1"/>
  <c r="BI125" i="1"/>
  <c r="BM125" i="1" s="1"/>
  <c r="BN125" i="1" s="1"/>
  <c r="AK127" i="1"/>
  <c r="M128" i="1"/>
  <c r="AZ128" i="1" s="1"/>
  <c r="BB128" i="1" s="1"/>
  <c r="L115" i="1"/>
  <c r="K115" i="1" s="1"/>
  <c r="V116" i="1"/>
  <c r="BH116" i="1"/>
  <c r="L119" i="1"/>
  <c r="K119" i="1" s="1"/>
  <c r="V120" i="1"/>
  <c r="BH120" i="1"/>
  <c r="V124" i="1"/>
  <c r="BH124" i="1"/>
  <c r="L127" i="1"/>
  <c r="K127" i="1" s="1"/>
  <c r="V128" i="1"/>
  <c r="BH128" i="1"/>
  <c r="M115" i="1"/>
  <c r="AZ115" i="1" s="1"/>
  <c r="BB115" i="1" s="1"/>
  <c r="BI116" i="1"/>
  <c r="BM116" i="1" s="1"/>
  <c r="BN116" i="1" s="1"/>
  <c r="M119" i="1"/>
  <c r="AZ119" i="1" s="1"/>
  <c r="BB119" i="1" s="1"/>
  <c r="BI120" i="1"/>
  <c r="BM120" i="1" s="1"/>
  <c r="BN120" i="1" s="1"/>
  <c r="BI124" i="1"/>
  <c r="BM124" i="1" s="1"/>
  <c r="BN124" i="1" s="1"/>
  <c r="BI128" i="1"/>
  <c r="BM128" i="1" s="1"/>
  <c r="BN128" i="1" s="1"/>
  <c r="Y18" i="1" l="1"/>
  <c r="AC18" i="1" s="1"/>
  <c r="AF18" i="1"/>
  <c r="AE18" i="1"/>
  <c r="AE87" i="1"/>
  <c r="Y87" i="1"/>
  <c r="AC87" i="1" s="1"/>
  <c r="AF87" i="1"/>
  <c r="AG87" i="1" s="1"/>
  <c r="Y108" i="1"/>
  <c r="AC108" i="1" s="1"/>
  <c r="AF108" i="1"/>
  <c r="AE108" i="1"/>
  <c r="Y79" i="1"/>
  <c r="AC79" i="1" s="1"/>
  <c r="AF79" i="1"/>
  <c r="W46" i="1"/>
  <c r="X46" i="1" s="1"/>
  <c r="Y53" i="1"/>
  <c r="AC53" i="1" s="1"/>
  <c r="AF53" i="1"/>
  <c r="AG53" i="1" s="1"/>
  <c r="AE53" i="1"/>
  <c r="AD127" i="1"/>
  <c r="W127" i="1"/>
  <c r="X127" i="1" s="1"/>
  <c r="AD115" i="1"/>
  <c r="W115" i="1"/>
  <c r="X115" i="1" s="1"/>
  <c r="T115" i="1" s="1"/>
  <c r="R115" i="1" s="1"/>
  <c r="U115" i="1" s="1"/>
  <c r="O115" i="1" s="1"/>
  <c r="P115" i="1" s="1"/>
  <c r="W125" i="1"/>
  <c r="X125" i="1" s="1"/>
  <c r="W113" i="1"/>
  <c r="X113" i="1" s="1"/>
  <c r="AD116" i="1"/>
  <c r="Y99" i="1"/>
  <c r="AC99" i="1" s="1"/>
  <c r="AF99" i="1"/>
  <c r="AG99" i="1" s="1"/>
  <c r="AD106" i="1"/>
  <c r="W89" i="1"/>
  <c r="X89" i="1" s="1"/>
  <c r="AD107" i="1"/>
  <c r="T107" i="1"/>
  <c r="R107" i="1" s="1"/>
  <c r="U107" i="1" s="1"/>
  <c r="O107" i="1" s="1"/>
  <c r="P107" i="1" s="1"/>
  <c r="AD93" i="1"/>
  <c r="W80" i="1"/>
  <c r="X80" i="1" s="1"/>
  <c r="AE91" i="1"/>
  <c r="Y91" i="1"/>
  <c r="AC91" i="1" s="1"/>
  <c r="AF91" i="1"/>
  <c r="AD92" i="1"/>
  <c r="T86" i="1"/>
  <c r="R86" i="1" s="1"/>
  <c r="U86" i="1" s="1"/>
  <c r="O86" i="1" s="1"/>
  <c r="P86" i="1" s="1"/>
  <c r="AD86" i="1"/>
  <c r="W67" i="1"/>
  <c r="X67" i="1" s="1"/>
  <c r="AD70" i="1"/>
  <c r="AD49" i="1"/>
  <c r="W64" i="1"/>
  <c r="X64" i="1" s="1"/>
  <c r="T64" i="1"/>
  <c r="R64" i="1" s="1"/>
  <c r="U64" i="1" s="1"/>
  <c r="O64" i="1" s="1"/>
  <c r="P64" i="1" s="1"/>
  <c r="AD64" i="1"/>
  <c r="T72" i="1"/>
  <c r="R72" i="1" s="1"/>
  <c r="U72" i="1" s="1"/>
  <c r="O72" i="1" s="1"/>
  <c r="P72" i="1" s="1"/>
  <c r="AD72" i="1"/>
  <c r="AD66" i="1"/>
  <c r="AD65" i="1"/>
  <c r="AD74" i="1"/>
  <c r="AD60" i="1"/>
  <c r="AD46" i="1"/>
  <c r="T46" i="1"/>
  <c r="R46" i="1" s="1"/>
  <c r="U46" i="1" s="1"/>
  <c r="O46" i="1" s="1"/>
  <c r="P46" i="1" s="1"/>
  <c r="W36" i="1"/>
  <c r="X36" i="1" s="1"/>
  <c r="W60" i="1"/>
  <c r="X60" i="1" s="1"/>
  <c r="AD58" i="1"/>
  <c r="T58" i="1"/>
  <c r="R58" i="1" s="1"/>
  <c r="U58" i="1" s="1"/>
  <c r="O58" i="1" s="1"/>
  <c r="P58" i="1" s="1"/>
  <c r="AF34" i="1"/>
  <c r="AE34" i="1"/>
  <c r="Y34" i="1"/>
  <c r="AC34" i="1" s="1"/>
  <c r="W23" i="1"/>
  <c r="X23" i="1" s="1"/>
  <c r="Y26" i="1"/>
  <c r="AC26" i="1" s="1"/>
  <c r="AF26" i="1"/>
  <c r="W105" i="1"/>
  <c r="X105" i="1" s="1"/>
  <c r="AD101" i="1"/>
  <c r="AD44" i="1"/>
  <c r="T44" i="1"/>
  <c r="R44" i="1" s="1"/>
  <c r="U44" i="1" s="1"/>
  <c r="O44" i="1" s="1"/>
  <c r="P44" i="1" s="1"/>
  <c r="W38" i="1"/>
  <c r="X38" i="1" s="1"/>
  <c r="AD20" i="1"/>
  <c r="W124" i="1"/>
  <c r="X124" i="1" s="1"/>
  <c r="Y107" i="1"/>
  <c r="AC107" i="1" s="1"/>
  <c r="AF107" i="1"/>
  <c r="AG107" i="1" s="1"/>
  <c r="AD122" i="1"/>
  <c r="AD77" i="1"/>
  <c r="T77" i="1"/>
  <c r="R77" i="1" s="1"/>
  <c r="U77" i="1" s="1"/>
  <c r="O77" i="1" s="1"/>
  <c r="P77" i="1" s="1"/>
  <c r="Y51" i="1"/>
  <c r="AC51" i="1" s="1"/>
  <c r="AF51" i="1"/>
  <c r="AD78" i="1"/>
  <c r="W44" i="1"/>
  <c r="X44" i="1" s="1"/>
  <c r="AD32" i="1"/>
  <c r="AD55" i="1"/>
  <c r="AD31" i="1"/>
  <c r="T31" i="1"/>
  <c r="R31" i="1" s="1"/>
  <c r="U31" i="1" s="1"/>
  <c r="O31" i="1" s="1"/>
  <c r="P31" i="1" s="1"/>
  <c r="AD118" i="1"/>
  <c r="W110" i="1"/>
  <c r="X110" i="1" s="1"/>
  <c r="W126" i="1"/>
  <c r="X126" i="1" s="1"/>
  <c r="W112" i="1"/>
  <c r="X112" i="1" s="1"/>
  <c r="AD104" i="1"/>
  <c r="AE99" i="1"/>
  <c r="W88" i="1"/>
  <c r="X88" i="1" s="1"/>
  <c r="W95" i="1"/>
  <c r="X95" i="1" s="1"/>
  <c r="W106" i="1"/>
  <c r="X106" i="1" s="1"/>
  <c r="AD91" i="1"/>
  <c r="T91" i="1"/>
  <c r="R91" i="1" s="1"/>
  <c r="U91" i="1" s="1"/>
  <c r="O91" i="1" s="1"/>
  <c r="P91" i="1" s="1"/>
  <c r="AD90" i="1"/>
  <c r="AD84" i="1"/>
  <c r="BB80" i="1"/>
  <c r="W63" i="1"/>
  <c r="X63" i="1" s="1"/>
  <c r="T63" i="1" s="1"/>
  <c r="R63" i="1" s="1"/>
  <c r="U63" i="1" s="1"/>
  <c r="O63" i="1" s="1"/>
  <c r="P63" i="1" s="1"/>
  <c r="W43" i="1"/>
  <c r="X43" i="1" s="1"/>
  <c r="AD63" i="1"/>
  <c r="AD43" i="1"/>
  <c r="T43" i="1"/>
  <c r="R43" i="1" s="1"/>
  <c r="U43" i="1" s="1"/>
  <c r="O43" i="1" s="1"/>
  <c r="P43" i="1" s="1"/>
  <c r="W41" i="1"/>
  <c r="X41" i="1" s="1"/>
  <c r="W42" i="1"/>
  <c r="X42" i="1" s="1"/>
  <c r="W33" i="1"/>
  <c r="X33" i="1" s="1"/>
  <c r="BB38" i="1"/>
  <c r="AD26" i="1"/>
  <c r="T26" i="1"/>
  <c r="R26" i="1" s="1"/>
  <c r="U26" i="1" s="1"/>
  <c r="O26" i="1" s="1"/>
  <c r="P26" i="1" s="1"/>
  <c r="O30" i="1"/>
  <c r="P30" i="1" s="1"/>
  <c r="BB19" i="1"/>
  <c r="T34" i="1"/>
  <c r="R34" i="1" s="1"/>
  <c r="U34" i="1" s="1"/>
  <c r="O34" i="1" s="1"/>
  <c r="P34" i="1" s="1"/>
  <c r="AE26" i="1"/>
  <c r="Y103" i="1"/>
  <c r="AC103" i="1" s="1"/>
  <c r="AF103" i="1"/>
  <c r="Y69" i="1"/>
  <c r="AC69" i="1" s="1"/>
  <c r="AF69" i="1"/>
  <c r="AG69" i="1" s="1"/>
  <c r="AD124" i="1"/>
  <c r="T124" i="1"/>
  <c r="R124" i="1" s="1"/>
  <c r="U124" i="1" s="1"/>
  <c r="O124" i="1" s="1"/>
  <c r="P124" i="1" s="1"/>
  <c r="Y61" i="1"/>
  <c r="AC61" i="1" s="1"/>
  <c r="AF61" i="1"/>
  <c r="AE61" i="1"/>
  <c r="W77" i="1"/>
  <c r="X77" i="1" s="1"/>
  <c r="AD59" i="1"/>
  <c r="T59" i="1"/>
  <c r="R59" i="1" s="1"/>
  <c r="U59" i="1" s="1"/>
  <c r="O59" i="1" s="1"/>
  <c r="P59" i="1" s="1"/>
  <c r="AF47" i="1"/>
  <c r="Y47" i="1"/>
  <c r="AC47" i="1" s="1"/>
  <c r="Y54" i="1"/>
  <c r="AC54" i="1" s="1"/>
  <c r="AF54" i="1"/>
  <c r="Y22" i="1"/>
  <c r="AC22" i="1" s="1"/>
  <c r="AF22" i="1"/>
  <c r="W120" i="1"/>
  <c r="X120" i="1" s="1"/>
  <c r="W121" i="1"/>
  <c r="X121" i="1" s="1"/>
  <c r="W122" i="1"/>
  <c r="X122" i="1" s="1"/>
  <c r="T122" i="1" s="1"/>
  <c r="R122" i="1" s="1"/>
  <c r="U122" i="1" s="1"/>
  <c r="O122" i="1" s="1"/>
  <c r="P122" i="1" s="1"/>
  <c r="AD100" i="1"/>
  <c r="Y109" i="1"/>
  <c r="AC109" i="1" s="1"/>
  <c r="AF109" i="1"/>
  <c r="AG109" i="1" s="1"/>
  <c r="AE109" i="1"/>
  <c r="T102" i="1"/>
  <c r="R102" i="1" s="1"/>
  <c r="U102" i="1" s="1"/>
  <c r="O102" i="1" s="1"/>
  <c r="P102" i="1" s="1"/>
  <c r="AD102" i="1"/>
  <c r="BB95" i="1"/>
  <c r="BB96" i="1"/>
  <c r="W74" i="1"/>
  <c r="X74" i="1" s="1"/>
  <c r="T74" i="1" s="1"/>
  <c r="R74" i="1" s="1"/>
  <c r="U74" i="1" s="1"/>
  <c r="O74" i="1" s="1"/>
  <c r="P74" i="1" s="1"/>
  <c r="W75" i="1"/>
  <c r="X75" i="1" s="1"/>
  <c r="W59" i="1"/>
  <c r="X59" i="1" s="1"/>
  <c r="T68" i="1"/>
  <c r="R68" i="1" s="1"/>
  <c r="U68" i="1" s="1"/>
  <c r="O68" i="1" s="1"/>
  <c r="P68" i="1" s="1"/>
  <c r="AD68" i="1"/>
  <c r="W56" i="1"/>
  <c r="X56" i="1" s="1"/>
  <c r="W39" i="1"/>
  <c r="X39" i="1" s="1"/>
  <c r="BB63" i="1"/>
  <c r="W49" i="1"/>
  <c r="X49" i="1" s="1"/>
  <c r="T49" i="1" s="1"/>
  <c r="R49" i="1" s="1"/>
  <c r="U49" i="1" s="1"/>
  <c r="O49" i="1" s="1"/>
  <c r="P49" i="1" s="1"/>
  <c r="AD40" i="1"/>
  <c r="AD51" i="1"/>
  <c r="T51" i="1"/>
  <c r="R51" i="1" s="1"/>
  <c r="U51" i="1" s="1"/>
  <c r="O51" i="1" s="1"/>
  <c r="P51" i="1" s="1"/>
  <c r="W28" i="1"/>
  <c r="X28" i="1" s="1"/>
  <c r="T47" i="1"/>
  <c r="R47" i="1" s="1"/>
  <c r="U47" i="1" s="1"/>
  <c r="O47" i="1" s="1"/>
  <c r="P47" i="1" s="1"/>
  <c r="AD36" i="1"/>
  <c r="T36" i="1"/>
  <c r="R36" i="1" s="1"/>
  <c r="U36" i="1" s="1"/>
  <c r="O36" i="1" s="1"/>
  <c r="P36" i="1" s="1"/>
  <c r="AD33" i="1"/>
  <c r="T33" i="1"/>
  <c r="R33" i="1" s="1"/>
  <c r="U33" i="1" s="1"/>
  <c r="O33" i="1" s="1"/>
  <c r="P33" i="1" s="1"/>
  <c r="AD28" i="1"/>
  <c r="W17" i="1"/>
  <c r="X17" i="1" s="1"/>
  <c r="AD17" i="1"/>
  <c r="AD24" i="1"/>
  <c r="AE22" i="1"/>
  <c r="W101" i="1"/>
  <c r="X101" i="1" s="1"/>
  <c r="T101" i="1" s="1"/>
  <c r="R101" i="1" s="1"/>
  <c r="U101" i="1" s="1"/>
  <c r="O101" i="1" s="1"/>
  <c r="P101" i="1" s="1"/>
  <c r="W85" i="1"/>
  <c r="X85" i="1" s="1"/>
  <c r="AD119" i="1"/>
  <c r="W119" i="1"/>
  <c r="X119" i="1" s="1"/>
  <c r="AD108" i="1"/>
  <c r="T108" i="1"/>
  <c r="R108" i="1" s="1"/>
  <c r="U108" i="1" s="1"/>
  <c r="O108" i="1" s="1"/>
  <c r="P108" i="1" s="1"/>
  <c r="AE107" i="1"/>
  <c r="W84" i="1"/>
  <c r="X84" i="1" s="1"/>
  <c r="T84" i="1" s="1"/>
  <c r="R84" i="1" s="1"/>
  <c r="U84" i="1" s="1"/>
  <c r="O84" i="1" s="1"/>
  <c r="P84" i="1" s="1"/>
  <c r="AE103" i="1"/>
  <c r="W98" i="1"/>
  <c r="X98" i="1" s="1"/>
  <c r="T98" i="1" s="1"/>
  <c r="R98" i="1" s="1"/>
  <c r="U98" i="1" s="1"/>
  <c r="O98" i="1" s="1"/>
  <c r="P98" i="1" s="1"/>
  <c r="AD98" i="1"/>
  <c r="W96" i="1"/>
  <c r="X96" i="1" s="1"/>
  <c r="AD103" i="1"/>
  <c r="T103" i="1"/>
  <c r="R103" i="1" s="1"/>
  <c r="U103" i="1" s="1"/>
  <c r="O103" i="1" s="1"/>
  <c r="P103" i="1" s="1"/>
  <c r="AD89" i="1"/>
  <c r="T89" i="1"/>
  <c r="R89" i="1" s="1"/>
  <c r="U89" i="1" s="1"/>
  <c r="O89" i="1" s="1"/>
  <c r="P89" i="1" s="1"/>
  <c r="T79" i="1"/>
  <c r="R79" i="1" s="1"/>
  <c r="U79" i="1" s="1"/>
  <c r="O79" i="1" s="1"/>
  <c r="P79" i="1" s="1"/>
  <c r="AD57" i="1"/>
  <c r="Y102" i="1"/>
  <c r="AC102" i="1" s="1"/>
  <c r="AF102" i="1"/>
  <c r="AG102" i="1" s="1"/>
  <c r="AE102" i="1"/>
  <c r="AD80" i="1"/>
  <c r="Y73" i="1"/>
  <c r="AC73" i="1" s="1"/>
  <c r="AF73" i="1"/>
  <c r="W65" i="1"/>
  <c r="X65" i="1" s="1"/>
  <c r="AD62" i="1"/>
  <c r="T62" i="1"/>
  <c r="R62" i="1" s="1"/>
  <c r="U62" i="1" s="1"/>
  <c r="O62" i="1" s="1"/>
  <c r="P62" i="1" s="1"/>
  <c r="W35" i="1"/>
  <c r="X35" i="1" s="1"/>
  <c r="W40" i="1"/>
  <c r="X40" i="1" s="1"/>
  <c r="T40" i="1" s="1"/>
  <c r="R40" i="1" s="1"/>
  <c r="U40" i="1" s="1"/>
  <c r="O40" i="1" s="1"/>
  <c r="P40" i="1" s="1"/>
  <c r="W48" i="1"/>
  <c r="X48" i="1" s="1"/>
  <c r="AD35" i="1"/>
  <c r="T35" i="1"/>
  <c r="R35" i="1" s="1"/>
  <c r="U35" i="1" s="1"/>
  <c r="O35" i="1" s="1"/>
  <c r="P35" i="1" s="1"/>
  <c r="W24" i="1"/>
  <c r="X24" i="1" s="1"/>
  <c r="T24" i="1" s="1"/>
  <c r="R24" i="1" s="1"/>
  <c r="U24" i="1" s="1"/>
  <c r="O24" i="1" s="1"/>
  <c r="P24" i="1" s="1"/>
  <c r="W45" i="1"/>
  <c r="X45" i="1" s="1"/>
  <c r="W32" i="1"/>
  <c r="X32" i="1" s="1"/>
  <c r="AD37" i="1"/>
  <c r="T37" i="1"/>
  <c r="R37" i="1" s="1"/>
  <c r="U37" i="1" s="1"/>
  <c r="O37" i="1" s="1"/>
  <c r="P37" i="1" s="1"/>
  <c r="W21" i="1"/>
  <c r="X21" i="1" s="1"/>
  <c r="AD21" i="1"/>
  <c r="T21" i="1"/>
  <c r="R21" i="1" s="1"/>
  <c r="U21" i="1" s="1"/>
  <c r="O21" i="1" s="1"/>
  <c r="P21" i="1" s="1"/>
  <c r="BB24" i="1"/>
  <c r="AF30" i="1"/>
  <c r="AG30" i="1" s="1"/>
  <c r="Y30" i="1"/>
  <c r="AC30" i="1" s="1"/>
  <c r="W29" i="1"/>
  <c r="X29" i="1" s="1"/>
  <c r="T29" i="1" s="1"/>
  <c r="R29" i="1" s="1"/>
  <c r="U29" i="1" s="1"/>
  <c r="O29" i="1" s="1"/>
  <c r="P29" i="1" s="1"/>
  <c r="AD29" i="1"/>
  <c r="Y86" i="1"/>
  <c r="AC86" i="1" s="1"/>
  <c r="AF86" i="1"/>
  <c r="AE86" i="1"/>
  <c r="AD87" i="1"/>
  <c r="T87" i="1"/>
  <c r="R87" i="1" s="1"/>
  <c r="U87" i="1" s="1"/>
  <c r="O87" i="1" s="1"/>
  <c r="P87" i="1" s="1"/>
  <c r="W78" i="1"/>
  <c r="X78" i="1" s="1"/>
  <c r="AD113" i="1"/>
  <c r="T113" i="1"/>
  <c r="R113" i="1" s="1"/>
  <c r="U113" i="1" s="1"/>
  <c r="O113" i="1" s="1"/>
  <c r="P113" i="1" s="1"/>
  <c r="Y58" i="1"/>
  <c r="AC58" i="1" s="1"/>
  <c r="AF58" i="1"/>
  <c r="AG58" i="1" s="1"/>
  <c r="W118" i="1"/>
  <c r="X118" i="1" s="1"/>
  <c r="T118" i="1" s="1"/>
  <c r="R118" i="1" s="1"/>
  <c r="U118" i="1" s="1"/>
  <c r="O118" i="1" s="1"/>
  <c r="P118" i="1" s="1"/>
  <c r="AD128" i="1"/>
  <c r="T128" i="1"/>
  <c r="R128" i="1" s="1"/>
  <c r="U128" i="1" s="1"/>
  <c r="O128" i="1" s="1"/>
  <c r="P128" i="1" s="1"/>
  <c r="W104" i="1"/>
  <c r="X104" i="1" s="1"/>
  <c r="T126" i="1"/>
  <c r="R126" i="1" s="1"/>
  <c r="U126" i="1" s="1"/>
  <c r="O126" i="1" s="1"/>
  <c r="P126" i="1" s="1"/>
  <c r="AD126" i="1"/>
  <c r="AD114" i="1"/>
  <c r="BB118" i="1"/>
  <c r="T111" i="1"/>
  <c r="R111" i="1" s="1"/>
  <c r="U111" i="1" s="1"/>
  <c r="O111" i="1" s="1"/>
  <c r="P111" i="1" s="1"/>
  <c r="AD111" i="1"/>
  <c r="W111" i="1"/>
  <c r="X111" i="1" s="1"/>
  <c r="BB122" i="1"/>
  <c r="W97" i="1"/>
  <c r="X97" i="1" s="1"/>
  <c r="W93" i="1"/>
  <c r="X93" i="1" s="1"/>
  <c r="T99" i="1"/>
  <c r="R99" i="1" s="1"/>
  <c r="U99" i="1" s="1"/>
  <c r="O99" i="1" s="1"/>
  <c r="P99" i="1" s="1"/>
  <c r="AF94" i="1"/>
  <c r="Y94" i="1"/>
  <c r="AC94" i="1" s="1"/>
  <c r="AE94" i="1"/>
  <c r="W81" i="1"/>
  <c r="X81" i="1" s="1"/>
  <c r="W70" i="1"/>
  <c r="X70" i="1" s="1"/>
  <c r="T70" i="1" s="1"/>
  <c r="R70" i="1" s="1"/>
  <c r="U70" i="1" s="1"/>
  <c r="O70" i="1" s="1"/>
  <c r="P70" i="1" s="1"/>
  <c r="W71" i="1"/>
  <c r="X71" i="1" s="1"/>
  <c r="AE73" i="1"/>
  <c r="T76" i="1"/>
  <c r="R76" i="1" s="1"/>
  <c r="U76" i="1" s="1"/>
  <c r="O76" i="1" s="1"/>
  <c r="P76" i="1" s="1"/>
  <c r="AD76" i="1"/>
  <c r="T53" i="1"/>
  <c r="R53" i="1" s="1"/>
  <c r="U53" i="1" s="1"/>
  <c r="O53" i="1" s="1"/>
  <c r="P53" i="1" s="1"/>
  <c r="AD53" i="1"/>
  <c r="AE69" i="1"/>
  <c r="AD81" i="1"/>
  <c r="T81" i="1"/>
  <c r="R81" i="1" s="1"/>
  <c r="U81" i="1" s="1"/>
  <c r="O81" i="1" s="1"/>
  <c r="P81" i="1" s="1"/>
  <c r="W76" i="1"/>
  <c r="X76" i="1" s="1"/>
  <c r="W52" i="1"/>
  <c r="X52" i="1" s="1"/>
  <c r="AD82" i="1"/>
  <c r="W82" i="1"/>
  <c r="X82" i="1" s="1"/>
  <c r="T82" i="1" s="1"/>
  <c r="R82" i="1" s="1"/>
  <c r="U82" i="1" s="1"/>
  <c r="O82" i="1" s="1"/>
  <c r="P82" i="1" s="1"/>
  <c r="AD54" i="1"/>
  <c r="T54" i="1"/>
  <c r="R54" i="1" s="1"/>
  <c r="U54" i="1" s="1"/>
  <c r="O54" i="1" s="1"/>
  <c r="P54" i="1" s="1"/>
  <c r="AD88" i="1"/>
  <c r="T88" i="1"/>
  <c r="R88" i="1" s="1"/>
  <c r="U88" i="1" s="1"/>
  <c r="O88" i="1" s="1"/>
  <c r="P88" i="1" s="1"/>
  <c r="T61" i="1"/>
  <c r="R61" i="1" s="1"/>
  <c r="U61" i="1" s="1"/>
  <c r="O61" i="1" s="1"/>
  <c r="P61" i="1" s="1"/>
  <c r="AD61" i="1"/>
  <c r="W57" i="1"/>
  <c r="X57" i="1" s="1"/>
  <c r="W20" i="1"/>
  <c r="X20" i="1" s="1"/>
  <c r="T20" i="1" s="1"/>
  <c r="R20" i="1" s="1"/>
  <c r="U20" i="1" s="1"/>
  <c r="O20" i="1" s="1"/>
  <c r="P20" i="1" s="1"/>
  <c r="AD45" i="1"/>
  <c r="T45" i="1"/>
  <c r="R45" i="1" s="1"/>
  <c r="U45" i="1" s="1"/>
  <c r="O45" i="1" s="1"/>
  <c r="P45" i="1" s="1"/>
  <c r="BB32" i="1"/>
  <c r="BA32" i="1"/>
  <c r="AD22" i="1"/>
  <c r="T22" i="1"/>
  <c r="R22" i="1" s="1"/>
  <c r="U22" i="1" s="1"/>
  <c r="O22" i="1" s="1"/>
  <c r="P22" i="1" s="1"/>
  <c r="W25" i="1"/>
  <c r="X25" i="1" s="1"/>
  <c r="T25" i="1" s="1"/>
  <c r="R25" i="1" s="1"/>
  <c r="U25" i="1" s="1"/>
  <c r="O25" i="1" s="1"/>
  <c r="P25" i="1" s="1"/>
  <c r="AD25" i="1"/>
  <c r="W37" i="1"/>
  <c r="X37" i="1" s="1"/>
  <c r="W27" i="1"/>
  <c r="X27" i="1" s="1"/>
  <c r="AD121" i="1"/>
  <c r="T121" i="1"/>
  <c r="R121" i="1" s="1"/>
  <c r="U121" i="1" s="1"/>
  <c r="O121" i="1" s="1"/>
  <c r="P121" i="1" s="1"/>
  <c r="W92" i="1"/>
  <c r="X92" i="1" s="1"/>
  <c r="Y72" i="1"/>
  <c r="AC72" i="1" s="1"/>
  <c r="AF72" i="1"/>
  <c r="AG72" i="1" s="1"/>
  <c r="AE72" i="1"/>
  <c r="AD18" i="1"/>
  <c r="T18" i="1"/>
  <c r="R18" i="1" s="1"/>
  <c r="U18" i="1" s="1"/>
  <c r="O18" i="1" s="1"/>
  <c r="P18" i="1" s="1"/>
  <c r="AD120" i="1"/>
  <c r="T120" i="1"/>
  <c r="R120" i="1" s="1"/>
  <c r="U120" i="1" s="1"/>
  <c r="O120" i="1" s="1"/>
  <c r="P120" i="1" s="1"/>
  <c r="W114" i="1"/>
  <c r="X114" i="1" s="1"/>
  <c r="BA113" i="1"/>
  <c r="Y68" i="1"/>
  <c r="AC68" i="1" s="1"/>
  <c r="AF68" i="1"/>
  <c r="W128" i="1"/>
  <c r="X128" i="1" s="1"/>
  <c r="W116" i="1"/>
  <c r="X116" i="1" s="1"/>
  <c r="W117" i="1"/>
  <c r="X117" i="1" s="1"/>
  <c r="W100" i="1"/>
  <c r="X100" i="1" s="1"/>
  <c r="T100" i="1" s="1"/>
  <c r="R100" i="1" s="1"/>
  <c r="U100" i="1" s="1"/>
  <c r="O100" i="1" s="1"/>
  <c r="P100" i="1" s="1"/>
  <c r="O109" i="1"/>
  <c r="P109" i="1" s="1"/>
  <c r="AG123" i="1"/>
  <c r="AD105" i="1"/>
  <c r="T105" i="1"/>
  <c r="R105" i="1" s="1"/>
  <c r="U105" i="1" s="1"/>
  <c r="O105" i="1" s="1"/>
  <c r="P105" i="1" s="1"/>
  <c r="AD97" i="1"/>
  <c r="T97" i="1"/>
  <c r="R97" i="1" s="1"/>
  <c r="U97" i="1" s="1"/>
  <c r="O97" i="1" s="1"/>
  <c r="P97" i="1" s="1"/>
  <c r="W66" i="1"/>
  <c r="X66" i="1" s="1"/>
  <c r="AD83" i="1"/>
  <c r="W83" i="1"/>
  <c r="X83" i="1" s="1"/>
  <c r="T83" i="1" s="1"/>
  <c r="R83" i="1" s="1"/>
  <c r="U83" i="1" s="1"/>
  <c r="O83" i="1" s="1"/>
  <c r="P83" i="1" s="1"/>
  <c r="W50" i="1"/>
  <c r="X50" i="1" s="1"/>
  <c r="AE68" i="1"/>
  <c r="W55" i="1"/>
  <c r="X55" i="1" s="1"/>
  <c r="T55" i="1" s="1"/>
  <c r="R55" i="1" s="1"/>
  <c r="U55" i="1" s="1"/>
  <c r="O55" i="1" s="1"/>
  <c r="P55" i="1" s="1"/>
  <c r="W90" i="1"/>
  <c r="X90" i="1" s="1"/>
  <c r="BB81" i="1"/>
  <c r="AE79" i="1"/>
  <c r="BB62" i="1"/>
  <c r="AE54" i="1"/>
  <c r="W62" i="1"/>
  <c r="X62" i="1" s="1"/>
  <c r="AD50" i="1"/>
  <c r="AE51" i="1"/>
  <c r="AE47" i="1"/>
  <c r="AD48" i="1"/>
  <c r="T48" i="1"/>
  <c r="R48" i="1" s="1"/>
  <c r="U48" i="1" s="1"/>
  <c r="O48" i="1" s="1"/>
  <c r="P48" i="1" s="1"/>
  <c r="W31" i="1"/>
  <c r="X31" i="1" s="1"/>
  <c r="AD41" i="1"/>
  <c r="T41" i="1"/>
  <c r="R41" i="1" s="1"/>
  <c r="U41" i="1" s="1"/>
  <c r="O41" i="1" s="1"/>
  <c r="P41" i="1" s="1"/>
  <c r="BB23" i="1"/>
  <c r="W19" i="1"/>
  <c r="X19" i="1" s="1"/>
  <c r="AE50" i="1" l="1"/>
  <c r="Y50" i="1"/>
  <c r="AC50" i="1" s="1"/>
  <c r="AF50" i="1"/>
  <c r="AG50" i="1" s="1"/>
  <c r="AF114" i="1"/>
  <c r="Y114" i="1"/>
  <c r="AC114" i="1" s="1"/>
  <c r="AE114" i="1"/>
  <c r="Y92" i="1"/>
  <c r="AC92" i="1" s="1"/>
  <c r="AF92" i="1"/>
  <c r="AG92" i="1" s="1"/>
  <c r="AE92" i="1"/>
  <c r="Y71" i="1"/>
  <c r="AC71" i="1" s="1"/>
  <c r="AF71" i="1"/>
  <c r="AG71" i="1" s="1"/>
  <c r="AE71" i="1"/>
  <c r="T71" i="1"/>
  <c r="R71" i="1" s="1"/>
  <c r="U71" i="1" s="1"/>
  <c r="O71" i="1" s="1"/>
  <c r="P71" i="1" s="1"/>
  <c r="AG94" i="1"/>
  <c r="AF21" i="1"/>
  <c r="AE21" i="1"/>
  <c r="Y21" i="1"/>
  <c r="AC21" i="1" s="1"/>
  <c r="AF35" i="1"/>
  <c r="AE35" i="1"/>
  <c r="Y35" i="1"/>
  <c r="AC35" i="1" s="1"/>
  <c r="Y85" i="1"/>
  <c r="AC85" i="1" s="1"/>
  <c r="AF85" i="1"/>
  <c r="AE85" i="1"/>
  <c r="T85" i="1"/>
  <c r="R85" i="1" s="1"/>
  <c r="U85" i="1" s="1"/>
  <c r="O85" i="1" s="1"/>
  <c r="P85" i="1" s="1"/>
  <c r="Y75" i="1"/>
  <c r="AC75" i="1" s="1"/>
  <c r="AF75" i="1"/>
  <c r="AE75" i="1"/>
  <c r="T75" i="1"/>
  <c r="R75" i="1" s="1"/>
  <c r="U75" i="1" s="1"/>
  <c r="O75" i="1" s="1"/>
  <c r="P75" i="1" s="1"/>
  <c r="AG47" i="1"/>
  <c r="Y41" i="1"/>
  <c r="AC41" i="1" s="1"/>
  <c r="AF41" i="1"/>
  <c r="AE41" i="1"/>
  <c r="AF44" i="1"/>
  <c r="Y44" i="1"/>
  <c r="AC44" i="1" s="1"/>
  <c r="AE44" i="1"/>
  <c r="Y60" i="1"/>
  <c r="AC60" i="1" s="1"/>
  <c r="AF60" i="1"/>
  <c r="AE60" i="1"/>
  <c r="Y125" i="1"/>
  <c r="AC125" i="1" s="1"/>
  <c r="AF125" i="1"/>
  <c r="AG125" i="1" s="1"/>
  <c r="T125" i="1"/>
  <c r="R125" i="1" s="1"/>
  <c r="U125" i="1" s="1"/>
  <c r="O125" i="1" s="1"/>
  <c r="P125" i="1" s="1"/>
  <c r="AE125" i="1"/>
  <c r="AG108" i="1"/>
  <c r="AF116" i="1"/>
  <c r="Y116" i="1"/>
  <c r="AC116" i="1" s="1"/>
  <c r="AE116" i="1"/>
  <c r="Y39" i="1"/>
  <c r="AC39" i="1" s="1"/>
  <c r="AF39" i="1"/>
  <c r="AG39" i="1" s="1"/>
  <c r="AE39" i="1"/>
  <c r="T39" i="1"/>
  <c r="R39" i="1" s="1"/>
  <c r="U39" i="1" s="1"/>
  <c r="O39" i="1" s="1"/>
  <c r="P39" i="1" s="1"/>
  <c r="AF80" i="1"/>
  <c r="Y80" i="1"/>
  <c r="AC80" i="1" s="1"/>
  <c r="AE80" i="1"/>
  <c r="Y93" i="1"/>
  <c r="AC93" i="1" s="1"/>
  <c r="AF93" i="1"/>
  <c r="AE93" i="1"/>
  <c r="AF120" i="1"/>
  <c r="AG120" i="1" s="1"/>
  <c r="Y120" i="1"/>
  <c r="AC120" i="1" s="1"/>
  <c r="AE120" i="1"/>
  <c r="AF112" i="1"/>
  <c r="Y112" i="1"/>
  <c r="AC112" i="1" s="1"/>
  <c r="AE112" i="1"/>
  <c r="T112" i="1"/>
  <c r="R112" i="1" s="1"/>
  <c r="U112" i="1" s="1"/>
  <c r="O112" i="1" s="1"/>
  <c r="P112" i="1" s="1"/>
  <c r="AF128" i="1"/>
  <c r="AG128" i="1" s="1"/>
  <c r="Y128" i="1"/>
  <c r="AC128" i="1" s="1"/>
  <c r="AE128" i="1"/>
  <c r="Y57" i="1"/>
  <c r="AC57" i="1" s="1"/>
  <c r="AF57" i="1"/>
  <c r="AE57" i="1"/>
  <c r="Y118" i="1"/>
  <c r="AC118" i="1" s="1"/>
  <c r="AF118" i="1"/>
  <c r="AE118" i="1"/>
  <c r="Y48" i="1"/>
  <c r="AC48" i="1" s="1"/>
  <c r="AF48" i="1"/>
  <c r="AG48" i="1" s="1"/>
  <c r="AE48" i="1"/>
  <c r="Y65" i="1"/>
  <c r="AC65" i="1" s="1"/>
  <c r="AF65" i="1"/>
  <c r="AE65" i="1"/>
  <c r="Y56" i="1"/>
  <c r="AC56" i="1" s="1"/>
  <c r="AF56" i="1"/>
  <c r="AG56" i="1" s="1"/>
  <c r="T56" i="1"/>
  <c r="R56" i="1" s="1"/>
  <c r="U56" i="1" s="1"/>
  <c r="O56" i="1" s="1"/>
  <c r="P56" i="1" s="1"/>
  <c r="AE56" i="1"/>
  <c r="AG22" i="1"/>
  <c r="Y77" i="1"/>
  <c r="AC77" i="1" s="1"/>
  <c r="AF77" i="1"/>
  <c r="AE77" i="1"/>
  <c r="AG103" i="1"/>
  <c r="Y126" i="1"/>
  <c r="AC126" i="1" s="1"/>
  <c r="AF126" i="1"/>
  <c r="AG126" i="1" s="1"/>
  <c r="AE126" i="1"/>
  <c r="AG51" i="1"/>
  <c r="AF36" i="1"/>
  <c r="Y36" i="1"/>
  <c r="AC36" i="1" s="1"/>
  <c r="AE36" i="1"/>
  <c r="T65" i="1"/>
  <c r="R65" i="1" s="1"/>
  <c r="U65" i="1" s="1"/>
  <c r="O65" i="1" s="1"/>
  <c r="P65" i="1" s="1"/>
  <c r="T92" i="1"/>
  <c r="R92" i="1" s="1"/>
  <c r="U92" i="1" s="1"/>
  <c r="O92" i="1" s="1"/>
  <c r="P92" i="1" s="1"/>
  <c r="Y106" i="1"/>
  <c r="AC106" i="1" s="1"/>
  <c r="AF106" i="1"/>
  <c r="AG106" i="1" s="1"/>
  <c r="AE106" i="1"/>
  <c r="AF29" i="1"/>
  <c r="AE29" i="1"/>
  <c r="Y29" i="1"/>
  <c r="AC29" i="1" s="1"/>
  <c r="Y101" i="1"/>
  <c r="AC101" i="1" s="1"/>
  <c r="AF101" i="1"/>
  <c r="AG101" i="1" s="1"/>
  <c r="AE101" i="1"/>
  <c r="Y95" i="1"/>
  <c r="AC95" i="1" s="1"/>
  <c r="AF95" i="1"/>
  <c r="T95" i="1"/>
  <c r="R95" i="1" s="1"/>
  <c r="U95" i="1" s="1"/>
  <c r="O95" i="1" s="1"/>
  <c r="P95" i="1" s="1"/>
  <c r="AE95" i="1"/>
  <c r="AF64" i="1"/>
  <c r="Y64" i="1"/>
  <c r="AC64" i="1" s="1"/>
  <c r="AE64" i="1"/>
  <c r="T50" i="1"/>
  <c r="R50" i="1" s="1"/>
  <c r="U50" i="1" s="1"/>
  <c r="O50" i="1" s="1"/>
  <c r="P50" i="1" s="1"/>
  <c r="Y90" i="1"/>
  <c r="AC90" i="1" s="1"/>
  <c r="AF90" i="1"/>
  <c r="AE90" i="1"/>
  <c r="Y66" i="1"/>
  <c r="AC66" i="1" s="1"/>
  <c r="AF66" i="1"/>
  <c r="AE66" i="1"/>
  <c r="Y100" i="1"/>
  <c r="AC100" i="1" s="1"/>
  <c r="AF100" i="1"/>
  <c r="AG100" i="1" s="1"/>
  <c r="AE100" i="1"/>
  <c r="AG68" i="1"/>
  <c r="Y27" i="1"/>
  <c r="AC27" i="1" s="1"/>
  <c r="AF27" i="1"/>
  <c r="T27" i="1"/>
  <c r="R27" i="1" s="1"/>
  <c r="U27" i="1" s="1"/>
  <c r="O27" i="1" s="1"/>
  <c r="P27" i="1" s="1"/>
  <c r="AE27" i="1"/>
  <c r="Y81" i="1"/>
  <c r="AC81" i="1" s="1"/>
  <c r="AF81" i="1"/>
  <c r="AG81" i="1" s="1"/>
  <c r="AE81" i="1"/>
  <c r="Y97" i="1"/>
  <c r="AC97" i="1" s="1"/>
  <c r="AF97" i="1"/>
  <c r="AG97" i="1" s="1"/>
  <c r="AE97" i="1"/>
  <c r="T114" i="1"/>
  <c r="R114" i="1" s="1"/>
  <c r="U114" i="1" s="1"/>
  <c r="O114" i="1" s="1"/>
  <c r="P114" i="1" s="1"/>
  <c r="AF32" i="1"/>
  <c r="AG32" i="1" s="1"/>
  <c r="Y32" i="1"/>
  <c r="AC32" i="1" s="1"/>
  <c r="AE32" i="1"/>
  <c r="AG73" i="1"/>
  <c r="T57" i="1"/>
  <c r="R57" i="1" s="1"/>
  <c r="U57" i="1" s="1"/>
  <c r="O57" i="1" s="1"/>
  <c r="P57" i="1" s="1"/>
  <c r="AF33" i="1"/>
  <c r="Y33" i="1"/>
  <c r="AC33" i="1" s="1"/>
  <c r="AE33" i="1"/>
  <c r="Y88" i="1"/>
  <c r="AC88" i="1" s="1"/>
  <c r="AF88" i="1"/>
  <c r="AG88" i="1" s="1"/>
  <c r="AE88" i="1"/>
  <c r="AF124" i="1"/>
  <c r="Y124" i="1"/>
  <c r="AC124" i="1" s="1"/>
  <c r="AE124" i="1"/>
  <c r="T66" i="1"/>
  <c r="R66" i="1" s="1"/>
  <c r="U66" i="1" s="1"/>
  <c r="O66" i="1" s="1"/>
  <c r="P66" i="1" s="1"/>
  <c r="T116" i="1"/>
  <c r="R116" i="1" s="1"/>
  <c r="U116" i="1" s="1"/>
  <c r="O116" i="1" s="1"/>
  <c r="P116" i="1" s="1"/>
  <c r="Y46" i="1"/>
  <c r="AC46" i="1" s="1"/>
  <c r="AF46" i="1"/>
  <c r="AG46" i="1" s="1"/>
  <c r="AE46" i="1"/>
  <c r="AF17" i="1"/>
  <c r="AE17" i="1"/>
  <c r="Y17" i="1"/>
  <c r="AC17" i="1" s="1"/>
  <c r="AF63" i="1"/>
  <c r="Y63" i="1"/>
  <c r="AC63" i="1" s="1"/>
  <c r="AE63" i="1"/>
  <c r="T106" i="1"/>
  <c r="R106" i="1" s="1"/>
  <c r="U106" i="1" s="1"/>
  <c r="O106" i="1" s="1"/>
  <c r="P106" i="1" s="1"/>
  <c r="AF82" i="1"/>
  <c r="AG82" i="1" s="1"/>
  <c r="AE82" i="1"/>
  <c r="Y82" i="1"/>
  <c r="AC82" i="1" s="1"/>
  <c r="Y74" i="1"/>
  <c r="AC74" i="1" s="1"/>
  <c r="AF74" i="1"/>
  <c r="AE74" i="1"/>
  <c r="AF115" i="1"/>
  <c r="AG115" i="1" s="1"/>
  <c r="Y115" i="1"/>
  <c r="AC115" i="1" s="1"/>
  <c r="AE115" i="1"/>
  <c r="Y55" i="1"/>
  <c r="AC55" i="1" s="1"/>
  <c r="AF55" i="1"/>
  <c r="AE55" i="1"/>
  <c r="Y52" i="1"/>
  <c r="AC52" i="1" s="1"/>
  <c r="AF52" i="1"/>
  <c r="T52" i="1"/>
  <c r="R52" i="1" s="1"/>
  <c r="U52" i="1" s="1"/>
  <c r="O52" i="1" s="1"/>
  <c r="P52" i="1" s="1"/>
  <c r="AE52" i="1"/>
  <c r="Y45" i="1"/>
  <c r="AC45" i="1" s="1"/>
  <c r="AF45" i="1"/>
  <c r="AE45" i="1"/>
  <c r="Y119" i="1"/>
  <c r="AC119" i="1" s="1"/>
  <c r="AF119" i="1"/>
  <c r="AE119" i="1"/>
  <c r="Y122" i="1"/>
  <c r="AC122" i="1" s="1"/>
  <c r="AF122" i="1"/>
  <c r="AG122" i="1" s="1"/>
  <c r="AE122" i="1"/>
  <c r="AG54" i="1"/>
  <c r="AG61" i="1"/>
  <c r="Y110" i="1"/>
  <c r="AC110" i="1" s="1"/>
  <c r="AF110" i="1"/>
  <c r="T110" i="1"/>
  <c r="R110" i="1" s="1"/>
  <c r="U110" i="1" s="1"/>
  <c r="O110" i="1" s="1"/>
  <c r="P110" i="1" s="1"/>
  <c r="AE110" i="1"/>
  <c r="T32" i="1"/>
  <c r="R32" i="1" s="1"/>
  <c r="U32" i="1" s="1"/>
  <c r="O32" i="1" s="1"/>
  <c r="P32" i="1" s="1"/>
  <c r="Y105" i="1"/>
  <c r="AC105" i="1" s="1"/>
  <c r="AF105" i="1"/>
  <c r="AE105" i="1"/>
  <c r="AG34" i="1"/>
  <c r="AG91" i="1"/>
  <c r="Y127" i="1"/>
  <c r="AC127" i="1" s="1"/>
  <c r="AF127" i="1"/>
  <c r="AE127" i="1"/>
  <c r="AG79" i="1"/>
  <c r="Y83" i="1"/>
  <c r="AC83" i="1" s="1"/>
  <c r="AF83" i="1"/>
  <c r="AE83" i="1"/>
  <c r="Y78" i="1"/>
  <c r="AC78" i="1" s="1"/>
  <c r="AF78" i="1"/>
  <c r="AE78" i="1"/>
  <c r="AF84" i="1"/>
  <c r="AG84" i="1" s="1"/>
  <c r="Y84" i="1"/>
  <c r="AC84" i="1" s="1"/>
  <c r="AE84" i="1"/>
  <c r="Y70" i="1"/>
  <c r="AC70" i="1" s="1"/>
  <c r="AF70" i="1"/>
  <c r="AE70" i="1"/>
  <c r="T93" i="1"/>
  <c r="R93" i="1" s="1"/>
  <c r="U93" i="1" s="1"/>
  <c r="O93" i="1" s="1"/>
  <c r="P93" i="1" s="1"/>
  <c r="Y62" i="1"/>
  <c r="AC62" i="1" s="1"/>
  <c r="AF62" i="1"/>
  <c r="AG62" i="1" s="1"/>
  <c r="AE62" i="1"/>
  <c r="Y117" i="1"/>
  <c r="AC117" i="1" s="1"/>
  <c r="AF117" i="1"/>
  <c r="T117" i="1"/>
  <c r="R117" i="1" s="1"/>
  <c r="U117" i="1" s="1"/>
  <c r="O117" i="1" s="1"/>
  <c r="P117" i="1" s="1"/>
  <c r="AE117" i="1"/>
  <c r="Y37" i="1"/>
  <c r="AC37" i="1" s="1"/>
  <c r="AF37" i="1"/>
  <c r="AE37" i="1"/>
  <c r="AG86" i="1"/>
  <c r="AF40" i="1"/>
  <c r="Y40" i="1"/>
  <c r="AC40" i="1" s="1"/>
  <c r="AE40" i="1"/>
  <c r="T80" i="1"/>
  <c r="R80" i="1" s="1"/>
  <c r="U80" i="1" s="1"/>
  <c r="O80" i="1" s="1"/>
  <c r="P80" i="1" s="1"/>
  <c r="AF98" i="1"/>
  <c r="AE98" i="1"/>
  <c r="Y98" i="1"/>
  <c r="AC98" i="1" s="1"/>
  <c r="T119" i="1"/>
  <c r="R119" i="1" s="1"/>
  <c r="U119" i="1" s="1"/>
  <c r="O119" i="1" s="1"/>
  <c r="P119" i="1" s="1"/>
  <c r="Y42" i="1"/>
  <c r="AC42" i="1" s="1"/>
  <c r="AF42" i="1"/>
  <c r="AE42" i="1"/>
  <c r="T42" i="1"/>
  <c r="R42" i="1" s="1"/>
  <c r="U42" i="1" s="1"/>
  <c r="O42" i="1" s="1"/>
  <c r="P42" i="1" s="1"/>
  <c r="Y43" i="1"/>
  <c r="AC43" i="1" s="1"/>
  <c r="AF43" i="1"/>
  <c r="AE43" i="1"/>
  <c r="T90" i="1"/>
  <c r="R90" i="1" s="1"/>
  <c r="U90" i="1" s="1"/>
  <c r="O90" i="1" s="1"/>
  <c r="P90" i="1" s="1"/>
  <c r="T60" i="1"/>
  <c r="R60" i="1" s="1"/>
  <c r="U60" i="1" s="1"/>
  <c r="O60" i="1" s="1"/>
  <c r="P60" i="1" s="1"/>
  <c r="Y89" i="1"/>
  <c r="AC89" i="1" s="1"/>
  <c r="AF89" i="1"/>
  <c r="AE89" i="1"/>
  <c r="Y113" i="1"/>
  <c r="AC113" i="1" s="1"/>
  <c r="AF113" i="1"/>
  <c r="AE113" i="1"/>
  <c r="T127" i="1"/>
  <c r="R127" i="1" s="1"/>
  <c r="U127" i="1" s="1"/>
  <c r="O127" i="1" s="1"/>
  <c r="P127" i="1" s="1"/>
  <c r="AG18" i="1"/>
  <c r="Y19" i="1"/>
  <c r="AC19" i="1" s="1"/>
  <c r="AF19" i="1"/>
  <c r="T19" i="1"/>
  <c r="R19" i="1" s="1"/>
  <c r="U19" i="1" s="1"/>
  <c r="O19" i="1" s="1"/>
  <c r="P19" i="1" s="1"/>
  <c r="AE19" i="1"/>
  <c r="Y20" i="1"/>
  <c r="AC20" i="1" s="1"/>
  <c r="AF20" i="1"/>
  <c r="AG20" i="1" s="1"/>
  <c r="AE20" i="1"/>
  <c r="Y28" i="1"/>
  <c r="AC28" i="1" s="1"/>
  <c r="AF28" i="1"/>
  <c r="AE28" i="1"/>
  <c r="T78" i="1"/>
  <c r="R78" i="1" s="1"/>
  <c r="U78" i="1" s="1"/>
  <c r="O78" i="1" s="1"/>
  <c r="P78" i="1" s="1"/>
  <c r="Y23" i="1"/>
  <c r="AC23" i="1" s="1"/>
  <c r="AF23" i="1"/>
  <c r="AG23" i="1" s="1"/>
  <c r="T23" i="1"/>
  <c r="R23" i="1" s="1"/>
  <c r="U23" i="1" s="1"/>
  <c r="O23" i="1" s="1"/>
  <c r="P23" i="1" s="1"/>
  <c r="AE23" i="1"/>
  <c r="AF25" i="1"/>
  <c r="AE25" i="1"/>
  <c r="Y25" i="1"/>
  <c r="AC25" i="1" s="1"/>
  <c r="Y96" i="1"/>
  <c r="AC96" i="1" s="1"/>
  <c r="AF96" i="1"/>
  <c r="T96" i="1"/>
  <c r="R96" i="1" s="1"/>
  <c r="U96" i="1" s="1"/>
  <c r="O96" i="1" s="1"/>
  <c r="P96" i="1" s="1"/>
  <c r="AE96" i="1"/>
  <c r="T28" i="1"/>
  <c r="R28" i="1" s="1"/>
  <c r="U28" i="1" s="1"/>
  <c r="O28" i="1" s="1"/>
  <c r="P28" i="1" s="1"/>
  <c r="AF31" i="1"/>
  <c r="Y31" i="1"/>
  <c r="AC31" i="1" s="1"/>
  <c r="AE31" i="1"/>
  <c r="Y76" i="1"/>
  <c r="AC76" i="1" s="1"/>
  <c r="AF76" i="1"/>
  <c r="AE76" i="1"/>
  <c r="AF111" i="1"/>
  <c r="AG111" i="1" s="1"/>
  <c r="Y111" i="1"/>
  <c r="AC111" i="1" s="1"/>
  <c r="AE111" i="1"/>
  <c r="Y104" i="1"/>
  <c r="AC104" i="1" s="1"/>
  <c r="AF104" i="1"/>
  <c r="AE104" i="1"/>
  <c r="Y24" i="1"/>
  <c r="AC24" i="1" s="1"/>
  <c r="AF24" i="1"/>
  <c r="AE24" i="1"/>
  <c r="T17" i="1"/>
  <c r="R17" i="1" s="1"/>
  <c r="U17" i="1" s="1"/>
  <c r="O17" i="1" s="1"/>
  <c r="P17" i="1" s="1"/>
  <c r="Y49" i="1"/>
  <c r="AC49" i="1" s="1"/>
  <c r="AF49" i="1"/>
  <c r="AE49" i="1"/>
  <c r="Y59" i="1"/>
  <c r="AC59" i="1" s="1"/>
  <c r="AF59" i="1"/>
  <c r="AE59" i="1"/>
  <c r="Y121" i="1"/>
  <c r="AC121" i="1" s="1"/>
  <c r="AF121" i="1"/>
  <c r="AG121" i="1" s="1"/>
  <c r="AE121" i="1"/>
  <c r="T104" i="1"/>
  <c r="R104" i="1" s="1"/>
  <c r="U104" i="1" s="1"/>
  <c r="O104" i="1" s="1"/>
  <c r="P104" i="1" s="1"/>
  <c r="Y38" i="1"/>
  <c r="AC38" i="1" s="1"/>
  <c r="AF38" i="1"/>
  <c r="AE38" i="1"/>
  <c r="T38" i="1"/>
  <c r="R38" i="1" s="1"/>
  <c r="U38" i="1" s="1"/>
  <c r="O38" i="1" s="1"/>
  <c r="P38" i="1" s="1"/>
  <c r="AG26" i="1"/>
  <c r="Y67" i="1"/>
  <c r="AC67" i="1" s="1"/>
  <c r="AF67" i="1"/>
  <c r="AE67" i="1"/>
  <c r="T67" i="1"/>
  <c r="R67" i="1" s="1"/>
  <c r="U67" i="1" s="1"/>
  <c r="O67" i="1" s="1"/>
  <c r="P67" i="1" s="1"/>
  <c r="AG43" i="1" l="1"/>
  <c r="AG41" i="1"/>
  <c r="AG96" i="1"/>
  <c r="AG78" i="1"/>
  <c r="AG52" i="1"/>
  <c r="AG66" i="1"/>
  <c r="AG64" i="1"/>
  <c r="AG85" i="1"/>
  <c r="AG59" i="1"/>
  <c r="AG98" i="1"/>
  <c r="AG110" i="1"/>
  <c r="AG119" i="1"/>
  <c r="AG74" i="1"/>
  <c r="AG63" i="1"/>
  <c r="AG27" i="1"/>
  <c r="AG77" i="1"/>
  <c r="AG65" i="1"/>
  <c r="AG60" i="1"/>
  <c r="AG113" i="1"/>
  <c r="AG127" i="1"/>
  <c r="AG118" i="1"/>
  <c r="AG38" i="1"/>
  <c r="AG104" i="1"/>
  <c r="AG19" i="1"/>
  <c r="AG89" i="1"/>
  <c r="AG70" i="1"/>
  <c r="AG33" i="1"/>
  <c r="AG29" i="1"/>
  <c r="AG36" i="1"/>
  <c r="AG57" i="1"/>
  <c r="AG112" i="1"/>
  <c r="AG116" i="1"/>
  <c r="AG114" i="1"/>
  <c r="AG49" i="1"/>
  <c r="AG28" i="1"/>
  <c r="AG42" i="1"/>
  <c r="AG117" i="1"/>
  <c r="AG83" i="1"/>
  <c r="AG55" i="1"/>
  <c r="AG90" i="1"/>
  <c r="AG95" i="1"/>
  <c r="AG80" i="1"/>
  <c r="AG24" i="1"/>
  <c r="AG37" i="1"/>
  <c r="AG93" i="1"/>
  <c r="AG21" i="1"/>
  <c r="AG76" i="1"/>
  <c r="AG67" i="1"/>
  <c r="AG31" i="1"/>
  <c r="AG25" i="1"/>
  <c r="AG40" i="1"/>
  <c r="AG105" i="1"/>
  <c r="AG45" i="1"/>
  <c r="AG17" i="1"/>
  <c r="AG124" i="1"/>
  <c r="AG75" i="1"/>
  <c r="AG35" i="1"/>
  <c r="AG44" i="1"/>
</calcChain>
</file>

<file path=xl/sharedStrings.xml><?xml version="1.0" encoding="utf-8"?>
<sst xmlns="http://schemas.openxmlformats.org/spreadsheetml/2006/main" count="2856" uniqueCount="988">
  <si>
    <t>File opened</t>
  </si>
  <si>
    <t>2023-08-29 09:32:00</t>
  </si>
  <si>
    <t>Console s/n</t>
  </si>
  <si>
    <t>68C-812063</t>
  </si>
  <si>
    <t>Console ver</t>
  </si>
  <si>
    <t>Bluestem v.2.1.08</t>
  </si>
  <si>
    <t>Scripts ver</t>
  </si>
  <si>
    <t>2022.05  2.1.08, Aug 2022</t>
  </si>
  <si>
    <t>Head s/n</t>
  </si>
  <si>
    <t>68H-712053</t>
  </si>
  <si>
    <t>Head ver</t>
  </si>
  <si>
    <t>1.4.22</t>
  </si>
  <si>
    <t>Head cal</t>
  </si>
  <si>
    <t>{"oxygen": "21", "co2azero": "0.895067", "co2aspan1": "1.00205", "co2aspan2": "-0.0349916", "co2aspan2a": "0.31071", "co2aspan2b": "0.307968", "co2aspanconc1": "2473", "co2aspanconc2": "301.4", "co2bzero": "0.938312", "co2bspan1": "1.00239", "co2bspan2": "-0.0370803", "co2bspan2a": "0.307851", "co2bspan2b": "0.305073", "co2bspanconc1": "2473", "co2bspanconc2": "301.4", "h2oazero": "1.03913", "h2oaspan1": "1.01365", "h2oaspan2": "0", "h2oaspan2a": "0.0728135", "h2oaspan2b": "0.0738075", "h2oaspanconc1": "12.42", "h2oaspanconc2": "0", "h2obzero": "1.04933", "h2obspan1": "0.997188", "h2obspan2": "0", "h2obspan2a": "0.0725159", "h2obspan2b": "0.072312", "h2obspanconc1": "12.42", "h2obspanconc2": "0", "tazero": "0.0634346", "tbzero": "0.156763", "flowmeterzero": "1.01393", "flowazero": "0.29105", "flowbzero": "0.31419", "chamberpressurezero": "2.66326", "ssa_ref": "32350", "ssb_ref": "32257.4"}</t>
  </si>
  <si>
    <t>CO2 rangematch</t>
  </si>
  <si>
    <t>Sat Aug 26 10:17</t>
  </si>
  <si>
    <t>H2O rangematch</t>
  </si>
  <si>
    <t>Sat Aug 26 10:25</t>
  </si>
  <si>
    <t>Chamber type</t>
  </si>
  <si>
    <t>6800-01A</t>
  </si>
  <si>
    <t>Chamber s/n</t>
  </si>
  <si>
    <t>MPF-281812</t>
  </si>
  <si>
    <t>Chamber rev</t>
  </si>
  <si>
    <t>0</t>
  </si>
  <si>
    <t>Chamber cal</t>
  </si>
  <si>
    <t>Fluorometer</t>
  </si>
  <si>
    <t>Flr. Version</t>
  </si>
  <si>
    <t>09:32:00</t>
  </si>
  <si>
    <t>Stability Definition:	A (GasEx): Slp&lt;0.7 Std&lt;0.2 Per=15	gsw (GasEx): Slp&lt;0.05 Std&lt;0.05 Per=15</t>
  </si>
  <si>
    <t>SysConst</t>
  </si>
  <si>
    <t>AvgTime</t>
  </si>
  <si>
    <t>1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</si>
  <si>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</si>
  <si>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</si>
  <si>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</si>
  <si>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</si>
  <si>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</si>
  <si>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</si>
  <si>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</si>
  <si>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</si>
  <si>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</si>
  <si>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</si>
  <si>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</si>
  <si>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</si>
  <si>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</si>
  <si>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</si>
  <si>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</si>
  <si>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</si>
  <si>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</si>
  <si>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</si>
  <si>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</si>
  <si>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</si>
  <si>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</si>
  <si>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</si>
  <si>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</si>
  <si>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</si>
  <si>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</si>
  <si>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</si>
  <si>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</si>
  <si>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</si>
  <si>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</si>
  <si>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</si>
  <si>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</si>
  <si>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</si>
  <si>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</si>
  <si>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</si>
  <si>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</si>
  <si>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</si>
  <si>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</si>
  <si>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</si>
  <si>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</si>
  <si>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</si>
  <si>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</si>
  <si>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</si>
  <si>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</si>
  <si>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</si>
  <si>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</si>
  <si>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</si>
  <si>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</si>
  <si>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</si>
  <si>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</si>
  <si>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4.6878 90.4167 383.562 625.714 861.613 1049.54 1209.99 1356.61</t>
  </si>
  <si>
    <t>Fs_true</t>
  </si>
  <si>
    <t>0.138364 102.679 401.797 601.205 800.676 1001.96 1200.45 1401.56</t>
  </si>
  <si>
    <t>leak_wt</t>
  </si>
  <si>
    <t>SysObs</t>
  </si>
  <si>
    <t>UserDefCon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</si>
  <si>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</si>
  <si>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</si>
  <si>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</si>
  <si>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</si>
  <si>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</si>
  <si>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</si>
  <si>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</si>
  <si>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</si>
  <si>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</si>
  <si>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</si>
  <si>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</si>
  <si>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</si>
  <si>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</si>
  <si>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</si>
  <si>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</si>
  <si>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</si>
  <si>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</si>
  <si>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</si>
  <si>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</si>
  <si>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</si>
  <si>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</si>
  <si>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</si>
  <si>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</si>
  <si>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</si>
  <si>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</si>
  <si>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event</t>
  </si>
  <si>
    <t>plot</t>
  </si>
  <si>
    <t>replicate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</si>
  <si>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</si>
  <si>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</si>
  <si>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</si>
  <si>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</si>
  <si>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</si>
  <si>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</si>
  <si>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</si>
  <si>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</si>
  <si>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</si>
  <si>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</si>
  <si>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</si>
  <si>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</si>
  <si>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</si>
  <si>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</si>
  <si>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</si>
  <si>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</si>
  <si>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</si>
  <si>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</si>
  <si>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</si>
  <si>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</si>
  <si>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</si>
  <si>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</si>
  <si>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</si>
  <si>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</si>
  <si>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</si>
  <si>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</si>
  <si>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</si>
  <si>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</si>
  <si>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</si>
  <si>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</si>
  <si>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</si>
  <si>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</si>
  <si>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</si>
  <si>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</si>
  <si>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</si>
  <si>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</si>
  <si>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</si>
  <si>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</si>
  <si>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</si>
  <si>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</si>
  <si>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</si>
  <si>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</si>
  <si>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</si>
  <si>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</si>
  <si>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</si>
  <si>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</si>
  <si>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</si>
  <si>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</si>
  <si>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</si>
  <si>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</si>
  <si>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</si>
  <si>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</si>
  <si>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</si>
  <si>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</si>
  <si>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</si>
  <si>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</si>
  <si>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</si>
  <si>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</si>
  <si>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</si>
  <si>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</si>
  <si>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</si>
  <si>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</si>
  <si>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</si>
  <si>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</si>
  <si>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</si>
  <si>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</si>
  <si>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</si>
  <si>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</si>
  <si>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</si>
  <si>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</si>
  <si>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</si>
  <si>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</si>
  <si>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</si>
  <si>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</si>
  <si>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</si>
  <si>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</si>
  <si>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</si>
  <si>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</si>
  <si>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</si>
  <si>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</si>
  <si>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</si>
  <si>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</si>
  <si>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</si>
  <si>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</si>
  <si>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</si>
  <si>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</si>
  <si>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</si>
  <si>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</si>
  <si>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</si>
  <si>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</si>
  <si>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</si>
  <si>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</si>
  <si>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</si>
  <si>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</si>
  <si>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</si>
  <si>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</si>
  <si>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</si>
  <si>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</si>
  <si>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</si>
  <si>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</si>
  <si>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</si>
  <si>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</si>
  <si>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</si>
  <si>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</si>
  <si>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</si>
  <si>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</si>
  <si>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</si>
  <si>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</si>
  <si>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</si>
  <si>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</si>
  <si>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</si>
  <si>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</si>
  <si>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</si>
  <si>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</si>
  <si>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</si>
  <si>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</si>
  <si>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</si>
  <si>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</si>
  <si>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</si>
  <si>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</si>
  <si>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</si>
  <si>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</si>
  <si>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</si>
  <si>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</si>
  <si>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</si>
  <si>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</si>
  <si>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</si>
  <si>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</si>
  <si>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</si>
  <si>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</si>
  <si>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</si>
  <si>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</si>
  <si>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</si>
  <si>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</si>
  <si>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</si>
  <si>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</si>
  <si>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</si>
  <si>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</si>
  <si>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</si>
  <si>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</si>
  <si>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</si>
  <si>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</si>
  <si>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</si>
  <si>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</si>
  <si>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</si>
  <si>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</si>
  <si>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</si>
  <si>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</si>
  <si>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</si>
  <si>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</si>
  <si>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</si>
  <si>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</si>
  <si>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</si>
  <si>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</si>
  <si>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</si>
  <si>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</si>
  <si>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</si>
  <si>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</si>
  <si>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</si>
  <si>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</si>
  <si>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</si>
  <si>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</si>
  <si>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</si>
  <si>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</si>
  <si>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</si>
  <si>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</si>
  <si>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</si>
  <si>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</si>
  <si>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</si>
  <si>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</si>
  <si>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</si>
  <si>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</si>
  <si>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</si>
  <si>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</si>
  <si>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</si>
  <si>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</si>
  <si>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</si>
  <si>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</si>
  <si>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</si>
  <si>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</si>
  <si>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</si>
  <si>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</si>
  <si>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</si>
  <si>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</si>
  <si>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</si>
  <si>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</si>
  <si>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</si>
  <si>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</si>
  <si>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</si>
  <si>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</si>
  <si>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</si>
  <si>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</si>
  <si>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</si>
  <si>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</si>
  <si>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</si>
  <si>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</si>
  <si>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</si>
  <si>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</si>
  <si>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</si>
  <si>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</si>
  <si>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</si>
  <si>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</si>
  <si>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</si>
  <si>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</si>
  <si>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</si>
  <si>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</si>
  <si>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</si>
  <si>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</si>
  <si>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</si>
  <si>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</si>
  <si>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</si>
  <si>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</si>
  <si>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</si>
  <si>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</si>
  <si>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</si>
  <si>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</si>
  <si>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</si>
  <si>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</si>
  <si>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</si>
  <si>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</si>
  <si>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</si>
  <si>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</si>
  <si>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</si>
  <si>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</si>
  <si>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</si>
  <si>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</si>
  <si>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</si>
  <si>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</si>
  <si>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</si>
  <si>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</si>
  <si>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</si>
  <si>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</si>
  <si>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</si>
  <si>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</si>
  <si>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</si>
  <si>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</si>
  <si>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</si>
  <si>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</si>
  <si>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</si>
  <si>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</si>
  <si>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</si>
  <si>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</si>
  <si>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</si>
  <si>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</si>
  <si>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</si>
  <si>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</si>
  <si>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</si>
  <si>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</si>
  <si>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</si>
  <si>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</si>
  <si>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</si>
  <si>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</si>
  <si>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</si>
  <si>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</si>
  <si>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</si>
  <si>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</si>
  <si>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</si>
  <si>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</si>
  <si>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</si>
  <si>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</si>
  <si>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</si>
  <si>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</si>
  <si>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</si>
  <si>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</si>
  <si>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</si>
  <si>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</si>
  <si>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</si>
  <si>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</si>
  <si>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</si>
  <si>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</si>
  <si>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</si>
  <si>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</si>
  <si>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</si>
  <si>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</si>
  <si>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</si>
  <si>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</si>
  <si>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</si>
  <si>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</si>
  <si>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</si>
  <si>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</si>
  <si>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</si>
  <si>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</si>
  <si>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</si>
  <si>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</si>
  <si>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</si>
  <si>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</si>
  <si>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</si>
  <si>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</si>
  <si>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</si>
  <si>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</si>
  <si>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</si>
  <si>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</si>
  <si>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mV</t>
  </si>
  <si>
    <t>mg</t>
  </si>
  <si>
    <t>hrs</t>
  </si>
  <si>
    <t>min</t>
  </si>
  <si>
    <t>20230829 10:18:17</t>
  </si>
  <si>
    <t>10:18:17</t>
  </si>
  <si>
    <t>none</t>
  </si>
  <si>
    <t>zg5b</t>
  </si>
  <si>
    <t>2</t>
  </si>
  <si>
    <t>RECT-12243-20210724-05_20_30</t>
  </si>
  <si>
    <t>MPF-5464-20230829-10_17_32</t>
  </si>
  <si>
    <t>DARK-5465-20230829-10_17_39</t>
  </si>
  <si>
    <t>0: Broadleaf</t>
  </si>
  <si>
    <t>10:17:47</t>
  </si>
  <si>
    <t>2/2</t>
  </si>
  <si>
    <t>11111111</t>
  </si>
  <si>
    <t>oooooooo</t>
  </si>
  <si>
    <t>off</t>
  </si>
  <si>
    <t>20230829 10:19:56</t>
  </si>
  <si>
    <t>10:19:56</t>
  </si>
  <si>
    <t>MPF-5466-20230829-10_19_12</t>
  </si>
  <si>
    <t>DARK-5467-20230829-10_19_19</t>
  </si>
  <si>
    <t>10:19:27</t>
  </si>
  <si>
    <t>20230829 10:21:36</t>
  </si>
  <si>
    <t>10:21:36</t>
  </si>
  <si>
    <t>MPF-5468-20230829-10_20_51</t>
  </si>
  <si>
    <t>DARK-5469-20230829-10_20_58</t>
  </si>
  <si>
    <t>10:21:05</t>
  </si>
  <si>
    <t>20230829 10:23:28</t>
  </si>
  <si>
    <t>10:23:28</t>
  </si>
  <si>
    <t>MPF-5470-20230829-10_22_44</t>
  </si>
  <si>
    <t>DARK-5471-20230829-10_22_51</t>
  </si>
  <si>
    <t>10:22:57</t>
  </si>
  <si>
    <t>20230829 10:25:20</t>
  </si>
  <si>
    <t>10:25:20</t>
  </si>
  <si>
    <t>MPF-5472-20230829-10_24_35</t>
  </si>
  <si>
    <t>DARK-5473-20230829-10_24_42</t>
  </si>
  <si>
    <t>10:24:49</t>
  </si>
  <si>
    <t>20230829 10:27:06</t>
  </si>
  <si>
    <t>10:27:06</t>
  </si>
  <si>
    <t>MPF-5474-20230829-10_26_21</t>
  </si>
  <si>
    <t>DARK-5475-20230829-10_26_28</t>
  </si>
  <si>
    <t>10:26:36</t>
  </si>
  <si>
    <t>20230829 10:28:47</t>
  </si>
  <si>
    <t>10:28:47</t>
  </si>
  <si>
    <t>MPF-5476-20230829-10_28_03</t>
  </si>
  <si>
    <t>DARK-5477-20230829-10_28_10</t>
  </si>
  <si>
    <t>10:28:20</t>
  </si>
  <si>
    <t>20230829 10:31:57</t>
  </si>
  <si>
    <t>10:31:57</t>
  </si>
  <si>
    <t>MPF-5478-20230829-10_31_12</t>
  </si>
  <si>
    <t>DARK-5479-20230829-10_31_19</t>
  </si>
  <si>
    <t>10:30:06</t>
  </si>
  <si>
    <t>1/2</t>
  </si>
  <si>
    <t>20230829 10:33:38</t>
  </si>
  <si>
    <t>10:33:38</t>
  </si>
  <si>
    <t>MPF-5480-20230829-10_32_53</t>
  </si>
  <si>
    <t>DARK-5481-20230829-10_33_00</t>
  </si>
  <si>
    <t>10:33:06</t>
  </si>
  <si>
    <t>20230829 10:35:33</t>
  </si>
  <si>
    <t>10:35:33</t>
  </si>
  <si>
    <t>MPF-5482-20230829-10_34_49</t>
  </si>
  <si>
    <t>DARK-5483-20230829-10_34_56</t>
  </si>
  <si>
    <t>10:35:04</t>
  </si>
  <si>
    <t>20230829 10:37:16</t>
  </si>
  <si>
    <t>10:37:16</t>
  </si>
  <si>
    <t>MPF-5484-20230829-10_36_32</t>
  </si>
  <si>
    <t>DARK-5485-20230829-10_36_39</t>
  </si>
  <si>
    <t>10:36:43</t>
  </si>
  <si>
    <t>20230829 10:39:10</t>
  </si>
  <si>
    <t>10:39:10</t>
  </si>
  <si>
    <t>MPF-5486-20230829-10_38_26</t>
  </si>
  <si>
    <t>DARK-5487-20230829-10_38_33</t>
  </si>
  <si>
    <t>10:38:38</t>
  </si>
  <si>
    <t>20230829 10:40:55</t>
  </si>
  <si>
    <t>10:40:55</t>
  </si>
  <si>
    <t>MPF-5488-20230829-10_40_11</t>
  </si>
  <si>
    <t>DARK-5489-20230829-10_40_18</t>
  </si>
  <si>
    <t>10:40:24</t>
  </si>
  <si>
    <t>20230829 10:42:45</t>
  </si>
  <si>
    <t>10:42:45</t>
  </si>
  <si>
    <t>MPF-5490-20230829-10_42_00</t>
  </si>
  <si>
    <t>DARK-5491-20230829-10_42_07</t>
  </si>
  <si>
    <t>10:42:10</t>
  </si>
  <si>
    <t>20230829 11:01:42</t>
  </si>
  <si>
    <t>11:01:42</t>
  </si>
  <si>
    <t>wt</t>
  </si>
  <si>
    <t>MPF-5492-20230829-11_00_58</t>
  </si>
  <si>
    <t>DARK-5493-20230829-11_01_05</t>
  </si>
  <si>
    <t>11:01:15</t>
  </si>
  <si>
    <t>20230829 11:03:33</t>
  </si>
  <si>
    <t>11:03:33</t>
  </si>
  <si>
    <t>MPF-5494-20230829-11_02_49</t>
  </si>
  <si>
    <t>DARK-5495-20230829-11_02_56</t>
  </si>
  <si>
    <t>11:03:06</t>
  </si>
  <si>
    <t>20230829 11:05:52</t>
  </si>
  <si>
    <t>11:05:52</t>
  </si>
  <si>
    <t>MPF-5496-20230829-11_05_07</t>
  </si>
  <si>
    <t>DARK-5497-20230829-11_05_14</t>
  </si>
  <si>
    <t>11:04:55</t>
  </si>
  <si>
    <t>20230829 11:07:31</t>
  </si>
  <si>
    <t>11:07:31</t>
  </si>
  <si>
    <t>MPF-5498-20230829-11_06_47</t>
  </si>
  <si>
    <t>DARK-5499-20230829-11_06_54</t>
  </si>
  <si>
    <t>11:07:01</t>
  </si>
  <si>
    <t>20230829 11:09:16</t>
  </si>
  <si>
    <t>11:09:16</t>
  </si>
  <si>
    <t>MPF-5500-20230829-11_08_32</t>
  </si>
  <si>
    <t>DARK-5501-20230829-11_08_39</t>
  </si>
  <si>
    <t>11:08:48</t>
  </si>
  <si>
    <t>20230829 11:10:58</t>
  </si>
  <si>
    <t>11:10:58</t>
  </si>
  <si>
    <t>MPF-5502-20230829-11_10_13</t>
  </si>
  <si>
    <t>DARK-5503-20230829-11_10_21</t>
  </si>
  <si>
    <t>11:10:29</t>
  </si>
  <si>
    <t>20230829 11:12:37</t>
  </si>
  <si>
    <t>11:12:37</t>
  </si>
  <si>
    <t>MPF-5504-20230829-11_11_53</t>
  </si>
  <si>
    <t>DARK-5505-20230829-11_12_00</t>
  </si>
  <si>
    <t>11:12:04</t>
  </si>
  <si>
    <t>20230829 11:15:47</t>
  </si>
  <si>
    <t>11:15:47</t>
  </si>
  <si>
    <t>MPF-5506-20230829-11_15_02</t>
  </si>
  <si>
    <t>DARK-5507-20230829-11_15_10</t>
  </si>
  <si>
    <t>11:13:48</t>
  </si>
  <si>
    <t>20230829 11:18:01</t>
  </si>
  <si>
    <t>11:18:01</t>
  </si>
  <si>
    <t>MPF-5508-20230829-11_17_17</t>
  </si>
  <si>
    <t>DARK-5509-20230829-11_17_24</t>
  </si>
  <si>
    <t>11:16:58</t>
  </si>
  <si>
    <t>20230829 11:19:50</t>
  </si>
  <si>
    <t>11:19:50</t>
  </si>
  <si>
    <t>MPF-5510-20230829-11_19_05</t>
  </si>
  <si>
    <t>DARK-5511-20230829-11_19_13</t>
  </si>
  <si>
    <t>11:19:20</t>
  </si>
  <si>
    <t>20230829 11:21:33</t>
  </si>
  <si>
    <t>11:21:33</t>
  </si>
  <si>
    <t>MPF-5512-20230829-11_20_48</t>
  </si>
  <si>
    <t>DARK-5513-20230829-11_20_56</t>
  </si>
  <si>
    <t>11:21:03</t>
  </si>
  <si>
    <t>20230829 11:23:13</t>
  </si>
  <si>
    <t>11:23:13</t>
  </si>
  <si>
    <t>MPF-5514-20230829-11_22_29</t>
  </si>
  <si>
    <t>DARK-5515-20230829-11_22_36</t>
  </si>
  <si>
    <t>11:22:41</t>
  </si>
  <si>
    <t>20230829 11:25:00</t>
  </si>
  <si>
    <t>11:25:00</t>
  </si>
  <si>
    <t>MPF-5516-20230829-11_24_15</t>
  </si>
  <si>
    <t>DARK-5517-20230829-11_24_23</t>
  </si>
  <si>
    <t>11:24:25</t>
  </si>
  <si>
    <t>20230829 11:27:11</t>
  </si>
  <si>
    <t>11:27:11</t>
  </si>
  <si>
    <t>MPF-5518-20230829-11_26_27</t>
  </si>
  <si>
    <t>DARK-5519-20230829-11_26_34</t>
  </si>
  <si>
    <t>11:26:21</t>
  </si>
  <si>
    <t>20230829 12:00:53</t>
  </si>
  <si>
    <t>12:00:53</t>
  </si>
  <si>
    <t>zg12a</t>
  </si>
  <si>
    <t>3</t>
  </si>
  <si>
    <t>MPF-5520-20230829-12_00_09</t>
  </si>
  <si>
    <t>DARK-5521-20230829-12_00_16</t>
  </si>
  <si>
    <t>12:00:24</t>
  </si>
  <si>
    <t>20230829 12:02:33</t>
  </si>
  <si>
    <t>12:02:33</t>
  </si>
  <si>
    <t>MPF-5522-20230829-12_01_48</t>
  </si>
  <si>
    <t>DARK-5523-20230829-12_01_56</t>
  </si>
  <si>
    <t>12:02:03</t>
  </si>
  <si>
    <t>20230829 12:04:24</t>
  </si>
  <si>
    <t>12:04:24</t>
  </si>
  <si>
    <t>MPF-5524-20230829-12_03_39</t>
  </si>
  <si>
    <t>DARK-5525-20230829-12_03_47</t>
  </si>
  <si>
    <t>12:03:57</t>
  </si>
  <si>
    <t>20230829 12:06:15</t>
  </si>
  <si>
    <t>12:06:15</t>
  </si>
  <si>
    <t>MPF-5526-20230829-12_05_31</t>
  </si>
  <si>
    <t>DARK-5527-20230829-12_05_38</t>
  </si>
  <si>
    <t>12:05:47</t>
  </si>
  <si>
    <t>20230829 12:07:55</t>
  </si>
  <si>
    <t>12:07:55</t>
  </si>
  <si>
    <t>MPF-5528-20230829-12_07_10</t>
  </si>
  <si>
    <t>DARK-5529-20230829-12_07_18</t>
  </si>
  <si>
    <t>12:07:28</t>
  </si>
  <si>
    <t>20230829 12:10:31</t>
  </si>
  <si>
    <t>12:10:31</t>
  </si>
  <si>
    <t>MPF-5530-20230829-12_09_46</t>
  </si>
  <si>
    <t>DARK-5531-20230829-12_09_54</t>
  </si>
  <si>
    <t>12:10:03</t>
  </si>
  <si>
    <t>20230829 12:12:15</t>
  </si>
  <si>
    <t>12:12:15</t>
  </si>
  <si>
    <t>MPF-5532-20230829-12_11_30</t>
  </si>
  <si>
    <t>DARK-5533-20230829-12_11_38</t>
  </si>
  <si>
    <t>12:11:45</t>
  </si>
  <si>
    <t>20230829 12:15:24</t>
  </si>
  <si>
    <t>12:15:24</t>
  </si>
  <si>
    <t>MPF-5534-20230829-12_14_40</t>
  </si>
  <si>
    <t>DARK-5535-20230829-12_14_47</t>
  </si>
  <si>
    <t>12:13:38</t>
  </si>
  <si>
    <t>20230829 12:17:09</t>
  </si>
  <si>
    <t>12:17:09</t>
  </si>
  <si>
    <t>MPF-5536-20230829-12_16_24</t>
  </si>
  <si>
    <t>DARK-5537-20230829-12_16_32</t>
  </si>
  <si>
    <t>12:16:42</t>
  </si>
  <si>
    <t>20230829 12:18:57</t>
  </si>
  <si>
    <t>12:18:57</t>
  </si>
  <si>
    <t>MPF-5538-20230829-12_18_13</t>
  </si>
  <si>
    <t>DARK-5539-20230829-12_18_20</t>
  </si>
  <si>
    <t>12:18:27</t>
  </si>
  <si>
    <t>20230829 12:21:16</t>
  </si>
  <si>
    <t>12:21:16</t>
  </si>
  <si>
    <t>MPF-5540-20230829-12_20_31</t>
  </si>
  <si>
    <t>DARK-5541-20230829-12_20_39</t>
  </si>
  <si>
    <t>12:20:30</t>
  </si>
  <si>
    <t>20230829 12:22:55</t>
  </si>
  <si>
    <t>12:22:55</t>
  </si>
  <si>
    <t>MPF-5542-20230829-12_22_11</t>
  </si>
  <si>
    <t>DARK-5543-20230829-12_22_18</t>
  </si>
  <si>
    <t>12:22:24</t>
  </si>
  <si>
    <t>20230829 12:25:09</t>
  </si>
  <si>
    <t>12:25:09</t>
  </si>
  <si>
    <t>MPF-5544-20230829-12_24_25</t>
  </si>
  <si>
    <t>DARK-5545-20230829-12_24_32</t>
  </si>
  <si>
    <t>12:24:35</t>
  </si>
  <si>
    <t>20230829 12:26:51</t>
  </si>
  <si>
    <t>12:26:51</t>
  </si>
  <si>
    <t>MPF-5546-20230829-12_26_07</t>
  </si>
  <si>
    <t>DARK-5547-20230829-12_26_14</t>
  </si>
  <si>
    <t>12:26:20</t>
  </si>
  <si>
    <t>20230829 13:00:29</t>
  </si>
  <si>
    <t>13:00:29</t>
  </si>
  <si>
    <t>hn1a</t>
  </si>
  <si>
    <t>6</t>
  </si>
  <si>
    <t>MPF-5548-20230829-12_59_44</t>
  </si>
  <si>
    <t>DARK-5549-20230829-12_59_52</t>
  </si>
  <si>
    <t>12:59:59</t>
  </si>
  <si>
    <t>20230829 13:02:21</t>
  </si>
  <si>
    <t>13:02:21</t>
  </si>
  <si>
    <t>MPF-5550-20230829-13_01_37</t>
  </si>
  <si>
    <t>DARK-5551-20230829-13_01_44</t>
  </si>
  <si>
    <t>13:01:49</t>
  </si>
  <si>
    <t>20230829 13:04:23</t>
  </si>
  <si>
    <t>13:04:23</t>
  </si>
  <si>
    <t>MPF-5552-20230829-13_03_38</t>
  </si>
  <si>
    <t>DARK-5553-20230829-13_03_46</t>
  </si>
  <si>
    <t>13:03:44</t>
  </si>
  <si>
    <t>20230829 13:06:10</t>
  </si>
  <si>
    <t>13:06:10</t>
  </si>
  <si>
    <t>MPF-5554-20230829-13_05_25</t>
  </si>
  <si>
    <t>DARK-5555-20230829-13_05_33</t>
  </si>
  <si>
    <t>13:05:41</t>
  </si>
  <si>
    <t>20230829 13:07:53</t>
  </si>
  <si>
    <t>13:07:53</t>
  </si>
  <si>
    <t>MPF-5556-20230829-13_07_08</t>
  </si>
  <si>
    <t>DARK-5557-20230829-13_07_16</t>
  </si>
  <si>
    <t>13:07:23</t>
  </si>
  <si>
    <t>20230829 13:09:32</t>
  </si>
  <si>
    <t>13:09:32</t>
  </si>
  <si>
    <t>MPF-5558-20230829-13_08_48</t>
  </si>
  <si>
    <t>DARK-5559-20230829-13_08_55</t>
  </si>
  <si>
    <t>13:08:59</t>
  </si>
  <si>
    <t>20230829 13:11:12</t>
  </si>
  <si>
    <t>13:11:12</t>
  </si>
  <si>
    <t>MPF-5560-20230829-13_10_27</t>
  </si>
  <si>
    <t>DARK-5561-20230829-13_10_35</t>
  </si>
  <si>
    <t>13:10:36</t>
  </si>
  <si>
    <t>20230829 13:14:21</t>
  </si>
  <si>
    <t>13:14:21</t>
  </si>
  <si>
    <t>MPF-5562-20230829-13_13_37</t>
  </si>
  <si>
    <t>DARK-5563-20230829-13_13_44</t>
  </si>
  <si>
    <t>13:12:25</t>
  </si>
  <si>
    <t>20230829 13:16:39</t>
  </si>
  <si>
    <t>13:16:39</t>
  </si>
  <si>
    <t>MPF-5564-20230829-13_15_55</t>
  </si>
  <si>
    <t>DARK-5565-20230829-13_16_02</t>
  </si>
  <si>
    <t>13:16:08</t>
  </si>
  <si>
    <t>20230829 13:18:23</t>
  </si>
  <si>
    <t>13:18:23</t>
  </si>
  <si>
    <t>MPF-5566-20230829-13_17_39</t>
  </si>
  <si>
    <t>DARK-5567-20230829-13_17_46</t>
  </si>
  <si>
    <t>13:17:53</t>
  </si>
  <si>
    <t>20230829 13:21:33</t>
  </si>
  <si>
    <t>13:21:33</t>
  </si>
  <si>
    <t>MPF-5568-20230829-13_20_48</t>
  </si>
  <si>
    <t>DARK-5569-20230829-13_20_56</t>
  </si>
  <si>
    <t>13:19:38</t>
  </si>
  <si>
    <t>20230829 13:23:14</t>
  </si>
  <si>
    <t>13:23:14</t>
  </si>
  <si>
    <t>MPF-5570-20230829-13_22_29</t>
  </si>
  <si>
    <t>DARK-5571-20230829-13_22_37</t>
  </si>
  <si>
    <t>13:22:42</t>
  </si>
  <si>
    <t>20230829 13:24:58</t>
  </si>
  <si>
    <t>13:24:58</t>
  </si>
  <si>
    <t>MPF-5572-20230829-13_24_13</t>
  </si>
  <si>
    <t>DARK-5573-20230829-13_24_21</t>
  </si>
  <si>
    <t>13:24:24</t>
  </si>
  <si>
    <t>20230829 13:27:20</t>
  </si>
  <si>
    <t>13:27:20</t>
  </si>
  <si>
    <t>MPF-5574-20230829-13_26_36</t>
  </si>
  <si>
    <t>DARK-5575-20230829-13_26_43</t>
  </si>
  <si>
    <t>13:26:47</t>
  </si>
  <si>
    <t>20230829 14:13:01</t>
  </si>
  <si>
    <t>14:13:01</t>
  </si>
  <si>
    <t>5</t>
  </si>
  <si>
    <t>MPF-5576-20230829-14_12_17</t>
  </si>
  <si>
    <t>DARK-5577-20230829-14_12_24</t>
  </si>
  <si>
    <t>14:12:21</t>
  </si>
  <si>
    <t>20230829 14:15:53</t>
  </si>
  <si>
    <t>14:15:53</t>
  </si>
  <si>
    <t>MPF-5578-20230829-14_15_09</t>
  </si>
  <si>
    <t>DARK-5579-20230829-14_15_16</t>
  </si>
  <si>
    <t>14:15:21</t>
  </si>
  <si>
    <t>20230829 14:17:43</t>
  </si>
  <si>
    <t>14:17:43</t>
  </si>
  <si>
    <t>MPF-5580-20230829-14_16_59</t>
  </si>
  <si>
    <t>DARK-5581-20230829-14_17_06</t>
  </si>
  <si>
    <t>14:17:04</t>
  </si>
  <si>
    <t>20230829 14:19:41</t>
  </si>
  <si>
    <t>14:19:41</t>
  </si>
  <si>
    <t>MPF-5582-20230829-14_18_57</t>
  </si>
  <si>
    <t>DARK-5583-20230829-14_19_04</t>
  </si>
  <si>
    <t>14:19:10</t>
  </si>
  <si>
    <t>20230829 14:21:21</t>
  </si>
  <si>
    <t>14:21:21</t>
  </si>
  <si>
    <t>MPF-5584-20230829-14_20_37</t>
  </si>
  <si>
    <t>DARK-5585-20230829-14_20_44</t>
  </si>
  <si>
    <t>14:20:49</t>
  </si>
  <si>
    <t>20230829 14:23:06</t>
  </si>
  <si>
    <t>14:23:06</t>
  </si>
  <si>
    <t>MPF-5586-20230829-14_22_22</t>
  </si>
  <si>
    <t>DARK-5587-20230829-14_22_29</t>
  </si>
  <si>
    <t>14:22:37</t>
  </si>
  <si>
    <t>20230829 14:24:47</t>
  </si>
  <si>
    <t>14:24:47</t>
  </si>
  <si>
    <t>MPF-5588-20230829-14_24_03</t>
  </si>
  <si>
    <t>DARK-5589-20230829-14_24_10</t>
  </si>
  <si>
    <t>14:24:16</t>
  </si>
  <si>
    <t>20230829 14:27:57</t>
  </si>
  <si>
    <t>14:27:57</t>
  </si>
  <si>
    <t>MPF-5590-20230829-14_27_13</t>
  </si>
  <si>
    <t>DARK-5591-20230829-14_27_20</t>
  </si>
  <si>
    <t>14:26:05</t>
  </si>
  <si>
    <t>20230829 14:30:19</t>
  </si>
  <si>
    <t>14:30:19</t>
  </si>
  <si>
    <t>MPF-5592-20230829-14_29_35</t>
  </si>
  <si>
    <t>DARK-5593-20230829-14_29_42</t>
  </si>
  <si>
    <t>14:29:13</t>
  </si>
  <si>
    <t>20230829 14:32:08</t>
  </si>
  <si>
    <t>14:32:08</t>
  </si>
  <si>
    <t>MPF-5594-20230829-14_31_24</t>
  </si>
  <si>
    <t>DARK-5595-20230829-14_31_31</t>
  </si>
  <si>
    <t>14:31:42</t>
  </si>
  <si>
    <t>20230829 14:33:52</t>
  </si>
  <si>
    <t>14:33:52</t>
  </si>
  <si>
    <t>MPF-5596-20230829-14_33_08</t>
  </si>
  <si>
    <t>DARK-5597-20230829-14_33_15</t>
  </si>
  <si>
    <t>14:33:28</t>
  </si>
  <si>
    <t>20230829 14:35:32</t>
  </si>
  <si>
    <t>14:35:32</t>
  </si>
  <si>
    <t>MPF-5598-20230829-14_34_48</t>
  </si>
  <si>
    <t>DARK-5599-20230829-14_34_55</t>
  </si>
  <si>
    <t>14:34:58</t>
  </si>
  <si>
    <t>20230829 14:37:16</t>
  </si>
  <si>
    <t>14:37:16</t>
  </si>
  <si>
    <t>MPF-5600-20230829-14_36_32</t>
  </si>
  <si>
    <t>DARK-5601-20230829-14_36_39</t>
  </si>
  <si>
    <t>14:36:42</t>
  </si>
  <si>
    <t>20230829 14:39:03</t>
  </si>
  <si>
    <t>14:39:03</t>
  </si>
  <si>
    <t>MPF-5602-20230829-14_38_19</t>
  </si>
  <si>
    <t>DARK-5603-20230829-14_38_26</t>
  </si>
  <si>
    <t>14:38:33</t>
  </si>
  <si>
    <t>20230829 15:07:51</t>
  </si>
  <si>
    <t>15:07:51</t>
  </si>
  <si>
    <t>4</t>
  </si>
  <si>
    <t>MPF-5604-20230829-15_07_07</t>
  </si>
  <si>
    <t>DARK-5605-20230829-15_07_15</t>
  </si>
  <si>
    <t>15:07:22</t>
  </si>
  <si>
    <t>20230829 15:09:31</t>
  </si>
  <si>
    <t>15:09:31</t>
  </si>
  <si>
    <t>MPF-5606-20230829-15_08_47</t>
  </si>
  <si>
    <t>DARK-5607-20230829-15_08_55</t>
  </si>
  <si>
    <t>15:09:05</t>
  </si>
  <si>
    <t>20230829 15:11:32</t>
  </si>
  <si>
    <t>15:11:32</t>
  </si>
  <si>
    <t>MPF-5608-20230829-15_10_48</t>
  </si>
  <si>
    <t>DARK-5609-20230829-15_10_56</t>
  </si>
  <si>
    <t>15:10:54</t>
  </si>
  <si>
    <t>20230829 15:13:21</t>
  </si>
  <si>
    <t>15:13:21</t>
  </si>
  <si>
    <t>MPF-5610-20230829-15_12_37</t>
  </si>
  <si>
    <t>DARK-5611-20230829-15_12_45</t>
  </si>
  <si>
    <t>15:12:49</t>
  </si>
  <si>
    <t>20230829 15:15:12</t>
  </si>
  <si>
    <t>15:15:12</t>
  </si>
  <si>
    <t>MPF-5612-20230829-15_14_28</t>
  </si>
  <si>
    <t>DARK-5613-20230829-15_14_36</t>
  </si>
  <si>
    <t>15:14:35</t>
  </si>
  <si>
    <t>20230829 15:16:54</t>
  </si>
  <si>
    <t>15:16:54</t>
  </si>
  <si>
    <t>MPF-5614-20230829-15_16_10</t>
  </si>
  <si>
    <t>DARK-5615-20230829-15_16_18</t>
  </si>
  <si>
    <t>15:16:23</t>
  </si>
  <si>
    <t>20230829 15:19:00</t>
  </si>
  <si>
    <t>15:19:00</t>
  </si>
  <si>
    <t>MPF-5616-20230829-15_18_16</t>
  </si>
  <si>
    <t>DARK-5617-20230829-15_18_23</t>
  </si>
  <si>
    <t>15:18:28</t>
  </si>
  <si>
    <t>20230829 15:22:10</t>
  </si>
  <si>
    <t>15:22:10</t>
  </si>
  <si>
    <t>MPF-5618-20230829-15_21_26</t>
  </si>
  <si>
    <t>DARK-5619-20230829-15_21_33</t>
  </si>
  <si>
    <t>15:20:15</t>
  </si>
  <si>
    <t>20230829 15:24:59</t>
  </si>
  <si>
    <t>15:24:59</t>
  </si>
  <si>
    <t>MPF-5620-20230829-15_24_15</t>
  </si>
  <si>
    <t>DARK-5621-20230829-15_24_23</t>
  </si>
  <si>
    <t>15:23:15</t>
  </si>
  <si>
    <t>20230829 15:26:39</t>
  </si>
  <si>
    <t>15:26:39</t>
  </si>
  <si>
    <t>MPF-5622-20230829-15_25_55</t>
  </si>
  <si>
    <t>DARK-5623-20230829-15_26_02</t>
  </si>
  <si>
    <t>15:26:10</t>
  </si>
  <si>
    <t>20230829 15:28:28</t>
  </si>
  <si>
    <t>15:28:28</t>
  </si>
  <si>
    <t>MPF-5624-20230829-15_27_44</t>
  </si>
  <si>
    <t>DARK-5625-20230829-15_27_51</t>
  </si>
  <si>
    <t>15:28:01</t>
  </si>
  <si>
    <t>20230829 15:30:14</t>
  </si>
  <si>
    <t>15:30:14</t>
  </si>
  <si>
    <t>MPF-5626-20230829-15_29_30</t>
  </si>
  <si>
    <t>DARK-5627-20230829-15_29_38</t>
  </si>
  <si>
    <t>15:29:41</t>
  </si>
  <si>
    <t>20230829 15:31:54</t>
  </si>
  <si>
    <t>15:31:54</t>
  </si>
  <si>
    <t>MPF-5628-20230829-15_31_10</t>
  </si>
  <si>
    <t>DARK-5629-20230829-15_31_17</t>
  </si>
  <si>
    <t>15:31:27</t>
  </si>
  <si>
    <t>20230829 15:34:18</t>
  </si>
  <si>
    <t>15:34:18</t>
  </si>
  <si>
    <t>MPF-5630-20230829-15_33_34</t>
  </si>
  <si>
    <t>DARK-5631-20230829-15_33_41</t>
  </si>
  <si>
    <t>15:32:58</t>
  </si>
  <si>
    <t>20230829 16:12:20</t>
  </si>
  <si>
    <t>16:12:20</t>
  </si>
  <si>
    <t>MPF-5632-20230829-16_11_36</t>
  </si>
  <si>
    <t>DARK-5633-20230829-16_11_43</t>
  </si>
  <si>
    <t>16:11:50</t>
  </si>
  <si>
    <t>20230829 16:14:00</t>
  </si>
  <si>
    <t>16:14:00</t>
  </si>
  <si>
    <t>MPF-5634-20230829-16_13_16</t>
  </si>
  <si>
    <t>DARK-5635-20230829-16_13_23</t>
  </si>
  <si>
    <t>16:13:32</t>
  </si>
  <si>
    <t>20230829 16:15:57</t>
  </si>
  <si>
    <t>16:15:57</t>
  </si>
  <si>
    <t>MPF-5636-20230829-16_15_13</t>
  </si>
  <si>
    <t>DARK-5637-20230829-16_15_21</t>
  </si>
  <si>
    <t>16:15:22</t>
  </si>
  <si>
    <t>20230829 16:17:48</t>
  </si>
  <si>
    <t>16:17:48</t>
  </si>
  <si>
    <t>MPF-5638-20230829-16_17_04</t>
  </si>
  <si>
    <t>DARK-5639-20230829-16_17_12</t>
  </si>
  <si>
    <t>16:17:20</t>
  </si>
  <si>
    <t>20230829 16:19:33</t>
  </si>
  <si>
    <t>16:19:33</t>
  </si>
  <si>
    <t>MPF-5640-20230829-16_18_49</t>
  </si>
  <si>
    <t>DARK-5641-20230829-16_18_57</t>
  </si>
  <si>
    <t>16:19:06</t>
  </si>
  <si>
    <t>20230829 16:21:31</t>
  </si>
  <si>
    <t>16:21:31</t>
  </si>
  <si>
    <t>MPF-5642-20230829-16_20_47</t>
  </si>
  <si>
    <t>DARK-5643-20230829-16_20_55</t>
  </si>
  <si>
    <t>16:20:59</t>
  </si>
  <si>
    <t>20230829 16:23:16</t>
  </si>
  <si>
    <t>16:23:16</t>
  </si>
  <si>
    <t>MPF-5644-20230829-16_22_32</t>
  </si>
  <si>
    <t>DARK-5645-20230829-16_22_39</t>
  </si>
  <si>
    <t>16:22:49</t>
  </si>
  <si>
    <t>20230829 16:26:25</t>
  </si>
  <si>
    <t>16:26:25</t>
  </si>
  <si>
    <t>MPF-5646-20230829-16_25_41</t>
  </si>
  <si>
    <t>DARK-5647-20230829-16_25_49</t>
  </si>
  <si>
    <t>16:24:28</t>
  </si>
  <si>
    <t>20230829 16:29:31</t>
  </si>
  <si>
    <t>16:29:31</t>
  </si>
  <si>
    <t>MPF-5648-20230829-16_28_47</t>
  </si>
  <si>
    <t>DARK-5649-20230829-16_28_54</t>
  </si>
  <si>
    <t>16:27:36</t>
  </si>
  <si>
    <t>20230829 16:31:11</t>
  </si>
  <si>
    <t>16:31:11</t>
  </si>
  <si>
    <t>MPF-5650-20230829-16_30_27</t>
  </si>
  <si>
    <t>DARK-5651-20230829-16_30_34</t>
  </si>
  <si>
    <t>16:30:43</t>
  </si>
  <si>
    <t>20230829 16:32:53</t>
  </si>
  <si>
    <t>16:32:53</t>
  </si>
  <si>
    <t>MPF-5652-20230829-16_32_09</t>
  </si>
  <si>
    <t>DARK-5653-20230829-16_32_17</t>
  </si>
  <si>
    <t>16:32:26</t>
  </si>
  <si>
    <t>20230829 16:34:33</t>
  </si>
  <si>
    <t>16:34:33</t>
  </si>
  <si>
    <t>MPF-5654-20230829-16_33_49</t>
  </si>
  <si>
    <t>DARK-5655-20230829-16_33_56</t>
  </si>
  <si>
    <t>16:34:02</t>
  </si>
  <si>
    <t>20230829 16:36:18</t>
  </si>
  <si>
    <t>16:36:18</t>
  </si>
  <si>
    <t>MPF-5656-20230829-16_35_34</t>
  </si>
  <si>
    <t>DARK-5657-20230829-16_35_42</t>
  </si>
  <si>
    <t>16:35:44</t>
  </si>
  <si>
    <t>20230829 16:37:58</t>
  </si>
  <si>
    <t>16:37:58</t>
  </si>
  <si>
    <t>MPF-5658-20230829-16_37_14</t>
  </si>
  <si>
    <t>DARK-5659-20230829-16_37_21</t>
  </si>
  <si>
    <t>16:38:25</t>
  </si>
  <si>
    <t>20230829 16:48:30</t>
  </si>
  <si>
    <t>16:48:30</t>
  </si>
  <si>
    <t>MPF-5660-20230829-16_47_46</t>
  </si>
  <si>
    <t>DARK-5661-20230829-16_47_53</t>
  </si>
  <si>
    <t>16:47:59</t>
  </si>
  <si>
    <t>20230829 16:50:14</t>
  </si>
  <si>
    <t>16:50:14</t>
  </si>
  <si>
    <t>MPF-5662-20230829-16_49_30</t>
  </si>
  <si>
    <t>DARK-5663-20230829-16_49_38</t>
  </si>
  <si>
    <t>16:49:39</t>
  </si>
  <si>
    <t>20230829 16:52:38</t>
  </si>
  <si>
    <t>16:52:38</t>
  </si>
  <si>
    <t>MPF-5664-20230829-16_51_54</t>
  </si>
  <si>
    <t>DARK-5665-20230829-16_52_02</t>
  </si>
  <si>
    <t>16:51:23</t>
  </si>
  <si>
    <t>20230829 16:54:30</t>
  </si>
  <si>
    <t>16:54:30</t>
  </si>
  <si>
    <t>MPF-5666-20230829-16_53_46</t>
  </si>
  <si>
    <t>DARK-5667-20230829-16_53_53</t>
  </si>
  <si>
    <t>16:53:59</t>
  </si>
  <si>
    <t>20230829 16:56:25</t>
  </si>
  <si>
    <t>16:56:25</t>
  </si>
  <si>
    <t>MPF-5668-20230829-16_55_42</t>
  </si>
  <si>
    <t>DARK-5669-20230829-16_55_49</t>
  </si>
  <si>
    <t>16:55:52</t>
  </si>
  <si>
    <t>20230829 16:58:21</t>
  </si>
  <si>
    <t>16:58:21</t>
  </si>
  <si>
    <t>MPF-5670-20230829-16_57_37</t>
  </si>
  <si>
    <t>DARK-5671-20230829-16_57_45</t>
  </si>
  <si>
    <t>16:57:41</t>
  </si>
  <si>
    <t>20230829 17:00:01</t>
  </si>
  <si>
    <t>17:00:01</t>
  </si>
  <si>
    <t>MPF-5672-20230829-16_59_17</t>
  </si>
  <si>
    <t>DARK-5673-20230829-16_59_24</t>
  </si>
  <si>
    <t>16:59:32</t>
  </si>
  <si>
    <t>20230829 17:03:10</t>
  </si>
  <si>
    <t>17:03:10</t>
  </si>
  <si>
    <t>MPF-5674-20230829-17_02_26</t>
  </si>
  <si>
    <t>DARK-5675-20230829-17_02_34</t>
  </si>
  <si>
    <t>17:01:14</t>
  </si>
  <si>
    <t>20230829 17:04:50</t>
  </si>
  <si>
    <t>17:04:50</t>
  </si>
  <si>
    <t>MPF-5676-20230829-17_04_06</t>
  </si>
  <si>
    <t>DARK-5677-20230829-17_04_13</t>
  </si>
  <si>
    <t>17:04:19</t>
  </si>
  <si>
    <t>20230829 17:06:45</t>
  </si>
  <si>
    <t>17:06:45</t>
  </si>
  <si>
    <t>MPF-5678-20230829-17_06_01</t>
  </si>
  <si>
    <t>DARK-5679-20230829-17_06_08</t>
  </si>
  <si>
    <t>17:06:18</t>
  </si>
  <si>
    <t>20230829 17:08:40</t>
  </si>
  <si>
    <t>17:08:40</t>
  </si>
  <si>
    <t>MPF-5680-20230829-17_07_56</t>
  </si>
  <si>
    <t>DARK-5681-20230829-17_08_04</t>
  </si>
  <si>
    <t>17:08:11</t>
  </si>
  <si>
    <t>20230829 17:10:22</t>
  </si>
  <si>
    <t>17:10:22</t>
  </si>
  <si>
    <t>MPF-5682-20230829-17_09_38</t>
  </si>
  <si>
    <t>DARK-5683-20230829-17_09_46</t>
  </si>
  <si>
    <t>17:09:53</t>
  </si>
  <si>
    <t>20230829 17:12:10</t>
  </si>
  <si>
    <t>17:12:10</t>
  </si>
  <si>
    <t>MPF-5684-20230829-17_11_26</t>
  </si>
  <si>
    <t>DARK-5685-20230829-17_11_33</t>
  </si>
  <si>
    <t>17:11:40</t>
  </si>
  <si>
    <t>20230829 17:13:53</t>
  </si>
  <si>
    <t>17:13:53</t>
  </si>
  <si>
    <t>MPF-5686-20230829-17_13_09</t>
  </si>
  <si>
    <t>DARK-5687-20230829-17_13_17</t>
  </si>
  <si>
    <t>17:13:18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</si>
</sst>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U128"/>
  <sheetViews>
    <sheetView tabSelected="1" workbookViewId="0"/>
  </sheetViews>
  <sheetFormatPr defaultRowHeight="15" x14ac:dyDescent="0.25"/>
  <sheetData>
    <row r="2" spans="1:281" x14ac:dyDescent="0.25">
      <c r="A2" t="s">
        <v>29</v>
      </c>
      <c r="B2" t="s">
        <v>30</v>
      </c>
      <c r="C2" t="s">
        <v>32</v>
      </c>
    </row>
    <row r="3" spans="1:281" x14ac:dyDescent="0.25">
      <c r="B3" t="s">
        <v>31</v>
      </c>
      <c r="C3">
        <v>21</v>
      </c>
    </row>
    <row r="4" spans="1:281" x14ac:dyDescent="0.25">
      <c r="A4" t="s">
        <v>33</v>
      </c>
      <c r="B4" t="s">
        <v>34</v>
      </c>
      <c r="C4" t="s">
        <v>35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</row>
    <row r="5" spans="1:281" x14ac:dyDescent="0.25">
      <c r="B5" t="s">
        <v>19</v>
      </c>
      <c r="C5" t="s">
        <v>36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81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</row>
    <row r="7" spans="1:281" x14ac:dyDescent="0.25">
      <c r="B7">
        <v>0</v>
      </c>
      <c r="C7">
        <v>1</v>
      </c>
      <c r="D7">
        <v>0</v>
      </c>
      <c r="E7">
        <v>0</v>
      </c>
    </row>
    <row r="8" spans="1:281" x14ac:dyDescent="0.25">
      <c r="A8" t="s">
        <v>50</v>
      </c>
      <c r="B8" t="s">
        <v>51</v>
      </c>
      <c r="C8" t="s">
        <v>53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  <c r="P8" t="s">
        <v>67</v>
      </c>
      <c r="Q8" t="s">
        <v>68</v>
      </c>
    </row>
    <row r="9" spans="1:281" x14ac:dyDescent="0.25">
      <c r="B9" t="s">
        <v>52</v>
      </c>
      <c r="C9" t="s">
        <v>54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281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</row>
    <row r="11" spans="1:281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281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82</v>
      </c>
      <c r="H12" t="s">
        <v>84</v>
      </c>
    </row>
    <row r="13" spans="1:281" x14ac:dyDescent="0.25">
      <c r="B13">
        <v>-6276</v>
      </c>
      <c r="C13">
        <v>6.6</v>
      </c>
      <c r="D13">
        <v>1.7090000000000001E-5</v>
      </c>
      <c r="E13">
        <v>3.11</v>
      </c>
      <c r="F13" t="s">
        <v>81</v>
      </c>
      <c r="G13" t="s">
        <v>83</v>
      </c>
      <c r="H13">
        <v>0</v>
      </c>
    </row>
    <row r="14" spans="1:281" x14ac:dyDescent="0.25">
      <c r="A14" t="s">
        <v>85</v>
      </c>
      <c r="B14" t="s">
        <v>85</v>
      </c>
      <c r="C14" t="s">
        <v>85</v>
      </c>
      <c r="D14" t="s">
        <v>85</v>
      </c>
      <c r="E14" t="s">
        <v>85</v>
      </c>
      <c r="F14" t="s">
        <v>85</v>
      </c>
      <c r="G14" t="s">
        <v>86</v>
      </c>
      <c r="H14" t="s">
        <v>86</v>
      </c>
      <c r="I14" t="s">
        <v>86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87</v>
      </c>
      <c r="AH14" t="s">
        <v>88</v>
      </c>
      <c r="AI14" t="s">
        <v>88</v>
      </c>
      <c r="AJ14" t="s">
        <v>88</v>
      </c>
      <c r="AK14" t="s">
        <v>88</v>
      </c>
      <c r="AL14" t="s">
        <v>88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89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90</v>
      </c>
      <c r="CH14" t="s">
        <v>90</v>
      </c>
      <c r="CI14" t="s">
        <v>90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91</v>
      </c>
      <c r="CS14" t="s">
        <v>91</v>
      </c>
      <c r="CT14" t="s">
        <v>91</v>
      </c>
      <c r="CU14" t="s">
        <v>91</v>
      </c>
      <c r="CV14" t="s">
        <v>91</v>
      </c>
      <c r="CW14" t="s">
        <v>92</v>
      </c>
      <c r="CX14" t="s">
        <v>92</v>
      </c>
      <c r="CY14" t="s">
        <v>92</v>
      </c>
      <c r="CZ14" t="s">
        <v>92</v>
      </c>
      <c r="DA14" t="s">
        <v>93</v>
      </c>
      <c r="DB14" t="s">
        <v>93</v>
      </c>
      <c r="DC14" t="s">
        <v>93</v>
      </c>
      <c r="DD14" t="s">
        <v>93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94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95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96</v>
      </c>
      <c r="EV14" t="s">
        <v>96</v>
      </c>
      <c r="EW14" t="s">
        <v>96</v>
      </c>
      <c r="EX14" t="s">
        <v>96</v>
      </c>
      <c r="EY14" t="s">
        <v>97</v>
      </c>
      <c r="EZ14" t="s">
        <v>97</v>
      </c>
      <c r="FA14" t="s">
        <v>97</v>
      </c>
      <c r="FB14" t="s">
        <v>97</v>
      </c>
      <c r="FC14" t="s">
        <v>97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98</v>
      </c>
      <c r="FN14" t="s">
        <v>98</v>
      </c>
      <c r="FO14" t="s">
        <v>98</v>
      </c>
      <c r="FP14" t="s">
        <v>98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99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100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101</v>
      </c>
      <c r="HM14" t="s">
        <v>102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102</v>
      </c>
      <c r="IF14" t="s">
        <v>103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103</v>
      </c>
      <c r="IX14" t="s">
        <v>104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104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  <c r="JU14" t="s">
        <v>105</v>
      </c>
    </row>
    <row r="15" spans="1:281" x14ac:dyDescent="0.25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136</v>
      </c>
      <c r="AF15" t="s">
        <v>137</v>
      </c>
      <c r="AG15" t="s">
        <v>138</v>
      </c>
      <c r="AH15" t="s">
        <v>88</v>
      </c>
      <c r="AI15" t="s">
        <v>139</v>
      </c>
      <c r="AJ15" t="s">
        <v>140</v>
      </c>
      <c r="AK15" t="s">
        <v>141</v>
      </c>
      <c r="AL15" t="s">
        <v>142</v>
      </c>
      <c r="AM15" t="s">
        <v>143</v>
      </c>
      <c r="AN15" t="s">
        <v>144</v>
      </c>
      <c r="AO15" t="s">
        <v>145</v>
      </c>
      <c r="AP15" t="s">
        <v>146</v>
      </c>
      <c r="AQ15" t="s">
        <v>147</v>
      </c>
      <c r="AR15" t="s">
        <v>148</v>
      </c>
      <c r="AS15" t="s">
        <v>149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189</v>
      </c>
      <c r="CH15" t="s">
        <v>190</v>
      </c>
      <c r="CI15" t="s">
        <v>191</v>
      </c>
      <c r="CJ15" t="s">
        <v>171</v>
      </c>
      <c r="CK15" t="s">
        <v>192</v>
      </c>
      <c r="CL15" t="s">
        <v>193</v>
      </c>
      <c r="CM15" t="s">
        <v>194</v>
      </c>
      <c r="CN15" t="s">
        <v>145</v>
      </c>
      <c r="CO15" t="s">
        <v>195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207</v>
      </c>
      <c r="DB15" t="s">
        <v>208</v>
      </c>
      <c r="DC15" t="s">
        <v>209</v>
      </c>
      <c r="DD15" t="s">
        <v>210</v>
      </c>
      <c r="DE15" t="s">
        <v>115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107</v>
      </c>
      <c r="FE15" t="s">
        <v>110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  <c r="JU15" t="s">
        <v>380</v>
      </c>
    </row>
    <row r="16" spans="1:281" x14ac:dyDescent="0.25">
      <c r="B16" t="s">
        <v>381</v>
      </c>
      <c r="C16" t="s">
        <v>381</v>
      </c>
      <c r="F16" t="s">
        <v>381</v>
      </c>
      <c r="J16" t="s">
        <v>381</v>
      </c>
      <c r="K16" t="s">
        <v>382</v>
      </c>
      <c r="L16" t="s">
        <v>383</v>
      </c>
      <c r="M16" t="s">
        <v>384</v>
      </c>
      <c r="N16" t="s">
        <v>385</v>
      </c>
      <c r="O16" t="s">
        <v>385</v>
      </c>
      <c r="P16" t="s">
        <v>218</v>
      </c>
      <c r="Q16" t="s">
        <v>218</v>
      </c>
      <c r="R16" t="s">
        <v>382</v>
      </c>
      <c r="S16" t="s">
        <v>382</v>
      </c>
      <c r="T16" t="s">
        <v>382</v>
      </c>
      <c r="U16" t="s">
        <v>382</v>
      </c>
      <c r="V16" t="s">
        <v>386</v>
      </c>
      <c r="W16" t="s">
        <v>387</v>
      </c>
      <c r="X16" t="s">
        <v>387</v>
      </c>
      <c r="Y16" t="s">
        <v>388</v>
      </c>
      <c r="Z16" t="s">
        <v>389</v>
      </c>
      <c r="AA16" t="s">
        <v>388</v>
      </c>
      <c r="AB16" t="s">
        <v>388</v>
      </c>
      <c r="AC16" t="s">
        <v>388</v>
      </c>
      <c r="AD16" t="s">
        <v>386</v>
      </c>
      <c r="AE16" t="s">
        <v>386</v>
      </c>
      <c r="AF16" t="s">
        <v>386</v>
      </c>
      <c r="AG16" t="s">
        <v>386</v>
      </c>
      <c r="AH16" t="s">
        <v>390</v>
      </c>
      <c r="AI16" t="s">
        <v>389</v>
      </c>
      <c r="AK16" t="s">
        <v>389</v>
      </c>
      <c r="AL16" t="s">
        <v>390</v>
      </c>
      <c r="AR16" t="s">
        <v>384</v>
      </c>
      <c r="AY16" t="s">
        <v>384</v>
      </c>
      <c r="AZ16" t="s">
        <v>384</v>
      </c>
      <c r="BA16" t="s">
        <v>384</v>
      </c>
      <c r="BB16" t="s">
        <v>391</v>
      </c>
      <c r="BP16" t="s">
        <v>392</v>
      </c>
      <c r="BR16" t="s">
        <v>392</v>
      </c>
      <c r="BS16" t="s">
        <v>384</v>
      </c>
      <c r="BV16" t="s">
        <v>392</v>
      </c>
      <c r="BW16" t="s">
        <v>389</v>
      </c>
      <c r="BZ16" t="s">
        <v>393</v>
      </c>
      <c r="CA16" t="s">
        <v>393</v>
      </c>
      <c r="CC16" t="s">
        <v>394</v>
      </c>
      <c r="CD16" t="s">
        <v>392</v>
      </c>
      <c r="CF16" t="s">
        <v>392</v>
      </c>
      <c r="CG16" t="s">
        <v>384</v>
      </c>
      <c r="CK16" t="s">
        <v>392</v>
      </c>
      <c r="CM16" t="s">
        <v>395</v>
      </c>
      <c r="CP16" t="s">
        <v>392</v>
      </c>
      <c r="CQ16" t="s">
        <v>392</v>
      </c>
      <c r="CS16" t="s">
        <v>392</v>
      </c>
      <c r="CU16" t="s">
        <v>392</v>
      </c>
      <c r="CW16" t="s">
        <v>384</v>
      </c>
      <c r="CX16" t="s">
        <v>384</v>
      </c>
      <c r="CZ16" t="s">
        <v>396</v>
      </c>
      <c r="DA16" t="s">
        <v>397</v>
      </c>
      <c r="DD16" t="s">
        <v>382</v>
      </c>
      <c r="DE16" t="s">
        <v>381</v>
      </c>
      <c r="DF16" t="s">
        <v>385</v>
      </c>
      <c r="DG16" t="s">
        <v>385</v>
      </c>
      <c r="DH16" t="s">
        <v>398</v>
      </c>
      <c r="DI16" t="s">
        <v>398</v>
      </c>
      <c r="DJ16" t="s">
        <v>385</v>
      </c>
      <c r="DK16" t="s">
        <v>398</v>
      </c>
      <c r="DL16" t="s">
        <v>390</v>
      </c>
      <c r="DM16" t="s">
        <v>388</v>
      </c>
      <c r="DN16" t="s">
        <v>388</v>
      </c>
      <c r="DO16" t="s">
        <v>387</v>
      </c>
      <c r="DP16" t="s">
        <v>387</v>
      </c>
      <c r="DQ16" t="s">
        <v>387</v>
      </c>
      <c r="DR16" t="s">
        <v>387</v>
      </c>
      <c r="DS16" t="s">
        <v>387</v>
      </c>
      <c r="DT16" t="s">
        <v>399</v>
      </c>
      <c r="DU16" t="s">
        <v>384</v>
      </c>
      <c r="DV16" t="s">
        <v>384</v>
      </c>
      <c r="DW16" t="s">
        <v>385</v>
      </c>
      <c r="DX16" t="s">
        <v>385</v>
      </c>
      <c r="DY16" t="s">
        <v>385</v>
      </c>
      <c r="DZ16" t="s">
        <v>398</v>
      </c>
      <c r="EA16" t="s">
        <v>385</v>
      </c>
      <c r="EB16" t="s">
        <v>398</v>
      </c>
      <c r="EC16" t="s">
        <v>388</v>
      </c>
      <c r="ED16" t="s">
        <v>388</v>
      </c>
      <c r="EE16" t="s">
        <v>387</v>
      </c>
      <c r="EF16" t="s">
        <v>387</v>
      </c>
      <c r="EG16" t="s">
        <v>384</v>
      </c>
      <c r="EL16" t="s">
        <v>384</v>
      </c>
      <c r="EO16" t="s">
        <v>387</v>
      </c>
      <c r="EP16" t="s">
        <v>387</v>
      </c>
      <c r="EQ16" t="s">
        <v>387</v>
      </c>
      <c r="ER16" t="s">
        <v>387</v>
      </c>
      <c r="ES16" t="s">
        <v>387</v>
      </c>
      <c r="ET16" t="s">
        <v>384</v>
      </c>
      <c r="EU16" t="s">
        <v>384</v>
      </c>
      <c r="EV16" t="s">
        <v>384</v>
      </c>
      <c r="EW16" t="s">
        <v>381</v>
      </c>
      <c r="EZ16" t="s">
        <v>400</v>
      </c>
      <c r="FA16" t="s">
        <v>400</v>
      </c>
      <c r="FC16" t="s">
        <v>381</v>
      </c>
      <c r="FD16" t="s">
        <v>401</v>
      </c>
      <c r="FF16" t="s">
        <v>381</v>
      </c>
      <c r="FG16" t="s">
        <v>381</v>
      </c>
      <c r="FI16" t="s">
        <v>402</v>
      </c>
      <c r="FJ16" t="s">
        <v>403</v>
      </c>
      <c r="FK16" t="s">
        <v>402</v>
      </c>
      <c r="FL16" t="s">
        <v>403</v>
      </c>
      <c r="FM16" t="s">
        <v>402</v>
      </c>
      <c r="FN16" t="s">
        <v>403</v>
      </c>
      <c r="FO16" t="s">
        <v>389</v>
      </c>
      <c r="FP16" t="s">
        <v>389</v>
      </c>
      <c r="FQ16" t="s">
        <v>384</v>
      </c>
      <c r="FR16" t="s">
        <v>404</v>
      </c>
      <c r="FS16" t="s">
        <v>384</v>
      </c>
      <c r="FU16" t="s">
        <v>382</v>
      </c>
      <c r="FV16" t="s">
        <v>405</v>
      </c>
      <c r="FW16" t="s">
        <v>382</v>
      </c>
      <c r="GB16" t="s">
        <v>406</v>
      </c>
      <c r="GC16" t="s">
        <v>406</v>
      </c>
      <c r="GP16" t="s">
        <v>406</v>
      </c>
      <c r="GQ16" t="s">
        <v>406</v>
      </c>
      <c r="GR16" t="s">
        <v>407</v>
      </c>
      <c r="GS16" t="s">
        <v>407</v>
      </c>
      <c r="GT16" t="s">
        <v>387</v>
      </c>
      <c r="GU16" t="s">
        <v>387</v>
      </c>
      <c r="GV16" t="s">
        <v>389</v>
      </c>
      <c r="GW16" t="s">
        <v>387</v>
      </c>
      <c r="GX16" t="s">
        <v>398</v>
      </c>
      <c r="GY16" t="s">
        <v>389</v>
      </c>
      <c r="GZ16" t="s">
        <v>389</v>
      </c>
      <c r="HB16" t="s">
        <v>406</v>
      </c>
      <c r="HC16" t="s">
        <v>406</v>
      </c>
      <c r="HD16" t="s">
        <v>406</v>
      </c>
      <c r="HE16" t="s">
        <v>406</v>
      </c>
      <c r="HF16" t="s">
        <v>406</v>
      </c>
      <c r="HG16" t="s">
        <v>406</v>
      </c>
      <c r="HH16" t="s">
        <v>406</v>
      </c>
      <c r="HI16" t="s">
        <v>408</v>
      </c>
      <c r="HJ16" t="s">
        <v>408</v>
      </c>
      <c r="HK16" t="s">
        <v>408</v>
      </c>
      <c r="HL16" t="s">
        <v>409</v>
      </c>
      <c r="HM16" t="s">
        <v>406</v>
      </c>
      <c r="HN16" t="s">
        <v>406</v>
      </c>
      <c r="HO16" t="s">
        <v>406</v>
      </c>
      <c r="HP16" t="s">
        <v>406</v>
      </c>
      <c r="HQ16" t="s">
        <v>406</v>
      </c>
      <c r="HR16" t="s">
        <v>406</v>
      </c>
      <c r="HS16" t="s">
        <v>406</v>
      </c>
      <c r="HT16" t="s">
        <v>406</v>
      </c>
      <c r="HU16" t="s">
        <v>406</v>
      </c>
      <c r="HV16" t="s">
        <v>406</v>
      </c>
      <c r="HW16" t="s">
        <v>406</v>
      </c>
      <c r="HX16" t="s">
        <v>406</v>
      </c>
      <c r="IE16" t="s">
        <v>406</v>
      </c>
      <c r="IF16" t="s">
        <v>389</v>
      </c>
      <c r="IG16" t="s">
        <v>389</v>
      </c>
      <c r="IH16" t="s">
        <v>402</v>
      </c>
      <c r="II16" t="s">
        <v>403</v>
      </c>
      <c r="IJ16" t="s">
        <v>403</v>
      </c>
      <c r="IN16" t="s">
        <v>403</v>
      </c>
      <c r="IR16" t="s">
        <v>385</v>
      </c>
      <c r="IS16" t="s">
        <v>385</v>
      </c>
      <c r="IT16" t="s">
        <v>398</v>
      </c>
      <c r="IU16" t="s">
        <v>398</v>
      </c>
      <c r="IV16" t="s">
        <v>410</v>
      </c>
      <c r="IW16" t="s">
        <v>410</v>
      </c>
      <c r="IX16" t="s">
        <v>406</v>
      </c>
      <c r="IY16" t="s">
        <v>406</v>
      </c>
      <c r="IZ16" t="s">
        <v>406</v>
      </c>
      <c r="JA16" t="s">
        <v>406</v>
      </c>
      <c r="JB16" t="s">
        <v>406</v>
      </c>
      <c r="JC16" t="s">
        <v>406</v>
      </c>
      <c r="JD16" t="s">
        <v>387</v>
      </c>
      <c r="JE16" t="s">
        <v>406</v>
      </c>
      <c r="JG16" t="s">
        <v>390</v>
      </c>
      <c r="JH16" t="s">
        <v>390</v>
      </c>
      <c r="JI16" t="s">
        <v>387</v>
      </c>
      <c r="JJ16" t="s">
        <v>387</v>
      </c>
      <c r="JK16" t="s">
        <v>387</v>
      </c>
      <c r="JL16" t="s">
        <v>387</v>
      </c>
      <c r="JM16" t="s">
        <v>387</v>
      </c>
      <c r="JN16" t="s">
        <v>389</v>
      </c>
      <c r="JO16" t="s">
        <v>389</v>
      </c>
      <c r="JP16" t="s">
        <v>389</v>
      </c>
      <c r="JQ16" t="s">
        <v>387</v>
      </c>
      <c r="JR16" t="s">
        <v>385</v>
      </c>
      <c r="JS16" t="s">
        <v>398</v>
      </c>
      <c r="JT16" t="s">
        <v>389</v>
      </c>
      <c r="JU16" t="s">
        <v>389</v>
      </c>
    </row>
    <row r="17" spans="1:281" x14ac:dyDescent="0.25">
      <c r="A17">
        <v>1</v>
      </c>
      <c r="B17">
        <v>1693322297.0999999</v>
      </c>
      <c r="C17">
        <v>0</v>
      </c>
      <c r="D17" t="s">
        <v>411</v>
      </c>
      <c r="E17" t="s">
        <v>412</v>
      </c>
      <c r="F17" t="s">
        <v>413</v>
      </c>
      <c r="G17" t="s">
        <v>414</v>
      </c>
      <c r="H17" t="s">
        <v>31</v>
      </c>
      <c r="I17" t="s">
        <v>415</v>
      </c>
      <c r="J17">
        <v>1693322297.0999999</v>
      </c>
      <c r="K17">
        <f t="shared" ref="K17:K48" si="0">(L17)/1000</f>
        <v>3.3060191878346297E-3</v>
      </c>
      <c r="L17">
        <f t="shared" ref="L17:L48" si="1">1000*DL17*AJ17*(DH17-DI17)/(100*DA17*(1000-AJ17*DH17))</f>
        <v>3.3060191878346297</v>
      </c>
      <c r="M17">
        <f t="shared" ref="M17:M48" si="2">DL17*AJ17*(DG17-DF17*(1000-AJ17*DI17)/(1000-AJ17*DH17))/(100*DA17)</f>
        <v>32.584023564971282</v>
      </c>
      <c r="N17">
        <f t="shared" ref="N17:N48" si="3">DF17 - IF(AJ17&gt;1, M17*DA17*100/(AL17*DT17), 0)</f>
        <v>359.44799999999998</v>
      </c>
      <c r="O17">
        <f t="shared" ref="O17:O48" si="4">((U17-K17/2)*N17-M17)/(U17+K17/2)</f>
        <v>120.29708541828217</v>
      </c>
      <c r="P17">
        <f t="shared" ref="P17:P48" si="5">O17*(DM17+DN17)/1000</f>
        <v>11.929004808108312</v>
      </c>
      <c r="Q17">
        <f t="shared" ref="Q17:Q48" si="6">(DF17 - IF(AJ17&gt;1, M17*DA17*100/(AL17*DT17), 0))*(DM17+DN17)/1000</f>
        <v>35.643896985165597</v>
      </c>
      <c r="R17">
        <f t="shared" ref="R17:R48" si="7">2/((1/T17-1/S17)+SIGN(T17)*SQRT((1/T17-1/S17)*(1/T17-1/S17) + 4*DB17/((DB17+1)*(DB17+1))*(2*1/T17*1/S17-1/S17*1/S17)))</f>
        <v>0.23169496175539767</v>
      </c>
      <c r="S17">
        <f t="shared" ref="S17:S48" si="8">IF(LEFT(DC17,1)&lt;&gt;"0",IF(LEFT(DC17,1)="1",3,DD17),$D$5+$E$5*(DT17*DM17/($K$5*1000))+$F$5*(DT17*DM17/($K$5*1000))*MAX(MIN(DA17,$J$5),$I$5)*MAX(MIN(DA17,$J$5),$I$5)+$G$5*MAX(MIN(DA17,$J$5),$I$5)*(DT17*DM17/($K$5*1000))+$H$5*(DT17*DM17/($K$5*1000))*(DT17*DM17/($K$5*1000)))</f>
        <v>2.9244101763638408</v>
      </c>
      <c r="T17">
        <f t="shared" ref="T17:T48" si="9">K17*(1000-(1000*0.61365*EXP(17.502*X17/(240.97+X17))/(DM17+DN17)+DH17)/2)/(1000*0.61365*EXP(17.502*X17/(240.97+X17))/(DM17+DN17)-DH17)</f>
        <v>0.22195857171649153</v>
      </c>
      <c r="U17">
        <f t="shared" ref="U17:U48" si="10">1/((DB17+1)/(R17/1.6)+1/(S17/1.37)) + DB17/((DB17+1)/(R17/1.6) + DB17/(S17/1.37))</f>
        <v>0.1395647884189774</v>
      </c>
      <c r="V17">
        <f t="shared" ref="V17:V48" si="11">(CW17*CZ17)</f>
        <v>344.35100065837014</v>
      </c>
      <c r="W17">
        <f t="shared" ref="W17:W48" si="12">(DO17+(V17+2*0.95*0.0000000567*(((DO17+$B$7)+273)^4-(DO17+273)^4)-44100*K17)/(1.84*29.3*S17+8*0.95*0.0000000567*(DO17+273)^3))</f>
        <v>31.608436580176605</v>
      </c>
      <c r="X17">
        <f t="shared" ref="X17:X48" si="13">($C$7*DP17+$D$7*DQ17+$E$7*W17)</f>
        <v>30.025300000000001</v>
      </c>
      <c r="Y17">
        <f t="shared" ref="Y17:Y48" si="14">0.61365*EXP(17.502*X17/(240.97+X17))</f>
        <v>4.2666450280009558</v>
      </c>
      <c r="Z17">
        <f t="shared" ref="Z17:Z48" si="15">(AA17/AB17*100)</f>
        <v>65.063777549855047</v>
      </c>
      <c r="AA17">
        <f t="shared" ref="AA17:AA48" si="16">DH17*(DM17+DN17)/1000</f>
        <v>2.84258313357526</v>
      </c>
      <c r="AB17">
        <f t="shared" ref="AB17:AB48" si="17">0.61365*EXP(17.502*DO17/(240.97+DO17))</f>
        <v>4.3689180687320741</v>
      </c>
      <c r="AC17">
        <f t="shared" ref="AC17:AC48" si="18">(Y17-DH17*(DM17+DN17)/1000)</f>
        <v>1.4240618944256958</v>
      </c>
      <c r="AD17">
        <f t="shared" ref="AD17:AD48" si="19">(-K17*44100)</f>
        <v>-145.79544618350718</v>
      </c>
      <c r="AE17">
        <f t="shared" ref="AE17:AE48" si="20">2*29.3*S17*0.92*(DO17-X17)</f>
        <v>65.129677069959428</v>
      </c>
      <c r="AF17">
        <f t="shared" ref="AF17:AF48" si="21">2*0.95*0.0000000567*(((DO17+$B$7)+273)^4-(X17+273)^4)</f>
        <v>4.9633682044957235</v>
      </c>
      <c r="AG17">
        <f t="shared" ref="AG17:AG48" si="22">V17+AF17+AD17+AE17</f>
        <v>268.64859974931812</v>
      </c>
      <c r="AH17">
        <v>0</v>
      </c>
      <c r="AI17">
        <v>0</v>
      </c>
      <c r="AJ17">
        <f t="shared" ref="AJ17:AJ48" si="23">IF(AH17*$H$13&gt;=AL17,1,(AL17/(AL17-AH17*$H$13)))</f>
        <v>1</v>
      </c>
      <c r="AK17">
        <f t="shared" ref="AK17:AK48" si="24">(AJ17-1)*100</f>
        <v>0</v>
      </c>
      <c r="AL17">
        <f t="shared" ref="AL17:AL48" si="25">MAX(0,($B$13+$C$13*DT17)/(1+$D$13*DT17)*DM17/(DO17+273)*$E$13)</f>
        <v>52110.919732717928</v>
      </c>
      <c r="AM17" t="s">
        <v>416</v>
      </c>
      <c r="AN17">
        <v>10238.9</v>
      </c>
      <c r="AO17">
        <v>302.21199999999999</v>
      </c>
      <c r="AP17">
        <v>4052.3</v>
      </c>
      <c r="AQ17">
        <f t="shared" ref="AQ17:AQ48" si="26">1-AO17/AP17</f>
        <v>0.92542210596451402</v>
      </c>
      <c r="AR17">
        <v>-0.32343011824092421</v>
      </c>
      <c r="AS17" t="s">
        <v>417</v>
      </c>
      <c r="AT17">
        <v>10452.5</v>
      </c>
      <c r="AU17">
        <v>748.10220000000004</v>
      </c>
      <c r="AV17">
        <v>1010.3717307792861</v>
      </c>
      <c r="AW17">
        <f t="shared" ref="AW17:AW48" si="27">1-AU17/AV17</f>
        <v>0.25957726526750813</v>
      </c>
      <c r="AX17">
        <v>0.5</v>
      </c>
      <c r="AY17">
        <f t="shared" ref="AY17:AY48" si="28">CX17</f>
        <v>1513.1010003291851</v>
      </c>
      <c r="AZ17">
        <f t="shared" ref="AZ17:AZ48" si="29">M17</f>
        <v>32.584023564971282</v>
      </c>
      <c r="BA17">
        <f t="shared" ref="BA17:BA48" si="30">AW17*AX17*AY17</f>
        <v>196.3833098694904</v>
      </c>
      <c r="BB17">
        <f t="shared" ref="BB17:BB48" si="31">(AZ17-AR17)/AY17</f>
        <v>2.1748352341352604E-2</v>
      </c>
      <c r="BC17">
        <f t="shared" ref="BC17:BC48" si="32">(AP17-AV17)/AV17</f>
        <v>3.0107020778130007</v>
      </c>
      <c r="BD17">
        <f t="shared" ref="BD17:BD48" si="33">AO17/(AQ17+AO17/AV17)</f>
        <v>246.79799653455566</v>
      </c>
      <c r="BE17" t="s">
        <v>418</v>
      </c>
      <c r="BF17">
        <v>578.26</v>
      </c>
      <c r="BG17">
        <f t="shared" ref="BG17:BG48" si="34">IF(BF17&lt;&gt;0, BF17, BD17)</f>
        <v>578.26</v>
      </c>
      <c r="BH17">
        <f t="shared" ref="BH17:BH48" si="35">1-BG17/AV17</f>
        <v>0.42767599054459304</v>
      </c>
      <c r="BI17">
        <f t="shared" ref="BI17:BI48" si="36">(AV17-AU17)/(AV17-BG17)</f>
        <v>0.60694841657341625</v>
      </c>
      <c r="BJ17">
        <f t="shared" ref="BJ17:BJ48" si="37">(AP17-AV17)/(AP17-BG17)</f>
        <v>0.87561693855589295</v>
      </c>
      <c r="BK17">
        <f t="shared" ref="BK17:BK48" si="38">(AV17-AU17)/(AV17-AO17)</f>
        <v>0.37035363545830907</v>
      </c>
      <c r="BL17">
        <f t="shared" ref="BL17:BL48" si="39">(AP17-AV17)/(AP17-AO17)</f>
        <v>0.81116183652775997</v>
      </c>
      <c r="BM17">
        <f t="shared" ref="BM17:BM48" si="40">(BI17*BG17/AU17)</f>
        <v>0.4691524652216551</v>
      </c>
      <c r="BN17">
        <f t="shared" ref="BN17:BN48" si="41">(1-BM17)</f>
        <v>0.5308475347783449</v>
      </c>
      <c r="BO17">
        <v>5464</v>
      </c>
      <c r="BP17">
        <v>290.00000000000011</v>
      </c>
      <c r="BQ17">
        <v>938.23</v>
      </c>
      <c r="BR17">
        <v>105</v>
      </c>
      <c r="BS17">
        <v>10452.5</v>
      </c>
      <c r="BT17">
        <v>937.38</v>
      </c>
      <c r="BU17">
        <v>0.85</v>
      </c>
      <c r="BV17">
        <v>300.00000000000011</v>
      </c>
      <c r="BW17">
        <v>38.299999999999997</v>
      </c>
      <c r="BX17">
        <v>1010.3717307792861</v>
      </c>
      <c r="BY17">
        <v>0.95644895890576132</v>
      </c>
      <c r="BZ17">
        <v>-76.290518767244833</v>
      </c>
      <c r="CA17">
        <v>0.81642781633634887</v>
      </c>
      <c r="CB17">
        <v>0.9968035929781387</v>
      </c>
      <c r="CC17">
        <v>-1.1321257174638491E-2</v>
      </c>
      <c r="CD17">
        <v>289.99999999999989</v>
      </c>
      <c r="CE17">
        <v>930.84</v>
      </c>
      <c r="CF17">
        <v>705</v>
      </c>
      <c r="CG17">
        <v>10396.6</v>
      </c>
      <c r="CH17">
        <v>936.99</v>
      </c>
      <c r="CI17">
        <v>-6.15</v>
      </c>
      <c r="CW17">
        <f t="shared" ref="CW17:CW48" si="42">$B$11*DU17+$C$11*DV17+$F$11*EG17*(1-EJ17)</f>
        <v>1799.9</v>
      </c>
      <c r="CX17">
        <f t="shared" ref="CX17:CX48" si="43">CW17*CY17</f>
        <v>1513.1010003291851</v>
      </c>
      <c r="CY17">
        <f t="shared" ref="CY17:CY48" si="44">($B$11*$D$9+$C$11*$D$9+$F$11*((ET17+EL17)/MAX(ET17+EL17+EU17, 0.1)*$I$9+EU17/MAX(ET17+EL17+EU17, 0.1)*$J$9))/($B$11+$C$11+$F$11)</f>
        <v>0.84065837009233013</v>
      </c>
      <c r="CZ17">
        <f t="shared" ref="CZ17:CZ48" si="45">($B$11*$K$9+$C$11*$K$9+$F$11*((ET17+EL17)/MAX(ET17+EL17+EU17, 0.1)*$P$9+EU17/MAX(ET17+EL17+EU17, 0.1)*$Q$9))/($B$11+$C$11+$F$11)</f>
        <v>0.19131674018466033</v>
      </c>
      <c r="DA17">
        <v>6</v>
      </c>
      <c r="DB17">
        <v>0.5</v>
      </c>
      <c r="DC17" t="s">
        <v>419</v>
      </c>
      <c r="DD17">
        <v>2</v>
      </c>
      <c r="DE17">
        <v>1693322297.0999999</v>
      </c>
      <c r="DF17">
        <v>359.44799999999998</v>
      </c>
      <c r="DG17">
        <v>399.97800000000001</v>
      </c>
      <c r="DH17">
        <v>28.665800000000001</v>
      </c>
      <c r="DI17">
        <v>24.812000000000001</v>
      </c>
      <c r="DJ17">
        <v>361.32900000000001</v>
      </c>
      <c r="DK17">
        <v>28.224399999999999</v>
      </c>
      <c r="DL17">
        <v>499.96100000000001</v>
      </c>
      <c r="DM17">
        <v>99.063400000000001</v>
      </c>
      <c r="DN17">
        <v>9.9474699999999999E-2</v>
      </c>
      <c r="DO17">
        <v>30.438400000000001</v>
      </c>
      <c r="DP17">
        <v>30.025300000000001</v>
      </c>
      <c r="DQ17">
        <v>999.9</v>
      </c>
      <c r="DR17">
        <v>0</v>
      </c>
      <c r="DS17">
        <v>0</v>
      </c>
      <c r="DT17">
        <v>10065</v>
      </c>
      <c r="DU17">
        <v>0</v>
      </c>
      <c r="DV17">
        <v>1386.94</v>
      </c>
      <c r="DW17">
        <v>-40.530200000000001</v>
      </c>
      <c r="DX17">
        <v>370.05599999999998</v>
      </c>
      <c r="DY17">
        <v>410.15499999999997</v>
      </c>
      <c r="DZ17">
        <v>3.8538299999999999</v>
      </c>
      <c r="EA17">
        <v>399.97800000000001</v>
      </c>
      <c r="EB17">
        <v>24.812000000000001</v>
      </c>
      <c r="EC17">
        <v>2.8397299999999999</v>
      </c>
      <c r="ED17">
        <v>2.4579599999999999</v>
      </c>
      <c r="EE17">
        <v>23.116900000000001</v>
      </c>
      <c r="EF17">
        <v>20.750800000000002</v>
      </c>
      <c r="EG17">
        <v>1799.9</v>
      </c>
      <c r="EH17">
        <v>0.97799400000000003</v>
      </c>
      <c r="EI17">
        <v>2.2006000000000001E-2</v>
      </c>
      <c r="EJ17">
        <v>0</v>
      </c>
      <c r="EK17">
        <v>748.10599999999999</v>
      </c>
      <c r="EL17">
        <v>4.9995000000000003</v>
      </c>
      <c r="EM17">
        <v>14838.5</v>
      </c>
      <c r="EN17">
        <v>16658.8</v>
      </c>
      <c r="EO17">
        <v>49.5</v>
      </c>
      <c r="EP17">
        <v>50.625</v>
      </c>
      <c r="EQ17">
        <v>50.186999999999998</v>
      </c>
      <c r="ER17">
        <v>49.811999999999998</v>
      </c>
      <c r="ES17">
        <v>50.75</v>
      </c>
      <c r="ET17">
        <v>1755.4</v>
      </c>
      <c r="EU17">
        <v>39.5</v>
      </c>
      <c r="EV17">
        <v>0</v>
      </c>
      <c r="EW17">
        <v>1693322275.2</v>
      </c>
      <c r="EX17">
        <v>0</v>
      </c>
      <c r="EY17">
        <v>748.10220000000004</v>
      </c>
      <c r="EZ17">
        <v>-1.163076922252428</v>
      </c>
      <c r="FA17">
        <v>-41.746153917037113</v>
      </c>
      <c r="FB17">
        <v>14846.096</v>
      </c>
      <c r="FC17">
        <v>15</v>
      </c>
      <c r="FD17">
        <v>1693322267.0999999</v>
      </c>
      <c r="FE17" t="s">
        <v>420</v>
      </c>
      <c r="FF17">
        <v>1693322267.0999999</v>
      </c>
      <c r="FG17">
        <v>1693322263.0999999</v>
      </c>
      <c r="FH17">
        <v>3</v>
      </c>
      <c r="FI17">
        <v>6.4000000000000001E-2</v>
      </c>
      <c r="FJ17">
        <v>-3.1E-2</v>
      </c>
      <c r="FK17">
        <v>-1.94</v>
      </c>
      <c r="FL17">
        <v>0.26400000000000001</v>
      </c>
      <c r="FM17">
        <v>400</v>
      </c>
      <c r="FN17">
        <v>25</v>
      </c>
      <c r="FO17">
        <v>0.1</v>
      </c>
      <c r="FP17">
        <v>0.05</v>
      </c>
      <c r="FQ17">
        <v>32.634992029068648</v>
      </c>
      <c r="FR17">
        <v>-0.40178363172096287</v>
      </c>
      <c r="FS17">
        <v>7.6700618820740224E-2</v>
      </c>
      <c r="FT17">
        <v>1</v>
      </c>
      <c r="FU17">
        <v>0.23228493431998021</v>
      </c>
      <c r="FV17">
        <v>2.4956334580584019E-2</v>
      </c>
      <c r="FW17">
        <v>3.643960834530737E-3</v>
      </c>
      <c r="FX17">
        <v>1</v>
      </c>
      <c r="FY17">
        <v>2</v>
      </c>
      <c r="FZ17">
        <v>2</v>
      </c>
      <c r="GA17" t="s">
        <v>421</v>
      </c>
      <c r="GB17">
        <v>2.9706000000000001</v>
      </c>
      <c r="GC17">
        <v>2.8117299999999998</v>
      </c>
      <c r="GD17">
        <v>8.9483300000000002E-2</v>
      </c>
      <c r="GE17">
        <v>9.5825599999999997E-2</v>
      </c>
      <c r="GF17">
        <v>0.13478499999999999</v>
      </c>
      <c r="GG17">
        <v>0.121431</v>
      </c>
      <c r="GH17">
        <v>26881.3</v>
      </c>
      <c r="GI17">
        <v>24721.3</v>
      </c>
      <c r="GJ17">
        <v>26532.3</v>
      </c>
      <c r="GK17">
        <v>25791.8</v>
      </c>
      <c r="GL17">
        <v>31236.7</v>
      </c>
      <c r="GM17">
        <v>31933.200000000001</v>
      </c>
      <c r="GN17">
        <v>37583.199999999997</v>
      </c>
      <c r="GO17">
        <v>38176.199999999997</v>
      </c>
      <c r="GP17">
        <v>1.9779</v>
      </c>
      <c r="GQ17">
        <v>2.0341999999999998</v>
      </c>
      <c r="GR17">
        <v>6.7710900000000004E-2</v>
      </c>
      <c r="GS17">
        <v>0</v>
      </c>
      <c r="GT17">
        <v>28.9224</v>
      </c>
      <c r="GU17">
        <v>999.9</v>
      </c>
      <c r="GV17">
        <v>61.2</v>
      </c>
      <c r="GW17">
        <v>31.7</v>
      </c>
      <c r="GX17">
        <v>29.0047</v>
      </c>
      <c r="GY17">
        <v>61.153100000000002</v>
      </c>
      <c r="GZ17">
        <v>12.7364</v>
      </c>
      <c r="HA17">
        <v>1</v>
      </c>
      <c r="HB17">
        <v>0.25048799999999999</v>
      </c>
      <c r="HC17">
        <v>2.08392</v>
      </c>
      <c r="HD17">
        <v>20.243200000000002</v>
      </c>
      <c r="HE17">
        <v>5.2083000000000004</v>
      </c>
      <c r="HF17">
        <v>11.9321</v>
      </c>
      <c r="HG17">
        <v>4.9875999999999996</v>
      </c>
      <c r="HH17">
        <v>3.2909999999999999</v>
      </c>
      <c r="HI17">
        <v>9999</v>
      </c>
      <c r="HJ17">
        <v>9999</v>
      </c>
      <c r="HK17">
        <v>9999</v>
      </c>
      <c r="HL17">
        <v>999.9</v>
      </c>
      <c r="HM17">
        <v>1.8705400000000001</v>
      </c>
      <c r="HN17">
        <v>1.8767799999999999</v>
      </c>
      <c r="HO17">
        <v>1.8745400000000001</v>
      </c>
      <c r="HP17">
        <v>1.8728</v>
      </c>
      <c r="HQ17">
        <v>1.8733</v>
      </c>
      <c r="HR17">
        <v>1.8707100000000001</v>
      </c>
      <c r="HS17">
        <v>1.8766099999999999</v>
      </c>
      <c r="HT17">
        <v>1.87564</v>
      </c>
      <c r="HU17">
        <v>5</v>
      </c>
      <c r="HV17">
        <v>0</v>
      </c>
      <c r="HW17">
        <v>0</v>
      </c>
      <c r="HX17">
        <v>0</v>
      </c>
      <c r="HY17" t="s">
        <v>422</v>
      </c>
      <c r="HZ17" t="s">
        <v>423</v>
      </c>
      <c r="IA17" t="s">
        <v>424</v>
      </c>
      <c r="IB17" t="s">
        <v>424</v>
      </c>
      <c r="IC17" t="s">
        <v>424</v>
      </c>
      <c r="ID17" t="s">
        <v>424</v>
      </c>
      <c r="IE17">
        <v>0</v>
      </c>
      <c r="IF17">
        <v>100</v>
      </c>
      <c r="IG17">
        <v>100</v>
      </c>
      <c r="IH17">
        <v>-1.881</v>
      </c>
      <c r="II17">
        <v>0.44140000000000001</v>
      </c>
      <c r="IJ17">
        <v>-1.1363193737004691</v>
      </c>
      <c r="IK17">
        <v>-2.677719669153116E-3</v>
      </c>
      <c r="IL17">
        <v>1.9353498771248068E-6</v>
      </c>
      <c r="IM17">
        <v>-6.1862177325538213E-10</v>
      </c>
      <c r="IN17">
        <v>-0.18353466159519641</v>
      </c>
      <c r="IO17">
        <v>-1.5299015507423901E-2</v>
      </c>
      <c r="IP17">
        <v>1.742162107778985E-3</v>
      </c>
      <c r="IQ17">
        <v>-1.472690239905804E-5</v>
      </c>
      <c r="IR17">
        <v>3</v>
      </c>
      <c r="IS17">
        <v>2255</v>
      </c>
      <c r="IT17">
        <v>2</v>
      </c>
      <c r="IU17">
        <v>41</v>
      </c>
      <c r="IV17">
        <v>0.5</v>
      </c>
      <c r="IW17">
        <v>0.6</v>
      </c>
      <c r="IX17">
        <v>0.95947300000000002</v>
      </c>
      <c r="IY17">
        <v>2.48291</v>
      </c>
      <c r="IZ17">
        <v>1.6003400000000001</v>
      </c>
      <c r="JA17">
        <v>2.2827099999999998</v>
      </c>
      <c r="JB17">
        <v>1.5502899999999999</v>
      </c>
      <c r="JC17">
        <v>2.3120099999999999</v>
      </c>
      <c r="JD17">
        <v>37.098599999999998</v>
      </c>
      <c r="JE17">
        <v>23.868600000000001</v>
      </c>
      <c r="JF17">
        <v>18</v>
      </c>
      <c r="JG17">
        <v>504.96600000000001</v>
      </c>
      <c r="JH17">
        <v>510.46600000000001</v>
      </c>
      <c r="JI17">
        <v>26.339500000000001</v>
      </c>
      <c r="JJ17">
        <v>30.7332</v>
      </c>
      <c r="JK17">
        <v>30.000499999999999</v>
      </c>
      <c r="JL17">
        <v>30.6767</v>
      </c>
      <c r="JM17">
        <v>30.645299999999999</v>
      </c>
      <c r="JN17">
        <v>19.230399999999999</v>
      </c>
      <c r="JO17">
        <v>25.1402</v>
      </c>
      <c r="JP17">
        <v>100</v>
      </c>
      <c r="JQ17">
        <v>26.3156</v>
      </c>
      <c r="JR17">
        <v>400</v>
      </c>
      <c r="JS17">
        <v>24.745100000000001</v>
      </c>
      <c r="JT17">
        <v>99.096599999999995</v>
      </c>
      <c r="JU17">
        <v>99.1524</v>
      </c>
    </row>
    <row r="18" spans="1:281" x14ac:dyDescent="0.25">
      <c r="A18">
        <v>2</v>
      </c>
      <c r="B18">
        <v>1693322396.5999999</v>
      </c>
      <c r="C18">
        <v>99.5</v>
      </c>
      <c r="D18" t="s">
        <v>425</v>
      </c>
      <c r="E18" t="s">
        <v>426</v>
      </c>
      <c r="F18" t="s">
        <v>413</v>
      </c>
      <c r="G18" t="s">
        <v>414</v>
      </c>
      <c r="H18" t="s">
        <v>31</v>
      </c>
      <c r="I18" t="s">
        <v>415</v>
      </c>
      <c r="J18">
        <v>1693322396.5999999</v>
      </c>
      <c r="K18">
        <f t="shared" si="0"/>
        <v>3.3599919740542271E-3</v>
      </c>
      <c r="L18">
        <f t="shared" si="1"/>
        <v>3.359991974054227</v>
      </c>
      <c r="M18">
        <f t="shared" si="2"/>
        <v>25.332534380809154</v>
      </c>
      <c r="N18">
        <f t="shared" si="3"/>
        <v>268.60500000000002</v>
      </c>
      <c r="O18">
        <f t="shared" si="4"/>
        <v>87.149913583995556</v>
      </c>
      <c r="P18">
        <f t="shared" si="5"/>
        <v>8.6419007477546526</v>
      </c>
      <c r="Q18">
        <f t="shared" si="6"/>
        <v>26.635227218136002</v>
      </c>
      <c r="R18">
        <f t="shared" si="7"/>
        <v>0.23747983189327812</v>
      </c>
      <c r="S18">
        <f t="shared" si="8"/>
        <v>2.9139079346107675</v>
      </c>
      <c r="T18">
        <f t="shared" si="9"/>
        <v>0.22722759313366589</v>
      </c>
      <c r="U18">
        <f t="shared" si="10"/>
        <v>0.14290148443977915</v>
      </c>
      <c r="V18">
        <f t="shared" si="11"/>
        <v>344.41750065824209</v>
      </c>
      <c r="W18">
        <f t="shared" si="12"/>
        <v>31.574893174975113</v>
      </c>
      <c r="X18">
        <f t="shared" si="13"/>
        <v>30.001899999999999</v>
      </c>
      <c r="Y18">
        <f t="shared" si="14"/>
        <v>4.2609147563459624</v>
      </c>
      <c r="Z18">
        <f t="shared" si="15"/>
        <v>65.257851683754623</v>
      </c>
      <c r="AA18">
        <f t="shared" si="16"/>
        <v>2.8471794085123197</v>
      </c>
      <c r="AB18">
        <f t="shared" si="17"/>
        <v>4.3629683402849446</v>
      </c>
      <c r="AC18">
        <f t="shared" si="18"/>
        <v>1.4137353478336427</v>
      </c>
      <c r="AD18">
        <f t="shared" si="19"/>
        <v>-148.17564605579142</v>
      </c>
      <c r="AE18">
        <f t="shared" si="20"/>
        <v>64.83294330634277</v>
      </c>
      <c r="AF18">
        <f t="shared" si="21"/>
        <v>4.9574045694473616</v>
      </c>
      <c r="AG18">
        <f t="shared" si="22"/>
        <v>266.03220247824083</v>
      </c>
      <c r="AH18">
        <v>0</v>
      </c>
      <c r="AI18">
        <v>0</v>
      </c>
      <c r="AJ18">
        <f t="shared" si="23"/>
        <v>1</v>
      </c>
      <c r="AK18">
        <f t="shared" si="24"/>
        <v>0</v>
      </c>
      <c r="AL18">
        <f t="shared" si="25"/>
        <v>51816.264580720512</v>
      </c>
      <c r="AM18" t="s">
        <v>416</v>
      </c>
      <c r="AN18">
        <v>10238.9</v>
      </c>
      <c r="AO18">
        <v>302.21199999999999</v>
      </c>
      <c r="AP18">
        <v>4052.3</v>
      </c>
      <c r="AQ18">
        <f t="shared" si="26"/>
        <v>0.92542210596451402</v>
      </c>
      <c r="AR18">
        <v>-0.32343011824092421</v>
      </c>
      <c r="AS18" t="s">
        <v>427</v>
      </c>
      <c r="AT18">
        <v>10438.200000000001</v>
      </c>
      <c r="AU18">
        <v>735.86803846153862</v>
      </c>
      <c r="AV18">
        <v>946.1223066703493</v>
      </c>
      <c r="AW18">
        <f t="shared" si="27"/>
        <v>0.22222736608837623</v>
      </c>
      <c r="AX18">
        <v>0.5</v>
      </c>
      <c r="AY18">
        <f t="shared" si="28"/>
        <v>1513.3950003291211</v>
      </c>
      <c r="AZ18">
        <f t="shared" si="29"/>
        <v>25.332534380809154</v>
      </c>
      <c r="BA18">
        <f t="shared" si="30"/>
        <v>168.15889238722895</v>
      </c>
      <c r="BB18">
        <f t="shared" si="31"/>
        <v>1.6952589702933223E-2</v>
      </c>
      <c r="BC18">
        <f t="shared" si="32"/>
        <v>3.2830614725289577</v>
      </c>
      <c r="BD18">
        <f t="shared" si="33"/>
        <v>242.77101868052722</v>
      </c>
      <c r="BE18" t="s">
        <v>428</v>
      </c>
      <c r="BF18">
        <v>566.79</v>
      </c>
      <c r="BG18">
        <f t="shared" si="34"/>
        <v>566.79</v>
      </c>
      <c r="BH18">
        <f t="shared" si="35"/>
        <v>0.40093368901248982</v>
      </c>
      <c r="BI18">
        <f t="shared" si="36"/>
        <v>0.55427461492629382</v>
      </c>
      <c r="BJ18">
        <f t="shared" si="37"/>
        <v>0.89116877969928388</v>
      </c>
      <c r="BK18">
        <f t="shared" si="38"/>
        <v>0.32652726013353073</v>
      </c>
      <c r="BL18">
        <f t="shared" si="39"/>
        <v>0.8282946142409594</v>
      </c>
      <c r="BM18">
        <f t="shared" si="40"/>
        <v>0.42692071482119959</v>
      </c>
      <c r="BN18">
        <f t="shared" si="41"/>
        <v>0.57307928517880047</v>
      </c>
      <c r="BO18">
        <v>5466</v>
      </c>
      <c r="BP18">
        <v>290.00000000000011</v>
      </c>
      <c r="BQ18">
        <v>888.35</v>
      </c>
      <c r="BR18">
        <v>165</v>
      </c>
      <c r="BS18">
        <v>10438.200000000001</v>
      </c>
      <c r="BT18">
        <v>887.03</v>
      </c>
      <c r="BU18">
        <v>1.32</v>
      </c>
      <c r="BV18">
        <v>300.00000000000011</v>
      </c>
      <c r="BW18">
        <v>38.299999999999997</v>
      </c>
      <c r="BX18">
        <v>946.1223066703493</v>
      </c>
      <c r="BY18">
        <v>1.0015896573309071</v>
      </c>
      <c r="BZ18">
        <v>-61.684010199956681</v>
      </c>
      <c r="CA18">
        <v>0.85496822689821617</v>
      </c>
      <c r="CB18">
        <v>0.994649641143451</v>
      </c>
      <c r="CC18">
        <v>-1.132139466073416E-2</v>
      </c>
      <c r="CD18">
        <v>289.99999999999989</v>
      </c>
      <c r="CE18">
        <v>883.44</v>
      </c>
      <c r="CF18">
        <v>685</v>
      </c>
      <c r="CG18">
        <v>10398.5</v>
      </c>
      <c r="CH18">
        <v>886.8</v>
      </c>
      <c r="CI18">
        <v>-3.36</v>
      </c>
      <c r="CW18">
        <f t="shared" si="42"/>
        <v>1800.25</v>
      </c>
      <c r="CX18">
        <f t="shared" si="43"/>
        <v>1513.3950003291211</v>
      </c>
      <c r="CY18">
        <f t="shared" si="44"/>
        <v>0.84065824209366535</v>
      </c>
      <c r="CZ18">
        <f t="shared" si="45"/>
        <v>0.19131648418733069</v>
      </c>
      <c r="DA18">
        <v>6</v>
      </c>
      <c r="DB18">
        <v>0.5</v>
      </c>
      <c r="DC18" t="s">
        <v>419</v>
      </c>
      <c r="DD18">
        <v>2</v>
      </c>
      <c r="DE18">
        <v>1693322396.5999999</v>
      </c>
      <c r="DF18">
        <v>268.60500000000002</v>
      </c>
      <c r="DG18">
        <v>300.07</v>
      </c>
      <c r="DH18">
        <v>28.712599999999998</v>
      </c>
      <c r="DI18">
        <v>24.798500000000001</v>
      </c>
      <c r="DJ18">
        <v>270.18799999999999</v>
      </c>
      <c r="DK18">
        <v>28.267099999999999</v>
      </c>
      <c r="DL18">
        <v>500.27100000000002</v>
      </c>
      <c r="DM18">
        <v>99.061499999999995</v>
      </c>
      <c r="DN18">
        <v>9.9823200000000001E-2</v>
      </c>
      <c r="DO18">
        <v>30.4146</v>
      </c>
      <c r="DP18">
        <v>30.001899999999999</v>
      </c>
      <c r="DQ18">
        <v>999.9</v>
      </c>
      <c r="DR18">
        <v>0</v>
      </c>
      <c r="DS18">
        <v>0</v>
      </c>
      <c r="DT18">
        <v>10005</v>
      </c>
      <c r="DU18">
        <v>0</v>
      </c>
      <c r="DV18">
        <v>1398.84</v>
      </c>
      <c r="DW18">
        <v>-31.465599999999998</v>
      </c>
      <c r="DX18">
        <v>276.54500000000002</v>
      </c>
      <c r="DY18">
        <v>307.70100000000002</v>
      </c>
      <c r="DZ18">
        <v>3.9140999999999999</v>
      </c>
      <c r="EA18">
        <v>300.07</v>
      </c>
      <c r="EB18">
        <v>24.798500000000001</v>
      </c>
      <c r="EC18">
        <v>2.8443100000000001</v>
      </c>
      <c r="ED18">
        <v>2.4565700000000001</v>
      </c>
      <c r="EE18">
        <v>23.1435</v>
      </c>
      <c r="EF18">
        <v>20.741599999999998</v>
      </c>
      <c r="EG18">
        <v>1800.25</v>
      </c>
      <c r="EH18">
        <v>0.97799800000000003</v>
      </c>
      <c r="EI18">
        <v>2.2002500000000001E-2</v>
      </c>
      <c r="EJ18">
        <v>0</v>
      </c>
      <c r="EK18">
        <v>735.81200000000001</v>
      </c>
      <c r="EL18">
        <v>4.9995000000000003</v>
      </c>
      <c r="EM18">
        <v>14614.3</v>
      </c>
      <c r="EN18">
        <v>16662.099999999999</v>
      </c>
      <c r="EO18">
        <v>49.5</v>
      </c>
      <c r="EP18">
        <v>50.686999999999998</v>
      </c>
      <c r="EQ18">
        <v>50.25</v>
      </c>
      <c r="ER18">
        <v>49.811999999999998</v>
      </c>
      <c r="ES18">
        <v>50.75</v>
      </c>
      <c r="ET18">
        <v>1755.75</v>
      </c>
      <c r="EU18">
        <v>39.5</v>
      </c>
      <c r="EV18">
        <v>0</v>
      </c>
      <c r="EW18">
        <v>97.199999809265137</v>
      </c>
      <c r="EX18">
        <v>0</v>
      </c>
      <c r="EY18">
        <v>735.86803846153862</v>
      </c>
      <c r="EZ18">
        <v>-3.843521377599306</v>
      </c>
      <c r="FA18">
        <v>-70.403418818353259</v>
      </c>
      <c r="FB18">
        <v>14621.18076923077</v>
      </c>
      <c r="FC18">
        <v>15</v>
      </c>
      <c r="FD18">
        <v>1693322367.0999999</v>
      </c>
      <c r="FE18" t="s">
        <v>429</v>
      </c>
      <c r="FF18">
        <v>1693322361.5999999</v>
      </c>
      <c r="FG18">
        <v>1693322367.0999999</v>
      </c>
      <c r="FH18">
        <v>4</v>
      </c>
      <c r="FI18">
        <v>0.14699999999999999</v>
      </c>
      <c r="FJ18">
        <v>2E-3</v>
      </c>
      <c r="FK18">
        <v>-1.637</v>
      </c>
      <c r="FL18">
        <v>0.27500000000000002</v>
      </c>
      <c r="FM18">
        <v>300</v>
      </c>
      <c r="FN18">
        <v>25</v>
      </c>
      <c r="FO18">
        <v>0.18</v>
      </c>
      <c r="FP18">
        <v>0.06</v>
      </c>
      <c r="FQ18">
        <v>25.16066040564619</v>
      </c>
      <c r="FR18">
        <v>-8.491354490702821E-2</v>
      </c>
      <c r="FS18">
        <v>5.6354427936153077E-2</v>
      </c>
      <c r="FT18">
        <v>1</v>
      </c>
      <c r="FU18">
        <v>0.23936603108374491</v>
      </c>
      <c r="FV18">
        <v>1.452574640824301E-2</v>
      </c>
      <c r="FW18">
        <v>3.5268504122952489E-3</v>
      </c>
      <c r="FX18">
        <v>1</v>
      </c>
      <c r="FY18">
        <v>2</v>
      </c>
      <c r="FZ18">
        <v>2</v>
      </c>
      <c r="GA18" t="s">
        <v>421</v>
      </c>
      <c r="GB18">
        <v>2.9713799999999999</v>
      </c>
      <c r="GC18">
        <v>2.8115600000000001</v>
      </c>
      <c r="GD18">
        <v>7.0602999999999999E-2</v>
      </c>
      <c r="GE18">
        <v>7.6195600000000002E-2</v>
      </c>
      <c r="GF18">
        <v>0.13491400000000001</v>
      </c>
      <c r="GG18">
        <v>0.12137299999999999</v>
      </c>
      <c r="GH18">
        <v>27438.6</v>
      </c>
      <c r="GI18">
        <v>25256.3</v>
      </c>
      <c r="GJ18">
        <v>26532.2</v>
      </c>
      <c r="GK18">
        <v>25789.9</v>
      </c>
      <c r="GL18">
        <v>31231.200000000001</v>
      </c>
      <c r="GM18">
        <v>31931.8</v>
      </c>
      <c r="GN18">
        <v>37583.599999999999</v>
      </c>
      <c r="GO18">
        <v>38173.699999999997</v>
      </c>
      <c r="GP18">
        <v>1.9775</v>
      </c>
      <c r="GQ18">
        <v>2.0331000000000001</v>
      </c>
      <c r="GR18">
        <v>6.4596500000000001E-2</v>
      </c>
      <c r="GS18">
        <v>0</v>
      </c>
      <c r="GT18">
        <v>28.9498</v>
      </c>
      <c r="GU18">
        <v>999.9</v>
      </c>
      <c r="GV18">
        <v>61.1</v>
      </c>
      <c r="GW18">
        <v>31.7</v>
      </c>
      <c r="GX18">
        <v>28.9558</v>
      </c>
      <c r="GY18">
        <v>61.5732</v>
      </c>
      <c r="GZ18">
        <v>12.255599999999999</v>
      </c>
      <c r="HA18">
        <v>1</v>
      </c>
      <c r="HB18">
        <v>0.25295699999999999</v>
      </c>
      <c r="HC18">
        <v>2.0314700000000001</v>
      </c>
      <c r="HD18">
        <v>20.244</v>
      </c>
      <c r="HE18">
        <v>5.2100999999999997</v>
      </c>
      <c r="HF18">
        <v>11.9321</v>
      </c>
      <c r="HG18">
        <v>4.9878</v>
      </c>
      <c r="HH18">
        <v>3.2909999999999999</v>
      </c>
      <c r="HI18">
        <v>9999</v>
      </c>
      <c r="HJ18">
        <v>9999</v>
      </c>
      <c r="HK18">
        <v>9999</v>
      </c>
      <c r="HL18">
        <v>999.9</v>
      </c>
      <c r="HM18">
        <v>1.8705700000000001</v>
      </c>
      <c r="HN18">
        <v>1.8767499999999999</v>
      </c>
      <c r="HO18">
        <v>1.8745400000000001</v>
      </c>
      <c r="HP18">
        <v>1.87277</v>
      </c>
      <c r="HQ18">
        <v>1.8732500000000001</v>
      </c>
      <c r="HR18">
        <v>1.8707</v>
      </c>
      <c r="HS18">
        <v>1.8765799999999999</v>
      </c>
      <c r="HT18">
        <v>1.8756299999999999</v>
      </c>
      <c r="HU18">
        <v>5</v>
      </c>
      <c r="HV18">
        <v>0</v>
      </c>
      <c r="HW18">
        <v>0</v>
      </c>
      <c r="HX18">
        <v>0</v>
      </c>
      <c r="HY18" t="s">
        <v>422</v>
      </c>
      <c r="HZ18" t="s">
        <v>423</v>
      </c>
      <c r="IA18" t="s">
        <v>424</v>
      </c>
      <c r="IB18" t="s">
        <v>424</v>
      </c>
      <c r="IC18" t="s">
        <v>424</v>
      </c>
      <c r="ID18" t="s">
        <v>424</v>
      </c>
      <c r="IE18">
        <v>0</v>
      </c>
      <c r="IF18">
        <v>100</v>
      </c>
      <c r="IG18">
        <v>100</v>
      </c>
      <c r="IH18">
        <v>-1.583</v>
      </c>
      <c r="II18">
        <v>0.44550000000000001</v>
      </c>
      <c r="IJ18">
        <v>-0.98881225622142166</v>
      </c>
      <c r="IK18">
        <v>-2.677719669153116E-3</v>
      </c>
      <c r="IL18">
        <v>1.9353498771248068E-6</v>
      </c>
      <c r="IM18">
        <v>-6.1862177325538213E-10</v>
      </c>
      <c r="IN18">
        <v>-0.18147179850720721</v>
      </c>
      <c r="IO18">
        <v>-1.5299015507423901E-2</v>
      </c>
      <c r="IP18">
        <v>1.742162107778985E-3</v>
      </c>
      <c r="IQ18">
        <v>-1.472690239905804E-5</v>
      </c>
      <c r="IR18">
        <v>3</v>
      </c>
      <c r="IS18">
        <v>2255</v>
      </c>
      <c r="IT18">
        <v>2</v>
      </c>
      <c r="IU18">
        <v>41</v>
      </c>
      <c r="IV18">
        <v>0.6</v>
      </c>
      <c r="IW18">
        <v>0.5</v>
      </c>
      <c r="IX18">
        <v>0.76538099999999998</v>
      </c>
      <c r="IY18">
        <v>2.47437</v>
      </c>
      <c r="IZ18">
        <v>1.5991200000000001</v>
      </c>
      <c r="JA18">
        <v>2.2827099999999998</v>
      </c>
      <c r="JB18">
        <v>1.5502899999999999</v>
      </c>
      <c r="JC18">
        <v>2.32056</v>
      </c>
      <c r="JD18">
        <v>37.122500000000002</v>
      </c>
      <c r="JE18">
        <v>23.877400000000002</v>
      </c>
      <c r="JF18">
        <v>18</v>
      </c>
      <c r="JG18">
        <v>504.99400000000003</v>
      </c>
      <c r="JH18">
        <v>510.029</v>
      </c>
      <c r="JI18">
        <v>26.249400000000001</v>
      </c>
      <c r="JJ18">
        <v>30.762599999999999</v>
      </c>
      <c r="JK18">
        <v>30.000399999999999</v>
      </c>
      <c r="JL18">
        <v>30.711300000000001</v>
      </c>
      <c r="JM18">
        <v>30.6797</v>
      </c>
      <c r="JN18">
        <v>15.372199999999999</v>
      </c>
      <c r="JO18">
        <v>25.1371</v>
      </c>
      <c r="JP18">
        <v>100</v>
      </c>
      <c r="JQ18">
        <v>26.241099999999999</v>
      </c>
      <c r="JR18">
        <v>300</v>
      </c>
      <c r="JS18">
        <v>24.729900000000001</v>
      </c>
      <c r="JT18">
        <v>99.097099999999998</v>
      </c>
      <c r="JU18">
        <v>99.145600000000002</v>
      </c>
    </row>
    <row r="19" spans="1:281" x14ac:dyDescent="0.25">
      <c r="A19">
        <v>3</v>
      </c>
      <c r="B19">
        <v>1693322496.0999999</v>
      </c>
      <c r="C19">
        <v>199</v>
      </c>
      <c r="D19" t="s">
        <v>430</v>
      </c>
      <c r="E19" t="s">
        <v>431</v>
      </c>
      <c r="F19" t="s">
        <v>413</v>
      </c>
      <c r="G19" t="s">
        <v>414</v>
      </c>
      <c r="H19" t="s">
        <v>31</v>
      </c>
      <c r="I19" t="s">
        <v>415</v>
      </c>
      <c r="J19">
        <v>1693322496.0999999</v>
      </c>
      <c r="K19">
        <f t="shared" si="0"/>
        <v>3.4514973690080324E-3</v>
      </c>
      <c r="L19">
        <f t="shared" si="1"/>
        <v>3.4514973690080324</v>
      </c>
      <c r="M19">
        <f t="shared" si="2"/>
        <v>17.246960693304004</v>
      </c>
      <c r="N19">
        <f t="shared" si="3"/>
        <v>178.50200000000001</v>
      </c>
      <c r="O19">
        <f t="shared" si="4"/>
        <v>59.246693376192134</v>
      </c>
      <c r="P19">
        <f t="shared" si="5"/>
        <v>5.8747170107390962</v>
      </c>
      <c r="Q19">
        <f t="shared" si="6"/>
        <v>17.699700626201402</v>
      </c>
      <c r="R19">
        <f t="shared" si="7"/>
        <v>0.24640001862820027</v>
      </c>
      <c r="S19">
        <f t="shared" si="8"/>
        <v>2.9138267095916115</v>
      </c>
      <c r="T19">
        <f t="shared" si="9"/>
        <v>0.2353820411169395</v>
      </c>
      <c r="U19">
        <f t="shared" si="10"/>
        <v>0.14806263711048526</v>
      </c>
      <c r="V19">
        <f t="shared" si="11"/>
        <v>344.36050065835178</v>
      </c>
      <c r="W19">
        <f t="shared" si="12"/>
        <v>31.503863562359722</v>
      </c>
      <c r="X19">
        <f t="shared" si="13"/>
        <v>29.978400000000001</v>
      </c>
      <c r="Y19">
        <f t="shared" si="14"/>
        <v>4.2551667476066841</v>
      </c>
      <c r="Z19">
        <f t="shared" si="15"/>
        <v>65.574236747514007</v>
      </c>
      <c r="AA19">
        <f t="shared" si="16"/>
        <v>2.8533085080804899</v>
      </c>
      <c r="AB19">
        <f t="shared" si="17"/>
        <v>4.3512645355931836</v>
      </c>
      <c r="AC19">
        <f t="shared" si="18"/>
        <v>1.4018582395261943</v>
      </c>
      <c r="AD19">
        <f t="shared" si="19"/>
        <v>-152.21103397325422</v>
      </c>
      <c r="AE19">
        <f t="shared" si="20"/>
        <v>61.155224813428688</v>
      </c>
      <c r="AF19">
        <f t="shared" si="21"/>
        <v>4.6746921145081162</v>
      </c>
      <c r="AG19">
        <f t="shared" si="22"/>
        <v>257.97938361303437</v>
      </c>
      <c r="AH19">
        <v>0</v>
      </c>
      <c r="AI19">
        <v>0</v>
      </c>
      <c r="AJ19">
        <f t="shared" si="23"/>
        <v>1</v>
      </c>
      <c r="AK19">
        <f t="shared" si="24"/>
        <v>0</v>
      </c>
      <c r="AL19">
        <f t="shared" si="25"/>
        <v>51821.868763133454</v>
      </c>
      <c r="AM19" t="s">
        <v>416</v>
      </c>
      <c r="AN19">
        <v>10238.9</v>
      </c>
      <c r="AO19">
        <v>302.21199999999999</v>
      </c>
      <c r="AP19">
        <v>4052.3</v>
      </c>
      <c r="AQ19">
        <f t="shared" si="26"/>
        <v>0.92542210596451402</v>
      </c>
      <c r="AR19">
        <v>-0.32343011824092421</v>
      </c>
      <c r="AS19" t="s">
        <v>432</v>
      </c>
      <c r="AT19">
        <v>10444.6</v>
      </c>
      <c r="AU19">
        <v>735.1603846153846</v>
      </c>
      <c r="AV19">
        <v>887.92356066992397</v>
      </c>
      <c r="AW19">
        <f t="shared" si="27"/>
        <v>0.17204541339040724</v>
      </c>
      <c r="AX19">
        <v>0.5</v>
      </c>
      <c r="AY19">
        <f t="shared" si="28"/>
        <v>1513.1430003291759</v>
      </c>
      <c r="AZ19">
        <f t="shared" si="29"/>
        <v>17.246960693304004</v>
      </c>
      <c r="BA19">
        <f t="shared" si="30"/>
        <v>130.1646565052171</v>
      </c>
      <c r="BB19">
        <f t="shared" si="31"/>
        <v>1.1611850834800536E-2</v>
      </c>
      <c r="BC19">
        <f t="shared" si="32"/>
        <v>3.5637937537580435</v>
      </c>
      <c r="BD19">
        <f t="shared" si="33"/>
        <v>238.75550600118498</v>
      </c>
      <c r="BE19" t="s">
        <v>433</v>
      </c>
      <c r="BF19">
        <v>557.79999999999995</v>
      </c>
      <c r="BG19">
        <f t="shared" si="34"/>
        <v>557.79999999999995</v>
      </c>
      <c r="BH19">
        <f t="shared" si="35"/>
        <v>0.37179277056332549</v>
      </c>
      <c r="BI19">
        <f t="shared" si="36"/>
        <v>0.46274545126235483</v>
      </c>
      <c r="BJ19">
        <f t="shared" si="37"/>
        <v>0.90553053064245992</v>
      </c>
      <c r="BK19">
        <f t="shared" si="38"/>
        <v>0.26081639208181623</v>
      </c>
      <c r="BL19">
        <f t="shared" si="39"/>
        <v>0.84381391565479957</v>
      </c>
      <c r="BM19">
        <f t="shared" si="40"/>
        <v>0.35110625941736834</v>
      </c>
      <c r="BN19">
        <f t="shared" si="41"/>
        <v>0.64889374058263161</v>
      </c>
      <c r="BO19">
        <v>5468</v>
      </c>
      <c r="BP19">
        <v>290.00000000000011</v>
      </c>
      <c r="BQ19">
        <v>847.87</v>
      </c>
      <c r="BR19">
        <v>135</v>
      </c>
      <c r="BS19">
        <v>10444.6</v>
      </c>
      <c r="BT19">
        <v>846.4</v>
      </c>
      <c r="BU19">
        <v>1.47</v>
      </c>
      <c r="BV19">
        <v>300.00000000000011</v>
      </c>
      <c r="BW19">
        <v>38.299999999999997</v>
      </c>
      <c r="BX19">
        <v>887.92356066992397</v>
      </c>
      <c r="BY19">
        <v>1.3034337969892911</v>
      </c>
      <c r="BZ19">
        <v>-43.371224469512107</v>
      </c>
      <c r="CA19">
        <v>1.112578801916202</v>
      </c>
      <c r="CB19">
        <v>0.98190798176390404</v>
      </c>
      <c r="CC19">
        <v>-1.132088120133483E-2</v>
      </c>
      <c r="CD19">
        <v>289.99999999999989</v>
      </c>
      <c r="CE19">
        <v>844.15</v>
      </c>
      <c r="CF19">
        <v>705</v>
      </c>
      <c r="CG19">
        <v>10396.200000000001</v>
      </c>
      <c r="CH19">
        <v>846.21</v>
      </c>
      <c r="CI19">
        <v>-2.06</v>
      </c>
      <c r="CW19">
        <f t="shared" si="42"/>
        <v>1799.95</v>
      </c>
      <c r="CX19">
        <f t="shared" si="43"/>
        <v>1513.1430003291759</v>
      </c>
      <c r="CY19">
        <f t="shared" si="44"/>
        <v>0.84065835180375892</v>
      </c>
      <c r="CZ19">
        <f t="shared" si="45"/>
        <v>0.19131670360751787</v>
      </c>
      <c r="DA19">
        <v>6</v>
      </c>
      <c r="DB19">
        <v>0.5</v>
      </c>
      <c r="DC19" t="s">
        <v>419</v>
      </c>
      <c r="DD19">
        <v>2</v>
      </c>
      <c r="DE19">
        <v>1693322496.0999999</v>
      </c>
      <c r="DF19">
        <v>178.50200000000001</v>
      </c>
      <c r="DG19">
        <v>199.93600000000001</v>
      </c>
      <c r="DH19">
        <v>28.775700000000001</v>
      </c>
      <c r="DI19">
        <v>24.753399999999999</v>
      </c>
      <c r="DJ19">
        <v>179.898</v>
      </c>
      <c r="DK19">
        <v>28.328499999999998</v>
      </c>
      <c r="DL19">
        <v>500.03899999999999</v>
      </c>
      <c r="DM19">
        <v>99.056899999999999</v>
      </c>
      <c r="DN19">
        <v>9.9975700000000001E-2</v>
      </c>
      <c r="DO19">
        <v>30.367699999999999</v>
      </c>
      <c r="DP19">
        <v>29.978400000000001</v>
      </c>
      <c r="DQ19">
        <v>999.9</v>
      </c>
      <c r="DR19">
        <v>0</v>
      </c>
      <c r="DS19">
        <v>0</v>
      </c>
      <c r="DT19">
        <v>10005</v>
      </c>
      <c r="DU19">
        <v>0</v>
      </c>
      <c r="DV19">
        <v>1399.85</v>
      </c>
      <c r="DW19">
        <v>-21.434000000000001</v>
      </c>
      <c r="DX19">
        <v>183.791</v>
      </c>
      <c r="DY19">
        <v>205.011</v>
      </c>
      <c r="DZ19">
        <v>4.0223500000000003</v>
      </c>
      <c r="EA19">
        <v>199.93600000000001</v>
      </c>
      <c r="EB19">
        <v>24.753399999999999</v>
      </c>
      <c r="EC19">
        <v>2.8504299999999998</v>
      </c>
      <c r="ED19">
        <v>2.4519899999999999</v>
      </c>
      <c r="EE19">
        <v>23.179099999999998</v>
      </c>
      <c r="EF19">
        <v>20.711300000000001</v>
      </c>
      <c r="EG19">
        <v>1799.95</v>
      </c>
      <c r="EH19">
        <v>0.97799400000000003</v>
      </c>
      <c r="EI19">
        <v>2.2006000000000001E-2</v>
      </c>
      <c r="EJ19">
        <v>0</v>
      </c>
      <c r="EK19">
        <v>734.95799999999997</v>
      </c>
      <c r="EL19">
        <v>4.9995000000000003</v>
      </c>
      <c r="EM19">
        <v>14596.7</v>
      </c>
      <c r="EN19">
        <v>16659.3</v>
      </c>
      <c r="EO19">
        <v>49.561999999999998</v>
      </c>
      <c r="EP19">
        <v>50.75</v>
      </c>
      <c r="EQ19">
        <v>50.311999999999998</v>
      </c>
      <c r="ER19">
        <v>49.811999999999998</v>
      </c>
      <c r="ES19">
        <v>50.811999999999998</v>
      </c>
      <c r="ET19">
        <v>1755.45</v>
      </c>
      <c r="EU19">
        <v>39.5</v>
      </c>
      <c r="EV19">
        <v>0</v>
      </c>
      <c r="EW19">
        <v>97.799999952316284</v>
      </c>
      <c r="EX19">
        <v>0</v>
      </c>
      <c r="EY19">
        <v>735.1603846153846</v>
      </c>
      <c r="EZ19">
        <v>-3.729709402436054</v>
      </c>
      <c r="FA19">
        <v>-51.50769232024826</v>
      </c>
      <c r="FB19">
        <v>14604.33846153846</v>
      </c>
      <c r="FC19">
        <v>15</v>
      </c>
      <c r="FD19">
        <v>1693322465.0999999</v>
      </c>
      <c r="FE19" t="s">
        <v>434</v>
      </c>
      <c r="FF19">
        <v>1693322457.5999999</v>
      </c>
      <c r="FG19">
        <v>1693322465.0999999</v>
      </c>
      <c r="FH19">
        <v>5</v>
      </c>
      <c r="FI19">
        <v>1.6E-2</v>
      </c>
      <c r="FJ19">
        <v>-1E-3</v>
      </c>
      <c r="FK19">
        <v>-1.4390000000000001</v>
      </c>
      <c r="FL19">
        <v>0.26800000000000002</v>
      </c>
      <c r="FM19">
        <v>200</v>
      </c>
      <c r="FN19">
        <v>25</v>
      </c>
      <c r="FO19">
        <v>0.18</v>
      </c>
      <c r="FP19">
        <v>0.06</v>
      </c>
      <c r="FQ19">
        <v>17.274284318510841</v>
      </c>
      <c r="FR19">
        <v>8.8625509946059972E-2</v>
      </c>
      <c r="FS19">
        <v>5.4448453006382923E-2</v>
      </c>
      <c r="FT19">
        <v>1</v>
      </c>
      <c r="FU19">
        <v>0.23980320018293591</v>
      </c>
      <c r="FV19">
        <v>4.8258653510953882E-2</v>
      </c>
      <c r="FW19">
        <v>3.8197240016953171E-3</v>
      </c>
      <c r="FX19">
        <v>1</v>
      </c>
      <c r="FY19">
        <v>2</v>
      </c>
      <c r="FZ19">
        <v>2</v>
      </c>
      <c r="GA19" t="s">
        <v>421</v>
      </c>
      <c r="GB19">
        <v>2.9707499999999998</v>
      </c>
      <c r="GC19">
        <v>2.8117200000000002</v>
      </c>
      <c r="GD19">
        <v>4.94963E-2</v>
      </c>
      <c r="GE19">
        <v>5.3805499999999999E-2</v>
      </c>
      <c r="GF19">
        <v>0.1351</v>
      </c>
      <c r="GG19">
        <v>0.12120300000000001</v>
      </c>
      <c r="GH19">
        <v>28062.6</v>
      </c>
      <c r="GI19">
        <v>25865.8</v>
      </c>
      <c r="GJ19">
        <v>26533.200000000001</v>
      </c>
      <c r="GK19">
        <v>25787.4</v>
      </c>
      <c r="GL19">
        <v>31223.200000000001</v>
      </c>
      <c r="GM19">
        <v>31933.5</v>
      </c>
      <c r="GN19">
        <v>37583.699999999997</v>
      </c>
      <c r="GO19">
        <v>38170.199999999997</v>
      </c>
      <c r="GP19">
        <v>1.9773000000000001</v>
      </c>
      <c r="GQ19">
        <v>2.0314999999999999</v>
      </c>
      <c r="GR19">
        <v>6.1482200000000001E-2</v>
      </c>
      <c r="GS19">
        <v>0</v>
      </c>
      <c r="GT19">
        <v>28.9771</v>
      </c>
      <c r="GU19">
        <v>999.9</v>
      </c>
      <c r="GV19">
        <v>60.9</v>
      </c>
      <c r="GW19">
        <v>31.8</v>
      </c>
      <c r="GX19">
        <v>29.026800000000001</v>
      </c>
      <c r="GY19">
        <v>61.533200000000001</v>
      </c>
      <c r="GZ19">
        <v>12.8886</v>
      </c>
      <c r="HA19">
        <v>1</v>
      </c>
      <c r="HB19">
        <v>0.25478699999999999</v>
      </c>
      <c r="HC19">
        <v>0.89782099999999998</v>
      </c>
      <c r="HD19">
        <v>20.253599999999999</v>
      </c>
      <c r="HE19">
        <v>5.2100999999999997</v>
      </c>
      <c r="HF19">
        <v>11.9321</v>
      </c>
      <c r="HG19">
        <v>4.9871999999999996</v>
      </c>
      <c r="HH19">
        <v>3.2909999999999999</v>
      </c>
      <c r="HI19">
        <v>9999</v>
      </c>
      <c r="HJ19">
        <v>9999</v>
      </c>
      <c r="HK19">
        <v>9999</v>
      </c>
      <c r="HL19">
        <v>999.9</v>
      </c>
      <c r="HM19">
        <v>1.8705400000000001</v>
      </c>
      <c r="HN19">
        <v>1.8767499999999999</v>
      </c>
      <c r="HO19">
        <v>1.8745400000000001</v>
      </c>
      <c r="HP19">
        <v>1.87277</v>
      </c>
      <c r="HQ19">
        <v>1.8732899999999999</v>
      </c>
      <c r="HR19">
        <v>1.8706799999999999</v>
      </c>
      <c r="HS19">
        <v>1.87662</v>
      </c>
      <c r="HT19">
        <v>1.87565</v>
      </c>
      <c r="HU19">
        <v>5</v>
      </c>
      <c r="HV19">
        <v>0</v>
      </c>
      <c r="HW19">
        <v>0</v>
      </c>
      <c r="HX19">
        <v>0</v>
      </c>
      <c r="HY19" t="s">
        <v>422</v>
      </c>
      <c r="HZ19" t="s">
        <v>423</v>
      </c>
      <c r="IA19" t="s">
        <v>424</v>
      </c>
      <c r="IB19" t="s">
        <v>424</v>
      </c>
      <c r="IC19" t="s">
        <v>424</v>
      </c>
      <c r="ID19" t="s">
        <v>424</v>
      </c>
      <c r="IE19">
        <v>0</v>
      </c>
      <c r="IF19">
        <v>100</v>
      </c>
      <c r="IG19">
        <v>100</v>
      </c>
      <c r="IH19">
        <v>-1.3959999999999999</v>
      </c>
      <c r="II19">
        <v>0.44719999999999999</v>
      </c>
      <c r="IJ19">
        <v>-0.97322776055411442</v>
      </c>
      <c r="IK19">
        <v>-2.677719669153116E-3</v>
      </c>
      <c r="IL19">
        <v>1.9353498771248068E-6</v>
      </c>
      <c r="IM19">
        <v>-6.1862177325538213E-10</v>
      </c>
      <c r="IN19">
        <v>-0.1826634249228441</v>
      </c>
      <c r="IO19">
        <v>-1.5299015507423901E-2</v>
      </c>
      <c r="IP19">
        <v>1.742162107778985E-3</v>
      </c>
      <c r="IQ19">
        <v>-1.472690239905804E-5</v>
      </c>
      <c r="IR19">
        <v>3</v>
      </c>
      <c r="IS19">
        <v>2255</v>
      </c>
      <c r="IT19">
        <v>2</v>
      </c>
      <c r="IU19">
        <v>41</v>
      </c>
      <c r="IV19">
        <v>0.6</v>
      </c>
      <c r="IW19">
        <v>0.5</v>
      </c>
      <c r="IX19">
        <v>0.56518599999999997</v>
      </c>
      <c r="IY19">
        <v>2.49878</v>
      </c>
      <c r="IZ19">
        <v>1.6003400000000001</v>
      </c>
      <c r="JA19">
        <v>2.2814899999999998</v>
      </c>
      <c r="JB19">
        <v>1.5502899999999999</v>
      </c>
      <c r="JC19">
        <v>2.2717299999999998</v>
      </c>
      <c r="JD19">
        <v>37.170200000000001</v>
      </c>
      <c r="JE19">
        <v>23.877400000000002</v>
      </c>
      <c r="JF19">
        <v>18</v>
      </c>
      <c r="JG19">
        <v>505.173</v>
      </c>
      <c r="JH19">
        <v>509.27800000000002</v>
      </c>
      <c r="JI19">
        <v>25.915199999999999</v>
      </c>
      <c r="JJ19">
        <v>30.8001</v>
      </c>
      <c r="JK19">
        <v>29.998999999999999</v>
      </c>
      <c r="JL19">
        <v>30.7486</v>
      </c>
      <c r="JM19">
        <v>30.716899999999999</v>
      </c>
      <c r="JN19">
        <v>11.3583</v>
      </c>
      <c r="JO19">
        <v>24.896000000000001</v>
      </c>
      <c r="JP19">
        <v>100</v>
      </c>
      <c r="JQ19">
        <v>26.130400000000002</v>
      </c>
      <c r="JR19">
        <v>200</v>
      </c>
      <c r="JS19">
        <v>24.74</v>
      </c>
      <c r="JT19">
        <v>99.098799999999997</v>
      </c>
      <c r="JU19">
        <v>99.136399999999995</v>
      </c>
    </row>
    <row r="20" spans="1:281" x14ac:dyDescent="0.25">
      <c r="A20">
        <v>4</v>
      </c>
      <c r="B20">
        <v>1693322608.5999999</v>
      </c>
      <c r="C20">
        <v>311.5</v>
      </c>
      <c r="D20" t="s">
        <v>435</v>
      </c>
      <c r="E20" t="s">
        <v>436</v>
      </c>
      <c r="F20" t="s">
        <v>413</v>
      </c>
      <c r="G20" t="s">
        <v>414</v>
      </c>
      <c r="H20" t="s">
        <v>31</v>
      </c>
      <c r="I20" t="s">
        <v>415</v>
      </c>
      <c r="J20">
        <v>1693322608.5999999</v>
      </c>
      <c r="K20">
        <f t="shared" si="0"/>
        <v>3.7988375374957035E-3</v>
      </c>
      <c r="L20">
        <f t="shared" si="1"/>
        <v>3.7988375374957037</v>
      </c>
      <c r="M20">
        <f t="shared" si="2"/>
        <v>11.077748482663605</v>
      </c>
      <c r="N20">
        <f t="shared" si="3"/>
        <v>106.205</v>
      </c>
      <c r="O20">
        <f t="shared" si="4"/>
        <v>36.806289997069641</v>
      </c>
      <c r="P20">
        <f t="shared" si="5"/>
        <v>3.6495715209508273</v>
      </c>
      <c r="Q20">
        <f t="shared" si="6"/>
        <v>10.530883265155</v>
      </c>
      <c r="R20">
        <f t="shared" si="7"/>
        <v>0.27331841003141649</v>
      </c>
      <c r="S20">
        <f t="shared" si="8"/>
        <v>2.9085625378118629</v>
      </c>
      <c r="T20">
        <f t="shared" si="9"/>
        <v>0.25980926058799164</v>
      </c>
      <c r="U20">
        <f t="shared" si="10"/>
        <v>0.16353887284861135</v>
      </c>
      <c r="V20">
        <f t="shared" si="11"/>
        <v>344.40990065825673</v>
      </c>
      <c r="W20">
        <f t="shared" si="12"/>
        <v>31.415341430357284</v>
      </c>
      <c r="X20">
        <f t="shared" si="13"/>
        <v>29.9495</v>
      </c>
      <c r="Y20">
        <f t="shared" si="14"/>
        <v>4.2481071862292747</v>
      </c>
      <c r="Z20">
        <f t="shared" si="15"/>
        <v>65.502229929873749</v>
      </c>
      <c r="AA20">
        <f t="shared" si="16"/>
        <v>2.8501753009613005</v>
      </c>
      <c r="AB20">
        <f t="shared" si="17"/>
        <v>4.3512645355931836</v>
      </c>
      <c r="AC20">
        <f t="shared" si="18"/>
        <v>1.3979318852679743</v>
      </c>
      <c r="AD20">
        <f t="shared" si="19"/>
        <v>-167.52873540356052</v>
      </c>
      <c r="AE20">
        <f t="shared" si="20"/>
        <v>65.576446323806024</v>
      </c>
      <c r="AF20">
        <f t="shared" si="21"/>
        <v>5.0210039691364798</v>
      </c>
      <c r="AG20">
        <f t="shared" si="22"/>
        <v>247.4786155476387</v>
      </c>
      <c r="AH20">
        <v>0</v>
      </c>
      <c r="AI20">
        <v>0</v>
      </c>
      <c r="AJ20">
        <f t="shared" si="23"/>
        <v>1</v>
      </c>
      <c r="AK20">
        <f t="shared" si="24"/>
        <v>0</v>
      </c>
      <c r="AL20">
        <f t="shared" si="25"/>
        <v>51672.368086457929</v>
      </c>
      <c r="AM20" t="s">
        <v>416</v>
      </c>
      <c r="AN20">
        <v>10238.9</v>
      </c>
      <c r="AO20">
        <v>302.21199999999999</v>
      </c>
      <c r="AP20">
        <v>4052.3</v>
      </c>
      <c r="AQ20">
        <f t="shared" si="26"/>
        <v>0.92542210596451402</v>
      </c>
      <c r="AR20">
        <v>-0.32343011824092421</v>
      </c>
      <c r="AS20" t="s">
        <v>437</v>
      </c>
      <c r="AT20">
        <v>10429</v>
      </c>
      <c r="AU20">
        <v>738.92573076923077</v>
      </c>
      <c r="AV20">
        <v>847.98374308747088</v>
      </c>
      <c r="AW20">
        <f t="shared" si="27"/>
        <v>0.12860861214292241</v>
      </c>
      <c r="AX20">
        <v>0.5</v>
      </c>
      <c r="AY20">
        <f t="shared" si="28"/>
        <v>1513.3614003291282</v>
      </c>
      <c r="AZ20">
        <f t="shared" si="29"/>
        <v>11.077748482663605</v>
      </c>
      <c r="BA20">
        <f t="shared" si="30"/>
        <v>97.315654683499389</v>
      </c>
      <c r="BB20">
        <f t="shared" si="31"/>
        <v>7.5336787355782852E-3</v>
      </c>
      <c r="BC20">
        <f t="shared" si="32"/>
        <v>3.7787472732033249</v>
      </c>
      <c r="BD20">
        <f t="shared" si="33"/>
        <v>235.76954540364653</v>
      </c>
      <c r="BE20" t="s">
        <v>438</v>
      </c>
      <c r="BF20">
        <v>562.12</v>
      </c>
      <c r="BG20">
        <f t="shared" si="34"/>
        <v>562.12</v>
      </c>
      <c r="BH20">
        <f t="shared" si="35"/>
        <v>0.33710993331859618</v>
      </c>
      <c r="BI20">
        <f t="shared" si="36"/>
        <v>0.38150347833677417</v>
      </c>
      <c r="BJ20">
        <f t="shared" si="37"/>
        <v>0.91809484236129058</v>
      </c>
      <c r="BK20">
        <f t="shared" si="38"/>
        <v>0.19982348609931858</v>
      </c>
      <c r="BL20">
        <f t="shared" si="39"/>
        <v>0.8544642837481492</v>
      </c>
      <c r="BM20">
        <f t="shared" si="40"/>
        <v>0.29021960707664307</v>
      </c>
      <c r="BN20">
        <f t="shared" si="41"/>
        <v>0.70978039292335693</v>
      </c>
      <c r="BO20">
        <v>5470</v>
      </c>
      <c r="BP20">
        <v>290.00000000000011</v>
      </c>
      <c r="BQ20">
        <v>818.03</v>
      </c>
      <c r="BR20">
        <v>205</v>
      </c>
      <c r="BS20">
        <v>10429</v>
      </c>
      <c r="BT20">
        <v>817.62</v>
      </c>
      <c r="BU20">
        <v>0.41</v>
      </c>
      <c r="BV20">
        <v>300.00000000000011</v>
      </c>
      <c r="BW20">
        <v>38.299999999999997</v>
      </c>
      <c r="BX20">
        <v>847.98374308747088</v>
      </c>
      <c r="BY20">
        <v>0.7965249314886329</v>
      </c>
      <c r="BZ20">
        <v>-31.66544599941777</v>
      </c>
      <c r="CA20">
        <v>0.67986035749169349</v>
      </c>
      <c r="CB20">
        <v>0.98725744065610865</v>
      </c>
      <c r="CC20">
        <v>-1.13204638487208E-2</v>
      </c>
      <c r="CD20">
        <v>289.99999999999989</v>
      </c>
      <c r="CE20">
        <v>815.9</v>
      </c>
      <c r="CF20">
        <v>705</v>
      </c>
      <c r="CG20">
        <v>10395.6</v>
      </c>
      <c r="CH20">
        <v>817.52</v>
      </c>
      <c r="CI20">
        <v>-1.62</v>
      </c>
      <c r="CW20">
        <f t="shared" si="42"/>
        <v>1800.21</v>
      </c>
      <c r="CX20">
        <f t="shared" si="43"/>
        <v>1513.3614003291282</v>
      </c>
      <c r="CY20">
        <f t="shared" si="44"/>
        <v>0.84065825671956507</v>
      </c>
      <c r="CZ20">
        <f t="shared" si="45"/>
        <v>0.19131651343913028</v>
      </c>
      <c r="DA20">
        <v>6</v>
      </c>
      <c r="DB20">
        <v>0.5</v>
      </c>
      <c r="DC20" t="s">
        <v>419</v>
      </c>
      <c r="DD20">
        <v>2</v>
      </c>
      <c r="DE20">
        <v>1693322608.5999999</v>
      </c>
      <c r="DF20">
        <v>106.205</v>
      </c>
      <c r="DG20">
        <v>119.976</v>
      </c>
      <c r="DH20">
        <v>28.744299999999999</v>
      </c>
      <c r="DI20">
        <v>24.3188</v>
      </c>
      <c r="DJ20">
        <v>107.465</v>
      </c>
      <c r="DK20">
        <v>28.302299999999999</v>
      </c>
      <c r="DL20">
        <v>500.23399999999998</v>
      </c>
      <c r="DM20">
        <v>99.056100000000001</v>
      </c>
      <c r="DN20">
        <v>0.100091</v>
      </c>
      <c r="DO20">
        <v>30.367699999999999</v>
      </c>
      <c r="DP20">
        <v>29.9495</v>
      </c>
      <c r="DQ20">
        <v>999.9</v>
      </c>
      <c r="DR20">
        <v>0</v>
      </c>
      <c r="DS20">
        <v>0</v>
      </c>
      <c r="DT20">
        <v>9975</v>
      </c>
      <c r="DU20">
        <v>0</v>
      </c>
      <c r="DV20">
        <v>1412.37</v>
      </c>
      <c r="DW20">
        <v>-13.771100000000001</v>
      </c>
      <c r="DX20">
        <v>109.348</v>
      </c>
      <c r="DY20">
        <v>122.967</v>
      </c>
      <c r="DZ20">
        <v>4.4255399999999998</v>
      </c>
      <c r="EA20">
        <v>119.976</v>
      </c>
      <c r="EB20">
        <v>24.3188</v>
      </c>
      <c r="EC20">
        <v>2.8473000000000002</v>
      </c>
      <c r="ED20">
        <v>2.4089200000000002</v>
      </c>
      <c r="EE20">
        <v>23.160900000000002</v>
      </c>
      <c r="EF20">
        <v>20.4239</v>
      </c>
      <c r="EG20">
        <v>1800.21</v>
      </c>
      <c r="EH20">
        <v>0.97799800000000003</v>
      </c>
      <c r="EI20">
        <v>2.2002500000000001E-2</v>
      </c>
      <c r="EJ20">
        <v>0</v>
      </c>
      <c r="EK20">
        <v>738.851</v>
      </c>
      <c r="EL20">
        <v>4.9995000000000003</v>
      </c>
      <c r="EM20">
        <v>14667.1</v>
      </c>
      <c r="EN20">
        <v>16661.7</v>
      </c>
      <c r="EO20">
        <v>49.561999999999998</v>
      </c>
      <c r="EP20">
        <v>50.875</v>
      </c>
      <c r="EQ20">
        <v>50.375</v>
      </c>
      <c r="ER20">
        <v>49.936999999999998</v>
      </c>
      <c r="ES20">
        <v>50.875</v>
      </c>
      <c r="ET20">
        <v>1755.71</v>
      </c>
      <c r="EU20">
        <v>39.5</v>
      </c>
      <c r="EV20">
        <v>0</v>
      </c>
      <c r="EW20">
        <v>110.4000000953674</v>
      </c>
      <c r="EX20">
        <v>0</v>
      </c>
      <c r="EY20">
        <v>738.92573076923077</v>
      </c>
      <c r="EZ20">
        <v>-1.612683759919189</v>
      </c>
      <c r="FA20">
        <v>-29.20683767489361</v>
      </c>
      <c r="FB20">
        <v>14671.619230769231</v>
      </c>
      <c r="FC20">
        <v>15</v>
      </c>
      <c r="FD20">
        <v>1693322577.0999999</v>
      </c>
      <c r="FE20" t="s">
        <v>439</v>
      </c>
      <c r="FF20">
        <v>1693322576.5999999</v>
      </c>
      <c r="FG20">
        <v>1693322577.0999999</v>
      </c>
      <c r="FH20">
        <v>6</v>
      </c>
      <c r="FI20">
        <v>-0.02</v>
      </c>
      <c r="FJ20">
        <v>-4.0000000000000001E-3</v>
      </c>
      <c r="FK20">
        <v>-1.2909999999999999</v>
      </c>
      <c r="FL20">
        <v>0.25700000000000001</v>
      </c>
      <c r="FM20">
        <v>120</v>
      </c>
      <c r="FN20">
        <v>25</v>
      </c>
      <c r="FO20">
        <v>0.27</v>
      </c>
      <c r="FP20">
        <v>0.05</v>
      </c>
      <c r="FQ20">
        <v>10.985838789878491</v>
      </c>
      <c r="FR20">
        <v>0.31598485231703899</v>
      </c>
      <c r="FS20">
        <v>5.4266605777902988E-2</v>
      </c>
      <c r="FT20">
        <v>1</v>
      </c>
      <c r="FU20">
        <v>0.26870574776908351</v>
      </c>
      <c r="FV20">
        <v>4.1365697570640007E-2</v>
      </c>
      <c r="FW20">
        <v>3.2141096041994441E-3</v>
      </c>
      <c r="FX20">
        <v>1</v>
      </c>
      <c r="FY20">
        <v>2</v>
      </c>
      <c r="FZ20">
        <v>2</v>
      </c>
      <c r="GA20" t="s">
        <v>421</v>
      </c>
      <c r="GB20">
        <v>2.9712000000000001</v>
      </c>
      <c r="GC20">
        <v>2.8115700000000001</v>
      </c>
      <c r="GD20">
        <v>3.0594900000000001E-2</v>
      </c>
      <c r="GE20">
        <v>3.3590799999999997E-2</v>
      </c>
      <c r="GF20">
        <v>0.13499900000000001</v>
      </c>
      <c r="GG20">
        <v>0.11970699999999999</v>
      </c>
      <c r="GH20">
        <v>28620.5</v>
      </c>
      <c r="GI20">
        <v>26417.599999999999</v>
      </c>
      <c r="GJ20">
        <v>26533.3</v>
      </c>
      <c r="GK20">
        <v>25786.9</v>
      </c>
      <c r="GL20">
        <v>31226.400000000001</v>
      </c>
      <c r="GM20">
        <v>31985.8</v>
      </c>
      <c r="GN20">
        <v>37584.400000000001</v>
      </c>
      <c r="GO20">
        <v>38169.4</v>
      </c>
      <c r="GP20">
        <v>1.9775</v>
      </c>
      <c r="GQ20">
        <v>2.0295999999999998</v>
      </c>
      <c r="GR20">
        <v>5.56409E-2</v>
      </c>
      <c r="GS20">
        <v>0</v>
      </c>
      <c r="GT20">
        <v>29.043299999999999</v>
      </c>
      <c r="GU20">
        <v>999.9</v>
      </c>
      <c r="GV20">
        <v>60.8</v>
      </c>
      <c r="GW20">
        <v>31.8</v>
      </c>
      <c r="GX20">
        <v>28.980899999999998</v>
      </c>
      <c r="GY20">
        <v>61.433199999999999</v>
      </c>
      <c r="GZ20">
        <v>12.115399999999999</v>
      </c>
      <c r="HA20">
        <v>1</v>
      </c>
      <c r="HB20">
        <v>0.25682899999999997</v>
      </c>
      <c r="HC20">
        <v>1.5489900000000001</v>
      </c>
      <c r="HD20">
        <v>20.249199999999998</v>
      </c>
      <c r="HE20">
        <v>5.2077099999999996</v>
      </c>
      <c r="HF20">
        <v>11.9321</v>
      </c>
      <c r="HG20">
        <v>4.9875999999999996</v>
      </c>
      <c r="HH20">
        <v>3.2909999999999999</v>
      </c>
      <c r="HI20">
        <v>9999</v>
      </c>
      <c r="HJ20">
        <v>9999</v>
      </c>
      <c r="HK20">
        <v>9999</v>
      </c>
      <c r="HL20">
        <v>999.9</v>
      </c>
      <c r="HM20">
        <v>1.8705400000000001</v>
      </c>
      <c r="HN20">
        <v>1.87677</v>
      </c>
      <c r="HO20">
        <v>1.8745400000000001</v>
      </c>
      <c r="HP20">
        <v>1.87277</v>
      </c>
      <c r="HQ20">
        <v>1.8732500000000001</v>
      </c>
      <c r="HR20">
        <v>1.87073</v>
      </c>
      <c r="HS20">
        <v>1.8765799999999999</v>
      </c>
      <c r="HT20">
        <v>1.87561</v>
      </c>
      <c r="HU20">
        <v>5</v>
      </c>
      <c r="HV20">
        <v>0</v>
      </c>
      <c r="HW20">
        <v>0</v>
      </c>
      <c r="HX20">
        <v>0</v>
      </c>
      <c r="HY20" t="s">
        <v>422</v>
      </c>
      <c r="HZ20" t="s">
        <v>423</v>
      </c>
      <c r="IA20" t="s">
        <v>424</v>
      </c>
      <c r="IB20" t="s">
        <v>424</v>
      </c>
      <c r="IC20" t="s">
        <v>424</v>
      </c>
      <c r="ID20" t="s">
        <v>424</v>
      </c>
      <c r="IE20">
        <v>0</v>
      </c>
      <c r="IF20">
        <v>100</v>
      </c>
      <c r="IG20">
        <v>100</v>
      </c>
      <c r="IH20">
        <v>-1.26</v>
      </c>
      <c r="II20">
        <v>0.442</v>
      </c>
      <c r="IJ20">
        <v>-0.99348021785892371</v>
      </c>
      <c r="IK20">
        <v>-2.677719669153116E-3</v>
      </c>
      <c r="IL20">
        <v>1.9353498771248068E-6</v>
      </c>
      <c r="IM20">
        <v>-6.1862177325538213E-10</v>
      </c>
      <c r="IN20">
        <v>-0.18667719494429241</v>
      </c>
      <c r="IO20">
        <v>-1.5299015507423901E-2</v>
      </c>
      <c r="IP20">
        <v>1.742162107778985E-3</v>
      </c>
      <c r="IQ20">
        <v>-1.472690239905804E-5</v>
      </c>
      <c r="IR20">
        <v>3</v>
      </c>
      <c r="IS20">
        <v>2255</v>
      </c>
      <c r="IT20">
        <v>2</v>
      </c>
      <c r="IU20">
        <v>41</v>
      </c>
      <c r="IV20">
        <v>0.5</v>
      </c>
      <c r="IW20">
        <v>0.5</v>
      </c>
      <c r="IX20">
        <v>0.400391</v>
      </c>
      <c r="IY20">
        <v>2.5</v>
      </c>
      <c r="IZ20">
        <v>1.5991200000000001</v>
      </c>
      <c r="JA20">
        <v>2.2814899999999998</v>
      </c>
      <c r="JB20">
        <v>1.5502899999999999</v>
      </c>
      <c r="JC20">
        <v>2.34497</v>
      </c>
      <c r="JD20">
        <v>37.170200000000001</v>
      </c>
      <c r="JE20">
        <v>23.877400000000002</v>
      </c>
      <c r="JF20">
        <v>18</v>
      </c>
      <c r="JG20">
        <v>505.65199999999999</v>
      </c>
      <c r="JH20">
        <v>508.39699999999999</v>
      </c>
      <c r="JI20">
        <v>25.9572</v>
      </c>
      <c r="JJ20">
        <v>30.845800000000001</v>
      </c>
      <c r="JK20">
        <v>29.9986</v>
      </c>
      <c r="JL20">
        <v>30.7913</v>
      </c>
      <c r="JM20">
        <v>30.762</v>
      </c>
      <c r="JN20">
        <v>8.0542200000000008</v>
      </c>
      <c r="JO20">
        <v>25.982600000000001</v>
      </c>
      <c r="JP20">
        <v>100</v>
      </c>
      <c r="JQ20">
        <v>26.016100000000002</v>
      </c>
      <c r="JR20">
        <v>120</v>
      </c>
      <c r="JS20">
        <v>24.296399999999998</v>
      </c>
      <c r="JT20">
        <v>99.1</v>
      </c>
      <c r="JU20">
        <v>99.134299999999996</v>
      </c>
    </row>
    <row r="21" spans="1:281" x14ac:dyDescent="0.25">
      <c r="A21">
        <v>5</v>
      </c>
      <c r="B21">
        <v>1693322720.0999999</v>
      </c>
      <c r="C21">
        <v>423</v>
      </c>
      <c r="D21" t="s">
        <v>440</v>
      </c>
      <c r="E21" t="s">
        <v>441</v>
      </c>
      <c r="F21" t="s">
        <v>413</v>
      </c>
      <c r="G21" t="s">
        <v>414</v>
      </c>
      <c r="H21" t="s">
        <v>31</v>
      </c>
      <c r="I21" t="s">
        <v>415</v>
      </c>
      <c r="J21">
        <v>1693322720.0999999</v>
      </c>
      <c r="K21">
        <f t="shared" si="0"/>
        <v>4.0186345883950108E-3</v>
      </c>
      <c r="L21">
        <f t="shared" si="1"/>
        <v>4.0186345883950105</v>
      </c>
      <c r="M21">
        <f t="shared" si="2"/>
        <v>6.7584778708346267</v>
      </c>
      <c r="N21">
        <f t="shared" si="3"/>
        <v>61.563000000000002</v>
      </c>
      <c r="O21">
        <f t="shared" si="4"/>
        <v>21.339992820601015</v>
      </c>
      <c r="P21">
        <f t="shared" si="5"/>
        <v>2.1159021358885122</v>
      </c>
      <c r="Q21">
        <f t="shared" si="6"/>
        <v>6.1040921750430011</v>
      </c>
      <c r="R21">
        <f t="shared" si="7"/>
        <v>0.28840110499894162</v>
      </c>
      <c r="S21">
        <f t="shared" si="8"/>
        <v>2.9111129863970708</v>
      </c>
      <c r="T21">
        <f t="shared" si="9"/>
        <v>0.27341619518559174</v>
      </c>
      <c r="U21">
        <f t="shared" si="10"/>
        <v>0.17216654779597376</v>
      </c>
      <c r="V21">
        <f t="shared" si="11"/>
        <v>344.40040065827503</v>
      </c>
      <c r="W21">
        <f t="shared" si="12"/>
        <v>31.38444981544783</v>
      </c>
      <c r="X21">
        <f t="shared" si="13"/>
        <v>30.002500000000001</v>
      </c>
      <c r="Y21">
        <f t="shared" si="14"/>
        <v>4.2610616025627452</v>
      </c>
      <c r="Z21">
        <f t="shared" si="15"/>
        <v>65.534137825039252</v>
      </c>
      <c r="AA21">
        <f t="shared" si="16"/>
        <v>2.8560424910166997</v>
      </c>
      <c r="AB21">
        <f t="shared" si="17"/>
        <v>4.3580988257473718</v>
      </c>
      <c r="AC21">
        <f t="shared" si="18"/>
        <v>1.4050191115460455</v>
      </c>
      <c r="AD21">
        <f t="shared" si="19"/>
        <v>-177.22178534821998</v>
      </c>
      <c r="AE21">
        <f t="shared" si="20"/>
        <v>61.616184296467729</v>
      </c>
      <c r="AF21">
        <f t="shared" si="21"/>
        <v>4.7155196921284954</v>
      </c>
      <c r="AG21">
        <f t="shared" si="22"/>
        <v>233.5103192986513</v>
      </c>
      <c r="AH21">
        <v>0</v>
      </c>
      <c r="AI21">
        <v>0</v>
      </c>
      <c r="AJ21">
        <f t="shared" si="23"/>
        <v>1</v>
      </c>
      <c r="AK21">
        <f t="shared" si="24"/>
        <v>0</v>
      </c>
      <c r="AL21">
        <f t="shared" si="25"/>
        <v>51740.006036693718</v>
      </c>
      <c r="AM21" t="s">
        <v>416</v>
      </c>
      <c r="AN21">
        <v>10238.9</v>
      </c>
      <c r="AO21">
        <v>302.21199999999999</v>
      </c>
      <c r="AP21">
        <v>4052.3</v>
      </c>
      <c r="AQ21">
        <f t="shared" si="26"/>
        <v>0.92542210596451402</v>
      </c>
      <c r="AR21">
        <v>-0.32343011824092421</v>
      </c>
      <c r="AS21" t="s">
        <v>442</v>
      </c>
      <c r="AT21">
        <v>10417.6</v>
      </c>
      <c r="AU21">
        <v>741.85219230769223</v>
      </c>
      <c r="AV21">
        <v>819.83798836829328</v>
      </c>
      <c r="AW21">
        <f t="shared" si="27"/>
        <v>9.5123423367846849E-2</v>
      </c>
      <c r="AX21">
        <v>0.5</v>
      </c>
      <c r="AY21">
        <f t="shared" si="28"/>
        <v>1513.3194003291376</v>
      </c>
      <c r="AZ21">
        <f t="shared" si="29"/>
        <v>6.7584778708346267</v>
      </c>
      <c r="BA21">
        <f t="shared" si="30"/>
        <v>71.976061004142338</v>
      </c>
      <c r="BB21">
        <f t="shared" si="31"/>
        <v>4.6797179680213444E-3</v>
      </c>
      <c r="BC21">
        <f t="shared" si="32"/>
        <v>3.9428058439512053</v>
      </c>
      <c r="BD21">
        <f t="shared" si="33"/>
        <v>233.54035595848552</v>
      </c>
      <c r="BE21" t="s">
        <v>443</v>
      </c>
      <c r="BF21">
        <v>564.69000000000005</v>
      </c>
      <c r="BG21">
        <f t="shared" si="34"/>
        <v>564.69000000000005</v>
      </c>
      <c r="BH21">
        <f t="shared" si="35"/>
        <v>0.31121757223778934</v>
      </c>
      <c r="BI21">
        <f t="shared" si="36"/>
        <v>0.30564926872177606</v>
      </c>
      <c r="BJ21">
        <f t="shared" si="37"/>
        <v>0.92684159399465726</v>
      </c>
      <c r="BK21">
        <f t="shared" si="38"/>
        <v>0.1506605112823543</v>
      </c>
      <c r="BL21">
        <f t="shared" si="39"/>
        <v>0.86196964221418448</v>
      </c>
      <c r="BM21">
        <f t="shared" si="40"/>
        <v>0.23265697310619118</v>
      </c>
      <c r="BN21">
        <f t="shared" si="41"/>
        <v>0.76734302689380884</v>
      </c>
      <c r="BO21">
        <v>5472</v>
      </c>
      <c r="BP21">
        <v>290.00000000000011</v>
      </c>
      <c r="BQ21">
        <v>800.59</v>
      </c>
      <c r="BR21">
        <v>265</v>
      </c>
      <c r="BS21">
        <v>10417.6</v>
      </c>
      <c r="BT21">
        <v>799.81</v>
      </c>
      <c r="BU21">
        <v>0.78</v>
      </c>
      <c r="BV21">
        <v>300.00000000000011</v>
      </c>
      <c r="BW21">
        <v>38.299999999999997</v>
      </c>
      <c r="BX21">
        <v>819.83798836829328</v>
      </c>
      <c r="BY21">
        <v>1.2193457885553149</v>
      </c>
      <c r="BZ21">
        <v>-20.864577745433088</v>
      </c>
      <c r="CA21">
        <v>1.040677328467196</v>
      </c>
      <c r="CB21">
        <v>0.93487824838133049</v>
      </c>
      <c r="CC21">
        <v>-1.1320620022246951E-2</v>
      </c>
      <c r="CD21">
        <v>289.99999999999989</v>
      </c>
      <c r="CE21">
        <v>798.28</v>
      </c>
      <c r="CF21">
        <v>665</v>
      </c>
      <c r="CG21">
        <v>10398.799999999999</v>
      </c>
      <c r="CH21">
        <v>799.77</v>
      </c>
      <c r="CI21">
        <v>-1.49</v>
      </c>
      <c r="CW21">
        <f t="shared" si="42"/>
        <v>1800.16</v>
      </c>
      <c r="CX21">
        <f t="shared" si="43"/>
        <v>1513.3194003291376</v>
      </c>
      <c r="CY21">
        <f t="shared" si="44"/>
        <v>0.84065827500285395</v>
      </c>
      <c r="CZ21">
        <f t="shared" si="45"/>
        <v>0.19131655000570782</v>
      </c>
      <c r="DA21">
        <v>6</v>
      </c>
      <c r="DB21">
        <v>0.5</v>
      </c>
      <c r="DC21" t="s">
        <v>419</v>
      </c>
      <c r="DD21">
        <v>2</v>
      </c>
      <c r="DE21">
        <v>1693322720.0999999</v>
      </c>
      <c r="DF21">
        <v>61.563000000000002</v>
      </c>
      <c r="DG21">
        <v>69.967799999999997</v>
      </c>
      <c r="DH21">
        <v>28.8047</v>
      </c>
      <c r="DI21">
        <v>24.122499999999999</v>
      </c>
      <c r="DJ21">
        <v>62.777900000000002</v>
      </c>
      <c r="DK21">
        <v>28.359300000000001</v>
      </c>
      <c r="DL21">
        <v>500.13400000000001</v>
      </c>
      <c r="DM21">
        <v>99.0518</v>
      </c>
      <c r="DN21">
        <v>0.100161</v>
      </c>
      <c r="DO21">
        <v>30.395099999999999</v>
      </c>
      <c r="DP21">
        <v>30.002500000000001</v>
      </c>
      <c r="DQ21">
        <v>999.9</v>
      </c>
      <c r="DR21">
        <v>0</v>
      </c>
      <c r="DS21">
        <v>0</v>
      </c>
      <c r="DT21">
        <v>9990</v>
      </c>
      <c r="DU21">
        <v>0</v>
      </c>
      <c r="DV21">
        <v>1422.87</v>
      </c>
      <c r="DW21">
        <v>-8.4047699999999992</v>
      </c>
      <c r="DX21">
        <v>63.3889</v>
      </c>
      <c r="DY21">
        <v>71.697299999999998</v>
      </c>
      <c r="DZ21">
        <v>4.6822400000000002</v>
      </c>
      <c r="EA21">
        <v>69.967799999999997</v>
      </c>
      <c r="EB21">
        <v>24.122499999999999</v>
      </c>
      <c r="EC21">
        <v>2.8531599999999999</v>
      </c>
      <c r="ED21">
        <v>2.3893800000000001</v>
      </c>
      <c r="EE21">
        <v>23.194900000000001</v>
      </c>
      <c r="EF21">
        <v>20.291899999999998</v>
      </c>
      <c r="EG21">
        <v>1800.16</v>
      </c>
      <c r="EH21">
        <v>0.97799800000000003</v>
      </c>
      <c r="EI21">
        <v>2.2002500000000001E-2</v>
      </c>
      <c r="EJ21">
        <v>0</v>
      </c>
      <c r="EK21">
        <v>741.53200000000004</v>
      </c>
      <c r="EL21">
        <v>4.9995000000000003</v>
      </c>
      <c r="EM21">
        <v>14715.7</v>
      </c>
      <c r="EN21">
        <v>16661.3</v>
      </c>
      <c r="EO21">
        <v>49.686999999999998</v>
      </c>
      <c r="EP21">
        <v>51</v>
      </c>
      <c r="EQ21">
        <v>50.436999999999998</v>
      </c>
      <c r="ER21">
        <v>50.061999999999998</v>
      </c>
      <c r="ES21">
        <v>50.936999999999998</v>
      </c>
      <c r="ET21">
        <v>1755.66</v>
      </c>
      <c r="EU21">
        <v>39.5</v>
      </c>
      <c r="EV21">
        <v>0</v>
      </c>
      <c r="EW21">
        <v>109.4000000953674</v>
      </c>
      <c r="EX21">
        <v>0</v>
      </c>
      <c r="EY21">
        <v>741.85219230769223</v>
      </c>
      <c r="EZ21">
        <v>-1.575829056683612</v>
      </c>
      <c r="FA21">
        <v>-33.504273503180038</v>
      </c>
      <c r="FB21">
        <v>14720.323076923079</v>
      </c>
      <c r="FC21">
        <v>15</v>
      </c>
      <c r="FD21">
        <v>1693322689.0999999</v>
      </c>
      <c r="FE21" t="s">
        <v>444</v>
      </c>
      <c r="FF21">
        <v>1693322679.0999999</v>
      </c>
      <c r="FG21">
        <v>1693322689.0999999</v>
      </c>
      <c r="FH21">
        <v>7</v>
      </c>
      <c r="FI21">
        <v>-6.0999999999999999E-2</v>
      </c>
      <c r="FJ21">
        <v>1E-3</v>
      </c>
      <c r="FK21">
        <v>-1.2350000000000001</v>
      </c>
      <c r="FL21">
        <v>0.23499999999999999</v>
      </c>
      <c r="FM21">
        <v>70</v>
      </c>
      <c r="FN21">
        <v>24</v>
      </c>
      <c r="FO21">
        <v>0.5</v>
      </c>
      <c r="FP21">
        <v>0.05</v>
      </c>
      <c r="FQ21">
        <v>6.7880149917236237</v>
      </c>
      <c r="FR21">
        <v>0.32771626252506447</v>
      </c>
      <c r="FS21">
        <v>5.5276515265953709E-2</v>
      </c>
      <c r="FT21">
        <v>1</v>
      </c>
      <c r="FU21">
        <v>0.28966882220704088</v>
      </c>
      <c r="FV21">
        <v>2.818750896662698E-2</v>
      </c>
      <c r="FW21">
        <v>3.1120460392944009E-3</v>
      </c>
      <c r="FX21">
        <v>1</v>
      </c>
      <c r="FY21">
        <v>2</v>
      </c>
      <c r="FZ21">
        <v>2</v>
      </c>
      <c r="GA21" t="s">
        <v>421</v>
      </c>
      <c r="GB21">
        <v>2.9709099999999999</v>
      </c>
      <c r="GC21">
        <v>2.8117700000000001</v>
      </c>
      <c r="GD21">
        <v>1.81218E-2</v>
      </c>
      <c r="GE21">
        <v>1.99189E-2</v>
      </c>
      <c r="GF21">
        <v>0.13516800000000001</v>
      </c>
      <c r="GG21">
        <v>0.119015</v>
      </c>
      <c r="GH21">
        <v>28988.400000000001</v>
      </c>
      <c r="GI21">
        <v>26788</v>
      </c>
      <c r="GJ21">
        <v>26533.3</v>
      </c>
      <c r="GK21">
        <v>25784</v>
      </c>
      <c r="GL21">
        <v>31218.7</v>
      </c>
      <c r="GM21">
        <v>32006.5</v>
      </c>
      <c r="GN21">
        <v>37583.199999999997</v>
      </c>
      <c r="GO21">
        <v>38165.1</v>
      </c>
      <c r="GP21">
        <v>1.9763999999999999</v>
      </c>
      <c r="GQ21">
        <v>2.0283000000000002</v>
      </c>
      <c r="GR21">
        <v>5.5313099999999997E-2</v>
      </c>
      <c r="GS21">
        <v>0</v>
      </c>
      <c r="GT21">
        <v>29.101700000000001</v>
      </c>
      <c r="GU21">
        <v>999.9</v>
      </c>
      <c r="GV21">
        <v>60.7</v>
      </c>
      <c r="GW21">
        <v>31.8</v>
      </c>
      <c r="GX21">
        <v>28.9316</v>
      </c>
      <c r="GY21">
        <v>61.663200000000003</v>
      </c>
      <c r="GZ21">
        <v>12.039300000000001</v>
      </c>
      <c r="HA21">
        <v>1</v>
      </c>
      <c r="HB21">
        <v>0.26374999999999998</v>
      </c>
      <c r="HC21">
        <v>2.3114499999999998</v>
      </c>
      <c r="HD21">
        <v>20.240300000000001</v>
      </c>
      <c r="HE21">
        <v>5.2077099999999996</v>
      </c>
      <c r="HF21">
        <v>11.9321</v>
      </c>
      <c r="HG21">
        <v>4.9871999999999996</v>
      </c>
      <c r="HH21">
        <v>3.2909999999999999</v>
      </c>
      <c r="HI21">
        <v>9999</v>
      </c>
      <c r="HJ21">
        <v>9999</v>
      </c>
      <c r="HK21">
        <v>9999</v>
      </c>
      <c r="HL21">
        <v>999.9</v>
      </c>
      <c r="HM21">
        <v>1.8705700000000001</v>
      </c>
      <c r="HN21">
        <v>1.87683</v>
      </c>
      <c r="HO21">
        <v>1.8745400000000001</v>
      </c>
      <c r="HP21">
        <v>1.8727799999999999</v>
      </c>
      <c r="HQ21">
        <v>1.8732800000000001</v>
      </c>
      <c r="HR21">
        <v>1.87073</v>
      </c>
      <c r="HS21">
        <v>1.8766099999999999</v>
      </c>
      <c r="HT21">
        <v>1.87561</v>
      </c>
      <c r="HU21">
        <v>5</v>
      </c>
      <c r="HV21">
        <v>0</v>
      </c>
      <c r="HW21">
        <v>0</v>
      </c>
      <c r="HX21">
        <v>0</v>
      </c>
      <c r="HY21" t="s">
        <v>422</v>
      </c>
      <c r="HZ21" t="s">
        <v>423</v>
      </c>
      <c r="IA21" t="s">
        <v>424</v>
      </c>
      <c r="IB21" t="s">
        <v>424</v>
      </c>
      <c r="IC21" t="s">
        <v>424</v>
      </c>
      <c r="ID21" t="s">
        <v>424</v>
      </c>
      <c r="IE21">
        <v>0</v>
      </c>
      <c r="IF21">
        <v>100</v>
      </c>
      <c r="IG21">
        <v>100</v>
      </c>
      <c r="IH21">
        <v>-1.2150000000000001</v>
      </c>
      <c r="II21">
        <v>0.44540000000000002</v>
      </c>
      <c r="IJ21">
        <v>-1.0542677986546889</v>
      </c>
      <c r="IK21">
        <v>-2.677719669153116E-3</v>
      </c>
      <c r="IL21">
        <v>1.9353498771248068E-6</v>
      </c>
      <c r="IM21">
        <v>-6.1862177325538213E-10</v>
      </c>
      <c r="IN21">
        <v>-0.18598024563121021</v>
      </c>
      <c r="IO21">
        <v>-1.5299015507423901E-2</v>
      </c>
      <c r="IP21">
        <v>1.742162107778985E-3</v>
      </c>
      <c r="IQ21">
        <v>-1.472690239905804E-5</v>
      </c>
      <c r="IR21">
        <v>3</v>
      </c>
      <c r="IS21">
        <v>2255</v>
      </c>
      <c r="IT21">
        <v>2</v>
      </c>
      <c r="IU21">
        <v>41</v>
      </c>
      <c r="IV21">
        <v>0.7</v>
      </c>
      <c r="IW21">
        <v>0.5</v>
      </c>
      <c r="IX21">
        <v>0.29663099999999998</v>
      </c>
      <c r="IY21">
        <v>2.52197</v>
      </c>
      <c r="IZ21">
        <v>1.5991200000000001</v>
      </c>
      <c r="JA21">
        <v>2.2827099999999998</v>
      </c>
      <c r="JB21">
        <v>1.5502899999999999</v>
      </c>
      <c r="JC21">
        <v>2.35229</v>
      </c>
      <c r="JD21">
        <v>37.194099999999999</v>
      </c>
      <c r="JE21">
        <v>23.877400000000002</v>
      </c>
      <c r="JF21">
        <v>18</v>
      </c>
      <c r="JG21">
        <v>505.34100000000001</v>
      </c>
      <c r="JH21">
        <v>507.94</v>
      </c>
      <c r="JI21">
        <v>25.898499999999999</v>
      </c>
      <c r="JJ21">
        <v>30.891500000000001</v>
      </c>
      <c r="JK21">
        <v>30.0002</v>
      </c>
      <c r="JL21">
        <v>30.839500000000001</v>
      </c>
      <c r="JM21">
        <v>30.81</v>
      </c>
      <c r="JN21">
        <v>5.9869700000000003</v>
      </c>
      <c r="JO21">
        <v>26.590399999999999</v>
      </c>
      <c r="JP21">
        <v>100</v>
      </c>
      <c r="JQ21">
        <v>25.912199999999999</v>
      </c>
      <c r="JR21">
        <v>70</v>
      </c>
      <c r="JS21">
        <v>24.062200000000001</v>
      </c>
      <c r="JT21">
        <v>99.098100000000002</v>
      </c>
      <c r="JU21">
        <v>99.123199999999997</v>
      </c>
    </row>
    <row r="22" spans="1:281" x14ac:dyDescent="0.25">
      <c r="A22">
        <v>6</v>
      </c>
      <c r="B22">
        <v>1693322826.0999999</v>
      </c>
      <c r="C22">
        <v>529</v>
      </c>
      <c r="D22" t="s">
        <v>445</v>
      </c>
      <c r="E22" t="s">
        <v>446</v>
      </c>
      <c r="F22" t="s">
        <v>413</v>
      </c>
      <c r="G22" t="s">
        <v>414</v>
      </c>
      <c r="H22" t="s">
        <v>31</v>
      </c>
      <c r="I22" t="s">
        <v>415</v>
      </c>
      <c r="J22">
        <v>1693322826.0999999</v>
      </c>
      <c r="K22">
        <f t="shared" si="0"/>
        <v>4.1844132085012272E-3</v>
      </c>
      <c r="L22">
        <f t="shared" si="1"/>
        <v>4.1844132085012271</v>
      </c>
      <c r="M22">
        <f t="shared" si="2"/>
        <v>3.0674879829555692</v>
      </c>
      <c r="N22">
        <f t="shared" si="3"/>
        <v>26.132999999999999</v>
      </c>
      <c r="O22">
        <f t="shared" si="4"/>
        <v>8.6873336861172703</v>
      </c>
      <c r="P22">
        <f t="shared" si="5"/>
        <v>0.8613703954902574</v>
      </c>
      <c r="Q22">
        <f t="shared" si="6"/>
        <v>2.5911509052908994</v>
      </c>
      <c r="R22">
        <f t="shared" si="7"/>
        <v>0.30219157756988724</v>
      </c>
      <c r="S22">
        <f t="shared" si="8"/>
        <v>2.9084990314282555</v>
      </c>
      <c r="T22">
        <f t="shared" si="9"/>
        <v>0.28576923130528087</v>
      </c>
      <c r="U22">
        <f t="shared" si="10"/>
        <v>0.18000684287747079</v>
      </c>
      <c r="V22">
        <f t="shared" si="11"/>
        <v>344.32438749006474</v>
      </c>
      <c r="W22">
        <f t="shared" si="12"/>
        <v>31.379498963418062</v>
      </c>
      <c r="X22">
        <f t="shared" si="13"/>
        <v>29.995100000000001</v>
      </c>
      <c r="Y22">
        <f t="shared" si="14"/>
        <v>4.2592508074328181</v>
      </c>
      <c r="Z22">
        <f t="shared" si="15"/>
        <v>65.471238618378351</v>
      </c>
      <c r="AA22">
        <f t="shared" si="16"/>
        <v>2.85951691915308</v>
      </c>
      <c r="AB22">
        <f t="shared" si="17"/>
        <v>4.3675925177172203</v>
      </c>
      <c r="AC22">
        <f t="shared" si="18"/>
        <v>1.3997338882797381</v>
      </c>
      <c r="AD22">
        <f t="shared" si="19"/>
        <v>-184.53262249490413</v>
      </c>
      <c r="AE22">
        <f t="shared" si="20"/>
        <v>68.679713904673548</v>
      </c>
      <c r="AF22">
        <f t="shared" si="21"/>
        <v>5.2616162113583007</v>
      </c>
      <c r="AG22">
        <f t="shared" si="22"/>
        <v>233.73309511119243</v>
      </c>
      <c r="AH22">
        <v>0</v>
      </c>
      <c r="AI22">
        <v>0</v>
      </c>
      <c r="AJ22">
        <f t="shared" si="23"/>
        <v>1</v>
      </c>
      <c r="AK22">
        <f t="shared" si="24"/>
        <v>0</v>
      </c>
      <c r="AL22">
        <f t="shared" si="25"/>
        <v>51659.353433495242</v>
      </c>
      <c r="AM22" t="s">
        <v>416</v>
      </c>
      <c r="AN22">
        <v>10238.9</v>
      </c>
      <c r="AO22">
        <v>302.21199999999999</v>
      </c>
      <c r="AP22">
        <v>4052.3</v>
      </c>
      <c r="AQ22">
        <f t="shared" si="26"/>
        <v>0.92542210596451402</v>
      </c>
      <c r="AR22">
        <v>-0.32343011824092421</v>
      </c>
      <c r="AS22" t="s">
        <v>447</v>
      </c>
      <c r="AT22">
        <v>10415.299999999999</v>
      </c>
      <c r="AU22">
        <v>744.83991999999989</v>
      </c>
      <c r="AV22">
        <v>803.7428302149051</v>
      </c>
      <c r="AW22">
        <f t="shared" si="27"/>
        <v>7.3285767537305091E-2</v>
      </c>
      <c r="AX22">
        <v>0.5</v>
      </c>
      <c r="AY22">
        <f t="shared" si="28"/>
        <v>1512.9833937450326</v>
      </c>
      <c r="AZ22">
        <f t="shared" si="29"/>
        <v>3.0674879829555692</v>
      </c>
      <c r="BA22">
        <f t="shared" si="30"/>
        <v>55.440074640900697</v>
      </c>
      <c r="BB22">
        <f t="shared" si="31"/>
        <v>2.2412130332792866E-3</v>
      </c>
      <c r="BC22">
        <f t="shared" si="32"/>
        <v>4.0417868099880838</v>
      </c>
      <c r="BD22">
        <f t="shared" si="33"/>
        <v>232.21569842935784</v>
      </c>
      <c r="BE22" t="s">
        <v>448</v>
      </c>
      <c r="BF22">
        <v>572.1</v>
      </c>
      <c r="BG22">
        <f t="shared" si="34"/>
        <v>572.1</v>
      </c>
      <c r="BH22">
        <f t="shared" si="35"/>
        <v>0.2882051590469159</v>
      </c>
      <c r="BI22">
        <f t="shared" si="36"/>
        <v>0.25428332990172164</v>
      </c>
      <c r="BJ22">
        <f t="shared" si="37"/>
        <v>0.93343979362826701</v>
      </c>
      <c r="BK22">
        <f t="shared" si="38"/>
        <v>0.11744623992440387</v>
      </c>
      <c r="BL22">
        <f t="shared" si="39"/>
        <v>0.86626158367086181</v>
      </c>
      <c r="BM22">
        <f t="shared" si="40"/>
        <v>0.19531108514803419</v>
      </c>
      <c r="BN22">
        <f t="shared" si="41"/>
        <v>0.80468891485196581</v>
      </c>
      <c r="BO22">
        <v>5474</v>
      </c>
      <c r="BP22">
        <v>290.00000000000011</v>
      </c>
      <c r="BQ22">
        <v>787.57</v>
      </c>
      <c r="BR22">
        <v>275</v>
      </c>
      <c r="BS22">
        <v>10415.299999999999</v>
      </c>
      <c r="BT22">
        <v>787.19</v>
      </c>
      <c r="BU22">
        <v>0.38</v>
      </c>
      <c r="BV22">
        <v>300.00000000000011</v>
      </c>
      <c r="BW22">
        <v>38.299999999999997</v>
      </c>
      <c r="BX22">
        <v>803.7428302149051</v>
      </c>
      <c r="BY22">
        <v>0.84654951769682918</v>
      </c>
      <c r="BZ22">
        <v>-17.23576773340675</v>
      </c>
      <c r="CA22">
        <v>0.72247736115871453</v>
      </c>
      <c r="CB22">
        <v>0.95310917212957014</v>
      </c>
      <c r="CC22">
        <v>-1.131875951056731E-2</v>
      </c>
      <c r="CD22">
        <v>289.99999999999989</v>
      </c>
      <c r="CE22">
        <v>785.59</v>
      </c>
      <c r="CF22">
        <v>695</v>
      </c>
      <c r="CG22">
        <v>10395.200000000001</v>
      </c>
      <c r="CH22">
        <v>787.16</v>
      </c>
      <c r="CI22">
        <v>-1.57</v>
      </c>
      <c r="CW22">
        <f t="shared" si="42"/>
        <v>1799.76</v>
      </c>
      <c r="CX22">
        <f t="shared" si="43"/>
        <v>1512.9833937450326</v>
      </c>
      <c r="CY22">
        <f t="shared" si="44"/>
        <v>0.84065841764737104</v>
      </c>
      <c r="CZ22">
        <f t="shared" si="45"/>
        <v>0.19131683529474192</v>
      </c>
      <c r="DA22">
        <v>6</v>
      </c>
      <c r="DB22">
        <v>0.5</v>
      </c>
      <c r="DC22" t="s">
        <v>419</v>
      </c>
      <c r="DD22">
        <v>2</v>
      </c>
      <c r="DE22">
        <v>1693322826.0999999</v>
      </c>
      <c r="DF22">
        <v>26.132999999999999</v>
      </c>
      <c r="DG22">
        <v>29.9435</v>
      </c>
      <c r="DH22">
        <v>28.839600000000001</v>
      </c>
      <c r="DI22">
        <v>23.965299999999999</v>
      </c>
      <c r="DJ22">
        <v>27.363700000000001</v>
      </c>
      <c r="DK22">
        <v>28.394300000000001</v>
      </c>
      <c r="DL22">
        <v>500.22399999999999</v>
      </c>
      <c r="DM22">
        <v>99.052499999999995</v>
      </c>
      <c r="DN22">
        <v>9.9947300000000003E-2</v>
      </c>
      <c r="DO22">
        <v>30.4331</v>
      </c>
      <c r="DP22">
        <v>29.995100000000001</v>
      </c>
      <c r="DQ22">
        <v>999.9</v>
      </c>
      <c r="DR22">
        <v>0</v>
      </c>
      <c r="DS22">
        <v>0</v>
      </c>
      <c r="DT22">
        <v>9975</v>
      </c>
      <c r="DU22">
        <v>0</v>
      </c>
      <c r="DV22">
        <v>1427.39</v>
      </c>
      <c r="DW22">
        <v>-3.8105099999999998</v>
      </c>
      <c r="DX22">
        <v>26.908999999999999</v>
      </c>
      <c r="DY22">
        <v>30.678699999999999</v>
      </c>
      <c r="DZ22">
        <v>4.8743499999999997</v>
      </c>
      <c r="EA22">
        <v>29.9435</v>
      </c>
      <c r="EB22">
        <v>23.965299999999999</v>
      </c>
      <c r="EC22">
        <v>2.8566400000000001</v>
      </c>
      <c r="ED22">
        <v>2.3738199999999998</v>
      </c>
      <c r="EE22">
        <v>23.2151</v>
      </c>
      <c r="EF22">
        <v>20.186299999999999</v>
      </c>
      <c r="EG22">
        <v>1799.76</v>
      </c>
      <c r="EH22">
        <v>0.97799400000000003</v>
      </c>
      <c r="EI22">
        <v>2.2006000000000001E-2</v>
      </c>
      <c r="EJ22">
        <v>0</v>
      </c>
      <c r="EK22">
        <v>744.54600000000005</v>
      </c>
      <c r="EL22">
        <v>4.9995000000000003</v>
      </c>
      <c r="EM22">
        <v>14772.8</v>
      </c>
      <c r="EN22">
        <v>16657.599999999999</v>
      </c>
      <c r="EO22">
        <v>49.75</v>
      </c>
      <c r="EP22">
        <v>51.061999999999998</v>
      </c>
      <c r="EQ22">
        <v>50.561999999999998</v>
      </c>
      <c r="ER22">
        <v>50.125</v>
      </c>
      <c r="ES22">
        <v>51.061999999999998</v>
      </c>
      <c r="ET22">
        <v>1755.27</v>
      </c>
      <c r="EU22">
        <v>39.5</v>
      </c>
      <c r="EV22">
        <v>0</v>
      </c>
      <c r="EW22">
        <v>103.7999999523163</v>
      </c>
      <c r="EX22">
        <v>0</v>
      </c>
      <c r="EY22">
        <v>744.83991999999989</v>
      </c>
      <c r="EZ22">
        <v>-1.6995384605406469</v>
      </c>
      <c r="FA22">
        <v>-19.215384651418301</v>
      </c>
      <c r="FB22">
        <v>14775.227999999999</v>
      </c>
      <c r="FC22">
        <v>15</v>
      </c>
      <c r="FD22">
        <v>1693322796.0999999</v>
      </c>
      <c r="FE22" t="s">
        <v>449</v>
      </c>
      <c r="FF22">
        <v>1693322794.5999999</v>
      </c>
      <c r="FG22">
        <v>1693322796.0999999</v>
      </c>
      <c r="FH22">
        <v>8</v>
      </c>
      <c r="FI22">
        <v>-0.105</v>
      </c>
      <c r="FJ22">
        <v>-2E-3</v>
      </c>
      <c r="FK22">
        <v>-1.2410000000000001</v>
      </c>
      <c r="FL22">
        <v>0.224</v>
      </c>
      <c r="FM22">
        <v>30</v>
      </c>
      <c r="FN22">
        <v>24</v>
      </c>
      <c r="FO22">
        <v>0.54</v>
      </c>
      <c r="FP22">
        <v>0.04</v>
      </c>
      <c r="FQ22">
        <v>3.06811847593967</v>
      </c>
      <c r="FR22">
        <v>5.3926148883035159E-2</v>
      </c>
      <c r="FS22">
        <v>4.0840761707289702E-2</v>
      </c>
      <c r="FT22">
        <v>1</v>
      </c>
      <c r="FU22">
        <v>0.30112068286929788</v>
      </c>
      <c r="FV22">
        <v>4.4822199721877017E-2</v>
      </c>
      <c r="FW22">
        <v>4.4854085138371878E-3</v>
      </c>
      <c r="FX22">
        <v>1</v>
      </c>
      <c r="FY22">
        <v>2</v>
      </c>
      <c r="FZ22">
        <v>2</v>
      </c>
      <c r="GA22" t="s">
        <v>421</v>
      </c>
      <c r="GB22">
        <v>2.9710999999999999</v>
      </c>
      <c r="GC22">
        <v>2.8114300000000001</v>
      </c>
      <c r="GD22">
        <v>7.9391099999999992E-3</v>
      </c>
      <c r="GE22">
        <v>8.5764799999999992E-3</v>
      </c>
      <c r="GF22">
        <v>0.135268</v>
      </c>
      <c r="GG22">
        <v>0.11845899999999999</v>
      </c>
      <c r="GH22">
        <v>29287.3</v>
      </c>
      <c r="GI22">
        <v>27095.1</v>
      </c>
      <c r="GJ22">
        <v>26532.1</v>
      </c>
      <c r="GK22">
        <v>25781.7</v>
      </c>
      <c r="GL22">
        <v>31213.9</v>
      </c>
      <c r="GM22">
        <v>32023.200000000001</v>
      </c>
      <c r="GN22">
        <v>37582</v>
      </c>
      <c r="GO22">
        <v>38161.800000000003</v>
      </c>
      <c r="GP22">
        <v>1.9759</v>
      </c>
      <c r="GQ22">
        <v>2.0261</v>
      </c>
      <c r="GR22">
        <v>5.2258400000000003E-2</v>
      </c>
      <c r="GS22">
        <v>0</v>
      </c>
      <c r="GT22">
        <v>29.144100000000002</v>
      </c>
      <c r="GU22">
        <v>999.9</v>
      </c>
      <c r="GV22">
        <v>60.5</v>
      </c>
      <c r="GW22">
        <v>31.8</v>
      </c>
      <c r="GX22">
        <v>28.837700000000002</v>
      </c>
      <c r="GY22">
        <v>61.563200000000002</v>
      </c>
      <c r="GZ22">
        <v>12.776400000000001</v>
      </c>
      <c r="HA22">
        <v>1</v>
      </c>
      <c r="HB22">
        <v>0.269482</v>
      </c>
      <c r="HC22">
        <v>2.4150800000000001</v>
      </c>
      <c r="HD22">
        <v>20.238499999999998</v>
      </c>
      <c r="HE22">
        <v>5.2095000000000002</v>
      </c>
      <c r="HF22">
        <v>11.9321</v>
      </c>
      <c r="HG22">
        <v>4.9874000000000001</v>
      </c>
      <c r="HH22">
        <v>3.2909999999999999</v>
      </c>
      <c r="HI22">
        <v>9999</v>
      </c>
      <c r="HJ22">
        <v>9999</v>
      </c>
      <c r="HK22">
        <v>9999</v>
      </c>
      <c r="HL22">
        <v>999.9</v>
      </c>
      <c r="HM22">
        <v>1.8705700000000001</v>
      </c>
      <c r="HN22">
        <v>1.8768</v>
      </c>
      <c r="HO22">
        <v>1.8745400000000001</v>
      </c>
      <c r="HP22">
        <v>1.87283</v>
      </c>
      <c r="HQ22">
        <v>1.8733</v>
      </c>
      <c r="HR22">
        <v>1.87073</v>
      </c>
      <c r="HS22">
        <v>1.8765799999999999</v>
      </c>
      <c r="HT22">
        <v>1.8756299999999999</v>
      </c>
      <c r="HU22">
        <v>5</v>
      </c>
      <c r="HV22">
        <v>0</v>
      </c>
      <c r="HW22">
        <v>0</v>
      </c>
      <c r="HX22">
        <v>0</v>
      </c>
      <c r="HY22" t="s">
        <v>422</v>
      </c>
      <c r="HZ22" t="s">
        <v>423</v>
      </c>
      <c r="IA22" t="s">
        <v>424</v>
      </c>
      <c r="IB22" t="s">
        <v>424</v>
      </c>
      <c r="IC22" t="s">
        <v>424</v>
      </c>
      <c r="ID22" t="s">
        <v>424</v>
      </c>
      <c r="IE22">
        <v>0</v>
      </c>
      <c r="IF22">
        <v>100</v>
      </c>
      <c r="IG22">
        <v>100</v>
      </c>
      <c r="IH22">
        <v>-1.2310000000000001</v>
      </c>
      <c r="II22">
        <v>0.44529999999999997</v>
      </c>
      <c r="IJ22">
        <v>-1.158918513810661</v>
      </c>
      <c r="IK22">
        <v>-2.677719669153116E-3</v>
      </c>
      <c r="IL22">
        <v>1.9353498771248068E-6</v>
      </c>
      <c r="IM22">
        <v>-6.1862177325538213E-10</v>
      </c>
      <c r="IN22">
        <v>-0.1877690268181437</v>
      </c>
      <c r="IO22">
        <v>-1.5299015507423901E-2</v>
      </c>
      <c r="IP22">
        <v>1.742162107778985E-3</v>
      </c>
      <c r="IQ22">
        <v>-1.472690239905804E-5</v>
      </c>
      <c r="IR22">
        <v>3</v>
      </c>
      <c r="IS22">
        <v>2255</v>
      </c>
      <c r="IT22">
        <v>2</v>
      </c>
      <c r="IU22">
        <v>41</v>
      </c>
      <c r="IV22">
        <v>0.5</v>
      </c>
      <c r="IW22">
        <v>0.5</v>
      </c>
      <c r="IX22">
        <v>0.21606400000000001</v>
      </c>
      <c r="IY22">
        <v>2.5476100000000002</v>
      </c>
      <c r="IZ22">
        <v>1.5991200000000001</v>
      </c>
      <c r="JA22">
        <v>2.2814899999999998</v>
      </c>
      <c r="JB22">
        <v>1.5502899999999999</v>
      </c>
      <c r="JC22">
        <v>2.3168899999999999</v>
      </c>
      <c r="JD22">
        <v>37.241999999999997</v>
      </c>
      <c r="JE22">
        <v>23.877400000000002</v>
      </c>
      <c r="JF22">
        <v>18</v>
      </c>
      <c r="JG22">
        <v>505.483</v>
      </c>
      <c r="JH22">
        <v>506.95</v>
      </c>
      <c r="JI22">
        <v>25.857600000000001</v>
      </c>
      <c r="JJ22">
        <v>30.953700000000001</v>
      </c>
      <c r="JK22">
        <v>30.000399999999999</v>
      </c>
      <c r="JL22">
        <v>30.896100000000001</v>
      </c>
      <c r="JM22">
        <v>30.8659</v>
      </c>
      <c r="JN22">
        <v>4.3602400000000001</v>
      </c>
      <c r="JO22">
        <v>27.256599999999999</v>
      </c>
      <c r="JP22">
        <v>100</v>
      </c>
      <c r="JQ22">
        <v>25.8657</v>
      </c>
      <c r="JR22">
        <v>30</v>
      </c>
      <c r="JS22">
        <v>23.883900000000001</v>
      </c>
      <c r="JT22">
        <v>99.094300000000004</v>
      </c>
      <c r="JU22">
        <v>99.114400000000003</v>
      </c>
    </row>
    <row r="23" spans="1:281" x14ac:dyDescent="0.25">
      <c r="A23">
        <v>7</v>
      </c>
      <c r="B23">
        <v>1693322927.5999999</v>
      </c>
      <c r="C23">
        <v>630.5</v>
      </c>
      <c r="D23" t="s">
        <v>450</v>
      </c>
      <c r="E23" t="s">
        <v>451</v>
      </c>
      <c r="F23" t="s">
        <v>413</v>
      </c>
      <c r="G23" t="s">
        <v>414</v>
      </c>
      <c r="H23" t="s">
        <v>31</v>
      </c>
      <c r="I23" t="s">
        <v>415</v>
      </c>
      <c r="J23">
        <v>1693322927.5999999</v>
      </c>
      <c r="K23">
        <f t="shared" si="0"/>
        <v>4.2463130374731043E-3</v>
      </c>
      <c r="L23">
        <f t="shared" si="1"/>
        <v>4.2463130374731044</v>
      </c>
      <c r="M23">
        <f t="shared" si="2"/>
        <v>1.0239161674749939</v>
      </c>
      <c r="N23">
        <f t="shared" si="3"/>
        <v>8.7430800000000009</v>
      </c>
      <c r="O23">
        <f t="shared" si="4"/>
        <v>3.0165089574033699</v>
      </c>
      <c r="P23">
        <f t="shared" si="5"/>
        <v>0.2991009858181809</v>
      </c>
      <c r="Q23">
        <f t="shared" si="6"/>
        <v>0.86691731535194416</v>
      </c>
      <c r="R23">
        <f t="shared" si="7"/>
        <v>0.30770921154893027</v>
      </c>
      <c r="S23">
        <f t="shared" si="8"/>
        <v>2.9164124497229205</v>
      </c>
      <c r="T23">
        <f t="shared" si="9"/>
        <v>0.29074323074829356</v>
      </c>
      <c r="U23">
        <f t="shared" si="10"/>
        <v>0.18316084924565365</v>
      </c>
      <c r="V23">
        <f t="shared" si="11"/>
        <v>344.40040065827503</v>
      </c>
      <c r="W23">
        <f t="shared" si="12"/>
        <v>31.364533744745678</v>
      </c>
      <c r="X23">
        <f t="shared" si="13"/>
        <v>29.9481</v>
      </c>
      <c r="Y23">
        <f t="shared" si="14"/>
        <v>4.2477654599295001</v>
      </c>
      <c r="Z23">
        <f t="shared" si="15"/>
        <v>65.274967895045805</v>
      </c>
      <c r="AA23">
        <f t="shared" si="16"/>
        <v>2.8514506773316803</v>
      </c>
      <c r="AB23">
        <f t="shared" si="17"/>
        <v>4.3683677974632875</v>
      </c>
      <c r="AC23">
        <f t="shared" si="18"/>
        <v>1.3963147825978197</v>
      </c>
      <c r="AD23">
        <f t="shared" si="19"/>
        <v>-187.26240495256391</v>
      </c>
      <c r="AE23">
        <f t="shared" si="20"/>
        <v>76.743781421656337</v>
      </c>
      <c r="AF23">
        <f t="shared" si="21"/>
        <v>5.8621860594166844</v>
      </c>
      <c r="AG23">
        <f t="shared" si="22"/>
        <v>239.74396318678413</v>
      </c>
      <c r="AH23">
        <v>0</v>
      </c>
      <c r="AI23">
        <v>0</v>
      </c>
      <c r="AJ23">
        <f t="shared" si="23"/>
        <v>1</v>
      </c>
      <c r="AK23">
        <f t="shared" si="24"/>
        <v>0</v>
      </c>
      <c r="AL23">
        <f t="shared" si="25"/>
        <v>51883.598444918905</v>
      </c>
      <c r="AM23" t="s">
        <v>416</v>
      </c>
      <c r="AN23">
        <v>10238.9</v>
      </c>
      <c r="AO23">
        <v>302.21199999999999</v>
      </c>
      <c r="AP23">
        <v>4052.3</v>
      </c>
      <c r="AQ23">
        <f t="shared" si="26"/>
        <v>0.92542210596451402</v>
      </c>
      <c r="AR23">
        <v>-0.32343011824092421</v>
      </c>
      <c r="AS23" t="s">
        <v>452</v>
      </c>
      <c r="AT23">
        <v>10443.6</v>
      </c>
      <c r="AU23">
        <v>745.33669230769237</v>
      </c>
      <c r="AV23">
        <v>793.14428476501246</v>
      </c>
      <c r="AW23">
        <f t="shared" si="27"/>
        <v>6.0276034733685591E-2</v>
      </c>
      <c r="AX23">
        <v>0.5</v>
      </c>
      <c r="AY23">
        <f t="shared" si="28"/>
        <v>1513.3194003291376</v>
      </c>
      <c r="AZ23">
        <f t="shared" si="29"/>
        <v>1.0239161674749939</v>
      </c>
      <c r="BA23">
        <f t="shared" si="30"/>
        <v>45.608446368699674</v>
      </c>
      <c r="BB23">
        <f t="shared" si="31"/>
        <v>8.9032512596011048E-4</v>
      </c>
      <c r="BC23">
        <f t="shared" si="32"/>
        <v>4.1091586711749288</v>
      </c>
      <c r="BD23">
        <f t="shared" si="33"/>
        <v>231.32262607552181</v>
      </c>
      <c r="BE23" t="s">
        <v>453</v>
      </c>
      <c r="BF23">
        <v>578.71</v>
      </c>
      <c r="BG23">
        <f t="shared" si="34"/>
        <v>578.71</v>
      </c>
      <c r="BH23">
        <f t="shared" si="35"/>
        <v>0.27035974271508945</v>
      </c>
      <c r="BI23">
        <f t="shared" si="36"/>
        <v>0.22294752217309832</v>
      </c>
      <c r="BJ23">
        <f t="shared" si="37"/>
        <v>0.93826724375501647</v>
      </c>
      <c r="BK23">
        <f t="shared" si="38"/>
        <v>9.7381235540871913E-2</v>
      </c>
      <c r="BL23">
        <f t="shared" si="39"/>
        <v>0.86908779613571407</v>
      </c>
      <c r="BM23">
        <f t="shared" si="40"/>
        <v>0.17310560702079386</v>
      </c>
      <c r="BN23">
        <f t="shared" si="41"/>
        <v>0.82689439297920608</v>
      </c>
      <c r="BO23">
        <v>5476</v>
      </c>
      <c r="BP23">
        <v>290.00000000000011</v>
      </c>
      <c r="BQ23">
        <v>780.42</v>
      </c>
      <c r="BR23">
        <v>135</v>
      </c>
      <c r="BS23">
        <v>10443.6</v>
      </c>
      <c r="BT23">
        <v>779.2</v>
      </c>
      <c r="BU23">
        <v>1.22</v>
      </c>
      <c r="BV23">
        <v>300.00000000000011</v>
      </c>
      <c r="BW23">
        <v>38.299999999999997</v>
      </c>
      <c r="BX23">
        <v>793.14428476501246</v>
      </c>
      <c r="BY23">
        <v>0.98896024282125505</v>
      </c>
      <c r="BZ23">
        <v>-14.56084020086851</v>
      </c>
      <c r="CA23">
        <v>0.84403672921291539</v>
      </c>
      <c r="CB23">
        <v>0.91400803642200323</v>
      </c>
      <c r="CC23">
        <v>-1.1319355283648511E-2</v>
      </c>
      <c r="CD23">
        <v>289.99999999999989</v>
      </c>
      <c r="CE23">
        <v>777.52</v>
      </c>
      <c r="CF23">
        <v>625</v>
      </c>
      <c r="CG23">
        <v>10403.1</v>
      </c>
      <c r="CH23">
        <v>779.15</v>
      </c>
      <c r="CI23">
        <v>-1.63</v>
      </c>
      <c r="CW23">
        <f t="shared" si="42"/>
        <v>1800.16</v>
      </c>
      <c r="CX23">
        <f t="shared" si="43"/>
        <v>1513.3194003291376</v>
      </c>
      <c r="CY23">
        <f t="shared" si="44"/>
        <v>0.84065827500285395</v>
      </c>
      <c r="CZ23">
        <f t="shared" si="45"/>
        <v>0.19131655000570782</v>
      </c>
      <c r="DA23">
        <v>6</v>
      </c>
      <c r="DB23">
        <v>0.5</v>
      </c>
      <c r="DC23" t="s">
        <v>419</v>
      </c>
      <c r="DD23">
        <v>2</v>
      </c>
      <c r="DE23">
        <v>1693322927.5999999</v>
      </c>
      <c r="DF23">
        <v>8.7430800000000009</v>
      </c>
      <c r="DG23">
        <v>10.015599999999999</v>
      </c>
      <c r="DH23">
        <v>28.7576</v>
      </c>
      <c r="DI23">
        <v>23.811399999999999</v>
      </c>
      <c r="DJ23">
        <v>9.9845400000000009</v>
      </c>
      <c r="DK23">
        <v>28.32</v>
      </c>
      <c r="DL23">
        <v>500.28699999999998</v>
      </c>
      <c r="DM23">
        <v>99.054900000000004</v>
      </c>
      <c r="DN23">
        <v>9.9781800000000004E-2</v>
      </c>
      <c r="DO23">
        <v>30.436199999999999</v>
      </c>
      <c r="DP23">
        <v>29.9481</v>
      </c>
      <c r="DQ23">
        <v>999.9</v>
      </c>
      <c r="DR23">
        <v>0</v>
      </c>
      <c r="DS23">
        <v>0</v>
      </c>
      <c r="DT23">
        <v>10020</v>
      </c>
      <c r="DU23">
        <v>0</v>
      </c>
      <c r="DV23">
        <v>1426.13</v>
      </c>
      <c r="DW23">
        <v>-1.27254</v>
      </c>
      <c r="DX23">
        <v>9.0019600000000004</v>
      </c>
      <c r="DY23">
        <v>10.2599</v>
      </c>
      <c r="DZ23">
        <v>4.9461899999999996</v>
      </c>
      <c r="EA23">
        <v>10.015599999999999</v>
      </c>
      <c r="EB23">
        <v>23.811399999999999</v>
      </c>
      <c r="EC23">
        <v>2.8485800000000001</v>
      </c>
      <c r="ED23">
        <v>2.3586399999999998</v>
      </c>
      <c r="EE23">
        <v>23.168399999999998</v>
      </c>
      <c r="EF23">
        <v>20.082599999999999</v>
      </c>
      <c r="EG23">
        <v>1800.16</v>
      </c>
      <c r="EH23">
        <v>0.97799800000000003</v>
      </c>
      <c r="EI23">
        <v>2.2002500000000001E-2</v>
      </c>
      <c r="EJ23">
        <v>0</v>
      </c>
      <c r="EK23">
        <v>745.40899999999999</v>
      </c>
      <c r="EL23">
        <v>4.9995000000000003</v>
      </c>
      <c r="EM23">
        <v>14785</v>
      </c>
      <c r="EN23">
        <v>16661.3</v>
      </c>
      <c r="EO23">
        <v>49.811999999999998</v>
      </c>
      <c r="EP23">
        <v>51</v>
      </c>
      <c r="EQ23">
        <v>50.561999999999998</v>
      </c>
      <c r="ER23">
        <v>50.186999999999998</v>
      </c>
      <c r="ES23">
        <v>51.061999999999998</v>
      </c>
      <c r="ET23">
        <v>1755.66</v>
      </c>
      <c r="EU23">
        <v>39.5</v>
      </c>
      <c r="EV23">
        <v>0</v>
      </c>
      <c r="EW23">
        <v>99.599999904632568</v>
      </c>
      <c r="EX23">
        <v>0</v>
      </c>
      <c r="EY23">
        <v>745.33669230769237</v>
      </c>
      <c r="EZ23">
        <v>-0.27740170123319208</v>
      </c>
      <c r="FA23">
        <v>-3.805128228448404</v>
      </c>
      <c r="FB23">
        <v>14784.103846153839</v>
      </c>
      <c r="FC23">
        <v>15</v>
      </c>
      <c r="FD23">
        <v>1693322900.0999999</v>
      </c>
      <c r="FE23" t="s">
        <v>454</v>
      </c>
      <c r="FF23">
        <v>1693322898.5999999</v>
      </c>
      <c r="FG23">
        <v>1693322900.0999999</v>
      </c>
      <c r="FH23">
        <v>9</v>
      </c>
      <c r="FI23">
        <v>-5.6000000000000001E-2</v>
      </c>
      <c r="FJ23">
        <v>-4.0000000000000001E-3</v>
      </c>
      <c r="FK23">
        <v>-1.2450000000000001</v>
      </c>
      <c r="FL23">
        <v>0.20799999999999999</v>
      </c>
      <c r="FM23">
        <v>10</v>
      </c>
      <c r="FN23">
        <v>23</v>
      </c>
      <c r="FO23">
        <v>0.71</v>
      </c>
      <c r="FP23">
        <v>0.04</v>
      </c>
      <c r="FQ23">
        <v>1.0381623504758311</v>
      </c>
      <c r="FR23">
        <v>8.4118197375661785E-2</v>
      </c>
      <c r="FS23">
        <v>5.2453754881452652E-2</v>
      </c>
      <c r="FT23">
        <v>1</v>
      </c>
      <c r="FU23">
        <v>0.30751763966146389</v>
      </c>
      <c r="FV23">
        <v>2.926351805025278E-2</v>
      </c>
      <c r="FW23">
        <v>4.4745075474291358E-3</v>
      </c>
      <c r="FX23">
        <v>1</v>
      </c>
      <c r="FY23">
        <v>2</v>
      </c>
      <c r="FZ23">
        <v>2</v>
      </c>
      <c r="GA23" t="s">
        <v>421</v>
      </c>
      <c r="GB23">
        <v>2.9712200000000002</v>
      </c>
      <c r="GC23">
        <v>2.8116500000000002</v>
      </c>
      <c r="GD23">
        <v>2.8972400000000001E-3</v>
      </c>
      <c r="GE23">
        <v>2.8686499999999999E-3</v>
      </c>
      <c r="GF23">
        <v>0.13500799999999999</v>
      </c>
      <c r="GG23">
        <v>0.117918</v>
      </c>
      <c r="GH23">
        <v>29435</v>
      </c>
      <c r="GI23">
        <v>27248.9</v>
      </c>
      <c r="GJ23">
        <v>26531.200000000001</v>
      </c>
      <c r="GK23">
        <v>25779.9</v>
      </c>
      <c r="GL23">
        <v>31222</v>
      </c>
      <c r="GM23">
        <v>32040.400000000001</v>
      </c>
      <c r="GN23">
        <v>37580.199999999997</v>
      </c>
      <c r="GO23">
        <v>38159.4</v>
      </c>
      <c r="GP23">
        <v>1.9757</v>
      </c>
      <c r="GQ23">
        <v>2.0246</v>
      </c>
      <c r="GR23">
        <v>5.5491899999999997E-2</v>
      </c>
      <c r="GS23">
        <v>0</v>
      </c>
      <c r="GT23">
        <v>29.0443</v>
      </c>
      <c r="GU23">
        <v>999.9</v>
      </c>
      <c r="GV23">
        <v>60.4</v>
      </c>
      <c r="GW23">
        <v>31.8</v>
      </c>
      <c r="GX23">
        <v>28.789100000000001</v>
      </c>
      <c r="GY23">
        <v>61.573300000000003</v>
      </c>
      <c r="GZ23">
        <v>12.8285</v>
      </c>
      <c r="HA23">
        <v>1</v>
      </c>
      <c r="HB23">
        <v>0.273669</v>
      </c>
      <c r="HC23">
        <v>2.0891199999999999</v>
      </c>
      <c r="HD23">
        <v>20.242999999999999</v>
      </c>
      <c r="HE23">
        <v>5.2100999999999997</v>
      </c>
      <c r="HF23">
        <v>11.9321</v>
      </c>
      <c r="HG23">
        <v>4.9880000000000004</v>
      </c>
      <c r="HH23">
        <v>3.2909999999999999</v>
      </c>
      <c r="HI23">
        <v>9999</v>
      </c>
      <c r="HJ23">
        <v>9999</v>
      </c>
      <c r="HK23">
        <v>9999</v>
      </c>
      <c r="HL23">
        <v>999.9</v>
      </c>
      <c r="HM23">
        <v>1.8705700000000001</v>
      </c>
      <c r="HN23">
        <v>1.87683</v>
      </c>
      <c r="HO23">
        <v>1.8745400000000001</v>
      </c>
      <c r="HP23">
        <v>1.8728400000000001</v>
      </c>
      <c r="HQ23">
        <v>1.8733200000000001</v>
      </c>
      <c r="HR23">
        <v>1.87073</v>
      </c>
      <c r="HS23">
        <v>1.8766099999999999</v>
      </c>
      <c r="HT23">
        <v>1.87565</v>
      </c>
      <c r="HU23">
        <v>5</v>
      </c>
      <c r="HV23">
        <v>0</v>
      </c>
      <c r="HW23">
        <v>0</v>
      </c>
      <c r="HX23">
        <v>0</v>
      </c>
      <c r="HY23" t="s">
        <v>422</v>
      </c>
      <c r="HZ23" t="s">
        <v>423</v>
      </c>
      <c r="IA23" t="s">
        <v>424</v>
      </c>
      <c r="IB23" t="s">
        <v>424</v>
      </c>
      <c r="IC23" t="s">
        <v>424</v>
      </c>
      <c r="ID23" t="s">
        <v>424</v>
      </c>
      <c r="IE23">
        <v>0</v>
      </c>
      <c r="IF23">
        <v>100</v>
      </c>
      <c r="IG23">
        <v>100</v>
      </c>
      <c r="IH23">
        <v>-1.2410000000000001</v>
      </c>
      <c r="II23">
        <v>0.43759999999999999</v>
      </c>
      <c r="IJ23">
        <v>-1.2149136590530689</v>
      </c>
      <c r="IK23">
        <v>-2.677719669153116E-3</v>
      </c>
      <c r="IL23">
        <v>1.9353498771248068E-6</v>
      </c>
      <c r="IM23">
        <v>-6.1862177325538213E-10</v>
      </c>
      <c r="IN23">
        <v>-0.19189000321236829</v>
      </c>
      <c r="IO23">
        <v>-1.5299015507423901E-2</v>
      </c>
      <c r="IP23">
        <v>1.742162107778985E-3</v>
      </c>
      <c r="IQ23">
        <v>-1.472690239905804E-5</v>
      </c>
      <c r="IR23">
        <v>3</v>
      </c>
      <c r="IS23">
        <v>2255</v>
      </c>
      <c r="IT23">
        <v>2</v>
      </c>
      <c r="IU23">
        <v>41</v>
      </c>
      <c r="IV23">
        <v>0.5</v>
      </c>
      <c r="IW23">
        <v>0.5</v>
      </c>
      <c r="IX23">
        <v>0.17578099999999999</v>
      </c>
      <c r="IY23">
        <v>2.5512700000000001</v>
      </c>
      <c r="IZ23">
        <v>1.5991200000000001</v>
      </c>
      <c r="JA23">
        <v>2.2814899999999998</v>
      </c>
      <c r="JB23">
        <v>1.5502899999999999</v>
      </c>
      <c r="JC23">
        <v>2.3938000000000001</v>
      </c>
      <c r="JD23">
        <v>37.289900000000003</v>
      </c>
      <c r="JE23">
        <v>23.877400000000002</v>
      </c>
      <c r="JF23">
        <v>18</v>
      </c>
      <c r="JG23">
        <v>505.77300000000002</v>
      </c>
      <c r="JH23">
        <v>506.36799999999999</v>
      </c>
      <c r="JI23">
        <v>26.243600000000001</v>
      </c>
      <c r="JJ23">
        <v>31.001999999999999</v>
      </c>
      <c r="JK23">
        <v>29.999199999999998</v>
      </c>
      <c r="JL23">
        <v>30.9468</v>
      </c>
      <c r="JM23">
        <v>30.915099999999999</v>
      </c>
      <c r="JN23">
        <v>3.5715499999999998</v>
      </c>
      <c r="JO23">
        <v>27.101099999999999</v>
      </c>
      <c r="JP23">
        <v>100</v>
      </c>
      <c r="JQ23">
        <v>26.289200000000001</v>
      </c>
      <c r="JR23">
        <v>10</v>
      </c>
      <c r="JS23">
        <v>23.808599999999998</v>
      </c>
      <c r="JT23">
        <v>99.090299999999999</v>
      </c>
      <c r="JU23">
        <v>99.107900000000001</v>
      </c>
    </row>
    <row r="24" spans="1:281" x14ac:dyDescent="0.25">
      <c r="A24">
        <v>8</v>
      </c>
      <c r="B24">
        <v>1693323117.0999999</v>
      </c>
      <c r="C24">
        <v>820</v>
      </c>
      <c r="D24" t="s">
        <v>455</v>
      </c>
      <c r="E24" t="s">
        <v>456</v>
      </c>
      <c r="F24" t="s">
        <v>413</v>
      </c>
      <c r="G24" t="s">
        <v>414</v>
      </c>
      <c r="H24" t="s">
        <v>31</v>
      </c>
      <c r="I24" t="s">
        <v>415</v>
      </c>
      <c r="J24">
        <v>1693323117.0999999</v>
      </c>
      <c r="K24">
        <f t="shared" si="0"/>
        <v>4.1315715566742116E-3</v>
      </c>
      <c r="L24">
        <f t="shared" si="1"/>
        <v>4.1315715566742117</v>
      </c>
      <c r="M24">
        <f t="shared" si="2"/>
        <v>33.418542888059676</v>
      </c>
      <c r="N24">
        <f t="shared" si="3"/>
        <v>358.24900000000002</v>
      </c>
      <c r="O24">
        <f t="shared" si="4"/>
        <v>162.2550058108429</v>
      </c>
      <c r="P24">
        <f t="shared" si="5"/>
        <v>16.08929986753753</v>
      </c>
      <c r="Q24">
        <f t="shared" si="6"/>
        <v>35.524177263073796</v>
      </c>
      <c r="R24">
        <f t="shared" si="7"/>
        <v>0.29509356427541689</v>
      </c>
      <c r="S24">
        <f t="shared" si="8"/>
        <v>2.9165131486218376</v>
      </c>
      <c r="T24">
        <f t="shared" si="9"/>
        <v>0.27945277199947799</v>
      </c>
      <c r="U24">
        <f t="shared" si="10"/>
        <v>0.1759941308586255</v>
      </c>
      <c r="V24">
        <f t="shared" si="11"/>
        <v>344.33010065841034</v>
      </c>
      <c r="W24">
        <f t="shared" si="12"/>
        <v>31.462135628877938</v>
      </c>
      <c r="X24">
        <f t="shared" si="13"/>
        <v>30.0182</v>
      </c>
      <c r="Y24">
        <f t="shared" si="14"/>
        <v>4.2649056465279021</v>
      </c>
      <c r="Z24">
        <f t="shared" si="15"/>
        <v>65.021118463099782</v>
      </c>
      <c r="AA24">
        <f t="shared" si="16"/>
        <v>2.8514714452648198</v>
      </c>
      <c r="AB24">
        <f t="shared" si="17"/>
        <v>4.3854543149439396</v>
      </c>
      <c r="AC24">
        <f t="shared" si="18"/>
        <v>1.4134342012630823</v>
      </c>
      <c r="AD24">
        <f t="shared" si="19"/>
        <v>-182.20230564933274</v>
      </c>
      <c r="AE24">
        <f t="shared" si="20"/>
        <v>76.447684649464989</v>
      </c>
      <c r="AF24">
        <f t="shared" si="21"/>
        <v>5.8433629395326951</v>
      </c>
      <c r="AG24">
        <f t="shared" si="22"/>
        <v>244.41884259807529</v>
      </c>
      <c r="AH24">
        <v>0</v>
      </c>
      <c r="AI24">
        <v>0</v>
      </c>
      <c r="AJ24">
        <f t="shared" si="23"/>
        <v>1</v>
      </c>
      <c r="AK24">
        <f t="shared" si="24"/>
        <v>0</v>
      </c>
      <c r="AL24">
        <f t="shared" si="25"/>
        <v>51874.924673454669</v>
      </c>
      <c r="AM24" t="s">
        <v>416</v>
      </c>
      <c r="AN24">
        <v>10238.9</v>
      </c>
      <c r="AO24">
        <v>302.21199999999999</v>
      </c>
      <c r="AP24">
        <v>4052.3</v>
      </c>
      <c r="AQ24">
        <f t="shared" si="26"/>
        <v>0.92542210596451402</v>
      </c>
      <c r="AR24">
        <v>-0.32343011824092421</v>
      </c>
      <c r="AS24" t="s">
        <v>457</v>
      </c>
      <c r="AT24">
        <v>10423.200000000001</v>
      </c>
      <c r="AU24">
        <v>740.07834615384616</v>
      </c>
      <c r="AV24">
        <v>1002.0207100339489</v>
      </c>
      <c r="AW24">
        <f t="shared" si="27"/>
        <v>0.2614141217412842</v>
      </c>
      <c r="AX24">
        <v>0.5</v>
      </c>
      <c r="AY24">
        <f t="shared" si="28"/>
        <v>1513.0086003292051</v>
      </c>
      <c r="AZ24">
        <f t="shared" si="29"/>
        <v>33.418542888059676</v>
      </c>
      <c r="BA24">
        <f t="shared" si="30"/>
        <v>197.76090722103442</v>
      </c>
      <c r="BB24">
        <f t="shared" si="31"/>
        <v>2.2301243363031058E-2</v>
      </c>
      <c r="BC24">
        <f t="shared" si="32"/>
        <v>3.0441279899920493</v>
      </c>
      <c r="BD24">
        <f t="shared" si="33"/>
        <v>246.29659954285901</v>
      </c>
      <c r="BE24" t="s">
        <v>458</v>
      </c>
      <c r="BF24">
        <v>573.23</v>
      </c>
      <c r="BG24">
        <f t="shared" si="34"/>
        <v>573.23</v>
      </c>
      <c r="BH24">
        <f t="shared" si="35"/>
        <v>0.42792599568068934</v>
      </c>
      <c r="BI24">
        <f t="shared" si="36"/>
        <v>0.61088628496490482</v>
      </c>
      <c r="BJ24">
        <f t="shared" si="37"/>
        <v>0.8767513415844036</v>
      </c>
      <c r="BK24">
        <f t="shared" si="38"/>
        <v>0.37430566399694498</v>
      </c>
      <c r="BL24">
        <f t="shared" si="39"/>
        <v>0.81338872313557742</v>
      </c>
      <c r="BM24">
        <f t="shared" si="40"/>
        <v>0.4731638845404591</v>
      </c>
      <c r="BN24">
        <f t="shared" si="41"/>
        <v>0.5268361154595409</v>
      </c>
      <c r="BO24">
        <v>5478</v>
      </c>
      <c r="BP24">
        <v>290.00000000000011</v>
      </c>
      <c r="BQ24">
        <v>920.97</v>
      </c>
      <c r="BR24">
        <v>245</v>
      </c>
      <c r="BS24">
        <v>10423.200000000001</v>
      </c>
      <c r="BT24">
        <v>919.48</v>
      </c>
      <c r="BU24">
        <v>1.49</v>
      </c>
      <c r="BV24">
        <v>300.00000000000011</v>
      </c>
      <c r="BW24">
        <v>38.299999999999997</v>
      </c>
      <c r="BX24">
        <v>1002.0207100339489</v>
      </c>
      <c r="BY24">
        <v>1.120378050918851</v>
      </c>
      <c r="BZ24">
        <v>-86.029789462431452</v>
      </c>
      <c r="CA24">
        <v>0.95642378233514325</v>
      </c>
      <c r="CB24">
        <v>0.99655125815622214</v>
      </c>
      <c r="CC24">
        <v>-1.1322624026696339E-2</v>
      </c>
      <c r="CD24">
        <v>289.99999999999989</v>
      </c>
      <c r="CE24">
        <v>904.37</v>
      </c>
      <c r="CF24">
        <v>625</v>
      </c>
      <c r="CG24">
        <v>10405.6</v>
      </c>
      <c r="CH24">
        <v>919.34</v>
      </c>
      <c r="CI24">
        <v>-14.97</v>
      </c>
      <c r="CW24">
        <f t="shared" si="42"/>
        <v>1799.79</v>
      </c>
      <c r="CX24">
        <f t="shared" si="43"/>
        <v>1513.0086003292051</v>
      </c>
      <c r="CY24">
        <f t="shared" si="44"/>
        <v>0.84065841033076372</v>
      </c>
      <c r="CZ24">
        <f t="shared" si="45"/>
        <v>0.19131682066152736</v>
      </c>
      <c r="DA24">
        <v>6</v>
      </c>
      <c r="DB24">
        <v>0.5</v>
      </c>
      <c r="DC24" t="s">
        <v>419</v>
      </c>
      <c r="DD24">
        <v>2</v>
      </c>
      <c r="DE24">
        <v>1693323117.0999999</v>
      </c>
      <c r="DF24">
        <v>358.24900000000002</v>
      </c>
      <c r="DG24">
        <v>400.089</v>
      </c>
      <c r="DH24">
        <v>28.7561</v>
      </c>
      <c r="DI24">
        <v>23.9452</v>
      </c>
      <c r="DJ24">
        <v>359.94099999999997</v>
      </c>
      <c r="DK24">
        <v>28.320399999999999</v>
      </c>
      <c r="DL24">
        <v>500.459</v>
      </c>
      <c r="DM24">
        <v>99.060599999999994</v>
      </c>
      <c r="DN24">
        <v>9.9976200000000001E-2</v>
      </c>
      <c r="DO24">
        <v>30.5044</v>
      </c>
      <c r="DP24">
        <v>30.0182</v>
      </c>
      <c r="DQ24">
        <v>999.9</v>
      </c>
      <c r="DR24">
        <v>0</v>
      </c>
      <c r="DS24">
        <v>0</v>
      </c>
      <c r="DT24">
        <v>10020</v>
      </c>
      <c r="DU24">
        <v>0</v>
      </c>
      <c r="DV24">
        <v>1436.34</v>
      </c>
      <c r="DW24">
        <v>-41.8399</v>
      </c>
      <c r="DX24">
        <v>368.85599999999999</v>
      </c>
      <c r="DY24">
        <v>409.904</v>
      </c>
      <c r="DZ24">
        <v>4.8108700000000004</v>
      </c>
      <c r="EA24">
        <v>400.089</v>
      </c>
      <c r="EB24">
        <v>23.9452</v>
      </c>
      <c r="EC24">
        <v>2.8485999999999998</v>
      </c>
      <c r="ED24">
        <v>2.3720300000000001</v>
      </c>
      <c r="EE24">
        <v>23.168399999999998</v>
      </c>
      <c r="EF24">
        <v>20.174099999999999</v>
      </c>
      <c r="EG24">
        <v>1799.79</v>
      </c>
      <c r="EH24">
        <v>0.97799000000000003</v>
      </c>
      <c r="EI24">
        <v>2.2009500000000001E-2</v>
      </c>
      <c r="EJ24">
        <v>0</v>
      </c>
      <c r="EK24">
        <v>739.19299999999998</v>
      </c>
      <c r="EL24">
        <v>4.9995000000000003</v>
      </c>
      <c r="EM24">
        <v>14673.3</v>
      </c>
      <c r="EN24">
        <v>16657.8</v>
      </c>
      <c r="EO24">
        <v>49.75</v>
      </c>
      <c r="EP24">
        <v>50.936999999999998</v>
      </c>
      <c r="EQ24">
        <v>50.5</v>
      </c>
      <c r="ER24">
        <v>50.061999999999998</v>
      </c>
      <c r="ES24">
        <v>51</v>
      </c>
      <c r="ET24">
        <v>1755.29</v>
      </c>
      <c r="EU24">
        <v>39.5</v>
      </c>
      <c r="EV24">
        <v>0</v>
      </c>
      <c r="EW24">
        <v>187.79999995231631</v>
      </c>
      <c r="EX24">
        <v>0</v>
      </c>
      <c r="EY24">
        <v>740.07834615384616</v>
      </c>
      <c r="EZ24">
        <v>-7.6066666546209651</v>
      </c>
      <c r="FA24">
        <v>-134.44102568580271</v>
      </c>
      <c r="FB24">
        <v>14687.63846153846</v>
      </c>
      <c r="FC24">
        <v>15</v>
      </c>
      <c r="FD24">
        <v>1693323006.5999999</v>
      </c>
      <c r="FE24" t="s">
        <v>459</v>
      </c>
      <c r="FF24">
        <v>1693322994.5999999</v>
      </c>
      <c r="FG24">
        <v>1693323006.5999999</v>
      </c>
      <c r="FH24">
        <v>10</v>
      </c>
      <c r="FI24">
        <v>0.26400000000000001</v>
      </c>
      <c r="FJ24">
        <v>-2E-3</v>
      </c>
      <c r="FK24">
        <v>-1.754</v>
      </c>
      <c r="FL24">
        <v>0.20699999999999999</v>
      </c>
      <c r="FM24">
        <v>400</v>
      </c>
      <c r="FN24">
        <v>23</v>
      </c>
      <c r="FO24">
        <v>0.14000000000000001</v>
      </c>
      <c r="FP24">
        <v>0.04</v>
      </c>
      <c r="FQ24">
        <v>33.041678426170009</v>
      </c>
      <c r="FR24">
        <v>2.1705709747284012</v>
      </c>
      <c r="FS24">
        <v>0.1786433997302046</v>
      </c>
      <c r="FT24">
        <v>0</v>
      </c>
      <c r="FU24">
        <v>0.29746536813838659</v>
      </c>
      <c r="FV24">
        <v>-1.096156237919226E-2</v>
      </c>
      <c r="FW24">
        <v>1.148431125275163E-3</v>
      </c>
      <c r="FX24">
        <v>1</v>
      </c>
      <c r="FY24">
        <v>1</v>
      </c>
      <c r="FZ24">
        <v>2</v>
      </c>
      <c r="GA24" t="s">
        <v>460</v>
      </c>
      <c r="GB24">
        <v>2.9716200000000002</v>
      </c>
      <c r="GC24">
        <v>2.8118500000000002</v>
      </c>
      <c r="GD24">
        <v>8.9132900000000001E-2</v>
      </c>
      <c r="GE24">
        <v>9.57538E-2</v>
      </c>
      <c r="GF24">
        <v>0.13499800000000001</v>
      </c>
      <c r="GG24">
        <v>0.118368</v>
      </c>
      <c r="GH24">
        <v>26889.3</v>
      </c>
      <c r="GI24">
        <v>24706.799999999999</v>
      </c>
      <c r="GJ24">
        <v>26531.200000000001</v>
      </c>
      <c r="GK24">
        <v>25776.1</v>
      </c>
      <c r="GL24">
        <v>31229.1</v>
      </c>
      <c r="GM24">
        <v>32026.400000000001</v>
      </c>
      <c r="GN24">
        <v>37579.9</v>
      </c>
      <c r="GO24">
        <v>38154</v>
      </c>
      <c r="GP24">
        <v>1.9751000000000001</v>
      </c>
      <c r="GQ24">
        <v>2.0244</v>
      </c>
      <c r="GR24">
        <v>5.5506800000000002E-2</v>
      </c>
      <c r="GS24">
        <v>0</v>
      </c>
      <c r="GT24">
        <v>29.1143</v>
      </c>
      <c r="GU24">
        <v>999.9</v>
      </c>
      <c r="GV24">
        <v>60.2</v>
      </c>
      <c r="GW24">
        <v>31.9</v>
      </c>
      <c r="GX24">
        <v>28.855399999999999</v>
      </c>
      <c r="GY24">
        <v>61.503300000000003</v>
      </c>
      <c r="GZ24">
        <v>11.882999999999999</v>
      </c>
      <c r="HA24">
        <v>1</v>
      </c>
      <c r="HB24">
        <v>0.27734799999999998</v>
      </c>
      <c r="HC24">
        <v>1.9892799999999999</v>
      </c>
      <c r="HD24">
        <v>20.244399999999999</v>
      </c>
      <c r="HE24">
        <v>5.2100999999999997</v>
      </c>
      <c r="HF24">
        <v>11.9321</v>
      </c>
      <c r="HG24">
        <v>4.9880000000000004</v>
      </c>
      <c r="HH24">
        <v>3.2909999999999999</v>
      </c>
      <c r="HI24">
        <v>9999</v>
      </c>
      <c r="HJ24">
        <v>9999</v>
      </c>
      <c r="HK24">
        <v>9999</v>
      </c>
      <c r="HL24">
        <v>999.9</v>
      </c>
      <c r="HM24">
        <v>1.8705700000000001</v>
      </c>
      <c r="HN24">
        <v>1.8768</v>
      </c>
      <c r="HO24">
        <v>1.8745400000000001</v>
      </c>
      <c r="HP24">
        <v>1.87286</v>
      </c>
      <c r="HQ24">
        <v>1.8733200000000001</v>
      </c>
      <c r="HR24">
        <v>1.87073</v>
      </c>
      <c r="HS24">
        <v>1.87659</v>
      </c>
      <c r="HT24">
        <v>1.87561</v>
      </c>
      <c r="HU24">
        <v>5</v>
      </c>
      <c r="HV24">
        <v>0</v>
      </c>
      <c r="HW24">
        <v>0</v>
      </c>
      <c r="HX24">
        <v>0</v>
      </c>
      <c r="HY24" t="s">
        <v>422</v>
      </c>
      <c r="HZ24" t="s">
        <v>423</v>
      </c>
      <c r="IA24" t="s">
        <v>424</v>
      </c>
      <c r="IB24" t="s">
        <v>424</v>
      </c>
      <c r="IC24" t="s">
        <v>424</v>
      </c>
      <c r="ID24" t="s">
        <v>424</v>
      </c>
      <c r="IE24">
        <v>0</v>
      </c>
      <c r="IF24">
        <v>100</v>
      </c>
      <c r="IG24">
        <v>100</v>
      </c>
      <c r="IH24">
        <v>-1.6919999999999999</v>
      </c>
      <c r="II24">
        <v>0.43569999999999998</v>
      </c>
      <c r="IJ24">
        <v>-0.95041016618009388</v>
      </c>
      <c r="IK24">
        <v>-2.677719669153116E-3</v>
      </c>
      <c r="IL24">
        <v>1.9353498771248068E-6</v>
      </c>
      <c r="IM24">
        <v>-6.1862177325538213E-10</v>
      </c>
      <c r="IN24">
        <v>-0.1938142247393404</v>
      </c>
      <c r="IO24">
        <v>-1.5299015507423901E-2</v>
      </c>
      <c r="IP24">
        <v>1.742162107778985E-3</v>
      </c>
      <c r="IQ24">
        <v>-1.472690239905804E-5</v>
      </c>
      <c r="IR24">
        <v>3</v>
      </c>
      <c r="IS24">
        <v>2255</v>
      </c>
      <c r="IT24">
        <v>2</v>
      </c>
      <c r="IU24">
        <v>41</v>
      </c>
      <c r="IV24">
        <v>2</v>
      </c>
      <c r="IW24">
        <v>1.8</v>
      </c>
      <c r="IX24">
        <v>0.95825199999999999</v>
      </c>
      <c r="IY24">
        <v>2.49878</v>
      </c>
      <c r="IZ24">
        <v>1.6003400000000001</v>
      </c>
      <c r="JA24">
        <v>2.2814899999999998</v>
      </c>
      <c r="JB24">
        <v>1.5502899999999999</v>
      </c>
      <c r="JC24">
        <v>2.34741</v>
      </c>
      <c r="JD24">
        <v>37.385800000000003</v>
      </c>
      <c r="JE24">
        <v>23.868600000000001</v>
      </c>
      <c r="JF24">
        <v>18</v>
      </c>
      <c r="JG24">
        <v>505.89499999999998</v>
      </c>
      <c r="JH24">
        <v>506.80200000000002</v>
      </c>
      <c r="JI24">
        <v>26.345500000000001</v>
      </c>
      <c r="JJ24">
        <v>31.058900000000001</v>
      </c>
      <c r="JK24">
        <v>30.000800000000002</v>
      </c>
      <c r="JL24">
        <v>31.0091</v>
      </c>
      <c r="JM24">
        <v>30.981100000000001</v>
      </c>
      <c r="JN24">
        <v>19.2074</v>
      </c>
      <c r="JO24">
        <v>26.712900000000001</v>
      </c>
      <c r="JP24">
        <v>100</v>
      </c>
      <c r="JQ24">
        <v>26.3233</v>
      </c>
      <c r="JR24">
        <v>400</v>
      </c>
      <c r="JS24">
        <v>24.026499999999999</v>
      </c>
      <c r="JT24">
        <v>99.0899</v>
      </c>
      <c r="JU24">
        <v>99.093699999999998</v>
      </c>
    </row>
    <row r="25" spans="1:281" x14ac:dyDescent="0.25">
      <c r="A25">
        <v>9</v>
      </c>
      <c r="B25">
        <v>1693323218.0999999</v>
      </c>
      <c r="C25">
        <v>921</v>
      </c>
      <c r="D25" t="s">
        <v>461</v>
      </c>
      <c r="E25" t="s">
        <v>462</v>
      </c>
      <c r="F25" t="s">
        <v>413</v>
      </c>
      <c r="G25" t="s">
        <v>414</v>
      </c>
      <c r="H25" t="s">
        <v>31</v>
      </c>
      <c r="I25" t="s">
        <v>415</v>
      </c>
      <c r="J25">
        <v>1693323218.0999999</v>
      </c>
      <c r="K25">
        <f t="shared" si="0"/>
        <v>3.9428220059719524E-3</v>
      </c>
      <c r="L25">
        <f t="shared" si="1"/>
        <v>3.9428220059719523</v>
      </c>
      <c r="M25">
        <f t="shared" si="2"/>
        <v>34.94910542087748</v>
      </c>
      <c r="N25">
        <f t="shared" si="3"/>
        <v>356.42700000000002</v>
      </c>
      <c r="O25">
        <f t="shared" si="4"/>
        <v>145.07329488471933</v>
      </c>
      <c r="P25">
        <f t="shared" si="5"/>
        <v>14.385462582071515</v>
      </c>
      <c r="Q25">
        <f t="shared" si="6"/>
        <v>35.343288203486402</v>
      </c>
      <c r="R25">
        <f t="shared" si="7"/>
        <v>0.28461968835246515</v>
      </c>
      <c r="S25">
        <f t="shared" si="8"/>
        <v>2.9217633619037398</v>
      </c>
      <c r="T25">
        <f t="shared" si="9"/>
        <v>0.27006478407636492</v>
      </c>
      <c r="U25">
        <f t="shared" si="10"/>
        <v>0.17003614202368508</v>
      </c>
      <c r="V25">
        <f t="shared" si="11"/>
        <v>344.3776006583189</v>
      </c>
      <c r="W25">
        <f t="shared" si="12"/>
        <v>31.457343513869667</v>
      </c>
      <c r="X25">
        <f t="shared" si="13"/>
        <v>29.9968</v>
      </c>
      <c r="Y25">
        <f t="shared" si="14"/>
        <v>4.2596667415615386</v>
      </c>
      <c r="Z25">
        <f t="shared" si="15"/>
        <v>65.503206559714783</v>
      </c>
      <c r="AA25">
        <f t="shared" si="16"/>
        <v>2.86397772112768</v>
      </c>
      <c r="AB25">
        <f t="shared" si="17"/>
        <v>4.3722710254142862</v>
      </c>
      <c r="AC25">
        <f t="shared" si="18"/>
        <v>1.3956890204338586</v>
      </c>
      <c r="AD25">
        <f t="shared" si="19"/>
        <v>-173.87845046336309</v>
      </c>
      <c r="AE25">
        <f t="shared" si="20"/>
        <v>71.670738396963998</v>
      </c>
      <c r="AF25">
        <f t="shared" si="21"/>
        <v>5.4663860415374304</v>
      </c>
      <c r="AG25">
        <f t="shared" si="22"/>
        <v>247.63627463345722</v>
      </c>
      <c r="AH25">
        <v>0</v>
      </c>
      <c r="AI25">
        <v>0</v>
      </c>
      <c r="AJ25">
        <f t="shared" si="23"/>
        <v>1</v>
      </c>
      <c r="AK25">
        <f t="shared" si="24"/>
        <v>0</v>
      </c>
      <c r="AL25">
        <f t="shared" si="25"/>
        <v>52033.241334034028</v>
      </c>
      <c r="AM25" t="s">
        <v>416</v>
      </c>
      <c r="AN25">
        <v>10238.9</v>
      </c>
      <c r="AO25">
        <v>302.21199999999999</v>
      </c>
      <c r="AP25">
        <v>4052.3</v>
      </c>
      <c r="AQ25">
        <f t="shared" si="26"/>
        <v>0.92542210596451402</v>
      </c>
      <c r="AR25">
        <v>-0.32343011824092421</v>
      </c>
      <c r="AS25" t="s">
        <v>463</v>
      </c>
      <c r="AT25">
        <v>10450.6</v>
      </c>
      <c r="AU25">
        <v>735.60667999999987</v>
      </c>
      <c r="AV25">
        <v>993.12719389478241</v>
      </c>
      <c r="AW25">
        <f t="shared" si="27"/>
        <v>0.25930265073585901</v>
      </c>
      <c r="AX25">
        <v>0.5</v>
      </c>
      <c r="AY25">
        <f t="shared" si="28"/>
        <v>1513.2186003291592</v>
      </c>
      <c r="AZ25">
        <f t="shared" si="29"/>
        <v>34.94910542087748</v>
      </c>
      <c r="BA25">
        <f t="shared" si="30"/>
        <v>196.19079710407871</v>
      </c>
      <c r="BB25">
        <f t="shared" si="31"/>
        <v>2.3309610079763642E-2</v>
      </c>
      <c r="BC25">
        <f t="shared" si="32"/>
        <v>3.0803434090934014</v>
      </c>
      <c r="BD25">
        <f t="shared" si="33"/>
        <v>245.75565361075101</v>
      </c>
      <c r="BE25" t="s">
        <v>464</v>
      </c>
      <c r="BF25">
        <v>578.57000000000005</v>
      </c>
      <c r="BG25">
        <f t="shared" si="34"/>
        <v>578.57000000000005</v>
      </c>
      <c r="BH25">
        <f t="shared" si="35"/>
        <v>0.41742608242253298</v>
      </c>
      <c r="BI25">
        <f t="shared" si="36"/>
        <v>0.62119417462127824</v>
      </c>
      <c r="BJ25">
        <f t="shared" si="37"/>
        <v>0.88065935064187995</v>
      </c>
      <c r="BK25">
        <f t="shared" si="38"/>
        <v>0.37272376721534312</v>
      </c>
      <c r="BL25">
        <f t="shared" si="39"/>
        <v>0.81576027178701338</v>
      </c>
      <c r="BM25">
        <f t="shared" si="40"/>
        <v>0.48858217765318968</v>
      </c>
      <c r="BN25">
        <f t="shared" si="41"/>
        <v>0.51141782234681032</v>
      </c>
      <c r="BO25">
        <v>5480</v>
      </c>
      <c r="BP25">
        <v>290.00000000000011</v>
      </c>
      <c r="BQ25">
        <v>920.26</v>
      </c>
      <c r="BR25">
        <v>115</v>
      </c>
      <c r="BS25">
        <v>10450.6</v>
      </c>
      <c r="BT25">
        <v>917.69</v>
      </c>
      <c r="BU25">
        <v>2.57</v>
      </c>
      <c r="BV25">
        <v>300.00000000000011</v>
      </c>
      <c r="BW25">
        <v>38.299999999999997</v>
      </c>
      <c r="BX25">
        <v>993.12719389478241</v>
      </c>
      <c r="BY25">
        <v>0.94571706443743486</v>
      </c>
      <c r="BZ25">
        <v>-78.83687009517196</v>
      </c>
      <c r="CA25">
        <v>0.80729533867184178</v>
      </c>
      <c r="CB25">
        <v>0.99707254027532688</v>
      </c>
      <c r="CC25">
        <v>-1.13222551724138E-2</v>
      </c>
      <c r="CD25">
        <v>289.99999999999989</v>
      </c>
      <c r="CE25">
        <v>908.67</v>
      </c>
      <c r="CF25">
        <v>645</v>
      </c>
      <c r="CG25">
        <v>10402.9</v>
      </c>
      <c r="CH25">
        <v>917.34</v>
      </c>
      <c r="CI25">
        <v>-8.67</v>
      </c>
      <c r="CW25">
        <f t="shared" si="42"/>
        <v>1800.04</v>
      </c>
      <c r="CX25">
        <f t="shared" si="43"/>
        <v>1513.2186003291592</v>
      </c>
      <c r="CY25">
        <f t="shared" si="44"/>
        <v>0.84065831888689102</v>
      </c>
      <c r="CZ25">
        <f t="shared" si="45"/>
        <v>0.19131663777378219</v>
      </c>
      <c r="DA25">
        <v>6</v>
      </c>
      <c r="DB25">
        <v>0.5</v>
      </c>
      <c r="DC25" t="s">
        <v>419</v>
      </c>
      <c r="DD25">
        <v>2</v>
      </c>
      <c r="DE25">
        <v>1693323218.0999999</v>
      </c>
      <c r="DF25">
        <v>356.42700000000002</v>
      </c>
      <c r="DG25">
        <v>400.07100000000003</v>
      </c>
      <c r="DH25">
        <v>28.882400000000001</v>
      </c>
      <c r="DI25">
        <v>24.285699999999999</v>
      </c>
      <c r="DJ25">
        <v>358.27499999999998</v>
      </c>
      <c r="DK25">
        <v>28.4407</v>
      </c>
      <c r="DL25">
        <v>499.786</v>
      </c>
      <c r="DM25">
        <v>99.061499999999995</v>
      </c>
      <c r="DN25">
        <v>9.8463200000000001E-2</v>
      </c>
      <c r="DO25">
        <v>30.451799999999999</v>
      </c>
      <c r="DP25">
        <v>29.9968</v>
      </c>
      <c r="DQ25">
        <v>999.9</v>
      </c>
      <c r="DR25">
        <v>0</v>
      </c>
      <c r="DS25">
        <v>0</v>
      </c>
      <c r="DT25">
        <v>10050</v>
      </c>
      <c r="DU25">
        <v>0</v>
      </c>
      <c r="DV25">
        <v>1448.18</v>
      </c>
      <c r="DW25">
        <v>-43.643900000000002</v>
      </c>
      <c r="DX25">
        <v>367.02699999999999</v>
      </c>
      <c r="DY25">
        <v>410.02800000000002</v>
      </c>
      <c r="DZ25">
        <v>4.5967399999999996</v>
      </c>
      <c r="EA25">
        <v>400.07100000000003</v>
      </c>
      <c r="EB25">
        <v>24.285699999999999</v>
      </c>
      <c r="EC25">
        <v>2.8611399999999998</v>
      </c>
      <c r="ED25">
        <v>2.40578</v>
      </c>
      <c r="EE25">
        <v>23.241099999999999</v>
      </c>
      <c r="EF25">
        <v>20.402699999999999</v>
      </c>
      <c r="EG25">
        <v>1800.04</v>
      </c>
      <c r="EH25">
        <v>0.97799400000000003</v>
      </c>
      <c r="EI25">
        <v>2.2006000000000001E-2</v>
      </c>
      <c r="EJ25">
        <v>0</v>
      </c>
      <c r="EK25">
        <v>736.6</v>
      </c>
      <c r="EL25">
        <v>4.9995000000000003</v>
      </c>
      <c r="EM25">
        <v>14618.6</v>
      </c>
      <c r="EN25">
        <v>16660.099999999999</v>
      </c>
      <c r="EO25">
        <v>49.75</v>
      </c>
      <c r="EP25">
        <v>50.875</v>
      </c>
      <c r="EQ25">
        <v>50.5</v>
      </c>
      <c r="ER25">
        <v>50.061999999999998</v>
      </c>
      <c r="ES25">
        <v>51</v>
      </c>
      <c r="ET25">
        <v>1755.54</v>
      </c>
      <c r="EU25">
        <v>39.5</v>
      </c>
      <c r="EV25">
        <v>0</v>
      </c>
      <c r="EW25">
        <v>99</v>
      </c>
      <c r="EX25">
        <v>0</v>
      </c>
      <c r="EY25">
        <v>735.60667999999987</v>
      </c>
      <c r="EZ25">
        <v>5.6925384640234533</v>
      </c>
      <c r="FA25">
        <v>74.123077037777975</v>
      </c>
      <c r="FB25">
        <v>14608.371999999999</v>
      </c>
      <c r="FC25">
        <v>15</v>
      </c>
      <c r="FD25">
        <v>1693323186.0999999</v>
      </c>
      <c r="FE25" t="s">
        <v>465</v>
      </c>
      <c r="FF25">
        <v>1693323181.0999999</v>
      </c>
      <c r="FG25">
        <v>1693323186.0999999</v>
      </c>
      <c r="FH25">
        <v>11</v>
      </c>
      <c r="FI25">
        <v>-0.158</v>
      </c>
      <c r="FJ25">
        <v>0</v>
      </c>
      <c r="FK25">
        <v>-1.9119999999999999</v>
      </c>
      <c r="FL25">
        <v>0.22700000000000001</v>
      </c>
      <c r="FM25">
        <v>400</v>
      </c>
      <c r="FN25">
        <v>24</v>
      </c>
      <c r="FO25">
        <v>0.13</v>
      </c>
      <c r="FP25">
        <v>0.04</v>
      </c>
      <c r="FQ25">
        <v>34.842703665179911</v>
      </c>
      <c r="FR25">
        <v>0.54962522806466985</v>
      </c>
      <c r="FS25">
        <v>9.5856563905260331E-2</v>
      </c>
      <c r="FT25">
        <v>1</v>
      </c>
      <c r="FU25">
        <v>0.28279555723889688</v>
      </c>
      <c r="FV25">
        <v>4.4822737655255122E-2</v>
      </c>
      <c r="FW25">
        <v>3.6606271323859859E-3</v>
      </c>
      <c r="FX25">
        <v>1</v>
      </c>
      <c r="FY25">
        <v>2</v>
      </c>
      <c r="FZ25">
        <v>2</v>
      </c>
      <c r="GA25" t="s">
        <v>421</v>
      </c>
      <c r="GB25">
        <v>2.9698099999999998</v>
      </c>
      <c r="GC25">
        <v>2.8106</v>
      </c>
      <c r="GD25">
        <v>8.8800100000000007E-2</v>
      </c>
      <c r="GE25">
        <v>9.5745999999999998E-2</v>
      </c>
      <c r="GF25">
        <v>0.13538800000000001</v>
      </c>
      <c r="GG25">
        <v>0.11953</v>
      </c>
      <c r="GH25">
        <v>26900</v>
      </c>
      <c r="GI25">
        <v>24704.5</v>
      </c>
      <c r="GJ25">
        <v>26532.2</v>
      </c>
      <c r="GK25">
        <v>25773.599999999999</v>
      </c>
      <c r="GL25">
        <v>31215.9</v>
      </c>
      <c r="GM25">
        <v>31981.5</v>
      </c>
      <c r="GN25">
        <v>37581</v>
      </c>
      <c r="GO25">
        <v>38150.800000000003</v>
      </c>
      <c r="GP25">
        <v>1.9735</v>
      </c>
      <c r="GQ25">
        <v>2.0251999999999999</v>
      </c>
      <c r="GR25">
        <v>5.6937300000000003E-2</v>
      </c>
      <c r="GS25">
        <v>0</v>
      </c>
      <c r="GT25">
        <v>29.069600000000001</v>
      </c>
      <c r="GU25">
        <v>999.9</v>
      </c>
      <c r="GV25">
        <v>60</v>
      </c>
      <c r="GW25">
        <v>31.9</v>
      </c>
      <c r="GX25">
        <v>28.7576</v>
      </c>
      <c r="GY25">
        <v>61.423299999999998</v>
      </c>
      <c r="GZ25">
        <v>12.307700000000001</v>
      </c>
      <c r="HA25">
        <v>1</v>
      </c>
      <c r="HB25">
        <v>0.27811000000000002</v>
      </c>
      <c r="HC25">
        <v>1.8117300000000001</v>
      </c>
      <c r="HD25">
        <v>20.244199999999999</v>
      </c>
      <c r="HE25">
        <v>5.1963200000000001</v>
      </c>
      <c r="HF25">
        <v>11.9321</v>
      </c>
      <c r="HG25">
        <v>4.9842000000000004</v>
      </c>
      <c r="HH25">
        <v>3.2886000000000002</v>
      </c>
      <c r="HI25">
        <v>9999</v>
      </c>
      <c r="HJ25">
        <v>9999</v>
      </c>
      <c r="HK25">
        <v>9999</v>
      </c>
      <c r="HL25">
        <v>999.9</v>
      </c>
      <c r="HM25">
        <v>1.8705700000000001</v>
      </c>
      <c r="HN25">
        <v>1.8768199999999999</v>
      </c>
      <c r="HO25">
        <v>1.8745499999999999</v>
      </c>
      <c r="HP25">
        <v>1.87276</v>
      </c>
      <c r="HQ25">
        <v>1.8733</v>
      </c>
      <c r="HR25">
        <v>1.87073</v>
      </c>
      <c r="HS25">
        <v>1.8766099999999999</v>
      </c>
      <c r="HT25">
        <v>1.87561</v>
      </c>
      <c r="HU25">
        <v>5</v>
      </c>
      <c r="HV25">
        <v>0</v>
      </c>
      <c r="HW25">
        <v>0</v>
      </c>
      <c r="HX25">
        <v>0</v>
      </c>
      <c r="HY25" t="s">
        <v>422</v>
      </c>
      <c r="HZ25" t="s">
        <v>423</v>
      </c>
      <c r="IA25" t="s">
        <v>424</v>
      </c>
      <c r="IB25" t="s">
        <v>424</v>
      </c>
      <c r="IC25" t="s">
        <v>424</v>
      </c>
      <c r="ID25" t="s">
        <v>424</v>
      </c>
      <c r="IE25">
        <v>0</v>
      </c>
      <c r="IF25">
        <v>100</v>
      </c>
      <c r="IG25">
        <v>100</v>
      </c>
      <c r="IH25">
        <v>-1.8480000000000001</v>
      </c>
      <c r="II25">
        <v>0.44169999999999998</v>
      </c>
      <c r="IJ25">
        <v>-1.1085266400885669</v>
      </c>
      <c r="IK25">
        <v>-2.677719669153116E-3</v>
      </c>
      <c r="IL25">
        <v>1.9353498771248068E-6</v>
      </c>
      <c r="IM25">
        <v>-6.1862177325538213E-10</v>
      </c>
      <c r="IN25">
        <v>-0.19360551316472821</v>
      </c>
      <c r="IO25">
        <v>-1.5299015507423901E-2</v>
      </c>
      <c r="IP25">
        <v>1.742162107778985E-3</v>
      </c>
      <c r="IQ25">
        <v>-1.472690239905804E-5</v>
      </c>
      <c r="IR25">
        <v>3</v>
      </c>
      <c r="IS25">
        <v>2255</v>
      </c>
      <c r="IT25">
        <v>2</v>
      </c>
      <c r="IU25">
        <v>41</v>
      </c>
      <c r="IV25">
        <v>0.6</v>
      </c>
      <c r="IW25">
        <v>0.5</v>
      </c>
      <c r="IX25">
        <v>0.95825199999999999</v>
      </c>
      <c r="IY25">
        <v>2.49146</v>
      </c>
      <c r="IZ25">
        <v>1.5991200000000001</v>
      </c>
      <c r="JA25">
        <v>2.2814899999999998</v>
      </c>
      <c r="JB25">
        <v>1.5502899999999999</v>
      </c>
      <c r="JC25">
        <v>2.31934</v>
      </c>
      <c r="JD25">
        <v>37.409799999999997</v>
      </c>
      <c r="JE25">
        <v>23.877400000000002</v>
      </c>
      <c r="JF25">
        <v>18</v>
      </c>
      <c r="JG25">
        <v>505.15499999999997</v>
      </c>
      <c r="JH25">
        <v>507.63099999999997</v>
      </c>
      <c r="JI25">
        <v>26.378</v>
      </c>
      <c r="JJ25">
        <v>31.085999999999999</v>
      </c>
      <c r="JK25">
        <v>30</v>
      </c>
      <c r="JL25">
        <v>31.043900000000001</v>
      </c>
      <c r="JM25">
        <v>31.015699999999999</v>
      </c>
      <c r="JN25">
        <v>19.209900000000001</v>
      </c>
      <c r="JO25">
        <v>25.844899999999999</v>
      </c>
      <c r="JP25">
        <v>100</v>
      </c>
      <c r="JQ25">
        <v>26.357700000000001</v>
      </c>
      <c r="JR25">
        <v>400</v>
      </c>
      <c r="JS25">
        <v>24.224499999999999</v>
      </c>
      <c r="JT25">
        <v>99.093100000000007</v>
      </c>
      <c r="JU25">
        <v>99.084800000000001</v>
      </c>
    </row>
    <row r="26" spans="1:281" x14ac:dyDescent="0.25">
      <c r="A26">
        <v>10</v>
      </c>
      <c r="B26">
        <v>1693323333.5999999</v>
      </c>
      <c r="C26">
        <v>1036.5</v>
      </c>
      <c r="D26" t="s">
        <v>466</v>
      </c>
      <c r="E26" t="s">
        <v>467</v>
      </c>
      <c r="F26" t="s">
        <v>413</v>
      </c>
      <c r="G26" t="s">
        <v>414</v>
      </c>
      <c r="H26" t="s">
        <v>31</v>
      </c>
      <c r="I26" t="s">
        <v>415</v>
      </c>
      <c r="J26">
        <v>1693323333.5999999</v>
      </c>
      <c r="K26">
        <f t="shared" si="0"/>
        <v>3.7012116615406042E-3</v>
      </c>
      <c r="L26">
        <f t="shared" si="1"/>
        <v>3.7012116615406043</v>
      </c>
      <c r="M26">
        <f t="shared" si="2"/>
        <v>39.52300451198159</v>
      </c>
      <c r="N26">
        <f t="shared" si="3"/>
        <v>450.61099999999999</v>
      </c>
      <c r="O26">
        <f t="shared" si="4"/>
        <v>191.33481890238841</v>
      </c>
      <c r="P26">
        <f t="shared" si="5"/>
        <v>18.973382671857085</v>
      </c>
      <c r="Q26">
        <f t="shared" si="6"/>
        <v>44.684051696360996</v>
      </c>
      <c r="R26">
        <f t="shared" si="7"/>
        <v>0.26194574952262922</v>
      </c>
      <c r="S26">
        <f t="shared" si="8"/>
        <v>2.9113106561769957</v>
      </c>
      <c r="T26">
        <f t="shared" si="9"/>
        <v>0.2495210920836379</v>
      </c>
      <c r="U26">
        <f t="shared" si="10"/>
        <v>0.15701786803221307</v>
      </c>
      <c r="V26">
        <f t="shared" si="11"/>
        <v>344.37380065832622</v>
      </c>
      <c r="W26">
        <f t="shared" si="12"/>
        <v>31.581579397158986</v>
      </c>
      <c r="X26">
        <f t="shared" si="13"/>
        <v>30.0626</v>
      </c>
      <c r="Y26">
        <f t="shared" si="14"/>
        <v>4.2757930642612827</v>
      </c>
      <c r="Z26">
        <f t="shared" si="15"/>
        <v>65.145339903487184</v>
      </c>
      <c r="AA26">
        <f t="shared" si="16"/>
        <v>2.8577857305689998</v>
      </c>
      <c r="AB26">
        <f t="shared" si="17"/>
        <v>4.3867845878198022</v>
      </c>
      <c r="AC26">
        <f t="shared" si="18"/>
        <v>1.4180073336922829</v>
      </c>
      <c r="AD26">
        <f t="shared" si="19"/>
        <v>-163.22343427394065</v>
      </c>
      <c r="AE26">
        <f t="shared" si="20"/>
        <v>70.174392760838373</v>
      </c>
      <c r="AF26">
        <f t="shared" si="21"/>
        <v>5.3747626587244364</v>
      </c>
      <c r="AG26">
        <f t="shared" si="22"/>
        <v>256.69952180394836</v>
      </c>
      <c r="AH26">
        <v>0</v>
      </c>
      <c r="AI26">
        <v>0</v>
      </c>
      <c r="AJ26">
        <f t="shared" si="23"/>
        <v>1</v>
      </c>
      <c r="AK26">
        <f t="shared" si="24"/>
        <v>0</v>
      </c>
      <c r="AL26">
        <f t="shared" si="25"/>
        <v>51726.318052300463</v>
      </c>
      <c r="AM26" t="s">
        <v>416</v>
      </c>
      <c r="AN26">
        <v>10238.9</v>
      </c>
      <c r="AO26">
        <v>302.21199999999999</v>
      </c>
      <c r="AP26">
        <v>4052.3</v>
      </c>
      <c r="AQ26">
        <f t="shared" si="26"/>
        <v>0.92542210596451402</v>
      </c>
      <c r="AR26">
        <v>-0.32343011824092421</v>
      </c>
      <c r="AS26" t="s">
        <v>468</v>
      </c>
      <c r="AT26">
        <v>10446.1</v>
      </c>
      <c r="AU26">
        <v>766.25915384615394</v>
      </c>
      <c r="AV26">
        <v>1079.911956131109</v>
      </c>
      <c r="AW26">
        <f t="shared" si="27"/>
        <v>0.29044293889350681</v>
      </c>
      <c r="AX26">
        <v>0.5</v>
      </c>
      <c r="AY26">
        <f t="shared" si="28"/>
        <v>1513.2018003291632</v>
      </c>
      <c r="AZ26">
        <f t="shared" si="29"/>
        <v>39.52300451198159</v>
      </c>
      <c r="BA26">
        <f t="shared" si="30"/>
        <v>219.74938901327383</v>
      </c>
      <c r="BB26">
        <f t="shared" si="31"/>
        <v>2.6332531868224589E-2</v>
      </c>
      <c r="BC26">
        <f t="shared" si="32"/>
        <v>2.7524355360577393</v>
      </c>
      <c r="BD26">
        <f t="shared" si="33"/>
        <v>250.74198141127377</v>
      </c>
      <c r="BE26" t="s">
        <v>469</v>
      </c>
      <c r="BF26">
        <v>587.44000000000005</v>
      </c>
      <c r="BG26">
        <f t="shared" si="34"/>
        <v>587.44000000000005</v>
      </c>
      <c r="BH26">
        <f t="shared" si="35"/>
        <v>0.45602972847475298</v>
      </c>
      <c r="BI26">
        <f t="shared" si="36"/>
        <v>0.63689474777209953</v>
      </c>
      <c r="BJ26">
        <f t="shared" si="37"/>
        <v>0.85786670857376379</v>
      </c>
      <c r="BK26">
        <f t="shared" si="38"/>
        <v>0.40330824222404577</v>
      </c>
      <c r="BL26">
        <f t="shared" si="39"/>
        <v>0.79261821159100565</v>
      </c>
      <c r="BM26">
        <f t="shared" si="40"/>
        <v>0.48826490196338956</v>
      </c>
      <c r="BN26">
        <f t="shared" si="41"/>
        <v>0.51173509803661044</v>
      </c>
      <c r="BO26">
        <v>5482</v>
      </c>
      <c r="BP26">
        <v>290.00000000000011</v>
      </c>
      <c r="BQ26">
        <v>993.13</v>
      </c>
      <c r="BR26">
        <v>135</v>
      </c>
      <c r="BS26">
        <v>10446.1</v>
      </c>
      <c r="BT26">
        <v>989.59</v>
      </c>
      <c r="BU26">
        <v>3.54</v>
      </c>
      <c r="BV26">
        <v>300.00000000000011</v>
      </c>
      <c r="BW26">
        <v>38.299999999999997</v>
      </c>
      <c r="BX26">
        <v>1079.911956131109</v>
      </c>
      <c r="BY26">
        <v>1.3975403691678501</v>
      </c>
      <c r="BZ26">
        <v>-94.346819572779694</v>
      </c>
      <c r="CA26">
        <v>1.193028501419894</v>
      </c>
      <c r="CB26">
        <v>0.99554276981745393</v>
      </c>
      <c r="CC26">
        <v>-1.1322790433815349E-2</v>
      </c>
      <c r="CD26">
        <v>289.99999999999989</v>
      </c>
      <c r="CE26">
        <v>979.4</v>
      </c>
      <c r="CF26">
        <v>685</v>
      </c>
      <c r="CG26">
        <v>10399.200000000001</v>
      </c>
      <c r="CH26">
        <v>989.19</v>
      </c>
      <c r="CI26">
        <v>-9.7899999999999991</v>
      </c>
      <c r="CW26">
        <f t="shared" si="42"/>
        <v>1800.02</v>
      </c>
      <c r="CX26">
        <f t="shared" si="43"/>
        <v>1513.2018003291632</v>
      </c>
      <c r="CY26">
        <f t="shared" si="44"/>
        <v>0.84065832620146619</v>
      </c>
      <c r="CZ26">
        <f t="shared" si="45"/>
        <v>0.1913166524029323</v>
      </c>
      <c r="DA26">
        <v>6</v>
      </c>
      <c r="DB26">
        <v>0.5</v>
      </c>
      <c r="DC26" t="s">
        <v>419</v>
      </c>
      <c r="DD26">
        <v>2</v>
      </c>
      <c r="DE26">
        <v>1693323333.5999999</v>
      </c>
      <c r="DF26">
        <v>450.61099999999999</v>
      </c>
      <c r="DG26">
        <v>500.02100000000002</v>
      </c>
      <c r="DH26">
        <v>28.818999999999999</v>
      </c>
      <c r="DI26">
        <v>24.507200000000001</v>
      </c>
      <c r="DJ26">
        <v>452.56299999999999</v>
      </c>
      <c r="DK26">
        <v>28.380299999999998</v>
      </c>
      <c r="DL26">
        <v>500.19200000000001</v>
      </c>
      <c r="DM26">
        <v>99.063000000000002</v>
      </c>
      <c r="DN26">
        <v>0.10025100000000001</v>
      </c>
      <c r="DO26">
        <v>30.509699999999999</v>
      </c>
      <c r="DP26">
        <v>30.0626</v>
      </c>
      <c r="DQ26">
        <v>999.9</v>
      </c>
      <c r="DR26">
        <v>0</v>
      </c>
      <c r="DS26">
        <v>0</v>
      </c>
      <c r="DT26">
        <v>9990</v>
      </c>
      <c r="DU26">
        <v>0</v>
      </c>
      <c r="DV26">
        <v>1449.94</v>
      </c>
      <c r="DW26">
        <v>-49.410299999999999</v>
      </c>
      <c r="DX26">
        <v>463.98200000000003</v>
      </c>
      <c r="DY26">
        <v>512.58299999999997</v>
      </c>
      <c r="DZ26">
        <v>4.3117200000000002</v>
      </c>
      <c r="EA26">
        <v>500.02100000000002</v>
      </c>
      <c r="EB26">
        <v>24.507200000000001</v>
      </c>
      <c r="EC26">
        <v>2.8548900000000001</v>
      </c>
      <c r="ED26">
        <v>2.4277600000000001</v>
      </c>
      <c r="EE26">
        <v>23.204999999999998</v>
      </c>
      <c r="EF26">
        <v>20.5501</v>
      </c>
      <c r="EG26">
        <v>1800.02</v>
      </c>
      <c r="EH26">
        <v>0.97799400000000003</v>
      </c>
      <c r="EI26">
        <v>2.2006000000000001E-2</v>
      </c>
      <c r="EJ26">
        <v>0</v>
      </c>
      <c r="EK26">
        <v>766.60900000000004</v>
      </c>
      <c r="EL26">
        <v>4.9995000000000003</v>
      </c>
      <c r="EM26">
        <v>15169.3</v>
      </c>
      <c r="EN26">
        <v>16659.900000000001</v>
      </c>
      <c r="EO26">
        <v>49.75</v>
      </c>
      <c r="EP26">
        <v>50.811999999999998</v>
      </c>
      <c r="EQ26">
        <v>50.5</v>
      </c>
      <c r="ER26">
        <v>50</v>
      </c>
      <c r="ES26">
        <v>51</v>
      </c>
      <c r="ET26">
        <v>1755.52</v>
      </c>
      <c r="EU26">
        <v>39.5</v>
      </c>
      <c r="EV26">
        <v>0</v>
      </c>
      <c r="EW26">
        <v>113.5999999046326</v>
      </c>
      <c r="EX26">
        <v>0</v>
      </c>
      <c r="EY26">
        <v>766.25915384615394</v>
      </c>
      <c r="EZ26">
        <v>4.4677606767201246</v>
      </c>
      <c r="FA26">
        <v>80.09572635800366</v>
      </c>
      <c r="FB26">
        <v>15161.04615384615</v>
      </c>
      <c r="FC26">
        <v>15</v>
      </c>
      <c r="FD26">
        <v>1693323304.5999999</v>
      </c>
      <c r="FE26" t="s">
        <v>470</v>
      </c>
      <c r="FF26">
        <v>1693323304.5999999</v>
      </c>
      <c r="FG26">
        <v>1693323302.5999999</v>
      </c>
      <c r="FH26">
        <v>12</v>
      </c>
      <c r="FI26">
        <v>2.9000000000000001E-2</v>
      </c>
      <c r="FJ26">
        <v>0</v>
      </c>
      <c r="FK26">
        <v>-2.0150000000000001</v>
      </c>
      <c r="FL26">
        <v>0.23599999999999999</v>
      </c>
      <c r="FM26">
        <v>500</v>
      </c>
      <c r="FN26">
        <v>24</v>
      </c>
      <c r="FO26">
        <v>0.13</v>
      </c>
      <c r="FP26">
        <v>0.05</v>
      </c>
      <c r="FQ26">
        <v>39.519436590570187</v>
      </c>
      <c r="FR26">
        <v>6.0795715625588539E-2</v>
      </c>
      <c r="FS26">
        <v>8.0863212507817861E-2</v>
      </c>
      <c r="FT26">
        <v>1</v>
      </c>
      <c r="FU26">
        <v>0.2624872789331415</v>
      </c>
      <c r="FV26">
        <v>2.2885903533388399E-2</v>
      </c>
      <c r="FW26">
        <v>2.8313678879681469E-3</v>
      </c>
      <c r="FX26">
        <v>1</v>
      </c>
      <c r="FY26">
        <v>2</v>
      </c>
      <c r="FZ26">
        <v>2</v>
      </c>
      <c r="GA26" t="s">
        <v>421</v>
      </c>
      <c r="GB26">
        <v>2.9708700000000001</v>
      </c>
      <c r="GC26">
        <v>2.8118599999999998</v>
      </c>
      <c r="GD26">
        <v>0.106334</v>
      </c>
      <c r="GE26">
        <v>0.113278</v>
      </c>
      <c r="GF26">
        <v>0.135182</v>
      </c>
      <c r="GG26">
        <v>0.120283</v>
      </c>
      <c r="GH26">
        <v>26382.2</v>
      </c>
      <c r="GI26">
        <v>24222.9</v>
      </c>
      <c r="GJ26">
        <v>26532.3</v>
      </c>
      <c r="GK26">
        <v>25771.200000000001</v>
      </c>
      <c r="GL26">
        <v>31225.4</v>
      </c>
      <c r="GM26">
        <v>31952.400000000001</v>
      </c>
      <c r="GN26">
        <v>37581.599999999999</v>
      </c>
      <c r="GO26">
        <v>38147.1</v>
      </c>
      <c r="GP26">
        <v>1.9732000000000001</v>
      </c>
      <c r="GQ26">
        <v>2.0244</v>
      </c>
      <c r="GR26">
        <v>6.0230499999999999E-2</v>
      </c>
      <c r="GS26">
        <v>0</v>
      </c>
      <c r="GT26">
        <v>29.081800000000001</v>
      </c>
      <c r="GU26">
        <v>999.9</v>
      </c>
      <c r="GV26">
        <v>59.9</v>
      </c>
      <c r="GW26">
        <v>32</v>
      </c>
      <c r="GX26">
        <v>28.874199999999998</v>
      </c>
      <c r="GY26">
        <v>61.6233</v>
      </c>
      <c r="GZ26">
        <v>11.991199999999999</v>
      </c>
      <c r="HA26">
        <v>1</v>
      </c>
      <c r="HB26">
        <v>0.28521299999999999</v>
      </c>
      <c r="HC26">
        <v>2.8679000000000001</v>
      </c>
      <c r="HD26">
        <v>20.231100000000001</v>
      </c>
      <c r="HE26">
        <v>5.2088999999999999</v>
      </c>
      <c r="HF26">
        <v>11.9321</v>
      </c>
      <c r="HG26">
        <v>4.9871999999999996</v>
      </c>
      <c r="HH26">
        <v>3.2909999999999999</v>
      </c>
      <c r="HI26">
        <v>9999</v>
      </c>
      <c r="HJ26">
        <v>9999</v>
      </c>
      <c r="HK26">
        <v>9999</v>
      </c>
      <c r="HL26">
        <v>999.9</v>
      </c>
      <c r="HM26">
        <v>1.8705700000000001</v>
      </c>
      <c r="HN26">
        <v>1.87683</v>
      </c>
      <c r="HO26">
        <v>1.8745400000000001</v>
      </c>
      <c r="HP26">
        <v>1.8728400000000001</v>
      </c>
      <c r="HQ26">
        <v>1.8732899999999999</v>
      </c>
      <c r="HR26">
        <v>1.87073</v>
      </c>
      <c r="HS26">
        <v>1.87659</v>
      </c>
      <c r="HT26">
        <v>1.87565</v>
      </c>
      <c r="HU26">
        <v>5</v>
      </c>
      <c r="HV26">
        <v>0</v>
      </c>
      <c r="HW26">
        <v>0</v>
      </c>
      <c r="HX26">
        <v>0</v>
      </c>
      <c r="HY26" t="s">
        <v>422</v>
      </c>
      <c r="HZ26" t="s">
        <v>423</v>
      </c>
      <c r="IA26" t="s">
        <v>424</v>
      </c>
      <c r="IB26" t="s">
        <v>424</v>
      </c>
      <c r="IC26" t="s">
        <v>424</v>
      </c>
      <c r="ID26" t="s">
        <v>424</v>
      </c>
      <c r="IE26">
        <v>0</v>
      </c>
      <c r="IF26">
        <v>100</v>
      </c>
      <c r="IG26">
        <v>100</v>
      </c>
      <c r="IH26">
        <v>-1.952</v>
      </c>
      <c r="II26">
        <v>0.43869999999999998</v>
      </c>
      <c r="IJ26">
        <v>-1.079621404806548</v>
      </c>
      <c r="IK26">
        <v>-2.677719669153116E-3</v>
      </c>
      <c r="IL26">
        <v>1.9353498771248068E-6</v>
      </c>
      <c r="IM26">
        <v>-6.1862177325538213E-10</v>
      </c>
      <c r="IN26">
        <v>-0.1936821440000755</v>
      </c>
      <c r="IO26">
        <v>-1.5299015507423901E-2</v>
      </c>
      <c r="IP26">
        <v>1.742162107778985E-3</v>
      </c>
      <c r="IQ26">
        <v>-1.472690239905804E-5</v>
      </c>
      <c r="IR26">
        <v>3</v>
      </c>
      <c r="IS26">
        <v>2255</v>
      </c>
      <c r="IT26">
        <v>2</v>
      </c>
      <c r="IU26">
        <v>41</v>
      </c>
      <c r="IV26">
        <v>0.5</v>
      </c>
      <c r="IW26">
        <v>0.5</v>
      </c>
      <c r="IX26">
        <v>1.1437999999999999</v>
      </c>
      <c r="IY26">
        <v>2.4939</v>
      </c>
      <c r="IZ26">
        <v>1.6003400000000001</v>
      </c>
      <c r="JA26">
        <v>2.2814899999999998</v>
      </c>
      <c r="JB26">
        <v>1.5502899999999999</v>
      </c>
      <c r="JC26">
        <v>2.34497</v>
      </c>
      <c r="JD26">
        <v>37.457799999999999</v>
      </c>
      <c r="JE26">
        <v>23.868600000000001</v>
      </c>
      <c r="JF26">
        <v>18</v>
      </c>
      <c r="JG26">
        <v>505.16</v>
      </c>
      <c r="JH26">
        <v>507.30799999999999</v>
      </c>
      <c r="JI26">
        <v>25.781600000000001</v>
      </c>
      <c r="JJ26">
        <v>31.1023</v>
      </c>
      <c r="JK26">
        <v>30.001000000000001</v>
      </c>
      <c r="JL26">
        <v>31.068200000000001</v>
      </c>
      <c r="JM26">
        <v>31.040199999999999</v>
      </c>
      <c r="JN26">
        <v>22.927700000000002</v>
      </c>
      <c r="JO26">
        <v>25.0886</v>
      </c>
      <c r="JP26">
        <v>100</v>
      </c>
      <c r="JQ26">
        <v>25.786799999999999</v>
      </c>
      <c r="JR26">
        <v>500</v>
      </c>
      <c r="JS26">
        <v>24.506399999999999</v>
      </c>
      <c r="JT26">
        <v>99.094099999999997</v>
      </c>
      <c r="JU26">
        <v>99.075500000000005</v>
      </c>
    </row>
    <row r="27" spans="1:281" x14ac:dyDescent="0.25">
      <c r="A27">
        <v>11</v>
      </c>
      <c r="B27">
        <v>1693323436.5999999</v>
      </c>
      <c r="C27">
        <v>1139.5</v>
      </c>
      <c r="D27" t="s">
        <v>471</v>
      </c>
      <c r="E27" t="s">
        <v>472</v>
      </c>
      <c r="F27" t="s">
        <v>413</v>
      </c>
      <c r="G27" t="s">
        <v>414</v>
      </c>
      <c r="H27" t="s">
        <v>31</v>
      </c>
      <c r="I27" t="s">
        <v>415</v>
      </c>
      <c r="J27">
        <v>1693323436.5999999</v>
      </c>
      <c r="K27">
        <f t="shared" si="0"/>
        <v>3.5501047646432204E-3</v>
      </c>
      <c r="L27">
        <f t="shared" si="1"/>
        <v>3.5501047646432204</v>
      </c>
      <c r="M27">
        <f t="shared" si="2"/>
        <v>42.46896085547759</v>
      </c>
      <c r="N27">
        <f t="shared" si="3"/>
        <v>646.34900000000005</v>
      </c>
      <c r="O27">
        <f t="shared" si="4"/>
        <v>354.01992435923921</v>
      </c>
      <c r="P27">
        <f t="shared" si="5"/>
        <v>35.104943734324074</v>
      </c>
      <c r="Q27">
        <f t="shared" si="6"/>
        <v>64.092565746983411</v>
      </c>
      <c r="R27">
        <f t="shared" si="7"/>
        <v>0.25210736307106374</v>
      </c>
      <c r="S27">
        <f t="shared" si="8"/>
        <v>2.9112877131304669</v>
      </c>
      <c r="T27">
        <f t="shared" si="9"/>
        <v>0.2405763287833502</v>
      </c>
      <c r="U27">
        <f t="shared" si="10"/>
        <v>0.15135226628032594</v>
      </c>
      <c r="V27">
        <f t="shared" si="11"/>
        <v>344.40610065826405</v>
      </c>
      <c r="W27">
        <f t="shared" si="12"/>
        <v>31.426261638004775</v>
      </c>
      <c r="X27">
        <f t="shared" si="13"/>
        <v>29.965599999999998</v>
      </c>
      <c r="Y27">
        <f t="shared" si="14"/>
        <v>4.2520387610966566</v>
      </c>
      <c r="Z27">
        <f t="shared" si="15"/>
        <v>65.49236888907933</v>
      </c>
      <c r="AA27">
        <f t="shared" si="16"/>
        <v>2.8410894562945797</v>
      </c>
      <c r="AB27">
        <f t="shared" si="17"/>
        <v>4.3380465609762409</v>
      </c>
      <c r="AC27">
        <f t="shared" si="18"/>
        <v>1.4109493048020769</v>
      </c>
      <c r="AD27">
        <f t="shared" si="19"/>
        <v>-156.55962012076603</v>
      </c>
      <c r="AE27">
        <f t="shared" si="20"/>
        <v>54.77671677341116</v>
      </c>
      <c r="AF27">
        <f t="shared" si="21"/>
        <v>4.1894054241264067</v>
      </c>
      <c r="AG27">
        <f t="shared" si="22"/>
        <v>246.81260273503557</v>
      </c>
      <c r="AH27">
        <v>0</v>
      </c>
      <c r="AI27">
        <v>0</v>
      </c>
      <c r="AJ27">
        <f t="shared" si="23"/>
        <v>1</v>
      </c>
      <c r="AK27">
        <f t="shared" si="24"/>
        <v>0</v>
      </c>
      <c r="AL27">
        <f t="shared" si="25"/>
        <v>51758.910553632581</v>
      </c>
      <c r="AM27" t="s">
        <v>416</v>
      </c>
      <c r="AN27">
        <v>10238.9</v>
      </c>
      <c r="AO27">
        <v>302.21199999999999</v>
      </c>
      <c r="AP27">
        <v>4052.3</v>
      </c>
      <c r="AQ27">
        <f t="shared" si="26"/>
        <v>0.92542210596451402</v>
      </c>
      <c r="AR27">
        <v>-0.32343011824092421</v>
      </c>
      <c r="AS27" t="s">
        <v>473</v>
      </c>
      <c r="AT27">
        <v>10441.1</v>
      </c>
      <c r="AU27">
        <v>790.45191999999997</v>
      </c>
      <c r="AV27">
        <v>1141.943400539684</v>
      </c>
      <c r="AW27">
        <f t="shared" si="27"/>
        <v>0.30780114003335779</v>
      </c>
      <c r="AX27">
        <v>0.5</v>
      </c>
      <c r="AY27">
        <f t="shared" si="28"/>
        <v>1513.3446003291319</v>
      </c>
      <c r="AZ27">
        <f t="shared" si="29"/>
        <v>42.46896085547759</v>
      </c>
      <c r="BA27">
        <f t="shared" si="30"/>
        <v>232.90459662231652</v>
      </c>
      <c r="BB27">
        <f t="shared" si="31"/>
        <v>2.8276699810744852E-2</v>
      </c>
      <c r="BC27">
        <f t="shared" si="32"/>
        <v>2.5485996924934087</v>
      </c>
      <c r="BD27">
        <f t="shared" si="33"/>
        <v>253.94489711795336</v>
      </c>
      <c r="BE27" t="s">
        <v>474</v>
      </c>
      <c r="BF27">
        <v>595.46</v>
      </c>
      <c r="BG27">
        <f t="shared" si="34"/>
        <v>595.46</v>
      </c>
      <c r="BH27">
        <f t="shared" si="35"/>
        <v>0.47855559240625689</v>
      </c>
      <c r="BI27">
        <f t="shared" si="36"/>
        <v>0.64318784466749745</v>
      </c>
      <c r="BJ27">
        <f t="shared" si="37"/>
        <v>0.8419124401072412</v>
      </c>
      <c r="BK27">
        <f t="shared" si="38"/>
        <v>0.41857608315442918</v>
      </c>
      <c r="BL27">
        <f t="shared" si="39"/>
        <v>0.77607688125193752</v>
      </c>
      <c r="BM27">
        <f t="shared" si="40"/>
        <v>0.48452363046408697</v>
      </c>
      <c r="BN27">
        <f t="shared" si="41"/>
        <v>0.51547636953591303</v>
      </c>
      <c r="BO27">
        <v>5484</v>
      </c>
      <c r="BP27">
        <v>290.00000000000011</v>
      </c>
      <c r="BQ27">
        <v>1046.67</v>
      </c>
      <c r="BR27">
        <v>155</v>
      </c>
      <c r="BS27">
        <v>10441.1</v>
      </c>
      <c r="BT27">
        <v>1042.04</v>
      </c>
      <c r="BU27">
        <v>4.63</v>
      </c>
      <c r="BV27">
        <v>300.00000000000011</v>
      </c>
      <c r="BW27">
        <v>38.299999999999997</v>
      </c>
      <c r="BX27">
        <v>1141.943400539684</v>
      </c>
      <c r="BY27">
        <v>1.2909417350215739</v>
      </c>
      <c r="BZ27">
        <v>-104.3138979404184</v>
      </c>
      <c r="CA27">
        <v>1.101983140099585</v>
      </c>
      <c r="CB27">
        <v>0.99688492425435471</v>
      </c>
      <c r="CC27">
        <v>-1.132266340378198E-2</v>
      </c>
      <c r="CD27">
        <v>289.99999999999989</v>
      </c>
      <c r="CE27">
        <v>1030.43</v>
      </c>
      <c r="CF27">
        <v>675</v>
      </c>
      <c r="CG27">
        <v>10399.799999999999</v>
      </c>
      <c r="CH27">
        <v>1041.6400000000001</v>
      </c>
      <c r="CI27">
        <v>-11.21</v>
      </c>
      <c r="CW27">
        <f t="shared" si="42"/>
        <v>1800.19</v>
      </c>
      <c r="CX27">
        <f t="shared" si="43"/>
        <v>1513.3446003291319</v>
      </c>
      <c r="CY27">
        <f t="shared" si="44"/>
        <v>0.84065826403275867</v>
      </c>
      <c r="CZ27">
        <f t="shared" si="45"/>
        <v>0.19131652806551755</v>
      </c>
      <c r="DA27">
        <v>6</v>
      </c>
      <c r="DB27">
        <v>0.5</v>
      </c>
      <c r="DC27" t="s">
        <v>419</v>
      </c>
      <c r="DD27">
        <v>2</v>
      </c>
      <c r="DE27">
        <v>1693323436.5999999</v>
      </c>
      <c r="DF27">
        <v>646.34900000000005</v>
      </c>
      <c r="DG27">
        <v>700.06700000000001</v>
      </c>
      <c r="DH27">
        <v>28.651299999999999</v>
      </c>
      <c r="DI27">
        <v>24.513100000000001</v>
      </c>
      <c r="DJ27">
        <v>648.39</v>
      </c>
      <c r="DK27">
        <v>28.223199999999999</v>
      </c>
      <c r="DL27">
        <v>499.98399999999998</v>
      </c>
      <c r="DM27">
        <v>99.061700000000002</v>
      </c>
      <c r="DN27">
        <v>9.9226599999999998E-2</v>
      </c>
      <c r="DO27">
        <v>30.314599999999999</v>
      </c>
      <c r="DP27">
        <v>29.965599999999998</v>
      </c>
      <c r="DQ27">
        <v>999.9</v>
      </c>
      <c r="DR27">
        <v>0</v>
      </c>
      <c r="DS27">
        <v>0</v>
      </c>
      <c r="DT27">
        <v>9990</v>
      </c>
      <c r="DU27">
        <v>0</v>
      </c>
      <c r="DV27">
        <v>1463.19</v>
      </c>
      <c r="DW27">
        <v>-53.717700000000001</v>
      </c>
      <c r="DX27">
        <v>665.41399999999999</v>
      </c>
      <c r="DY27">
        <v>717.65899999999999</v>
      </c>
      <c r="DZ27">
        <v>4.1382599999999998</v>
      </c>
      <c r="EA27">
        <v>700.06700000000001</v>
      </c>
      <c r="EB27">
        <v>24.513100000000001</v>
      </c>
      <c r="EC27">
        <v>2.8382499999999999</v>
      </c>
      <c r="ED27">
        <v>2.4283100000000002</v>
      </c>
      <c r="EE27">
        <v>23.1082</v>
      </c>
      <c r="EF27">
        <v>20.553799999999999</v>
      </c>
      <c r="EG27">
        <v>1800.19</v>
      </c>
      <c r="EH27">
        <v>0.97799800000000003</v>
      </c>
      <c r="EI27">
        <v>2.2002500000000001E-2</v>
      </c>
      <c r="EJ27">
        <v>0</v>
      </c>
      <c r="EK27">
        <v>790.73</v>
      </c>
      <c r="EL27">
        <v>4.9995000000000003</v>
      </c>
      <c r="EM27">
        <v>15612.2</v>
      </c>
      <c r="EN27">
        <v>16661.599999999999</v>
      </c>
      <c r="EO27">
        <v>49.811999999999998</v>
      </c>
      <c r="EP27">
        <v>51.061999999999998</v>
      </c>
      <c r="EQ27">
        <v>50.625</v>
      </c>
      <c r="ER27">
        <v>50.186999999999998</v>
      </c>
      <c r="ES27">
        <v>51.125</v>
      </c>
      <c r="ET27">
        <v>1755.69</v>
      </c>
      <c r="EU27">
        <v>39.5</v>
      </c>
      <c r="EV27">
        <v>0</v>
      </c>
      <c r="EW27">
        <v>101</v>
      </c>
      <c r="EX27">
        <v>0</v>
      </c>
      <c r="EY27">
        <v>790.45191999999997</v>
      </c>
      <c r="EZ27">
        <v>0.36523077784785152</v>
      </c>
      <c r="FA27">
        <v>32.769230771848143</v>
      </c>
      <c r="FB27">
        <v>15608.712</v>
      </c>
      <c r="FC27">
        <v>15</v>
      </c>
      <c r="FD27">
        <v>1693323403.0999999</v>
      </c>
      <c r="FE27" t="s">
        <v>475</v>
      </c>
      <c r="FF27">
        <v>1693323400.5999999</v>
      </c>
      <c r="FG27">
        <v>1693323403.0999999</v>
      </c>
      <c r="FH27">
        <v>13</v>
      </c>
      <c r="FI27">
        <v>0.129</v>
      </c>
      <c r="FJ27">
        <v>-3.0000000000000001E-3</v>
      </c>
      <c r="FK27">
        <v>-2.0910000000000002</v>
      </c>
      <c r="FL27">
        <v>0.23899999999999999</v>
      </c>
      <c r="FM27">
        <v>700</v>
      </c>
      <c r="FN27">
        <v>24</v>
      </c>
      <c r="FO27">
        <v>0.1</v>
      </c>
      <c r="FP27">
        <v>0.06</v>
      </c>
      <c r="FQ27">
        <v>42.476459918536882</v>
      </c>
      <c r="FR27">
        <v>-0.66382965263055493</v>
      </c>
      <c r="FS27">
        <v>0.1110585181757876</v>
      </c>
      <c r="FT27">
        <v>1</v>
      </c>
      <c r="FU27">
        <v>0.25047753054572408</v>
      </c>
      <c r="FV27">
        <v>4.6769054783747186E-3</v>
      </c>
      <c r="FW27">
        <v>1.316118675607285E-3</v>
      </c>
      <c r="FX27">
        <v>1</v>
      </c>
      <c r="FY27">
        <v>2</v>
      </c>
      <c r="FZ27">
        <v>2</v>
      </c>
      <c r="GA27" t="s">
        <v>421</v>
      </c>
      <c r="GB27">
        <v>2.9702500000000001</v>
      </c>
      <c r="GC27">
        <v>2.8108300000000002</v>
      </c>
      <c r="GD27">
        <v>0.13795399999999999</v>
      </c>
      <c r="GE27">
        <v>0.14390900000000001</v>
      </c>
      <c r="GF27">
        <v>0.13463900000000001</v>
      </c>
      <c r="GG27">
        <v>0.120285</v>
      </c>
      <c r="GH27">
        <v>25447</v>
      </c>
      <c r="GI27">
        <v>23380.799999999999</v>
      </c>
      <c r="GJ27">
        <v>26531.3</v>
      </c>
      <c r="GK27">
        <v>25766.400000000001</v>
      </c>
      <c r="GL27">
        <v>31246.3</v>
      </c>
      <c r="GM27">
        <v>31949.1</v>
      </c>
      <c r="GN27">
        <v>37579.199999999997</v>
      </c>
      <c r="GO27">
        <v>38140.5</v>
      </c>
      <c r="GP27">
        <v>1.9722999999999999</v>
      </c>
      <c r="GQ27">
        <v>2.0242</v>
      </c>
      <c r="GR27">
        <v>4.5567799999999999E-2</v>
      </c>
      <c r="GS27">
        <v>0</v>
      </c>
      <c r="GT27">
        <v>29.223600000000001</v>
      </c>
      <c r="GU27">
        <v>999.9</v>
      </c>
      <c r="GV27">
        <v>59.8</v>
      </c>
      <c r="GW27">
        <v>32</v>
      </c>
      <c r="GX27">
        <v>28.826899999999998</v>
      </c>
      <c r="GY27">
        <v>61.463299999999997</v>
      </c>
      <c r="GZ27">
        <v>12.8405</v>
      </c>
      <c r="HA27">
        <v>1</v>
      </c>
      <c r="HB27">
        <v>0.29103699999999999</v>
      </c>
      <c r="HC27">
        <v>3.1267800000000001</v>
      </c>
      <c r="HD27">
        <v>20.226400000000002</v>
      </c>
      <c r="HE27">
        <v>5.2011200000000004</v>
      </c>
      <c r="HF27">
        <v>11.9321</v>
      </c>
      <c r="HG27">
        <v>4.9854000000000003</v>
      </c>
      <c r="HH27">
        <v>3.2894999999999999</v>
      </c>
      <c r="HI27">
        <v>9999</v>
      </c>
      <c r="HJ27">
        <v>9999</v>
      </c>
      <c r="HK27">
        <v>9999</v>
      </c>
      <c r="HL27">
        <v>999.9</v>
      </c>
      <c r="HM27">
        <v>1.87053</v>
      </c>
      <c r="HN27">
        <v>1.8768199999999999</v>
      </c>
      <c r="HO27">
        <v>1.8745499999999999</v>
      </c>
      <c r="HP27">
        <v>1.87283</v>
      </c>
      <c r="HQ27">
        <v>1.8732800000000001</v>
      </c>
      <c r="HR27">
        <v>1.87073</v>
      </c>
      <c r="HS27">
        <v>1.87659</v>
      </c>
      <c r="HT27">
        <v>1.8756699999999999</v>
      </c>
      <c r="HU27">
        <v>5</v>
      </c>
      <c r="HV27">
        <v>0</v>
      </c>
      <c r="HW27">
        <v>0</v>
      </c>
      <c r="HX27">
        <v>0</v>
      </c>
      <c r="HY27" t="s">
        <v>422</v>
      </c>
      <c r="HZ27" t="s">
        <v>423</v>
      </c>
      <c r="IA27" t="s">
        <v>424</v>
      </c>
      <c r="IB27" t="s">
        <v>424</v>
      </c>
      <c r="IC27" t="s">
        <v>424</v>
      </c>
      <c r="ID27" t="s">
        <v>424</v>
      </c>
      <c r="IE27">
        <v>0</v>
      </c>
      <c r="IF27">
        <v>100</v>
      </c>
      <c r="IG27">
        <v>100</v>
      </c>
      <c r="IH27">
        <v>-2.0409999999999999</v>
      </c>
      <c r="II27">
        <v>0.42809999999999998</v>
      </c>
      <c r="IJ27">
        <v>-0.95034280380228564</v>
      </c>
      <c r="IK27">
        <v>-2.677719669153116E-3</v>
      </c>
      <c r="IL27">
        <v>1.9353498771248068E-6</v>
      </c>
      <c r="IM27">
        <v>-6.1862177325538213E-10</v>
      </c>
      <c r="IN27">
        <v>-0.19667489554399151</v>
      </c>
      <c r="IO27">
        <v>-1.5299015507423901E-2</v>
      </c>
      <c r="IP27">
        <v>1.742162107778985E-3</v>
      </c>
      <c r="IQ27">
        <v>-1.472690239905804E-5</v>
      </c>
      <c r="IR27">
        <v>3</v>
      </c>
      <c r="IS27">
        <v>2255</v>
      </c>
      <c r="IT27">
        <v>2</v>
      </c>
      <c r="IU27">
        <v>41</v>
      </c>
      <c r="IV27">
        <v>0.6</v>
      </c>
      <c r="IW27">
        <v>0.6</v>
      </c>
      <c r="IX27">
        <v>1.50024</v>
      </c>
      <c r="IY27">
        <v>2.4865699999999999</v>
      </c>
      <c r="IZ27">
        <v>1.5991200000000001</v>
      </c>
      <c r="JA27">
        <v>2.2814899999999998</v>
      </c>
      <c r="JB27">
        <v>1.5502899999999999</v>
      </c>
      <c r="JC27">
        <v>2.4133300000000002</v>
      </c>
      <c r="JD27">
        <v>37.53</v>
      </c>
      <c r="JE27">
        <v>23.877400000000002</v>
      </c>
      <c r="JF27">
        <v>18</v>
      </c>
      <c r="JG27">
        <v>505.05799999999999</v>
      </c>
      <c r="JH27">
        <v>507.68200000000002</v>
      </c>
      <c r="JI27">
        <v>24.979099999999999</v>
      </c>
      <c r="JJ27">
        <v>31.1785</v>
      </c>
      <c r="JK27">
        <v>30.0001</v>
      </c>
      <c r="JL27">
        <v>31.1267</v>
      </c>
      <c r="JM27">
        <v>31.099399999999999</v>
      </c>
      <c r="JN27">
        <v>30.056899999999999</v>
      </c>
      <c r="JO27">
        <v>25.3431</v>
      </c>
      <c r="JP27">
        <v>100</v>
      </c>
      <c r="JQ27">
        <v>24.9893</v>
      </c>
      <c r="JR27">
        <v>700</v>
      </c>
      <c r="JS27">
        <v>24.396799999999999</v>
      </c>
      <c r="JT27">
        <v>99.088899999999995</v>
      </c>
      <c r="JU27">
        <v>99.057699999999997</v>
      </c>
    </row>
    <row r="28" spans="1:281" x14ac:dyDescent="0.25">
      <c r="A28">
        <v>12</v>
      </c>
      <c r="B28">
        <v>1693323550.5999999</v>
      </c>
      <c r="C28">
        <v>1253.5</v>
      </c>
      <c r="D28" t="s">
        <v>476</v>
      </c>
      <c r="E28" t="s">
        <v>477</v>
      </c>
      <c r="F28" t="s">
        <v>413</v>
      </c>
      <c r="G28" t="s">
        <v>414</v>
      </c>
      <c r="H28" t="s">
        <v>31</v>
      </c>
      <c r="I28" t="s">
        <v>415</v>
      </c>
      <c r="J28">
        <v>1693323550.5999999</v>
      </c>
      <c r="K28">
        <f t="shared" si="0"/>
        <v>3.3577169414591031E-3</v>
      </c>
      <c r="L28">
        <f t="shared" si="1"/>
        <v>3.357716941459103</v>
      </c>
      <c r="M28">
        <f t="shared" si="2"/>
        <v>43.02675918501793</v>
      </c>
      <c r="N28">
        <f t="shared" si="3"/>
        <v>844.93600000000004</v>
      </c>
      <c r="O28">
        <f t="shared" si="4"/>
        <v>520.45245116968613</v>
      </c>
      <c r="P28">
        <f t="shared" si="5"/>
        <v>51.609832774736475</v>
      </c>
      <c r="Q28">
        <f t="shared" si="6"/>
        <v>83.786723585124008</v>
      </c>
      <c r="R28">
        <f t="shared" si="7"/>
        <v>0.23190694919844432</v>
      </c>
      <c r="S28">
        <f t="shared" si="8"/>
        <v>2.9113265397065611</v>
      </c>
      <c r="T28">
        <f t="shared" si="9"/>
        <v>0.22211129433414126</v>
      </c>
      <c r="U28">
        <f t="shared" si="10"/>
        <v>0.13966517968465547</v>
      </c>
      <c r="V28">
        <f t="shared" si="11"/>
        <v>344.38328749221904</v>
      </c>
      <c r="W28">
        <f t="shared" si="12"/>
        <v>31.441150499751323</v>
      </c>
      <c r="X28">
        <f t="shared" si="13"/>
        <v>29.983799999999999</v>
      </c>
      <c r="Y28">
        <f t="shared" si="14"/>
        <v>4.2564869682754418</v>
      </c>
      <c r="Z28">
        <f t="shared" si="15"/>
        <v>64.925594515299068</v>
      </c>
      <c r="AA28">
        <f t="shared" si="16"/>
        <v>2.8108261391511</v>
      </c>
      <c r="AB28">
        <f t="shared" si="17"/>
        <v>4.3293036592660803</v>
      </c>
      <c r="AC28">
        <f t="shared" si="18"/>
        <v>1.4456608291243418</v>
      </c>
      <c r="AD28">
        <f t="shared" si="19"/>
        <v>-148.07531711834645</v>
      </c>
      <c r="AE28">
        <f t="shared" si="20"/>
        <v>46.396027002399983</v>
      </c>
      <c r="AF28">
        <f t="shared" si="21"/>
        <v>3.548091569410968</v>
      </c>
      <c r="AG28">
        <f t="shared" si="22"/>
        <v>246.25208894568357</v>
      </c>
      <c r="AH28">
        <v>0</v>
      </c>
      <c r="AI28">
        <v>0</v>
      </c>
      <c r="AJ28">
        <f t="shared" si="23"/>
        <v>1</v>
      </c>
      <c r="AK28">
        <f t="shared" si="24"/>
        <v>0</v>
      </c>
      <c r="AL28">
        <f t="shared" si="25"/>
        <v>51766.067545530874</v>
      </c>
      <c r="AM28" t="s">
        <v>416</v>
      </c>
      <c r="AN28">
        <v>10238.9</v>
      </c>
      <c r="AO28">
        <v>302.21199999999999</v>
      </c>
      <c r="AP28">
        <v>4052.3</v>
      </c>
      <c r="AQ28">
        <f t="shared" si="26"/>
        <v>0.92542210596451402</v>
      </c>
      <c r="AR28">
        <v>-0.32343011824092421</v>
      </c>
      <c r="AS28" t="s">
        <v>478</v>
      </c>
      <c r="AT28">
        <v>10444.9</v>
      </c>
      <c r="AU28">
        <v>794.02271999999994</v>
      </c>
      <c r="AV28">
        <v>1157.2051577804859</v>
      </c>
      <c r="AW28">
        <f t="shared" si="27"/>
        <v>0.31384446857899273</v>
      </c>
      <c r="AX28">
        <v>0.5</v>
      </c>
      <c r="AY28">
        <f t="shared" si="28"/>
        <v>1513.2437937461093</v>
      </c>
      <c r="AZ28">
        <f t="shared" si="29"/>
        <v>43.02675918501793</v>
      </c>
      <c r="BA28">
        <f t="shared" si="30"/>
        <v>237.46159713935327</v>
      </c>
      <c r="BB28">
        <f t="shared" si="31"/>
        <v>2.8647194511826367E-2</v>
      </c>
      <c r="BC28">
        <f t="shared" si="32"/>
        <v>2.5017991172561764</v>
      </c>
      <c r="BD28">
        <f t="shared" si="33"/>
        <v>254.69186885877667</v>
      </c>
      <c r="BE28" t="s">
        <v>479</v>
      </c>
      <c r="BF28">
        <v>599.11</v>
      </c>
      <c r="BG28">
        <f t="shared" si="34"/>
        <v>599.11</v>
      </c>
      <c r="BH28">
        <f t="shared" si="35"/>
        <v>0.48227849143959034</v>
      </c>
      <c r="BI28">
        <f t="shared" si="36"/>
        <v>0.65075360844348262</v>
      </c>
      <c r="BJ28">
        <f t="shared" si="37"/>
        <v>0.83838272502222999</v>
      </c>
      <c r="BK28">
        <f t="shared" si="38"/>
        <v>0.42477818035794246</v>
      </c>
      <c r="BL28">
        <f t="shared" si="39"/>
        <v>0.77200717482350123</v>
      </c>
      <c r="BM28">
        <f t="shared" si="40"/>
        <v>0.49100987230513365</v>
      </c>
      <c r="BN28">
        <f t="shared" si="41"/>
        <v>0.50899012769486629</v>
      </c>
      <c r="BO28">
        <v>5486</v>
      </c>
      <c r="BP28">
        <v>290.00000000000011</v>
      </c>
      <c r="BQ28">
        <v>1059.2</v>
      </c>
      <c r="BR28">
        <v>135</v>
      </c>
      <c r="BS28">
        <v>10444.9</v>
      </c>
      <c r="BT28">
        <v>1054.92</v>
      </c>
      <c r="BU28">
        <v>4.28</v>
      </c>
      <c r="BV28">
        <v>300.00000000000011</v>
      </c>
      <c r="BW28">
        <v>38.299999999999997</v>
      </c>
      <c r="BX28">
        <v>1157.2051577804859</v>
      </c>
      <c r="BY28">
        <v>1.60339021425509</v>
      </c>
      <c r="BZ28">
        <v>-106.8345943069202</v>
      </c>
      <c r="CA28">
        <v>1.3685652718244921</v>
      </c>
      <c r="CB28">
        <v>0.99542622988967844</v>
      </c>
      <c r="CC28">
        <v>-1.13215103448276E-2</v>
      </c>
      <c r="CD28">
        <v>289.99999999999989</v>
      </c>
      <c r="CE28">
        <v>1043.31</v>
      </c>
      <c r="CF28">
        <v>665</v>
      </c>
      <c r="CG28">
        <v>10399.700000000001</v>
      </c>
      <c r="CH28">
        <v>1054.48</v>
      </c>
      <c r="CI28">
        <v>-11.17</v>
      </c>
      <c r="CW28">
        <f t="shared" si="42"/>
        <v>1800.07</v>
      </c>
      <c r="CX28">
        <f t="shared" si="43"/>
        <v>1513.2437937461093</v>
      </c>
      <c r="CY28">
        <f t="shared" si="44"/>
        <v>0.84065830425822852</v>
      </c>
      <c r="CZ28">
        <f t="shared" si="45"/>
        <v>0.19131660851645718</v>
      </c>
      <c r="DA28">
        <v>6</v>
      </c>
      <c r="DB28">
        <v>0.5</v>
      </c>
      <c r="DC28" t="s">
        <v>419</v>
      </c>
      <c r="DD28">
        <v>2</v>
      </c>
      <c r="DE28">
        <v>1693323550.5999999</v>
      </c>
      <c r="DF28">
        <v>844.93600000000004</v>
      </c>
      <c r="DG28">
        <v>900</v>
      </c>
      <c r="DH28">
        <v>28.345400000000001</v>
      </c>
      <c r="DI28">
        <v>24.4284</v>
      </c>
      <c r="DJ28">
        <v>847.22199999999998</v>
      </c>
      <c r="DK28">
        <v>27.935400000000001</v>
      </c>
      <c r="DL28">
        <v>499.75099999999998</v>
      </c>
      <c r="DM28">
        <v>99.063900000000004</v>
      </c>
      <c r="DN28">
        <v>9.9496500000000002E-2</v>
      </c>
      <c r="DO28">
        <v>30.279399999999999</v>
      </c>
      <c r="DP28">
        <v>29.983799999999999</v>
      </c>
      <c r="DQ28">
        <v>999.9</v>
      </c>
      <c r="DR28">
        <v>0</v>
      </c>
      <c r="DS28">
        <v>0</v>
      </c>
      <c r="DT28">
        <v>9990</v>
      </c>
      <c r="DU28">
        <v>0</v>
      </c>
      <c r="DV28">
        <v>1465.17</v>
      </c>
      <c r="DW28">
        <v>-55.063699999999997</v>
      </c>
      <c r="DX28">
        <v>869.58500000000004</v>
      </c>
      <c r="DY28">
        <v>922.53599999999994</v>
      </c>
      <c r="DZ28">
        <v>3.9169700000000001</v>
      </c>
      <c r="EA28">
        <v>900</v>
      </c>
      <c r="EB28">
        <v>24.4284</v>
      </c>
      <c r="EC28">
        <v>2.8079999999999998</v>
      </c>
      <c r="ED28">
        <v>2.4199700000000002</v>
      </c>
      <c r="EE28">
        <v>22.9312</v>
      </c>
      <c r="EF28">
        <v>20.498000000000001</v>
      </c>
      <c r="EG28">
        <v>1800.07</v>
      </c>
      <c r="EH28">
        <v>0.97799800000000003</v>
      </c>
      <c r="EI28">
        <v>2.2002500000000001E-2</v>
      </c>
      <c r="EJ28">
        <v>0</v>
      </c>
      <c r="EK28">
        <v>793.62900000000002</v>
      </c>
      <c r="EL28">
        <v>4.9995000000000003</v>
      </c>
      <c r="EM28">
        <v>15672.6</v>
      </c>
      <c r="EN28">
        <v>16660.400000000001</v>
      </c>
      <c r="EO28">
        <v>49.936999999999998</v>
      </c>
      <c r="EP28">
        <v>51.186999999999998</v>
      </c>
      <c r="EQ28">
        <v>50.686999999999998</v>
      </c>
      <c r="ER28">
        <v>50.25</v>
      </c>
      <c r="ES28">
        <v>51.125</v>
      </c>
      <c r="ET28">
        <v>1755.58</v>
      </c>
      <c r="EU28">
        <v>39.5</v>
      </c>
      <c r="EV28">
        <v>0</v>
      </c>
      <c r="EW28">
        <v>111.7999999523163</v>
      </c>
      <c r="EX28">
        <v>0</v>
      </c>
      <c r="EY28">
        <v>794.02271999999994</v>
      </c>
      <c r="EZ28">
        <v>-2.9900769281070598</v>
      </c>
      <c r="FA28">
        <v>-52.907692181762982</v>
      </c>
      <c r="FB28">
        <v>15680.324000000001</v>
      </c>
      <c r="FC28">
        <v>15</v>
      </c>
      <c r="FD28">
        <v>1693323518.0999999</v>
      </c>
      <c r="FE28" t="s">
        <v>480</v>
      </c>
      <c r="FF28">
        <v>1693323518.0999999</v>
      </c>
      <c r="FG28">
        <v>1693323515.0999999</v>
      </c>
      <c r="FH28">
        <v>14</v>
      </c>
      <c r="FI28">
        <v>-0.08</v>
      </c>
      <c r="FJ28">
        <v>-5.0000000000000001E-3</v>
      </c>
      <c r="FK28">
        <v>-2.3260000000000001</v>
      </c>
      <c r="FL28">
        <v>0.22900000000000001</v>
      </c>
      <c r="FM28">
        <v>900</v>
      </c>
      <c r="FN28">
        <v>24</v>
      </c>
      <c r="FO28">
        <v>0.14000000000000001</v>
      </c>
      <c r="FP28">
        <v>7.0000000000000007E-2</v>
      </c>
      <c r="FQ28">
        <v>42.990208986404987</v>
      </c>
      <c r="FR28">
        <v>-0.28935824770438218</v>
      </c>
      <c r="FS28">
        <v>0.1111912027866474</v>
      </c>
      <c r="FT28">
        <v>1</v>
      </c>
      <c r="FU28">
        <v>0.23093089689008731</v>
      </c>
      <c r="FV28">
        <v>1.8024513749879109E-2</v>
      </c>
      <c r="FW28">
        <v>1.6540528358425441E-3</v>
      </c>
      <c r="FX28">
        <v>1</v>
      </c>
      <c r="FY28">
        <v>2</v>
      </c>
      <c r="FZ28">
        <v>2</v>
      </c>
      <c r="GA28" t="s">
        <v>421</v>
      </c>
      <c r="GB28">
        <v>2.96956</v>
      </c>
      <c r="GC28">
        <v>2.8111000000000002</v>
      </c>
      <c r="GD28">
        <v>0.165523</v>
      </c>
      <c r="GE28">
        <v>0.17042599999999999</v>
      </c>
      <c r="GF28">
        <v>0.133659</v>
      </c>
      <c r="GG28">
        <v>0.119979</v>
      </c>
      <c r="GH28">
        <v>24631</v>
      </c>
      <c r="GI28">
        <v>22652.6</v>
      </c>
      <c r="GJ28">
        <v>26530.2</v>
      </c>
      <c r="GK28">
        <v>25763.1</v>
      </c>
      <c r="GL28">
        <v>31282.799999999999</v>
      </c>
      <c r="GM28">
        <v>31958.799999999999</v>
      </c>
      <c r="GN28">
        <v>37576.699999999997</v>
      </c>
      <c r="GO28">
        <v>38136.5</v>
      </c>
      <c r="GP28">
        <v>1.9709000000000001</v>
      </c>
      <c r="GQ28">
        <v>2.0232000000000001</v>
      </c>
      <c r="GR28">
        <v>5.2779899999999998E-2</v>
      </c>
      <c r="GS28">
        <v>0</v>
      </c>
      <c r="GT28">
        <v>29.124300000000002</v>
      </c>
      <c r="GU28">
        <v>999.9</v>
      </c>
      <c r="GV28">
        <v>59.7</v>
      </c>
      <c r="GW28">
        <v>32.1</v>
      </c>
      <c r="GX28">
        <v>28.94</v>
      </c>
      <c r="GY28">
        <v>61.6434</v>
      </c>
      <c r="GZ28">
        <v>12.7364</v>
      </c>
      <c r="HA28">
        <v>1</v>
      </c>
      <c r="HB28">
        <v>0.29552800000000001</v>
      </c>
      <c r="HC28">
        <v>2.4853800000000001</v>
      </c>
      <c r="HD28">
        <v>20.236000000000001</v>
      </c>
      <c r="HE28">
        <v>5.1969200000000004</v>
      </c>
      <c r="HF28">
        <v>11.9321</v>
      </c>
      <c r="HG28">
        <v>4.9843999999999999</v>
      </c>
      <c r="HH28">
        <v>3.2883</v>
      </c>
      <c r="HI28">
        <v>9999</v>
      </c>
      <c r="HJ28">
        <v>9999</v>
      </c>
      <c r="HK28">
        <v>9999</v>
      </c>
      <c r="HL28">
        <v>999.9</v>
      </c>
      <c r="HM28">
        <v>1.8705700000000001</v>
      </c>
      <c r="HN28">
        <v>1.87683</v>
      </c>
      <c r="HO28">
        <v>1.8745400000000001</v>
      </c>
      <c r="HP28">
        <v>1.87286</v>
      </c>
      <c r="HQ28">
        <v>1.8733</v>
      </c>
      <c r="HR28">
        <v>1.87073</v>
      </c>
      <c r="HS28">
        <v>1.8766499999999999</v>
      </c>
      <c r="HT28">
        <v>1.87575</v>
      </c>
      <c r="HU28">
        <v>5</v>
      </c>
      <c r="HV28">
        <v>0</v>
      </c>
      <c r="HW28">
        <v>0</v>
      </c>
      <c r="HX28">
        <v>0</v>
      </c>
      <c r="HY28" t="s">
        <v>422</v>
      </c>
      <c r="HZ28" t="s">
        <v>423</v>
      </c>
      <c r="IA28" t="s">
        <v>424</v>
      </c>
      <c r="IB28" t="s">
        <v>424</v>
      </c>
      <c r="IC28" t="s">
        <v>424</v>
      </c>
      <c r="ID28" t="s">
        <v>424</v>
      </c>
      <c r="IE28">
        <v>0</v>
      </c>
      <c r="IF28">
        <v>100</v>
      </c>
      <c r="IG28">
        <v>100</v>
      </c>
      <c r="IH28">
        <v>-2.286</v>
      </c>
      <c r="II28">
        <v>0.41</v>
      </c>
      <c r="IJ28">
        <v>-1.0305</v>
      </c>
      <c r="IK28">
        <v>-2.6777200000000002E-3</v>
      </c>
      <c r="IL28">
        <v>1.93535E-6</v>
      </c>
      <c r="IM28">
        <v>-6.18622E-10</v>
      </c>
      <c r="IN28">
        <v>-0.20117824248759739</v>
      </c>
      <c r="IO28">
        <v>-1.5299015507423901E-2</v>
      </c>
      <c r="IP28">
        <v>1.742162107778985E-3</v>
      </c>
      <c r="IQ28">
        <v>-1.472690239905804E-5</v>
      </c>
      <c r="IR28">
        <v>3</v>
      </c>
      <c r="IS28">
        <v>2255</v>
      </c>
      <c r="IT28">
        <v>2</v>
      </c>
      <c r="IU28">
        <v>41</v>
      </c>
      <c r="IV28">
        <v>0.5</v>
      </c>
      <c r="IW28">
        <v>0.6</v>
      </c>
      <c r="IX28">
        <v>1.8432599999999999</v>
      </c>
      <c r="IY28">
        <v>2.47925</v>
      </c>
      <c r="IZ28">
        <v>1.5991200000000001</v>
      </c>
      <c r="JA28">
        <v>2.2814899999999998</v>
      </c>
      <c r="JB28">
        <v>1.5502899999999999</v>
      </c>
      <c r="JC28">
        <v>2.4279799999999998</v>
      </c>
      <c r="JD28">
        <v>37.602200000000003</v>
      </c>
      <c r="JE28">
        <v>23.877400000000002</v>
      </c>
      <c r="JF28">
        <v>18</v>
      </c>
      <c r="JG28">
        <v>504.745</v>
      </c>
      <c r="JH28">
        <v>507.61200000000002</v>
      </c>
      <c r="JI28">
        <v>25.426500000000001</v>
      </c>
      <c r="JJ28">
        <v>31.2576</v>
      </c>
      <c r="JK28">
        <v>29.999700000000001</v>
      </c>
      <c r="JL28">
        <v>31.1983</v>
      </c>
      <c r="JM28">
        <v>31.169599999999999</v>
      </c>
      <c r="JN28">
        <v>36.9009</v>
      </c>
      <c r="JO28">
        <v>25.505199999999999</v>
      </c>
      <c r="JP28">
        <v>100</v>
      </c>
      <c r="JQ28">
        <v>25.45</v>
      </c>
      <c r="JR28">
        <v>900</v>
      </c>
      <c r="JS28">
        <v>24.440899999999999</v>
      </c>
      <c r="JT28">
        <v>99.083299999999994</v>
      </c>
      <c r="JU28">
        <v>99.046400000000006</v>
      </c>
    </row>
    <row r="29" spans="1:281" x14ac:dyDescent="0.25">
      <c r="A29">
        <v>13</v>
      </c>
      <c r="B29">
        <v>1693323655.5999999</v>
      </c>
      <c r="C29">
        <v>1358.5</v>
      </c>
      <c r="D29" t="s">
        <v>481</v>
      </c>
      <c r="E29" t="s">
        <v>482</v>
      </c>
      <c r="F29" t="s">
        <v>413</v>
      </c>
      <c r="G29" t="s">
        <v>414</v>
      </c>
      <c r="H29" t="s">
        <v>31</v>
      </c>
      <c r="I29" t="s">
        <v>415</v>
      </c>
      <c r="J29">
        <v>1693323655.5999999</v>
      </c>
      <c r="K29">
        <f t="shared" si="0"/>
        <v>3.0727882946250105E-3</v>
      </c>
      <c r="L29">
        <f t="shared" si="1"/>
        <v>3.0727882946250107</v>
      </c>
      <c r="M29">
        <f t="shared" si="2"/>
        <v>42.522369095855225</v>
      </c>
      <c r="N29">
        <f t="shared" si="3"/>
        <v>1144.5899999999999</v>
      </c>
      <c r="O29">
        <f t="shared" si="4"/>
        <v>785.45715763447754</v>
      </c>
      <c r="P29">
        <f t="shared" si="5"/>
        <v>77.886929281625001</v>
      </c>
      <c r="Q29">
        <f t="shared" si="6"/>
        <v>113.4989980293</v>
      </c>
      <c r="R29">
        <f t="shared" si="7"/>
        <v>0.20959630675973212</v>
      </c>
      <c r="S29">
        <f t="shared" si="8"/>
        <v>2.9033918168963582</v>
      </c>
      <c r="T29">
        <f t="shared" si="9"/>
        <v>0.20153859905614477</v>
      </c>
      <c r="U29">
        <f t="shared" si="10"/>
        <v>0.12665976732527562</v>
      </c>
      <c r="V29">
        <f t="shared" si="11"/>
        <v>344.34850065820712</v>
      </c>
      <c r="W29">
        <f t="shared" si="12"/>
        <v>31.462392158556732</v>
      </c>
      <c r="X29">
        <f t="shared" si="13"/>
        <v>30.055399999999999</v>
      </c>
      <c r="Y29">
        <f t="shared" si="14"/>
        <v>4.2740258933870905</v>
      </c>
      <c r="Z29">
        <f t="shared" si="15"/>
        <v>65.259280503930057</v>
      </c>
      <c r="AA29">
        <f t="shared" si="16"/>
        <v>2.8161999002539999</v>
      </c>
      <c r="AB29">
        <f t="shared" si="17"/>
        <v>4.3154013934989708</v>
      </c>
      <c r="AC29">
        <f t="shared" si="18"/>
        <v>1.4578259931330906</v>
      </c>
      <c r="AD29">
        <f t="shared" si="19"/>
        <v>-135.50996379296296</v>
      </c>
      <c r="AE29">
        <f t="shared" si="20"/>
        <v>26.280994052299437</v>
      </c>
      <c r="AF29">
        <f t="shared" si="21"/>
        <v>2.0154606611112746</v>
      </c>
      <c r="AG29">
        <f t="shared" si="22"/>
        <v>237.13499157865485</v>
      </c>
      <c r="AH29">
        <v>0</v>
      </c>
      <c r="AI29">
        <v>0</v>
      </c>
      <c r="AJ29">
        <f t="shared" si="23"/>
        <v>1</v>
      </c>
      <c r="AK29">
        <f t="shared" si="24"/>
        <v>0</v>
      </c>
      <c r="AL29">
        <f t="shared" si="25"/>
        <v>51550.345440531986</v>
      </c>
      <c r="AM29" t="s">
        <v>416</v>
      </c>
      <c r="AN29">
        <v>10238.9</v>
      </c>
      <c r="AO29">
        <v>302.21199999999999</v>
      </c>
      <c r="AP29">
        <v>4052.3</v>
      </c>
      <c r="AQ29">
        <f t="shared" si="26"/>
        <v>0.92542210596451402</v>
      </c>
      <c r="AR29">
        <v>-0.32343011824092421</v>
      </c>
      <c r="AS29" t="s">
        <v>483</v>
      </c>
      <c r="AT29">
        <v>10441.6</v>
      </c>
      <c r="AU29">
        <v>792.64350000000002</v>
      </c>
      <c r="AV29">
        <v>1164.16585714746</v>
      </c>
      <c r="AW29">
        <f t="shared" si="27"/>
        <v>0.31913181001356306</v>
      </c>
      <c r="AX29">
        <v>0.5</v>
      </c>
      <c r="AY29">
        <f t="shared" si="28"/>
        <v>1513.0923003291036</v>
      </c>
      <c r="AZ29">
        <f t="shared" si="29"/>
        <v>42.522369095855225</v>
      </c>
      <c r="BA29">
        <f t="shared" si="30"/>
        <v>241.4379422608063</v>
      </c>
      <c r="BB29">
        <f t="shared" si="31"/>
        <v>2.8316712209015282E-2</v>
      </c>
      <c r="BC29">
        <f t="shared" si="32"/>
        <v>2.4808614040007124</v>
      </c>
      <c r="BD29">
        <f t="shared" si="33"/>
        <v>255.02747485301575</v>
      </c>
      <c r="BE29" t="s">
        <v>484</v>
      </c>
      <c r="BF29">
        <v>597.52</v>
      </c>
      <c r="BG29">
        <f t="shared" si="34"/>
        <v>597.52</v>
      </c>
      <c r="BH29">
        <f t="shared" si="35"/>
        <v>0.48673980057781863</v>
      </c>
      <c r="BI29">
        <f t="shared" si="36"/>
        <v>0.65565176637438571</v>
      </c>
      <c r="BJ29">
        <f t="shared" si="37"/>
        <v>0.83598207204294916</v>
      </c>
      <c r="BK29">
        <f t="shared" si="38"/>
        <v>0.4310234870077288</v>
      </c>
      <c r="BL29">
        <f t="shared" si="39"/>
        <v>0.77015103188312917</v>
      </c>
      <c r="BM29">
        <f t="shared" si="40"/>
        <v>0.49425125348788318</v>
      </c>
      <c r="BN29">
        <f t="shared" si="41"/>
        <v>0.50574874651211688</v>
      </c>
      <c r="BO29">
        <v>5488</v>
      </c>
      <c r="BP29">
        <v>290.00000000000011</v>
      </c>
      <c r="BQ29">
        <v>1062.82</v>
      </c>
      <c r="BR29">
        <v>145</v>
      </c>
      <c r="BS29">
        <v>10441.6</v>
      </c>
      <c r="BT29">
        <v>1059</v>
      </c>
      <c r="BU29">
        <v>3.82</v>
      </c>
      <c r="BV29">
        <v>300.00000000000011</v>
      </c>
      <c r="BW29">
        <v>38.299999999999997</v>
      </c>
      <c r="BX29">
        <v>1164.16585714746</v>
      </c>
      <c r="BY29">
        <v>1.32333525862053</v>
      </c>
      <c r="BZ29">
        <v>-109.80732651775951</v>
      </c>
      <c r="CA29">
        <v>1.1294199203466639</v>
      </c>
      <c r="CB29">
        <v>0.99704660360240882</v>
      </c>
      <c r="CC29">
        <v>-1.132055595105674E-2</v>
      </c>
      <c r="CD29">
        <v>289.99999999999989</v>
      </c>
      <c r="CE29">
        <v>1047.3699999999999</v>
      </c>
      <c r="CF29">
        <v>635</v>
      </c>
      <c r="CG29">
        <v>10402.1</v>
      </c>
      <c r="CH29">
        <v>1058.5999999999999</v>
      </c>
      <c r="CI29">
        <v>-11.23</v>
      </c>
      <c r="CW29">
        <f t="shared" si="42"/>
        <v>1799.89</v>
      </c>
      <c r="CX29">
        <f t="shared" si="43"/>
        <v>1513.0923003291036</v>
      </c>
      <c r="CY29">
        <f t="shared" si="44"/>
        <v>0.84065820707326755</v>
      </c>
      <c r="CZ29">
        <f t="shared" si="45"/>
        <v>0.19131641414653511</v>
      </c>
      <c r="DA29">
        <v>6</v>
      </c>
      <c r="DB29">
        <v>0.5</v>
      </c>
      <c r="DC29" t="s">
        <v>419</v>
      </c>
      <c r="DD29">
        <v>2</v>
      </c>
      <c r="DE29">
        <v>1693323655.5999999</v>
      </c>
      <c r="DF29">
        <v>1144.5899999999999</v>
      </c>
      <c r="DG29">
        <v>1199.82</v>
      </c>
      <c r="DH29">
        <v>28.400200000000002</v>
      </c>
      <c r="DI29">
        <v>24.8187</v>
      </c>
      <c r="DJ29">
        <v>1147.01</v>
      </c>
      <c r="DK29">
        <v>27.990600000000001</v>
      </c>
      <c r="DL29">
        <v>500.15699999999998</v>
      </c>
      <c r="DM29">
        <v>99.061199999999999</v>
      </c>
      <c r="DN29">
        <v>0.10007000000000001</v>
      </c>
      <c r="DO29">
        <v>30.223299999999998</v>
      </c>
      <c r="DP29">
        <v>30.055399999999999</v>
      </c>
      <c r="DQ29">
        <v>999.9</v>
      </c>
      <c r="DR29">
        <v>0</v>
      </c>
      <c r="DS29">
        <v>0</v>
      </c>
      <c r="DT29">
        <v>9945</v>
      </c>
      <c r="DU29">
        <v>0</v>
      </c>
      <c r="DV29">
        <v>1475.88</v>
      </c>
      <c r="DW29">
        <v>-55.236800000000002</v>
      </c>
      <c r="DX29">
        <v>1178.04</v>
      </c>
      <c r="DY29">
        <v>1230.3599999999999</v>
      </c>
      <c r="DZ29">
        <v>3.58155</v>
      </c>
      <c r="EA29">
        <v>1199.82</v>
      </c>
      <c r="EB29">
        <v>24.8187</v>
      </c>
      <c r="EC29">
        <v>2.8133599999999999</v>
      </c>
      <c r="ED29">
        <v>2.4585699999999999</v>
      </c>
      <c r="EE29">
        <v>22.962700000000002</v>
      </c>
      <c r="EF29">
        <v>20.754799999999999</v>
      </c>
      <c r="EG29">
        <v>1799.89</v>
      </c>
      <c r="EH29">
        <v>0.97799800000000003</v>
      </c>
      <c r="EI29">
        <v>2.2002399999999998E-2</v>
      </c>
      <c r="EJ29">
        <v>0</v>
      </c>
      <c r="EK29">
        <v>792.505</v>
      </c>
      <c r="EL29">
        <v>4.9995000000000003</v>
      </c>
      <c r="EM29">
        <v>15653.8</v>
      </c>
      <c r="EN29">
        <v>16658.8</v>
      </c>
      <c r="EO29">
        <v>50</v>
      </c>
      <c r="EP29">
        <v>51.311999999999998</v>
      </c>
      <c r="EQ29">
        <v>50.811999999999998</v>
      </c>
      <c r="ER29">
        <v>50.375</v>
      </c>
      <c r="ES29">
        <v>51.25</v>
      </c>
      <c r="ET29">
        <v>1755.4</v>
      </c>
      <c r="EU29">
        <v>39.49</v>
      </c>
      <c r="EV29">
        <v>0</v>
      </c>
      <c r="EW29">
        <v>103.2000000476837</v>
      </c>
      <c r="EX29">
        <v>0</v>
      </c>
      <c r="EY29">
        <v>792.64350000000002</v>
      </c>
      <c r="EZ29">
        <v>-1.14622222075353</v>
      </c>
      <c r="FA29">
        <v>-56.119657926395782</v>
      </c>
      <c r="FB29">
        <v>15663.22692307692</v>
      </c>
      <c r="FC29">
        <v>15</v>
      </c>
      <c r="FD29">
        <v>1693323624.0999999</v>
      </c>
      <c r="FE29" t="s">
        <v>485</v>
      </c>
      <c r="FF29">
        <v>1693323624.0999999</v>
      </c>
      <c r="FG29">
        <v>1693323621.0999999</v>
      </c>
      <c r="FH29">
        <v>15</v>
      </c>
      <c r="FI29">
        <v>6.3E-2</v>
      </c>
      <c r="FJ29">
        <v>-3.0000000000000001E-3</v>
      </c>
      <c r="FK29">
        <v>-2.464</v>
      </c>
      <c r="FL29">
        <v>0.23200000000000001</v>
      </c>
      <c r="FM29">
        <v>1200</v>
      </c>
      <c r="FN29">
        <v>24</v>
      </c>
      <c r="FO29">
        <v>0.15</v>
      </c>
      <c r="FP29">
        <v>7.0000000000000007E-2</v>
      </c>
      <c r="FQ29">
        <v>42.673917674912801</v>
      </c>
      <c r="FR29">
        <v>-0.42568456252112391</v>
      </c>
      <c r="FS29">
        <v>8.6018327803602954E-2</v>
      </c>
      <c r="FT29">
        <v>1</v>
      </c>
      <c r="FU29">
        <v>0.21160159750714069</v>
      </c>
      <c r="FV29">
        <v>2.482423020904569E-2</v>
      </c>
      <c r="FW29">
        <v>2.5633127376040741E-3</v>
      </c>
      <c r="FX29">
        <v>1</v>
      </c>
      <c r="FY29">
        <v>2</v>
      </c>
      <c r="FZ29">
        <v>2</v>
      </c>
      <c r="GA29" t="s">
        <v>421</v>
      </c>
      <c r="GB29">
        <v>2.9705699999999999</v>
      </c>
      <c r="GC29">
        <v>2.8112900000000001</v>
      </c>
      <c r="GD29">
        <v>0.20150699999999999</v>
      </c>
      <c r="GE29">
        <v>0.205128</v>
      </c>
      <c r="GF29">
        <v>0.133821</v>
      </c>
      <c r="GG29">
        <v>0.12128899999999999</v>
      </c>
      <c r="GH29">
        <v>23566.400000000001</v>
      </c>
      <c r="GI29">
        <v>21700.400000000001</v>
      </c>
      <c r="GJ29">
        <v>26529.200000000001</v>
      </c>
      <c r="GK29">
        <v>25759.7</v>
      </c>
      <c r="GL29">
        <v>31278.7</v>
      </c>
      <c r="GM29">
        <v>31909.4</v>
      </c>
      <c r="GN29">
        <v>37574.9</v>
      </c>
      <c r="GO29">
        <v>38131.1</v>
      </c>
      <c r="GP29">
        <v>1.9694</v>
      </c>
      <c r="GQ29">
        <v>2.0230000000000001</v>
      </c>
      <c r="GR29">
        <v>5.56409E-2</v>
      </c>
      <c r="GS29">
        <v>0</v>
      </c>
      <c r="GT29">
        <v>29.1493</v>
      </c>
      <c r="GU29">
        <v>999.9</v>
      </c>
      <c r="GV29">
        <v>59.6</v>
      </c>
      <c r="GW29">
        <v>32.1</v>
      </c>
      <c r="GX29">
        <v>28.892499999999998</v>
      </c>
      <c r="GY29">
        <v>61.523400000000002</v>
      </c>
      <c r="GZ29">
        <v>12.6122</v>
      </c>
      <c r="HA29">
        <v>1</v>
      </c>
      <c r="HB29">
        <v>0.301616</v>
      </c>
      <c r="HC29">
        <v>2.86572</v>
      </c>
      <c r="HD29">
        <v>20.230699999999999</v>
      </c>
      <c r="HE29">
        <v>5.2053099999999999</v>
      </c>
      <c r="HF29">
        <v>11.9321</v>
      </c>
      <c r="HG29">
        <v>4.9863999999999997</v>
      </c>
      <c r="HH29">
        <v>3.2900999999999998</v>
      </c>
      <c r="HI29">
        <v>9999</v>
      </c>
      <c r="HJ29">
        <v>9999</v>
      </c>
      <c r="HK29">
        <v>9999</v>
      </c>
      <c r="HL29">
        <v>999.9</v>
      </c>
      <c r="HM29">
        <v>1.8705700000000001</v>
      </c>
      <c r="HN29">
        <v>1.87683</v>
      </c>
      <c r="HO29">
        <v>1.8745499999999999</v>
      </c>
      <c r="HP29">
        <v>1.87283</v>
      </c>
      <c r="HQ29">
        <v>1.8733200000000001</v>
      </c>
      <c r="HR29">
        <v>1.87073</v>
      </c>
      <c r="HS29">
        <v>1.8766499999999999</v>
      </c>
      <c r="HT29">
        <v>1.8757299999999999</v>
      </c>
      <c r="HU29">
        <v>5</v>
      </c>
      <c r="HV29">
        <v>0</v>
      </c>
      <c r="HW29">
        <v>0</v>
      </c>
      <c r="HX29">
        <v>0</v>
      </c>
      <c r="HY29" t="s">
        <v>422</v>
      </c>
      <c r="HZ29" t="s">
        <v>423</v>
      </c>
      <c r="IA29" t="s">
        <v>424</v>
      </c>
      <c r="IB29" t="s">
        <v>424</v>
      </c>
      <c r="IC29" t="s">
        <v>424</v>
      </c>
      <c r="ID29" t="s">
        <v>424</v>
      </c>
      <c r="IE29">
        <v>0</v>
      </c>
      <c r="IF29">
        <v>100</v>
      </c>
      <c r="IG29">
        <v>100</v>
      </c>
      <c r="IH29">
        <v>-2.42</v>
      </c>
      <c r="II29">
        <v>0.40960000000000002</v>
      </c>
      <c r="IJ29">
        <v>-0.96715418217168958</v>
      </c>
      <c r="IK29">
        <v>-2.677719669153116E-3</v>
      </c>
      <c r="IL29">
        <v>1.9353498771248068E-6</v>
      </c>
      <c r="IM29">
        <v>-6.1862177325538213E-10</v>
      </c>
      <c r="IN29">
        <v>-0.20408657190401819</v>
      </c>
      <c r="IO29">
        <v>-1.5299015507423901E-2</v>
      </c>
      <c r="IP29">
        <v>1.742162107778985E-3</v>
      </c>
      <c r="IQ29">
        <v>-1.472690239905804E-5</v>
      </c>
      <c r="IR29">
        <v>3</v>
      </c>
      <c r="IS29">
        <v>2255</v>
      </c>
      <c r="IT29">
        <v>2</v>
      </c>
      <c r="IU29">
        <v>41</v>
      </c>
      <c r="IV29">
        <v>0.5</v>
      </c>
      <c r="IW29">
        <v>0.6</v>
      </c>
      <c r="IX29">
        <v>2.33643</v>
      </c>
      <c r="IY29">
        <v>2.47925</v>
      </c>
      <c r="IZ29">
        <v>1.5991200000000001</v>
      </c>
      <c r="JA29">
        <v>2.2814899999999998</v>
      </c>
      <c r="JB29">
        <v>1.5502899999999999</v>
      </c>
      <c r="JC29">
        <v>2.3986800000000001</v>
      </c>
      <c r="JD29">
        <v>37.674500000000002</v>
      </c>
      <c r="JE29">
        <v>23.868600000000001</v>
      </c>
      <c r="JF29">
        <v>18</v>
      </c>
      <c r="JG29">
        <v>504.29199999999997</v>
      </c>
      <c r="JH29">
        <v>507.988</v>
      </c>
      <c r="JI29">
        <v>25.2376</v>
      </c>
      <c r="JJ29">
        <v>31.320499999999999</v>
      </c>
      <c r="JK29">
        <v>30.0002</v>
      </c>
      <c r="JL29">
        <v>31.260899999999999</v>
      </c>
      <c r="JM29">
        <v>31.229199999999999</v>
      </c>
      <c r="JN29">
        <v>46.778199999999998</v>
      </c>
      <c r="JO29">
        <v>24.176600000000001</v>
      </c>
      <c r="JP29">
        <v>100</v>
      </c>
      <c r="JQ29">
        <v>25.2438</v>
      </c>
      <c r="JR29">
        <v>1200</v>
      </c>
      <c r="JS29">
        <v>24.804500000000001</v>
      </c>
      <c r="JT29">
        <v>99.078900000000004</v>
      </c>
      <c r="JU29">
        <v>99.032700000000006</v>
      </c>
    </row>
    <row r="30" spans="1:281" x14ac:dyDescent="0.25">
      <c r="A30">
        <v>14</v>
      </c>
      <c r="B30">
        <v>1693323765</v>
      </c>
      <c r="C30">
        <v>1467.900000095367</v>
      </c>
      <c r="D30" t="s">
        <v>486</v>
      </c>
      <c r="E30" t="s">
        <v>487</v>
      </c>
      <c r="F30" t="s">
        <v>413</v>
      </c>
      <c r="G30" t="s">
        <v>414</v>
      </c>
      <c r="H30" t="s">
        <v>31</v>
      </c>
      <c r="I30" t="s">
        <v>415</v>
      </c>
      <c r="J30">
        <v>1693323765</v>
      </c>
      <c r="K30">
        <f t="shared" si="0"/>
        <v>2.9123472956671921E-3</v>
      </c>
      <c r="L30">
        <f t="shared" si="1"/>
        <v>2.9123472956671921</v>
      </c>
      <c r="M30">
        <f t="shared" si="2"/>
        <v>42.03184725016969</v>
      </c>
      <c r="N30">
        <f t="shared" si="3"/>
        <v>1444.35</v>
      </c>
      <c r="O30">
        <f t="shared" si="4"/>
        <v>1064.0839751650037</v>
      </c>
      <c r="P30">
        <f t="shared" si="5"/>
        <v>105.5188722611253</v>
      </c>
      <c r="Q30">
        <f t="shared" si="6"/>
        <v>143.22758984009999</v>
      </c>
      <c r="R30">
        <f t="shared" si="7"/>
        <v>0.19845568578435646</v>
      </c>
      <c r="S30">
        <f t="shared" si="8"/>
        <v>2.9034235364798215</v>
      </c>
      <c r="T30">
        <f t="shared" si="9"/>
        <v>0.1912159545173463</v>
      </c>
      <c r="U30">
        <f t="shared" si="10"/>
        <v>0.12013842867492232</v>
      </c>
      <c r="V30">
        <f t="shared" si="11"/>
        <v>344.39030065812665</v>
      </c>
      <c r="W30">
        <f t="shared" si="12"/>
        <v>31.481428563781737</v>
      </c>
      <c r="X30">
        <f t="shared" si="13"/>
        <v>30.001200000000001</v>
      </c>
      <c r="Y30">
        <f t="shared" si="14"/>
        <v>4.2607434413339513</v>
      </c>
      <c r="Z30">
        <f t="shared" si="15"/>
        <v>65.067967723412352</v>
      </c>
      <c r="AA30">
        <f t="shared" si="16"/>
        <v>2.8042104748110002</v>
      </c>
      <c r="AB30">
        <f t="shared" si="17"/>
        <v>4.3096635301889199</v>
      </c>
      <c r="AC30">
        <f t="shared" si="18"/>
        <v>1.4565329665229512</v>
      </c>
      <c r="AD30">
        <f t="shared" si="19"/>
        <v>-128.43451573892318</v>
      </c>
      <c r="AE30">
        <f t="shared" si="20"/>
        <v>31.133691633071194</v>
      </c>
      <c r="AF30">
        <f t="shared" si="21"/>
        <v>2.3866684065787149</v>
      </c>
      <c r="AG30">
        <f t="shared" si="22"/>
        <v>249.47614495885341</v>
      </c>
      <c r="AH30">
        <v>0</v>
      </c>
      <c r="AI30">
        <v>0</v>
      </c>
      <c r="AJ30">
        <f t="shared" si="23"/>
        <v>1</v>
      </c>
      <c r="AK30">
        <f t="shared" si="24"/>
        <v>0</v>
      </c>
      <c r="AL30">
        <f t="shared" si="25"/>
        <v>51555.22669639677</v>
      </c>
      <c r="AM30" t="s">
        <v>416</v>
      </c>
      <c r="AN30">
        <v>10238.9</v>
      </c>
      <c r="AO30">
        <v>302.21199999999999</v>
      </c>
      <c r="AP30">
        <v>4052.3</v>
      </c>
      <c r="AQ30">
        <f t="shared" si="26"/>
        <v>0.92542210596451402</v>
      </c>
      <c r="AR30">
        <v>-0.32343011824092421</v>
      </c>
      <c r="AS30" t="s">
        <v>488</v>
      </c>
      <c r="AT30">
        <v>10434.299999999999</v>
      </c>
      <c r="AU30">
        <v>788.04500000000019</v>
      </c>
      <c r="AV30">
        <v>1158.4374305851541</v>
      </c>
      <c r="AW30">
        <f t="shared" si="27"/>
        <v>0.31973451548268772</v>
      </c>
      <c r="AX30">
        <v>0.5</v>
      </c>
      <c r="AY30">
        <f t="shared" si="28"/>
        <v>1513.2771003290634</v>
      </c>
      <c r="AZ30">
        <f t="shared" si="29"/>
        <v>42.03184725016969</v>
      </c>
      <c r="BA30">
        <f t="shared" si="30"/>
        <v>241.92346023237985</v>
      </c>
      <c r="BB30">
        <f t="shared" si="31"/>
        <v>2.7989108775385831E-2</v>
      </c>
      <c r="BC30">
        <f t="shared" si="32"/>
        <v>2.4980741238247868</v>
      </c>
      <c r="BD30">
        <f t="shared" si="33"/>
        <v>254.75151134941052</v>
      </c>
      <c r="BE30" t="s">
        <v>489</v>
      </c>
      <c r="BF30">
        <v>595.54999999999995</v>
      </c>
      <c r="BG30">
        <f t="shared" si="34"/>
        <v>595.54999999999995</v>
      </c>
      <c r="BH30">
        <f t="shared" si="35"/>
        <v>0.4859023161059518</v>
      </c>
      <c r="BI30">
        <f t="shared" si="36"/>
        <v>0.65802220916553333</v>
      </c>
      <c r="BJ30">
        <f t="shared" si="37"/>
        <v>0.83716281750628363</v>
      </c>
      <c r="BK30">
        <f t="shared" si="38"/>
        <v>0.43258751416904717</v>
      </c>
      <c r="BL30">
        <f t="shared" si="39"/>
        <v>0.7716785764533648</v>
      </c>
      <c r="BM30">
        <f t="shared" si="40"/>
        <v>0.49728775218234145</v>
      </c>
      <c r="BN30">
        <f t="shared" si="41"/>
        <v>0.50271224781765855</v>
      </c>
      <c r="BO30">
        <v>5490</v>
      </c>
      <c r="BP30">
        <v>290.00000000000011</v>
      </c>
      <c r="BQ30">
        <v>1058.44</v>
      </c>
      <c r="BR30">
        <v>175</v>
      </c>
      <c r="BS30">
        <v>10434.299999999999</v>
      </c>
      <c r="BT30">
        <v>1054.98</v>
      </c>
      <c r="BU30">
        <v>3.46</v>
      </c>
      <c r="BV30">
        <v>300.00000000000011</v>
      </c>
      <c r="BW30">
        <v>38.299999999999997</v>
      </c>
      <c r="BX30">
        <v>1158.4374305851541</v>
      </c>
      <c r="BY30">
        <v>1.6495081183914799</v>
      </c>
      <c r="BZ30">
        <v>-107.94924254992939</v>
      </c>
      <c r="CA30">
        <v>1.407729695720126</v>
      </c>
      <c r="CB30">
        <v>0.99526091687185081</v>
      </c>
      <c r="CC30">
        <v>-1.132004627363737E-2</v>
      </c>
      <c r="CD30">
        <v>289.99999999999989</v>
      </c>
      <c r="CE30">
        <v>1044.3800000000001</v>
      </c>
      <c r="CF30">
        <v>655</v>
      </c>
      <c r="CG30">
        <v>10399.4</v>
      </c>
      <c r="CH30">
        <v>1054.6300000000001</v>
      </c>
      <c r="CI30">
        <v>-10.25</v>
      </c>
      <c r="CW30">
        <f t="shared" si="42"/>
        <v>1800.11</v>
      </c>
      <c r="CX30">
        <f t="shared" si="43"/>
        <v>1513.2771003290634</v>
      </c>
      <c r="CY30">
        <f t="shared" si="44"/>
        <v>0.84065812663063</v>
      </c>
      <c r="CZ30">
        <f t="shared" si="45"/>
        <v>0.19131625326125995</v>
      </c>
      <c r="DA30">
        <v>6</v>
      </c>
      <c r="DB30">
        <v>0.5</v>
      </c>
      <c r="DC30" t="s">
        <v>419</v>
      </c>
      <c r="DD30">
        <v>2</v>
      </c>
      <c r="DE30">
        <v>1693323765</v>
      </c>
      <c r="DF30">
        <v>1444.35</v>
      </c>
      <c r="DG30">
        <v>1499.81</v>
      </c>
      <c r="DH30">
        <v>28.278500000000001</v>
      </c>
      <c r="DI30">
        <v>24.8841</v>
      </c>
      <c r="DJ30">
        <v>1446.91</v>
      </c>
      <c r="DK30">
        <v>27.871700000000001</v>
      </c>
      <c r="DL30">
        <v>500.23399999999998</v>
      </c>
      <c r="DM30">
        <v>99.063000000000002</v>
      </c>
      <c r="DN30">
        <v>0.101046</v>
      </c>
      <c r="DO30">
        <v>30.200099999999999</v>
      </c>
      <c r="DP30">
        <v>30.001200000000001</v>
      </c>
      <c r="DQ30">
        <v>999.9</v>
      </c>
      <c r="DR30">
        <v>0</v>
      </c>
      <c r="DS30">
        <v>0</v>
      </c>
      <c r="DT30">
        <v>9945</v>
      </c>
      <c r="DU30">
        <v>0</v>
      </c>
      <c r="DV30">
        <v>1477.16</v>
      </c>
      <c r="DW30">
        <v>-55.4619</v>
      </c>
      <c r="DX30">
        <v>1486.38</v>
      </c>
      <c r="DY30">
        <v>1538.09</v>
      </c>
      <c r="DZ30">
        <v>3.3944200000000002</v>
      </c>
      <c r="EA30">
        <v>1499.81</v>
      </c>
      <c r="EB30">
        <v>24.8841</v>
      </c>
      <c r="EC30">
        <v>2.8013599999999999</v>
      </c>
      <c r="ED30">
        <v>2.4651000000000001</v>
      </c>
      <c r="EE30">
        <v>22.892099999999999</v>
      </c>
      <c r="EF30">
        <v>20.797899999999998</v>
      </c>
      <c r="EG30">
        <v>1800.11</v>
      </c>
      <c r="EH30">
        <v>0.97800100000000001</v>
      </c>
      <c r="EI30">
        <v>2.1998899999999998E-2</v>
      </c>
      <c r="EJ30">
        <v>0</v>
      </c>
      <c r="EK30">
        <v>787.69799999999998</v>
      </c>
      <c r="EL30">
        <v>4.9995000000000003</v>
      </c>
      <c r="EM30">
        <v>15573.4</v>
      </c>
      <c r="EN30">
        <v>16660.8</v>
      </c>
      <c r="EO30">
        <v>50.061999999999998</v>
      </c>
      <c r="EP30">
        <v>51.25</v>
      </c>
      <c r="EQ30">
        <v>50.811999999999998</v>
      </c>
      <c r="ER30">
        <v>50.436999999999998</v>
      </c>
      <c r="ES30">
        <v>51.311999999999998</v>
      </c>
      <c r="ET30">
        <v>1755.62</v>
      </c>
      <c r="EU30">
        <v>39.49</v>
      </c>
      <c r="EV30">
        <v>0</v>
      </c>
      <c r="EW30">
        <v>107.4000000953674</v>
      </c>
      <c r="EX30">
        <v>0</v>
      </c>
      <c r="EY30">
        <v>788.04500000000019</v>
      </c>
      <c r="EZ30">
        <v>-2.401538474895323</v>
      </c>
      <c r="FA30">
        <v>-79.999999926646481</v>
      </c>
      <c r="FB30">
        <v>15583.884</v>
      </c>
      <c r="FC30">
        <v>15</v>
      </c>
      <c r="FD30">
        <v>1693323730.5</v>
      </c>
      <c r="FE30" t="s">
        <v>490</v>
      </c>
      <c r="FF30">
        <v>1693323728</v>
      </c>
      <c r="FG30">
        <v>1693323730.5</v>
      </c>
      <c r="FH30">
        <v>16</v>
      </c>
      <c r="FI30">
        <v>0.10299999999999999</v>
      </c>
      <c r="FJ30">
        <v>3.0000000000000001E-3</v>
      </c>
      <c r="FK30">
        <v>-2.617</v>
      </c>
      <c r="FL30">
        <v>0.24299999999999999</v>
      </c>
      <c r="FM30">
        <v>1500</v>
      </c>
      <c r="FN30">
        <v>25</v>
      </c>
      <c r="FO30">
        <v>0.17</v>
      </c>
      <c r="FP30">
        <v>0.05</v>
      </c>
      <c r="FQ30">
        <v>42.076793558399871</v>
      </c>
      <c r="FR30">
        <v>-0.51545329263152373</v>
      </c>
      <c r="FS30">
        <v>0.19717033442282161</v>
      </c>
      <c r="FT30">
        <v>1</v>
      </c>
      <c r="FU30">
        <v>0.20252326623898981</v>
      </c>
      <c r="FV30">
        <v>-2.1310633400449031E-2</v>
      </c>
      <c r="FW30">
        <v>1.7464190133893161E-3</v>
      </c>
      <c r="FX30">
        <v>1</v>
      </c>
      <c r="FY30">
        <v>2</v>
      </c>
      <c r="FZ30">
        <v>2</v>
      </c>
      <c r="GA30" t="s">
        <v>421</v>
      </c>
      <c r="GB30">
        <v>2.9707599999999998</v>
      </c>
      <c r="GC30">
        <v>2.8122600000000002</v>
      </c>
      <c r="GD30">
        <v>0.232825</v>
      </c>
      <c r="GE30">
        <v>0.23550299999999999</v>
      </c>
      <c r="GF30">
        <v>0.133412</v>
      </c>
      <c r="GG30">
        <v>0.121501</v>
      </c>
      <c r="GH30">
        <v>22640.400000000001</v>
      </c>
      <c r="GI30">
        <v>20867.2</v>
      </c>
      <c r="GJ30">
        <v>26529.4</v>
      </c>
      <c r="GK30">
        <v>25756.9</v>
      </c>
      <c r="GL30">
        <v>31296.5</v>
      </c>
      <c r="GM30">
        <v>31900.6</v>
      </c>
      <c r="GN30">
        <v>37575.300000000003</v>
      </c>
      <c r="GO30">
        <v>38127.1</v>
      </c>
      <c r="GP30">
        <v>1.9694</v>
      </c>
      <c r="GQ30">
        <v>2.0228999999999999</v>
      </c>
      <c r="GR30">
        <v>6.1661000000000001E-2</v>
      </c>
      <c r="GS30">
        <v>0</v>
      </c>
      <c r="GT30">
        <v>28.997</v>
      </c>
      <c r="GU30">
        <v>999.9</v>
      </c>
      <c r="GV30">
        <v>59.5</v>
      </c>
      <c r="GW30">
        <v>32.1</v>
      </c>
      <c r="GX30">
        <v>28.8431</v>
      </c>
      <c r="GY30">
        <v>61.683399999999999</v>
      </c>
      <c r="GZ30">
        <v>12.6442</v>
      </c>
      <c r="HA30">
        <v>1</v>
      </c>
      <c r="HB30">
        <v>0.301819</v>
      </c>
      <c r="HC30">
        <v>2.1255700000000002</v>
      </c>
      <c r="HD30">
        <v>20.294</v>
      </c>
      <c r="HE30">
        <v>5.2107000000000001</v>
      </c>
      <c r="HF30">
        <v>11.9321</v>
      </c>
      <c r="HG30">
        <v>4.9880000000000004</v>
      </c>
      <c r="HH30">
        <v>3.2909999999999999</v>
      </c>
      <c r="HI30">
        <v>9999</v>
      </c>
      <c r="HJ30">
        <v>9999</v>
      </c>
      <c r="HK30">
        <v>9999</v>
      </c>
      <c r="HL30">
        <v>999.9</v>
      </c>
      <c r="HM30">
        <v>1.87029</v>
      </c>
      <c r="HN30">
        <v>1.87659</v>
      </c>
      <c r="HO30">
        <v>1.87436</v>
      </c>
      <c r="HP30">
        <v>1.8725799999999999</v>
      </c>
      <c r="HQ30">
        <v>1.87304</v>
      </c>
      <c r="HR30">
        <v>1.8705400000000001</v>
      </c>
      <c r="HS30">
        <v>1.87639</v>
      </c>
      <c r="HT30">
        <v>1.8754599999999999</v>
      </c>
      <c r="HU30">
        <v>5</v>
      </c>
      <c r="HV30">
        <v>0</v>
      </c>
      <c r="HW30">
        <v>0</v>
      </c>
      <c r="HX30">
        <v>0</v>
      </c>
      <c r="HY30" t="s">
        <v>422</v>
      </c>
      <c r="HZ30" t="s">
        <v>423</v>
      </c>
      <c r="IA30" t="s">
        <v>424</v>
      </c>
      <c r="IB30" t="s">
        <v>424</v>
      </c>
      <c r="IC30" t="s">
        <v>424</v>
      </c>
      <c r="ID30" t="s">
        <v>424</v>
      </c>
      <c r="IE30">
        <v>0</v>
      </c>
      <c r="IF30">
        <v>100</v>
      </c>
      <c r="IG30">
        <v>100</v>
      </c>
      <c r="IH30">
        <v>-2.56</v>
      </c>
      <c r="II30">
        <v>0.40679999999999999</v>
      </c>
      <c r="IJ30">
        <v>-0.8637609509202826</v>
      </c>
      <c r="IK30">
        <v>-2.677719669153116E-3</v>
      </c>
      <c r="IL30">
        <v>1.9353498771248068E-6</v>
      </c>
      <c r="IM30">
        <v>-6.1862177325538213E-10</v>
      </c>
      <c r="IN30">
        <v>-0.20127023142398551</v>
      </c>
      <c r="IO30">
        <v>-1.5299015507423901E-2</v>
      </c>
      <c r="IP30">
        <v>1.742162107778985E-3</v>
      </c>
      <c r="IQ30">
        <v>-1.472690239905804E-5</v>
      </c>
      <c r="IR30">
        <v>3</v>
      </c>
      <c r="IS30">
        <v>2255</v>
      </c>
      <c r="IT30">
        <v>2</v>
      </c>
      <c r="IU30">
        <v>41</v>
      </c>
      <c r="IV30">
        <v>0.6</v>
      </c>
      <c r="IW30">
        <v>0.6</v>
      </c>
      <c r="IX30">
        <v>2.80762</v>
      </c>
      <c r="IY30">
        <v>2.4682599999999999</v>
      </c>
      <c r="IZ30">
        <v>1.5991200000000001</v>
      </c>
      <c r="JA30">
        <v>2.2814899999999998</v>
      </c>
      <c r="JB30">
        <v>1.5502899999999999</v>
      </c>
      <c r="JC30">
        <v>2.4194300000000002</v>
      </c>
      <c r="JD30">
        <v>37.722799999999999</v>
      </c>
      <c r="JE30">
        <v>15.410399999999999</v>
      </c>
      <c r="JF30">
        <v>18</v>
      </c>
      <c r="JG30">
        <v>504.64699999999999</v>
      </c>
      <c r="JH30">
        <v>508.29199999999997</v>
      </c>
      <c r="JI30">
        <v>25.938400000000001</v>
      </c>
      <c r="JJ30">
        <v>31.3506</v>
      </c>
      <c r="JK30">
        <v>29.9999</v>
      </c>
      <c r="JL30">
        <v>31.304600000000001</v>
      </c>
      <c r="JM30">
        <v>31.2727</v>
      </c>
      <c r="JN30">
        <v>56.204000000000001</v>
      </c>
      <c r="JO30">
        <v>24.223800000000001</v>
      </c>
      <c r="JP30">
        <v>100</v>
      </c>
      <c r="JQ30">
        <v>25.942499999999999</v>
      </c>
      <c r="JR30">
        <v>1500</v>
      </c>
      <c r="JS30">
        <v>24.871400000000001</v>
      </c>
      <c r="JT30">
        <v>99.079800000000006</v>
      </c>
      <c r="JU30">
        <v>99.022199999999998</v>
      </c>
    </row>
    <row r="31" spans="1:281" x14ac:dyDescent="0.25">
      <c r="A31">
        <v>15</v>
      </c>
      <c r="B31">
        <v>1693324902.5</v>
      </c>
      <c r="C31">
        <v>2605.400000095367</v>
      </c>
      <c r="D31" t="s">
        <v>491</v>
      </c>
      <c r="E31" t="s">
        <v>492</v>
      </c>
      <c r="F31" t="s">
        <v>413</v>
      </c>
      <c r="G31" t="s">
        <v>493</v>
      </c>
      <c r="H31" t="s">
        <v>415</v>
      </c>
      <c r="I31" t="s">
        <v>415</v>
      </c>
      <c r="J31">
        <v>1693324902.5</v>
      </c>
      <c r="K31">
        <f t="shared" si="0"/>
        <v>3.7200686270885538E-3</v>
      </c>
      <c r="L31">
        <f t="shared" si="1"/>
        <v>3.7200686270885539</v>
      </c>
      <c r="M31">
        <f t="shared" si="2"/>
        <v>35.887080271775815</v>
      </c>
      <c r="N31">
        <f t="shared" si="3"/>
        <v>355.27600000000001</v>
      </c>
      <c r="O31">
        <f t="shared" si="4"/>
        <v>124.44890823277279</v>
      </c>
      <c r="P31">
        <f t="shared" si="5"/>
        <v>12.338483771066644</v>
      </c>
      <c r="Q31">
        <f t="shared" si="6"/>
        <v>35.223829782823998</v>
      </c>
      <c r="R31">
        <f t="shared" si="7"/>
        <v>0.26599397451643131</v>
      </c>
      <c r="S31">
        <f t="shared" si="8"/>
        <v>2.9083631931586731</v>
      </c>
      <c r="T31">
        <f t="shared" si="9"/>
        <v>0.25318009829360183</v>
      </c>
      <c r="U31">
        <f t="shared" si="10"/>
        <v>0.15933738444896262</v>
      </c>
      <c r="V31">
        <f t="shared" si="11"/>
        <v>344.34150065838838</v>
      </c>
      <c r="W31">
        <f t="shared" si="12"/>
        <v>31.605350639216553</v>
      </c>
      <c r="X31">
        <f t="shared" si="13"/>
        <v>30.026499999999999</v>
      </c>
      <c r="Y31">
        <f t="shared" si="14"/>
        <v>4.2669390690337368</v>
      </c>
      <c r="Z31">
        <f t="shared" si="15"/>
        <v>65.14970867966727</v>
      </c>
      <c r="AA31">
        <f t="shared" si="16"/>
        <v>2.8625434328201997</v>
      </c>
      <c r="AB31">
        <f t="shared" si="17"/>
        <v>4.3937931432586401</v>
      </c>
      <c r="AC31">
        <f t="shared" si="18"/>
        <v>1.404395636213537</v>
      </c>
      <c r="AD31">
        <f t="shared" si="19"/>
        <v>-164.05502645460521</v>
      </c>
      <c r="AE31">
        <f t="shared" si="20"/>
        <v>80.13827024359783</v>
      </c>
      <c r="AF31">
        <f t="shared" si="21"/>
        <v>6.1438833503395838</v>
      </c>
      <c r="AG31">
        <f t="shared" si="22"/>
        <v>266.56862779772058</v>
      </c>
      <c r="AH31">
        <v>0</v>
      </c>
      <c r="AI31">
        <v>0</v>
      </c>
      <c r="AJ31">
        <f t="shared" si="23"/>
        <v>1</v>
      </c>
      <c r="AK31">
        <f t="shared" si="24"/>
        <v>0</v>
      </c>
      <c r="AL31">
        <f t="shared" si="25"/>
        <v>51637.554041331648</v>
      </c>
      <c r="AM31" t="s">
        <v>416</v>
      </c>
      <c r="AN31">
        <v>10238.9</v>
      </c>
      <c r="AO31">
        <v>302.21199999999999</v>
      </c>
      <c r="AP31">
        <v>4052.3</v>
      </c>
      <c r="AQ31">
        <f t="shared" si="26"/>
        <v>0.92542210596451402</v>
      </c>
      <c r="AR31">
        <v>-0.32343011824092421</v>
      </c>
      <c r="AS31" t="s">
        <v>494</v>
      </c>
      <c r="AT31">
        <v>10465.200000000001</v>
      </c>
      <c r="AU31">
        <v>711.02461538461546</v>
      </c>
      <c r="AV31">
        <v>1002.891452301817</v>
      </c>
      <c r="AW31">
        <f t="shared" si="27"/>
        <v>0.29102535099617655</v>
      </c>
      <c r="AX31">
        <v>0.5</v>
      </c>
      <c r="AY31">
        <f t="shared" si="28"/>
        <v>1513.0590003291941</v>
      </c>
      <c r="AZ31">
        <f t="shared" si="29"/>
        <v>35.887080271775815</v>
      </c>
      <c r="BA31">
        <f t="shared" si="30"/>
        <v>220.16926332436387</v>
      </c>
      <c r="BB31">
        <f t="shared" si="31"/>
        <v>2.3931988364061459E-2</v>
      </c>
      <c r="BC31">
        <f t="shared" si="32"/>
        <v>3.0406167493991894</v>
      </c>
      <c r="BD31">
        <f t="shared" si="33"/>
        <v>246.34917324061243</v>
      </c>
      <c r="BE31" t="s">
        <v>495</v>
      </c>
      <c r="BF31">
        <v>547.54999999999995</v>
      </c>
      <c r="BG31">
        <f t="shared" si="34"/>
        <v>547.54999999999995</v>
      </c>
      <c r="BH31">
        <f t="shared" si="35"/>
        <v>0.4540286501163473</v>
      </c>
      <c r="BI31">
        <f t="shared" si="36"/>
        <v>0.64098455223387285</v>
      </c>
      <c r="BJ31">
        <f t="shared" si="37"/>
        <v>0.87007876387707628</v>
      </c>
      <c r="BK31">
        <f t="shared" si="38"/>
        <v>0.41654830316257113</v>
      </c>
      <c r="BL31">
        <f t="shared" si="39"/>
        <v>0.81315653064626292</v>
      </c>
      <c r="BM31">
        <f t="shared" si="40"/>
        <v>0.49361313797245376</v>
      </c>
      <c r="BN31">
        <f t="shared" si="41"/>
        <v>0.50638686202754624</v>
      </c>
      <c r="BO31">
        <v>5492</v>
      </c>
      <c r="BP31">
        <v>290.00000000000011</v>
      </c>
      <c r="BQ31">
        <v>925.08</v>
      </c>
      <c r="BR31">
        <v>255</v>
      </c>
      <c r="BS31">
        <v>10465.200000000001</v>
      </c>
      <c r="BT31">
        <v>925.03</v>
      </c>
      <c r="BU31">
        <v>0.05</v>
      </c>
      <c r="BV31">
        <v>300.00000000000011</v>
      </c>
      <c r="BW31">
        <v>38.299999999999997</v>
      </c>
      <c r="BX31">
        <v>1002.891452301817</v>
      </c>
      <c r="BY31">
        <v>1.347162381915987</v>
      </c>
      <c r="BZ31">
        <v>-81.48504933724621</v>
      </c>
      <c r="CA31">
        <v>1.154959561670041</v>
      </c>
      <c r="CB31">
        <v>0.99440629462890406</v>
      </c>
      <c r="CC31">
        <v>-1.136928565072302E-2</v>
      </c>
      <c r="CD31">
        <v>289.99999999999989</v>
      </c>
      <c r="CE31">
        <v>920.8</v>
      </c>
      <c r="CF31">
        <v>695</v>
      </c>
      <c r="CG31">
        <v>10443.5</v>
      </c>
      <c r="CH31">
        <v>924.87</v>
      </c>
      <c r="CI31">
        <v>-4.07</v>
      </c>
      <c r="CW31">
        <f t="shared" si="42"/>
        <v>1799.85</v>
      </c>
      <c r="CX31">
        <f t="shared" si="43"/>
        <v>1513.0590003291941</v>
      </c>
      <c r="CY31">
        <f t="shared" si="44"/>
        <v>0.84065838838191742</v>
      </c>
      <c r="CZ31">
        <f t="shared" si="45"/>
        <v>0.19131677676383499</v>
      </c>
      <c r="DA31">
        <v>6</v>
      </c>
      <c r="DB31">
        <v>0.5</v>
      </c>
      <c r="DC31" t="s">
        <v>419</v>
      </c>
      <c r="DD31">
        <v>2</v>
      </c>
      <c r="DE31">
        <v>1693324902.5</v>
      </c>
      <c r="DF31">
        <v>355.27600000000001</v>
      </c>
      <c r="DG31">
        <v>399.90800000000002</v>
      </c>
      <c r="DH31">
        <v>28.872299999999999</v>
      </c>
      <c r="DI31">
        <v>24.538900000000002</v>
      </c>
      <c r="DJ31">
        <v>357.28199999999998</v>
      </c>
      <c r="DK31">
        <v>28.401299999999999</v>
      </c>
      <c r="DL31">
        <v>500.20699999999999</v>
      </c>
      <c r="DM31">
        <v>99.044799999999995</v>
      </c>
      <c r="DN31">
        <v>0.100174</v>
      </c>
      <c r="DO31">
        <v>30.537600000000001</v>
      </c>
      <c r="DP31">
        <v>30.026499999999999</v>
      </c>
      <c r="DQ31">
        <v>999.9</v>
      </c>
      <c r="DR31">
        <v>0</v>
      </c>
      <c r="DS31">
        <v>0</v>
      </c>
      <c r="DT31">
        <v>9975</v>
      </c>
      <c r="DU31">
        <v>0</v>
      </c>
      <c r="DV31">
        <v>242.77500000000001</v>
      </c>
      <c r="DW31">
        <v>-44.632100000000001</v>
      </c>
      <c r="DX31">
        <v>365.83800000000002</v>
      </c>
      <c r="DY31">
        <v>409.96800000000002</v>
      </c>
      <c r="DZ31">
        <v>4.3334400000000004</v>
      </c>
      <c r="EA31">
        <v>399.90800000000002</v>
      </c>
      <c r="EB31">
        <v>24.538900000000002</v>
      </c>
      <c r="EC31">
        <v>2.8596499999999998</v>
      </c>
      <c r="ED31">
        <v>2.43045</v>
      </c>
      <c r="EE31">
        <v>23.232500000000002</v>
      </c>
      <c r="EF31">
        <v>20.568100000000001</v>
      </c>
      <c r="EG31">
        <v>1799.85</v>
      </c>
      <c r="EH31">
        <v>0.97799199999999997</v>
      </c>
      <c r="EI31">
        <v>2.2007800000000001E-2</v>
      </c>
      <c r="EJ31">
        <v>0</v>
      </c>
      <c r="EK31">
        <v>711.18499999999995</v>
      </c>
      <c r="EL31">
        <v>4.9995000000000003</v>
      </c>
      <c r="EM31">
        <v>13665.3</v>
      </c>
      <c r="EN31">
        <v>16658.400000000001</v>
      </c>
      <c r="EO31">
        <v>47.5</v>
      </c>
      <c r="EP31">
        <v>48.375</v>
      </c>
      <c r="EQ31">
        <v>48.375</v>
      </c>
      <c r="ER31">
        <v>47.311999999999998</v>
      </c>
      <c r="ES31">
        <v>48.75</v>
      </c>
      <c r="ET31">
        <v>1755.35</v>
      </c>
      <c r="EU31">
        <v>39.5</v>
      </c>
      <c r="EV31">
        <v>0</v>
      </c>
      <c r="EW31">
        <v>1135.400000095367</v>
      </c>
      <c r="EX31">
        <v>0</v>
      </c>
      <c r="EY31">
        <v>711.02461538461546</v>
      </c>
      <c r="EZ31">
        <v>0.35370939664345619</v>
      </c>
      <c r="FA31">
        <v>12.71452999785399</v>
      </c>
      <c r="FB31">
        <v>13663.74230769231</v>
      </c>
      <c r="FC31">
        <v>15</v>
      </c>
      <c r="FD31">
        <v>1693324875</v>
      </c>
      <c r="FE31" t="s">
        <v>496</v>
      </c>
      <c r="FF31">
        <v>1693324873</v>
      </c>
      <c r="FG31">
        <v>1693324875</v>
      </c>
      <c r="FH31">
        <v>18</v>
      </c>
      <c r="FI31">
        <v>0.20100000000000001</v>
      </c>
      <c r="FJ31">
        <v>2.1000000000000001E-2</v>
      </c>
      <c r="FK31">
        <v>-2.0720000000000001</v>
      </c>
      <c r="FL31">
        <v>0.28299999999999997</v>
      </c>
      <c r="FM31">
        <v>400</v>
      </c>
      <c r="FN31">
        <v>25</v>
      </c>
      <c r="FO31">
        <v>0.14000000000000001</v>
      </c>
      <c r="FP31">
        <v>0.08</v>
      </c>
      <c r="FQ31">
        <v>35.833678153203422</v>
      </c>
      <c r="FR31">
        <v>0.19932605610524701</v>
      </c>
      <c r="FS31">
        <v>0.12765647169082531</v>
      </c>
      <c r="FT31">
        <v>1</v>
      </c>
      <c r="FU31">
        <v>0.26612338505334832</v>
      </c>
      <c r="FV31">
        <v>4.2268880187319127E-2</v>
      </c>
      <c r="FW31">
        <v>5.5733412332425753E-3</v>
      </c>
      <c r="FX31">
        <v>1</v>
      </c>
      <c r="FY31">
        <v>2</v>
      </c>
      <c r="FZ31">
        <v>2</v>
      </c>
      <c r="GA31" t="s">
        <v>421</v>
      </c>
      <c r="GB31">
        <v>2.9717799999999999</v>
      </c>
      <c r="GC31">
        <v>2.8116500000000002</v>
      </c>
      <c r="GD31">
        <v>8.8786000000000004E-2</v>
      </c>
      <c r="GE31">
        <v>9.59063E-2</v>
      </c>
      <c r="GF31">
        <v>0.13549800000000001</v>
      </c>
      <c r="GG31">
        <v>0.12060700000000001</v>
      </c>
      <c r="GH31">
        <v>26948.799999999999</v>
      </c>
      <c r="GI31">
        <v>24726.9</v>
      </c>
      <c r="GJ31">
        <v>26576.400000000001</v>
      </c>
      <c r="GK31">
        <v>25797.1</v>
      </c>
      <c r="GL31">
        <v>31254.9</v>
      </c>
      <c r="GM31">
        <v>31963.9</v>
      </c>
      <c r="GN31">
        <v>37643.199999999997</v>
      </c>
      <c r="GO31">
        <v>38178.1</v>
      </c>
      <c r="GP31">
        <v>1.9877</v>
      </c>
      <c r="GQ31">
        <v>2.0303</v>
      </c>
      <c r="GR31">
        <v>7.6741000000000004E-2</v>
      </c>
      <c r="GS31">
        <v>0</v>
      </c>
      <c r="GT31">
        <v>28.776499999999999</v>
      </c>
      <c r="GU31">
        <v>999.9</v>
      </c>
      <c r="GV31">
        <v>58.9</v>
      </c>
      <c r="GW31">
        <v>32.700000000000003</v>
      </c>
      <c r="GX31">
        <v>29.542000000000002</v>
      </c>
      <c r="GY31">
        <v>61.713500000000003</v>
      </c>
      <c r="GZ31">
        <v>12.5441</v>
      </c>
      <c r="HA31">
        <v>1</v>
      </c>
      <c r="HB31">
        <v>0.206839</v>
      </c>
      <c r="HC31">
        <v>0.73595900000000003</v>
      </c>
      <c r="HD31">
        <v>20.2544</v>
      </c>
      <c r="HE31">
        <v>5.2095000000000002</v>
      </c>
      <c r="HF31">
        <v>11.9321</v>
      </c>
      <c r="HG31">
        <v>4.9875999999999996</v>
      </c>
      <c r="HH31">
        <v>3.2909999999999999</v>
      </c>
      <c r="HI31">
        <v>9999</v>
      </c>
      <c r="HJ31">
        <v>9999</v>
      </c>
      <c r="HK31">
        <v>9999</v>
      </c>
      <c r="HL31">
        <v>999.9</v>
      </c>
      <c r="HM31">
        <v>1.87059</v>
      </c>
      <c r="HN31">
        <v>1.87683</v>
      </c>
      <c r="HO31">
        <v>1.8745700000000001</v>
      </c>
      <c r="HP31">
        <v>1.87286</v>
      </c>
      <c r="HQ31">
        <v>1.8733200000000001</v>
      </c>
      <c r="HR31">
        <v>1.87077</v>
      </c>
      <c r="HS31">
        <v>1.8766799999999999</v>
      </c>
      <c r="HT31">
        <v>1.8757600000000001</v>
      </c>
      <c r="HU31">
        <v>5</v>
      </c>
      <c r="HV31">
        <v>0</v>
      </c>
      <c r="HW31">
        <v>0</v>
      </c>
      <c r="HX31">
        <v>0</v>
      </c>
      <c r="HY31" t="s">
        <v>422</v>
      </c>
      <c r="HZ31" t="s">
        <v>423</v>
      </c>
      <c r="IA31" t="s">
        <v>424</v>
      </c>
      <c r="IB31" t="s">
        <v>424</v>
      </c>
      <c r="IC31" t="s">
        <v>424</v>
      </c>
      <c r="ID31" t="s">
        <v>424</v>
      </c>
      <c r="IE31">
        <v>0</v>
      </c>
      <c r="IF31">
        <v>100</v>
      </c>
      <c r="IG31">
        <v>100</v>
      </c>
      <c r="IH31">
        <v>-2.0059999999999998</v>
      </c>
      <c r="II31">
        <v>0.47099999999999997</v>
      </c>
      <c r="IJ31">
        <v>-1.2680516372255071</v>
      </c>
      <c r="IK31">
        <v>-2.677719669153116E-3</v>
      </c>
      <c r="IL31">
        <v>1.9353498771248068E-6</v>
      </c>
      <c r="IM31">
        <v>-6.1862177325538213E-10</v>
      </c>
      <c r="IN31">
        <v>-0.1623373869950076</v>
      </c>
      <c r="IO31">
        <v>-1.5299015507423901E-2</v>
      </c>
      <c r="IP31">
        <v>1.742162107778985E-3</v>
      </c>
      <c r="IQ31">
        <v>-1.472690239905804E-5</v>
      </c>
      <c r="IR31">
        <v>3</v>
      </c>
      <c r="IS31">
        <v>2255</v>
      </c>
      <c r="IT31">
        <v>2</v>
      </c>
      <c r="IU31">
        <v>41</v>
      </c>
      <c r="IV31">
        <v>0.5</v>
      </c>
      <c r="IW31">
        <v>0.5</v>
      </c>
      <c r="IX31">
        <v>0.95703099999999997</v>
      </c>
      <c r="IY31">
        <v>2.4877899999999999</v>
      </c>
      <c r="IZ31">
        <v>1.6003400000000001</v>
      </c>
      <c r="JA31">
        <v>2.2814899999999998</v>
      </c>
      <c r="JB31">
        <v>1.5502899999999999</v>
      </c>
      <c r="JC31">
        <v>2.3071299999999999</v>
      </c>
      <c r="JD31">
        <v>38.403399999999998</v>
      </c>
      <c r="JE31">
        <v>23.807300000000001</v>
      </c>
      <c r="JF31">
        <v>18</v>
      </c>
      <c r="JG31">
        <v>507.274</v>
      </c>
      <c r="JH31">
        <v>503.82900000000001</v>
      </c>
      <c r="JI31">
        <v>27.828099999999999</v>
      </c>
      <c r="JJ31">
        <v>30.128799999999998</v>
      </c>
      <c r="JK31">
        <v>30</v>
      </c>
      <c r="JL31">
        <v>30.197399999999998</v>
      </c>
      <c r="JM31">
        <v>30.178999999999998</v>
      </c>
      <c r="JN31">
        <v>19.174600000000002</v>
      </c>
      <c r="JO31">
        <v>26.599299999999999</v>
      </c>
      <c r="JP31">
        <v>100</v>
      </c>
      <c r="JQ31">
        <v>27.8507</v>
      </c>
      <c r="JR31">
        <v>400</v>
      </c>
      <c r="JS31">
        <v>24.5258</v>
      </c>
      <c r="JT31">
        <v>99.257499999999993</v>
      </c>
      <c r="JU31">
        <v>99.163600000000002</v>
      </c>
    </row>
    <row r="32" spans="1:281" x14ac:dyDescent="0.25">
      <c r="A32">
        <v>16</v>
      </c>
      <c r="B32">
        <v>1693325013.5</v>
      </c>
      <c r="C32">
        <v>2716.400000095367</v>
      </c>
      <c r="D32" t="s">
        <v>497</v>
      </c>
      <c r="E32" t="s">
        <v>498</v>
      </c>
      <c r="F32" t="s">
        <v>413</v>
      </c>
      <c r="G32" t="s">
        <v>493</v>
      </c>
      <c r="H32" t="s">
        <v>415</v>
      </c>
      <c r="I32" t="s">
        <v>415</v>
      </c>
      <c r="J32">
        <v>1693325013.5</v>
      </c>
      <c r="K32">
        <f t="shared" si="0"/>
        <v>3.8082658698559953E-3</v>
      </c>
      <c r="L32">
        <f t="shared" si="1"/>
        <v>3.8082658698559952</v>
      </c>
      <c r="M32">
        <f t="shared" si="2"/>
        <v>28.584748485629213</v>
      </c>
      <c r="N32">
        <f t="shared" si="3"/>
        <v>264.42399999999998</v>
      </c>
      <c r="O32">
        <f t="shared" si="4"/>
        <v>87.712244382000321</v>
      </c>
      <c r="P32">
        <f t="shared" si="5"/>
        <v>8.695567250659975</v>
      </c>
      <c r="Q32">
        <f t="shared" si="6"/>
        <v>26.214318090808796</v>
      </c>
      <c r="R32">
        <f t="shared" si="7"/>
        <v>0.27680472871619816</v>
      </c>
      <c r="S32">
        <f t="shared" si="8"/>
        <v>2.9161050289793748</v>
      </c>
      <c r="T32">
        <f t="shared" si="9"/>
        <v>0.26299202126305737</v>
      </c>
      <c r="U32">
        <f t="shared" si="10"/>
        <v>0.1655535739760311</v>
      </c>
      <c r="V32">
        <f t="shared" si="11"/>
        <v>344.38520065830426</v>
      </c>
      <c r="W32">
        <f t="shared" si="12"/>
        <v>31.504552450487392</v>
      </c>
      <c r="X32">
        <f t="shared" si="13"/>
        <v>29.991900000000001</v>
      </c>
      <c r="Y32">
        <f t="shared" si="14"/>
        <v>4.2584679686212343</v>
      </c>
      <c r="Z32">
        <f t="shared" si="15"/>
        <v>65.706244433573545</v>
      </c>
      <c r="AA32">
        <f t="shared" si="16"/>
        <v>2.8745495175697195</v>
      </c>
      <c r="AB32">
        <f t="shared" si="17"/>
        <v>4.3748498218853111</v>
      </c>
      <c r="AC32">
        <f t="shared" si="18"/>
        <v>1.3839184510515148</v>
      </c>
      <c r="AD32">
        <f t="shared" si="19"/>
        <v>-167.94452486064938</v>
      </c>
      <c r="AE32">
        <f t="shared" si="20"/>
        <v>73.921578142362179</v>
      </c>
      <c r="AF32">
        <f t="shared" si="21"/>
        <v>5.6491504958725081</v>
      </c>
      <c r="AG32">
        <f t="shared" si="22"/>
        <v>256.01140443588957</v>
      </c>
      <c r="AH32">
        <v>0</v>
      </c>
      <c r="AI32">
        <v>0</v>
      </c>
      <c r="AJ32">
        <f t="shared" si="23"/>
        <v>1</v>
      </c>
      <c r="AK32">
        <f t="shared" si="24"/>
        <v>0</v>
      </c>
      <c r="AL32">
        <f t="shared" si="25"/>
        <v>51870.057160040531</v>
      </c>
      <c r="AM32" t="s">
        <v>416</v>
      </c>
      <c r="AN32">
        <v>10238.9</v>
      </c>
      <c r="AO32">
        <v>302.21199999999999</v>
      </c>
      <c r="AP32">
        <v>4052.3</v>
      </c>
      <c r="AQ32">
        <f t="shared" si="26"/>
        <v>0.92542210596451402</v>
      </c>
      <c r="AR32">
        <v>-0.32343011824092421</v>
      </c>
      <c r="AS32" t="s">
        <v>499</v>
      </c>
      <c r="AT32">
        <v>10464.6</v>
      </c>
      <c r="AU32">
        <v>702.45300000000009</v>
      </c>
      <c r="AV32">
        <v>943.54639110515916</v>
      </c>
      <c r="AW32">
        <f t="shared" si="27"/>
        <v>0.25551832255197404</v>
      </c>
      <c r="AX32">
        <v>0.5</v>
      </c>
      <c r="AY32">
        <f t="shared" si="28"/>
        <v>1513.2522003291519</v>
      </c>
      <c r="AZ32">
        <f t="shared" si="29"/>
        <v>28.584748485629213</v>
      </c>
      <c r="BA32">
        <f t="shared" si="30"/>
        <v>193.33183191309433</v>
      </c>
      <c r="BB32">
        <f t="shared" si="31"/>
        <v>1.910334483411439E-2</v>
      </c>
      <c r="BC32">
        <f t="shared" si="32"/>
        <v>3.2947543843113141</v>
      </c>
      <c r="BD32">
        <f t="shared" si="33"/>
        <v>242.60107280021995</v>
      </c>
      <c r="BE32" t="s">
        <v>500</v>
      </c>
      <c r="BF32">
        <v>537.83000000000004</v>
      </c>
      <c r="BG32">
        <f t="shared" si="34"/>
        <v>537.83000000000004</v>
      </c>
      <c r="BH32">
        <f t="shared" si="35"/>
        <v>0.42999093094929941</v>
      </c>
      <c r="BI32">
        <f t="shared" si="36"/>
        <v>0.5942411901289667</v>
      </c>
      <c r="BJ32">
        <f t="shared" si="37"/>
        <v>0.88455830008360881</v>
      </c>
      <c r="BK32">
        <f t="shared" si="38"/>
        <v>0.37592462598131143</v>
      </c>
      <c r="BL32">
        <f t="shared" si="39"/>
        <v>0.82898150893921441</v>
      </c>
      <c r="BM32">
        <f t="shared" si="40"/>
        <v>0.45497811139971239</v>
      </c>
      <c r="BN32">
        <f t="shared" si="41"/>
        <v>0.54502188860028755</v>
      </c>
      <c r="BO32">
        <v>5494</v>
      </c>
      <c r="BP32">
        <v>290.00000000000011</v>
      </c>
      <c r="BQ32">
        <v>879.83</v>
      </c>
      <c r="BR32">
        <v>255</v>
      </c>
      <c r="BS32">
        <v>10464.6</v>
      </c>
      <c r="BT32">
        <v>879.89</v>
      </c>
      <c r="BU32">
        <v>-0.06</v>
      </c>
      <c r="BV32">
        <v>300.00000000000011</v>
      </c>
      <c r="BW32">
        <v>38.299999999999997</v>
      </c>
      <c r="BX32">
        <v>943.54639110515916</v>
      </c>
      <c r="BY32">
        <v>1.187571939876374</v>
      </c>
      <c r="BZ32">
        <v>-66.616321670037181</v>
      </c>
      <c r="CA32">
        <v>1.0180786183784261</v>
      </c>
      <c r="CB32">
        <v>0.99350276690413719</v>
      </c>
      <c r="CC32">
        <v>-1.136860578420467E-2</v>
      </c>
      <c r="CD32">
        <v>289.99999999999989</v>
      </c>
      <c r="CE32">
        <v>877.66</v>
      </c>
      <c r="CF32">
        <v>645</v>
      </c>
      <c r="CG32">
        <v>10447.799999999999</v>
      </c>
      <c r="CH32">
        <v>879.79</v>
      </c>
      <c r="CI32">
        <v>-2.13</v>
      </c>
      <c r="CW32">
        <f t="shared" si="42"/>
        <v>1800.08</v>
      </c>
      <c r="CX32">
        <f t="shared" si="43"/>
        <v>1513.2522003291519</v>
      </c>
      <c r="CY32">
        <f t="shared" si="44"/>
        <v>0.84065830425822852</v>
      </c>
      <c r="CZ32">
        <f t="shared" si="45"/>
        <v>0.19131660851645718</v>
      </c>
      <c r="DA32">
        <v>6</v>
      </c>
      <c r="DB32">
        <v>0.5</v>
      </c>
      <c r="DC32" t="s">
        <v>419</v>
      </c>
      <c r="DD32">
        <v>2</v>
      </c>
      <c r="DE32">
        <v>1693325013.5</v>
      </c>
      <c r="DF32">
        <v>264.42399999999998</v>
      </c>
      <c r="DG32">
        <v>299.92599999999999</v>
      </c>
      <c r="DH32">
        <v>28.9956</v>
      </c>
      <c r="DI32">
        <v>24.559200000000001</v>
      </c>
      <c r="DJ32">
        <v>266.11399999999998</v>
      </c>
      <c r="DK32">
        <v>28.514099999999999</v>
      </c>
      <c r="DL32">
        <v>500.11399999999998</v>
      </c>
      <c r="DM32">
        <v>99.037499999999994</v>
      </c>
      <c r="DN32">
        <v>9.9938700000000005E-2</v>
      </c>
      <c r="DO32">
        <v>30.4621</v>
      </c>
      <c r="DP32">
        <v>29.991900000000001</v>
      </c>
      <c r="DQ32">
        <v>999.9</v>
      </c>
      <c r="DR32">
        <v>0</v>
      </c>
      <c r="DS32">
        <v>0</v>
      </c>
      <c r="DT32">
        <v>10020</v>
      </c>
      <c r="DU32">
        <v>0</v>
      </c>
      <c r="DV32">
        <v>245.31200000000001</v>
      </c>
      <c r="DW32">
        <v>-35.5017</v>
      </c>
      <c r="DX32">
        <v>272.32100000000003</v>
      </c>
      <c r="DY32">
        <v>307.47800000000001</v>
      </c>
      <c r="DZ32">
        <v>4.4363299999999999</v>
      </c>
      <c r="EA32">
        <v>299.92599999999999</v>
      </c>
      <c r="EB32">
        <v>24.559200000000001</v>
      </c>
      <c r="EC32">
        <v>2.8716499999999998</v>
      </c>
      <c r="ED32">
        <v>2.43228</v>
      </c>
      <c r="EE32">
        <v>23.3018</v>
      </c>
      <c r="EF32">
        <v>20.580300000000001</v>
      </c>
      <c r="EG32">
        <v>1800.08</v>
      </c>
      <c r="EH32">
        <v>0.97799599999999998</v>
      </c>
      <c r="EI32">
        <v>2.2004300000000001E-2</v>
      </c>
      <c r="EJ32">
        <v>0</v>
      </c>
      <c r="EK32">
        <v>702.26199999999994</v>
      </c>
      <c r="EL32">
        <v>4.9995000000000003</v>
      </c>
      <c r="EM32">
        <v>13510.1</v>
      </c>
      <c r="EN32">
        <v>16660.5</v>
      </c>
      <c r="EO32">
        <v>47.5</v>
      </c>
      <c r="EP32">
        <v>48.436999999999998</v>
      </c>
      <c r="EQ32">
        <v>48.436999999999998</v>
      </c>
      <c r="ER32">
        <v>47.311999999999998</v>
      </c>
      <c r="ES32">
        <v>48.811999999999998</v>
      </c>
      <c r="ET32">
        <v>1755.58</v>
      </c>
      <c r="EU32">
        <v>39.5</v>
      </c>
      <c r="EV32">
        <v>0</v>
      </c>
      <c r="EW32">
        <v>108.7999999523163</v>
      </c>
      <c r="EX32">
        <v>0</v>
      </c>
      <c r="EY32">
        <v>702.45300000000009</v>
      </c>
      <c r="EZ32">
        <v>-0.47172648412701479</v>
      </c>
      <c r="FA32">
        <v>-11.155555517994459</v>
      </c>
      <c r="FB32">
        <v>13510.596153846151</v>
      </c>
      <c r="FC32">
        <v>15</v>
      </c>
      <c r="FD32">
        <v>1693324986</v>
      </c>
      <c r="FE32" t="s">
        <v>501</v>
      </c>
      <c r="FF32">
        <v>1693324983</v>
      </c>
      <c r="FG32">
        <v>1693324986</v>
      </c>
      <c r="FH32">
        <v>19</v>
      </c>
      <c r="FI32">
        <v>0.16500000000000001</v>
      </c>
      <c r="FJ32">
        <v>5.0000000000000001E-3</v>
      </c>
      <c r="FK32">
        <v>-1.7509999999999999</v>
      </c>
      <c r="FL32">
        <v>0.29299999999999998</v>
      </c>
      <c r="FM32">
        <v>300</v>
      </c>
      <c r="FN32">
        <v>25</v>
      </c>
      <c r="FO32">
        <v>0.13</v>
      </c>
      <c r="FP32">
        <v>0.05</v>
      </c>
      <c r="FQ32">
        <v>28.506978712481889</v>
      </c>
      <c r="FR32">
        <v>0.46679683192634508</v>
      </c>
      <c r="FS32">
        <v>7.1766607174796923E-2</v>
      </c>
      <c r="FT32">
        <v>1</v>
      </c>
      <c r="FU32">
        <v>0.27589858863333699</v>
      </c>
      <c r="FV32">
        <v>4.8660516558994997E-2</v>
      </c>
      <c r="FW32">
        <v>4.8802332179608424E-3</v>
      </c>
      <c r="FX32">
        <v>1</v>
      </c>
      <c r="FY32">
        <v>2</v>
      </c>
      <c r="FZ32">
        <v>2</v>
      </c>
      <c r="GA32" t="s">
        <v>421</v>
      </c>
      <c r="GB32">
        <v>2.97153</v>
      </c>
      <c r="GC32">
        <v>2.8118099999999999</v>
      </c>
      <c r="GD32">
        <v>6.9791400000000003E-2</v>
      </c>
      <c r="GE32">
        <v>7.6251100000000002E-2</v>
      </c>
      <c r="GF32">
        <v>0.13586500000000001</v>
      </c>
      <c r="GG32">
        <v>0.12067</v>
      </c>
      <c r="GH32">
        <v>27511.8</v>
      </c>
      <c r="GI32">
        <v>25264</v>
      </c>
      <c r="GJ32">
        <v>26577.599999999999</v>
      </c>
      <c r="GK32">
        <v>25796.6</v>
      </c>
      <c r="GL32">
        <v>31241</v>
      </c>
      <c r="GM32">
        <v>31960.2</v>
      </c>
      <c r="GN32">
        <v>37644.400000000001</v>
      </c>
      <c r="GO32">
        <v>38178.1</v>
      </c>
      <c r="GP32">
        <v>1.9878</v>
      </c>
      <c r="GQ32">
        <v>2.0286</v>
      </c>
      <c r="GR32">
        <v>6.1541800000000001E-2</v>
      </c>
      <c r="GS32">
        <v>0</v>
      </c>
      <c r="GT32">
        <v>28.9895</v>
      </c>
      <c r="GU32">
        <v>999.9</v>
      </c>
      <c r="GV32">
        <v>58.8</v>
      </c>
      <c r="GW32">
        <v>32.799999999999997</v>
      </c>
      <c r="GX32">
        <v>29.657900000000001</v>
      </c>
      <c r="GY32">
        <v>61.473500000000001</v>
      </c>
      <c r="GZ32">
        <v>13.4375</v>
      </c>
      <c r="HA32">
        <v>1</v>
      </c>
      <c r="HB32">
        <v>0.20851600000000001</v>
      </c>
      <c r="HC32">
        <v>1.5193000000000001</v>
      </c>
      <c r="HD32">
        <v>20.2486</v>
      </c>
      <c r="HE32">
        <v>5.2088999999999999</v>
      </c>
      <c r="HF32">
        <v>11.9321</v>
      </c>
      <c r="HG32">
        <v>4.9884000000000004</v>
      </c>
      <c r="HH32">
        <v>3.2909999999999999</v>
      </c>
      <c r="HI32">
        <v>9999</v>
      </c>
      <c r="HJ32">
        <v>9999</v>
      </c>
      <c r="HK32">
        <v>9999</v>
      </c>
      <c r="HL32">
        <v>999.9</v>
      </c>
      <c r="HM32">
        <v>1.8706799999999999</v>
      </c>
      <c r="HN32">
        <v>1.8768499999999999</v>
      </c>
      <c r="HO32">
        <v>1.87462</v>
      </c>
      <c r="HP32">
        <v>1.87286</v>
      </c>
      <c r="HQ32">
        <v>1.8733299999999999</v>
      </c>
      <c r="HR32">
        <v>1.87079</v>
      </c>
      <c r="HS32">
        <v>1.8766799999999999</v>
      </c>
      <c r="HT32">
        <v>1.8757600000000001</v>
      </c>
      <c r="HU32">
        <v>5</v>
      </c>
      <c r="HV32">
        <v>0</v>
      </c>
      <c r="HW32">
        <v>0</v>
      </c>
      <c r="HX32">
        <v>0</v>
      </c>
      <c r="HY32" t="s">
        <v>422</v>
      </c>
      <c r="HZ32" t="s">
        <v>423</v>
      </c>
      <c r="IA32" t="s">
        <v>424</v>
      </c>
      <c r="IB32" t="s">
        <v>424</v>
      </c>
      <c r="IC32" t="s">
        <v>424</v>
      </c>
      <c r="ID32" t="s">
        <v>424</v>
      </c>
      <c r="IE32">
        <v>0</v>
      </c>
      <c r="IF32">
        <v>100</v>
      </c>
      <c r="IG32">
        <v>100</v>
      </c>
      <c r="IH32">
        <v>-1.69</v>
      </c>
      <c r="II32">
        <v>0.48149999999999998</v>
      </c>
      <c r="IJ32">
        <v>-1.102683334624178</v>
      </c>
      <c r="IK32">
        <v>-2.677719669153116E-3</v>
      </c>
      <c r="IL32">
        <v>1.9353498771248068E-6</v>
      </c>
      <c r="IM32">
        <v>-6.1862177325538213E-10</v>
      </c>
      <c r="IN32">
        <v>-0.1573715569375243</v>
      </c>
      <c r="IO32">
        <v>-1.5299015507423901E-2</v>
      </c>
      <c r="IP32">
        <v>1.742162107778985E-3</v>
      </c>
      <c r="IQ32">
        <v>-1.472690239905804E-5</v>
      </c>
      <c r="IR32">
        <v>3</v>
      </c>
      <c r="IS32">
        <v>2255</v>
      </c>
      <c r="IT32">
        <v>2</v>
      </c>
      <c r="IU32">
        <v>41</v>
      </c>
      <c r="IV32">
        <v>0.5</v>
      </c>
      <c r="IW32">
        <v>0.5</v>
      </c>
      <c r="IX32">
        <v>0.76415999999999995</v>
      </c>
      <c r="IY32">
        <v>2.4890099999999999</v>
      </c>
      <c r="IZ32">
        <v>1.5991200000000001</v>
      </c>
      <c r="JA32">
        <v>2.2802699999999998</v>
      </c>
      <c r="JB32">
        <v>1.5502899999999999</v>
      </c>
      <c r="JC32">
        <v>2.2656200000000002</v>
      </c>
      <c r="JD32">
        <v>38.550400000000003</v>
      </c>
      <c r="JE32">
        <v>23.807300000000001</v>
      </c>
      <c r="JF32">
        <v>18</v>
      </c>
      <c r="JG32">
        <v>507.29399999999998</v>
      </c>
      <c r="JH32">
        <v>502.637</v>
      </c>
      <c r="JI32">
        <v>26.653400000000001</v>
      </c>
      <c r="JJ32">
        <v>30.139199999999999</v>
      </c>
      <c r="JK32">
        <v>30.0001</v>
      </c>
      <c r="JL32">
        <v>30.1922</v>
      </c>
      <c r="JM32">
        <v>30.171199999999999</v>
      </c>
      <c r="JN32">
        <v>15.3264</v>
      </c>
      <c r="JO32">
        <v>26.868400000000001</v>
      </c>
      <c r="JP32">
        <v>100</v>
      </c>
      <c r="JQ32">
        <v>26.668199999999999</v>
      </c>
      <c r="JR32">
        <v>300</v>
      </c>
      <c r="JS32">
        <v>24.486599999999999</v>
      </c>
      <c r="JT32">
        <v>99.261099999999999</v>
      </c>
      <c r="JU32">
        <v>99.162800000000004</v>
      </c>
    </row>
    <row r="33" spans="1:281" x14ac:dyDescent="0.25">
      <c r="A33">
        <v>17</v>
      </c>
      <c r="B33">
        <v>1693325152</v>
      </c>
      <c r="C33">
        <v>2854.900000095367</v>
      </c>
      <c r="D33" t="s">
        <v>502</v>
      </c>
      <c r="E33" t="s">
        <v>503</v>
      </c>
      <c r="F33" t="s">
        <v>413</v>
      </c>
      <c r="G33" t="s">
        <v>493</v>
      </c>
      <c r="H33" t="s">
        <v>415</v>
      </c>
      <c r="I33" t="s">
        <v>415</v>
      </c>
      <c r="J33">
        <v>1693325152</v>
      </c>
      <c r="K33">
        <f t="shared" si="0"/>
        <v>4.3571641483321323E-3</v>
      </c>
      <c r="L33">
        <f t="shared" si="1"/>
        <v>4.3571641483321324</v>
      </c>
      <c r="M33">
        <f t="shared" si="2"/>
        <v>21.079465293335108</v>
      </c>
      <c r="N33">
        <f t="shared" si="3"/>
        <v>173.85900000000001</v>
      </c>
      <c r="O33">
        <f t="shared" si="4"/>
        <v>59.476351051711454</v>
      </c>
      <c r="P33">
        <f t="shared" si="5"/>
        <v>5.8961159761739399</v>
      </c>
      <c r="Q33">
        <f t="shared" si="6"/>
        <v>17.235301247892</v>
      </c>
      <c r="R33">
        <f t="shared" si="7"/>
        <v>0.31767014059637566</v>
      </c>
      <c r="S33">
        <f t="shared" si="8"/>
        <v>2.8954248474298447</v>
      </c>
      <c r="T33">
        <f t="shared" si="9"/>
        <v>0.29949975628436698</v>
      </c>
      <c r="U33">
        <f t="shared" si="10"/>
        <v>0.18873321876087415</v>
      </c>
      <c r="V33">
        <f t="shared" si="11"/>
        <v>344.39470065828601</v>
      </c>
      <c r="W33">
        <f t="shared" si="12"/>
        <v>31.364357889794327</v>
      </c>
      <c r="X33">
        <f t="shared" si="13"/>
        <v>29.913799999999998</v>
      </c>
      <c r="Y33">
        <f t="shared" si="14"/>
        <v>4.2394006459258504</v>
      </c>
      <c r="Z33">
        <f t="shared" si="15"/>
        <v>65.128408730153438</v>
      </c>
      <c r="AA33">
        <f t="shared" si="16"/>
        <v>2.8487481854832</v>
      </c>
      <c r="AB33">
        <f t="shared" si="17"/>
        <v>4.3740485005344123</v>
      </c>
      <c r="AC33">
        <f t="shared" si="18"/>
        <v>1.3906524604426505</v>
      </c>
      <c r="AD33">
        <f t="shared" si="19"/>
        <v>-192.15093894144704</v>
      </c>
      <c r="AE33">
        <f t="shared" si="20"/>
        <v>85.0890984986153</v>
      </c>
      <c r="AF33">
        <f t="shared" si="21"/>
        <v>6.5463936692988156</v>
      </c>
      <c r="AG33">
        <f t="shared" si="22"/>
        <v>243.8792538847531</v>
      </c>
      <c r="AH33">
        <v>0</v>
      </c>
      <c r="AI33">
        <v>0</v>
      </c>
      <c r="AJ33">
        <f t="shared" si="23"/>
        <v>1</v>
      </c>
      <c r="AK33">
        <f t="shared" si="24"/>
        <v>0</v>
      </c>
      <c r="AL33">
        <f t="shared" si="25"/>
        <v>51284.163215438304</v>
      </c>
      <c r="AM33" t="s">
        <v>416</v>
      </c>
      <c r="AN33">
        <v>10238.9</v>
      </c>
      <c r="AO33">
        <v>302.21199999999999</v>
      </c>
      <c r="AP33">
        <v>4052.3</v>
      </c>
      <c r="AQ33">
        <f t="shared" si="26"/>
        <v>0.92542210596451402</v>
      </c>
      <c r="AR33">
        <v>-0.32343011824092421</v>
      </c>
      <c r="AS33" t="s">
        <v>504</v>
      </c>
      <c r="AT33">
        <v>10461.6</v>
      </c>
      <c r="AU33">
        <v>705.57623999999998</v>
      </c>
      <c r="AV33">
        <v>886.69301121731019</v>
      </c>
      <c r="AW33">
        <f t="shared" si="27"/>
        <v>0.20426096622624923</v>
      </c>
      <c r="AX33">
        <v>0.5</v>
      </c>
      <c r="AY33">
        <f t="shared" si="28"/>
        <v>1513.294200329143</v>
      </c>
      <c r="AZ33">
        <f t="shared" si="29"/>
        <v>21.079465293335108</v>
      </c>
      <c r="BA33">
        <f t="shared" si="30"/>
        <v>154.55346777190496</v>
      </c>
      <c r="BB33">
        <f t="shared" si="31"/>
        <v>1.4143248158171017E-2</v>
      </c>
      <c r="BC33">
        <f t="shared" si="32"/>
        <v>3.5701273707308658</v>
      </c>
      <c r="BD33">
        <f t="shared" si="33"/>
        <v>238.66644348443003</v>
      </c>
      <c r="BE33" t="s">
        <v>505</v>
      </c>
      <c r="BF33">
        <v>535.69000000000005</v>
      </c>
      <c r="BG33">
        <f t="shared" si="34"/>
        <v>535.69000000000005</v>
      </c>
      <c r="BH33">
        <f t="shared" si="35"/>
        <v>0.39585629612150686</v>
      </c>
      <c r="BI33">
        <f t="shared" si="36"/>
        <v>0.51599777047262607</v>
      </c>
      <c r="BJ33">
        <f t="shared" si="37"/>
        <v>0.90018710883000663</v>
      </c>
      <c r="BK33">
        <f t="shared" si="38"/>
        <v>0.3098762282115799</v>
      </c>
      <c r="BL33">
        <f t="shared" si="39"/>
        <v>0.84414205447517221</v>
      </c>
      <c r="BM33">
        <f t="shared" si="40"/>
        <v>0.39175758762012891</v>
      </c>
      <c r="BN33">
        <f t="shared" si="41"/>
        <v>0.60824241237987109</v>
      </c>
      <c r="BO33">
        <v>5496</v>
      </c>
      <c r="BP33">
        <v>290.00000000000011</v>
      </c>
      <c r="BQ33">
        <v>839.93</v>
      </c>
      <c r="BR33">
        <v>275</v>
      </c>
      <c r="BS33">
        <v>10461.6</v>
      </c>
      <c r="BT33">
        <v>840.09</v>
      </c>
      <c r="BU33">
        <v>-0.16</v>
      </c>
      <c r="BV33">
        <v>300.00000000000011</v>
      </c>
      <c r="BW33">
        <v>38.299999999999997</v>
      </c>
      <c r="BX33">
        <v>886.69301121731019</v>
      </c>
      <c r="BY33">
        <v>1.124716929982903</v>
      </c>
      <c r="BZ33">
        <v>-48.758353031496164</v>
      </c>
      <c r="CA33">
        <v>0.96420121256531877</v>
      </c>
      <c r="CB33">
        <v>0.98916906748341316</v>
      </c>
      <c r="CC33">
        <v>-1.136846763070079E-2</v>
      </c>
      <c r="CD33">
        <v>289.99999999999989</v>
      </c>
      <c r="CE33">
        <v>836.56</v>
      </c>
      <c r="CF33">
        <v>705</v>
      </c>
      <c r="CG33">
        <v>10442</v>
      </c>
      <c r="CH33">
        <v>840</v>
      </c>
      <c r="CI33">
        <v>-3.44</v>
      </c>
      <c r="CW33">
        <f t="shared" si="42"/>
        <v>1800.13</v>
      </c>
      <c r="CX33">
        <f t="shared" si="43"/>
        <v>1513.294200329143</v>
      </c>
      <c r="CY33">
        <f t="shared" si="44"/>
        <v>0.84065828597331471</v>
      </c>
      <c r="CZ33">
        <f t="shared" si="45"/>
        <v>0.1913165719466294</v>
      </c>
      <c r="DA33">
        <v>6</v>
      </c>
      <c r="DB33">
        <v>0.5</v>
      </c>
      <c r="DC33" t="s">
        <v>419</v>
      </c>
      <c r="DD33">
        <v>2</v>
      </c>
      <c r="DE33">
        <v>1693325152</v>
      </c>
      <c r="DF33">
        <v>173.85900000000001</v>
      </c>
      <c r="DG33">
        <v>200.05799999999999</v>
      </c>
      <c r="DH33">
        <v>28.7364</v>
      </c>
      <c r="DI33">
        <v>23.659099999999999</v>
      </c>
      <c r="DJ33">
        <v>175.279</v>
      </c>
      <c r="DK33">
        <v>28.272600000000001</v>
      </c>
      <c r="DL33">
        <v>500.10300000000001</v>
      </c>
      <c r="DM33">
        <v>99.033000000000001</v>
      </c>
      <c r="DN33">
        <v>0.100788</v>
      </c>
      <c r="DO33">
        <v>30.4589</v>
      </c>
      <c r="DP33">
        <v>29.913799999999998</v>
      </c>
      <c r="DQ33">
        <v>999.9</v>
      </c>
      <c r="DR33">
        <v>0</v>
      </c>
      <c r="DS33">
        <v>0</v>
      </c>
      <c r="DT33">
        <v>9902.5</v>
      </c>
      <c r="DU33">
        <v>0</v>
      </c>
      <c r="DV33">
        <v>244.63399999999999</v>
      </c>
      <c r="DW33">
        <v>-26.198399999999999</v>
      </c>
      <c r="DX33">
        <v>179.00299999999999</v>
      </c>
      <c r="DY33">
        <v>204.90600000000001</v>
      </c>
      <c r="DZ33">
        <v>5.0772700000000004</v>
      </c>
      <c r="EA33">
        <v>200.05799999999999</v>
      </c>
      <c r="EB33">
        <v>23.659099999999999</v>
      </c>
      <c r="EC33">
        <v>2.84585</v>
      </c>
      <c r="ED33">
        <v>2.3430300000000002</v>
      </c>
      <c r="EE33">
        <v>23.1525</v>
      </c>
      <c r="EF33">
        <v>19.975300000000001</v>
      </c>
      <c r="EG33">
        <v>1800.13</v>
      </c>
      <c r="EH33">
        <v>0.97799599999999998</v>
      </c>
      <c r="EI33">
        <v>2.2004300000000001E-2</v>
      </c>
      <c r="EJ33">
        <v>0</v>
      </c>
      <c r="EK33">
        <v>705.61099999999999</v>
      </c>
      <c r="EL33">
        <v>4.9995000000000003</v>
      </c>
      <c r="EM33">
        <v>13570.5</v>
      </c>
      <c r="EN33">
        <v>16661</v>
      </c>
      <c r="EO33">
        <v>47.561999999999998</v>
      </c>
      <c r="EP33">
        <v>48.5</v>
      </c>
      <c r="EQ33">
        <v>48.375</v>
      </c>
      <c r="ER33">
        <v>47.375</v>
      </c>
      <c r="ES33">
        <v>48.75</v>
      </c>
      <c r="ET33">
        <v>1755.63</v>
      </c>
      <c r="EU33">
        <v>39.5</v>
      </c>
      <c r="EV33">
        <v>0</v>
      </c>
      <c r="EW33">
        <v>136.79999995231631</v>
      </c>
      <c r="EX33">
        <v>0</v>
      </c>
      <c r="EY33">
        <v>705.57623999999998</v>
      </c>
      <c r="EZ33">
        <v>-0.44976921588893259</v>
      </c>
      <c r="FA33">
        <v>11.43076927844017</v>
      </c>
      <c r="FB33">
        <v>13568</v>
      </c>
      <c r="FC33">
        <v>15</v>
      </c>
      <c r="FD33">
        <v>1693325095.5</v>
      </c>
      <c r="FE33" t="s">
        <v>506</v>
      </c>
      <c r="FF33">
        <v>1693325085.5</v>
      </c>
      <c r="FG33">
        <v>1693325095.5</v>
      </c>
      <c r="FH33">
        <v>20</v>
      </c>
      <c r="FI33">
        <v>9.6000000000000002E-2</v>
      </c>
      <c r="FJ33">
        <v>-6.0000000000000001E-3</v>
      </c>
      <c r="FK33">
        <v>-1.472</v>
      </c>
      <c r="FL33">
        <v>0.254</v>
      </c>
      <c r="FM33">
        <v>200</v>
      </c>
      <c r="FN33">
        <v>24</v>
      </c>
      <c r="FO33">
        <v>0.18</v>
      </c>
      <c r="FP33">
        <v>0.06</v>
      </c>
      <c r="FQ33">
        <v>20.968500228712969</v>
      </c>
      <c r="FR33">
        <v>0.65785725604383227</v>
      </c>
      <c r="FS33">
        <v>6.8219782189388706E-2</v>
      </c>
      <c r="FT33">
        <v>1</v>
      </c>
      <c r="FU33">
        <v>0.31659806010569691</v>
      </c>
      <c r="FV33">
        <v>3.2135627243156453E-2</v>
      </c>
      <c r="FW33">
        <v>3.0316131733708952E-3</v>
      </c>
      <c r="FX33">
        <v>1</v>
      </c>
      <c r="FY33">
        <v>2</v>
      </c>
      <c r="FZ33">
        <v>2</v>
      </c>
      <c r="GA33" t="s">
        <v>421</v>
      </c>
      <c r="GB33">
        <v>2.97146</v>
      </c>
      <c r="GC33">
        <v>2.8116400000000001</v>
      </c>
      <c r="GD33">
        <v>4.8411500000000003E-2</v>
      </c>
      <c r="GE33">
        <v>5.3903600000000003E-2</v>
      </c>
      <c r="GF33">
        <v>0.135051</v>
      </c>
      <c r="GG33">
        <v>0.117563</v>
      </c>
      <c r="GH33">
        <v>28144.5</v>
      </c>
      <c r="GI33">
        <v>25874.799999999999</v>
      </c>
      <c r="GJ33">
        <v>26578.1</v>
      </c>
      <c r="GK33">
        <v>25796.3</v>
      </c>
      <c r="GL33">
        <v>31269.7</v>
      </c>
      <c r="GM33">
        <v>32071.599999999999</v>
      </c>
      <c r="GN33">
        <v>37644.300000000003</v>
      </c>
      <c r="GO33">
        <v>38178</v>
      </c>
      <c r="GP33">
        <v>1.9883</v>
      </c>
      <c r="GQ33">
        <v>2.0253999999999999</v>
      </c>
      <c r="GR33">
        <v>6.3583299999999995E-2</v>
      </c>
      <c r="GS33">
        <v>0</v>
      </c>
      <c r="GT33">
        <v>28.878</v>
      </c>
      <c r="GU33">
        <v>999.9</v>
      </c>
      <c r="GV33">
        <v>58.6</v>
      </c>
      <c r="GW33">
        <v>32.9</v>
      </c>
      <c r="GX33">
        <v>29.727499999999999</v>
      </c>
      <c r="GY33">
        <v>61.463500000000003</v>
      </c>
      <c r="GZ33">
        <v>12.536099999999999</v>
      </c>
      <c r="HA33">
        <v>1</v>
      </c>
      <c r="HB33">
        <v>0.208872</v>
      </c>
      <c r="HC33">
        <v>2.9248400000000001E-2</v>
      </c>
      <c r="HD33">
        <v>20.256499999999999</v>
      </c>
      <c r="HE33">
        <v>5.2107000000000001</v>
      </c>
      <c r="HF33">
        <v>11.9321</v>
      </c>
      <c r="HG33">
        <v>4.9884000000000004</v>
      </c>
      <c r="HH33">
        <v>3.2909999999999999</v>
      </c>
      <c r="HI33">
        <v>9999</v>
      </c>
      <c r="HJ33">
        <v>9999</v>
      </c>
      <c r="HK33">
        <v>9999</v>
      </c>
      <c r="HL33">
        <v>999.9</v>
      </c>
      <c r="HM33">
        <v>1.8706199999999999</v>
      </c>
      <c r="HN33">
        <v>1.87683</v>
      </c>
      <c r="HO33">
        <v>1.8746</v>
      </c>
      <c r="HP33">
        <v>1.87286</v>
      </c>
      <c r="HQ33">
        <v>1.8733200000000001</v>
      </c>
      <c r="HR33">
        <v>1.8707499999999999</v>
      </c>
      <c r="HS33">
        <v>1.8766799999999999</v>
      </c>
      <c r="HT33">
        <v>1.8757600000000001</v>
      </c>
      <c r="HU33">
        <v>5</v>
      </c>
      <c r="HV33">
        <v>0</v>
      </c>
      <c r="HW33">
        <v>0</v>
      </c>
      <c r="HX33">
        <v>0</v>
      </c>
      <c r="HY33" t="s">
        <v>422</v>
      </c>
      <c r="HZ33" t="s">
        <v>423</v>
      </c>
      <c r="IA33" t="s">
        <v>424</v>
      </c>
      <c r="IB33" t="s">
        <v>424</v>
      </c>
      <c r="IC33" t="s">
        <v>424</v>
      </c>
      <c r="ID33" t="s">
        <v>424</v>
      </c>
      <c r="IE33">
        <v>0</v>
      </c>
      <c r="IF33">
        <v>100</v>
      </c>
      <c r="IG33">
        <v>100</v>
      </c>
      <c r="IH33">
        <v>-1.42</v>
      </c>
      <c r="II33">
        <v>0.46379999999999999</v>
      </c>
      <c r="IJ33">
        <v>-1.006441964001199</v>
      </c>
      <c r="IK33">
        <v>-2.677719669153116E-3</v>
      </c>
      <c r="IL33">
        <v>1.9353498771248068E-6</v>
      </c>
      <c r="IM33">
        <v>-6.1862177325538213E-10</v>
      </c>
      <c r="IN33">
        <v>-0.1634697795286984</v>
      </c>
      <c r="IO33">
        <v>-1.5299015507423901E-2</v>
      </c>
      <c r="IP33">
        <v>1.742162107778985E-3</v>
      </c>
      <c r="IQ33">
        <v>-1.472690239905804E-5</v>
      </c>
      <c r="IR33">
        <v>3</v>
      </c>
      <c r="IS33">
        <v>2255</v>
      </c>
      <c r="IT33">
        <v>2</v>
      </c>
      <c r="IU33">
        <v>41</v>
      </c>
      <c r="IV33">
        <v>1.1000000000000001</v>
      </c>
      <c r="IW33">
        <v>0.9</v>
      </c>
      <c r="IX33">
        <v>0.56396500000000005</v>
      </c>
      <c r="IY33">
        <v>2.49634</v>
      </c>
      <c r="IZ33">
        <v>1.5991200000000001</v>
      </c>
      <c r="JA33">
        <v>2.2802699999999998</v>
      </c>
      <c r="JB33">
        <v>1.5502899999999999</v>
      </c>
      <c r="JC33">
        <v>2.4072300000000002</v>
      </c>
      <c r="JD33">
        <v>38.697899999999997</v>
      </c>
      <c r="JE33">
        <v>23.816099999999999</v>
      </c>
      <c r="JF33">
        <v>18</v>
      </c>
      <c r="JG33">
        <v>507.745</v>
      </c>
      <c r="JH33">
        <v>500.63499999999999</v>
      </c>
      <c r="JI33">
        <v>28.048200000000001</v>
      </c>
      <c r="JJ33">
        <v>30.173200000000001</v>
      </c>
      <c r="JK33">
        <v>30.0002</v>
      </c>
      <c r="JL33">
        <v>30.207899999999999</v>
      </c>
      <c r="JM33">
        <v>30.184200000000001</v>
      </c>
      <c r="JN33">
        <v>11.3133</v>
      </c>
      <c r="JO33">
        <v>29.4146</v>
      </c>
      <c r="JP33">
        <v>99.626800000000003</v>
      </c>
      <c r="JQ33">
        <v>28.090199999999999</v>
      </c>
      <c r="JR33">
        <v>200</v>
      </c>
      <c r="JS33">
        <v>23.600200000000001</v>
      </c>
      <c r="JT33">
        <v>99.262</v>
      </c>
      <c r="JU33">
        <v>99.162300000000002</v>
      </c>
    </row>
    <row r="34" spans="1:281" x14ac:dyDescent="0.25">
      <c r="A34">
        <v>18</v>
      </c>
      <c r="B34">
        <v>1693325251.5</v>
      </c>
      <c r="C34">
        <v>2954.400000095367</v>
      </c>
      <c r="D34" t="s">
        <v>507</v>
      </c>
      <c r="E34" t="s">
        <v>508</v>
      </c>
      <c r="F34" t="s">
        <v>413</v>
      </c>
      <c r="G34" t="s">
        <v>493</v>
      </c>
      <c r="H34" t="s">
        <v>415</v>
      </c>
      <c r="I34" t="s">
        <v>415</v>
      </c>
      <c r="J34">
        <v>1693325251.5</v>
      </c>
      <c r="K34">
        <f t="shared" si="0"/>
        <v>4.5354198709395147E-3</v>
      </c>
      <c r="L34">
        <f t="shared" si="1"/>
        <v>4.5354198709395144</v>
      </c>
      <c r="M34">
        <f t="shared" si="2"/>
        <v>13.349592406376855</v>
      </c>
      <c r="N34">
        <f t="shared" si="3"/>
        <v>103.33799999999999</v>
      </c>
      <c r="O34">
        <f t="shared" si="4"/>
        <v>34.511897852349136</v>
      </c>
      <c r="P34">
        <f t="shared" si="5"/>
        <v>3.4212455646728412</v>
      </c>
      <c r="Q34">
        <f t="shared" si="6"/>
        <v>10.244138866970399</v>
      </c>
      <c r="R34">
        <f t="shared" si="7"/>
        <v>0.33486679623169779</v>
      </c>
      <c r="S34">
        <f t="shared" si="8"/>
        <v>2.9186402116732886</v>
      </c>
      <c r="T34">
        <f t="shared" si="9"/>
        <v>0.31489260459651292</v>
      </c>
      <c r="U34">
        <f t="shared" si="10"/>
        <v>0.19850311964537762</v>
      </c>
      <c r="V34">
        <f t="shared" si="11"/>
        <v>344.39470065828601</v>
      </c>
      <c r="W34">
        <f t="shared" si="12"/>
        <v>31.425091771560346</v>
      </c>
      <c r="X34">
        <f t="shared" si="13"/>
        <v>30.011399999999998</v>
      </c>
      <c r="Y34">
        <f t="shared" si="14"/>
        <v>4.2632403394329934</v>
      </c>
      <c r="Z34">
        <f t="shared" si="15"/>
        <v>65.572389431514978</v>
      </c>
      <c r="AA34">
        <f t="shared" si="16"/>
        <v>2.8869224067625199</v>
      </c>
      <c r="AB34">
        <f t="shared" si="17"/>
        <v>4.4026493952575505</v>
      </c>
      <c r="AC34">
        <f t="shared" si="18"/>
        <v>1.3763179326704735</v>
      </c>
      <c r="AD34">
        <f t="shared" si="19"/>
        <v>-200.01201630843261</v>
      </c>
      <c r="AE34">
        <f t="shared" si="20"/>
        <v>88.336139034897826</v>
      </c>
      <c r="AF34">
        <f t="shared" si="21"/>
        <v>6.7492066537925766</v>
      </c>
      <c r="AG34">
        <f t="shared" si="22"/>
        <v>239.46803003854379</v>
      </c>
      <c r="AH34">
        <v>0</v>
      </c>
      <c r="AI34">
        <v>0</v>
      </c>
      <c r="AJ34">
        <f t="shared" si="23"/>
        <v>1</v>
      </c>
      <c r="AK34">
        <f t="shared" si="24"/>
        <v>0</v>
      </c>
      <c r="AL34">
        <f t="shared" si="25"/>
        <v>51923.073406475029</v>
      </c>
      <c r="AM34" t="s">
        <v>416</v>
      </c>
      <c r="AN34">
        <v>10238.9</v>
      </c>
      <c r="AO34">
        <v>302.21199999999999</v>
      </c>
      <c r="AP34">
        <v>4052.3</v>
      </c>
      <c r="AQ34">
        <f t="shared" si="26"/>
        <v>0.92542210596451402</v>
      </c>
      <c r="AR34">
        <v>-0.32343011824092421</v>
      </c>
      <c r="AS34" t="s">
        <v>509</v>
      </c>
      <c r="AT34">
        <v>10476.6</v>
      </c>
      <c r="AU34">
        <v>713.22453846153849</v>
      </c>
      <c r="AV34">
        <v>836.71749325947587</v>
      </c>
      <c r="AW34">
        <f t="shared" si="27"/>
        <v>0.14759217512814782</v>
      </c>
      <c r="AX34">
        <v>0.5</v>
      </c>
      <c r="AY34">
        <f t="shared" si="28"/>
        <v>1513.294200329143</v>
      </c>
      <c r="AZ34">
        <f t="shared" si="29"/>
        <v>13.349592406376855</v>
      </c>
      <c r="BA34">
        <f t="shared" si="30"/>
        <v>111.67519131769464</v>
      </c>
      <c r="BB34">
        <f t="shared" si="31"/>
        <v>9.0352705519150759E-3</v>
      </c>
      <c r="BC34">
        <f t="shared" si="32"/>
        <v>3.8430922415809166</v>
      </c>
      <c r="BD34">
        <f t="shared" si="33"/>
        <v>234.89018767848879</v>
      </c>
      <c r="BE34" t="s">
        <v>510</v>
      </c>
      <c r="BF34">
        <v>539.11</v>
      </c>
      <c r="BG34">
        <f t="shared" si="34"/>
        <v>539.11</v>
      </c>
      <c r="BH34">
        <f t="shared" si="35"/>
        <v>0.35568455979105995</v>
      </c>
      <c r="BI34">
        <f t="shared" si="36"/>
        <v>0.41495243767356099</v>
      </c>
      <c r="BJ34">
        <f t="shared" si="37"/>
        <v>0.91528852886992285</v>
      </c>
      <c r="BK34">
        <f t="shared" si="38"/>
        <v>0.23104150725348616</v>
      </c>
      <c r="BL34">
        <f t="shared" si="39"/>
        <v>0.85746854653558113</v>
      </c>
      <c r="BM34">
        <f t="shared" si="40"/>
        <v>0.31365298950136589</v>
      </c>
      <c r="BN34">
        <f t="shared" si="41"/>
        <v>0.68634701049863411</v>
      </c>
      <c r="BO34">
        <v>5498</v>
      </c>
      <c r="BP34">
        <v>290.00000000000011</v>
      </c>
      <c r="BQ34">
        <v>804.79</v>
      </c>
      <c r="BR34">
        <v>185</v>
      </c>
      <c r="BS34">
        <v>10476.6</v>
      </c>
      <c r="BT34">
        <v>805.37</v>
      </c>
      <c r="BU34">
        <v>-0.57999999999999996</v>
      </c>
      <c r="BV34">
        <v>300.00000000000011</v>
      </c>
      <c r="BW34">
        <v>38.299999999999997</v>
      </c>
      <c r="BX34">
        <v>836.71749325947587</v>
      </c>
      <c r="BY34">
        <v>1.133691484549725</v>
      </c>
      <c r="BZ34">
        <v>-32.838927895735011</v>
      </c>
      <c r="CA34">
        <v>0.97186126048072063</v>
      </c>
      <c r="CB34">
        <v>0.9760631741203124</v>
      </c>
      <c r="CC34">
        <v>-1.136802157953281E-2</v>
      </c>
      <c r="CD34">
        <v>289.99999999999989</v>
      </c>
      <c r="CE34">
        <v>801.84</v>
      </c>
      <c r="CF34">
        <v>645</v>
      </c>
      <c r="CG34">
        <v>10447.5</v>
      </c>
      <c r="CH34">
        <v>805.29</v>
      </c>
      <c r="CI34">
        <v>-3.45</v>
      </c>
      <c r="CW34">
        <f t="shared" si="42"/>
        <v>1800.13</v>
      </c>
      <c r="CX34">
        <f t="shared" si="43"/>
        <v>1513.294200329143</v>
      </c>
      <c r="CY34">
        <f t="shared" si="44"/>
        <v>0.84065828597331471</v>
      </c>
      <c r="CZ34">
        <f t="shared" si="45"/>
        <v>0.1913165719466294</v>
      </c>
      <c r="DA34">
        <v>6</v>
      </c>
      <c r="DB34">
        <v>0.5</v>
      </c>
      <c r="DC34" t="s">
        <v>419</v>
      </c>
      <c r="DD34">
        <v>2</v>
      </c>
      <c r="DE34">
        <v>1693325251.5</v>
      </c>
      <c r="DF34">
        <v>103.33799999999999</v>
      </c>
      <c r="DG34">
        <v>119.913</v>
      </c>
      <c r="DH34">
        <v>29.1219</v>
      </c>
      <c r="DI34">
        <v>23.8401</v>
      </c>
      <c r="DJ34">
        <v>104.676</v>
      </c>
      <c r="DK34">
        <v>28.6435</v>
      </c>
      <c r="DL34">
        <v>500.209</v>
      </c>
      <c r="DM34">
        <v>99.032799999999995</v>
      </c>
      <c r="DN34">
        <v>9.9550799999999995E-2</v>
      </c>
      <c r="DO34">
        <v>30.572800000000001</v>
      </c>
      <c r="DP34">
        <v>30.011399999999998</v>
      </c>
      <c r="DQ34">
        <v>999.9</v>
      </c>
      <c r="DR34">
        <v>0</v>
      </c>
      <c r="DS34">
        <v>0</v>
      </c>
      <c r="DT34">
        <v>10035</v>
      </c>
      <c r="DU34">
        <v>0</v>
      </c>
      <c r="DV34">
        <v>246.88200000000001</v>
      </c>
      <c r="DW34">
        <v>-16.5745</v>
      </c>
      <c r="DX34">
        <v>106.438</v>
      </c>
      <c r="DY34">
        <v>122.84099999999999</v>
      </c>
      <c r="DZ34">
        <v>5.2818199999999997</v>
      </c>
      <c r="EA34">
        <v>119.913</v>
      </c>
      <c r="EB34">
        <v>23.8401</v>
      </c>
      <c r="EC34">
        <v>2.88402</v>
      </c>
      <c r="ED34">
        <v>2.3609499999999999</v>
      </c>
      <c r="EE34">
        <v>23.373100000000001</v>
      </c>
      <c r="EF34">
        <v>20.098400000000002</v>
      </c>
      <c r="EG34">
        <v>1800.13</v>
      </c>
      <c r="EH34">
        <v>0.97799599999999998</v>
      </c>
      <c r="EI34">
        <v>2.2004300000000001E-2</v>
      </c>
      <c r="EJ34">
        <v>0</v>
      </c>
      <c r="EK34">
        <v>712.65300000000002</v>
      </c>
      <c r="EL34">
        <v>4.9995000000000003</v>
      </c>
      <c r="EM34">
        <v>13699.2</v>
      </c>
      <c r="EN34">
        <v>16661</v>
      </c>
      <c r="EO34">
        <v>47.561999999999998</v>
      </c>
      <c r="EP34">
        <v>48.561999999999998</v>
      </c>
      <c r="EQ34">
        <v>48.436999999999998</v>
      </c>
      <c r="ER34">
        <v>47.436999999999998</v>
      </c>
      <c r="ES34">
        <v>48.811999999999998</v>
      </c>
      <c r="ET34">
        <v>1755.63</v>
      </c>
      <c r="EU34">
        <v>39.5</v>
      </c>
      <c r="EV34">
        <v>0</v>
      </c>
      <c r="EW34">
        <v>97.799999952316284</v>
      </c>
      <c r="EX34">
        <v>0</v>
      </c>
      <c r="EY34">
        <v>713.22453846153849</v>
      </c>
      <c r="EZ34">
        <v>-3.9832478626910182</v>
      </c>
      <c r="FA34">
        <v>-64.03418808194256</v>
      </c>
      <c r="FB34">
        <v>13706.369230769231</v>
      </c>
      <c r="FC34">
        <v>15</v>
      </c>
      <c r="FD34">
        <v>1693325221.5</v>
      </c>
      <c r="FE34" t="s">
        <v>511</v>
      </c>
      <c r="FF34">
        <v>1693325212</v>
      </c>
      <c r="FG34">
        <v>1693325221.5</v>
      </c>
      <c r="FH34">
        <v>21</v>
      </c>
      <c r="FI34">
        <v>-7.0999999999999994E-2</v>
      </c>
      <c r="FJ34">
        <v>-3.0000000000000001E-3</v>
      </c>
      <c r="FK34">
        <v>-1.375</v>
      </c>
      <c r="FL34">
        <v>0.23799999999999999</v>
      </c>
      <c r="FM34">
        <v>120</v>
      </c>
      <c r="FN34">
        <v>24</v>
      </c>
      <c r="FO34">
        <v>0.28000000000000003</v>
      </c>
      <c r="FP34">
        <v>0.04</v>
      </c>
      <c r="FQ34">
        <v>13.33727798340783</v>
      </c>
      <c r="FR34">
        <v>0.27449326141036101</v>
      </c>
      <c r="FS34">
        <v>5.4410937750067633E-2</v>
      </c>
      <c r="FT34">
        <v>1</v>
      </c>
      <c r="FU34">
        <v>0.3343641840679985</v>
      </c>
      <c r="FV34">
        <v>2.5509108086594099E-2</v>
      </c>
      <c r="FW34">
        <v>2.3513546501450328E-3</v>
      </c>
      <c r="FX34">
        <v>1</v>
      </c>
      <c r="FY34">
        <v>2</v>
      </c>
      <c r="FZ34">
        <v>2</v>
      </c>
      <c r="GA34" t="s">
        <v>421</v>
      </c>
      <c r="GB34">
        <v>2.9717600000000002</v>
      </c>
      <c r="GC34">
        <v>2.8115600000000001</v>
      </c>
      <c r="GD34">
        <v>2.9881100000000001E-2</v>
      </c>
      <c r="GE34">
        <v>3.3626400000000001E-2</v>
      </c>
      <c r="GF34">
        <v>0.13628299999999999</v>
      </c>
      <c r="GG34">
        <v>0.118189</v>
      </c>
      <c r="GH34">
        <v>28692.5</v>
      </c>
      <c r="GI34">
        <v>26429.4</v>
      </c>
      <c r="GJ34">
        <v>26578.1</v>
      </c>
      <c r="GK34">
        <v>25796.5</v>
      </c>
      <c r="GL34">
        <v>31223.4</v>
      </c>
      <c r="GM34">
        <v>32047.5</v>
      </c>
      <c r="GN34">
        <v>37644.9</v>
      </c>
      <c r="GO34">
        <v>38178.199999999997</v>
      </c>
      <c r="GP34">
        <v>1.9882</v>
      </c>
      <c r="GQ34">
        <v>2.0240999999999998</v>
      </c>
      <c r="GR34">
        <v>6.36578E-2</v>
      </c>
      <c r="GS34">
        <v>0</v>
      </c>
      <c r="GT34">
        <v>28.974599999999999</v>
      </c>
      <c r="GU34">
        <v>999.9</v>
      </c>
      <c r="GV34">
        <v>58.4</v>
      </c>
      <c r="GW34">
        <v>33</v>
      </c>
      <c r="GX34">
        <v>29.7925</v>
      </c>
      <c r="GY34">
        <v>61.643500000000003</v>
      </c>
      <c r="GZ34">
        <v>13.349399999999999</v>
      </c>
      <c r="HA34">
        <v>1</v>
      </c>
      <c r="HB34">
        <v>0.210366</v>
      </c>
      <c r="HC34">
        <v>1.1390899999999999</v>
      </c>
      <c r="HD34">
        <v>20.2517</v>
      </c>
      <c r="HE34">
        <v>5.2077099999999996</v>
      </c>
      <c r="HF34">
        <v>11.9321</v>
      </c>
      <c r="HG34">
        <v>4.9884000000000004</v>
      </c>
      <c r="HH34">
        <v>3.2909999999999999</v>
      </c>
      <c r="HI34">
        <v>9999</v>
      </c>
      <c r="HJ34">
        <v>9999</v>
      </c>
      <c r="HK34">
        <v>9999</v>
      </c>
      <c r="HL34">
        <v>999.9</v>
      </c>
      <c r="HM34">
        <v>1.8706499999999999</v>
      </c>
      <c r="HN34">
        <v>1.87686</v>
      </c>
      <c r="HO34">
        <v>1.8746400000000001</v>
      </c>
      <c r="HP34">
        <v>1.87286</v>
      </c>
      <c r="HQ34">
        <v>1.8733299999999999</v>
      </c>
      <c r="HR34">
        <v>1.87077</v>
      </c>
      <c r="HS34">
        <v>1.8766799999999999</v>
      </c>
      <c r="HT34">
        <v>1.8757600000000001</v>
      </c>
      <c r="HU34">
        <v>5</v>
      </c>
      <c r="HV34">
        <v>0</v>
      </c>
      <c r="HW34">
        <v>0</v>
      </c>
      <c r="HX34">
        <v>0</v>
      </c>
      <c r="HY34" t="s">
        <v>422</v>
      </c>
      <c r="HZ34" t="s">
        <v>423</v>
      </c>
      <c r="IA34" t="s">
        <v>424</v>
      </c>
      <c r="IB34" t="s">
        <v>424</v>
      </c>
      <c r="IC34" t="s">
        <v>424</v>
      </c>
      <c r="ID34" t="s">
        <v>424</v>
      </c>
      <c r="IE34">
        <v>0</v>
      </c>
      <c r="IF34">
        <v>100</v>
      </c>
      <c r="IG34">
        <v>100</v>
      </c>
      <c r="IH34">
        <v>-1.3380000000000001</v>
      </c>
      <c r="II34">
        <v>0.47839999999999999</v>
      </c>
      <c r="IJ34">
        <v>-1.0777230785395999</v>
      </c>
      <c r="IK34">
        <v>-2.677719669153116E-3</v>
      </c>
      <c r="IL34">
        <v>1.9353498771248068E-6</v>
      </c>
      <c r="IM34">
        <v>-6.1862177325538213E-10</v>
      </c>
      <c r="IN34">
        <v>-0.16662271027995501</v>
      </c>
      <c r="IO34">
        <v>-1.5299015507423901E-2</v>
      </c>
      <c r="IP34">
        <v>1.742162107778985E-3</v>
      </c>
      <c r="IQ34">
        <v>-1.472690239905804E-5</v>
      </c>
      <c r="IR34">
        <v>3</v>
      </c>
      <c r="IS34">
        <v>2255</v>
      </c>
      <c r="IT34">
        <v>2</v>
      </c>
      <c r="IU34">
        <v>41</v>
      </c>
      <c r="IV34">
        <v>0.7</v>
      </c>
      <c r="IW34">
        <v>0.5</v>
      </c>
      <c r="IX34">
        <v>0.39917000000000002</v>
      </c>
      <c r="IY34">
        <v>2.5097700000000001</v>
      </c>
      <c r="IZ34">
        <v>1.5991200000000001</v>
      </c>
      <c r="JA34">
        <v>2.2802699999999998</v>
      </c>
      <c r="JB34">
        <v>1.5502899999999999</v>
      </c>
      <c r="JC34">
        <v>2.3791500000000001</v>
      </c>
      <c r="JD34">
        <v>38.821100000000001</v>
      </c>
      <c r="JE34">
        <v>23.816099999999999</v>
      </c>
      <c r="JF34">
        <v>18</v>
      </c>
      <c r="JG34">
        <v>507.70400000000001</v>
      </c>
      <c r="JH34">
        <v>499.80099999999999</v>
      </c>
      <c r="JI34">
        <v>27.376300000000001</v>
      </c>
      <c r="JJ34">
        <v>30.174700000000001</v>
      </c>
      <c r="JK34">
        <v>30.000299999999999</v>
      </c>
      <c r="JL34">
        <v>30.2105</v>
      </c>
      <c r="JM34">
        <v>30.186800000000002</v>
      </c>
      <c r="JN34">
        <v>8.0261600000000008</v>
      </c>
      <c r="JO34">
        <v>28.827999999999999</v>
      </c>
      <c r="JP34">
        <v>99.626400000000004</v>
      </c>
      <c r="JQ34">
        <v>27.383600000000001</v>
      </c>
      <c r="JR34">
        <v>120</v>
      </c>
      <c r="JS34">
        <v>23.768899999999999</v>
      </c>
      <c r="JT34">
        <v>99.262799999999999</v>
      </c>
      <c r="JU34">
        <v>99.162700000000001</v>
      </c>
    </row>
    <row r="35" spans="1:281" x14ac:dyDescent="0.25">
      <c r="A35">
        <v>19</v>
      </c>
      <c r="B35">
        <v>1693325356.5</v>
      </c>
      <c r="C35">
        <v>3059.400000095367</v>
      </c>
      <c r="D35" t="s">
        <v>512</v>
      </c>
      <c r="E35" t="s">
        <v>513</v>
      </c>
      <c r="F35" t="s">
        <v>413</v>
      </c>
      <c r="G35" t="s">
        <v>493</v>
      </c>
      <c r="H35" t="s">
        <v>415</v>
      </c>
      <c r="I35" t="s">
        <v>415</v>
      </c>
      <c r="J35">
        <v>1693325356.5</v>
      </c>
      <c r="K35">
        <f t="shared" si="0"/>
        <v>4.9318870229396036E-3</v>
      </c>
      <c r="L35">
        <f t="shared" si="1"/>
        <v>4.9318870229396037</v>
      </c>
      <c r="M35">
        <f t="shared" si="2"/>
        <v>8.2218868336013404</v>
      </c>
      <c r="N35">
        <f t="shared" si="3"/>
        <v>59.851100000000002</v>
      </c>
      <c r="O35">
        <f t="shared" si="4"/>
        <v>20.786870989428245</v>
      </c>
      <c r="P35">
        <f t="shared" si="5"/>
        <v>2.0605883902671236</v>
      </c>
      <c r="Q35">
        <f t="shared" si="6"/>
        <v>5.9329988562222207</v>
      </c>
      <c r="R35">
        <f t="shared" si="7"/>
        <v>0.36534210757773561</v>
      </c>
      <c r="S35">
        <f t="shared" si="8"/>
        <v>2.9185854089573398</v>
      </c>
      <c r="T35">
        <f t="shared" si="9"/>
        <v>0.34170413833515623</v>
      </c>
      <c r="U35">
        <f t="shared" si="10"/>
        <v>0.21556128786419795</v>
      </c>
      <c r="V35">
        <f t="shared" si="11"/>
        <v>344.33010065841034</v>
      </c>
      <c r="W35">
        <f t="shared" si="12"/>
        <v>31.323113316881393</v>
      </c>
      <c r="X35">
        <f t="shared" si="13"/>
        <v>30.007899999999999</v>
      </c>
      <c r="Y35">
        <f t="shared" si="14"/>
        <v>4.262383416999719</v>
      </c>
      <c r="Z35">
        <f t="shared" si="15"/>
        <v>65.481758866516444</v>
      </c>
      <c r="AA35">
        <f t="shared" si="16"/>
        <v>2.8831961038810405</v>
      </c>
      <c r="AB35">
        <f t="shared" si="17"/>
        <v>4.4030523214234236</v>
      </c>
      <c r="AC35">
        <f t="shared" si="18"/>
        <v>1.3791873131186785</v>
      </c>
      <c r="AD35">
        <f t="shared" si="19"/>
        <v>-217.49621771163652</v>
      </c>
      <c r="AE35">
        <f t="shared" si="20"/>
        <v>89.136948925606845</v>
      </c>
      <c r="AF35">
        <f t="shared" si="21"/>
        <v>6.8104554702562323</v>
      </c>
      <c r="AG35">
        <f t="shared" si="22"/>
        <v>222.78128734263689</v>
      </c>
      <c r="AH35">
        <v>0</v>
      </c>
      <c r="AI35">
        <v>0</v>
      </c>
      <c r="AJ35">
        <f t="shared" si="23"/>
        <v>1</v>
      </c>
      <c r="AK35">
        <f t="shared" si="24"/>
        <v>0</v>
      </c>
      <c r="AL35">
        <f t="shared" si="25"/>
        <v>51921.174417059498</v>
      </c>
      <c r="AM35" t="s">
        <v>416</v>
      </c>
      <c r="AN35">
        <v>10238.9</v>
      </c>
      <c r="AO35">
        <v>302.21199999999999</v>
      </c>
      <c r="AP35">
        <v>4052.3</v>
      </c>
      <c r="AQ35">
        <f t="shared" si="26"/>
        <v>0.92542210596451402</v>
      </c>
      <c r="AR35">
        <v>-0.32343011824092421</v>
      </c>
      <c r="AS35" t="s">
        <v>514</v>
      </c>
      <c r="AT35">
        <v>10486.9</v>
      </c>
      <c r="AU35">
        <v>719.29867999999988</v>
      </c>
      <c r="AV35">
        <v>799.30737334104231</v>
      </c>
      <c r="AW35">
        <f t="shared" si="27"/>
        <v>0.1000975294480424</v>
      </c>
      <c r="AX35">
        <v>0.5</v>
      </c>
      <c r="AY35">
        <f t="shared" si="28"/>
        <v>1513.0086003292051</v>
      </c>
      <c r="AZ35">
        <f t="shared" si="29"/>
        <v>8.2218868336013404</v>
      </c>
      <c r="BA35">
        <f t="shared" si="30"/>
        <v>75.72421146329701</v>
      </c>
      <c r="BB35">
        <f t="shared" si="31"/>
        <v>5.6478971434682848E-3</v>
      </c>
      <c r="BC35">
        <f t="shared" si="32"/>
        <v>4.0697643174010807</v>
      </c>
      <c r="BD35">
        <f t="shared" si="33"/>
        <v>231.84399646156947</v>
      </c>
      <c r="BE35" t="s">
        <v>515</v>
      </c>
      <c r="BF35">
        <v>544.30999999999995</v>
      </c>
      <c r="BG35">
        <f t="shared" si="34"/>
        <v>544.30999999999995</v>
      </c>
      <c r="BH35">
        <f t="shared" si="35"/>
        <v>0.31902292140152955</v>
      </c>
      <c r="BI35">
        <f t="shared" si="36"/>
        <v>0.31376281368214731</v>
      </c>
      <c r="BJ35">
        <f t="shared" si="37"/>
        <v>0.92730954953091582</v>
      </c>
      <c r="BK35">
        <f t="shared" si="38"/>
        <v>0.16095239994549468</v>
      </c>
      <c r="BL35">
        <f t="shared" si="39"/>
        <v>0.86744434441510643</v>
      </c>
      <c r="BM35">
        <f t="shared" si="40"/>
        <v>0.23743160089676463</v>
      </c>
      <c r="BN35">
        <f t="shared" si="41"/>
        <v>0.76256839910323537</v>
      </c>
      <c r="BO35">
        <v>5500</v>
      </c>
      <c r="BP35">
        <v>290.00000000000011</v>
      </c>
      <c r="BQ35">
        <v>780.17</v>
      </c>
      <c r="BR35">
        <v>135</v>
      </c>
      <c r="BS35">
        <v>10486.9</v>
      </c>
      <c r="BT35">
        <v>779.15</v>
      </c>
      <c r="BU35">
        <v>1.02</v>
      </c>
      <c r="BV35">
        <v>300.00000000000011</v>
      </c>
      <c r="BW35">
        <v>38.299999999999997</v>
      </c>
      <c r="BX35">
        <v>799.30737334104231</v>
      </c>
      <c r="BY35">
        <v>0.90229908614664533</v>
      </c>
      <c r="BZ35">
        <v>-21.139244109297021</v>
      </c>
      <c r="CA35">
        <v>0.77345719345360131</v>
      </c>
      <c r="CB35">
        <v>0.96386982429690171</v>
      </c>
      <c r="CC35">
        <v>-1.136731390433816E-2</v>
      </c>
      <c r="CD35">
        <v>289.99999999999989</v>
      </c>
      <c r="CE35">
        <v>777.5</v>
      </c>
      <c r="CF35">
        <v>635</v>
      </c>
      <c r="CG35">
        <v>10448</v>
      </c>
      <c r="CH35">
        <v>779.07</v>
      </c>
      <c r="CI35">
        <v>-1.57</v>
      </c>
      <c r="CW35">
        <f t="shared" si="42"/>
        <v>1799.79</v>
      </c>
      <c r="CX35">
        <f t="shared" si="43"/>
        <v>1513.0086003292051</v>
      </c>
      <c r="CY35">
        <f t="shared" si="44"/>
        <v>0.84065841033076372</v>
      </c>
      <c r="CZ35">
        <f t="shared" si="45"/>
        <v>0.19131682066152736</v>
      </c>
      <c r="DA35">
        <v>6</v>
      </c>
      <c r="DB35">
        <v>0.5</v>
      </c>
      <c r="DC35" t="s">
        <v>419</v>
      </c>
      <c r="DD35">
        <v>2</v>
      </c>
      <c r="DE35">
        <v>1693325356.5</v>
      </c>
      <c r="DF35">
        <v>59.851100000000002</v>
      </c>
      <c r="DG35">
        <v>70.066900000000004</v>
      </c>
      <c r="DH35">
        <v>29.0852</v>
      </c>
      <c r="DI35">
        <v>23.341699999999999</v>
      </c>
      <c r="DJ35">
        <v>61.117199999999997</v>
      </c>
      <c r="DK35">
        <v>28.6111</v>
      </c>
      <c r="DL35">
        <v>500.22899999999998</v>
      </c>
      <c r="DM35">
        <v>99.029700000000005</v>
      </c>
      <c r="DN35">
        <v>9.9620200000000006E-2</v>
      </c>
      <c r="DO35">
        <v>30.574400000000001</v>
      </c>
      <c r="DP35">
        <v>30.007899999999999</v>
      </c>
      <c r="DQ35">
        <v>999.9</v>
      </c>
      <c r="DR35">
        <v>0</v>
      </c>
      <c r="DS35">
        <v>0</v>
      </c>
      <c r="DT35">
        <v>10035</v>
      </c>
      <c r="DU35">
        <v>0</v>
      </c>
      <c r="DV35">
        <v>247.72399999999999</v>
      </c>
      <c r="DW35">
        <v>-10.2158</v>
      </c>
      <c r="DX35">
        <v>61.643999999999998</v>
      </c>
      <c r="DY35">
        <v>71.741399999999999</v>
      </c>
      <c r="DZ35">
        <v>5.7434399999999997</v>
      </c>
      <c r="EA35">
        <v>70.066900000000004</v>
      </c>
      <c r="EB35">
        <v>23.341699999999999</v>
      </c>
      <c r="EC35">
        <v>2.8803000000000001</v>
      </c>
      <c r="ED35">
        <v>2.3115199999999998</v>
      </c>
      <c r="EE35">
        <v>23.351600000000001</v>
      </c>
      <c r="EF35">
        <v>19.756900000000002</v>
      </c>
      <c r="EG35">
        <v>1799.79</v>
      </c>
      <c r="EH35">
        <v>0.97799199999999997</v>
      </c>
      <c r="EI35">
        <v>2.2007800000000001E-2</v>
      </c>
      <c r="EJ35">
        <v>0</v>
      </c>
      <c r="EK35">
        <v>718.90300000000002</v>
      </c>
      <c r="EL35">
        <v>4.9995000000000003</v>
      </c>
      <c r="EM35">
        <v>13809.6</v>
      </c>
      <c r="EN35">
        <v>16657.8</v>
      </c>
      <c r="EO35">
        <v>47.625</v>
      </c>
      <c r="EP35">
        <v>48.686999999999998</v>
      </c>
      <c r="EQ35">
        <v>48.5</v>
      </c>
      <c r="ER35">
        <v>47.5</v>
      </c>
      <c r="ES35">
        <v>48.875</v>
      </c>
      <c r="ET35">
        <v>1755.29</v>
      </c>
      <c r="EU35">
        <v>39.5</v>
      </c>
      <c r="EV35">
        <v>0</v>
      </c>
      <c r="EW35">
        <v>103.19999980926509</v>
      </c>
      <c r="EX35">
        <v>0</v>
      </c>
      <c r="EY35">
        <v>719.29867999999988</v>
      </c>
      <c r="EZ35">
        <v>-3.0679230798198982</v>
      </c>
      <c r="FA35">
        <v>-48.069230826295623</v>
      </c>
      <c r="FB35">
        <v>13817.248</v>
      </c>
      <c r="FC35">
        <v>15</v>
      </c>
      <c r="FD35">
        <v>1693325328</v>
      </c>
      <c r="FE35" t="s">
        <v>516</v>
      </c>
      <c r="FF35">
        <v>1693325328</v>
      </c>
      <c r="FG35">
        <v>1693325326</v>
      </c>
      <c r="FH35">
        <v>22</v>
      </c>
      <c r="FI35">
        <v>-3.2000000000000001E-2</v>
      </c>
      <c r="FJ35">
        <v>-3.0000000000000001E-3</v>
      </c>
      <c r="FK35">
        <v>-1.2909999999999999</v>
      </c>
      <c r="FL35">
        <v>0.223</v>
      </c>
      <c r="FM35">
        <v>70</v>
      </c>
      <c r="FN35">
        <v>23</v>
      </c>
      <c r="FO35">
        <v>0.3</v>
      </c>
      <c r="FP35">
        <v>0.04</v>
      </c>
      <c r="FQ35">
        <v>8.1853727322089505</v>
      </c>
      <c r="FR35">
        <v>0.20304172114197969</v>
      </c>
      <c r="FS35">
        <v>4.9460063716317962E-2</v>
      </c>
      <c r="FT35">
        <v>1</v>
      </c>
      <c r="FU35">
        <v>0.36655309246656131</v>
      </c>
      <c r="FV35">
        <v>2.7248550208222529E-2</v>
      </c>
      <c r="FW35">
        <v>4.3382775248165329E-3</v>
      </c>
      <c r="FX35">
        <v>1</v>
      </c>
      <c r="FY35">
        <v>2</v>
      </c>
      <c r="FZ35">
        <v>2</v>
      </c>
      <c r="GA35" t="s">
        <v>421</v>
      </c>
      <c r="GB35">
        <v>2.9717699999999998</v>
      </c>
      <c r="GC35">
        <v>2.81162</v>
      </c>
      <c r="GD35">
        <v>1.7680499999999998E-2</v>
      </c>
      <c r="GE35">
        <v>1.9981599999999999E-2</v>
      </c>
      <c r="GF35">
        <v>0.13616600000000001</v>
      </c>
      <c r="GG35">
        <v>0.116451</v>
      </c>
      <c r="GH35">
        <v>29052.9</v>
      </c>
      <c r="GI35">
        <v>26801.7</v>
      </c>
      <c r="GJ35">
        <v>26577.9</v>
      </c>
      <c r="GK35">
        <v>25795.7</v>
      </c>
      <c r="GL35">
        <v>31226.6</v>
      </c>
      <c r="GM35">
        <v>32108.2</v>
      </c>
      <c r="GN35">
        <v>37644.400000000001</v>
      </c>
      <c r="GO35">
        <v>38176.300000000003</v>
      </c>
      <c r="GP35">
        <v>1.9883</v>
      </c>
      <c r="GQ35">
        <v>2.0219999999999998</v>
      </c>
      <c r="GR35">
        <v>6.5058500000000005E-2</v>
      </c>
      <c r="GS35">
        <v>0</v>
      </c>
      <c r="GT35">
        <v>28.9483</v>
      </c>
      <c r="GU35">
        <v>999.9</v>
      </c>
      <c r="GV35">
        <v>58.3</v>
      </c>
      <c r="GW35">
        <v>33.1</v>
      </c>
      <c r="GX35">
        <v>29.907800000000002</v>
      </c>
      <c r="GY35">
        <v>61.343499999999999</v>
      </c>
      <c r="GZ35">
        <v>13.0649</v>
      </c>
      <c r="HA35">
        <v>1</v>
      </c>
      <c r="HB35">
        <v>0.21162600000000001</v>
      </c>
      <c r="HC35">
        <v>0.794597</v>
      </c>
      <c r="HD35">
        <v>20.253900000000002</v>
      </c>
      <c r="HE35">
        <v>5.2112999999999996</v>
      </c>
      <c r="HF35">
        <v>11.9321</v>
      </c>
      <c r="HG35">
        <v>4.9880000000000004</v>
      </c>
      <c r="HH35">
        <v>3.2909999999999999</v>
      </c>
      <c r="HI35">
        <v>9999</v>
      </c>
      <c r="HJ35">
        <v>9999</v>
      </c>
      <c r="HK35">
        <v>9999</v>
      </c>
      <c r="HL35">
        <v>999.9</v>
      </c>
      <c r="HM35">
        <v>1.8707</v>
      </c>
      <c r="HN35">
        <v>1.8769100000000001</v>
      </c>
      <c r="HO35">
        <v>1.87469</v>
      </c>
      <c r="HP35">
        <v>1.8728800000000001</v>
      </c>
      <c r="HQ35">
        <v>1.87337</v>
      </c>
      <c r="HR35">
        <v>1.8708199999999999</v>
      </c>
      <c r="HS35">
        <v>1.8767</v>
      </c>
      <c r="HT35">
        <v>1.8757600000000001</v>
      </c>
      <c r="HU35">
        <v>5</v>
      </c>
      <c r="HV35">
        <v>0</v>
      </c>
      <c r="HW35">
        <v>0</v>
      </c>
      <c r="HX35">
        <v>0</v>
      </c>
      <c r="HY35" t="s">
        <v>422</v>
      </c>
      <c r="HZ35" t="s">
        <v>423</v>
      </c>
      <c r="IA35" t="s">
        <v>424</v>
      </c>
      <c r="IB35" t="s">
        <v>424</v>
      </c>
      <c r="IC35" t="s">
        <v>424</v>
      </c>
      <c r="ID35" t="s">
        <v>424</v>
      </c>
      <c r="IE35">
        <v>0</v>
      </c>
      <c r="IF35">
        <v>100</v>
      </c>
      <c r="IG35">
        <v>100</v>
      </c>
      <c r="IH35">
        <v>-1.266</v>
      </c>
      <c r="II35">
        <v>0.47410000000000002</v>
      </c>
      <c r="IJ35">
        <v>-1.1095538854425531</v>
      </c>
      <c r="IK35">
        <v>-2.677719669153116E-3</v>
      </c>
      <c r="IL35">
        <v>1.9353498771248068E-6</v>
      </c>
      <c r="IM35">
        <v>-6.1862177325538213E-10</v>
      </c>
      <c r="IN35">
        <v>-0.1693901597875728</v>
      </c>
      <c r="IO35">
        <v>-1.5299015507423901E-2</v>
      </c>
      <c r="IP35">
        <v>1.742162107778985E-3</v>
      </c>
      <c r="IQ35">
        <v>-1.472690239905804E-5</v>
      </c>
      <c r="IR35">
        <v>3</v>
      </c>
      <c r="IS35">
        <v>2255</v>
      </c>
      <c r="IT35">
        <v>2</v>
      </c>
      <c r="IU35">
        <v>41</v>
      </c>
      <c r="IV35">
        <v>0.5</v>
      </c>
      <c r="IW35">
        <v>0.5</v>
      </c>
      <c r="IX35">
        <v>0.29541000000000001</v>
      </c>
      <c r="IY35">
        <v>2.52441</v>
      </c>
      <c r="IZ35">
        <v>1.5991200000000001</v>
      </c>
      <c r="JA35">
        <v>2.2802699999999998</v>
      </c>
      <c r="JB35">
        <v>1.5502899999999999</v>
      </c>
      <c r="JC35">
        <v>2.4072300000000002</v>
      </c>
      <c r="JD35">
        <v>38.944499999999998</v>
      </c>
      <c r="JE35">
        <v>23.807300000000001</v>
      </c>
      <c r="JF35">
        <v>18</v>
      </c>
      <c r="JG35">
        <v>507.899</v>
      </c>
      <c r="JH35">
        <v>498.53100000000001</v>
      </c>
      <c r="JI35">
        <v>27.632000000000001</v>
      </c>
      <c r="JJ35">
        <v>30.1967</v>
      </c>
      <c r="JK35">
        <v>30</v>
      </c>
      <c r="JL35">
        <v>30.226199999999999</v>
      </c>
      <c r="JM35">
        <v>30.1997</v>
      </c>
      <c r="JN35">
        <v>5.9601800000000003</v>
      </c>
      <c r="JO35">
        <v>30.709499999999998</v>
      </c>
      <c r="JP35">
        <v>99.624300000000005</v>
      </c>
      <c r="JQ35">
        <v>27.634399999999999</v>
      </c>
      <c r="JR35">
        <v>70</v>
      </c>
      <c r="JS35">
        <v>23.2441</v>
      </c>
      <c r="JT35">
        <v>99.261700000000005</v>
      </c>
      <c r="JU35">
        <v>99.158799999999999</v>
      </c>
    </row>
    <row r="36" spans="1:281" x14ac:dyDescent="0.25">
      <c r="A36">
        <v>20</v>
      </c>
      <c r="B36">
        <v>1693325458.0999999</v>
      </c>
      <c r="C36">
        <v>3161</v>
      </c>
      <c r="D36" t="s">
        <v>517</v>
      </c>
      <c r="E36" t="s">
        <v>518</v>
      </c>
      <c r="F36" t="s">
        <v>413</v>
      </c>
      <c r="G36" t="s">
        <v>493</v>
      </c>
      <c r="H36" t="s">
        <v>415</v>
      </c>
      <c r="I36" t="s">
        <v>415</v>
      </c>
      <c r="J36">
        <v>1693325458.0999999</v>
      </c>
      <c r="K36">
        <f t="shared" si="0"/>
        <v>5.1579176739062959E-3</v>
      </c>
      <c r="L36">
        <f t="shared" si="1"/>
        <v>5.1579176739062955</v>
      </c>
      <c r="M36">
        <f t="shared" si="2"/>
        <v>3.7599052403878392</v>
      </c>
      <c r="N36">
        <f t="shared" si="3"/>
        <v>25.386700000000001</v>
      </c>
      <c r="O36">
        <f t="shared" si="4"/>
        <v>8.4439422339195822</v>
      </c>
      <c r="P36">
        <f t="shared" si="5"/>
        <v>0.83703070805430102</v>
      </c>
      <c r="Q36">
        <f t="shared" si="6"/>
        <v>2.5165316018864301</v>
      </c>
      <c r="R36">
        <f t="shared" si="7"/>
        <v>0.38612445171536997</v>
      </c>
      <c r="S36">
        <f t="shared" si="8"/>
        <v>2.910694653716253</v>
      </c>
      <c r="T36">
        <f t="shared" si="9"/>
        <v>0.3597584421641698</v>
      </c>
      <c r="U36">
        <f t="shared" si="10"/>
        <v>0.22706770215642508</v>
      </c>
      <c r="V36">
        <f t="shared" si="11"/>
        <v>344.38520065830426</v>
      </c>
      <c r="W36">
        <f t="shared" si="12"/>
        <v>31.265834585955663</v>
      </c>
      <c r="X36">
        <f t="shared" si="13"/>
        <v>29.981200000000001</v>
      </c>
      <c r="Y36">
        <f t="shared" si="14"/>
        <v>4.255851261917031</v>
      </c>
      <c r="Z36">
        <f t="shared" si="15"/>
        <v>65.543516423337692</v>
      </c>
      <c r="AA36">
        <f t="shared" si="16"/>
        <v>2.8858327904153804</v>
      </c>
      <c r="AB36">
        <f t="shared" si="17"/>
        <v>4.4029264035455977</v>
      </c>
      <c r="AC36">
        <f t="shared" si="18"/>
        <v>1.3700184715016506</v>
      </c>
      <c r="AD36">
        <f t="shared" si="19"/>
        <v>-227.46416941926765</v>
      </c>
      <c r="AE36">
        <f t="shared" si="20"/>
        <v>93.007296100440527</v>
      </c>
      <c r="AF36">
        <f t="shared" si="21"/>
        <v>7.1244736106891304</v>
      </c>
      <c r="AG36">
        <f t="shared" si="22"/>
        <v>217.05280095016624</v>
      </c>
      <c r="AH36">
        <v>0</v>
      </c>
      <c r="AI36">
        <v>0</v>
      </c>
      <c r="AJ36">
        <f t="shared" si="23"/>
        <v>1</v>
      </c>
      <c r="AK36">
        <f t="shared" si="24"/>
        <v>0</v>
      </c>
      <c r="AL36">
        <f t="shared" si="25"/>
        <v>51697.159555040249</v>
      </c>
      <c r="AM36" t="s">
        <v>416</v>
      </c>
      <c r="AN36">
        <v>10238.9</v>
      </c>
      <c r="AO36">
        <v>302.21199999999999</v>
      </c>
      <c r="AP36">
        <v>4052.3</v>
      </c>
      <c r="AQ36">
        <f t="shared" si="26"/>
        <v>0.92542210596451402</v>
      </c>
      <c r="AR36">
        <v>-0.32343011824092421</v>
      </c>
      <c r="AS36" t="s">
        <v>519</v>
      </c>
      <c r="AT36">
        <v>10491.4</v>
      </c>
      <c r="AU36">
        <v>727.92883999999992</v>
      </c>
      <c r="AV36">
        <v>787.39243502107627</v>
      </c>
      <c r="AW36">
        <f t="shared" si="27"/>
        <v>7.5519642272769194E-2</v>
      </c>
      <c r="AX36">
        <v>0.5</v>
      </c>
      <c r="AY36">
        <f t="shared" si="28"/>
        <v>1513.2522003291519</v>
      </c>
      <c r="AZ36">
        <f t="shared" si="29"/>
        <v>3.7599052403878392</v>
      </c>
      <c r="BA36">
        <f t="shared" si="30"/>
        <v>57.140132418669211</v>
      </c>
      <c r="BB36">
        <f t="shared" si="31"/>
        <v>2.6983838898371236E-3</v>
      </c>
      <c r="BC36">
        <f t="shared" si="32"/>
        <v>4.1464807378947341</v>
      </c>
      <c r="BD36">
        <f t="shared" si="33"/>
        <v>230.83084021089803</v>
      </c>
      <c r="BE36" t="s">
        <v>520</v>
      </c>
      <c r="BF36">
        <v>557.38</v>
      </c>
      <c r="BG36">
        <f t="shared" si="34"/>
        <v>557.38</v>
      </c>
      <c r="BH36">
        <f t="shared" si="35"/>
        <v>0.29211918325697339</v>
      </c>
      <c r="BI36">
        <f t="shared" si="36"/>
        <v>0.25852339250974687</v>
      </c>
      <c r="BJ36">
        <f t="shared" si="37"/>
        <v>0.93418663802860258</v>
      </c>
      <c r="BK36">
        <f t="shared" si="38"/>
        <v>0.12255975453439964</v>
      </c>
      <c r="BL36">
        <f t="shared" si="39"/>
        <v>0.87062158674114409</v>
      </c>
      <c r="BM36">
        <f t="shared" si="40"/>
        <v>0.19795309733446298</v>
      </c>
      <c r="BN36">
        <f t="shared" si="41"/>
        <v>0.80204690266553702</v>
      </c>
      <c r="BO36">
        <v>5502</v>
      </c>
      <c r="BP36">
        <v>290.00000000000011</v>
      </c>
      <c r="BQ36">
        <v>771.44</v>
      </c>
      <c r="BR36">
        <v>115</v>
      </c>
      <c r="BS36">
        <v>10491.4</v>
      </c>
      <c r="BT36">
        <v>770.06</v>
      </c>
      <c r="BU36">
        <v>1.38</v>
      </c>
      <c r="BV36">
        <v>300.00000000000011</v>
      </c>
      <c r="BW36">
        <v>38.299999999999997</v>
      </c>
      <c r="BX36">
        <v>787.39243502107627</v>
      </c>
      <c r="BY36">
        <v>0.91076242550106468</v>
      </c>
      <c r="BZ36">
        <v>-18.18269517493637</v>
      </c>
      <c r="CA36">
        <v>0.78068548065586751</v>
      </c>
      <c r="CB36">
        <v>0.95091643769407397</v>
      </c>
      <c r="CC36">
        <v>-1.1366843381535039E-2</v>
      </c>
      <c r="CD36">
        <v>289.99999999999989</v>
      </c>
      <c r="CE36">
        <v>767.42</v>
      </c>
      <c r="CF36">
        <v>675</v>
      </c>
      <c r="CG36">
        <v>10443.5</v>
      </c>
      <c r="CH36">
        <v>769.98</v>
      </c>
      <c r="CI36">
        <v>-2.56</v>
      </c>
      <c r="CW36">
        <f t="shared" si="42"/>
        <v>1800.08</v>
      </c>
      <c r="CX36">
        <f t="shared" si="43"/>
        <v>1513.2522003291519</v>
      </c>
      <c r="CY36">
        <f t="shared" si="44"/>
        <v>0.84065830425822852</v>
      </c>
      <c r="CZ36">
        <f t="shared" si="45"/>
        <v>0.19131660851645718</v>
      </c>
      <c r="DA36">
        <v>6</v>
      </c>
      <c r="DB36">
        <v>0.5</v>
      </c>
      <c r="DC36" t="s">
        <v>419</v>
      </c>
      <c r="DD36">
        <v>2</v>
      </c>
      <c r="DE36">
        <v>1693325458.0999999</v>
      </c>
      <c r="DF36">
        <v>25.386700000000001</v>
      </c>
      <c r="DG36">
        <v>30.0533</v>
      </c>
      <c r="DH36">
        <v>29.112200000000001</v>
      </c>
      <c r="DI36">
        <v>23.106000000000002</v>
      </c>
      <c r="DJ36">
        <v>26.706399999999999</v>
      </c>
      <c r="DK36">
        <v>28.633199999999999</v>
      </c>
      <c r="DL36">
        <v>500.25900000000001</v>
      </c>
      <c r="DM36">
        <v>99.028099999999995</v>
      </c>
      <c r="DN36">
        <v>9.9852899999999994E-2</v>
      </c>
      <c r="DO36">
        <v>30.573899999999998</v>
      </c>
      <c r="DP36">
        <v>29.981200000000001</v>
      </c>
      <c r="DQ36">
        <v>999.9</v>
      </c>
      <c r="DR36">
        <v>0</v>
      </c>
      <c r="DS36">
        <v>0</v>
      </c>
      <c r="DT36">
        <v>9990</v>
      </c>
      <c r="DU36">
        <v>0</v>
      </c>
      <c r="DV36">
        <v>250.42599999999999</v>
      </c>
      <c r="DW36">
        <v>-4.6666299999999996</v>
      </c>
      <c r="DX36">
        <v>26.1479</v>
      </c>
      <c r="DY36">
        <v>30.764199999999999</v>
      </c>
      <c r="DZ36">
        <v>6.0061999999999998</v>
      </c>
      <c r="EA36">
        <v>30.0533</v>
      </c>
      <c r="EB36">
        <v>23.106000000000002</v>
      </c>
      <c r="EC36">
        <v>2.8829199999999999</v>
      </c>
      <c r="ED36">
        <v>2.2881399999999998</v>
      </c>
      <c r="EE36">
        <v>23.366700000000002</v>
      </c>
      <c r="EF36">
        <v>19.5932</v>
      </c>
      <c r="EG36">
        <v>1800.08</v>
      </c>
      <c r="EH36">
        <v>0.97799599999999998</v>
      </c>
      <c r="EI36">
        <v>2.2004300000000001E-2</v>
      </c>
      <c r="EJ36">
        <v>0</v>
      </c>
      <c r="EK36">
        <v>727.70899999999995</v>
      </c>
      <c r="EL36">
        <v>4.9995000000000003</v>
      </c>
      <c r="EM36">
        <v>13970.1</v>
      </c>
      <c r="EN36">
        <v>16660.5</v>
      </c>
      <c r="EO36">
        <v>47.686999999999998</v>
      </c>
      <c r="EP36">
        <v>48.686999999999998</v>
      </c>
      <c r="EQ36">
        <v>48.561999999999998</v>
      </c>
      <c r="ER36">
        <v>47.561999999999998</v>
      </c>
      <c r="ES36">
        <v>48.936999999999998</v>
      </c>
      <c r="ET36">
        <v>1755.58</v>
      </c>
      <c r="EU36">
        <v>39.5</v>
      </c>
      <c r="EV36">
        <v>0</v>
      </c>
      <c r="EW36">
        <v>99.599999904632568</v>
      </c>
      <c r="EX36">
        <v>0</v>
      </c>
      <c r="EY36">
        <v>727.92883999999992</v>
      </c>
      <c r="EZ36">
        <v>-1.9584615211433241</v>
      </c>
      <c r="FA36">
        <v>-37.107692127674873</v>
      </c>
      <c r="FB36">
        <v>13972.675999999999</v>
      </c>
      <c r="FC36">
        <v>15</v>
      </c>
      <c r="FD36">
        <v>1693325429.5</v>
      </c>
      <c r="FE36" t="s">
        <v>521</v>
      </c>
      <c r="FF36">
        <v>1693325419.5</v>
      </c>
      <c r="FG36">
        <v>1693325429.5</v>
      </c>
      <c r="FH36">
        <v>23</v>
      </c>
      <c r="FI36">
        <v>-0.14000000000000001</v>
      </c>
      <c r="FJ36">
        <v>4.0000000000000001E-3</v>
      </c>
      <c r="FK36">
        <v>-1.3320000000000001</v>
      </c>
      <c r="FL36">
        <v>0.221</v>
      </c>
      <c r="FM36">
        <v>30</v>
      </c>
      <c r="FN36">
        <v>23</v>
      </c>
      <c r="FO36">
        <v>0.76</v>
      </c>
      <c r="FP36">
        <v>0.03</v>
      </c>
      <c r="FQ36">
        <v>3.6871453445867601</v>
      </c>
      <c r="FR36">
        <v>-0.1022765622320395</v>
      </c>
      <c r="FS36">
        <v>3.5055515712921557E-2</v>
      </c>
      <c r="FT36">
        <v>1</v>
      </c>
      <c r="FU36">
        <v>0.38787803793209719</v>
      </c>
      <c r="FV36">
        <v>3.9023113374955322E-2</v>
      </c>
      <c r="FW36">
        <v>3.9914907051535799E-3</v>
      </c>
      <c r="FX36">
        <v>1</v>
      </c>
      <c r="FY36">
        <v>2</v>
      </c>
      <c r="FZ36">
        <v>2</v>
      </c>
      <c r="GA36" t="s">
        <v>421</v>
      </c>
      <c r="GB36">
        <v>2.9718200000000001</v>
      </c>
      <c r="GC36">
        <v>2.8114599999999998</v>
      </c>
      <c r="GD36">
        <v>7.7630099999999999E-3</v>
      </c>
      <c r="GE36">
        <v>8.6237299999999996E-3</v>
      </c>
      <c r="GF36">
        <v>0.13622600000000001</v>
      </c>
      <c r="GG36">
        <v>0.115616</v>
      </c>
      <c r="GH36">
        <v>29344.2</v>
      </c>
      <c r="GI36">
        <v>27109.200000000001</v>
      </c>
      <c r="GJ36">
        <v>26576.3</v>
      </c>
      <c r="GK36">
        <v>25793.200000000001</v>
      </c>
      <c r="GL36">
        <v>31221.3</v>
      </c>
      <c r="GM36">
        <v>32135.3</v>
      </c>
      <c r="GN36">
        <v>37641.1</v>
      </c>
      <c r="GO36">
        <v>38173.4</v>
      </c>
      <c r="GP36">
        <v>1.9883</v>
      </c>
      <c r="GQ36">
        <v>2.0198999999999998</v>
      </c>
      <c r="GR36">
        <v>6.0737100000000002E-2</v>
      </c>
      <c r="GS36">
        <v>0</v>
      </c>
      <c r="GT36">
        <v>28.992000000000001</v>
      </c>
      <c r="GU36">
        <v>999.9</v>
      </c>
      <c r="GV36">
        <v>58.2</v>
      </c>
      <c r="GW36">
        <v>33.200000000000003</v>
      </c>
      <c r="GX36">
        <v>30.028099999999998</v>
      </c>
      <c r="GY36">
        <v>61.679000000000002</v>
      </c>
      <c r="GZ36">
        <v>13.541700000000001</v>
      </c>
      <c r="HA36">
        <v>1</v>
      </c>
      <c r="HB36">
        <v>0.215305</v>
      </c>
      <c r="HC36">
        <v>0.68209200000000003</v>
      </c>
      <c r="HD36">
        <v>20.254000000000001</v>
      </c>
      <c r="HE36">
        <v>5.2053099999999999</v>
      </c>
      <c r="HF36">
        <v>11.9321</v>
      </c>
      <c r="HG36">
        <v>4.9875999999999996</v>
      </c>
      <c r="HH36">
        <v>3.2909999999999999</v>
      </c>
      <c r="HI36">
        <v>9999</v>
      </c>
      <c r="HJ36">
        <v>9999</v>
      </c>
      <c r="HK36">
        <v>9999</v>
      </c>
      <c r="HL36">
        <v>999.9</v>
      </c>
      <c r="HM36">
        <v>1.8707100000000001</v>
      </c>
      <c r="HN36">
        <v>1.8768899999999999</v>
      </c>
      <c r="HO36">
        <v>1.8746799999999999</v>
      </c>
      <c r="HP36">
        <v>1.87286</v>
      </c>
      <c r="HQ36">
        <v>1.8733299999999999</v>
      </c>
      <c r="HR36">
        <v>1.87087</v>
      </c>
      <c r="HS36">
        <v>1.8767</v>
      </c>
      <c r="HT36">
        <v>1.8757600000000001</v>
      </c>
      <c r="HU36">
        <v>5</v>
      </c>
      <c r="HV36">
        <v>0</v>
      </c>
      <c r="HW36">
        <v>0</v>
      </c>
      <c r="HX36">
        <v>0</v>
      </c>
      <c r="HY36" t="s">
        <v>422</v>
      </c>
      <c r="HZ36" t="s">
        <v>423</v>
      </c>
      <c r="IA36" t="s">
        <v>424</v>
      </c>
      <c r="IB36" t="s">
        <v>424</v>
      </c>
      <c r="IC36" t="s">
        <v>424</v>
      </c>
      <c r="ID36" t="s">
        <v>424</v>
      </c>
      <c r="IE36">
        <v>0</v>
      </c>
      <c r="IF36">
        <v>100</v>
      </c>
      <c r="IG36">
        <v>100</v>
      </c>
      <c r="IH36">
        <v>-1.32</v>
      </c>
      <c r="II36">
        <v>0.47899999999999998</v>
      </c>
      <c r="IJ36">
        <v>-1.2495849285820919</v>
      </c>
      <c r="IK36">
        <v>-2.677719669153116E-3</v>
      </c>
      <c r="IL36">
        <v>1.9353498771248068E-6</v>
      </c>
      <c r="IM36">
        <v>-6.1862177325538213E-10</v>
      </c>
      <c r="IN36">
        <v>-0.16552267398507201</v>
      </c>
      <c r="IO36">
        <v>-1.5299015507423901E-2</v>
      </c>
      <c r="IP36">
        <v>1.742162107778985E-3</v>
      </c>
      <c r="IQ36">
        <v>-1.472690239905804E-5</v>
      </c>
      <c r="IR36">
        <v>3</v>
      </c>
      <c r="IS36">
        <v>2255</v>
      </c>
      <c r="IT36">
        <v>2</v>
      </c>
      <c r="IU36">
        <v>41</v>
      </c>
      <c r="IV36">
        <v>0.6</v>
      </c>
      <c r="IW36">
        <v>0.5</v>
      </c>
      <c r="IX36">
        <v>0.21484400000000001</v>
      </c>
      <c r="IY36">
        <v>2.5549300000000001</v>
      </c>
      <c r="IZ36">
        <v>1.5991200000000001</v>
      </c>
      <c r="JA36">
        <v>2.2814899999999998</v>
      </c>
      <c r="JB36">
        <v>1.5502899999999999</v>
      </c>
      <c r="JC36">
        <v>2.323</v>
      </c>
      <c r="JD36">
        <v>39.043599999999998</v>
      </c>
      <c r="JE36">
        <v>23.816099999999999</v>
      </c>
      <c r="JF36">
        <v>18</v>
      </c>
      <c r="JG36">
        <v>508.20299999999997</v>
      </c>
      <c r="JH36">
        <v>497.44</v>
      </c>
      <c r="JI36">
        <v>27.736000000000001</v>
      </c>
      <c r="JJ36">
        <v>30.246400000000001</v>
      </c>
      <c r="JK36">
        <v>30</v>
      </c>
      <c r="JL36">
        <v>30.262699999999999</v>
      </c>
      <c r="JM36">
        <v>30.233499999999999</v>
      </c>
      <c r="JN36">
        <v>4.3392499999999998</v>
      </c>
      <c r="JO36">
        <v>32.081600000000002</v>
      </c>
      <c r="JP36">
        <v>99.255899999999997</v>
      </c>
      <c r="JQ36">
        <v>27.732700000000001</v>
      </c>
      <c r="JR36">
        <v>30</v>
      </c>
      <c r="JS36">
        <v>23.003299999999999</v>
      </c>
      <c r="JT36">
        <v>99.254000000000005</v>
      </c>
      <c r="JU36">
        <v>99.150199999999998</v>
      </c>
    </row>
    <row r="37" spans="1:281" x14ac:dyDescent="0.25">
      <c r="A37">
        <v>21</v>
      </c>
      <c r="B37">
        <v>1693325557.5999999</v>
      </c>
      <c r="C37">
        <v>3260.5</v>
      </c>
      <c r="D37" t="s">
        <v>522</v>
      </c>
      <c r="E37" t="s">
        <v>523</v>
      </c>
      <c r="F37" t="s">
        <v>413</v>
      </c>
      <c r="G37" t="s">
        <v>493</v>
      </c>
      <c r="H37" t="s">
        <v>415</v>
      </c>
      <c r="I37" t="s">
        <v>415</v>
      </c>
      <c r="J37">
        <v>1693325557.5999999</v>
      </c>
      <c r="K37">
        <f t="shared" si="0"/>
        <v>5.2455709470758142E-3</v>
      </c>
      <c r="L37">
        <f t="shared" si="1"/>
        <v>5.2455709470758141</v>
      </c>
      <c r="M37">
        <f t="shared" si="2"/>
        <v>1.2086632807690754</v>
      </c>
      <c r="N37">
        <f t="shared" si="3"/>
        <v>8.4449699999999996</v>
      </c>
      <c r="O37">
        <f t="shared" si="4"/>
        <v>3.0078073546802662</v>
      </c>
      <c r="P37">
        <f t="shared" si="5"/>
        <v>0.29816332045333238</v>
      </c>
      <c r="Q37">
        <f t="shared" si="6"/>
        <v>0.83714812799120997</v>
      </c>
      <c r="R37">
        <f t="shared" si="7"/>
        <v>0.3874423764636909</v>
      </c>
      <c r="S37">
        <f t="shared" si="8"/>
        <v>2.9159654409082583</v>
      </c>
      <c r="T37">
        <f t="shared" si="9"/>
        <v>0.36094716075591904</v>
      </c>
      <c r="U37">
        <f t="shared" si="10"/>
        <v>0.22782129938909573</v>
      </c>
      <c r="V37">
        <f t="shared" si="11"/>
        <v>344.37950065831524</v>
      </c>
      <c r="W37">
        <f t="shared" si="12"/>
        <v>31.310669336436604</v>
      </c>
      <c r="X37">
        <f t="shared" si="13"/>
        <v>30.062899999999999</v>
      </c>
      <c r="Y37">
        <f t="shared" si="14"/>
        <v>4.2758667101974543</v>
      </c>
      <c r="Z37">
        <f t="shared" si="15"/>
        <v>65.318625429188288</v>
      </c>
      <c r="AA37">
        <f t="shared" si="16"/>
        <v>2.8872840898559002</v>
      </c>
      <c r="AB37">
        <f t="shared" si="17"/>
        <v>4.4203074863937477</v>
      </c>
      <c r="AC37">
        <f t="shared" si="18"/>
        <v>1.3885826203415541</v>
      </c>
      <c r="AD37">
        <f t="shared" si="19"/>
        <v>-231.3296787660434</v>
      </c>
      <c r="AE37">
        <f t="shared" si="20"/>
        <v>91.163486180258019</v>
      </c>
      <c r="AF37">
        <f t="shared" si="21"/>
        <v>6.9758060158831272</v>
      </c>
      <c r="AG37">
        <f t="shared" si="22"/>
        <v>211.18911408841296</v>
      </c>
      <c r="AH37">
        <v>0</v>
      </c>
      <c r="AI37">
        <v>0</v>
      </c>
      <c r="AJ37">
        <f t="shared" si="23"/>
        <v>1</v>
      </c>
      <c r="AK37">
        <f t="shared" si="24"/>
        <v>0</v>
      </c>
      <c r="AL37">
        <f t="shared" si="25"/>
        <v>51835.053822154478</v>
      </c>
      <c r="AM37" t="s">
        <v>416</v>
      </c>
      <c r="AN37">
        <v>10238.9</v>
      </c>
      <c r="AO37">
        <v>302.21199999999999</v>
      </c>
      <c r="AP37">
        <v>4052.3</v>
      </c>
      <c r="AQ37">
        <f t="shared" si="26"/>
        <v>0.92542210596451402</v>
      </c>
      <c r="AR37">
        <v>-0.32343011824092421</v>
      </c>
      <c r="AS37" t="s">
        <v>524</v>
      </c>
      <c r="AT37">
        <v>10488.7</v>
      </c>
      <c r="AU37">
        <v>731.7632000000001</v>
      </c>
      <c r="AV37">
        <v>779.88478410945288</v>
      </c>
      <c r="AW37">
        <f t="shared" si="27"/>
        <v>6.1703452984279705E-2</v>
      </c>
      <c r="AX37">
        <v>0.5</v>
      </c>
      <c r="AY37">
        <f t="shared" si="28"/>
        <v>1513.2270003291576</v>
      </c>
      <c r="AZ37">
        <f t="shared" si="29"/>
        <v>1.2086632807690754</v>
      </c>
      <c r="BA37">
        <f t="shared" si="30"/>
        <v>46.685665534676396</v>
      </c>
      <c r="BB37">
        <f t="shared" si="31"/>
        <v>1.0124676592981345E-3</v>
      </c>
      <c r="BC37">
        <f t="shared" si="32"/>
        <v>4.1960239288772687</v>
      </c>
      <c r="BD37">
        <f t="shared" si="33"/>
        <v>230.18124002072673</v>
      </c>
      <c r="BE37" t="s">
        <v>525</v>
      </c>
      <c r="BF37">
        <v>566.13</v>
      </c>
      <c r="BG37">
        <f t="shared" si="34"/>
        <v>566.13</v>
      </c>
      <c r="BH37">
        <f t="shared" si="35"/>
        <v>0.27408508085401173</v>
      </c>
      <c r="BI37">
        <f t="shared" si="36"/>
        <v>0.22512517934949322</v>
      </c>
      <c r="BJ37">
        <f t="shared" si="37"/>
        <v>0.93868492239063128</v>
      </c>
      <c r="BK37">
        <f t="shared" si="38"/>
        <v>0.10074173306559225</v>
      </c>
      <c r="BL37">
        <f t="shared" si="39"/>
        <v>0.87262358000413509</v>
      </c>
      <c r="BM37">
        <f t="shared" si="40"/>
        <v>0.17416852580879796</v>
      </c>
      <c r="BN37">
        <f t="shared" si="41"/>
        <v>0.82583147419120206</v>
      </c>
      <c r="BO37">
        <v>5504</v>
      </c>
      <c r="BP37">
        <v>290.00000000000011</v>
      </c>
      <c r="BQ37">
        <v>768.24</v>
      </c>
      <c r="BR37">
        <v>125</v>
      </c>
      <c r="BS37">
        <v>10488.7</v>
      </c>
      <c r="BT37">
        <v>766.11</v>
      </c>
      <c r="BU37">
        <v>2.13</v>
      </c>
      <c r="BV37">
        <v>300.00000000000011</v>
      </c>
      <c r="BW37">
        <v>38.299999999999997</v>
      </c>
      <c r="BX37">
        <v>779.88478410945288</v>
      </c>
      <c r="BY37">
        <v>0.87734837009511313</v>
      </c>
      <c r="BZ37">
        <v>-14.44414033334855</v>
      </c>
      <c r="CA37">
        <v>0.75201709817266038</v>
      </c>
      <c r="CB37">
        <v>0.92945617863914942</v>
      </c>
      <c r="CC37">
        <v>-1.1366534593993321E-2</v>
      </c>
      <c r="CD37">
        <v>289.99999999999989</v>
      </c>
      <c r="CE37">
        <v>763.71</v>
      </c>
      <c r="CF37">
        <v>625</v>
      </c>
      <c r="CG37">
        <v>10448.4</v>
      </c>
      <c r="CH37">
        <v>766.06</v>
      </c>
      <c r="CI37">
        <v>-2.35</v>
      </c>
      <c r="CW37">
        <f t="shared" si="42"/>
        <v>1800.05</v>
      </c>
      <c r="CX37">
        <f t="shared" si="43"/>
        <v>1513.2270003291576</v>
      </c>
      <c r="CY37">
        <f t="shared" si="44"/>
        <v>0.8406583152296645</v>
      </c>
      <c r="CZ37">
        <f t="shared" si="45"/>
        <v>0.19131663045932903</v>
      </c>
      <c r="DA37">
        <v>6</v>
      </c>
      <c r="DB37">
        <v>0.5</v>
      </c>
      <c r="DC37" t="s">
        <v>419</v>
      </c>
      <c r="DD37">
        <v>2</v>
      </c>
      <c r="DE37">
        <v>1693325557.5999999</v>
      </c>
      <c r="DF37">
        <v>8.4449699999999996</v>
      </c>
      <c r="DG37">
        <v>9.9478000000000009</v>
      </c>
      <c r="DH37">
        <v>29.126300000000001</v>
      </c>
      <c r="DI37">
        <v>23.017900000000001</v>
      </c>
      <c r="DJ37">
        <v>9.7616099999999992</v>
      </c>
      <c r="DK37">
        <v>28.651599999999998</v>
      </c>
      <c r="DL37">
        <v>500.24099999999999</v>
      </c>
      <c r="DM37">
        <v>99.029600000000002</v>
      </c>
      <c r="DN37">
        <v>0.100193</v>
      </c>
      <c r="DO37">
        <v>30.642800000000001</v>
      </c>
      <c r="DP37">
        <v>30.062899999999999</v>
      </c>
      <c r="DQ37">
        <v>999.9</v>
      </c>
      <c r="DR37">
        <v>0</v>
      </c>
      <c r="DS37">
        <v>0</v>
      </c>
      <c r="DT37">
        <v>10020</v>
      </c>
      <c r="DU37">
        <v>0</v>
      </c>
      <c r="DV37">
        <v>253.05099999999999</v>
      </c>
      <c r="DW37">
        <v>-1.5028300000000001</v>
      </c>
      <c r="DX37">
        <v>8.6983300000000003</v>
      </c>
      <c r="DY37">
        <v>10.1822</v>
      </c>
      <c r="DZ37">
        <v>6.1083999999999996</v>
      </c>
      <c r="EA37">
        <v>9.9478000000000009</v>
      </c>
      <c r="EB37">
        <v>23.017900000000001</v>
      </c>
      <c r="EC37">
        <v>2.88436</v>
      </c>
      <c r="ED37">
        <v>2.2794500000000002</v>
      </c>
      <c r="EE37">
        <v>23.375</v>
      </c>
      <c r="EF37">
        <v>19.5319</v>
      </c>
      <c r="EG37">
        <v>1800.05</v>
      </c>
      <c r="EH37">
        <v>0.97799599999999998</v>
      </c>
      <c r="EI37">
        <v>2.2004300000000001E-2</v>
      </c>
      <c r="EJ37">
        <v>0</v>
      </c>
      <c r="EK37">
        <v>731.75</v>
      </c>
      <c r="EL37">
        <v>4.9995000000000003</v>
      </c>
      <c r="EM37">
        <v>14033.9</v>
      </c>
      <c r="EN37">
        <v>16660.2</v>
      </c>
      <c r="EO37">
        <v>47.75</v>
      </c>
      <c r="EP37">
        <v>48.811999999999998</v>
      </c>
      <c r="EQ37">
        <v>48.625</v>
      </c>
      <c r="ER37">
        <v>47.686999999999998</v>
      </c>
      <c r="ES37">
        <v>49</v>
      </c>
      <c r="ET37">
        <v>1755.55</v>
      </c>
      <c r="EU37">
        <v>39.5</v>
      </c>
      <c r="EV37">
        <v>0</v>
      </c>
      <c r="EW37">
        <v>97.400000095367432</v>
      </c>
      <c r="EX37">
        <v>0</v>
      </c>
      <c r="EY37">
        <v>731.7632000000001</v>
      </c>
      <c r="EZ37">
        <v>-0.95323076592586697</v>
      </c>
      <c r="FA37">
        <v>-24.038461494287301</v>
      </c>
      <c r="FB37">
        <v>14036.928</v>
      </c>
      <c r="FC37">
        <v>15</v>
      </c>
      <c r="FD37">
        <v>1693325524.0999999</v>
      </c>
      <c r="FE37" t="s">
        <v>526</v>
      </c>
      <c r="FF37">
        <v>1693325524.0999999</v>
      </c>
      <c r="FG37">
        <v>1693325522.5999999</v>
      </c>
      <c r="FH37">
        <v>24</v>
      </c>
      <c r="FI37">
        <v>-4.1000000000000002E-2</v>
      </c>
      <c r="FJ37">
        <v>-5.0000000000000001E-3</v>
      </c>
      <c r="FK37">
        <v>-1.321</v>
      </c>
      <c r="FL37">
        <v>0.20899999999999999</v>
      </c>
      <c r="FM37">
        <v>10</v>
      </c>
      <c r="FN37">
        <v>23</v>
      </c>
      <c r="FO37">
        <v>0.91</v>
      </c>
      <c r="FP37">
        <v>0.03</v>
      </c>
      <c r="FQ37">
        <v>1.231809765001789</v>
      </c>
      <c r="FR37">
        <v>-0.29166057542833329</v>
      </c>
      <c r="FS37">
        <v>4.7322840991610729E-2</v>
      </c>
      <c r="FT37">
        <v>1</v>
      </c>
      <c r="FU37">
        <v>0.38988645658150928</v>
      </c>
      <c r="FV37">
        <v>-2.363948901624487E-2</v>
      </c>
      <c r="FW37">
        <v>2.0045682117323591E-3</v>
      </c>
      <c r="FX37">
        <v>1</v>
      </c>
      <c r="FY37">
        <v>2</v>
      </c>
      <c r="FZ37">
        <v>2</v>
      </c>
      <c r="GA37" t="s">
        <v>421</v>
      </c>
      <c r="GB37">
        <v>2.9717199999999999</v>
      </c>
      <c r="GC37">
        <v>2.8120599999999998</v>
      </c>
      <c r="GD37">
        <v>2.83783E-3</v>
      </c>
      <c r="GE37">
        <v>2.8545200000000001E-3</v>
      </c>
      <c r="GF37">
        <v>0.13627600000000001</v>
      </c>
      <c r="GG37">
        <v>0.115297</v>
      </c>
      <c r="GH37">
        <v>29488.5</v>
      </c>
      <c r="GI37">
        <v>27265.8</v>
      </c>
      <c r="GJ37">
        <v>26575.3</v>
      </c>
      <c r="GK37">
        <v>25792.3</v>
      </c>
      <c r="GL37">
        <v>31218.5</v>
      </c>
      <c r="GM37">
        <v>32145.599999999999</v>
      </c>
      <c r="GN37">
        <v>37639.800000000003</v>
      </c>
      <c r="GO37">
        <v>38172.300000000003</v>
      </c>
      <c r="GP37">
        <v>1.9881</v>
      </c>
      <c r="GQ37">
        <v>2.0179</v>
      </c>
      <c r="GR37">
        <v>5.90235E-2</v>
      </c>
      <c r="GS37">
        <v>0</v>
      </c>
      <c r="GT37">
        <v>29.101700000000001</v>
      </c>
      <c r="GU37">
        <v>999.9</v>
      </c>
      <c r="GV37">
        <v>58.1</v>
      </c>
      <c r="GW37">
        <v>33.200000000000003</v>
      </c>
      <c r="GX37">
        <v>29.9756</v>
      </c>
      <c r="GY37">
        <v>61.588999999999999</v>
      </c>
      <c r="GZ37">
        <v>13.429500000000001</v>
      </c>
      <c r="HA37">
        <v>1</v>
      </c>
      <c r="HB37">
        <v>0.22154499999999999</v>
      </c>
      <c r="HC37">
        <v>1.5207599999999999</v>
      </c>
      <c r="HD37">
        <v>20.247499999999999</v>
      </c>
      <c r="HE37">
        <v>5.2100999999999997</v>
      </c>
      <c r="HF37">
        <v>11.9321</v>
      </c>
      <c r="HG37">
        <v>4.9874000000000001</v>
      </c>
      <c r="HH37">
        <v>3.2909999999999999</v>
      </c>
      <c r="HI37">
        <v>9999</v>
      </c>
      <c r="HJ37">
        <v>9999</v>
      </c>
      <c r="HK37">
        <v>9999</v>
      </c>
      <c r="HL37">
        <v>999.9</v>
      </c>
      <c r="HM37">
        <v>1.87073</v>
      </c>
      <c r="HN37">
        <v>1.8769400000000001</v>
      </c>
      <c r="HO37">
        <v>1.87469</v>
      </c>
      <c r="HP37">
        <v>1.87286</v>
      </c>
      <c r="HQ37">
        <v>1.87344</v>
      </c>
      <c r="HR37">
        <v>1.8708400000000001</v>
      </c>
      <c r="HS37">
        <v>1.8766799999999999</v>
      </c>
      <c r="HT37">
        <v>1.8757600000000001</v>
      </c>
      <c r="HU37">
        <v>5</v>
      </c>
      <c r="HV37">
        <v>0</v>
      </c>
      <c r="HW37">
        <v>0</v>
      </c>
      <c r="HX37">
        <v>0</v>
      </c>
      <c r="HY37" t="s">
        <v>422</v>
      </c>
      <c r="HZ37" t="s">
        <v>423</v>
      </c>
      <c r="IA37" t="s">
        <v>424</v>
      </c>
      <c r="IB37" t="s">
        <v>424</v>
      </c>
      <c r="IC37" t="s">
        <v>424</v>
      </c>
      <c r="ID37" t="s">
        <v>424</v>
      </c>
      <c r="IE37">
        <v>0</v>
      </c>
      <c r="IF37">
        <v>100</v>
      </c>
      <c r="IG37">
        <v>100</v>
      </c>
      <c r="IH37">
        <v>-1.3169999999999999</v>
      </c>
      <c r="II37">
        <v>0.47470000000000001</v>
      </c>
      <c r="IJ37">
        <v>-1.2906832310280321</v>
      </c>
      <c r="IK37">
        <v>-2.677719669153116E-3</v>
      </c>
      <c r="IL37">
        <v>1.9353498771248068E-6</v>
      </c>
      <c r="IM37">
        <v>-6.1862177325538213E-10</v>
      </c>
      <c r="IN37">
        <v>-0.17083406114349409</v>
      </c>
      <c r="IO37">
        <v>-1.5299015507423901E-2</v>
      </c>
      <c r="IP37">
        <v>1.742162107778985E-3</v>
      </c>
      <c r="IQ37">
        <v>-1.472690239905804E-5</v>
      </c>
      <c r="IR37">
        <v>3</v>
      </c>
      <c r="IS37">
        <v>2255</v>
      </c>
      <c r="IT37">
        <v>2</v>
      </c>
      <c r="IU37">
        <v>41</v>
      </c>
      <c r="IV37">
        <v>0.6</v>
      </c>
      <c r="IW37">
        <v>0.6</v>
      </c>
      <c r="IX37">
        <v>0.17456099999999999</v>
      </c>
      <c r="IY37">
        <v>2.5610400000000002</v>
      </c>
      <c r="IZ37">
        <v>1.5991200000000001</v>
      </c>
      <c r="JA37">
        <v>2.2814899999999998</v>
      </c>
      <c r="JB37">
        <v>1.5502899999999999</v>
      </c>
      <c r="JC37">
        <v>2.4157700000000002</v>
      </c>
      <c r="JD37">
        <v>39.142800000000001</v>
      </c>
      <c r="JE37">
        <v>23.807300000000001</v>
      </c>
      <c r="JF37">
        <v>18</v>
      </c>
      <c r="JG37">
        <v>508.41500000000002</v>
      </c>
      <c r="JH37">
        <v>496.48200000000003</v>
      </c>
      <c r="JI37">
        <v>27.191700000000001</v>
      </c>
      <c r="JJ37">
        <v>30.293600000000001</v>
      </c>
      <c r="JK37">
        <v>30.000599999999999</v>
      </c>
      <c r="JL37">
        <v>30.303799999999999</v>
      </c>
      <c r="JM37">
        <v>30.275200000000002</v>
      </c>
      <c r="JN37">
        <v>3.55471</v>
      </c>
      <c r="JO37">
        <v>32.333500000000001</v>
      </c>
      <c r="JP37">
        <v>99.24</v>
      </c>
      <c r="JQ37">
        <v>27.183199999999999</v>
      </c>
      <c r="JR37">
        <v>10</v>
      </c>
      <c r="JS37">
        <v>22.9663</v>
      </c>
      <c r="JT37">
        <v>99.250600000000006</v>
      </c>
      <c r="JU37">
        <v>99.147199999999998</v>
      </c>
    </row>
    <row r="38" spans="1:281" x14ac:dyDescent="0.25">
      <c r="A38">
        <v>22</v>
      </c>
      <c r="B38">
        <v>1693325747.0999999</v>
      </c>
      <c r="C38">
        <v>3450</v>
      </c>
      <c r="D38" t="s">
        <v>527</v>
      </c>
      <c r="E38" t="s">
        <v>528</v>
      </c>
      <c r="F38" t="s">
        <v>413</v>
      </c>
      <c r="G38" t="s">
        <v>493</v>
      </c>
      <c r="H38" t="s">
        <v>415</v>
      </c>
      <c r="I38" t="s">
        <v>415</v>
      </c>
      <c r="J38">
        <v>1693325747.0999999</v>
      </c>
      <c r="K38">
        <f t="shared" si="0"/>
        <v>5.1863398475465675E-3</v>
      </c>
      <c r="L38">
        <f t="shared" si="1"/>
        <v>5.1863398475465674</v>
      </c>
      <c r="M38">
        <f t="shared" si="2"/>
        <v>39.356789593274215</v>
      </c>
      <c r="N38">
        <f t="shared" si="3"/>
        <v>350.62700000000001</v>
      </c>
      <c r="O38">
        <f t="shared" si="4"/>
        <v>168.48444906631599</v>
      </c>
      <c r="P38">
        <f t="shared" si="5"/>
        <v>16.703044174962962</v>
      </c>
      <c r="Q38">
        <f t="shared" si="6"/>
        <v>34.760111704016005</v>
      </c>
      <c r="R38">
        <f t="shared" si="7"/>
        <v>0.37960385816745557</v>
      </c>
      <c r="S38">
        <f t="shared" si="8"/>
        <v>2.9134752939443156</v>
      </c>
      <c r="T38">
        <f t="shared" si="9"/>
        <v>0.35411188214716383</v>
      </c>
      <c r="U38">
        <f t="shared" si="10"/>
        <v>0.22346746315691396</v>
      </c>
      <c r="V38">
        <f t="shared" si="11"/>
        <v>344.37380065832622</v>
      </c>
      <c r="W38">
        <f t="shared" si="12"/>
        <v>31.262540446803978</v>
      </c>
      <c r="X38">
        <f t="shared" si="13"/>
        <v>29.990400000000001</v>
      </c>
      <c r="Y38">
        <f t="shared" si="14"/>
        <v>4.2581010560962103</v>
      </c>
      <c r="Z38">
        <f t="shared" si="15"/>
        <v>64.899204839305739</v>
      </c>
      <c r="AA38">
        <f t="shared" si="16"/>
        <v>2.8582488187504</v>
      </c>
      <c r="AB38">
        <f t="shared" si="17"/>
        <v>4.4041353446896503</v>
      </c>
      <c r="AC38">
        <f t="shared" si="18"/>
        <v>1.3998522373458102</v>
      </c>
      <c r="AD38">
        <f t="shared" si="19"/>
        <v>-228.71758727680364</v>
      </c>
      <c r="AE38">
        <f t="shared" si="20"/>
        <v>92.405034051724243</v>
      </c>
      <c r="AF38">
        <f t="shared" si="21"/>
        <v>7.0720735527313465</v>
      </c>
      <c r="AG38">
        <f t="shared" si="22"/>
        <v>215.13332098597817</v>
      </c>
      <c r="AH38">
        <v>0</v>
      </c>
      <c r="AI38">
        <v>0</v>
      </c>
      <c r="AJ38">
        <f t="shared" si="23"/>
        <v>1</v>
      </c>
      <c r="AK38">
        <f t="shared" si="24"/>
        <v>0</v>
      </c>
      <c r="AL38">
        <f t="shared" si="25"/>
        <v>51775.446879113719</v>
      </c>
      <c r="AM38" t="s">
        <v>416</v>
      </c>
      <c r="AN38">
        <v>10238.9</v>
      </c>
      <c r="AO38">
        <v>302.21199999999999</v>
      </c>
      <c r="AP38">
        <v>4052.3</v>
      </c>
      <c r="AQ38">
        <f t="shared" si="26"/>
        <v>0.92542210596451402</v>
      </c>
      <c r="AR38">
        <v>-0.32343011824092421</v>
      </c>
      <c r="AS38" t="s">
        <v>529</v>
      </c>
      <c r="AT38">
        <v>10469.299999999999</v>
      </c>
      <c r="AU38">
        <v>699.7233846153847</v>
      </c>
      <c r="AV38">
        <v>1005.527876702797</v>
      </c>
      <c r="AW38">
        <f t="shared" si="27"/>
        <v>0.30412333578475093</v>
      </c>
      <c r="AX38">
        <v>0.5</v>
      </c>
      <c r="AY38">
        <f t="shared" si="28"/>
        <v>1513.2018003291632</v>
      </c>
      <c r="AZ38">
        <f t="shared" si="29"/>
        <v>39.356789593274215</v>
      </c>
      <c r="BA38">
        <f t="shared" si="30"/>
        <v>230.09998961579788</v>
      </c>
      <c r="BB38">
        <f t="shared" si="31"/>
        <v>2.6222688674361602E-2</v>
      </c>
      <c r="BC38">
        <f t="shared" si="32"/>
        <v>3.0300225323317762</v>
      </c>
      <c r="BD38">
        <f t="shared" si="33"/>
        <v>246.50793623900148</v>
      </c>
      <c r="BE38" t="s">
        <v>530</v>
      </c>
      <c r="BF38">
        <v>550.37</v>
      </c>
      <c r="BG38">
        <f t="shared" si="34"/>
        <v>550.37</v>
      </c>
      <c r="BH38">
        <f t="shared" si="35"/>
        <v>0.45265565206933356</v>
      </c>
      <c r="BI38">
        <f t="shared" si="36"/>
        <v>0.67186466002233436</v>
      </c>
      <c r="BJ38">
        <f t="shared" si="37"/>
        <v>0.87002656343707696</v>
      </c>
      <c r="BK38">
        <f t="shared" si="38"/>
        <v>0.43480390848141953</v>
      </c>
      <c r="BL38">
        <f t="shared" si="39"/>
        <v>0.81245350063710586</v>
      </c>
      <c r="BM38">
        <f t="shared" si="40"/>
        <v>0.52845761777669475</v>
      </c>
      <c r="BN38">
        <f t="shared" si="41"/>
        <v>0.47154238222330525</v>
      </c>
      <c r="BO38">
        <v>5506</v>
      </c>
      <c r="BP38">
        <v>290.00000000000011</v>
      </c>
      <c r="BQ38">
        <v>914.41</v>
      </c>
      <c r="BR38">
        <v>225</v>
      </c>
      <c r="BS38">
        <v>10469.299999999999</v>
      </c>
      <c r="BT38">
        <v>914.9</v>
      </c>
      <c r="BU38">
        <v>-0.49</v>
      </c>
      <c r="BV38">
        <v>300.00000000000011</v>
      </c>
      <c r="BW38">
        <v>38.299999999999997</v>
      </c>
      <c r="BX38">
        <v>1005.527876702797</v>
      </c>
      <c r="BY38">
        <v>1.0793803713007331</v>
      </c>
      <c r="BZ38">
        <v>-94.881477710417286</v>
      </c>
      <c r="CA38">
        <v>0.92527628555212593</v>
      </c>
      <c r="CB38">
        <v>0.99734427492821542</v>
      </c>
      <c r="CC38">
        <v>-1.1368371301446051E-2</v>
      </c>
      <c r="CD38">
        <v>289.99999999999989</v>
      </c>
      <c r="CE38">
        <v>900.57</v>
      </c>
      <c r="CF38">
        <v>645</v>
      </c>
      <c r="CG38">
        <v>10447.200000000001</v>
      </c>
      <c r="CH38">
        <v>914.71</v>
      </c>
      <c r="CI38">
        <v>-14.14</v>
      </c>
      <c r="CW38">
        <f t="shared" si="42"/>
        <v>1800.02</v>
      </c>
      <c r="CX38">
        <f t="shared" si="43"/>
        <v>1513.2018003291632</v>
      </c>
      <c r="CY38">
        <f t="shared" si="44"/>
        <v>0.84065832620146619</v>
      </c>
      <c r="CZ38">
        <f t="shared" si="45"/>
        <v>0.1913166524029323</v>
      </c>
      <c r="DA38">
        <v>6</v>
      </c>
      <c r="DB38">
        <v>0.5</v>
      </c>
      <c r="DC38" t="s">
        <v>419</v>
      </c>
      <c r="DD38">
        <v>2</v>
      </c>
      <c r="DE38">
        <v>1693325747.0999999</v>
      </c>
      <c r="DF38">
        <v>350.62700000000001</v>
      </c>
      <c r="DG38">
        <v>400.02199999999999</v>
      </c>
      <c r="DH38">
        <v>28.831299999999999</v>
      </c>
      <c r="DI38">
        <v>22.789000000000001</v>
      </c>
      <c r="DJ38">
        <v>352.42500000000001</v>
      </c>
      <c r="DK38">
        <v>28.376000000000001</v>
      </c>
      <c r="DL38">
        <v>500.15499999999997</v>
      </c>
      <c r="DM38">
        <v>99.037000000000006</v>
      </c>
      <c r="DN38">
        <v>0.100008</v>
      </c>
      <c r="DO38">
        <v>30.578700000000001</v>
      </c>
      <c r="DP38">
        <v>29.990400000000001</v>
      </c>
      <c r="DQ38">
        <v>999.9</v>
      </c>
      <c r="DR38">
        <v>0</v>
      </c>
      <c r="DS38">
        <v>0</v>
      </c>
      <c r="DT38">
        <v>10005</v>
      </c>
      <c r="DU38">
        <v>0</v>
      </c>
      <c r="DV38">
        <v>257.42599999999999</v>
      </c>
      <c r="DW38">
        <v>-49.395000000000003</v>
      </c>
      <c r="DX38">
        <v>361.03699999999998</v>
      </c>
      <c r="DY38">
        <v>409.351</v>
      </c>
      <c r="DZ38">
        <v>6.0423600000000004</v>
      </c>
      <c r="EA38">
        <v>400.02199999999999</v>
      </c>
      <c r="EB38">
        <v>22.789000000000001</v>
      </c>
      <c r="EC38">
        <v>2.8553700000000002</v>
      </c>
      <c r="ED38">
        <v>2.2569499999999998</v>
      </c>
      <c r="EE38">
        <v>23.207699999999999</v>
      </c>
      <c r="EF38">
        <v>19.372399999999999</v>
      </c>
      <c r="EG38">
        <v>1800.02</v>
      </c>
      <c r="EH38">
        <v>0.97799599999999998</v>
      </c>
      <c r="EI38">
        <v>2.2004300000000001E-2</v>
      </c>
      <c r="EJ38">
        <v>0</v>
      </c>
      <c r="EK38">
        <v>699.27300000000002</v>
      </c>
      <c r="EL38">
        <v>4.9995000000000003</v>
      </c>
      <c r="EM38">
        <v>13479.1</v>
      </c>
      <c r="EN38">
        <v>16659.900000000001</v>
      </c>
      <c r="EO38">
        <v>47.875</v>
      </c>
      <c r="EP38">
        <v>49.061999999999998</v>
      </c>
      <c r="EQ38">
        <v>48.811999999999998</v>
      </c>
      <c r="ER38">
        <v>47.875</v>
      </c>
      <c r="ES38">
        <v>49.125</v>
      </c>
      <c r="ET38">
        <v>1755.52</v>
      </c>
      <c r="EU38">
        <v>39.5</v>
      </c>
      <c r="EV38">
        <v>0</v>
      </c>
      <c r="EW38">
        <v>187.4000000953674</v>
      </c>
      <c r="EX38">
        <v>0</v>
      </c>
      <c r="EY38">
        <v>699.7233846153847</v>
      </c>
      <c r="EZ38">
        <v>-2.1835897390562788</v>
      </c>
      <c r="FA38">
        <v>-36.095726352619643</v>
      </c>
      <c r="FB38">
        <v>13481.530769230771</v>
      </c>
      <c r="FC38">
        <v>15</v>
      </c>
      <c r="FD38">
        <v>1693325628.5999999</v>
      </c>
      <c r="FE38" t="s">
        <v>531</v>
      </c>
      <c r="FF38">
        <v>1693325628.5999999</v>
      </c>
      <c r="FG38">
        <v>1693325626.5999999</v>
      </c>
      <c r="FH38">
        <v>25</v>
      </c>
      <c r="FI38">
        <v>0.224</v>
      </c>
      <c r="FJ38">
        <v>-6.0000000000000001E-3</v>
      </c>
      <c r="FK38">
        <v>-1.871</v>
      </c>
      <c r="FL38">
        <v>0.2</v>
      </c>
      <c r="FM38">
        <v>401</v>
      </c>
      <c r="FN38">
        <v>23</v>
      </c>
      <c r="FO38">
        <v>0.17</v>
      </c>
      <c r="FP38">
        <v>0.04</v>
      </c>
      <c r="FQ38">
        <v>38.828190171619418</v>
      </c>
      <c r="FR38">
        <v>3.600957360446758</v>
      </c>
      <c r="FS38">
        <v>0.27840439883790841</v>
      </c>
      <c r="FT38">
        <v>0</v>
      </c>
      <c r="FU38">
        <v>0.37975591133918429</v>
      </c>
      <c r="FV38">
        <v>7.3105794369417894E-3</v>
      </c>
      <c r="FW38">
        <v>9.1920162999448781E-4</v>
      </c>
      <c r="FX38">
        <v>1</v>
      </c>
      <c r="FY38">
        <v>1</v>
      </c>
      <c r="FZ38">
        <v>2</v>
      </c>
      <c r="GA38" t="s">
        <v>460</v>
      </c>
      <c r="GB38">
        <v>2.9713699999999998</v>
      </c>
      <c r="GC38">
        <v>2.8117399999999999</v>
      </c>
      <c r="GD38">
        <v>8.7770000000000001E-2</v>
      </c>
      <c r="GE38">
        <v>9.5852999999999994E-2</v>
      </c>
      <c r="GF38">
        <v>0.13533400000000001</v>
      </c>
      <c r="GG38">
        <v>0.114471</v>
      </c>
      <c r="GH38">
        <v>26973.9</v>
      </c>
      <c r="GI38">
        <v>24715.599999999999</v>
      </c>
      <c r="GJ38">
        <v>26572.7</v>
      </c>
      <c r="GK38">
        <v>25785.4</v>
      </c>
      <c r="GL38">
        <v>31257.200000000001</v>
      </c>
      <c r="GM38">
        <v>32175.1</v>
      </c>
      <c r="GN38">
        <v>37635.5</v>
      </c>
      <c r="GO38">
        <v>38163.4</v>
      </c>
      <c r="GP38">
        <v>1.9862</v>
      </c>
      <c r="GQ38">
        <v>2.0150999999999999</v>
      </c>
      <c r="GR38">
        <v>4.8726800000000001E-2</v>
      </c>
      <c r="GS38">
        <v>0</v>
      </c>
      <c r="GT38">
        <v>29.196899999999999</v>
      </c>
      <c r="GU38">
        <v>999.9</v>
      </c>
      <c r="GV38">
        <v>57.7</v>
      </c>
      <c r="GW38">
        <v>33.4</v>
      </c>
      <c r="GX38">
        <v>30.103000000000002</v>
      </c>
      <c r="GY38">
        <v>61.668999999999997</v>
      </c>
      <c r="GZ38">
        <v>13.6098</v>
      </c>
      <c r="HA38">
        <v>1</v>
      </c>
      <c r="HB38">
        <v>0.231159</v>
      </c>
      <c r="HC38">
        <v>1.04003</v>
      </c>
      <c r="HD38">
        <v>20.2517</v>
      </c>
      <c r="HE38">
        <v>5.2077099999999996</v>
      </c>
      <c r="HF38">
        <v>11.9321</v>
      </c>
      <c r="HG38">
        <v>4.9875999999999996</v>
      </c>
      <c r="HH38">
        <v>3.2909999999999999</v>
      </c>
      <c r="HI38">
        <v>9999</v>
      </c>
      <c r="HJ38">
        <v>9999</v>
      </c>
      <c r="HK38">
        <v>9999</v>
      </c>
      <c r="HL38">
        <v>999.9</v>
      </c>
      <c r="HM38">
        <v>1.8707100000000001</v>
      </c>
      <c r="HN38">
        <v>1.8769199999999999</v>
      </c>
      <c r="HO38">
        <v>1.87469</v>
      </c>
      <c r="HP38">
        <v>1.8729100000000001</v>
      </c>
      <c r="HQ38">
        <v>1.8734200000000001</v>
      </c>
      <c r="HR38">
        <v>1.8708199999999999</v>
      </c>
      <c r="HS38">
        <v>1.8767100000000001</v>
      </c>
      <c r="HT38">
        <v>1.87578</v>
      </c>
      <c r="HU38">
        <v>5</v>
      </c>
      <c r="HV38">
        <v>0</v>
      </c>
      <c r="HW38">
        <v>0</v>
      </c>
      <c r="HX38">
        <v>0</v>
      </c>
      <c r="HY38" t="s">
        <v>422</v>
      </c>
      <c r="HZ38" t="s">
        <v>423</v>
      </c>
      <c r="IA38" t="s">
        <v>424</v>
      </c>
      <c r="IB38" t="s">
        <v>424</v>
      </c>
      <c r="IC38" t="s">
        <v>424</v>
      </c>
      <c r="ID38" t="s">
        <v>424</v>
      </c>
      <c r="IE38">
        <v>0</v>
      </c>
      <c r="IF38">
        <v>100</v>
      </c>
      <c r="IG38">
        <v>100</v>
      </c>
      <c r="IH38">
        <v>-1.798</v>
      </c>
      <c r="II38">
        <v>0.45529999999999998</v>
      </c>
      <c r="IJ38">
        <v>-1.0670642997295949</v>
      </c>
      <c r="IK38">
        <v>-2.677719669153116E-3</v>
      </c>
      <c r="IL38">
        <v>1.9353498771248068E-6</v>
      </c>
      <c r="IM38">
        <v>-6.1862177325538213E-10</v>
      </c>
      <c r="IN38">
        <v>-0.1768286590012498</v>
      </c>
      <c r="IO38">
        <v>-1.5299015507423901E-2</v>
      </c>
      <c r="IP38">
        <v>1.742162107778985E-3</v>
      </c>
      <c r="IQ38">
        <v>-1.472690239905804E-5</v>
      </c>
      <c r="IR38">
        <v>3</v>
      </c>
      <c r="IS38">
        <v>2255</v>
      </c>
      <c r="IT38">
        <v>2</v>
      </c>
      <c r="IU38">
        <v>41</v>
      </c>
      <c r="IV38">
        <v>2</v>
      </c>
      <c r="IW38">
        <v>2</v>
      </c>
      <c r="IX38">
        <v>0.95459000000000005</v>
      </c>
      <c r="IY38">
        <v>2.5061</v>
      </c>
      <c r="IZ38">
        <v>1.5991200000000001</v>
      </c>
      <c r="JA38">
        <v>2.2790499999999998</v>
      </c>
      <c r="JB38">
        <v>1.5502899999999999</v>
      </c>
      <c r="JC38">
        <v>2.3986800000000001</v>
      </c>
      <c r="JD38">
        <v>39.341799999999999</v>
      </c>
      <c r="JE38">
        <v>23.807300000000001</v>
      </c>
      <c r="JF38">
        <v>18</v>
      </c>
      <c r="JG38">
        <v>508.166</v>
      </c>
      <c r="JH38">
        <v>495.62099999999998</v>
      </c>
      <c r="JI38">
        <v>27.338200000000001</v>
      </c>
      <c r="JJ38">
        <v>30.435700000000001</v>
      </c>
      <c r="JK38">
        <v>30</v>
      </c>
      <c r="JL38">
        <v>30.420100000000001</v>
      </c>
      <c r="JM38">
        <v>30.39</v>
      </c>
      <c r="JN38">
        <v>19.141999999999999</v>
      </c>
      <c r="JO38">
        <v>33.125500000000002</v>
      </c>
      <c r="JP38">
        <v>94.961600000000004</v>
      </c>
      <c r="JQ38">
        <v>27.3566</v>
      </c>
      <c r="JR38">
        <v>400</v>
      </c>
      <c r="JS38">
        <v>22.796700000000001</v>
      </c>
      <c r="JT38">
        <v>99.239900000000006</v>
      </c>
      <c r="JU38">
        <v>99.122600000000006</v>
      </c>
    </row>
    <row r="39" spans="1:281" x14ac:dyDescent="0.25">
      <c r="A39">
        <v>23</v>
      </c>
      <c r="B39">
        <v>1693325881.5999999</v>
      </c>
      <c r="C39">
        <v>3584.5</v>
      </c>
      <c r="D39" t="s">
        <v>532</v>
      </c>
      <c r="E39" t="s">
        <v>533</v>
      </c>
      <c r="F39" t="s">
        <v>413</v>
      </c>
      <c r="G39" t="s">
        <v>493</v>
      </c>
      <c r="H39" t="s">
        <v>415</v>
      </c>
      <c r="I39" t="s">
        <v>415</v>
      </c>
      <c r="J39">
        <v>1693325881.5999999</v>
      </c>
      <c r="K39">
        <f t="shared" si="0"/>
        <v>5.1042831883696804E-3</v>
      </c>
      <c r="L39">
        <f t="shared" si="1"/>
        <v>5.1042831883696804</v>
      </c>
      <c r="M39">
        <f t="shared" si="2"/>
        <v>44.233928011770729</v>
      </c>
      <c r="N39">
        <f t="shared" si="3"/>
        <v>344.94200000000001</v>
      </c>
      <c r="O39">
        <f t="shared" si="4"/>
        <v>138.62190636940844</v>
      </c>
      <c r="P39">
        <f t="shared" si="5"/>
        <v>13.742059922527769</v>
      </c>
      <c r="Q39">
        <f t="shared" si="6"/>
        <v>34.195270848206</v>
      </c>
      <c r="R39">
        <f t="shared" si="7"/>
        <v>0.37410394416867931</v>
      </c>
      <c r="S39">
        <f t="shared" si="8"/>
        <v>2.904651156547073</v>
      </c>
      <c r="T39">
        <f t="shared" si="9"/>
        <v>0.34924951314843578</v>
      </c>
      <c r="U39">
        <f t="shared" si="10"/>
        <v>0.22037626471841104</v>
      </c>
      <c r="V39">
        <f t="shared" si="11"/>
        <v>344.36620065834086</v>
      </c>
      <c r="W39">
        <f t="shared" si="12"/>
        <v>31.323562132679758</v>
      </c>
      <c r="X39">
        <f t="shared" si="13"/>
        <v>30.0259</v>
      </c>
      <c r="Y39">
        <f t="shared" si="14"/>
        <v>4.2667920463099209</v>
      </c>
      <c r="Z39">
        <f t="shared" si="15"/>
        <v>65.028175937467225</v>
      </c>
      <c r="AA39">
        <f t="shared" si="16"/>
        <v>2.8701099941360004</v>
      </c>
      <c r="AB39">
        <f t="shared" si="17"/>
        <v>4.4136406300185511</v>
      </c>
      <c r="AC39">
        <f t="shared" si="18"/>
        <v>1.3966820521739205</v>
      </c>
      <c r="AD39">
        <f t="shared" si="19"/>
        <v>-225.09888860710291</v>
      </c>
      <c r="AE39">
        <f t="shared" si="20"/>
        <v>92.469674136117504</v>
      </c>
      <c r="AF39">
        <f t="shared" si="21"/>
        <v>7.1010904788695193</v>
      </c>
      <c r="AG39">
        <f t="shared" si="22"/>
        <v>218.83807666622499</v>
      </c>
      <c r="AH39">
        <v>0</v>
      </c>
      <c r="AI39">
        <v>0</v>
      </c>
      <c r="AJ39">
        <f t="shared" si="23"/>
        <v>1</v>
      </c>
      <c r="AK39">
        <f t="shared" si="24"/>
        <v>0</v>
      </c>
      <c r="AL39">
        <f t="shared" si="25"/>
        <v>51518.697719700445</v>
      </c>
      <c r="AM39" t="s">
        <v>416</v>
      </c>
      <c r="AN39">
        <v>10238.9</v>
      </c>
      <c r="AO39">
        <v>302.21199999999999</v>
      </c>
      <c r="AP39">
        <v>4052.3</v>
      </c>
      <c r="AQ39">
        <f t="shared" si="26"/>
        <v>0.92542210596451402</v>
      </c>
      <c r="AR39">
        <v>-0.32343011824092421</v>
      </c>
      <c r="AS39" t="s">
        <v>534</v>
      </c>
      <c r="AT39">
        <v>10471.1</v>
      </c>
      <c r="AU39">
        <v>717.41676000000007</v>
      </c>
      <c r="AV39">
        <v>1063.215371612424</v>
      </c>
      <c r="AW39">
        <f t="shared" si="27"/>
        <v>0.32523853665509128</v>
      </c>
      <c r="AX39">
        <v>0.5</v>
      </c>
      <c r="AY39">
        <f t="shared" si="28"/>
        <v>1513.1682003291703</v>
      </c>
      <c r="AZ39">
        <f t="shared" si="29"/>
        <v>44.233928011770729</v>
      </c>
      <c r="BA39">
        <f t="shared" si="30"/>
        <v>246.07030559403867</v>
      </c>
      <c r="BB39">
        <f t="shared" si="31"/>
        <v>2.9446401345414718E-2</v>
      </c>
      <c r="BC39">
        <f t="shared" si="32"/>
        <v>2.8113632554563868</v>
      </c>
      <c r="BD39">
        <f t="shared" si="33"/>
        <v>249.83103781040217</v>
      </c>
      <c r="BE39" t="s">
        <v>535</v>
      </c>
      <c r="BF39">
        <v>558.24</v>
      </c>
      <c r="BG39">
        <f t="shared" si="34"/>
        <v>558.24</v>
      </c>
      <c r="BH39">
        <f t="shared" si="35"/>
        <v>0.47495115768181695</v>
      </c>
      <c r="BI39">
        <f t="shared" si="36"/>
        <v>0.68478312221101634</v>
      </c>
      <c r="BJ39">
        <f t="shared" si="37"/>
        <v>0.85547604459785342</v>
      </c>
      <c r="BK39">
        <f t="shared" si="38"/>
        <v>0.45439826485885498</v>
      </c>
      <c r="BL39">
        <f t="shared" si="39"/>
        <v>0.79707052964825786</v>
      </c>
      <c r="BM39">
        <f t="shared" si="40"/>
        <v>0.53284694679153821</v>
      </c>
      <c r="BN39">
        <f t="shared" si="41"/>
        <v>0.46715305320846179</v>
      </c>
      <c r="BO39">
        <v>5508</v>
      </c>
      <c r="BP39">
        <v>290.00000000000011</v>
      </c>
      <c r="BQ39">
        <v>965.53</v>
      </c>
      <c r="BR39">
        <v>215</v>
      </c>
      <c r="BS39">
        <v>10471.1</v>
      </c>
      <c r="BT39">
        <v>965.02</v>
      </c>
      <c r="BU39">
        <v>0.51</v>
      </c>
      <c r="BV39">
        <v>300.00000000000011</v>
      </c>
      <c r="BW39">
        <v>38.299999999999997</v>
      </c>
      <c r="BX39">
        <v>1063.215371612424</v>
      </c>
      <c r="BY39">
        <v>0.95916397833982636</v>
      </c>
      <c r="BZ39">
        <v>-102.8181179791427</v>
      </c>
      <c r="CA39">
        <v>0.82222837715888608</v>
      </c>
      <c r="CB39">
        <v>0.99821257967386778</v>
      </c>
      <c r="CC39">
        <v>-1.136873681868744E-2</v>
      </c>
      <c r="CD39">
        <v>289.99999999999989</v>
      </c>
      <c r="CE39">
        <v>954.93</v>
      </c>
      <c r="CF39">
        <v>685</v>
      </c>
      <c r="CG39">
        <v>10443.200000000001</v>
      </c>
      <c r="CH39">
        <v>964.76</v>
      </c>
      <c r="CI39">
        <v>-9.83</v>
      </c>
      <c r="CW39">
        <f t="shared" si="42"/>
        <v>1799.98</v>
      </c>
      <c r="CX39">
        <f t="shared" si="43"/>
        <v>1513.1682003291703</v>
      </c>
      <c r="CY39">
        <f t="shared" si="44"/>
        <v>0.8406583408311038</v>
      </c>
      <c r="CZ39">
        <f t="shared" si="45"/>
        <v>0.19131668166220783</v>
      </c>
      <c r="DA39">
        <v>6</v>
      </c>
      <c r="DB39">
        <v>0.5</v>
      </c>
      <c r="DC39" t="s">
        <v>419</v>
      </c>
      <c r="DD39">
        <v>2</v>
      </c>
      <c r="DE39">
        <v>1693325881.5999999</v>
      </c>
      <c r="DF39">
        <v>344.94200000000001</v>
      </c>
      <c r="DG39">
        <v>400.11599999999999</v>
      </c>
      <c r="DH39">
        <v>28.952000000000002</v>
      </c>
      <c r="DI39">
        <v>23.0063</v>
      </c>
      <c r="DJ39">
        <v>346.839</v>
      </c>
      <c r="DK39">
        <v>28.494499999999999</v>
      </c>
      <c r="DL39">
        <v>500.17700000000002</v>
      </c>
      <c r="DM39">
        <v>99.033100000000005</v>
      </c>
      <c r="DN39">
        <v>0.10029299999999999</v>
      </c>
      <c r="DO39">
        <v>30.616399999999999</v>
      </c>
      <c r="DP39">
        <v>30.0259</v>
      </c>
      <c r="DQ39">
        <v>999.9</v>
      </c>
      <c r="DR39">
        <v>0</v>
      </c>
      <c r="DS39">
        <v>0</v>
      </c>
      <c r="DT39">
        <v>9955</v>
      </c>
      <c r="DU39">
        <v>0</v>
      </c>
      <c r="DV39">
        <v>256.27800000000002</v>
      </c>
      <c r="DW39">
        <v>-55.173299999999998</v>
      </c>
      <c r="DX39">
        <v>355.22699999999998</v>
      </c>
      <c r="DY39">
        <v>409.53699999999998</v>
      </c>
      <c r="DZ39">
        <v>5.9457599999999999</v>
      </c>
      <c r="EA39">
        <v>400.11599999999999</v>
      </c>
      <c r="EB39">
        <v>23.0063</v>
      </c>
      <c r="EC39">
        <v>2.86721</v>
      </c>
      <c r="ED39">
        <v>2.2783799999999998</v>
      </c>
      <c r="EE39">
        <v>23.276199999999999</v>
      </c>
      <c r="EF39">
        <v>19.5244</v>
      </c>
      <c r="EG39">
        <v>1799.98</v>
      </c>
      <c r="EH39">
        <v>0.97799599999999998</v>
      </c>
      <c r="EI39">
        <v>2.2004300000000001E-2</v>
      </c>
      <c r="EJ39">
        <v>0</v>
      </c>
      <c r="EK39">
        <v>718.12800000000004</v>
      </c>
      <c r="EL39">
        <v>4.9995000000000003</v>
      </c>
      <c r="EM39">
        <v>13833</v>
      </c>
      <c r="EN39">
        <v>16659.599999999999</v>
      </c>
      <c r="EO39">
        <v>47.875</v>
      </c>
      <c r="EP39">
        <v>49.061999999999998</v>
      </c>
      <c r="EQ39">
        <v>48.875</v>
      </c>
      <c r="ER39">
        <v>47.875</v>
      </c>
      <c r="ES39">
        <v>49.125</v>
      </c>
      <c r="ET39">
        <v>1755.48</v>
      </c>
      <c r="EU39">
        <v>39.5</v>
      </c>
      <c r="EV39">
        <v>0</v>
      </c>
      <c r="EW39">
        <v>132.79999995231631</v>
      </c>
      <c r="EX39">
        <v>0</v>
      </c>
      <c r="EY39">
        <v>717.41676000000007</v>
      </c>
      <c r="EZ39">
        <v>6.7956923269611433</v>
      </c>
      <c r="FA39">
        <v>152.9769232859162</v>
      </c>
      <c r="FB39">
        <v>13816.548000000001</v>
      </c>
      <c r="FC39">
        <v>15</v>
      </c>
      <c r="FD39">
        <v>1693325818.0999999</v>
      </c>
      <c r="FE39" t="s">
        <v>536</v>
      </c>
      <c r="FF39">
        <v>1693325818.0999999</v>
      </c>
      <c r="FG39">
        <v>1693325811.0999999</v>
      </c>
      <c r="FH39">
        <v>26</v>
      </c>
      <c r="FI39">
        <v>-0.108</v>
      </c>
      <c r="FJ39">
        <v>-4.0000000000000001E-3</v>
      </c>
      <c r="FK39">
        <v>-1.9790000000000001</v>
      </c>
      <c r="FL39">
        <v>0.19800000000000001</v>
      </c>
      <c r="FM39">
        <v>400</v>
      </c>
      <c r="FN39">
        <v>23</v>
      </c>
      <c r="FO39">
        <v>0.15</v>
      </c>
      <c r="FP39">
        <v>0.04</v>
      </c>
      <c r="FQ39">
        <v>44.023282638607029</v>
      </c>
      <c r="FR39">
        <v>0.47859606819175871</v>
      </c>
      <c r="FS39">
        <v>0.102305759309154</v>
      </c>
      <c r="FT39">
        <v>1</v>
      </c>
      <c r="FU39">
        <v>0.3756057571670352</v>
      </c>
      <c r="FV39">
        <v>-1.6412037931724448E-2</v>
      </c>
      <c r="FW39">
        <v>1.4053943569098651E-3</v>
      </c>
      <c r="FX39">
        <v>1</v>
      </c>
      <c r="FY39">
        <v>2</v>
      </c>
      <c r="FZ39">
        <v>2</v>
      </c>
      <c r="GA39" t="s">
        <v>421</v>
      </c>
      <c r="GB39">
        <v>2.9713699999999998</v>
      </c>
      <c r="GC39">
        <v>2.8115999999999999</v>
      </c>
      <c r="GD39">
        <v>8.6646399999999998E-2</v>
      </c>
      <c r="GE39">
        <v>9.5854400000000006E-2</v>
      </c>
      <c r="GF39">
        <v>0.13570499999999999</v>
      </c>
      <c r="GG39">
        <v>0.115215</v>
      </c>
      <c r="GH39">
        <v>27006.2</v>
      </c>
      <c r="GI39">
        <v>24712.6</v>
      </c>
      <c r="GJ39">
        <v>26571.9</v>
      </c>
      <c r="GK39">
        <v>25782.5</v>
      </c>
      <c r="GL39">
        <v>31242.6</v>
      </c>
      <c r="GM39">
        <v>32144.9</v>
      </c>
      <c r="GN39">
        <v>37633.800000000003</v>
      </c>
      <c r="GO39">
        <v>38159.599999999999</v>
      </c>
      <c r="GP39">
        <v>1.9845999999999999</v>
      </c>
      <c r="GQ39">
        <v>2.0137</v>
      </c>
      <c r="GR39">
        <v>5.16772E-2</v>
      </c>
      <c r="GS39">
        <v>0</v>
      </c>
      <c r="GT39">
        <v>29.1844</v>
      </c>
      <c r="GU39">
        <v>999.9</v>
      </c>
      <c r="GV39">
        <v>57.6</v>
      </c>
      <c r="GW39">
        <v>33.5</v>
      </c>
      <c r="GX39">
        <v>30.2211</v>
      </c>
      <c r="GY39">
        <v>61.558999999999997</v>
      </c>
      <c r="GZ39">
        <v>12.620200000000001</v>
      </c>
      <c r="HA39">
        <v>1</v>
      </c>
      <c r="HB39">
        <v>0.23551800000000001</v>
      </c>
      <c r="HC39">
        <v>1.1583000000000001</v>
      </c>
      <c r="HD39">
        <v>20.251100000000001</v>
      </c>
      <c r="HE39">
        <v>5.2053099999999999</v>
      </c>
      <c r="HF39">
        <v>11.9321</v>
      </c>
      <c r="HG39">
        <v>4.9874000000000001</v>
      </c>
      <c r="HH39">
        <v>3.2909999999999999</v>
      </c>
      <c r="HI39">
        <v>9999</v>
      </c>
      <c r="HJ39">
        <v>9999</v>
      </c>
      <c r="HK39">
        <v>9999</v>
      </c>
      <c r="HL39">
        <v>999.9</v>
      </c>
      <c r="HM39">
        <v>1.87073</v>
      </c>
      <c r="HN39">
        <v>1.8769400000000001</v>
      </c>
      <c r="HO39">
        <v>1.87469</v>
      </c>
      <c r="HP39">
        <v>1.8729100000000001</v>
      </c>
      <c r="HQ39">
        <v>1.87344</v>
      </c>
      <c r="HR39">
        <v>1.8708199999999999</v>
      </c>
      <c r="HS39">
        <v>1.8767</v>
      </c>
      <c r="HT39">
        <v>1.87578</v>
      </c>
      <c r="HU39">
        <v>5</v>
      </c>
      <c r="HV39">
        <v>0</v>
      </c>
      <c r="HW39">
        <v>0</v>
      </c>
      <c r="HX39">
        <v>0</v>
      </c>
      <c r="HY39" t="s">
        <v>422</v>
      </c>
      <c r="HZ39" t="s">
        <v>423</v>
      </c>
      <c r="IA39" t="s">
        <v>424</v>
      </c>
      <c r="IB39" t="s">
        <v>424</v>
      </c>
      <c r="IC39" t="s">
        <v>424</v>
      </c>
      <c r="ID39" t="s">
        <v>424</v>
      </c>
      <c r="IE39">
        <v>0</v>
      </c>
      <c r="IF39">
        <v>100</v>
      </c>
      <c r="IG39">
        <v>100</v>
      </c>
      <c r="IH39">
        <v>-1.897</v>
      </c>
      <c r="II39">
        <v>0.45750000000000002</v>
      </c>
      <c r="IJ39">
        <v>-1.175130062506323</v>
      </c>
      <c r="IK39">
        <v>-2.677719669153116E-3</v>
      </c>
      <c r="IL39">
        <v>1.9353498771248068E-6</v>
      </c>
      <c r="IM39">
        <v>-6.1862177325538213E-10</v>
      </c>
      <c r="IN39">
        <v>-0.1803402241635024</v>
      </c>
      <c r="IO39">
        <v>-1.5299015507423901E-2</v>
      </c>
      <c r="IP39">
        <v>1.742162107778985E-3</v>
      </c>
      <c r="IQ39">
        <v>-1.472690239905804E-5</v>
      </c>
      <c r="IR39">
        <v>3</v>
      </c>
      <c r="IS39">
        <v>2255</v>
      </c>
      <c r="IT39">
        <v>2</v>
      </c>
      <c r="IU39">
        <v>41</v>
      </c>
      <c r="IV39">
        <v>1.1000000000000001</v>
      </c>
      <c r="IW39">
        <v>1.2</v>
      </c>
      <c r="IX39">
        <v>0.95459000000000005</v>
      </c>
      <c r="IY39">
        <v>2.5097700000000001</v>
      </c>
      <c r="IZ39">
        <v>1.5991200000000001</v>
      </c>
      <c r="JA39">
        <v>2.2790499999999998</v>
      </c>
      <c r="JB39">
        <v>1.5502899999999999</v>
      </c>
      <c r="JC39">
        <v>2.2192400000000001</v>
      </c>
      <c r="JD39">
        <v>39.441600000000001</v>
      </c>
      <c r="JE39">
        <v>23.807300000000001</v>
      </c>
      <c r="JF39">
        <v>18</v>
      </c>
      <c r="JG39">
        <v>507.61900000000003</v>
      </c>
      <c r="JH39">
        <v>495.19799999999998</v>
      </c>
      <c r="JI39">
        <v>27.395900000000001</v>
      </c>
      <c r="JJ39">
        <v>30.491199999999999</v>
      </c>
      <c r="JK39">
        <v>30.000499999999999</v>
      </c>
      <c r="JL39">
        <v>30.478000000000002</v>
      </c>
      <c r="JM39">
        <v>30.448799999999999</v>
      </c>
      <c r="JN39">
        <v>19.142199999999999</v>
      </c>
      <c r="JO39">
        <v>32.632899999999999</v>
      </c>
      <c r="JP39">
        <v>92.995900000000006</v>
      </c>
      <c r="JQ39">
        <v>27.387899999999998</v>
      </c>
      <c r="JR39">
        <v>400</v>
      </c>
      <c r="JS39">
        <v>23.0061</v>
      </c>
      <c r="JT39">
        <v>99.236099999999993</v>
      </c>
      <c r="JU39">
        <v>99.112300000000005</v>
      </c>
    </row>
    <row r="40" spans="1:281" x14ac:dyDescent="0.25">
      <c r="A40">
        <v>24</v>
      </c>
      <c r="B40">
        <v>1693325990.0999999</v>
      </c>
      <c r="C40">
        <v>3693</v>
      </c>
      <c r="D40" t="s">
        <v>537</v>
      </c>
      <c r="E40" t="s">
        <v>538</v>
      </c>
      <c r="F40" t="s">
        <v>413</v>
      </c>
      <c r="G40" t="s">
        <v>493</v>
      </c>
      <c r="H40" t="s">
        <v>415</v>
      </c>
      <c r="I40" t="s">
        <v>415</v>
      </c>
      <c r="J40">
        <v>1693325990.0999999</v>
      </c>
      <c r="K40">
        <f t="shared" si="0"/>
        <v>5.2023626371249564E-3</v>
      </c>
      <c r="L40">
        <f t="shared" si="1"/>
        <v>5.2023626371249563</v>
      </c>
      <c r="M40">
        <f t="shared" si="2"/>
        <v>48.470424105122731</v>
      </c>
      <c r="N40">
        <f t="shared" si="3"/>
        <v>439.154</v>
      </c>
      <c r="O40">
        <f t="shared" si="4"/>
        <v>220.98623714675961</v>
      </c>
      <c r="P40">
        <f t="shared" si="5"/>
        <v>21.908118772177563</v>
      </c>
      <c r="Q40">
        <f t="shared" si="6"/>
        <v>43.536819828682006</v>
      </c>
      <c r="R40">
        <f t="shared" si="7"/>
        <v>0.39152212851959073</v>
      </c>
      <c r="S40">
        <f t="shared" si="8"/>
        <v>2.9082361691799159</v>
      </c>
      <c r="T40">
        <f t="shared" si="9"/>
        <v>0.36442033919873357</v>
      </c>
      <c r="U40">
        <f t="shared" si="10"/>
        <v>0.23004117520048573</v>
      </c>
      <c r="V40">
        <f t="shared" si="11"/>
        <v>344.35478749117675</v>
      </c>
      <c r="W40">
        <f t="shared" si="12"/>
        <v>31.173728020155082</v>
      </c>
      <c r="X40">
        <f t="shared" si="13"/>
        <v>29.945799999999998</v>
      </c>
      <c r="Y40">
        <f t="shared" si="14"/>
        <v>4.2472041044466566</v>
      </c>
      <c r="Z40">
        <f t="shared" si="15"/>
        <v>65.779121809052697</v>
      </c>
      <c r="AA40">
        <f t="shared" si="16"/>
        <v>2.882831953707</v>
      </c>
      <c r="AB40">
        <f t="shared" si="17"/>
        <v>4.3825941642630095</v>
      </c>
      <c r="AC40">
        <f t="shared" si="18"/>
        <v>1.3643721507396567</v>
      </c>
      <c r="AD40">
        <f t="shared" si="19"/>
        <v>-229.42419229721057</v>
      </c>
      <c r="AE40">
        <f t="shared" si="20"/>
        <v>85.7948468746673</v>
      </c>
      <c r="AF40">
        <f t="shared" si="21"/>
        <v>6.5737630445050028</v>
      </c>
      <c r="AG40">
        <f t="shared" si="22"/>
        <v>207.2992051131385</v>
      </c>
      <c r="AH40">
        <v>0</v>
      </c>
      <c r="AI40">
        <v>0</v>
      </c>
      <c r="AJ40">
        <f t="shared" si="23"/>
        <v>1</v>
      </c>
      <c r="AK40">
        <f t="shared" si="24"/>
        <v>0</v>
      </c>
      <c r="AL40">
        <f t="shared" si="25"/>
        <v>51641.388158323389</v>
      </c>
      <c r="AM40" t="s">
        <v>416</v>
      </c>
      <c r="AN40">
        <v>10238.9</v>
      </c>
      <c r="AO40">
        <v>302.21199999999999</v>
      </c>
      <c r="AP40">
        <v>4052.3</v>
      </c>
      <c r="AQ40">
        <f t="shared" si="26"/>
        <v>0.92542210596451402</v>
      </c>
      <c r="AR40">
        <v>-0.32343011824092421</v>
      </c>
      <c r="AS40" t="s">
        <v>539</v>
      </c>
      <c r="AT40">
        <v>10469.4</v>
      </c>
      <c r="AU40">
        <v>749.71992</v>
      </c>
      <c r="AV40">
        <v>1153.5166425929419</v>
      </c>
      <c r="AW40">
        <f t="shared" si="27"/>
        <v>0.35005712764166463</v>
      </c>
      <c r="AX40">
        <v>0.5</v>
      </c>
      <c r="AY40">
        <f t="shared" si="28"/>
        <v>1513.1177937455884</v>
      </c>
      <c r="AZ40">
        <f t="shared" si="29"/>
        <v>48.470424105122731</v>
      </c>
      <c r="BA40">
        <f t="shared" si="30"/>
        <v>264.83883433103671</v>
      </c>
      <c r="BB40">
        <f t="shared" si="31"/>
        <v>3.2247227826578399E-2</v>
      </c>
      <c r="BC40">
        <f t="shared" si="32"/>
        <v>2.5129965623131403</v>
      </c>
      <c r="BD40">
        <f t="shared" si="33"/>
        <v>254.5127497277</v>
      </c>
      <c r="BE40" t="s">
        <v>540</v>
      </c>
      <c r="BF40">
        <v>571.03</v>
      </c>
      <c r="BG40">
        <f t="shared" si="34"/>
        <v>571.03</v>
      </c>
      <c r="BH40">
        <f t="shared" si="35"/>
        <v>0.50496596328562249</v>
      </c>
      <c r="BI40">
        <f t="shared" si="36"/>
        <v>0.69322915422650544</v>
      </c>
      <c r="BJ40">
        <f t="shared" si="37"/>
        <v>0.83267984310526266</v>
      </c>
      <c r="BK40">
        <f t="shared" si="38"/>
        <v>0.47432693584642005</v>
      </c>
      <c r="BL40">
        <f t="shared" si="39"/>
        <v>0.77299075579214627</v>
      </c>
      <c r="BM40">
        <f t="shared" si="40"/>
        <v>0.52800336949558624</v>
      </c>
      <c r="BN40">
        <f t="shared" si="41"/>
        <v>0.47199663050441376</v>
      </c>
      <c r="BO40">
        <v>5510</v>
      </c>
      <c r="BP40">
        <v>290.00000000000011</v>
      </c>
      <c r="BQ40">
        <v>1044.26</v>
      </c>
      <c r="BR40">
        <v>225</v>
      </c>
      <c r="BS40">
        <v>10469.4</v>
      </c>
      <c r="BT40">
        <v>1043.42</v>
      </c>
      <c r="BU40">
        <v>0.84</v>
      </c>
      <c r="BV40">
        <v>300.00000000000011</v>
      </c>
      <c r="BW40">
        <v>38.299999999999997</v>
      </c>
      <c r="BX40">
        <v>1153.5166425929419</v>
      </c>
      <c r="BY40">
        <v>1.1421592126219049</v>
      </c>
      <c r="BZ40">
        <v>-115.26236278457159</v>
      </c>
      <c r="CA40">
        <v>0.97909591082846759</v>
      </c>
      <c r="CB40">
        <v>0.99798369181413948</v>
      </c>
      <c r="CC40">
        <v>-1.136893081201335E-2</v>
      </c>
      <c r="CD40">
        <v>289.99999999999989</v>
      </c>
      <c r="CE40">
        <v>1034.05</v>
      </c>
      <c r="CF40">
        <v>655</v>
      </c>
      <c r="CG40">
        <v>10446.200000000001</v>
      </c>
      <c r="CH40">
        <v>1043.18</v>
      </c>
      <c r="CI40">
        <v>-9.1300000000000008</v>
      </c>
      <c r="CW40">
        <f t="shared" si="42"/>
        <v>1799.92</v>
      </c>
      <c r="CX40">
        <f t="shared" si="43"/>
        <v>1513.1177937455884</v>
      </c>
      <c r="CY40">
        <f t="shared" si="44"/>
        <v>0.8406583591190655</v>
      </c>
      <c r="CZ40">
        <f t="shared" si="45"/>
        <v>0.19131671823813098</v>
      </c>
      <c r="DA40">
        <v>6</v>
      </c>
      <c r="DB40">
        <v>0.5</v>
      </c>
      <c r="DC40" t="s">
        <v>419</v>
      </c>
      <c r="DD40">
        <v>2</v>
      </c>
      <c r="DE40">
        <v>1693325990.0999999</v>
      </c>
      <c r="DF40">
        <v>439.154</v>
      </c>
      <c r="DG40">
        <v>500.04399999999998</v>
      </c>
      <c r="DH40">
        <v>29.079000000000001</v>
      </c>
      <c r="DI40">
        <v>23.019300000000001</v>
      </c>
      <c r="DJ40">
        <v>441.125</v>
      </c>
      <c r="DK40">
        <v>28.615500000000001</v>
      </c>
      <c r="DL40">
        <v>500.13200000000001</v>
      </c>
      <c r="DM40">
        <v>99.037599999999998</v>
      </c>
      <c r="DN40">
        <v>0.10033300000000001</v>
      </c>
      <c r="DO40">
        <v>30.492999999999999</v>
      </c>
      <c r="DP40">
        <v>29.945799999999998</v>
      </c>
      <c r="DQ40">
        <v>999.9</v>
      </c>
      <c r="DR40">
        <v>0</v>
      </c>
      <c r="DS40">
        <v>0</v>
      </c>
      <c r="DT40">
        <v>9975</v>
      </c>
      <c r="DU40">
        <v>0</v>
      </c>
      <c r="DV40">
        <v>258.06599999999997</v>
      </c>
      <c r="DW40">
        <v>-60.889299999999999</v>
      </c>
      <c r="DX40">
        <v>452.30700000000002</v>
      </c>
      <c r="DY40">
        <v>511.82499999999999</v>
      </c>
      <c r="DZ40">
        <v>6.0596800000000002</v>
      </c>
      <c r="EA40">
        <v>500.04399999999998</v>
      </c>
      <c r="EB40">
        <v>23.019300000000001</v>
      </c>
      <c r="EC40">
        <v>2.8799100000000002</v>
      </c>
      <c r="ED40">
        <v>2.2797800000000001</v>
      </c>
      <c r="EE40">
        <v>23.349399999999999</v>
      </c>
      <c r="EF40">
        <v>19.534199999999998</v>
      </c>
      <c r="EG40">
        <v>1799.92</v>
      </c>
      <c r="EH40">
        <v>0.97799599999999998</v>
      </c>
      <c r="EI40">
        <v>2.2004300000000001E-2</v>
      </c>
      <c r="EJ40">
        <v>0</v>
      </c>
      <c r="EK40">
        <v>750.81899999999996</v>
      </c>
      <c r="EL40">
        <v>4.9995000000000003</v>
      </c>
      <c r="EM40">
        <v>14430.1</v>
      </c>
      <c r="EN40">
        <v>16659</v>
      </c>
      <c r="EO40">
        <v>48</v>
      </c>
      <c r="EP40">
        <v>49.186999999999998</v>
      </c>
      <c r="EQ40">
        <v>48.936999999999998</v>
      </c>
      <c r="ER40">
        <v>48</v>
      </c>
      <c r="ES40">
        <v>49.25</v>
      </c>
      <c r="ET40">
        <v>1755.43</v>
      </c>
      <c r="EU40">
        <v>39.5</v>
      </c>
      <c r="EV40">
        <v>0</v>
      </c>
      <c r="EW40">
        <v>106.7999999523163</v>
      </c>
      <c r="EX40">
        <v>0</v>
      </c>
      <c r="EY40">
        <v>749.71992</v>
      </c>
      <c r="EZ40">
        <v>6.9454615368682537</v>
      </c>
      <c r="FA40">
        <v>125.7692308516868</v>
      </c>
      <c r="FB40">
        <v>14413.987999999999</v>
      </c>
      <c r="FC40">
        <v>15</v>
      </c>
      <c r="FD40">
        <v>1693325960.5999999</v>
      </c>
      <c r="FE40" t="s">
        <v>541</v>
      </c>
      <c r="FF40">
        <v>1693325960.5999999</v>
      </c>
      <c r="FG40">
        <v>1693325958.0999999</v>
      </c>
      <c r="FH40">
        <v>27</v>
      </c>
      <c r="FI40">
        <v>6.2E-2</v>
      </c>
      <c r="FJ40">
        <v>0</v>
      </c>
      <c r="FK40">
        <v>-2.048</v>
      </c>
      <c r="FL40">
        <v>0.20300000000000001</v>
      </c>
      <c r="FM40">
        <v>500</v>
      </c>
      <c r="FN40">
        <v>23</v>
      </c>
      <c r="FO40">
        <v>0.09</v>
      </c>
      <c r="FP40">
        <v>0.03</v>
      </c>
      <c r="FQ40">
        <v>48.480726456849837</v>
      </c>
      <c r="FR40">
        <v>6.6206164770761808E-3</v>
      </c>
      <c r="FS40">
        <v>6.7608502976564816E-2</v>
      </c>
      <c r="FT40">
        <v>1</v>
      </c>
      <c r="FU40">
        <v>0.39117292767121647</v>
      </c>
      <c r="FV40">
        <v>3.8119307330904587E-2</v>
      </c>
      <c r="FW40">
        <v>3.6184956587230498E-3</v>
      </c>
      <c r="FX40">
        <v>1</v>
      </c>
      <c r="FY40">
        <v>2</v>
      </c>
      <c r="FZ40">
        <v>2</v>
      </c>
      <c r="GA40" t="s">
        <v>421</v>
      </c>
      <c r="GB40">
        <v>2.9712000000000001</v>
      </c>
      <c r="GC40">
        <v>2.8118099999999999</v>
      </c>
      <c r="GD40">
        <v>0.10441400000000001</v>
      </c>
      <c r="GE40">
        <v>0.113381</v>
      </c>
      <c r="GF40">
        <v>0.13609299999999999</v>
      </c>
      <c r="GG40">
        <v>0.115249</v>
      </c>
      <c r="GH40">
        <v>26479.4</v>
      </c>
      <c r="GI40">
        <v>24230.1</v>
      </c>
      <c r="GJ40">
        <v>26570.9</v>
      </c>
      <c r="GK40">
        <v>25779.4</v>
      </c>
      <c r="GL40">
        <v>31229.5</v>
      </c>
      <c r="GM40">
        <v>32141.4</v>
      </c>
      <c r="GN40">
        <v>37632.9</v>
      </c>
      <c r="GO40">
        <v>38155.300000000003</v>
      </c>
      <c r="GP40">
        <v>1.9831000000000001</v>
      </c>
      <c r="GQ40">
        <v>2.0123000000000002</v>
      </c>
      <c r="GR40">
        <v>4.2572600000000002E-2</v>
      </c>
      <c r="GS40">
        <v>0</v>
      </c>
      <c r="GT40">
        <v>29.252500000000001</v>
      </c>
      <c r="GU40">
        <v>999.9</v>
      </c>
      <c r="GV40">
        <v>57.4</v>
      </c>
      <c r="GW40">
        <v>33.6</v>
      </c>
      <c r="GX40">
        <v>30.282</v>
      </c>
      <c r="GY40">
        <v>61.548999999999999</v>
      </c>
      <c r="GZ40">
        <v>12.5801</v>
      </c>
      <c r="HA40">
        <v>1</v>
      </c>
      <c r="HB40">
        <v>0.24033499999999999</v>
      </c>
      <c r="HC40">
        <v>0.98495600000000005</v>
      </c>
      <c r="HD40">
        <v>20.252400000000002</v>
      </c>
      <c r="HE40">
        <v>5.2083000000000004</v>
      </c>
      <c r="HF40">
        <v>11.9321</v>
      </c>
      <c r="HG40">
        <v>4.9874000000000001</v>
      </c>
      <c r="HH40">
        <v>3.2909999999999999</v>
      </c>
      <c r="HI40">
        <v>9999</v>
      </c>
      <c r="HJ40">
        <v>9999</v>
      </c>
      <c r="HK40">
        <v>9999</v>
      </c>
      <c r="HL40">
        <v>999.9</v>
      </c>
      <c r="HM40">
        <v>1.87073</v>
      </c>
      <c r="HN40">
        <v>1.87696</v>
      </c>
      <c r="HO40">
        <v>1.87469</v>
      </c>
      <c r="HP40">
        <v>1.87296</v>
      </c>
      <c r="HQ40">
        <v>1.87341</v>
      </c>
      <c r="HR40">
        <v>1.87087</v>
      </c>
      <c r="HS40">
        <v>1.8766799999999999</v>
      </c>
      <c r="HT40">
        <v>1.87581</v>
      </c>
      <c r="HU40">
        <v>5</v>
      </c>
      <c r="HV40">
        <v>0</v>
      </c>
      <c r="HW40">
        <v>0</v>
      </c>
      <c r="HX40">
        <v>0</v>
      </c>
      <c r="HY40" t="s">
        <v>422</v>
      </c>
      <c r="HZ40" t="s">
        <v>423</v>
      </c>
      <c r="IA40" t="s">
        <v>424</v>
      </c>
      <c r="IB40" t="s">
        <v>424</v>
      </c>
      <c r="IC40" t="s">
        <v>424</v>
      </c>
      <c r="ID40" t="s">
        <v>424</v>
      </c>
      <c r="IE40">
        <v>0</v>
      </c>
      <c r="IF40">
        <v>100</v>
      </c>
      <c r="IG40">
        <v>100</v>
      </c>
      <c r="IH40">
        <v>-1.9710000000000001</v>
      </c>
      <c r="II40">
        <v>0.46350000000000002</v>
      </c>
      <c r="IJ40">
        <v>-1.113156407233278</v>
      </c>
      <c r="IK40">
        <v>-2.677719669153116E-3</v>
      </c>
      <c r="IL40">
        <v>1.9353498771248068E-6</v>
      </c>
      <c r="IM40">
        <v>-6.1862177325538213E-10</v>
      </c>
      <c r="IN40">
        <v>-0.180241940528692</v>
      </c>
      <c r="IO40">
        <v>-1.5299015507423901E-2</v>
      </c>
      <c r="IP40">
        <v>1.742162107778985E-3</v>
      </c>
      <c r="IQ40">
        <v>-1.472690239905804E-5</v>
      </c>
      <c r="IR40">
        <v>3</v>
      </c>
      <c r="IS40">
        <v>2255</v>
      </c>
      <c r="IT40">
        <v>2</v>
      </c>
      <c r="IU40">
        <v>41</v>
      </c>
      <c r="IV40">
        <v>0.5</v>
      </c>
      <c r="IW40">
        <v>0.5</v>
      </c>
      <c r="IX40">
        <v>1.1401399999999999</v>
      </c>
      <c r="IY40">
        <v>2.5</v>
      </c>
      <c r="IZ40">
        <v>1.5991200000000001</v>
      </c>
      <c r="JA40">
        <v>2.2790499999999998</v>
      </c>
      <c r="JB40">
        <v>1.5502899999999999</v>
      </c>
      <c r="JC40">
        <v>2.2448700000000001</v>
      </c>
      <c r="JD40">
        <v>39.516599999999997</v>
      </c>
      <c r="JE40">
        <v>23.807300000000001</v>
      </c>
      <c r="JF40">
        <v>18</v>
      </c>
      <c r="JG40">
        <v>507.18299999999999</v>
      </c>
      <c r="JH40">
        <v>494.78500000000003</v>
      </c>
      <c r="JI40">
        <v>27.219200000000001</v>
      </c>
      <c r="JJ40">
        <v>30.557400000000001</v>
      </c>
      <c r="JK40">
        <v>30.000699999999998</v>
      </c>
      <c r="JL40">
        <v>30.541399999999999</v>
      </c>
      <c r="JM40">
        <v>30.508099999999999</v>
      </c>
      <c r="JN40">
        <v>22.852</v>
      </c>
      <c r="JO40">
        <v>32.787300000000002</v>
      </c>
      <c r="JP40">
        <v>91.586600000000004</v>
      </c>
      <c r="JQ40">
        <v>27.224499999999999</v>
      </c>
      <c r="JR40">
        <v>500</v>
      </c>
      <c r="JS40">
        <v>22.9787</v>
      </c>
      <c r="JT40">
        <v>99.233099999999993</v>
      </c>
      <c r="JU40">
        <v>99.100700000000003</v>
      </c>
    </row>
    <row r="41" spans="1:281" x14ac:dyDescent="0.25">
      <c r="A41">
        <v>25</v>
      </c>
      <c r="B41">
        <v>1693326093.0999999</v>
      </c>
      <c r="C41">
        <v>3796</v>
      </c>
      <c r="D41" t="s">
        <v>542</v>
      </c>
      <c r="E41" t="s">
        <v>543</v>
      </c>
      <c r="F41" t="s">
        <v>413</v>
      </c>
      <c r="G41" t="s">
        <v>493</v>
      </c>
      <c r="H41" t="s">
        <v>415</v>
      </c>
      <c r="I41" t="s">
        <v>415</v>
      </c>
      <c r="J41">
        <v>1693326093.0999999</v>
      </c>
      <c r="K41">
        <f t="shared" si="0"/>
        <v>5.1006739696971655E-3</v>
      </c>
      <c r="L41">
        <f t="shared" si="1"/>
        <v>5.1006739696971657</v>
      </c>
      <c r="M41">
        <f t="shared" si="2"/>
        <v>50.676799779544844</v>
      </c>
      <c r="N41">
        <f t="shared" si="3"/>
        <v>635.41499999999996</v>
      </c>
      <c r="O41">
        <f t="shared" si="4"/>
        <v>395.76885954668558</v>
      </c>
      <c r="P41">
        <f t="shared" si="5"/>
        <v>39.235028333400464</v>
      </c>
      <c r="Q41">
        <f t="shared" si="6"/>
        <v>62.992640595884993</v>
      </c>
      <c r="R41">
        <f t="shared" si="7"/>
        <v>0.37777115717047799</v>
      </c>
      <c r="S41">
        <f t="shared" si="8"/>
        <v>2.9108341053840165</v>
      </c>
      <c r="T41">
        <f t="shared" si="9"/>
        <v>0.35249468234903325</v>
      </c>
      <c r="U41">
        <f t="shared" si="10"/>
        <v>0.22243907627258605</v>
      </c>
      <c r="V41">
        <f t="shared" si="11"/>
        <v>344.40610065826405</v>
      </c>
      <c r="W41">
        <f t="shared" si="12"/>
        <v>31.306853448642993</v>
      </c>
      <c r="X41">
        <f t="shared" si="13"/>
        <v>30.019100000000002</v>
      </c>
      <c r="Y41">
        <f t="shared" si="14"/>
        <v>4.2651260972955178</v>
      </c>
      <c r="Z41">
        <f t="shared" si="15"/>
        <v>65.366376232849092</v>
      </c>
      <c r="AA41">
        <f t="shared" si="16"/>
        <v>2.8823161720716999</v>
      </c>
      <c r="AB41">
        <f t="shared" si="17"/>
        <v>4.40947829477998</v>
      </c>
      <c r="AC41">
        <f t="shared" si="18"/>
        <v>1.382809925223818</v>
      </c>
      <c r="AD41">
        <f t="shared" si="19"/>
        <v>-224.93972206364501</v>
      </c>
      <c r="AE41">
        <f t="shared" si="20"/>
        <v>91.144298318520157</v>
      </c>
      <c r="AF41">
        <f t="shared" si="21"/>
        <v>6.9836376287742876</v>
      </c>
      <c r="AG41">
        <f t="shared" si="22"/>
        <v>217.59431454191346</v>
      </c>
      <c r="AH41">
        <v>0</v>
      </c>
      <c r="AI41">
        <v>0</v>
      </c>
      <c r="AJ41">
        <f t="shared" si="23"/>
        <v>1</v>
      </c>
      <c r="AK41">
        <f t="shared" si="24"/>
        <v>0</v>
      </c>
      <c r="AL41">
        <f t="shared" si="25"/>
        <v>51696.856065713422</v>
      </c>
      <c r="AM41" t="s">
        <v>416</v>
      </c>
      <c r="AN41">
        <v>10238.9</v>
      </c>
      <c r="AO41">
        <v>302.21199999999999</v>
      </c>
      <c r="AP41">
        <v>4052.3</v>
      </c>
      <c r="AQ41">
        <f t="shared" si="26"/>
        <v>0.92542210596451402</v>
      </c>
      <c r="AR41">
        <v>-0.32343011824092421</v>
      </c>
      <c r="AS41" t="s">
        <v>544</v>
      </c>
      <c r="AT41">
        <v>10475</v>
      </c>
      <c r="AU41">
        <v>766.13775999999996</v>
      </c>
      <c r="AV41">
        <v>1204.318750501646</v>
      </c>
      <c r="AW41">
        <f t="shared" si="27"/>
        <v>0.36384137531623295</v>
      </c>
      <c r="AX41">
        <v>0.5</v>
      </c>
      <c r="AY41">
        <f t="shared" si="28"/>
        <v>1513.3446003291319</v>
      </c>
      <c r="AZ41">
        <f t="shared" si="29"/>
        <v>50.676799779544844</v>
      </c>
      <c r="BA41">
        <f t="shared" si="30"/>
        <v>275.30869035557311</v>
      </c>
      <c r="BB41">
        <f t="shared" si="31"/>
        <v>3.3700341539325482E-2</v>
      </c>
      <c r="BC41">
        <f t="shared" si="32"/>
        <v>2.3648068655512158</v>
      </c>
      <c r="BD41">
        <f t="shared" si="33"/>
        <v>256.90384325672551</v>
      </c>
      <c r="BE41" t="s">
        <v>545</v>
      </c>
      <c r="BF41">
        <v>574.23</v>
      </c>
      <c r="BG41">
        <f t="shared" si="34"/>
        <v>574.23</v>
      </c>
      <c r="BH41">
        <f t="shared" si="35"/>
        <v>0.523191015866181</v>
      </c>
      <c r="BI41">
        <f t="shared" si="36"/>
        <v>0.69542741423773669</v>
      </c>
      <c r="BJ41">
        <f t="shared" si="37"/>
        <v>0.81883954305070172</v>
      </c>
      <c r="BK41">
        <f t="shared" si="38"/>
        <v>0.48573075221749662</v>
      </c>
      <c r="BL41">
        <f t="shared" si="39"/>
        <v>0.75944384491733374</v>
      </c>
      <c r="BM41">
        <f t="shared" si="40"/>
        <v>0.52123169608261521</v>
      </c>
      <c r="BN41">
        <f t="shared" si="41"/>
        <v>0.47876830391738479</v>
      </c>
      <c r="BO41">
        <v>5512</v>
      </c>
      <c r="BP41">
        <v>290.00000000000011</v>
      </c>
      <c r="BQ41">
        <v>1084.8399999999999</v>
      </c>
      <c r="BR41">
        <v>195</v>
      </c>
      <c r="BS41">
        <v>10475</v>
      </c>
      <c r="BT41">
        <v>1084.74</v>
      </c>
      <c r="BU41">
        <v>0.1</v>
      </c>
      <c r="BV41">
        <v>300.00000000000011</v>
      </c>
      <c r="BW41">
        <v>38.299999999999997</v>
      </c>
      <c r="BX41">
        <v>1204.318750501646</v>
      </c>
      <c r="BY41">
        <v>1.4269599807064079</v>
      </c>
      <c r="BZ41">
        <v>-125.2602349425059</v>
      </c>
      <c r="CA41">
        <v>1.223232944946826</v>
      </c>
      <c r="CB41">
        <v>0.99733687346388267</v>
      </c>
      <c r="CC41">
        <v>-1.1368956173526139E-2</v>
      </c>
      <c r="CD41">
        <v>289.99999999999989</v>
      </c>
      <c r="CE41">
        <v>1073.6300000000001</v>
      </c>
      <c r="CF41">
        <v>635</v>
      </c>
      <c r="CG41">
        <v>10448.4</v>
      </c>
      <c r="CH41">
        <v>1084.43</v>
      </c>
      <c r="CI41">
        <v>-10.8</v>
      </c>
      <c r="CW41">
        <f t="shared" si="42"/>
        <v>1800.19</v>
      </c>
      <c r="CX41">
        <f t="shared" si="43"/>
        <v>1513.3446003291319</v>
      </c>
      <c r="CY41">
        <f t="shared" si="44"/>
        <v>0.84065826403275867</v>
      </c>
      <c r="CZ41">
        <f t="shared" si="45"/>
        <v>0.19131652806551755</v>
      </c>
      <c r="DA41">
        <v>6</v>
      </c>
      <c r="DB41">
        <v>0.5</v>
      </c>
      <c r="DC41" t="s">
        <v>419</v>
      </c>
      <c r="DD41">
        <v>2</v>
      </c>
      <c r="DE41">
        <v>1693326093.0999999</v>
      </c>
      <c r="DF41">
        <v>635.41499999999996</v>
      </c>
      <c r="DG41">
        <v>700.09299999999996</v>
      </c>
      <c r="DH41">
        <v>29.074300000000001</v>
      </c>
      <c r="DI41">
        <v>23.133600000000001</v>
      </c>
      <c r="DJ41">
        <v>637.53700000000003</v>
      </c>
      <c r="DK41">
        <v>28.614699999999999</v>
      </c>
      <c r="DL41">
        <v>500.18099999999998</v>
      </c>
      <c r="DM41">
        <v>99.036000000000001</v>
      </c>
      <c r="DN41">
        <v>0.100219</v>
      </c>
      <c r="DO41">
        <v>30.599900000000002</v>
      </c>
      <c r="DP41">
        <v>30.019100000000002</v>
      </c>
      <c r="DQ41">
        <v>999.9</v>
      </c>
      <c r="DR41">
        <v>0</v>
      </c>
      <c r="DS41">
        <v>0</v>
      </c>
      <c r="DT41">
        <v>9990</v>
      </c>
      <c r="DU41">
        <v>0</v>
      </c>
      <c r="DV41">
        <v>262.13499999999999</v>
      </c>
      <c r="DW41">
        <v>-64.677999999999997</v>
      </c>
      <c r="DX41">
        <v>654.44200000000001</v>
      </c>
      <c r="DY41">
        <v>716.67200000000003</v>
      </c>
      <c r="DZ41">
        <v>5.9406400000000001</v>
      </c>
      <c r="EA41">
        <v>700.09299999999996</v>
      </c>
      <c r="EB41">
        <v>23.133600000000001</v>
      </c>
      <c r="EC41">
        <v>2.8794</v>
      </c>
      <c r="ED41">
        <v>2.2910599999999999</v>
      </c>
      <c r="EE41">
        <v>23.346499999999999</v>
      </c>
      <c r="EF41">
        <v>19.613700000000001</v>
      </c>
      <c r="EG41">
        <v>1800.19</v>
      </c>
      <c r="EH41">
        <v>0.97799899999999995</v>
      </c>
      <c r="EI41">
        <v>2.2000700000000002E-2</v>
      </c>
      <c r="EJ41">
        <v>0</v>
      </c>
      <c r="EK41">
        <v>766.34500000000003</v>
      </c>
      <c r="EL41">
        <v>4.9995000000000003</v>
      </c>
      <c r="EM41">
        <v>14727.5</v>
      </c>
      <c r="EN41">
        <v>16661.599999999999</v>
      </c>
      <c r="EO41">
        <v>48.061999999999998</v>
      </c>
      <c r="EP41">
        <v>49.25</v>
      </c>
      <c r="EQ41">
        <v>49</v>
      </c>
      <c r="ER41">
        <v>48</v>
      </c>
      <c r="ES41">
        <v>49.311999999999998</v>
      </c>
      <c r="ET41">
        <v>1755.69</v>
      </c>
      <c r="EU41">
        <v>39.5</v>
      </c>
      <c r="EV41">
        <v>0</v>
      </c>
      <c r="EW41">
        <v>100.7999999523163</v>
      </c>
      <c r="EX41">
        <v>0</v>
      </c>
      <c r="EY41">
        <v>766.13775999999996</v>
      </c>
      <c r="EZ41">
        <v>2.6977692376392022</v>
      </c>
      <c r="FA41">
        <v>47.161538548230482</v>
      </c>
      <c r="FB41">
        <v>14717.644</v>
      </c>
      <c r="FC41">
        <v>15</v>
      </c>
      <c r="FD41">
        <v>1693326063.0999999</v>
      </c>
      <c r="FE41" t="s">
        <v>546</v>
      </c>
      <c r="FF41">
        <v>1693326063.0999999</v>
      </c>
      <c r="FG41">
        <v>1693326060.5999999</v>
      </c>
      <c r="FH41">
        <v>28</v>
      </c>
      <c r="FI41">
        <v>7.0999999999999994E-2</v>
      </c>
      <c r="FJ41">
        <v>-4.0000000000000001E-3</v>
      </c>
      <c r="FK41">
        <v>-2.1819999999999999</v>
      </c>
      <c r="FL41">
        <v>0.19</v>
      </c>
      <c r="FM41">
        <v>700</v>
      </c>
      <c r="FN41">
        <v>23</v>
      </c>
      <c r="FO41">
        <v>0.09</v>
      </c>
      <c r="FP41">
        <v>0.04</v>
      </c>
      <c r="FQ41">
        <v>50.575111761053947</v>
      </c>
      <c r="FR41">
        <v>-0.50078522766127431</v>
      </c>
      <c r="FS41">
        <v>0.1248757405579085</v>
      </c>
      <c r="FT41">
        <v>1</v>
      </c>
      <c r="FU41">
        <v>0.37850456551620643</v>
      </c>
      <c r="FV41">
        <v>3.329088695204023E-2</v>
      </c>
      <c r="FW41">
        <v>3.288454057950457E-3</v>
      </c>
      <c r="FX41">
        <v>1</v>
      </c>
      <c r="FY41">
        <v>2</v>
      </c>
      <c r="FZ41">
        <v>2</v>
      </c>
      <c r="GA41" t="s">
        <v>421</v>
      </c>
      <c r="GB41">
        <v>2.9712800000000001</v>
      </c>
      <c r="GC41">
        <v>2.8118300000000001</v>
      </c>
      <c r="GD41">
        <v>0.13647400000000001</v>
      </c>
      <c r="GE41">
        <v>0.14402599999999999</v>
      </c>
      <c r="GF41">
        <v>0.136072</v>
      </c>
      <c r="GG41">
        <v>0.115634</v>
      </c>
      <c r="GH41">
        <v>25529.7</v>
      </c>
      <c r="GI41">
        <v>23388.7</v>
      </c>
      <c r="GJ41">
        <v>26569.599999999999</v>
      </c>
      <c r="GK41">
        <v>25775.8</v>
      </c>
      <c r="GL41">
        <v>31231.200000000001</v>
      </c>
      <c r="GM41">
        <v>32125.5</v>
      </c>
      <c r="GN41">
        <v>37630.5</v>
      </c>
      <c r="GO41">
        <v>38150.300000000003</v>
      </c>
      <c r="GP41">
        <v>1.9825999999999999</v>
      </c>
      <c r="GQ41">
        <v>2.0114999999999998</v>
      </c>
      <c r="GR41">
        <v>4.8637399999999997E-2</v>
      </c>
      <c r="GS41">
        <v>0</v>
      </c>
      <c r="GT41">
        <v>29.2271</v>
      </c>
      <c r="GU41">
        <v>999.9</v>
      </c>
      <c r="GV41">
        <v>57.2</v>
      </c>
      <c r="GW41">
        <v>33.700000000000003</v>
      </c>
      <c r="GX41">
        <v>30.348099999999999</v>
      </c>
      <c r="GY41">
        <v>61.329000000000001</v>
      </c>
      <c r="GZ41">
        <v>13.4375</v>
      </c>
      <c r="HA41">
        <v>1</v>
      </c>
      <c r="HB41">
        <v>0.245366</v>
      </c>
      <c r="HC41">
        <v>1.33758</v>
      </c>
      <c r="HD41">
        <v>20.249700000000001</v>
      </c>
      <c r="HE41">
        <v>5.2088999999999999</v>
      </c>
      <c r="HF41">
        <v>11.9321</v>
      </c>
      <c r="HG41">
        <v>4.9878</v>
      </c>
      <c r="HH41">
        <v>3.2909999999999999</v>
      </c>
      <c r="HI41">
        <v>9999</v>
      </c>
      <c r="HJ41">
        <v>9999</v>
      </c>
      <c r="HK41">
        <v>9999</v>
      </c>
      <c r="HL41">
        <v>999.9</v>
      </c>
      <c r="HM41">
        <v>1.87073</v>
      </c>
      <c r="HN41">
        <v>1.8769199999999999</v>
      </c>
      <c r="HO41">
        <v>1.87469</v>
      </c>
      <c r="HP41">
        <v>1.87294</v>
      </c>
      <c r="HQ41">
        <v>1.87347</v>
      </c>
      <c r="HR41">
        <v>1.8708499999999999</v>
      </c>
      <c r="HS41">
        <v>1.8766799999999999</v>
      </c>
      <c r="HT41">
        <v>1.87582</v>
      </c>
      <c r="HU41">
        <v>5</v>
      </c>
      <c r="HV41">
        <v>0</v>
      </c>
      <c r="HW41">
        <v>0</v>
      </c>
      <c r="HX41">
        <v>0</v>
      </c>
      <c r="HY41" t="s">
        <v>422</v>
      </c>
      <c r="HZ41" t="s">
        <v>423</v>
      </c>
      <c r="IA41" t="s">
        <v>424</v>
      </c>
      <c r="IB41" t="s">
        <v>424</v>
      </c>
      <c r="IC41" t="s">
        <v>424</v>
      </c>
      <c r="ID41" t="s">
        <v>424</v>
      </c>
      <c r="IE41">
        <v>0</v>
      </c>
      <c r="IF41">
        <v>100</v>
      </c>
      <c r="IG41">
        <v>100</v>
      </c>
      <c r="IH41">
        <v>-2.1219999999999999</v>
      </c>
      <c r="II41">
        <v>0.45960000000000001</v>
      </c>
      <c r="IJ41">
        <v>-1.0418170805696589</v>
      </c>
      <c r="IK41">
        <v>-2.677719669153116E-3</v>
      </c>
      <c r="IL41">
        <v>1.9353498771248068E-6</v>
      </c>
      <c r="IM41">
        <v>-6.1862177325538213E-10</v>
      </c>
      <c r="IN41">
        <v>-0.18408886529826149</v>
      </c>
      <c r="IO41">
        <v>-1.5299015507423901E-2</v>
      </c>
      <c r="IP41">
        <v>1.742162107778985E-3</v>
      </c>
      <c r="IQ41">
        <v>-1.472690239905804E-5</v>
      </c>
      <c r="IR41">
        <v>3</v>
      </c>
      <c r="IS41">
        <v>2255</v>
      </c>
      <c r="IT41">
        <v>2</v>
      </c>
      <c r="IU41">
        <v>41</v>
      </c>
      <c r="IV41">
        <v>0.5</v>
      </c>
      <c r="IW41">
        <v>0.5</v>
      </c>
      <c r="IX41">
        <v>1.49658</v>
      </c>
      <c r="IY41">
        <v>2.49146</v>
      </c>
      <c r="IZ41">
        <v>1.5991200000000001</v>
      </c>
      <c r="JA41">
        <v>2.2790499999999998</v>
      </c>
      <c r="JB41">
        <v>1.5502899999999999</v>
      </c>
      <c r="JC41">
        <v>2.4133300000000002</v>
      </c>
      <c r="JD41">
        <v>39.616700000000002</v>
      </c>
      <c r="JE41">
        <v>23.816099999999999</v>
      </c>
      <c r="JF41">
        <v>18</v>
      </c>
      <c r="JG41">
        <v>507.3</v>
      </c>
      <c r="JH41">
        <v>494.70499999999998</v>
      </c>
      <c r="JI41">
        <v>27.276499999999999</v>
      </c>
      <c r="JJ41">
        <v>30.605499999999999</v>
      </c>
      <c r="JK41">
        <v>30.0001</v>
      </c>
      <c r="JL41">
        <v>30.5943</v>
      </c>
      <c r="JM41">
        <v>30.5608</v>
      </c>
      <c r="JN41">
        <v>29.959599999999998</v>
      </c>
      <c r="JO41">
        <v>32.427199999999999</v>
      </c>
      <c r="JP41">
        <v>90.2226</v>
      </c>
      <c r="JQ41">
        <v>27.277200000000001</v>
      </c>
      <c r="JR41">
        <v>700</v>
      </c>
      <c r="JS41">
        <v>23.075399999999998</v>
      </c>
      <c r="JT41">
        <v>99.227400000000003</v>
      </c>
      <c r="JU41">
        <v>99.087599999999995</v>
      </c>
    </row>
    <row r="42" spans="1:281" x14ac:dyDescent="0.25">
      <c r="A42">
        <v>26</v>
      </c>
      <c r="B42">
        <v>1693326193.5999999</v>
      </c>
      <c r="C42">
        <v>3896.5</v>
      </c>
      <c r="D42" t="s">
        <v>547</v>
      </c>
      <c r="E42" t="s">
        <v>548</v>
      </c>
      <c r="F42" t="s">
        <v>413</v>
      </c>
      <c r="G42" t="s">
        <v>493</v>
      </c>
      <c r="H42" t="s">
        <v>415</v>
      </c>
      <c r="I42" t="s">
        <v>415</v>
      </c>
      <c r="J42">
        <v>1693326193.5999999</v>
      </c>
      <c r="K42">
        <f t="shared" si="0"/>
        <v>5.1620887605419528E-3</v>
      </c>
      <c r="L42">
        <f t="shared" si="1"/>
        <v>5.1620887605419528</v>
      </c>
      <c r="M42">
        <f t="shared" si="2"/>
        <v>50.738940046780755</v>
      </c>
      <c r="N42">
        <f t="shared" si="3"/>
        <v>834.048</v>
      </c>
      <c r="O42">
        <f t="shared" si="4"/>
        <v>595.39167829619134</v>
      </c>
      <c r="P42">
        <f t="shared" si="5"/>
        <v>59.025357433553097</v>
      </c>
      <c r="Q42">
        <f t="shared" si="6"/>
        <v>82.685034257817591</v>
      </c>
      <c r="R42">
        <f t="shared" si="7"/>
        <v>0.38796365204378314</v>
      </c>
      <c r="S42">
        <f t="shared" si="8"/>
        <v>2.9056073540621328</v>
      </c>
      <c r="T42">
        <f t="shared" si="9"/>
        <v>0.36131199157977995</v>
      </c>
      <c r="U42">
        <f t="shared" si="10"/>
        <v>0.2280617873719408</v>
      </c>
      <c r="V42">
        <f t="shared" si="11"/>
        <v>344.36050065835178</v>
      </c>
      <c r="W42">
        <f t="shared" si="12"/>
        <v>31.208250817892043</v>
      </c>
      <c r="X42">
        <f t="shared" si="13"/>
        <v>29.898900000000001</v>
      </c>
      <c r="Y42">
        <f t="shared" si="14"/>
        <v>4.2357714263011852</v>
      </c>
      <c r="Z42">
        <f t="shared" si="15"/>
        <v>65.402239887393534</v>
      </c>
      <c r="AA42">
        <f t="shared" si="16"/>
        <v>2.8701555555696796</v>
      </c>
      <c r="AB42">
        <f t="shared" si="17"/>
        <v>4.388466756660593</v>
      </c>
      <c r="AC42">
        <f t="shared" si="18"/>
        <v>1.3656158707315056</v>
      </c>
      <c r="AD42">
        <f t="shared" si="19"/>
        <v>-227.6481143399001</v>
      </c>
      <c r="AE42">
        <f t="shared" si="20"/>
        <v>96.72958651758205</v>
      </c>
      <c r="AF42">
        <f t="shared" si="21"/>
        <v>7.4174482799575943</v>
      </c>
      <c r="AG42">
        <f t="shared" si="22"/>
        <v>220.8594211159913</v>
      </c>
      <c r="AH42">
        <v>0</v>
      </c>
      <c r="AI42">
        <v>0</v>
      </c>
      <c r="AJ42">
        <f t="shared" si="23"/>
        <v>1</v>
      </c>
      <c r="AK42">
        <f t="shared" si="24"/>
        <v>0</v>
      </c>
      <c r="AL42">
        <f t="shared" si="25"/>
        <v>51562.867199525237</v>
      </c>
      <c r="AM42" t="s">
        <v>416</v>
      </c>
      <c r="AN42">
        <v>10238.9</v>
      </c>
      <c r="AO42">
        <v>302.21199999999999</v>
      </c>
      <c r="AP42">
        <v>4052.3</v>
      </c>
      <c r="AQ42">
        <f t="shared" si="26"/>
        <v>0.92542210596451402</v>
      </c>
      <c r="AR42">
        <v>-0.32343011824092421</v>
      </c>
      <c r="AS42" t="s">
        <v>549</v>
      </c>
      <c r="AT42">
        <v>10490.6</v>
      </c>
      <c r="AU42">
        <v>768.50096153846141</v>
      </c>
      <c r="AV42">
        <v>1217.68987395566</v>
      </c>
      <c r="AW42">
        <f t="shared" si="27"/>
        <v>0.36888613597320186</v>
      </c>
      <c r="AX42">
        <v>0.5</v>
      </c>
      <c r="AY42">
        <f t="shared" si="28"/>
        <v>1513.1430003291759</v>
      </c>
      <c r="AZ42">
        <f t="shared" si="29"/>
        <v>50.738940046780755</v>
      </c>
      <c r="BA42">
        <f t="shared" si="30"/>
        <v>279.08873728316348</v>
      </c>
      <c r="BB42">
        <f t="shared" si="31"/>
        <v>3.3745898539604871E-2</v>
      </c>
      <c r="BC42">
        <f t="shared" si="32"/>
        <v>2.3278588306200838</v>
      </c>
      <c r="BD42">
        <f t="shared" si="33"/>
        <v>257.50702674102598</v>
      </c>
      <c r="BE42" t="s">
        <v>550</v>
      </c>
      <c r="BF42">
        <v>580.74</v>
      </c>
      <c r="BG42">
        <f t="shared" si="34"/>
        <v>580.74</v>
      </c>
      <c r="BH42">
        <f t="shared" si="35"/>
        <v>0.5230805376466926</v>
      </c>
      <c r="BI42">
        <f t="shared" si="36"/>
        <v>0.70521862203628916</v>
      </c>
      <c r="BJ42">
        <f t="shared" si="37"/>
        <v>0.81652344365194318</v>
      </c>
      <c r="BK42">
        <f t="shared" si="38"/>
        <v>0.49066058852554473</v>
      </c>
      <c r="BL42">
        <f t="shared" si="39"/>
        <v>0.75587829566781906</v>
      </c>
      <c r="BM42">
        <f t="shared" si="40"/>
        <v>0.53291886810587641</v>
      </c>
      <c r="BN42">
        <f t="shared" si="41"/>
        <v>0.46708113189412359</v>
      </c>
      <c r="BO42">
        <v>5514</v>
      </c>
      <c r="BP42">
        <v>290.00000000000011</v>
      </c>
      <c r="BQ42">
        <v>1094.92</v>
      </c>
      <c r="BR42">
        <v>125</v>
      </c>
      <c r="BS42">
        <v>10490.6</v>
      </c>
      <c r="BT42">
        <v>1094.72</v>
      </c>
      <c r="BU42">
        <v>0.2</v>
      </c>
      <c r="BV42">
        <v>300.00000000000011</v>
      </c>
      <c r="BW42">
        <v>38.299999999999997</v>
      </c>
      <c r="BX42">
        <v>1217.68987395566</v>
      </c>
      <c r="BY42">
        <v>1.628757918566502</v>
      </c>
      <c r="BZ42">
        <v>-128.99772893812289</v>
      </c>
      <c r="CA42">
        <v>1.396277284191934</v>
      </c>
      <c r="CB42">
        <v>0.99673024746175742</v>
      </c>
      <c r="CC42">
        <v>-1.1369455172413801E-2</v>
      </c>
      <c r="CD42">
        <v>289.99999999999989</v>
      </c>
      <c r="CE42">
        <v>1084.19</v>
      </c>
      <c r="CF42">
        <v>645</v>
      </c>
      <c r="CG42">
        <v>10447.700000000001</v>
      </c>
      <c r="CH42">
        <v>1094.22</v>
      </c>
      <c r="CI42">
        <v>-10.029999999999999</v>
      </c>
      <c r="CW42">
        <f t="shared" si="42"/>
        <v>1799.95</v>
      </c>
      <c r="CX42">
        <f t="shared" si="43"/>
        <v>1513.1430003291759</v>
      </c>
      <c r="CY42">
        <f t="shared" si="44"/>
        <v>0.84065835180375892</v>
      </c>
      <c r="CZ42">
        <f t="shared" si="45"/>
        <v>0.19131670360751787</v>
      </c>
      <c r="DA42">
        <v>6</v>
      </c>
      <c r="DB42">
        <v>0.5</v>
      </c>
      <c r="DC42" t="s">
        <v>419</v>
      </c>
      <c r="DD42">
        <v>2</v>
      </c>
      <c r="DE42">
        <v>1693326193.5999999</v>
      </c>
      <c r="DF42">
        <v>834.048</v>
      </c>
      <c r="DG42">
        <v>900.10599999999999</v>
      </c>
      <c r="DH42">
        <v>28.9514</v>
      </c>
      <c r="DI42">
        <v>22.9358</v>
      </c>
      <c r="DJ42">
        <v>836.17</v>
      </c>
      <c r="DK42">
        <v>28.4998</v>
      </c>
      <c r="DL42">
        <v>499.964</v>
      </c>
      <c r="DM42">
        <v>99.037599999999998</v>
      </c>
      <c r="DN42">
        <v>9.9421200000000001E-2</v>
      </c>
      <c r="DO42">
        <v>30.516400000000001</v>
      </c>
      <c r="DP42">
        <v>29.898900000000001</v>
      </c>
      <c r="DQ42">
        <v>999.9</v>
      </c>
      <c r="DR42">
        <v>0</v>
      </c>
      <c r="DS42">
        <v>0</v>
      </c>
      <c r="DT42">
        <v>9960</v>
      </c>
      <c r="DU42">
        <v>0</v>
      </c>
      <c r="DV42">
        <v>261.22199999999998</v>
      </c>
      <c r="DW42">
        <v>-66.058199999999999</v>
      </c>
      <c r="DX42">
        <v>858.91499999999996</v>
      </c>
      <c r="DY42">
        <v>921.23500000000001</v>
      </c>
      <c r="DZ42">
        <v>6.0155599999999998</v>
      </c>
      <c r="EA42">
        <v>900.10599999999999</v>
      </c>
      <c r="EB42">
        <v>22.9358</v>
      </c>
      <c r="EC42">
        <v>2.8672800000000001</v>
      </c>
      <c r="ED42">
        <v>2.2715100000000001</v>
      </c>
      <c r="EE42">
        <v>23.276599999999998</v>
      </c>
      <c r="EF42">
        <v>19.4758</v>
      </c>
      <c r="EG42">
        <v>1799.95</v>
      </c>
      <c r="EH42">
        <v>0.97799599999999998</v>
      </c>
      <c r="EI42">
        <v>2.2004300000000001E-2</v>
      </c>
      <c r="EJ42">
        <v>0</v>
      </c>
      <c r="EK42">
        <v>768.23500000000001</v>
      </c>
      <c r="EL42">
        <v>4.9995000000000003</v>
      </c>
      <c r="EM42">
        <v>14760.8</v>
      </c>
      <c r="EN42">
        <v>16659.3</v>
      </c>
      <c r="EO42">
        <v>48</v>
      </c>
      <c r="EP42">
        <v>49.186999999999998</v>
      </c>
      <c r="EQ42">
        <v>48.936999999999998</v>
      </c>
      <c r="ER42">
        <v>48.061999999999998</v>
      </c>
      <c r="ES42">
        <v>49.25</v>
      </c>
      <c r="ET42">
        <v>1755.45</v>
      </c>
      <c r="EU42">
        <v>39.5</v>
      </c>
      <c r="EV42">
        <v>0</v>
      </c>
      <c r="EW42">
        <v>98.399999856948853</v>
      </c>
      <c r="EX42">
        <v>0</v>
      </c>
      <c r="EY42">
        <v>768.50096153846141</v>
      </c>
      <c r="EZ42">
        <v>-0.46916238888947659</v>
      </c>
      <c r="FA42">
        <v>-57.26495730727467</v>
      </c>
      <c r="FB42">
        <v>14768.938461538461</v>
      </c>
      <c r="FC42">
        <v>15</v>
      </c>
      <c r="FD42">
        <v>1693326161.5999999</v>
      </c>
      <c r="FE42" t="s">
        <v>551</v>
      </c>
      <c r="FF42">
        <v>1693326161.5999999</v>
      </c>
      <c r="FG42">
        <v>1693326158.0999999</v>
      </c>
      <c r="FH42">
        <v>29</v>
      </c>
      <c r="FI42">
        <v>0.16700000000000001</v>
      </c>
      <c r="FJ42">
        <v>-2E-3</v>
      </c>
      <c r="FK42">
        <v>-2.17</v>
      </c>
      <c r="FL42">
        <v>0.192</v>
      </c>
      <c r="FM42">
        <v>900</v>
      </c>
      <c r="FN42">
        <v>23</v>
      </c>
      <c r="FO42">
        <v>0.11</v>
      </c>
      <c r="FP42">
        <v>0.03</v>
      </c>
      <c r="FQ42">
        <v>50.532595665508772</v>
      </c>
      <c r="FR42">
        <v>-0.38787012699930951</v>
      </c>
      <c r="FS42">
        <v>0.13673461181013999</v>
      </c>
      <c r="FT42">
        <v>1</v>
      </c>
      <c r="FU42">
        <v>0.39260684187412648</v>
      </c>
      <c r="FV42">
        <v>-2.4379059997487219E-2</v>
      </c>
      <c r="FW42">
        <v>2.4430006442222648E-3</v>
      </c>
      <c r="FX42">
        <v>1</v>
      </c>
      <c r="FY42">
        <v>2</v>
      </c>
      <c r="FZ42">
        <v>2</v>
      </c>
      <c r="GA42" t="s">
        <v>421</v>
      </c>
      <c r="GB42">
        <v>2.9706800000000002</v>
      </c>
      <c r="GC42">
        <v>2.8107700000000002</v>
      </c>
      <c r="GD42">
        <v>0.16425600000000001</v>
      </c>
      <c r="GE42">
        <v>0.170573</v>
      </c>
      <c r="GF42">
        <v>0.135683</v>
      </c>
      <c r="GG42">
        <v>0.11493399999999999</v>
      </c>
      <c r="GH42">
        <v>24707</v>
      </c>
      <c r="GI42">
        <v>22661.4</v>
      </c>
      <c r="GJ42">
        <v>26569</v>
      </c>
      <c r="GK42">
        <v>25774.5</v>
      </c>
      <c r="GL42">
        <v>31246.1</v>
      </c>
      <c r="GM42">
        <v>32151.599999999999</v>
      </c>
      <c r="GN42">
        <v>37628.400000000001</v>
      </c>
      <c r="GO42">
        <v>38148.800000000003</v>
      </c>
      <c r="GP42">
        <v>1.9816</v>
      </c>
      <c r="GQ42">
        <v>2.0106000000000002</v>
      </c>
      <c r="GR42">
        <v>4.7609199999999997E-2</v>
      </c>
      <c r="GS42">
        <v>0</v>
      </c>
      <c r="GT42">
        <v>29.1235</v>
      </c>
      <c r="GU42">
        <v>999.9</v>
      </c>
      <c r="GV42">
        <v>57.1</v>
      </c>
      <c r="GW42">
        <v>33.799999999999997</v>
      </c>
      <c r="GX42">
        <v>30.462599999999998</v>
      </c>
      <c r="GY42">
        <v>61.409100000000002</v>
      </c>
      <c r="GZ42">
        <v>12.636200000000001</v>
      </c>
      <c r="HA42">
        <v>1</v>
      </c>
      <c r="HB42">
        <v>0.24606700000000001</v>
      </c>
      <c r="HC42">
        <v>0.58934600000000004</v>
      </c>
      <c r="HD42">
        <v>20.2531</v>
      </c>
      <c r="HE42">
        <v>5.1981200000000003</v>
      </c>
      <c r="HF42">
        <v>11.9321</v>
      </c>
      <c r="HG42">
        <v>4.984</v>
      </c>
      <c r="HH42">
        <v>3.2888999999999999</v>
      </c>
      <c r="HI42">
        <v>9999</v>
      </c>
      <c r="HJ42">
        <v>9999</v>
      </c>
      <c r="HK42">
        <v>9999</v>
      </c>
      <c r="HL42">
        <v>999.9</v>
      </c>
      <c r="HM42">
        <v>1.87073</v>
      </c>
      <c r="HN42">
        <v>1.8769800000000001</v>
      </c>
      <c r="HO42">
        <v>1.87469</v>
      </c>
      <c r="HP42">
        <v>1.8729199999999999</v>
      </c>
      <c r="HQ42">
        <v>1.87347</v>
      </c>
      <c r="HR42">
        <v>1.87087</v>
      </c>
      <c r="HS42">
        <v>1.8767</v>
      </c>
      <c r="HT42">
        <v>1.87581</v>
      </c>
      <c r="HU42">
        <v>5</v>
      </c>
      <c r="HV42">
        <v>0</v>
      </c>
      <c r="HW42">
        <v>0</v>
      </c>
      <c r="HX42">
        <v>0</v>
      </c>
      <c r="HY42" t="s">
        <v>422</v>
      </c>
      <c r="HZ42" t="s">
        <v>423</v>
      </c>
      <c r="IA42" t="s">
        <v>424</v>
      </c>
      <c r="IB42" t="s">
        <v>424</v>
      </c>
      <c r="IC42" t="s">
        <v>424</v>
      </c>
      <c r="ID42" t="s">
        <v>424</v>
      </c>
      <c r="IE42">
        <v>0</v>
      </c>
      <c r="IF42">
        <v>100</v>
      </c>
      <c r="IG42">
        <v>100</v>
      </c>
      <c r="IH42">
        <v>-2.1219999999999999</v>
      </c>
      <c r="II42">
        <v>0.4516</v>
      </c>
      <c r="IJ42">
        <v>-0.87478772229250579</v>
      </c>
      <c r="IK42">
        <v>-2.677719669153116E-3</v>
      </c>
      <c r="IL42">
        <v>1.9353498771248068E-6</v>
      </c>
      <c r="IM42">
        <v>-6.1862177325538213E-10</v>
      </c>
      <c r="IN42">
        <v>-0.1865701277683843</v>
      </c>
      <c r="IO42">
        <v>-1.5299015507423901E-2</v>
      </c>
      <c r="IP42">
        <v>1.742162107778985E-3</v>
      </c>
      <c r="IQ42">
        <v>-1.472690239905804E-5</v>
      </c>
      <c r="IR42">
        <v>3</v>
      </c>
      <c r="IS42">
        <v>2255</v>
      </c>
      <c r="IT42">
        <v>2</v>
      </c>
      <c r="IU42">
        <v>41</v>
      </c>
      <c r="IV42">
        <v>0.5</v>
      </c>
      <c r="IW42">
        <v>0.6</v>
      </c>
      <c r="IX42">
        <v>1.8371599999999999</v>
      </c>
      <c r="IY42">
        <v>2.50122</v>
      </c>
      <c r="IZ42">
        <v>1.6003400000000001</v>
      </c>
      <c r="JA42">
        <v>2.2778299999999998</v>
      </c>
      <c r="JB42">
        <v>1.5502899999999999</v>
      </c>
      <c r="JC42">
        <v>2.2204600000000001</v>
      </c>
      <c r="JD42">
        <v>39.666899999999998</v>
      </c>
      <c r="JE42">
        <v>23.7986</v>
      </c>
      <c r="JF42">
        <v>18</v>
      </c>
      <c r="JG42">
        <v>506.92200000000003</v>
      </c>
      <c r="JH42">
        <v>494.38600000000002</v>
      </c>
      <c r="JI42">
        <v>27.7563</v>
      </c>
      <c r="JJ42">
        <v>30.634499999999999</v>
      </c>
      <c r="JK42">
        <v>30.0002</v>
      </c>
      <c r="JL42">
        <v>30.626200000000001</v>
      </c>
      <c r="JM42">
        <v>30.593299999999999</v>
      </c>
      <c r="JN42">
        <v>36.788400000000003</v>
      </c>
      <c r="JO42">
        <v>33.3157</v>
      </c>
      <c r="JP42">
        <v>88.566199999999995</v>
      </c>
      <c r="JQ42">
        <v>27.757400000000001</v>
      </c>
      <c r="JR42">
        <v>900</v>
      </c>
      <c r="JS42">
        <v>22.892299999999999</v>
      </c>
      <c r="JT42">
        <v>99.223200000000006</v>
      </c>
      <c r="JU42">
        <v>99.083200000000005</v>
      </c>
    </row>
    <row r="43" spans="1:281" x14ac:dyDescent="0.25">
      <c r="A43">
        <v>27</v>
      </c>
      <c r="B43">
        <v>1693326300.0999999</v>
      </c>
      <c r="C43">
        <v>4003</v>
      </c>
      <c r="D43" t="s">
        <v>552</v>
      </c>
      <c r="E43" t="s">
        <v>553</v>
      </c>
      <c r="F43" t="s">
        <v>413</v>
      </c>
      <c r="G43" t="s">
        <v>493</v>
      </c>
      <c r="H43" t="s">
        <v>415</v>
      </c>
      <c r="I43" t="s">
        <v>415</v>
      </c>
      <c r="J43">
        <v>1693326300.0999999</v>
      </c>
      <c r="K43">
        <f t="shared" si="0"/>
        <v>5.0484401204031037E-3</v>
      </c>
      <c r="L43">
        <f t="shared" si="1"/>
        <v>5.0484401204031037</v>
      </c>
      <c r="M43">
        <f t="shared" si="2"/>
        <v>50.14637886089853</v>
      </c>
      <c r="N43">
        <f t="shared" si="3"/>
        <v>1133.1500000000001</v>
      </c>
      <c r="O43">
        <f t="shared" si="4"/>
        <v>879.16888585968275</v>
      </c>
      <c r="P43">
        <f t="shared" si="5"/>
        <v>87.1583242637046</v>
      </c>
      <c r="Q43">
        <f t="shared" si="6"/>
        <v>112.33729574363001</v>
      </c>
      <c r="R43">
        <f t="shared" si="7"/>
        <v>0.36877596646140282</v>
      </c>
      <c r="S43">
        <f t="shared" si="8"/>
        <v>2.9108570524138475</v>
      </c>
      <c r="T43">
        <f t="shared" si="9"/>
        <v>0.3446478409764126</v>
      </c>
      <c r="U43">
        <f t="shared" si="10"/>
        <v>0.2174410280348531</v>
      </c>
      <c r="V43">
        <f t="shared" si="11"/>
        <v>344.37000065833354</v>
      </c>
      <c r="W43">
        <f t="shared" si="12"/>
        <v>31.402823836484011</v>
      </c>
      <c r="X43">
        <f t="shared" si="13"/>
        <v>30.082999999999998</v>
      </c>
      <c r="Y43">
        <f t="shared" si="14"/>
        <v>4.2808035067996828</v>
      </c>
      <c r="Z43">
        <f t="shared" si="15"/>
        <v>65.030649383225111</v>
      </c>
      <c r="AA43">
        <f t="shared" si="16"/>
        <v>2.8810850761003199</v>
      </c>
      <c r="AB43">
        <f t="shared" si="17"/>
        <v>4.4303495404483932</v>
      </c>
      <c r="AC43">
        <f t="shared" si="18"/>
        <v>1.3997184306993629</v>
      </c>
      <c r="AD43">
        <f t="shared" si="19"/>
        <v>-222.63620930977686</v>
      </c>
      <c r="AE43">
        <f t="shared" si="20"/>
        <v>94.079610183136765</v>
      </c>
      <c r="AF43">
        <f t="shared" si="21"/>
        <v>7.2137138931256706</v>
      </c>
      <c r="AG43">
        <f t="shared" si="22"/>
        <v>223.0271154248191</v>
      </c>
      <c r="AH43">
        <v>0</v>
      </c>
      <c r="AI43">
        <v>0</v>
      </c>
      <c r="AJ43">
        <f t="shared" si="23"/>
        <v>1</v>
      </c>
      <c r="AK43">
        <f t="shared" si="24"/>
        <v>0</v>
      </c>
      <c r="AL43">
        <f t="shared" si="25"/>
        <v>51683.473216311257</v>
      </c>
      <c r="AM43" t="s">
        <v>416</v>
      </c>
      <c r="AN43">
        <v>10238.9</v>
      </c>
      <c r="AO43">
        <v>302.21199999999999</v>
      </c>
      <c r="AP43">
        <v>4052.3</v>
      </c>
      <c r="AQ43">
        <f t="shared" si="26"/>
        <v>0.92542210596451402</v>
      </c>
      <c r="AR43">
        <v>-0.32343011824092421</v>
      </c>
      <c r="AS43" t="s">
        <v>554</v>
      </c>
      <c r="AT43">
        <v>10473.9</v>
      </c>
      <c r="AU43">
        <v>767.19704000000002</v>
      </c>
      <c r="AV43">
        <v>1225.4916541797979</v>
      </c>
      <c r="AW43">
        <f t="shared" si="27"/>
        <v>0.37396796021962897</v>
      </c>
      <c r="AX43">
        <v>0.5</v>
      </c>
      <c r="AY43">
        <f t="shared" si="28"/>
        <v>1513.1850003291668</v>
      </c>
      <c r="AZ43">
        <f t="shared" si="29"/>
        <v>50.14637886089853</v>
      </c>
      <c r="BA43">
        <f t="shared" si="30"/>
        <v>282.94135400401854</v>
      </c>
      <c r="BB43">
        <f t="shared" si="31"/>
        <v>3.3353363249147082E-2</v>
      </c>
      <c r="BC43">
        <f t="shared" si="32"/>
        <v>2.3066728656851931</v>
      </c>
      <c r="BD43">
        <f t="shared" si="33"/>
        <v>257.85417093393312</v>
      </c>
      <c r="BE43" t="s">
        <v>555</v>
      </c>
      <c r="BF43">
        <v>577.85</v>
      </c>
      <c r="BG43">
        <f t="shared" si="34"/>
        <v>577.85</v>
      </c>
      <c r="BH43">
        <f t="shared" si="35"/>
        <v>0.52847496102554381</v>
      </c>
      <c r="BI43">
        <f t="shared" si="36"/>
        <v>0.70763609971968611</v>
      </c>
      <c r="BJ43">
        <f t="shared" si="37"/>
        <v>0.81359879860703188</v>
      </c>
      <c r="BK43">
        <f t="shared" si="38"/>
        <v>0.49637681509068582</v>
      </c>
      <c r="BL43">
        <f t="shared" si="39"/>
        <v>0.75379786976204344</v>
      </c>
      <c r="BM43">
        <f t="shared" si="40"/>
        <v>0.53298891797473646</v>
      </c>
      <c r="BN43">
        <f t="shared" si="41"/>
        <v>0.46701108202526354</v>
      </c>
      <c r="BO43">
        <v>5516</v>
      </c>
      <c r="BP43">
        <v>290.00000000000011</v>
      </c>
      <c r="BQ43">
        <v>1100.33</v>
      </c>
      <c r="BR43">
        <v>205</v>
      </c>
      <c r="BS43">
        <v>10473.9</v>
      </c>
      <c r="BT43">
        <v>1099.77</v>
      </c>
      <c r="BU43">
        <v>0.56000000000000005</v>
      </c>
      <c r="BV43">
        <v>300.00000000000011</v>
      </c>
      <c r="BW43">
        <v>38.299999999999997</v>
      </c>
      <c r="BX43">
        <v>1225.4916541797979</v>
      </c>
      <c r="BY43">
        <v>1.3342610876591869</v>
      </c>
      <c r="BZ43">
        <v>-131.67671223501679</v>
      </c>
      <c r="CA43">
        <v>1.1438587007961689</v>
      </c>
      <c r="CB43">
        <v>0.99789152635215095</v>
      </c>
      <c r="CC43">
        <v>-1.137015884315906E-2</v>
      </c>
      <c r="CD43">
        <v>289.99999999999989</v>
      </c>
      <c r="CE43">
        <v>1088.7</v>
      </c>
      <c r="CF43">
        <v>655</v>
      </c>
      <c r="CG43">
        <v>10447.1</v>
      </c>
      <c r="CH43">
        <v>1099.45</v>
      </c>
      <c r="CI43">
        <v>-10.75</v>
      </c>
      <c r="CW43">
        <f t="shared" si="42"/>
        <v>1800</v>
      </c>
      <c r="CX43">
        <f t="shared" si="43"/>
        <v>1513.1850003291668</v>
      </c>
      <c r="CY43">
        <f t="shared" si="44"/>
        <v>0.84065833351620378</v>
      </c>
      <c r="CZ43">
        <f t="shared" si="45"/>
        <v>0.19131666703240752</v>
      </c>
      <c r="DA43">
        <v>6</v>
      </c>
      <c r="DB43">
        <v>0.5</v>
      </c>
      <c r="DC43" t="s">
        <v>419</v>
      </c>
      <c r="DD43">
        <v>2</v>
      </c>
      <c r="DE43">
        <v>1693326300.0999999</v>
      </c>
      <c r="DF43">
        <v>1133.1500000000001</v>
      </c>
      <c r="DG43">
        <v>1200.1600000000001</v>
      </c>
      <c r="DH43">
        <v>29.061599999999999</v>
      </c>
      <c r="DI43">
        <v>23.182200000000002</v>
      </c>
      <c r="DJ43">
        <v>1135.49</v>
      </c>
      <c r="DK43">
        <v>28.602900000000002</v>
      </c>
      <c r="DL43">
        <v>500.22699999999998</v>
      </c>
      <c r="DM43">
        <v>99.037300000000002</v>
      </c>
      <c r="DN43">
        <v>9.9880200000000002E-2</v>
      </c>
      <c r="DO43">
        <v>30.682500000000001</v>
      </c>
      <c r="DP43">
        <v>30.082999999999998</v>
      </c>
      <c r="DQ43">
        <v>999.9</v>
      </c>
      <c r="DR43">
        <v>0</v>
      </c>
      <c r="DS43">
        <v>0</v>
      </c>
      <c r="DT43">
        <v>9990</v>
      </c>
      <c r="DU43">
        <v>0</v>
      </c>
      <c r="DV43">
        <v>262.88400000000001</v>
      </c>
      <c r="DW43">
        <v>-67.007199999999997</v>
      </c>
      <c r="DX43">
        <v>1167.07</v>
      </c>
      <c r="DY43">
        <v>1228.6400000000001</v>
      </c>
      <c r="DZ43">
        <v>5.87941</v>
      </c>
      <c r="EA43">
        <v>1200.1600000000001</v>
      </c>
      <c r="EB43">
        <v>23.182200000000002</v>
      </c>
      <c r="EC43">
        <v>2.87818</v>
      </c>
      <c r="ED43">
        <v>2.2959000000000001</v>
      </c>
      <c r="EE43">
        <v>23.339500000000001</v>
      </c>
      <c r="EF43">
        <v>19.6477</v>
      </c>
      <c r="EG43">
        <v>1800</v>
      </c>
      <c r="EH43">
        <v>0.97799599999999998</v>
      </c>
      <c r="EI43">
        <v>2.2004300000000001E-2</v>
      </c>
      <c r="EJ43">
        <v>0</v>
      </c>
      <c r="EK43">
        <v>767.23299999999995</v>
      </c>
      <c r="EL43">
        <v>4.9995000000000003</v>
      </c>
      <c r="EM43">
        <v>14735.7</v>
      </c>
      <c r="EN43">
        <v>16659.7</v>
      </c>
      <c r="EO43">
        <v>47.936999999999998</v>
      </c>
      <c r="EP43">
        <v>49.061999999999998</v>
      </c>
      <c r="EQ43">
        <v>48.875</v>
      </c>
      <c r="ER43">
        <v>47.875</v>
      </c>
      <c r="ES43">
        <v>49.186999999999998</v>
      </c>
      <c r="ET43">
        <v>1755.5</v>
      </c>
      <c r="EU43">
        <v>39.5</v>
      </c>
      <c r="EV43">
        <v>0</v>
      </c>
      <c r="EW43">
        <v>104.5999999046326</v>
      </c>
      <c r="EX43">
        <v>0</v>
      </c>
      <c r="EY43">
        <v>767.19704000000002</v>
      </c>
      <c r="EZ43">
        <v>-0.44230770391802132</v>
      </c>
      <c r="FA43">
        <v>-21.630769241283971</v>
      </c>
      <c r="FB43">
        <v>14737.804</v>
      </c>
      <c r="FC43">
        <v>15</v>
      </c>
      <c r="FD43">
        <v>1693326265.0999999</v>
      </c>
      <c r="FE43" t="s">
        <v>556</v>
      </c>
      <c r="FF43">
        <v>1693326263.0999999</v>
      </c>
      <c r="FG43">
        <v>1693326265.0999999</v>
      </c>
      <c r="FH43">
        <v>30</v>
      </c>
      <c r="FI43">
        <v>-1.6E-2</v>
      </c>
      <c r="FJ43">
        <v>2E-3</v>
      </c>
      <c r="FK43">
        <v>-2.3889999999999998</v>
      </c>
      <c r="FL43">
        <v>0.19</v>
      </c>
      <c r="FM43">
        <v>1200</v>
      </c>
      <c r="FN43">
        <v>23</v>
      </c>
      <c r="FO43">
        <v>0.23</v>
      </c>
      <c r="FP43">
        <v>0.05</v>
      </c>
      <c r="FQ43">
        <v>49.91221366540092</v>
      </c>
      <c r="FR43">
        <v>-0.63192266748446158</v>
      </c>
      <c r="FS43">
        <v>0.18054900488132319</v>
      </c>
      <c r="FT43">
        <v>1</v>
      </c>
      <c r="FU43">
        <v>0.37398382697454718</v>
      </c>
      <c r="FV43">
        <v>-1.485481872002749E-2</v>
      </c>
      <c r="FW43">
        <v>2.155938013123465E-3</v>
      </c>
      <c r="FX43">
        <v>1</v>
      </c>
      <c r="FY43">
        <v>2</v>
      </c>
      <c r="FZ43">
        <v>2</v>
      </c>
      <c r="GA43" t="s">
        <v>421</v>
      </c>
      <c r="GB43">
        <v>2.9713799999999999</v>
      </c>
      <c r="GC43">
        <v>2.81149</v>
      </c>
      <c r="GD43">
        <v>0.200457</v>
      </c>
      <c r="GE43">
        <v>0.20533499999999999</v>
      </c>
      <c r="GF43">
        <v>0.13602500000000001</v>
      </c>
      <c r="GG43">
        <v>0.115797</v>
      </c>
      <c r="GH43">
        <v>23636.7</v>
      </c>
      <c r="GI43">
        <v>21712.2</v>
      </c>
      <c r="GJ43">
        <v>26569.9</v>
      </c>
      <c r="GK43">
        <v>25776.3</v>
      </c>
      <c r="GL43">
        <v>31238.3</v>
      </c>
      <c r="GM43">
        <v>32124.400000000001</v>
      </c>
      <c r="GN43">
        <v>37631.199999999997</v>
      </c>
      <c r="GO43">
        <v>38150.800000000003</v>
      </c>
      <c r="GP43">
        <v>1.9829000000000001</v>
      </c>
      <c r="GQ43">
        <v>2.0116000000000001</v>
      </c>
      <c r="GR43">
        <v>5.8412600000000002E-2</v>
      </c>
      <c r="GS43">
        <v>0</v>
      </c>
      <c r="GT43">
        <v>29.131799999999998</v>
      </c>
      <c r="GU43">
        <v>999.9</v>
      </c>
      <c r="GV43">
        <v>56.9</v>
      </c>
      <c r="GW43">
        <v>33.9</v>
      </c>
      <c r="GX43">
        <v>30.5274</v>
      </c>
      <c r="GY43">
        <v>61.659100000000002</v>
      </c>
      <c r="GZ43">
        <v>13.088900000000001</v>
      </c>
      <c r="HA43">
        <v>1</v>
      </c>
      <c r="HB43">
        <v>0.24609800000000001</v>
      </c>
      <c r="HC43">
        <v>1.35521</v>
      </c>
      <c r="HD43">
        <v>20.249300000000002</v>
      </c>
      <c r="HE43">
        <v>5.2083000000000004</v>
      </c>
      <c r="HF43">
        <v>11.9321</v>
      </c>
      <c r="HG43">
        <v>4.9871999999999996</v>
      </c>
      <c r="HH43">
        <v>3.2909999999999999</v>
      </c>
      <c r="HI43">
        <v>9999</v>
      </c>
      <c r="HJ43">
        <v>9999</v>
      </c>
      <c r="HK43">
        <v>9999</v>
      </c>
      <c r="HL43">
        <v>999.9</v>
      </c>
      <c r="HM43">
        <v>1.87073</v>
      </c>
      <c r="HN43">
        <v>1.87696</v>
      </c>
      <c r="HO43">
        <v>1.87469</v>
      </c>
      <c r="HP43">
        <v>1.8728899999999999</v>
      </c>
      <c r="HQ43">
        <v>1.87344</v>
      </c>
      <c r="HR43">
        <v>1.8708100000000001</v>
      </c>
      <c r="HS43">
        <v>1.8767</v>
      </c>
      <c r="HT43">
        <v>1.87578</v>
      </c>
      <c r="HU43">
        <v>5</v>
      </c>
      <c r="HV43">
        <v>0</v>
      </c>
      <c r="HW43">
        <v>0</v>
      </c>
      <c r="HX43">
        <v>0</v>
      </c>
      <c r="HY43" t="s">
        <v>422</v>
      </c>
      <c r="HZ43" t="s">
        <v>423</v>
      </c>
      <c r="IA43" t="s">
        <v>424</v>
      </c>
      <c r="IB43" t="s">
        <v>424</v>
      </c>
      <c r="IC43" t="s">
        <v>424</v>
      </c>
      <c r="ID43" t="s">
        <v>424</v>
      </c>
      <c r="IE43">
        <v>0</v>
      </c>
      <c r="IF43">
        <v>100</v>
      </c>
      <c r="IG43">
        <v>100</v>
      </c>
      <c r="IH43">
        <v>-2.34</v>
      </c>
      <c r="II43">
        <v>0.4587</v>
      </c>
      <c r="IJ43">
        <v>-0.89166867553807228</v>
      </c>
      <c r="IK43">
        <v>-2.677719669153116E-3</v>
      </c>
      <c r="IL43">
        <v>1.9353498771248068E-6</v>
      </c>
      <c r="IM43">
        <v>-6.1862177325538213E-10</v>
      </c>
      <c r="IN43">
        <v>-0.18439596045207579</v>
      </c>
      <c r="IO43">
        <v>-1.5299015507423901E-2</v>
      </c>
      <c r="IP43">
        <v>1.742162107778985E-3</v>
      </c>
      <c r="IQ43">
        <v>-1.472690239905804E-5</v>
      </c>
      <c r="IR43">
        <v>3</v>
      </c>
      <c r="IS43">
        <v>2255</v>
      </c>
      <c r="IT43">
        <v>2</v>
      </c>
      <c r="IU43">
        <v>41</v>
      </c>
      <c r="IV43">
        <v>0.6</v>
      </c>
      <c r="IW43">
        <v>0.6</v>
      </c>
      <c r="IX43">
        <v>2.3290999999999999</v>
      </c>
      <c r="IY43">
        <v>2.4890099999999999</v>
      </c>
      <c r="IZ43">
        <v>1.5991200000000001</v>
      </c>
      <c r="JA43">
        <v>2.2778299999999998</v>
      </c>
      <c r="JB43">
        <v>1.5502899999999999</v>
      </c>
      <c r="JC43">
        <v>2.4279799999999998</v>
      </c>
      <c r="JD43">
        <v>39.717100000000002</v>
      </c>
      <c r="JE43">
        <v>23.807300000000001</v>
      </c>
      <c r="JF43">
        <v>18</v>
      </c>
      <c r="JG43">
        <v>507.733</v>
      </c>
      <c r="JH43">
        <v>495.03699999999998</v>
      </c>
      <c r="JI43">
        <v>27.4879</v>
      </c>
      <c r="JJ43">
        <v>30.613299999999999</v>
      </c>
      <c r="JK43">
        <v>30.000299999999999</v>
      </c>
      <c r="JL43">
        <v>30.6235</v>
      </c>
      <c r="JM43">
        <v>30.592500000000001</v>
      </c>
      <c r="JN43">
        <v>46.6402</v>
      </c>
      <c r="JO43">
        <v>32.3857</v>
      </c>
      <c r="JP43">
        <v>87.096900000000005</v>
      </c>
      <c r="JQ43">
        <v>27.498799999999999</v>
      </c>
      <c r="JR43">
        <v>1200</v>
      </c>
      <c r="JS43">
        <v>23.2197</v>
      </c>
      <c r="JT43">
        <v>99.228999999999999</v>
      </c>
      <c r="JU43">
        <v>99.088999999999999</v>
      </c>
    </row>
    <row r="44" spans="1:281" x14ac:dyDescent="0.25">
      <c r="A44">
        <v>28</v>
      </c>
      <c r="B44">
        <v>1693326431.5999999</v>
      </c>
      <c r="C44">
        <v>4134.5</v>
      </c>
      <c r="D44" t="s">
        <v>557</v>
      </c>
      <c r="E44" t="s">
        <v>558</v>
      </c>
      <c r="F44" t="s">
        <v>413</v>
      </c>
      <c r="G44" t="s">
        <v>493</v>
      </c>
      <c r="H44" t="s">
        <v>415</v>
      </c>
      <c r="I44" t="s">
        <v>415</v>
      </c>
      <c r="J44">
        <v>1693326431.5999999</v>
      </c>
      <c r="K44">
        <f t="shared" si="0"/>
        <v>4.9535866185387344E-3</v>
      </c>
      <c r="L44">
        <f t="shared" si="1"/>
        <v>4.9535866185387345</v>
      </c>
      <c r="M44">
        <f t="shared" si="2"/>
        <v>49.047536768943225</v>
      </c>
      <c r="N44">
        <f t="shared" si="3"/>
        <v>1432.5</v>
      </c>
      <c r="O44">
        <f t="shared" si="4"/>
        <v>1176.4491994813222</v>
      </c>
      <c r="P44">
        <f t="shared" si="5"/>
        <v>116.62922312016643</v>
      </c>
      <c r="Q44">
        <f t="shared" si="6"/>
        <v>142.01323966500001</v>
      </c>
      <c r="R44">
        <f t="shared" si="7"/>
        <v>0.36764660965585527</v>
      </c>
      <c r="S44">
        <f t="shared" si="8"/>
        <v>2.9055844300310913</v>
      </c>
      <c r="T44">
        <f t="shared" si="9"/>
        <v>0.3436204106865679</v>
      </c>
      <c r="U44">
        <f t="shared" si="10"/>
        <v>0.21679043603065423</v>
      </c>
      <c r="V44">
        <f t="shared" si="11"/>
        <v>344.3776006583189</v>
      </c>
      <c r="W44">
        <f t="shared" si="12"/>
        <v>31.266761635877153</v>
      </c>
      <c r="X44">
        <f t="shared" si="13"/>
        <v>29.925899999999999</v>
      </c>
      <c r="Y44">
        <f t="shared" si="14"/>
        <v>4.2423498582657411</v>
      </c>
      <c r="Z44">
        <f t="shared" si="15"/>
        <v>65.257305448666131</v>
      </c>
      <c r="AA44">
        <f t="shared" si="16"/>
        <v>2.8644343066195996</v>
      </c>
      <c r="AB44">
        <f t="shared" si="17"/>
        <v>4.3894461883242668</v>
      </c>
      <c r="AC44">
        <f t="shared" si="18"/>
        <v>1.3779155516461414</v>
      </c>
      <c r="AD44">
        <f t="shared" si="19"/>
        <v>-218.4531698775582</v>
      </c>
      <c r="AE44">
        <f t="shared" si="20"/>
        <v>93.110303815467475</v>
      </c>
      <c r="AF44">
        <f t="shared" si="21"/>
        <v>7.1410606145261344</v>
      </c>
      <c r="AG44">
        <f t="shared" si="22"/>
        <v>226.1757952107543</v>
      </c>
      <c r="AH44">
        <v>0</v>
      </c>
      <c r="AI44">
        <v>0</v>
      </c>
      <c r="AJ44">
        <f t="shared" si="23"/>
        <v>1</v>
      </c>
      <c r="AK44">
        <f t="shared" si="24"/>
        <v>0</v>
      </c>
      <c r="AL44">
        <f t="shared" si="25"/>
        <v>51561.527834350105</v>
      </c>
      <c r="AM44" t="s">
        <v>416</v>
      </c>
      <c r="AN44">
        <v>10238.9</v>
      </c>
      <c r="AO44">
        <v>302.21199999999999</v>
      </c>
      <c r="AP44">
        <v>4052.3</v>
      </c>
      <c r="AQ44">
        <f t="shared" si="26"/>
        <v>0.92542210596451402</v>
      </c>
      <c r="AR44">
        <v>-0.32343011824092421</v>
      </c>
      <c r="AS44" t="s">
        <v>559</v>
      </c>
      <c r="AT44">
        <v>10486.7</v>
      </c>
      <c r="AU44">
        <v>764.89692000000014</v>
      </c>
      <c r="AV44">
        <v>1218.9405154833009</v>
      </c>
      <c r="AW44">
        <f t="shared" si="27"/>
        <v>0.3724903633244776</v>
      </c>
      <c r="AX44">
        <v>0.5</v>
      </c>
      <c r="AY44">
        <f t="shared" si="28"/>
        <v>1513.2186003291592</v>
      </c>
      <c r="AZ44">
        <f t="shared" si="29"/>
        <v>49.047536768943225</v>
      </c>
      <c r="BA44">
        <f t="shared" si="30"/>
        <v>281.82967311298302</v>
      </c>
      <c r="BB44">
        <f t="shared" si="31"/>
        <v>3.2626460497144856E-2</v>
      </c>
      <c r="BC44">
        <f t="shared" si="32"/>
        <v>2.3244444240934046</v>
      </c>
      <c r="BD44">
        <f t="shared" si="33"/>
        <v>257.5629105560983</v>
      </c>
      <c r="BE44" t="s">
        <v>560</v>
      </c>
      <c r="BF44">
        <v>580.02</v>
      </c>
      <c r="BG44">
        <f t="shared" si="34"/>
        <v>580.02</v>
      </c>
      <c r="BH44">
        <f t="shared" si="35"/>
        <v>0.52416053725966583</v>
      </c>
      <c r="BI44">
        <f t="shared" si="36"/>
        <v>0.71064175352054071</v>
      </c>
      <c r="BJ44">
        <f t="shared" si="37"/>
        <v>0.81599395340142467</v>
      </c>
      <c r="BK44">
        <f t="shared" si="38"/>
        <v>0.49528686826538626</v>
      </c>
      <c r="BL44">
        <f t="shared" si="39"/>
        <v>0.75554479908650118</v>
      </c>
      <c r="BM44">
        <f t="shared" si="40"/>
        <v>0.53887840191196468</v>
      </c>
      <c r="BN44">
        <f t="shared" si="41"/>
        <v>0.46112159808803532</v>
      </c>
      <c r="BO44">
        <v>5518</v>
      </c>
      <c r="BP44">
        <v>290.00000000000011</v>
      </c>
      <c r="BQ44">
        <v>1099.4100000000001</v>
      </c>
      <c r="BR44">
        <v>145</v>
      </c>
      <c r="BS44">
        <v>10486.7</v>
      </c>
      <c r="BT44">
        <v>1097.94</v>
      </c>
      <c r="BU44">
        <v>1.47</v>
      </c>
      <c r="BV44">
        <v>300.00000000000011</v>
      </c>
      <c r="BW44">
        <v>38.299999999999997</v>
      </c>
      <c r="BX44">
        <v>1218.9405154833009</v>
      </c>
      <c r="BY44">
        <v>1.5328743373397551</v>
      </c>
      <c r="BZ44">
        <v>-126.8873026243438</v>
      </c>
      <c r="CA44">
        <v>1.314184197263675</v>
      </c>
      <c r="CB44">
        <v>0.99700544899958121</v>
      </c>
      <c r="CC44">
        <v>-1.137044293659622E-2</v>
      </c>
      <c r="CD44">
        <v>289.99999999999989</v>
      </c>
      <c r="CE44">
        <v>1088.3699999999999</v>
      </c>
      <c r="CF44">
        <v>655</v>
      </c>
      <c r="CG44">
        <v>10447.5</v>
      </c>
      <c r="CH44">
        <v>1097.49</v>
      </c>
      <c r="CI44">
        <v>-9.1199999999999992</v>
      </c>
      <c r="CW44">
        <f t="shared" si="42"/>
        <v>1800.04</v>
      </c>
      <c r="CX44">
        <f t="shared" si="43"/>
        <v>1513.2186003291592</v>
      </c>
      <c r="CY44">
        <f t="shared" si="44"/>
        <v>0.84065831888689102</v>
      </c>
      <c r="CZ44">
        <f t="shared" si="45"/>
        <v>0.19131663777378219</v>
      </c>
      <c r="DA44">
        <v>6</v>
      </c>
      <c r="DB44">
        <v>0.5</v>
      </c>
      <c r="DC44" t="s">
        <v>419</v>
      </c>
      <c r="DD44">
        <v>2</v>
      </c>
      <c r="DE44">
        <v>1693326431.5999999</v>
      </c>
      <c r="DF44">
        <v>1432.5</v>
      </c>
      <c r="DG44">
        <v>1499.86</v>
      </c>
      <c r="DH44">
        <v>28.893799999999999</v>
      </c>
      <c r="DI44">
        <v>23.122299999999999</v>
      </c>
      <c r="DJ44">
        <v>1435.08</v>
      </c>
      <c r="DK44">
        <v>28.4436</v>
      </c>
      <c r="DL44">
        <v>500.09100000000001</v>
      </c>
      <c r="DM44">
        <v>99.036299999999997</v>
      </c>
      <c r="DN44">
        <v>0.100342</v>
      </c>
      <c r="DO44">
        <v>30.520299999999999</v>
      </c>
      <c r="DP44">
        <v>29.925899999999999</v>
      </c>
      <c r="DQ44">
        <v>999.9</v>
      </c>
      <c r="DR44">
        <v>0</v>
      </c>
      <c r="DS44">
        <v>0</v>
      </c>
      <c r="DT44">
        <v>9960</v>
      </c>
      <c r="DU44">
        <v>0</v>
      </c>
      <c r="DV44">
        <v>266.81599999999997</v>
      </c>
      <c r="DW44">
        <v>-67.356300000000005</v>
      </c>
      <c r="DX44">
        <v>1475.12</v>
      </c>
      <c r="DY44">
        <v>1535.36</v>
      </c>
      <c r="DZ44">
        <v>5.7714400000000001</v>
      </c>
      <c r="EA44">
        <v>1499.86</v>
      </c>
      <c r="EB44">
        <v>23.122299999999999</v>
      </c>
      <c r="EC44">
        <v>2.8615300000000001</v>
      </c>
      <c r="ED44">
        <v>2.2899500000000002</v>
      </c>
      <c r="EE44">
        <v>23.243400000000001</v>
      </c>
      <c r="EF44">
        <v>19.605899999999998</v>
      </c>
      <c r="EG44">
        <v>1800.04</v>
      </c>
      <c r="EH44">
        <v>0.97799599999999998</v>
      </c>
      <c r="EI44">
        <v>2.2004300000000001E-2</v>
      </c>
      <c r="EJ44">
        <v>0</v>
      </c>
      <c r="EK44">
        <v>764.7</v>
      </c>
      <c r="EL44">
        <v>4.9995000000000003</v>
      </c>
      <c r="EM44">
        <v>14717.8</v>
      </c>
      <c r="EN44">
        <v>16660.2</v>
      </c>
      <c r="EO44">
        <v>47.875</v>
      </c>
      <c r="EP44">
        <v>49.061999999999998</v>
      </c>
      <c r="EQ44">
        <v>48.811999999999998</v>
      </c>
      <c r="ER44">
        <v>47.875</v>
      </c>
      <c r="ES44">
        <v>49.186999999999998</v>
      </c>
      <c r="ET44">
        <v>1755.54</v>
      </c>
      <c r="EU44">
        <v>39.5</v>
      </c>
      <c r="EV44">
        <v>0</v>
      </c>
      <c r="EW44">
        <v>129.79999995231631</v>
      </c>
      <c r="EX44">
        <v>0</v>
      </c>
      <c r="EY44">
        <v>764.89692000000014</v>
      </c>
      <c r="EZ44">
        <v>-0.38984615146162022</v>
      </c>
      <c r="FA44">
        <v>-12.35384619341537</v>
      </c>
      <c r="FB44">
        <v>14716.7</v>
      </c>
      <c r="FC44">
        <v>15</v>
      </c>
      <c r="FD44">
        <v>1693326381.5999999</v>
      </c>
      <c r="FE44" t="s">
        <v>561</v>
      </c>
      <c r="FF44">
        <v>1693326381.5999999</v>
      </c>
      <c r="FG44">
        <v>1693326371.0999999</v>
      </c>
      <c r="FH44">
        <v>31</v>
      </c>
      <c r="FI44">
        <v>-5.0000000000000001E-3</v>
      </c>
      <c r="FJ44">
        <v>-1E-3</v>
      </c>
      <c r="FK44">
        <v>-2.65</v>
      </c>
      <c r="FL44">
        <v>0.20599999999999999</v>
      </c>
      <c r="FM44">
        <v>1500</v>
      </c>
      <c r="FN44">
        <v>23</v>
      </c>
      <c r="FO44">
        <v>0.15</v>
      </c>
      <c r="FP44">
        <v>0.03</v>
      </c>
      <c r="FQ44">
        <v>49.245661468962638</v>
      </c>
      <c r="FR44">
        <v>-0.42023586297922588</v>
      </c>
      <c r="FS44">
        <v>0.1968883394394334</v>
      </c>
      <c r="FT44">
        <v>1</v>
      </c>
      <c r="FU44">
        <v>0.36887151251824241</v>
      </c>
      <c r="FV44">
        <v>-1.300704508052344E-2</v>
      </c>
      <c r="FW44">
        <v>1.077152333554958E-3</v>
      </c>
      <c r="FX44">
        <v>1</v>
      </c>
      <c r="FY44">
        <v>2</v>
      </c>
      <c r="FZ44">
        <v>2</v>
      </c>
      <c r="GA44" t="s">
        <v>421</v>
      </c>
      <c r="GB44">
        <v>2.9710399999999999</v>
      </c>
      <c r="GC44">
        <v>2.81169</v>
      </c>
      <c r="GD44">
        <v>0.23194300000000001</v>
      </c>
      <c r="GE44">
        <v>0.23569999999999999</v>
      </c>
      <c r="GF44">
        <v>0.13549800000000001</v>
      </c>
      <c r="GG44">
        <v>0.115588</v>
      </c>
      <c r="GH44">
        <v>22705.8</v>
      </c>
      <c r="GI44">
        <v>20882.3</v>
      </c>
      <c r="GJ44">
        <v>26571.200000000001</v>
      </c>
      <c r="GK44">
        <v>25777.4</v>
      </c>
      <c r="GL44">
        <v>31260.400000000001</v>
      </c>
      <c r="GM44">
        <v>32135.3</v>
      </c>
      <c r="GN44">
        <v>37631.9</v>
      </c>
      <c r="GO44">
        <v>38152.1</v>
      </c>
      <c r="GP44">
        <v>1.9825999999999999</v>
      </c>
      <c r="GQ44">
        <v>2.0123000000000002</v>
      </c>
      <c r="GR44">
        <v>5.1110999999999997E-2</v>
      </c>
      <c r="GS44">
        <v>0</v>
      </c>
      <c r="GT44">
        <v>29.093499999999999</v>
      </c>
      <c r="GU44">
        <v>999.9</v>
      </c>
      <c r="GV44">
        <v>56.6</v>
      </c>
      <c r="GW44">
        <v>34</v>
      </c>
      <c r="GX44">
        <v>30.5351</v>
      </c>
      <c r="GY44">
        <v>61.339100000000002</v>
      </c>
      <c r="GZ44">
        <v>13.4655</v>
      </c>
      <c r="HA44">
        <v>1</v>
      </c>
      <c r="HB44">
        <v>0.24276400000000001</v>
      </c>
      <c r="HC44">
        <v>0.821743</v>
      </c>
      <c r="HD44">
        <v>20.254000000000001</v>
      </c>
      <c r="HE44">
        <v>5.2083000000000004</v>
      </c>
      <c r="HF44">
        <v>11.9321</v>
      </c>
      <c r="HG44">
        <v>4.9882</v>
      </c>
      <c r="HH44">
        <v>3.2909999999999999</v>
      </c>
      <c r="HI44">
        <v>9999</v>
      </c>
      <c r="HJ44">
        <v>9999</v>
      </c>
      <c r="HK44">
        <v>9999</v>
      </c>
      <c r="HL44">
        <v>999.9</v>
      </c>
      <c r="HM44">
        <v>1.87073</v>
      </c>
      <c r="HN44">
        <v>1.87696</v>
      </c>
      <c r="HO44">
        <v>1.87469</v>
      </c>
      <c r="HP44">
        <v>1.8729100000000001</v>
      </c>
      <c r="HQ44">
        <v>1.8734599999999999</v>
      </c>
      <c r="HR44">
        <v>1.8708499999999999</v>
      </c>
      <c r="HS44">
        <v>1.8767100000000001</v>
      </c>
      <c r="HT44">
        <v>1.87578</v>
      </c>
      <c r="HU44">
        <v>5</v>
      </c>
      <c r="HV44">
        <v>0</v>
      </c>
      <c r="HW44">
        <v>0</v>
      </c>
      <c r="HX44">
        <v>0</v>
      </c>
      <c r="HY44" t="s">
        <v>422</v>
      </c>
      <c r="HZ44" t="s">
        <v>423</v>
      </c>
      <c r="IA44" t="s">
        <v>424</v>
      </c>
      <c r="IB44" t="s">
        <v>424</v>
      </c>
      <c r="IC44" t="s">
        <v>424</v>
      </c>
      <c r="ID44" t="s">
        <v>424</v>
      </c>
      <c r="IE44">
        <v>0</v>
      </c>
      <c r="IF44">
        <v>100</v>
      </c>
      <c r="IG44">
        <v>100</v>
      </c>
      <c r="IH44">
        <v>-2.58</v>
      </c>
      <c r="II44">
        <v>0.45019999999999999</v>
      </c>
      <c r="IJ44">
        <v>-0.89672731873449463</v>
      </c>
      <c r="IK44">
        <v>-2.677719669153116E-3</v>
      </c>
      <c r="IL44">
        <v>1.9353498771248068E-6</v>
      </c>
      <c r="IM44">
        <v>-6.1862177325538213E-10</v>
      </c>
      <c r="IN44">
        <v>-0.18527339453308761</v>
      </c>
      <c r="IO44">
        <v>-1.5299015507423901E-2</v>
      </c>
      <c r="IP44">
        <v>1.742162107778985E-3</v>
      </c>
      <c r="IQ44">
        <v>-1.472690239905804E-5</v>
      </c>
      <c r="IR44">
        <v>3</v>
      </c>
      <c r="IS44">
        <v>2255</v>
      </c>
      <c r="IT44">
        <v>2</v>
      </c>
      <c r="IU44">
        <v>41</v>
      </c>
      <c r="IV44">
        <v>0.8</v>
      </c>
      <c r="IW44">
        <v>1</v>
      </c>
      <c r="IX44">
        <v>2.8002899999999999</v>
      </c>
      <c r="IY44">
        <v>2.4841299999999999</v>
      </c>
      <c r="IZ44">
        <v>1.5991200000000001</v>
      </c>
      <c r="JA44">
        <v>2.2766099999999998</v>
      </c>
      <c r="JB44">
        <v>1.5502899999999999</v>
      </c>
      <c r="JC44">
        <v>2.4218799999999998</v>
      </c>
      <c r="JD44">
        <v>39.792499999999997</v>
      </c>
      <c r="JE44">
        <v>23.816099999999999</v>
      </c>
      <c r="JF44">
        <v>18</v>
      </c>
      <c r="JG44">
        <v>507.45400000000001</v>
      </c>
      <c r="JH44">
        <v>495.44600000000003</v>
      </c>
      <c r="JI44">
        <v>27.553999999999998</v>
      </c>
      <c r="JJ44">
        <v>30.5947</v>
      </c>
      <c r="JK44">
        <v>30</v>
      </c>
      <c r="JL44">
        <v>30.6129</v>
      </c>
      <c r="JM44">
        <v>30.586400000000001</v>
      </c>
      <c r="JN44">
        <v>56.053800000000003</v>
      </c>
      <c r="JO44">
        <v>32.711300000000001</v>
      </c>
      <c r="JP44">
        <v>85.678700000000006</v>
      </c>
      <c r="JQ44">
        <v>27.555399999999999</v>
      </c>
      <c r="JR44">
        <v>1500</v>
      </c>
      <c r="JS44">
        <v>23.143000000000001</v>
      </c>
      <c r="JT44">
        <v>99.231999999999999</v>
      </c>
      <c r="JU44">
        <v>99.092699999999994</v>
      </c>
    </row>
    <row r="45" spans="1:281" x14ac:dyDescent="0.25">
      <c r="A45">
        <v>29</v>
      </c>
      <c r="B45">
        <v>1693328453.5</v>
      </c>
      <c r="C45">
        <v>6156.4000000953674</v>
      </c>
      <c r="D45" t="s">
        <v>562</v>
      </c>
      <c r="E45" t="s">
        <v>563</v>
      </c>
      <c r="F45" t="s">
        <v>413</v>
      </c>
      <c r="G45" t="s">
        <v>564</v>
      </c>
      <c r="H45" t="s">
        <v>565</v>
      </c>
      <c r="I45" t="s">
        <v>415</v>
      </c>
      <c r="J45">
        <v>1693328453.5</v>
      </c>
      <c r="K45">
        <f t="shared" si="0"/>
        <v>4.6816702328668497E-3</v>
      </c>
      <c r="L45">
        <f t="shared" si="1"/>
        <v>4.6816702328668498</v>
      </c>
      <c r="M45">
        <f t="shared" si="2"/>
        <v>44.095309162134804</v>
      </c>
      <c r="N45">
        <f t="shared" si="3"/>
        <v>345.24099999999999</v>
      </c>
      <c r="O45">
        <f t="shared" si="4"/>
        <v>117.90124048377191</v>
      </c>
      <c r="P45">
        <f t="shared" si="5"/>
        <v>11.685011378596833</v>
      </c>
      <c r="Q45">
        <f t="shared" si="6"/>
        <v>34.216306773408498</v>
      </c>
      <c r="R45">
        <f t="shared" si="7"/>
        <v>0.33527461140839521</v>
      </c>
      <c r="S45">
        <f t="shared" si="8"/>
        <v>2.9182176705095086</v>
      </c>
      <c r="T45">
        <f t="shared" si="9"/>
        <v>0.31525058686812024</v>
      </c>
      <c r="U45">
        <f t="shared" si="10"/>
        <v>0.19873096056186274</v>
      </c>
      <c r="V45">
        <f t="shared" si="11"/>
        <v>344.36680065850754</v>
      </c>
      <c r="W45">
        <f t="shared" si="12"/>
        <v>31.120017141511727</v>
      </c>
      <c r="X45">
        <f t="shared" si="13"/>
        <v>29.939499999999999</v>
      </c>
      <c r="Y45">
        <f t="shared" si="14"/>
        <v>4.2456668096383687</v>
      </c>
      <c r="Z45">
        <f t="shared" si="15"/>
        <v>65.185962542929531</v>
      </c>
      <c r="AA45">
        <f t="shared" si="16"/>
        <v>2.8263554829893001</v>
      </c>
      <c r="AB45">
        <f t="shared" si="17"/>
        <v>4.3358345458624568</v>
      </c>
      <c r="AC45">
        <f t="shared" si="18"/>
        <v>1.4193113266490687</v>
      </c>
      <c r="AD45">
        <f t="shared" si="19"/>
        <v>-206.46165726942806</v>
      </c>
      <c r="AE45">
        <f t="shared" si="20"/>
        <v>57.613129475429091</v>
      </c>
      <c r="AF45">
        <f t="shared" si="21"/>
        <v>4.3951135703599329</v>
      </c>
      <c r="AG45">
        <f t="shared" si="22"/>
        <v>199.91338643486847</v>
      </c>
      <c r="AH45">
        <v>0</v>
      </c>
      <c r="AI45">
        <v>0</v>
      </c>
      <c r="AJ45">
        <f t="shared" si="23"/>
        <v>1</v>
      </c>
      <c r="AK45">
        <f t="shared" si="24"/>
        <v>0</v>
      </c>
      <c r="AL45">
        <f t="shared" si="25"/>
        <v>51956.256558162473</v>
      </c>
      <c r="AM45" t="s">
        <v>416</v>
      </c>
      <c r="AN45">
        <v>10238.9</v>
      </c>
      <c r="AO45">
        <v>302.21199999999999</v>
      </c>
      <c r="AP45">
        <v>4052.3</v>
      </c>
      <c r="AQ45">
        <f t="shared" si="26"/>
        <v>0.92542210596451402</v>
      </c>
      <c r="AR45">
        <v>-0.32343011824092421</v>
      </c>
      <c r="AS45" t="s">
        <v>566</v>
      </c>
      <c r="AT45">
        <v>10487.6</v>
      </c>
      <c r="AU45">
        <v>763.07683999999995</v>
      </c>
      <c r="AV45">
        <v>1163.6270173779189</v>
      </c>
      <c r="AW45">
        <f t="shared" si="27"/>
        <v>0.34422557348359473</v>
      </c>
      <c r="AX45">
        <v>0.5</v>
      </c>
      <c r="AY45">
        <f t="shared" si="28"/>
        <v>1513.1685003292537</v>
      </c>
      <c r="AZ45">
        <f t="shared" si="29"/>
        <v>44.095309162134804</v>
      </c>
      <c r="BA45">
        <f t="shared" si="30"/>
        <v>260.43564740157416</v>
      </c>
      <c r="BB45">
        <f t="shared" si="31"/>
        <v>2.9354787170569937E-2</v>
      </c>
      <c r="BC45">
        <f t="shared" si="32"/>
        <v>2.4824732835194281</v>
      </c>
      <c r="BD45">
        <f t="shared" si="33"/>
        <v>255.001606970762</v>
      </c>
      <c r="BE45" t="s">
        <v>567</v>
      </c>
      <c r="BF45">
        <v>580.75</v>
      </c>
      <c r="BG45">
        <f t="shared" si="34"/>
        <v>580.75</v>
      </c>
      <c r="BH45">
        <f t="shared" si="35"/>
        <v>0.5009139601204482</v>
      </c>
      <c r="BI45">
        <f t="shared" si="36"/>
        <v>0.68719500930024657</v>
      </c>
      <c r="BJ45">
        <f t="shared" si="37"/>
        <v>0.83209891334478292</v>
      </c>
      <c r="BK45">
        <f t="shared" si="38"/>
        <v>0.46499093851087359</v>
      </c>
      <c r="BL45">
        <f t="shared" si="39"/>
        <v>0.77029471911647973</v>
      </c>
      <c r="BM45">
        <f t="shared" si="40"/>
        <v>0.52299910144189177</v>
      </c>
      <c r="BN45">
        <f t="shared" si="41"/>
        <v>0.47700089855810823</v>
      </c>
      <c r="BO45">
        <v>5520</v>
      </c>
      <c r="BP45">
        <v>290.00000000000011</v>
      </c>
      <c r="BQ45">
        <v>1055.02</v>
      </c>
      <c r="BR45">
        <v>235</v>
      </c>
      <c r="BS45">
        <v>10487.6</v>
      </c>
      <c r="BT45">
        <v>1054.72</v>
      </c>
      <c r="BU45">
        <v>0.3</v>
      </c>
      <c r="BV45">
        <v>300.00000000000011</v>
      </c>
      <c r="BW45">
        <v>38.299999999999997</v>
      </c>
      <c r="BX45">
        <v>1163.6270173779189</v>
      </c>
      <c r="BY45">
        <v>1.274123488738155</v>
      </c>
      <c r="BZ45">
        <v>-114.2161978860438</v>
      </c>
      <c r="CA45">
        <v>1.0943466362413661</v>
      </c>
      <c r="CB45">
        <v>0.99743612091420419</v>
      </c>
      <c r="CC45">
        <v>-1.139061379310345E-2</v>
      </c>
      <c r="CD45">
        <v>289.99999999999989</v>
      </c>
      <c r="CE45">
        <v>1044.3499999999999</v>
      </c>
      <c r="CF45">
        <v>695</v>
      </c>
      <c r="CG45">
        <v>10462.700000000001</v>
      </c>
      <c r="CH45">
        <v>1054.46</v>
      </c>
      <c r="CI45">
        <v>-10.11</v>
      </c>
      <c r="CW45">
        <f t="shared" si="42"/>
        <v>1799.98</v>
      </c>
      <c r="CX45">
        <f t="shared" si="43"/>
        <v>1513.1685003292537</v>
      </c>
      <c r="CY45">
        <f t="shared" si="44"/>
        <v>0.84065850749966875</v>
      </c>
      <c r="CZ45">
        <f t="shared" si="45"/>
        <v>0.19131701499933751</v>
      </c>
      <c r="DA45">
        <v>6</v>
      </c>
      <c r="DB45">
        <v>0.5</v>
      </c>
      <c r="DC45" t="s">
        <v>419</v>
      </c>
      <c r="DD45">
        <v>2</v>
      </c>
      <c r="DE45">
        <v>1693328453.5</v>
      </c>
      <c r="DF45">
        <v>345.24099999999999</v>
      </c>
      <c r="DG45">
        <v>400.09</v>
      </c>
      <c r="DH45">
        <v>28.517800000000001</v>
      </c>
      <c r="DI45">
        <v>23.060500000000001</v>
      </c>
      <c r="DJ45">
        <v>346.92899999999997</v>
      </c>
      <c r="DK45">
        <v>28.133199999999999</v>
      </c>
      <c r="DL45">
        <v>500.04500000000002</v>
      </c>
      <c r="DM45">
        <v>99.008899999999997</v>
      </c>
      <c r="DN45">
        <v>9.9568500000000004E-2</v>
      </c>
      <c r="DO45">
        <v>30.305700000000002</v>
      </c>
      <c r="DP45">
        <v>29.939499999999999</v>
      </c>
      <c r="DQ45">
        <v>999.9</v>
      </c>
      <c r="DR45">
        <v>0</v>
      </c>
      <c r="DS45">
        <v>0</v>
      </c>
      <c r="DT45">
        <v>10035</v>
      </c>
      <c r="DU45">
        <v>0</v>
      </c>
      <c r="DV45">
        <v>1781.12</v>
      </c>
      <c r="DW45">
        <v>-54.848999999999997</v>
      </c>
      <c r="DX45">
        <v>355.37599999999998</v>
      </c>
      <c r="DY45">
        <v>409.53399999999999</v>
      </c>
      <c r="DZ45">
        <v>5.4572900000000004</v>
      </c>
      <c r="EA45">
        <v>400.09</v>
      </c>
      <c r="EB45">
        <v>23.060500000000001</v>
      </c>
      <c r="EC45">
        <v>2.8235199999999998</v>
      </c>
      <c r="ED45">
        <v>2.2831999999999999</v>
      </c>
      <c r="EE45">
        <v>23.022200000000002</v>
      </c>
      <c r="EF45">
        <v>19.558299999999999</v>
      </c>
      <c r="EG45">
        <v>1799.98</v>
      </c>
      <c r="EH45">
        <v>0.97799100000000005</v>
      </c>
      <c r="EI45">
        <v>2.20086E-2</v>
      </c>
      <c r="EJ45">
        <v>0</v>
      </c>
      <c r="EK45">
        <v>763.17700000000002</v>
      </c>
      <c r="EL45">
        <v>4.9995000000000003</v>
      </c>
      <c r="EM45">
        <v>14874.3</v>
      </c>
      <c r="EN45">
        <v>16659.599999999999</v>
      </c>
      <c r="EO45">
        <v>47.186999999999998</v>
      </c>
      <c r="EP45">
        <v>49.125</v>
      </c>
      <c r="EQ45">
        <v>48.061999999999998</v>
      </c>
      <c r="ER45">
        <v>48.125</v>
      </c>
      <c r="ES45">
        <v>48.561999999999998</v>
      </c>
      <c r="ET45">
        <v>1755.47</v>
      </c>
      <c r="EU45">
        <v>39.51</v>
      </c>
      <c r="EV45">
        <v>0</v>
      </c>
      <c r="EW45">
        <v>2020.1999998092649</v>
      </c>
      <c r="EX45">
        <v>0</v>
      </c>
      <c r="EY45">
        <v>763.07683999999995</v>
      </c>
      <c r="EZ45">
        <v>0.99199999692023</v>
      </c>
      <c r="FA45">
        <v>-6.2692307413430539</v>
      </c>
      <c r="FB45">
        <v>14869.644</v>
      </c>
      <c r="FC45">
        <v>15</v>
      </c>
      <c r="FD45">
        <v>1693328424</v>
      </c>
      <c r="FE45" t="s">
        <v>568</v>
      </c>
      <c r="FF45">
        <v>1693328424</v>
      </c>
      <c r="FG45">
        <v>1693328424</v>
      </c>
      <c r="FH45">
        <v>33</v>
      </c>
      <c r="FI45">
        <v>0.54800000000000004</v>
      </c>
      <c r="FJ45">
        <v>-0.106</v>
      </c>
      <c r="FK45">
        <v>-1.7689999999999999</v>
      </c>
      <c r="FL45">
        <v>0.14199999999999999</v>
      </c>
      <c r="FM45">
        <v>400</v>
      </c>
      <c r="FN45">
        <v>23</v>
      </c>
      <c r="FO45">
        <v>0.09</v>
      </c>
      <c r="FP45">
        <v>0.03</v>
      </c>
      <c r="FQ45">
        <v>44.04017058006108</v>
      </c>
      <c r="FR45">
        <v>-0.5464446335395613</v>
      </c>
      <c r="FS45">
        <v>9.9052553553725914E-2</v>
      </c>
      <c r="FT45">
        <v>1</v>
      </c>
      <c r="FU45">
        <v>0.33520069319129941</v>
      </c>
      <c r="FV45">
        <v>3.7035095881520361E-2</v>
      </c>
      <c r="FW45">
        <v>5.2027987308867346E-3</v>
      </c>
      <c r="FX45">
        <v>1</v>
      </c>
      <c r="FY45">
        <v>2</v>
      </c>
      <c r="FZ45">
        <v>2</v>
      </c>
      <c r="GA45" t="s">
        <v>421</v>
      </c>
      <c r="GB45">
        <v>2.9682499999999998</v>
      </c>
      <c r="GC45">
        <v>2.8115700000000001</v>
      </c>
      <c r="GD45">
        <v>8.5970500000000005E-2</v>
      </c>
      <c r="GE45">
        <v>9.5110500000000001E-2</v>
      </c>
      <c r="GF45">
        <v>0.13355700000000001</v>
      </c>
      <c r="GG45">
        <v>0.114595</v>
      </c>
      <c r="GH45">
        <v>26918.5</v>
      </c>
      <c r="GI45">
        <v>24578.3</v>
      </c>
      <c r="GJ45">
        <v>26476.9</v>
      </c>
      <c r="GK45">
        <v>25635.3</v>
      </c>
      <c r="GL45">
        <v>31227.7</v>
      </c>
      <c r="GM45">
        <v>32001.4</v>
      </c>
      <c r="GN45">
        <v>37490</v>
      </c>
      <c r="GO45">
        <v>37957.9</v>
      </c>
      <c r="GP45">
        <v>1.9426000000000001</v>
      </c>
      <c r="GQ45">
        <v>1.919</v>
      </c>
      <c r="GR45">
        <v>1.7434399999999999E-2</v>
      </c>
      <c r="GS45">
        <v>0</v>
      </c>
      <c r="GT45">
        <v>29.6557</v>
      </c>
      <c r="GU45">
        <v>999.9</v>
      </c>
      <c r="GV45">
        <v>41.5</v>
      </c>
      <c r="GW45">
        <v>40</v>
      </c>
      <c r="GX45">
        <v>31.073799999999999</v>
      </c>
      <c r="GY45">
        <v>61.6995</v>
      </c>
      <c r="GZ45">
        <v>12.6883</v>
      </c>
      <c r="HA45">
        <v>1</v>
      </c>
      <c r="HB45">
        <v>0.48957299999999998</v>
      </c>
      <c r="HC45">
        <v>2.87</v>
      </c>
      <c r="HD45">
        <v>20.223400000000002</v>
      </c>
      <c r="HE45">
        <v>5.2095000000000002</v>
      </c>
      <c r="HF45">
        <v>11.9375</v>
      </c>
      <c r="HG45">
        <v>4.9871999999999996</v>
      </c>
      <c r="HH45">
        <v>3.2909999999999999</v>
      </c>
      <c r="HI45">
        <v>9999</v>
      </c>
      <c r="HJ45">
        <v>9999</v>
      </c>
      <c r="HK45">
        <v>9999</v>
      </c>
      <c r="HL45">
        <v>999.9</v>
      </c>
      <c r="HM45">
        <v>1.8714599999999999</v>
      </c>
      <c r="HN45">
        <v>1.87744</v>
      </c>
      <c r="HO45">
        <v>1.8752599999999999</v>
      </c>
      <c r="HP45">
        <v>1.87347</v>
      </c>
      <c r="HQ45">
        <v>1.8739300000000001</v>
      </c>
      <c r="HR45">
        <v>1.87134</v>
      </c>
      <c r="HS45">
        <v>1.87714</v>
      </c>
      <c r="HT45">
        <v>1.8763700000000001</v>
      </c>
      <c r="HU45">
        <v>5</v>
      </c>
      <c r="HV45">
        <v>0</v>
      </c>
      <c r="HW45">
        <v>0</v>
      </c>
      <c r="HX45">
        <v>0</v>
      </c>
      <c r="HY45" t="s">
        <v>422</v>
      </c>
      <c r="HZ45" t="s">
        <v>423</v>
      </c>
      <c r="IA45" t="s">
        <v>424</v>
      </c>
      <c r="IB45" t="s">
        <v>424</v>
      </c>
      <c r="IC45" t="s">
        <v>424</v>
      </c>
      <c r="ID45" t="s">
        <v>424</v>
      </c>
      <c r="IE45">
        <v>0</v>
      </c>
      <c r="IF45">
        <v>100</v>
      </c>
      <c r="IG45">
        <v>100</v>
      </c>
      <c r="IH45">
        <v>-1.6879999999999999</v>
      </c>
      <c r="II45">
        <v>0.3846</v>
      </c>
      <c r="IJ45">
        <v>-0.96552938718092385</v>
      </c>
      <c r="IK45">
        <v>-2.677719669153116E-3</v>
      </c>
      <c r="IL45">
        <v>1.9353498771248068E-6</v>
      </c>
      <c r="IM45">
        <v>-6.1862177325538213E-10</v>
      </c>
      <c r="IN45">
        <v>-0.23594479319261649</v>
      </c>
      <c r="IO45">
        <v>-1.5299015507423901E-2</v>
      </c>
      <c r="IP45">
        <v>1.742162107778985E-3</v>
      </c>
      <c r="IQ45">
        <v>-1.472690239905804E-5</v>
      </c>
      <c r="IR45">
        <v>3</v>
      </c>
      <c r="IS45">
        <v>2255</v>
      </c>
      <c r="IT45">
        <v>2</v>
      </c>
      <c r="IU45">
        <v>41</v>
      </c>
      <c r="IV45">
        <v>0.5</v>
      </c>
      <c r="IW45">
        <v>0.5</v>
      </c>
      <c r="IX45">
        <v>0.95214799999999999</v>
      </c>
      <c r="IY45">
        <v>2.52563</v>
      </c>
      <c r="IZ45">
        <v>1.5991200000000001</v>
      </c>
      <c r="JA45">
        <v>2.2729499999999998</v>
      </c>
      <c r="JB45">
        <v>1.5502899999999999</v>
      </c>
      <c r="JC45">
        <v>2.3327599999999999</v>
      </c>
      <c r="JD45">
        <v>48.4238</v>
      </c>
      <c r="JE45">
        <v>23.632200000000001</v>
      </c>
      <c r="JF45">
        <v>18</v>
      </c>
      <c r="JG45">
        <v>504.411</v>
      </c>
      <c r="JH45">
        <v>457.92399999999998</v>
      </c>
      <c r="JI45">
        <v>25.790400000000002</v>
      </c>
      <c r="JJ45">
        <v>33.511899999999997</v>
      </c>
      <c r="JK45">
        <v>30.000299999999999</v>
      </c>
      <c r="JL45">
        <v>33.4495</v>
      </c>
      <c r="JM45">
        <v>33.4116</v>
      </c>
      <c r="JN45">
        <v>19.0883</v>
      </c>
      <c r="JO45">
        <v>28.640899999999998</v>
      </c>
      <c r="JP45">
        <v>34.116199999999999</v>
      </c>
      <c r="JQ45">
        <v>25.808299999999999</v>
      </c>
      <c r="JR45">
        <v>400</v>
      </c>
      <c r="JS45">
        <v>23.0853</v>
      </c>
      <c r="JT45">
        <v>98.866900000000001</v>
      </c>
      <c r="JU45">
        <v>98.571399999999997</v>
      </c>
    </row>
    <row r="46" spans="1:281" x14ac:dyDescent="0.25">
      <c r="A46">
        <v>30</v>
      </c>
      <c r="B46">
        <v>1693328553</v>
      </c>
      <c r="C46">
        <v>6255.9000000953674</v>
      </c>
      <c r="D46" t="s">
        <v>569</v>
      </c>
      <c r="E46" t="s">
        <v>570</v>
      </c>
      <c r="F46" t="s">
        <v>413</v>
      </c>
      <c r="G46" t="s">
        <v>564</v>
      </c>
      <c r="H46" t="s">
        <v>565</v>
      </c>
      <c r="I46" t="s">
        <v>415</v>
      </c>
      <c r="J46">
        <v>1693328553</v>
      </c>
      <c r="K46">
        <f t="shared" si="0"/>
        <v>4.6621295029968327E-3</v>
      </c>
      <c r="L46">
        <f t="shared" si="1"/>
        <v>4.6621295029968328</v>
      </c>
      <c r="M46">
        <f t="shared" si="2"/>
        <v>34.731746160205915</v>
      </c>
      <c r="N46">
        <f t="shared" si="3"/>
        <v>256.81099999999998</v>
      </c>
      <c r="O46">
        <f t="shared" si="4"/>
        <v>75.7613585619373</v>
      </c>
      <c r="P46">
        <f t="shared" si="5"/>
        <v>7.5085562622121946</v>
      </c>
      <c r="Q46">
        <f t="shared" si="6"/>
        <v>25.452023021452895</v>
      </c>
      <c r="R46">
        <f t="shared" si="7"/>
        <v>0.33061399671145386</v>
      </c>
      <c r="S46">
        <f t="shared" si="8"/>
        <v>2.9208242119772798</v>
      </c>
      <c r="T46">
        <f t="shared" si="9"/>
        <v>0.31114173487239905</v>
      </c>
      <c r="U46">
        <f t="shared" si="10"/>
        <v>0.19611744922852736</v>
      </c>
      <c r="V46">
        <f t="shared" si="11"/>
        <v>344.37060065850017</v>
      </c>
      <c r="W46">
        <f t="shared" si="12"/>
        <v>31.186413106043801</v>
      </c>
      <c r="X46">
        <f t="shared" si="13"/>
        <v>30.000599999999999</v>
      </c>
      <c r="Y46">
        <f t="shared" si="14"/>
        <v>4.2605966046728723</v>
      </c>
      <c r="Z46">
        <f t="shared" si="15"/>
        <v>65.008249302219028</v>
      </c>
      <c r="AA46">
        <f t="shared" si="16"/>
        <v>2.8286808970974597</v>
      </c>
      <c r="AB46">
        <f t="shared" si="17"/>
        <v>4.3512645355931836</v>
      </c>
      <c r="AC46">
        <f t="shared" si="18"/>
        <v>1.4319157075754125</v>
      </c>
      <c r="AD46">
        <f t="shared" si="19"/>
        <v>-205.59991108216033</v>
      </c>
      <c r="AE46">
        <f t="shared" si="20"/>
        <v>57.806310041707427</v>
      </c>
      <c r="AF46">
        <f t="shared" si="21"/>
        <v>4.4085997813646776</v>
      </c>
      <c r="AG46">
        <f t="shared" si="22"/>
        <v>200.98559939941194</v>
      </c>
      <c r="AH46">
        <v>0</v>
      </c>
      <c r="AI46">
        <v>0</v>
      </c>
      <c r="AJ46">
        <f t="shared" si="23"/>
        <v>1</v>
      </c>
      <c r="AK46">
        <f t="shared" si="24"/>
        <v>0</v>
      </c>
      <c r="AL46">
        <f t="shared" si="25"/>
        <v>52019.766914723521</v>
      </c>
      <c r="AM46" t="s">
        <v>416</v>
      </c>
      <c r="AN46">
        <v>10238.9</v>
      </c>
      <c r="AO46">
        <v>302.21199999999999</v>
      </c>
      <c r="AP46">
        <v>4052.3</v>
      </c>
      <c r="AQ46">
        <f t="shared" si="26"/>
        <v>0.92542210596451402</v>
      </c>
      <c r="AR46">
        <v>-0.32343011824092421</v>
      </c>
      <c r="AS46" t="s">
        <v>571</v>
      </c>
      <c r="AT46">
        <v>10485.4</v>
      </c>
      <c r="AU46">
        <v>690.68492307692316</v>
      </c>
      <c r="AV46">
        <v>993.36837130763092</v>
      </c>
      <c r="AW46">
        <f t="shared" si="27"/>
        <v>0.3047041329011384</v>
      </c>
      <c r="AX46">
        <v>0.5</v>
      </c>
      <c r="AY46">
        <f t="shared" si="28"/>
        <v>1513.1853003292501</v>
      </c>
      <c r="AZ46">
        <f t="shared" si="29"/>
        <v>34.731746160205915</v>
      </c>
      <c r="BA46">
        <f t="shared" si="30"/>
        <v>230.53690742778642</v>
      </c>
      <c r="BB46">
        <f t="shared" si="31"/>
        <v>2.3166479525553989E-2</v>
      </c>
      <c r="BC46">
        <f t="shared" si="32"/>
        <v>3.0793527527615083</v>
      </c>
      <c r="BD46">
        <f t="shared" si="33"/>
        <v>245.77041932835294</v>
      </c>
      <c r="BE46" t="s">
        <v>572</v>
      </c>
      <c r="BF46">
        <v>557.36</v>
      </c>
      <c r="BG46">
        <f t="shared" si="34"/>
        <v>557.36</v>
      </c>
      <c r="BH46">
        <f t="shared" si="35"/>
        <v>0.4389191199370347</v>
      </c>
      <c r="BI46">
        <f t="shared" si="36"/>
        <v>0.69421476317743869</v>
      </c>
      <c r="BJ46">
        <f t="shared" si="37"/>
        <v>0.87524582072721402</v>
      </c>
      <c r="BK46">
        <f t="shared" si="38"/>
        <v>0.43793772407544601</v>
      </c>
      <c r="BL46">
        <f t="shared" si="39"/>
        <v>0.81569595931945316</v>
      </c>
      <c r="BM46">
        <f t="shared" si="40"/>
        <v>0.56020846478139241</v>
      </c>
      <c r="BN46">
        <f t="shared" si="41"/>
        <v>0.43979153521860759</v>
      </c>
      <c r="BO46">
        <v>5522</v>
      </c>
      <c r="BP46">
        <v>290.00000000000011</v>
      </c>
      <c r="BQ46">
        <v>905.61</v>
      </c>
      <c r="BR46">
        <v>245</v>
      </c>
      <c r="BS46">
        <v>10485.4</v>
      </c>
      <c r="BT46">
        <v>904.36</v>
      </c>
      <c r="BU46">
        <v>1.25</v>
      </c>
      <c r="BV46">
        <v>300.00000000000011</v>
      </c>
      <c r="BW46">
        <v>38.299999999999997</v>
      </c>
      <c r="BX46">
        <v>993.36837130763092</v>
      </c>
      <c r="BY46">
        <v>1.1347224711138879</v>
      </c>
      <c r="BZ46">
        <v>-93.325611534366828</v>
      </c>
      <c r="CA46">
        <v>0.97457450460752215</v>
      </c>
      <c r="CB46">
        <v>0.9969558757730751</v>
      </c>
      <c r="CC46">
        <v>-1.1389702780867639E-2</v>
      </c>
      <c r="CD46">
        <v>289.99999999999989</v>
      </c>
      <c r="CE46">
        <v>895.11</v>
      </c>
      <c r="CF46">
        <v>645</v>
      </c>
      <c r="CG46">
        <v>10467.299999999999</v>
      </c>
      <c r="CH46">
        <v>904.21</v>
      </c>
      <c r="CI46">
        <v>-9.1</v>
      </c>
      <c r="CW46">
        <f t="shared" si="42"/>
        <v>1800</v>
      </c>
      <c r="CX46">
        <f t="shared" si="43"/>
        <v>1513.1853003292501</v>
      </c>
      <c r="CY46">
        <f t="shared" si="44"/>
        <v>0.84065850018291677</v>
      </c>
      <c r="CZ46">
        <f t="shared" si="45"/>
        <v>0.19131700036583343</v>
      </c>
      <c r="DA46">
        <v>6</v>
      </c>
      <c r="DB46">
        <v>0.5</v>
      </c>
      <c r="DC46" t="s">
        <v>419</v>
      </c>
      <c r="DD46">
        <v>2</v>
      </c>
      <c r="DE46">
        <v>1693328553</v>
      </c>
      <c r="DF46">
        <v>256.81099999999998</v>
      </c>
      <c r="DG46">
        <v>299.90300000000002</v>
      </c>
      <c r="DH46">
        <v>28.541399999999999</v>
      </c>
      <c r="DI46">
        <v>23.109400000000001</v>
      </c>
      <c r="DJ46">
        <v>258.22500000000002</v>
      </c>
      <c r="DK46">
        <v>28.158799999999999</v>
      </c>
      <c r="DL46">
        <v>500.26499999999999</v>
      </c>
      <c r="DM46">
        <v>99.008399999999995</v>
      </c>
      <c r="DN46">
        <v>9.9593899999999999E-2</v>
      </c>
      <c r="DO46">
        <v>30.367699999999999</v>
      </c>
      <c r="DP46">
        <v>30.000599999999999</v>
      </c>
      <c r="DQ46">
        <v>999.9</v>
      </c>
      <c r="DR46">
        <v>0</v>
      </c>
      <c r="DS46">
        <v>0</v>
      </c>
      <c r="DT46">
        <v>10050</v>
      </c>
      <c r="DU46">
        <v>0</v>
      </c>
      <c r="DV46">
        <v>1761.75</v>
      </c>
      <c r="DW46">
        <v>-43.092199999999998</v>
      </c>
      <c r="DX46">
        <v>264.35599999999999</v>
      </c>
      <c r="DY46">
        <v>306.99799999999999</v>
      </c>
      <c r="DZ46">
        <v>5.4320300000000001</v>
      </c>
      <c r="EA46">
        <v>299.90300000000002</v>
      </c>
      <c r="EB46">
        <v>23.109400000000001</v>
      </c>
      <c r="EC46">
        <v>2.8258399999999999</v>
      </c>
      <c r="ED46">
        <v>2.28803</v>
      </c>
      <c r="EE46">
        <v>23.035799999999998</v>
      </c>
      <c r="EF46">
        <v>19.592400000000001</v>
      </c>
      <c r="EG46">
        <v>1800</v>
      </c>
      <c r="EH46">
        <v>0.97799100000000005</v>
      </c>
      <c r="EI46">
        <v>2.20086E-2</v>
      </c>
      <c r="EJ46">
        <v>0</v>
      </c>
      <c r="EK46">
        <v>688.572</v>
      </c>
      <c r="EL46">
        <v>4.9995000000000003</v>
      </c>
      <c r="EM46">
        <v>13502.7</v>
      </c>
      <c r="EN46">
        <v>16659.8</v>
      </c>
      <c r="EO46">
        <v>47</v>
      </c>
      <c r="EP46">
        <v>48.811999999999998</v>
      </c>
      <c r="EQ46">
        <v>47.875</v>
      </c>
      <c r="ER46">
        <v>47.875</v>
      </c>
      <c r="ES46">
        <v>48.436999999999998</v>
      </c>
      <c r="ET46">
        <v>1755.49</v>
      </c>
      <c r="EU46">
        <v>39.51</v>
      </c>
      <c r="EV46">
        <v>0</v>
      </c>
      <c r="EW46">
        <v>97.799999952316284</v>
      </c>
      <c r="EX46">
        <v>0</v>
      </c>
      <c r="EY46">
        <v>690.68492307692316</v>
      </c>
      <c r="EZ46">
        <v>-18.851623949943999</v>
      </c>
      <c r="FA46">
        <v>-381.49059851744192</v>
      </c>
      <c r="FB46">
        <v>13546.33846153846</v>
      </c>
      <c r="FC46">
        <v>15</v>
      </c>
      <c r="FD46">
        <v>1693328523</v>
      </c>
      <c r="FE46" t="s">
        <v>573</v>
      </c>
      <c r="FF46">
        <v>1693328515</v>
      </c>
      <c r="FG46">
        <v>1693328523</v>
      </c>
      <c r="FH46">
        <v>34</v>
      </c>
      <c r="FI46">
        <v>0.125</v>
      </c>
      <c r="FJ46">
        <v>-3.0000000000000001E-3</v>
      </c>
      <c r="FK46">
        <v>-1.4890000000000001</v>
      </c>
      <c r="FL46">
        <v>0.14499999999999999</v>
      </c>
      <c r="FM46">
        <v>300</v>
      </c>
      <c r="FN46">
        <v>23</v>
      </c>
      <c r="FO46">
        <v>0.11</v>
      </c>
      <c r="FP46">
        <v>0.04</v>
      </c>
      <c r="FQ46">
        <v>34.799396841953573</v>
      </c>
      <c r="FR46">
        <v>3.0198414412233591E-2</v>
      </c>
      <c r="FS46">
        <v>6.2679917249813921E-2</v>
      </c>
      <c r="FT46">
        <v>1</v>
      </c>
      <c r="FU46">
        <v>0.33715154916099421</v>
      </c>
      <c r="FV46">
        <v>1.086854729434408E-2</v>
      </c>
      <c r="FW46">
        <v>3.7147625817266941E-3</v>
      </c>
      <c r="FX46">
        <v>1</v>
      </c>
      <c r="FY46">
        <v>2</v>
      </c>
      <c r="FZ46">
        <v>2</v>
      </c>
      <c r="GA46" t="s">
        <v>421</v>
      </c>
      <c r="GB46">
        <v>2.96882</v>
      </c>
      <c r="GC46">
        <v>2.8117299999999998</v>
      </c>
      <c r="GD46">
        <v>6.7399299999999995E-2</v>
      </c>
      <c r="GE46">
        <v>7.5545699999999993E-2</v>
      </c>
      <c r="GF46">
        <v>0.133633</v>
      </c>
      <c r="GG46">
        <v>0.114755</v>
      </c>
      <c r="GH46">
        <v>27466.400000000001</v>
      </c>
      <c r="GI46">
        <v>25110.799999999999</v>
      </c>
      <c r="GJ46">
        <v>26477.7</v>
      </c>
      <c r="GK46">
        <v>25636</v>
      </c>
      <c r="GL46">
        <v>31224.7</v>
      </c>
      <c r="GM46">
        <v>31995.3</v>
      </c>
      <c r="GN46">
        <v>37491.199999999997</v>
      </c>
      <c r="GO46">
        <v>37959.1</v>
      </c>
      <c r="GP46">
        <v>1.9420999999999999</v>
      </c>
      <c r="GQ46">
        <v>1.9157999999999999</v>
      </c>
      <c r="GR46">
        <v>2.7820500000000001E-2</v>
      </c>
      <c r="GS46">
        <v>0</v>
      </c>
      <c r="GT46">
        <v>29.547699999999999</v>
      </c>
      <c r="GU46">
        <v>999.9</v>
      </c>
      <c r="GV46">
        <v>41</v>
      </c>
      <c r="GW46">
        <v>40.200000000000003</v>
      </c>
      <c r="GX46">
        <v>31.031199999999998</v>
      </c>
      <c r="GY46">
        <v>61.509500000000003</v>
      </c>
      <c r="GZ46">
        <v>13.4976</v>
      </c>
      <c r="HA46">
        <v>1</v>
      </c>
      <c r="HB46">
        <v>0.49026399999999998</v>
      </c>
      <c r="HC46">
        <v>2.8501400000000001</v>
      </c>
      <c r="HD46">
        <v>20.223500000000001</v>
      </c>
      <c r="HE46">
        <v>5.2088999999999999</v>
      </c>
      <c r="HF46">
        <v>11.9381</v>
      </c>
      <c r="HG46">
        <v>4.9867999999999997</v>
      </c>
      <c r="HH46">
        <v>3.2909000000000002</v>
      </c>
      <c r="HI46">
        <v>9999</v>
      </c>
      <c r="HJ46">
        <v>9999</v>
      </c>
      <c r="HK46">
        <v>9999</v>
      </c>
      <c r="HL46">
        <v>999.9</v>
      </c>
      <c r="HM46">
        <v>1.8714599999999999</v>
      </c>
      <c r="HN46">
        <v>1.87744</v>
      </c>
      <c r="HO46">
        <v>1.8752899999999999</v>
      </c>
      <c r="HP46">
        <v>1.87344</v>
      </c>
      <c r="HQ46">
        <v>1.87398</v>
      </c>
      <c r="HR46">
        <v>1.8713599999999999</v>
      </c>
      <c r="HS46">
        <v>1.8771599999999999</v>
      </c>
      <c r="HT46">
        <v>1.8763700000000001</v>
      </c>
      <c r="HU46">
        <v>5</v>
      </c>
      <c r="HV46">
        <v>0</v>
      </c>
      <c r="HW46">
        <v>0</v>
      </c>
      <c r="HX46">
        <v>0</v>
      </c>
      <c r="HY46" t="s">
        <v>422</v>
      </c>
      <c r="HZ46" t="s">
        <v>423</v>
      </c>
      <c r="IA46" t="s">
        <v>424</v>
      </c>
      <c r="IB46" t="s">
        <v>424</v>
      </c>
      <c r="IC46" t="s">
        <v>424</v>
      </c>
      <c r="ID46" t="s">
        <v>424</v>
      </c>
      <c r="IE46">
        <v>0</v>
      </c>
      <c r="IF46">
        <v>100</v>
      </c>
      <c r="IG46">
        <v>100</v>
      </c>
      <c r="IH46">
        <v>-1.4139999999999999</v>
      </c>
      <c r="II46">
        <v>0.3826</v>
      </c>
      <c r="IJ46">
        <v>-0.84032577778531392</v>
      </c>
      <c r="IK46">
        <v>-2.677719669153116E-3</v>
      </c>
      <c r="IL46">
        <v>1.9353498771248068E-6</v>
      </c>
      <c r="IM46">
        <v>-6.1862177325538213E-10</v>
      </c>
      <c r="IN46">
        <v>-0.23914172387759289</v>
      </c>
      <c r="IO46">
        <v>-1.5299015507423901E-2</v>
      </c>
      <c r="IP46">
        <v>1.742162107778985E-3</v>
      </c>
      <c r="IQ46">
        <v>-1.472690239905804E-5</v>
      </c>
      <c r="IR46">
        <v>3</v>
      </c>
      <c r="IS46">
        <v>2255</v>
      </c>
      <c r="IT46">
        <v>2</v>
      </c>
      <c r="IU46">
        <v>41</v>
      </c>
      <c r="IV46">
        <v>0.6</v>
      </c>
      <c r="IW46">
        <v>0.5</v>
      </c>
      <c r="IX46">
        <v>0.75927699999999998</v>
      </c>
      <c r="IY46">
        <v>2.5280800000000001</v>
      </c>
      <c r="IZ46">
        <v>1.5991200000000001</v>
      </c>
      <c r="JA46">
        <v>2.2729499999999998</v>
      </c>
      <c r="JB46">
        <v>1.5502899999999999</v>
      </c>
      <c r="JC46">
        <v>2.4389599999999998</v>
      </c>
      <c r="JD46">
        <v>48.670699999999997</v>
      </c>
      <c r="JE46">
        <v>23.632200000000001</v>
      </c>
      <c r="JF46">
        <v>18</v>
      </c>
      <c r="JG46">
        <v>504.32400000000001</v>
      </c>
      <c r="JH46">
        <v>456.18599999999998</v>
      </c>
      <c r="JI46">
        <v>26.003900000000002</v>
      </c>
      <c r="JJ46">
        <v>33.520899999999997</v>
      </c>
      <c r="JK46">
        <v>29.999199999999998</v>
      </c>
      <c r="JL46">
        <v>33.479700000000001</v>
      </c>
      <c r="JM46">
        <v>33.447299999999998</v>
      </c>
      <c r="JN46">
        <v>15.2438</v>
      </c>
      <c r="JO46">
        <v>28.389399999999998</v>
      </c>
      <c r="JP46">
        <v>32.690600000000003</v>
      </c>
      <c r="JQ46">
        <v>26.0229</v>
      </c>
      <c r="JR46">
        <v>300</v>
      </c>
      <c r="JS46">
        <v>23.168900000000001</v>
      </c>
      <c r="JT46">
        <v>98.87</v>
      </c>
      <c r="JU46">
        <v>98.574399999999997</v>
      </c>
    </row>
    <row r="47" spans="1:281" x14ac:dyDescent="0.25">
      <c r="A47">
        <v>31</v>
      </c>
      <c r="B47">
        <v>1693328664</v>
      </c>
      <c r="C47">
        <v>6366.9000000953674</v>
      </c>
      <c r="D47" t="s">
        <v>574</v>
      </c>
      <c r="E47" t="s">
        <v>575</v>
      </c>
      <c r="F47" t="s">
        <v>413</v>
      </c>
      <c r="G47" t="s">
        <v>564</v>
      </c>
      <c r="H47" t="s">
        <v>565</v>
      </c>
      <c r="I47" t="s">
        <v>415</v>
      </c>
      <c r="J47">
        <v>1693328664</v>
      </c>
      <c r="K47">
        <f t="shared" si="0"/>
        <v>5.0908376988634723E-3</v>
      </c>
      <c r="L47">
        <f t="shared" si="1"/>
        <v>5.0908376988634725</v>
      </c>
      <c r="M47">
        <f t="shared" si="2"/>
        <v>24.614533630600977</v>
      </c>
      <c r="N47">
        <f t="shared" si="3"/>
        <v>169.56299999999999</v>
      </c>
      <c r="O47">
        <f t="shared" si="4"/>
        <v>53.556306223790806</v>
      </c>
      <c r="P47">
        <f t="shared" si="5"/>
        <v>5.3076279444417782</v>
      </c>
      <c r="Q47">
        <f t="shared" si="6"/>
        <v>16.804320174410996</v>
      </c>
      <c r="R47">
        <f t="shared" si="7"/>
        <v>0.36814736580867202</v>
      </c>
      <c r="S47">
        <f t="shared" si="8"/>
        <v>2.9076327211300503</v>
      </c>
      <c r="T47">
        <f t="shared" si="9"/>
        <v>0.34407375149880859</v>
      </c>
      <c r="U47">
        <f t="shared" si="10"/>
        <v>0.21707769524847539</v>
      </c>
      <c r="V47">
        <f t="shared" si="11"/>
        <v>344.37380065832622</v>
      </c>
      <c r="W47">
        <f t="shared" si="12"/>
        <v>31.142938157532971</v>
      </c>
      <c r="X47">
        <f t="shared" si="13"/>
        <v>30.0425</v>
      </c>
      <c r="Y47">
        <f t="shared" si="14"/>
        <v>4.2708613039850576</v>
      </c>
      <c r="Z47">
        <f t="shared" si="15"/>
        <v>65.421111899472109</v>
      </c>
      <c r="AA47">
        <f t="shared" si="16"/>
        <v>2.8572785089463997</v>
      </c>
      <c r="AB47">
        <f t="shared" si="17"/>
        <v>4.3675174970076522</v>
      </c>
      <c r="AC47">
        <f t="shared" si="18"/>
        <v>1.4135827950386579</v>
      </c>
      <c r="AD47">
        <f t="shared" si="19"/>
        <v>-224.50594251987911</v>
      </c>
      <c r="AE47">
        <f t="shared" si="20"/>
        <v>61.181982040588132</v>
      </c>
      <c r="AF47">
        <f t="shared" si="21"/>
        <v>4.689696625675265</v>
      </c>
      <c r="AG47">
        <f t="shared" si="22"/>
        <v>185.7395368047105</v>
      </c>
      <c r="AH47">
        <v>0</v>
      </c>
      <c r="AI47">
        <v>0</v>
      </c>
      <c r="AJ47">
        <f t="shared" si="23"/>
        <v>1</v>
      </c>
      <c r="AK47">
        <f t="shared" si="24"/>
        <v>0</v>
      </c>
      <c r="AL47">
        <f t="shared" si="25"/>
        <v>51633.797110708503</v>
      </c>
      <c r="AM47" t="s">
        <v>416</v>
      </c>
      <c r="AN47">
        <v>10238.9</v>
      </c>
      <c r="AO47">
        <v>302.21199999999999</v>
      </c>
      <c r="AP47">
        <v>4052.3</v>
      </c>
      <c r="AQ47">
        <f t="shared" si="26"/>
        <v>0.92542210596451402</v>
      </c>
      <c r="AR47">
        <v>-0.32343011824092421</v>
      </c>
      <c r="AS47" t="s">
        <v>576</v>
      </c>
      <c r="AT47">
        <v>10485.1</v>
      </c>
      <c r="AU47">
        <v>636.3352692307692</v>
      </c>
      <c r="AV47">
        <v>842.42730003391523</v>
      </c>
      <c r="AW47">
        <f t="shared" si="27"/>
        <v>0.24464073136619502</v>
      </c>
      <c r="AX47">
        <v>0.5</v>
      </c>
      <c r="AY47">
        <f t="shared" si="28"/>
        <v>1513.2018003291632</v>
      </c>
      <c r="AZ47">
        <f t="shared" si="29"/>
        <v>24.614533630600977</v>
      </c>
      <c r="BA47">
        <f t="shared" si="30"/>
        <v>185.09539756858476</v>
      </c>
      <c r="BB47">
        <f t="shared" si="31"/>
        <v>1.6480263070938195E-2</v>
      </c>
      <c r="BC47">
        <f t="shared" si="32"/>
        <v>3.8102667136224797</v>
      </c>
      <c r="BD47">
        <f t="shared" si="33"/>
        <v>235.33797006673157</v>
      </c>
      <c r="BE47" t="s">
        <v>577</v>
      </c>
      <c r="BF47">
        <v>533.91999999999996</v>
      </c>
      <c r="BG47">
        <f t="shared" si="34"/>
        <v>533.91999999999996</v>
      </c>
      <c r="BH47">
        <f t="shared" si="35"/>
        <v>0.36621237229787673</v>
      </c>
      <c r="BI47">
        <f t="shared" si="36"/>
        <v>0.66802967314060191</v>
      </c>
      <c r="BJ47">
        <f t="shared" si="37"/>
        <v>0.91231552588580112</v>
      </c>
      <c r="BK47">
        <f t="shared" si="38"/>
        <v>0.38149980348614221</v>
      </c>
      <c r="BL47">
        <f t="shared" si="39"/>
        <v>0.85594596712559401</v>
      </c>
      <c r="BM47">
        <f t="shared" si="40"/>
        <v>0.56051333366197698</v>
      </c>
      <c r="BN47">
        <f t="shared" si="41"/>
        <v>0.43948666633802302</v>
      </c>
      <c r="BO47">
        <v>5524</v>
      </c>
      <c r="BP47">
        <v>290.00000000000011</v>
      </c>
      <c r="BQ47">
        <v>784.22</v>
      </c>
      <c r="BR47">
        <v>245</v>
      </c>
      <c r="BS47">
        <v>10485.1</v>
      </c>
      <c r="BT47">
        <v>784.63</v>
      </c>
      <c r="BU47">
        <v>-0.41</v>
      </c>
      <c r="BV47">
        <v>300.00000000000011</v>
      </c>
      <c r="BW47">
        <v>38.299999999999997</v>
      </c>
      <c r="BX47">
        <v>842.42730003391523</v>
      </c>
      <c r="BY47">
        <v>0.83656078085775321</v>
      </c>
      <c r="BZ47">
        <v>-60.602880911983213</v>
      </c>
      <c r="CA47">
        <v>0.71848542143512328</v>
      </c>
      <c r="CB47">
        <v>0.99607986005298144</v>
      </c>
      <c r="CC47">
        <v>-1.1388959955506119E-2</v>
      </c>
      <c r="CD47">
        <v>289.99999999999989</v>
      </c>
      <c r="CE47">
        <v>780.53</v>
      </c>
      <c r="CF47">
        <v>735</v>
      </c>
      <c r="CG47">
        <v>10458.700000000001</v>
      </c>
      <c r="CH47">
        <v>784.48</v>
      </c>
      <c r="CI47">
        <v>-3.95</v>
      </c>
      <c r="CW47">
        <f t="shared" si="42"/>
        <v>1800.02</v>
      </c>
      <c r="CX47">
        <f t="shared" si="43"/>
        <v>1513.2018003291632</v>
      </c>
      <c r="CY47">
        <f t="shared" si="44"/>
        <v>0.84065832620146619</v>
      </c>
      <c r="CZ47">
        <f t="shared" si="45"/>
        <v>0.1913166524029323</v>
      </c>
      <c r="DA47">
        <v>6</v>
      </c>
      <c r="DB47">
        <v>0.5</v>
      </c>
      <c r="DC47" t="s">
        <v>419</v>
      </c>
      <c r="DD47">
        <v>2</v>
      </c>
      <c r="DE47">
        <v>1693328664</v>
      </c>
      <c r="DF47">
        <v>169.56299999999999</v>
      </c>
      <c r="DG47">
        <v>200.12200000000001</v>
      </c>
      <c r="DH47">
        <v>28.831199999999999</v>
      </c>
      <c r="DI47">
        <v>22.9011</v>
      </c>
      <c r="DJ47">
        <v>170.726</v>
      </c>
      <c r="DK47">
        <v>28.433499999999999</v>
      </c>
      <c r="DL47">
        <v>500.23399999999998</v>
      </c>
      <c r="DM47">
        <v>99.003399999999999</v>
      </c>
      <c r="DN47">
        <v>0.100297</v>
      </c>
      <c r="DO47">
        <v>30.4328</v>
      </c>
      <c r="DP47">
        <v>30.0425</v>
      </c>
      <c r="DQ47">
        <v>999.9</v>
      </c>
      <c r="DR47">
        <v>0</v>
      </c>
      <c r="DS47">
        <v>0</v>
      </c>
      <c r="DT47">
        <v>9975</v>
      </c>
      <c r="DU47">
        <v>0</v>
      </c>
      <c r="DV47">
        <v>1777.64</v>
      </c>
      <c r="DW47">
        <v>-30.5581</v>
      </c>
      <c r="DX47">
        <v>174.59700000000001</v>
      </c>
      <c r="DY47">
        <v>204.81200000000001</v>
      </c>
      <c r="DZ47">
        <v>5.9300300000000004</v>
      </c>
      <c r="EA47">
        <v>200.12200000000001</v>
      </c>
      <c r="EB47">
        <v>22.9011</v>
      </c>
      <c r="EC47">
        <v>2.85439</v>
      </c>
      <c r="ED47">
        <v>2.26729</v>
      </c>
      <c r="EE47">
        <v>23.202000000000002</v>
      </c>
      <c r="EF47">
        <v>19.445900000000002</v>
      </c>
      <c r="EG47">
        <v>1800.02</v>
      </c>
      <c r="EH47">
        <v>0.97799199999999997</v>
      </c>
      <c r="EI47">
        <v>2.2008099999999999E-2</v>
      </c>
      <c r="EJ47">
        <v>0</v>
      </c>
      <c r="EK47">
        <v>635.06299999999999</v>
      </c>
      <c r="EL47">
        <v>4.9995000000000003</v>
      </c>
      <c r="EM47">
        <v>12530.1</v>
      </c>
      <c r="EN47">
        <v>16660</v>
      </c>
      <c r="EO47">
        <v>46.811999999999998</v>
      </c>
      <c r="EP47">
        <v>48.686999999999998</v>
      </c>
      <c r="EQ47">
        <v>47.686999999999998</v>
      </c>
      <c r="ER47">
        <v>47.686999999999998</v>
      </c>
      <c r="ES47">
        <v>48.25</v>
      </c>
      <c r="ET47">
        <v>1755.52</v>
      </c>
      <c r="EU47">
        <v>39.5</v>
      </c>
      <c r="EV47">
        <v>0</v>
      </c>
      <c r="EW47">
        <v>109.19999980926509</v>
      </c>
      <c r="EX47">
        <v>0</v>
      </c>
      <c r="EY47">
        <v>636.3352692307692</v>
      </c>
      <c r="EZ47">
        <v>-9.8181538411694671</v>
      </c>
      <c r="FA47">
        <v>-166.44786326510231</v>
      </c>
      <c r="FB47">
        <v>12549.41538461538</v>
      </c>
      <c r="FC47">
        <v>15</v>
      </c>
      <c r="FD47">
        <v>1693328637</v>
      </c>
      <c r="FE47" t="s">
        <v>578</v>
      </c>
      <c r="FF47">
        <v>1693328626.5</v>
      </c>
      <c r="FG47">
        <v>1693328637</v>
      </c>
      <c r="FH47">
        <v>35</v>
      </c>
      <c r="FI47">
        <v>8.1000000000000003E-2</v>
      </c>
      <c r="FJ47">
        <v>2E-3</v>
      </c>
      <c r="FK47">
        <v>-1.224</v>
      </c>
      <c r="FL47">
        <v>0.14799999999999999</v>
      </c>
      <c r="FM47">
        <v>200</v>
      </c>
      <c r="FN47">
        <v>23</v>
      </c>
      <c r="FO47">
        <v>0.13</v>
      </c>
      <c r="FP47">
        <v>0.04</v>
      </c>
      <c r="FQ47">
        <v>24.39383843814031</v>
      </c>
      <c r="FR47">
        <v>0.34351516085214129</v>
      </c>
      <c r="FS47">
        <v>8.7600933014920029E-2</v>
      </c>
      <c r="FT47">
        <v>1</v>
      </c>
      <c r="FU47">
        <v>0.36300775676854691</v>
      </c>
      <c r="FV47">
        <v>4.7332092560787263E-2</v>
      </c>
      <c r="FW47">
        <v>5.8329278872396428E-3</v>
      </c>
      <c r="FX47">
        <v>1</v>
      </c>
      <c r="FY47">
        <v>2</v>
      </c>
      <c r="FZ47">
        <v>2</v>
      </c>
      <c r="GA47" t="s">
        <v>421</v>
      </c>
      <c r="GB47">
        <v>2.9687399999999999</v>
      </c>
      <c r="GC47">
        <v>2.8117800000000002</v>
      </c>
      <c r="GD47">
        <v>4.6792100000000003E-2</v>
      </c>
      <c r="GE47">
        <v>5.33871E-2</v>
      </c>
      <c r="GF47">
        <v>0.13452900000000001</v>
      </c>
      <c r="GG47">
        <v>0.11401699999999999</v>
      </c>
      <c r="GH47">
        <v>28073.7</v>
      </c>
      <c r="GI47">
        <v>25712.6</v>
      </c>
      <c r="GJ47">
        <v>26478</v>
      </c>
      <c r="GK47">
        <v>25635.8</v>
      </c>
      <c r="GL47">
        <v>31190.799999999999</v>
      </c>
      <c r="GM47">
        <v>32020.3</v>
      </c>
      <c r="GN47">
        <v>37491.199999999997</v>
      </c>
      <c r="GO47">
        <v>37959</v>
      </c>
      <c r="GP47">
        <v>1.9427000000000001</v>
      </c>
      <c r="GQ47">
        <v>1.913</v>
      </c>
      <c r="GR47">
        <v>2.7731100000000002E-2</v>
      </c>
      <c r="GS47">
        <v>0</v>
      </c>
      <c r="GT47">
        <v>29.591100000000001</v>
      </c>
      <c r="GU47">
        <v>999.9</v>
      </c>
      <c r="GV47">
        <v>40.299999999999997</v>
      </c>
      <c r="GW47">
        <v>40.5</v>
      </c>
      <c r="GX47">
        <v>30.996099999999998</v>
      </c>
      <c r="GY47">
        <v>61.749499999999998</v>
      </c>
      <c r="GZ47">
        <v>13.773999999999999</v>
      </c>
      <c r="HA47">
        <v>1</v>
      </c>
      <c r="HB47">
        <v>0.49082300000000001</v>
      </c>
      <c r="HC47">
        <v>3.0497800000000002</v>
      </c>
      <c r="HD47">
        <v>20.2197</v>
      </c>
      <c r="HE47">
        <v>5.2071100000000001</v>
      </c>
      <c r="HF47">
        <v>11.9381</v>
      </c>
      <c r="HG47">
        <v>4.9866000000000001</v>
      </c>
      <c r="HH47">
        <v>3.2909999999999999</v>
      </c>
      <c r="HI47">
        <v>9999</v>
      </c>
      <c r="HJ47">
        <v>9999</v>
      </c>
      <c r="HK47">
        <v>9999</v>
      </c>
      <c r="HL47">
        <v>999.9</v>
      </c>
      <c r="HM47">
        <v>1.8714900000000001</v>
      </c>
      <c r="HN47">
        <v>1.87744</v>
      </c>
      <c r="HO47">
        <v>1.87523</v>
      </c>
      <c r="HP47">
        <v>1.87347</v>
      </c>
      <c r="HQ47">
        <v>1.8739600000000001</v>
      </c>
      <c r="HR47">
        <v>1.8713599999999999</v>
      </c>
      <c r="HS47">
        <v>1.8771899999999999</v>
      </c>
      <c r="HT47">
        <v>1.8763700000000001</v>
      </c>
      <c r="HU47">
        <v>5</v>
      </c>
      <c r="HV47">
        <v>0</v>
      </c>
      <c r="HW47">
        <v>0</v>
      </c>
      <c r="HX47">
        <v>0</v>
      </c>
      <c r="HY47" t="s">
        <v>422</v>
      </c>
      <c r="HZ47" t="s">
        <v>423</v>
      </c>
      <c r="IA47" t="s">
        <v>424</v>
      </c>
      <c r="IB47" t="s">
        <v>424</v>
      </c>
      <c r="IC47" t="s">
        <v>424</v>
      </c>
      <c r="ID47" t="s">
        <v>424</v>
      </c>
      <c r="IE47">
        <v>0</v>
      </c>
      <c r="IF47">
        <v>100</v>
      </c>
      <c r="IG47">
        <v>100</v>
      </c>
      <c r="IH47">
        <v>-1.163</v>
      </c>
      <c r="II47">
        <v>0.3977</v>
      </c>
      <c r="IJ47">
        <v>-0.75912067327704458</v>
      </c>
      <c r="IK47">
        <v>-2.677719669153116E-3</v>
      </c>
      <c r="IL47">
        <v>1.9353498771248068E-6</v>
      </c>
      <c r="IM47">
        <v>-6.1862177325538213E-10</v>
      </c>
      <c r="IN47">
        <v>-0.23724429339278361</v>
      </c>
      <c r="IO47">
        <v>-1.5299015507423901E-2</v>
      </c>
      <c r="IP47">
        <v>1.742162107778985E-3</v>
      </c>
      <c r="IQ47">
        <v>-1.472690239905804E-5</v>
      </c>
      <c r="IR47">
        <v>3</v>
      </c>
      <c r="IS47">
        <v>2255</v>
      </c>
      <c r="IT47">
        <v>2</v>
      </c>
      <c r="IU47">
        <v>41</v>
      </c>
      <c r="IV47">
        <v>0.6</v>
      </c>
      <c r="IW47">
        <v>0.5</v>
      </c>
      <c r="IX47">
        <v>0.55908199999999997</v>
      </c>
      <c r="IY47">
        <v>2.5354000000000001</v>
      </c>
      <c r="IZ47">
        <v>1.5991200000000001</v>
      </c>
      <c r="JA47">
        <v>2.2729499999999998</v>
      </c>
      <c r="JB47">
        <v>1.5502899999999999</v>
      </c>
      <c r="JC47">
        <v>2.35229</v>
      </c>
      <c r="JD47">
        <v>48.950299999999999</v>
      </c>
      <c r="JE47">
        <v>23.632200000000001</v>
      </c>
      <c r="JF47">
        <v>18</v>
      </c>
      <c r="JG47">
        <v>504.87299999999999</v>
      </c>
      <c r="JH47">
        <v>454.61599999999999</v>
      </c>
      <c r="JI47">
        <v>25.970300000000002</v>
      </c>
      <c r="JJ47">
        <v>33.520899999999997</v>
      </c>
      <c r="JK47">
        <v>30.000399999999999</v>
      </c>
      <c r="JL47">
        <v>33.500399999999999</v>
      </c>
      <c r="JM47">
        <v>33.471200000000003</v>
      </c>
      <c r="JN47">
        <v>11.2418</v>
      </c>
      <c r="JO47">
        <v>28.821899999999999</v>
      </c>
      <c r="JP47">
        <v>30.2453</v>
      </c>
      <c r="JQ47">
        <v>25.972899999999999</v>
      </c>
      <c r="JR47">
        <v>200</v>
      </c>
      <c r="JS47">
        <v>22.845700000000001</v>
      </c>
      <c r="JT47">
        <v>98.870400000000004</v>
      </c>
      <c r="JU47">
        <v>98.573899999999995</v>
      </c>
    </row>
    <row r="48" spans="1:281" x14ac:dyDescent="0.25">
      <c r="A48">
        <v>32</v>
      </c>
      <c r="B48">
        <v>1693328775.5999999</v>
      </c>
      <c r="C48">
        <v>6478.5</v>
      </c>
      <c r="D48" t="s">
        <v>579</v>
      </c>
      <c r="E48" t="s">
        <v>580</v>
      </c>
      <c r="F48" t="s">
        <v>413</v>
      </c>
      <c r="G48" t="s">
        <v>564</v>
      </c>
      <c r="H48" t="s">
        <v>565</v>
      </c>
      <c r="I48" t="s">
        <v>415</v>
      </c>
      <c r="J48">
        <v>1693328775.5999999</v>
      </c>
      <c r="K48">
        <f t="shared" si="0"/>
        <v>5.4571235501357359E-3</v>
      </c>
      <c r="L48">
        <f t="shared" si="1"/>
        <v>5.4571235501357362</v>
      </c>
      <c r="M48">
        <f t="shared" si="2"/>
        <v>15.466854108231034</v>
      </c>
      <c r="N48">
        <f t="shared" si="3"/>
        <v>100.68600000000001</v>
      </c>
      <c r="O48">
        <f t="shared" si="4"/>
        <v>33.243646731733193</v>
      </c>
      <c r="P48">
        <f t="shared" si="5"/>
        <v>3.2945638382280649</v>
      </c>
      <c r="Q48">
        <f t="shared" si="6"/>
        <v>9.9783413442180002</v>
      </c>
      <c r="R48">
        <f t="shared" si="7"/>
        <v>0.4000234976807085</v>
      </c>
      <c r="S48">
        <f t="shared" si="8"/>
        <v>2.9124412847007601</v>
      </c>
      <c r="T48">
        <f t="shared" si="9"/>
        <v>0.37181518389260126</v>
      </c>
      <c r="U48">
        <f t="shared" si="10"/>
        <v>0.23475292091121386</v>
      </c>
      <c r="V48">
        <f t="shared" si="11"/>
        <v>344.33080065807326</v>
      </c>
      <c r="W48">
        <f t="shared" si="12"/>
        <v>31.033150032970592</v>
      </c>
      <c r="X48">
        <f t="shared" si="13"/>
        <v>29.996600000000001</v>
      </c>
      <c r="Y48">
        <f t="shared" si="14"/>
        <v>4.2596178062974124</v>
      </c>
      <c r="Z48">
        <f t="shared" si="15"/>
        <v>65.470045061306337</v>
      </c>
      <c r="AA48">
        <f t="shared" si="16"/>
        <v>2.8573043766345001</v>
      </c>
      <c r="AB48">
        <f t="shared" si="17"/>
        <v>4.3642926684393029</v>
      </c>
      <c r="AC48">
        <f t="shared" si="18"/>
        <v>1.4023134296629123</v>
      </c>
      <c r="AD48">
        <f t="shared" si="19"/>
        <v>-240.65914856098595</v>
      </c>
      <c r="AE48">
        <f t="shared" si="20"/>
        <v>66.464675771114926</v>
      </c>
      <c r="AF48">
        <f t="shared" si="21"/>
        <v>5.0847332319225362</v>
      </c>
      <c r="AG48">
        <f t="shared" si="22"/>
        <v>175.22106110012476</v>
      </c>
      <c r="AH48">
        <v>0</v>
      </c>
      <c r="AI48">
        <v>0</v>
      </c>
      <c r="AJ48">
        <f t="shared" si="23"/>
        <v>1</v>
      </c>
      <c r="AK48">
        <f t="shared" si="24"/>
        <v>0</v>
      </c>
      <c r="AL48">
        <f t="shared" si="25"/>
        <v>51772.455172827067</v>
      </c>
      <c r="AM48" t="s">
        <v>416</v>
      </c>
      <c r="AN48">
        <v>10238.9</v>
      </c>
      <c r="AO48">
        <v>302.21199999999999</v>
      </c>
      <c r="AP48">
        <v>4052.3</v>
      </c>
      <c r="AQ48">
        <f t="shared" si="26"/>
        <v>0.92542210596451402</v>
      </c>
      <c r="AR48">
        <v>-0.32343011824092421</v>
      </c>
      <c r="AS48" t="s">
        <v>581</v>
      </c>
      <c r="AT48">
        <v>10479.5</v>
      </c>
      <c r="AU48">
        <v>627.7885</v>
      </c>
      <c r="AV48">
        <v>758.31955119151223</v>
      </c>
      <c r="AW48">
        <f t="shared" si="27"/>
        <v>0.17213198708435629</v>
      </c>
      <c r="AX48">
        <v>0.5</v>
      </c>
      <c r="AY48">
        <f t="shared" si="28"/>
        <v>1513.0164003290365</v>
      </c>
      <c r="AZ48">
        <f t="shared" si="29"/>
        <v>15.466854108231034</v>
      </c>
      <c r="BA48">
        <f t="shared" si="30"/>
        <v>130.21925973992848</v>
      </c>
      <c r="BB48">
        <f t="shared" si="31"/>
        <v>1.0436294162467795E-2</v>
      </c>
      <c r="BC48">
        <f t="shared" si="32"/>
        <v>4.3437894270730721</v>
      </c>
      <c r="BD48">
        <f t="shared" si="33"/>
        <v>228.26530277503412</v>
      </c>
      <c r="BE48" t="s">
        <v>582</v>
      </c>
      <c r="BF48">
        <v>523.03</v>
      </c>
      <c r="BG48">
        <f t="shared" si="34"/>
        <v>523.03</v>
      </c>
      <c r="BH48">
        <f t="shared" si="35"/>
        <v>0.31027757470028661</v>
      </c>
      <c r="BI48">
        <f t="shared" si="36"/>
        <v>0.55476773418326342</v>
      </c>
      <c r="BJ48">
        <f t="shared" si="37"/>
        <v>0.93333194932903618</v>
      </c>
      <c r="BK48">
        <f t="shared" si="38"/>
        <v>0.28618480630395077</v>
      </c>
      <c r="BL48">
        <f t="shared" si="39"/>
        <v>0.87837417383498406</v>
      </c>
      <c r="BM48">
        <f t="shared" si="40"/>
        <v>0.46219414342548842</v>
      </c>
      <c r="BN48">
        <f t="shared" si="41"/>
        <v>0.53780585657451163</v>
      </c>
      <c r="BO48">
        <v>5526</v>
      </c>
      <c r="BP48">
        <v>290.00000000000011</v>
      </c>
      <c r="BQ48">
        <v>727.66</v>
      </c>
      <c r="BR48">
        <v>295</v>
      </c>
      <c r="BS48">
        <v>10479.5</v>
      </c>
      <c r="BT48">
        <v>726.92</v>
      </c>
      <c r="BU48">
        <v>0.74</v>
      </c>
      <c r="BV48">
        <v>300.00000000000011</v>
      </c>
      <c r="BW48">
        <v>38.200000000000003</v>
      </c>
      <c r="BX48">
        <v>758.31955119151223</v>
      </c>
      <c r="BY48">
        <v>1.1329802028544871</v>
      </c>
      <c r="BZ48">
        <v>-32.905985032837641</v>
      </c>
      <c r="CA48">
        <v>0.97310972650797622</v>
      </c>
      <c r="CB48">
        <v>0.9760984809329627</v>
      </c>
      <c r="CC48">
        <v>-1.138890456062292E-2</v>
      </c>
      <c r="CD48">
        <v>289.99999999999989</v>
      </c>
      <c r="CE48">
        <v>725.58</v>
      </c>
      <c r="CF48">
        <v>695</v>
      </c>
      <c r="CG48">
        <v>10462.700000000001</v>
      </c>
      <c r="CH48">
        <v>726.87</v>
      </c>
      <c r="CI48">
        <v>-1.29</v>
      </c>
      <c r="CW48">
        <f t="shared" si="42"/>
        <v>1799.8</v>
      </c>
      <c r="CX48">
        <f t="shared" si="43"/>
        <v>1513.0164003290365</v>
      </c>
      <c r="CY48">
        <f t="shared" si="44"/>
        <v>0.84065807330205389</v>
      </c>
      <c r="CZ48">
        <f t="shared" si="45"/>
        <v>0.19131614660410784</v>
      </c>
      <c r="DA48">
        <v>6</v>
      </c>
      <c r="DB48">
        <v>0.5</v>
      </c>
      <c r="DC48" t="s">
        <v>419</v>
      </c>
      <c r="DD48">
        <v>2</v>
      </c>
      <c r="DE48">
        <v>1693328775.5999999</v>
      </c>
      <c r="DF48">
        <v>100.68600000000001</v>
      </c>
      <c r="DG48">
        <v>119.9</v>
      </c>
      <c r="DH48">
        <v>28.831499999999998</v>
      </c>
      <c r="DI48">
        <v>22.473600000000001</v>
      </c>
      <c r="DJ48">
        <v>101.786</v>
      </c>
      <c r="DK48">
        <v>28.432400000000001</v>
      </c>
      <c r="DL48">
        <v>500.14499999999998</v>
      </c>
      <c r="DM48">
        <v>99.003200000000007</v>
      </c>
      <c r="DN48">
        <v>0.10036299999999999</v>
      </c>
      <c r="DO48">
        <v>30.419899999999998</v>
      </c>
      <c r="DP48">
        <v>29.996600000000001</v>
      </c>
      <c r="DQ48">
        <v>999.9</v>
      </c>
      <c r="DR48">
        <v>0</v>
      </c>
      <c r="DS48">
        <v>0</v>
      </c>
      <c r="DT48">
        <v>10002.5</v>
      </c>
      <c r="DU48">
        <v>0</v>
      </c>
      <c r="DV48">
        <v>1785.21</v>
      </c>
      <c r="DW48">
        <v>-19.214200000000002</v>
      </c>
      <c r="DX48">
        <v>103.675</v>
      </c>
      <c r="DY48">
        <v>122.657</v>
      </c>
      <c r="DZ48">
        <v>6.3579600000000003</v>
      </c>
      <c r="EA48">
        <v>119.9</v>
      </c>
      <c r="EB48">
        <v>22.473600000000001</v>
      </c>
      <c r="EC48">
        <v>2.8544100000000001</v>
      </c>
      <c r="ED48">
        <v>2.2249599999999998</v>
      </c>
      <c r="EE48">
        <v>23.202200000000001</v>
      </c>
      <c r="EF48">
        <v>19.1431</v>
      </c>
      <c r="EG48">
        <v>1799.8</v>
      </c>
      <c r="EH48">
        <v>0.97800500000000001</v>
      </c>
      <c r="EI48">
        <v>2.1994699999999999E-2</v>
      </c>
      <c r="EJ48">
        <v>0</v>
      </c>
      <c r="EK48">
        <v>626.91499999999996</v>
      </c>
      <c r="EL48">
        <v>4.9995000000000003</v>
      </c>
      <c r="EM48">
        <v>12374.6</v>
      </c>
      <c r="EN48">
        <v>16658</v>
      </c>
      <c r="EO48">
        <v>46.75</v>
      </c>
      <c r="EP48">
        <v>48.625</v>
      </c>
      <c r="EQ48">
        <v>47.625</v>
      </c>
      <c r="ER48">
        <v>47.686999999999998</v>
      </c>
      <c r="ES48">
        <v>48.186999999999998</v>
      </c>
      <c r="ET48">
        <v>1755.32</v>
      </c>
      <c r="EU48">
        <v>39.479999999999997</v>
      </c>
      <c r="EV48">
        <v>0</v>
      </c>
      <c r="EW48">
        <v>109.7999999523163</v>
      </c>
      <c r="EX48">
        <v>0</v>
      </c>
      <c r="EY48">
        <v>627.7885</v>
      </c>
      <c r="EZ48">
        <v>-4.3720683776611393</v>
      </c>
      <c r="FA48">
        <v>-118.63931628114671</v>
      </c>
      <c r="FB48">
        <v>12391.26923076923</v>
      </c>
      <c r="FC48">
        <v>15</v>
      </c>
      <c r="FD48">
        <v>1693328747.0999999</v>
      </c>
      <c r="FE48" t="s">
        <v>583</v>
      </c>
      <c r="FF48">
        <v>1693328735.0999999</v>
      </c>
      <c r="FG48">
        <v>1693328747.0999999</v>
      </c>
      <c r="FH48">
        <v>36</v>
      </c>
      <c r="FI48">
        <v>-8.7999999999999995E-2</v>
      </c>
      <c r="FJ48">
        <v>1E-3</v>
      </c>
      <c r="FK48">
        <v>-1.1439999999999999</v>
      </c>
      <c r="FL48">
        <v>0.13</v>
      </c>
      <c r="FM48">
        <v>120</v>
      </c>
      <c r="FN48">
        <v>23</v>
      </c>
      <c r="FO48">
        <v>0.26</v>
      </c>
      <c r="FP48">
        <v>0.03</v>
      </c>
      <c r="FQ48">
        <v>15.4863311262951</v>
      </c>
      <c r="FR48">
        <v>0.27650172588804689</v>
      </c>
      <c r="FS48">
        <v>5.5751220162573889E-2</v>
      </c>
      <c r="FT48">
        <v>1</v>
      </c>
      <c r="FU48">
        <v>0.40205734853062491</v>
      </c>
      <c r="FV48">
        <v>3.5602795568195891E-3</v>
      </c>
      <c r="FW48">
        <v>4.5925340366681049E-3</v>
      </c>
      <c r="FX48">
        <v>1</v>
      </c>
      <c r="FY48">
        <v>2</v>
      </c>
      <c r="FZ48">
        <v>2</v>
      </c>
      <c r="GA48" t="s">
        <v>421</v>
      </c>
      <c r="GB48">
        <v>2.9684699999999999</v>
      </c>
      <c r="GC48">
        <v>2.8120799999999999</v>
      </c>
      <c r="GD48">
        <v>2.8776199999999998E-2</v>
      </c>
      <c r="GE48">
        <v>3.3266799999999999E-2</v>
      </c>
      <c r="GF48">
        <v>0.134515</v>
      </c>
      <c r="GG48">
        <v>0.112509</v>
      </c>
      <c r="GH48">
        <v>28604.6</v>
      </c>
      <c r="GI48">
        <v>26258.400000000001</v>
      </c>
      <c r="GJ48">
        <v>26478.5</v>
      </c>
      <c r="GK48">
        <v>25635.200000000001</v>
      </c>
      <c r="GL48">
        <v>31190.6</v>
      </c>
      <c r="GM48">
        <v>32072.799999999999</v>
      </c>
      <c r="GN48">
        <v>37491.800000000003</v>
      </c>
      <c r="GO48">
        <v>37958.300000000003</v>
      </c>
      <c r="GP48">
        <v>1.9431</v>
      </c>
      <c r="GQ48">
        <v>1.9084000000000001</v>
      </c>
      <c r="GR48">
        <v>2.3767400000000001E-2</v>
      </c>
      <c r="GS48">
        <v>0</v>
      </c>
      <c r="GT48">
        <v>29.6097</v>
      </c>
      <c r="GU48">
        <v>999.9</v>
      </c>
      <c r="GV48">
        <v>39.5</v>
      </c>
      <c r="GW48">
        <v>40.700000000000003</v>
      </c>
      <c r="GX48">
        <v>30.7014</v>
      </c>
      <c r="GY48">
        <v>61.744100000000003</v>
      </c>
      <c r="GZ48">
        <v>13.8261</v>
      </c>
      <c r="HA48">
        <v>1</v>
      </c>
      <c r="HB48">
        <v>0.491311</v>
      </c>
      <c r="HC48">
        <v>2.7681200000000001</v>
      </c>
      <c r="HD48">
        <v>20.224699999999999</v>
      </c>
      <c r="HE48">
        <v>5.2107000000000001</v>
      </c>
      <c r="HF48">
        <v>11.9381</v>
      </c>
      <c r="HG48">
        <v>4.9875999999999996</v>
      </c>
      <c r="HH48">
        <v>3.2909999999999999</v>
      </c>
      <c r="HI48">
        <v>9999</v>
      </c>
      <c r="HJ48">
        <v>9999</v>
      </c>
      <c r="HK48">
        <v>9999</v>
      </c>
      <c r="HL48">
        <v>999.9</v>
      </c>
      <c r="HM48">
        <v>1.8714900000000001</v>
      </c>
      <c r="HN48">
        <v>1.87744</v>
      </c>
      <c r="HO48">
        <v>1.8752599999999999</v>
      </c>
      <c r="HP48">
        <v>1.87347</v>
      </c>
      <c r="HQ48">
        <v>1.8740000000000001</v>
      </c>
      <c r="HR48">
        <v>1.87138</v>
      </c>
      <c r="HS48">
        <v>1.8772800000000001</v>
      </c>
      <c r="HT48">
        <v>1.87643</v>
      </c>
      <c r="HU48">
        <v>5</v>
      </c>
      <c r="HV48">
        <v>0</v>
      </c>
      <c r="HW48">
        <v>0</v>
      </c>
      <c r="HX48">
        <v>0</v>
      </c>
      <c r="HY48" t="s">
        <v>422</v>
      </c>
      <c r="HZ48" t="s">
        <v>423</v>
      </c>
      <c r="IA48" t="s">
        <v>424</v>
      </c>
      <c r="IB48" t="s">
        <v>424</v>
      </c>
      <c r="IC48" t="s">
        <v>424</v>
      </c>
      <c r="ID48" t="s">
        <v>424</v>
      </c>
      <c r="IE48">
        <v>0</v>
      </c>
      <c r="IF48">
        <v>100</v>
      </c>
      <c r="IG48">
        <v>100</v>
      </c>
      <c r="IH48">
        <v>-1.1000000000000001</v>
      </c>
      <c r="II48">
        <v>0.39910000000000001</v>
      </c>
      <c r="IJ48">
        <v>-0.84698422091886871</v>
      </c>
      <c r="IK48">
        <v>-2.677719669153116E-3</v>
      </c>
      <c r="IL48">
        <v>1.9353498771248068E-6</v>
      </c>
      <c r="IM48">
        <v>-6.1862177325538213E-10</v>
      </c>
      <c r="IN48">
        <v>-0.2357627564949562</v>
      </c>
      <c r="IO48">
        <v>-1.5299015507423901E-2</v>
      </c>
      <c r="IP48">
        <v>1.742162107778985E-3</v>
      </c>
      <c r="IQ48">
        <v>-1.472690239905804E-5</v>
      </c>
      <c r="IR48">
        <v>3</v>
      </c>
      <c r="IS48">
        <v>2255</v>
      </c>
      <c r="IT48">
        <v>2</v>
      </c>
      <c r="IU48">
        <v>41</v>
      </c>
      <c r="IV48">
        <v>0.7</v>
      </c>
      <c r="IW48">
        <v>0.5</v>
      </c>
      <c r="IX48">
        <v>0.39550800000000003</v>
      </c>
      <c r="IY48">
        <v>2.5622600000000002</v>
      </c>
      <c r="IZ48">
        <v>1.5991200000000001</v>
      </c>
      <c r="JA48">
        <v>2.2729499999999998</v>
      </c>
      <c r="JB48">
        <v>1.5502899999999999</v>
      </c>
      <c r="JC48">
        <v>2.3730500000000001</v>
      </c>
      <c r="JD48">
        <v>49.169199999999996</v>
      </c>
      <c r="JE48">
        <v>23.614699999999999</v>
      </c>
      <c r="JF48">
        <v>18</v>
      </c>
      <c r="JG48">
        <v>505.39100000000002</v>
      </c>
      <c r="JH48">
        <v>451.99700000000001</v>
      </c>
      <c r="JI48">
        <v>26.0974</v>
      </c>
      <c r="JJ48">
        <v>33.551000000000002</v>
      </c>
      <c r="JK48">
        <v>30.000299999999999</v>
      </c>
      <c r="JL48">
        <v>33.533299999999997</v>
      </c>
      <c r="JM48">
        <v>33.503999999999998</v>
      </c>
      <c r="JN48">
        <v>7.9468899999999998</v>
      </c>
      <c r="JO48">
        <v>29.450199999999999</v>
      </c>
      <c r="JP48">
        <v>28.1493</v>
      </c>
      <c r="JQ48">
        <v>26.0962</v>
      </c>
      <c r="JR48">
        <v>120</v>
      </c>
      <c r="JS48">
        <v>22.391500000000001</v>
      </c>
      <c r="JT48">
        <v>98.872100000000003</v>
      </c>
      <c r="JU48">
        <v>98.572000000000003</v>
      </c>
    </row>
    <row r="49" spans="1:281" x14ac:dyDescent="0.25">
      <c r="A49">
        <v>33</v>
      </c>
      <c r="B49">
        <v>1693328875.0999999</v>
      </c>
      <c r="C49">
        <v>6578</v>
      </c>
      <c r="D49" t="s">
        <v>584</v>
      </c>
      <c r="E49" t="s">
        <v>585</v>
      </c>
      <c r="F49" t="s">
        <v>413</v>
      </c>
      <c r="G49" t="s">
        <v>564</v>
      </c>
      <c r="H49" t="s">
        <v>565</v>
      </c>
      <c r="I49" t="s">
        <v>415</v>
      </c>
      <c r="J49">
        <v>1693328875.0999999</v>
      </c>
      <c r="K49">
        <f t="shared" ref="K49:K80" si="46">(L49)/1000</f>
        <v>5.636552943158085E-3</v>
      </c>
      <c r="L49">
        <f t="shared" ref="L49:L80" si="47">1000*DL49*AJ49*(DH49-DI49)/(100*DA49*(1000-AJ49*DH49))</f>
        <v>5.636552943158085</v>
      </c>
      <c r="M49">
        <f t="shared" ref="M49:M80" si="48">DL49*AJ49*(DG49-DF49*(1000-AJ49*DI49)/(1000-AJ49*DH49))/(100*DA49)</f>
        <v>9.3332886525830681</v>
      </c>
      <c r="N49">
        <f t="shared" ref="N49:N80" si="49">DF49 - IF(AJ49&gt;1, M49*DA49*100/(AL49*DT49), 0)</f>
        <v>58.415799999999997</v>
      </c>
      <c r="O49">
        <f t="shared" ref="O49:O80" si="50">((U49-K49/2)*N49-M49)/(U49+K49/2)</f>
        <v>18.998738972713934</v>
      </c>
      <c r="P49">
        <f t="shared" ref="P49:P80" si="51">O49*(DM49+DN49)/1000</f>
        <v>1.8829299479135344</v>
      </c>
      <c r="Q49">
        <f t="shared" ref="Q49:Q80" si="52">(DF49 - IF(AJ49&gt;1, M49*DA49*100/(AL49*DT49), 0))*(DM49+DN49)/1000</f>
        <v>5.7894821024331993</v>
      </c>
      <c r="R49">
        <f t="shared" ref="R49:R80" si="53">2/((1/T49-1/S49)+SIGN(T49)*SQRT((1/T49-1/S49)*(1/T49-1/S49) + 4*DB49/((DB49+1)*(DB49+1))*(2*1/T49*1/S49-1/S49*1/S49)))</f>
        <v>0.41377201811062814</v>
      </c>
      <c r="S49">
        <f t="shared" ref="S49:S80" si="54">IF(LEFT(DC49,1)&lt;&gt;"0",IF(LEFT(DC49,1)="1",3,DD49),$D$5+$E$5*(DT49*DM49/($K$5*1000))+$F$5*(DT49*DM49/($K$5*1000))*MAX(MIN(DA49,$J$5),$I$5)*MAX(MIN(DA49,$J$5),$I$5)+$G$5*MAX(MIN(DA49,$J$5),$I$5)*(DT49*DM49/($K$5*1000))+$H$5*(DT49*DM49/($K$5*1000))*(DT49*DM49/($K$5*1000)))</f>
        <v>2.9129595631495291</v>
      </c>
      <c r="T49">
        <f t="shared" ref="T49:T80" si="55">K49*(1000-(1000*0.61365*EXP(17.502*X49/(240.97+X49))/(DM49+DN49)+DH49)/2)/(1000*0.61365*EXP(17.502*X49/(240.97+X49))/(DM49+DN49)-DH49)</f>
        <v>0.38367451425129789</v>
      </c>
      <c r="U49">
        <f t="shared" ref="U49:U80" si="56">1/((DB49+1)/(R49/1.6)+1/(S49/1.37)) + DB49/((DB49+1)/(R49/1.6) + DB49/(S49/1.37))</f>
        <v>0.2423180211156814</v>
      </c>
      <c r="V49">
        <f t="shared" ref="V49:V80" si="57">(CW49*CZ49)</f>
        <v>344.38208749855215</v>
      </c>
      <c r="W49">
        <f t="shared" ref="W49:W80" si="58">(DO49+(V49+2*0.95*0.0000000567*(((DO49+$B$7)+273)^4-(DO49+273)^4)-44100*K49)/(1.84*29.3*S49+8*0.95*0.0000000567*(DO49+273)^3))</f>
        <v>31.028736034025076</v>
      </c>
      <c r="X49">
        <f t="shared" ref="X49:X80" si="59">($C$7*DP49+$D$7*DQ49+$E$7*W49)</f>
        <v>30.036799999999999</v>
      </c>
      <c r="Y49">
        <f t="shared" ref="Y49:Y80" si="60">0.61365*EXP(17.502*X49/(240.97+X49))</f>
        <v>4.2694636476472665</v>
      </c>
      <c r="Z49">
        <f t="shared" ref="Z49:Z80" si="61">(AA49/AB49*100)</f>
        <v>65.508094527842985</v>
      </c>
      <c r="AA49">
        <f t="shared" ref="AA49:AA80" si="62">DH49*(DM49+DN49)/1000</f>
        <v>2.8658807567718001</v>
      </c>
      <c r="AB49">
        <f t="shared" ref="AB49:AB80" si="63">0.61365*EXP(17.502*DO49/(240.97+DO49))</f>
        <v>4.3748498218853111</v>
      </c>
      <c r="AC49">
        <f t="shared" ref="AC49:AC80" si="64">(Y49-DH49*(DM49+DN49)/1000)</f>
        <v>1.4035828908754664</v>
      </c>
      <c r="AD49">
        <f t="shared" ref="AD49:AD80" si="65">(-K49*44100)</f>
        <v>-248.57198479327155</v>
      </c>
      <c r="AE49">
        <f t="shared" ref="AE49:AE80" si="66">2*29.3*S49*0.92*(DO49-X49)</f>
        <v>66.790590329410463</v>
      </c>
      <c r="AF49">
        <f t="shared" ref="AF49:AF80" si="67">2*0.95*0.0000000567*(((DO49+$B$7)+273)^4-(X49+273)^4)</f>
        <v>5.1108403283007</v>
      </c>
      <c r="AG49">
        <f t="shared" ref="AG49:AG80" si="68">V49+AF49+AD49+AE49</f>
        <v>167.71153336299176</v>
      </c>
      <c r="AH49">
        <v>0</v>
      </c>
      <c r="AI49">
        <v>0</v>
      </c>
      <c r="AJ49">
        <f t="shared" ref="AJ49:AJ80" si="69">IF(AH49*$H$13&gt;=AL49,1,(AL49/(AL49-AH49*$H$13)))</f>
        <v>1</v>
      </c>
      <c r="AK49">
        <f t="shared" ref="AK49:AK80" si="70">(AJ49-1)*100</f>
        <v>0</v>
      </c>
      <c r="AL49">
        <f t="shared" ref="AL49:AL80" si="71">MAX(0,($B$13+$C$13*DT49)/(1+$D$13*DT49)*DM49/(DO49+273)*$E$13)</f>
        <v>51780.069386157964</v>
      </c>
      <c r="AM49" t="s">
        <v>416</v>
      </c>
      <c r="AN49">
        <v>10238.9</v>
      </c>
      <c r="AO49">
        <v>302.21199999999999</v>
      </c>
      <c r="AP49">
        <v>4052.3</v>
      </c>
      <c r="AQ49">
        <f t="shared" ref="AQ49:AQ80" si="72">1-AO49/AP49</f>
        <v>0.92542210596451402</v>
      </c>
      <c r="AR49">
        <v>-0.32343011824092421</v>
      </c>
      <c r="AS49" t="s">
        <v>586</v>
      </c>
      <c r="AT49">
        <v>10488.6</v>
      </c>
      <c r="AU49">
        <v>628.39751999999999</v>
      </c>
      <c r="AV49">
        <v>712.48307785569091</v>
      </c>
      <c r="AW49">
        <f t="shared" ref="AW49:AW80" si="73">1-AU49/AV49</f>
        <v>0.11801762100618185</v>
      </c>
      <c r="AX49">
        <v>0.5</v>
      </c>
      <c r="AY49">
        <f t="shared" ref="AY49:AY80" si="74">CX49</f>
        <v>1513.2431937492759</v>
      </c>
      <c r="AZ49">
        <f t="shared" ref="AZ49:AZ80" si="75">M49</f>
        <v>9.3332886525830681</v>
      </c>
      <c r="BA49">
        <f t="shared" ref="BA49:BA80" si="76">AW49*AX49*AY49</f>
        <v>89.294680865043119</v>
      </c>
      <c r="BB49">
        <f t="shared" ref="BB49:BB80" si="77">(AZ49-AR49)/AY49</f>
        <v>6.3814718022277006E-3</v>
      </c>
      <c r="BC49">
        <f t="shared" ref="BC49:BC80" si="78">(AP49-AV49)/AV49</f>
        <v>4.6875736785158697</v>
      </c>
      <c r="BD49">
        <f t="shared" ref="BD49:BD80" si="79">AO49/(AQ49+AO49/AV49)</f>
        <v>223.92885275194763</v>
      </c>
      <c r="BE49" t="s">
        <v>587</v>
      </c>
      <c r="BF49">
        <v>530.29999999999995</v>
      </c>
      <c r="BG49">
        <f t="shared" ref="BG49:BG80" si="80">IF(BF49&lt;&gt;0, BF49, BD49)</f>
        <v>530.29999999999995</v>
      </c>
      <c r="BH49">
        <f t="shared" ref="BH49:BH80" si="81">1-BG49/AV49</f>
        <v>0.25570162087778181</v>
      </c>
      <c r="BI49">
        <f t="shared" ref="BI49:BI80" si="82">(AV49-AU49)/(AV49-BG49)</f>
        <v>0.46154428196836117</v>
      </c>
      <c r="BJ49">
        <f t="shared" ref="BJ49:BJ80" si="83">(AP49-AV49)/(AP49-BG49)</f>
        <v>0.94827283422609587</v>
      </c>
      <c r="BK49">
        <f t="shared" ref="BK49:BK80" si="84">(AV49-AU49)/(AV49-AO49)</f>
        <v>0.20495121980123407</v>
      </c>
      <c r="BL49">
        <f t="shared" ref="BL49:BL80" si="85">(AP49-AV49)/(AP49-AO49)</f>
        <v>0.89059694656346977</v>
      </c>
      <c r="BM49">
        <f t="shared" ref="BM49:BM80" si="86">(BI49*BG49/AU49)</f>
        <v>0.38949379164930809</v>
      </c>
      <c r="BN49">
        <f t="shared" ref="BN49:BN80" si="87">(1-BM49)</f>
        <v>0.61050620835069191</v>
      </c>
      <c r="BO49">
        <v>5528</v>
      </c>
      <c r="BP49">
        <v>290.00000000000011</v>
      </c>
      <c r="BQ49">
        <v>693.14</v>
      </c>
      <c r="BR49">
        <v>225</v>
      </c>
      <c r="BS49">
        <v>10488.6</v>
      </c>
      <c r="BT49">
        <v>691.85</v>
      </c>
      <c r="BU49">
        <v>1.29</v>
      </c>
      <c r="BV49">
        <v>300.00000000000011</v>
      </c>
      <c r="BW49">
        <v>38.200000000000003</v>
      </c>
      <c r="BX49">
        <v>712.48307785569091</v>
      </c>
      <c r="BY49">
        <v>1.0104306690099829</v>
      </c>
      <c r="BZ49">
        <v>-21.641535176271031</v>
      </c>
      <c r="CA49">
        <v>0.86783895668921363</v>
      </c>
      <c r="CB49">
        <v>0.956914292797855</v>
      </c>
      <c r="CC49">
        <v>-1.138900912124584E-2</v>
      </c>
      <c r="CD49">
        <v>289.99999999999989</v>
      </c>
      <c r="CE49">
        <v>690.89</v>
      </c>
      <c r="CF49">
        <v>665</v>
      </c>
      <c r="CG49">
        <v>10465.4</v>
      </c>
      <c r="CH49">
        <v>691.8</v>
      </c>
      <c r="CI49">
        <v>-0.91</v>
      </c>
      <c r="CW49">
        <f t="shared" ref="CW49:CW80" si="88">$B$11*DU49+$C$11*DV49+$F$11*EG49*(1-EJ49)</f>
        <v>1800.07</v>
      </c>
      <c r="CX49">
        <f t="shared" ref="CX49:CX80" si="89">CW49*CY49</f>
        <v>1513.2431937492759</v>
      </c>
      <c r="CY49">
        <f t="shared" ref="CY49:CY80" si="90">($B$11*$D$9+$C$11*$D$9+$F$11*((ET49+EL49)/MAX(ET49+EL49+EU49, 0.1)*$I$9+EU49/MAX(ET49+EL49+EU49, 0.1)*$J$9))/($B$11+$C$11+$F$11)</f>
        <v>0.84065797093961681</v>
      </c>
      <c r="CZ49">
        <f t="shared" ref="CZ49:CZ80" si="91">($B$11*$K$9+$C$11*$K$9+$F$11*((ET49+EL49)/MAX(ET49+EL49+EU49, 0.1)*$P$9+EU49/MAX(ET49+EL49+EU49, 0.1)*$Q$9))/($B$11+$C$11+$F$11)</f>
        <v>0.19131594187923368</v>
      </c>
      <c r="DA49">
        <v>6</v>
      </c>
      <c r="DB49">
        <v>0.5</v>
      </c>
      <c r="DC49" t="s">
        <v>419</v>
      </c>
      <c r="DD49">
        <v>2</v>
      </c>
      <c r="DE49">
        <v>1693328875.0999999</v>
      </c>
      <c r="DF49">
        <v>58.415799999999997</v>
      </c>
      <c r="DG49">
        <v>70.007199999999997</v>
      </c>
      <c r="DH49">
        <v>28.916699999999999</v>
      </c>
      <c r="DI49">
        <v>22.3505</v>
      </c>
      <c r="DJ49">
        <v>59.4377</v>
      </c>
      <c r="DK49">
        <v>28.5106</v>
      </c>
      <c r="DL49">
        <v>500.15800000000002</v>
      </c>
      <c r="DM49">
        <v>99.007800000000003</v>
      </c>
      <c r="DN49">
        <v>0.100354</v>
      </c>
      <c r="DO49">
        <v>30.4621</v>
      </c>
      <c r="DP49">
        <v>30.036799999999999</v>
      </c>
      <c r="DQ49">
        <v>999.9</v>
      </c>
      <c r="DR49">
        <v>0</v>
      </c>
      <c r="DS49">
        <v>0</v>
      </c>
      <c r="DT49">
        <v>10005</v>
      </c>
      <c r="DU49">
        <v>0</v>
      </c>
      <c r="DV49">
        <v>1800.4</v>
      </c>
      <c r="DW49">
        <v>-11.5914</v>
      </c>
      <c r="DX49">
        <v>60.155299999999997</v>
      </c>
      <c r="DY49">
        <v>71.607699999999994</v>
      </c>
      <c r="DZ49">
        <v>6.5662500000000001</v>
      </c>
      <c r="EA49">
        <v>70.007199999999997</v>
      </c>
      <c r="EB49">
        <v>22.3505</v>
      </c>
      <c r="EC49">
        <v>2.8629799999999999</v>
      </c>
      <c r="ED49">
        <v>2.2128700000000001</v>
      </c>
      <c r="EE49">
        <v>23.251799999999999</v>
      </c>
      <c r="EF49">
        <v>19.055800000000001</v>
      </c>
      <c r="EG49">
        <v>1800.07</v>
      </c>
      <c r="EH49">
        <v>0.97800900000000002</v>
      </c>
      <c r="EI49">
        <v>2.19911E-2</v>
      </c>
      <c r="EJ49">
        <v>0</v>
      </c>
      <c r="EK49">
        <v>628.03099999999995</v>
      </c>
      <c r="EL49">
        <v>4.9995000000000003</v>
      </c>
      <c r="EM49">
        <v>12390</v>
      </c>
      <c r="EN49">
        <v>16660.5</v>
      </c>
      <c r="EO49">
        <v>46.75</v>
      </c>
      <c r="EP49">
        <v>48.686999999999998</v>
      </c>
      <c r="EQ49">
        <v>47.625</v>
      </c>
      <c r="ER49">
        <v>47.75</v>
      </c>
      <c r="ES49">
        <v>48.186999999999998</v>
      </c>
      <c r="ET49">
        <v>1755.6</v>
      </c>
      <c r="EU49">
        <v>39.479999999999997</v>
      </c>
      <c r="EV49">
        <v>0</v>
      </c>
      <c r="EW49">
        <v>97.799999952316284</v>
      </c>
      <c r="EX49">
        <v>0</v>
      </c>
      <c r="EY49">
        <v>628.39751999999999</v>
      </c>
      <c r="EZ49">
        <v>-3.696230782633835</v>
      </c>
      <c r="FA49">
        <v>-90.446153852390466</v>
      </c>
      <c r="FB49">
        <v>12400.407999999999</v>
      </c>
      <c r="FC49">
        <v>15</v>
      </c>
      <c r="FD49">
        <v>1693328848.0999999</v>
      </c>
      <c r="FE49" t="s">
        <v>588</v>
      </c>
      <c r="FF49">
        <v>1693328841.0999999</v>
      </c>
      <c r="FG49">
        <v>1693328848.0999999</v>
      </c>
      <c r="FH49">
        <v>37</v>
      </c>
      <c r="FI49">
        <v>-2.1999999999999999E-2</v>
      </c>
      <c r="FJ49">
        <v>3.0000000000000001E-3</v>
      </c>
      <c r="FK49">
        <v>-1.05</v>
      </c>
      <c r="FL49">
        <v>0.124</v>
      </c>
      <c r="FM49">
        <v>70</v>
      </c>
      <c r="FN49">
        <v>22</v>
      </c>
      <c r="FO49">
        <v>0.46</v>
      </c>
      <c r="FP49">
        <v>0.03</v>
      </c>
      <c r="FQ49">
        <v>9.3175715202001363</v>
      </c>
      <c r="FR49">
        <v>-0.12842362484345421</v>
      </c>
      <c r="FS49">
        <v>5.9516341083439131E-2</v>
      </c>
      <c r="FT49">
        <v>1</v>
      </c>
      <c r="FU49">
        <v>0.41029002500512579</v>
      </c>
      <c r="FV49">
        <v>4.813455481610994E-2</v>
      </c>
      <c r="FW49">
        <v>5.8081661028221441E-3</v>
      </c>
      <c r="FX49">
        <v>1</v>
      </c>
      <c r="FY49">
        <v>2</v>
      </c>
      <c r="FZ49">
        <v>2</v>
      </c>
      <c r="GA49" t="s">
        <v>421</v>
      </c>
      <c r="GB49">
        <v>2.9684699999999999</v>
      </c>
      <c r="GC49">
        <v>2.81209</v>
      </c>
      <c r="GD49">
        <v>1.70113E-2</v>
      </c>
      <c r="GE49">
        <v>1.97459E-2</v>
      </c>
      <c r="GF49">
        <v>0.13476399999999999</v>
      </c>
      <c r="GG49">
        <v>0.112067</v>
      </c>
      <c r="GH49">
        <v>28947.599999999999</v>
      </c>
      <c r="GI49">
        <v>26622.7</v>
      </c>
      <c r="GJ49">
        <v>26475.7</v>
      </c>
      <c r="GK49">
        <v>25632.7</v>
      </c>
      <c r="GL49">
        <v>31177.200000000001</v>
      </c>
      <c r="GM49">
        <v>32084.6</v>
      </c>
      <c r="GN49">
        <v>37486.800000000003</v>
      </c>
      <c r="GO49">
        <v>37954.5</v>
      </c>
      <c r="GP49">
        <v>1.9418</v>
      </c>
      <c r="GQ49">
        <v>1.9047000000000001</v>
      </c>
      <c r="GR49">
        <v>1.7583399999999999E-2</v>
      </c>
      <c r="GS49">
        <v>0</v>
      </c>
      <c r="GT49">
        <v>29.750599999999999</v>
      </c>
      <c r="GU49">
        <v>999.9</v>
      </c>
      <c r="GV49">
        <v>38.799999999999997</v>
      </c>
      <c r="GW49">
        <v>41</v>
      </c>
      <c r="GX49">
        <v>30.639800000000001</v>
      </c>
      <c r="GY49">
        <v>61.554099999999998</v>
      </c>
      <c r="GZ49">
        <v>13.3934</v>
      </c>
      <c r="HA49">
        <v>1</v>
      </c>
      <c r="HB49">
        <v>0.501494</v>
      </c>
      <c r="HC49">
        <v>3.6442199999999998</v>
      </c>
      <c r="HD49">
        <v>20.207999999999998</v>
      </c>
      <c r="HE49">
        <v>5.2107000000000001</v>
      </c>
      <c r="HF49">
        <v>11.9381</v>
      </c>
      <c r="HG49">
        <v>4.9875999999999996</v>
      </c>
      <c r="HH49">
        <v>3.2909999999999999</v>
      </c>
      <c r="HI49">
        <v>9999</v>
      </c>
      <c r="HJ49">
        <v>9999</v>
      </c>
      <c r="HK49">
        <v>9999</v>
      </c>
      <c r="HL49">
        <v>999.9</v>
      </c>
      <c r="HM49">
        <v>1.8714900000000001</v>
      </c>
      <c r="HN49">
        <v>1.87744</v>
      </c>
      <c r="HO49">
        <v>1.87531</v>
      </c>
      <c r="HP49">
        <v>1.87347</v>
      </c>
      <c r="HQ49">
        <v>1.8740000000000001</v>
      </c>
      <c r="HR49">
        <v>1.8714500000000001</v>
      </c>
      <c r="HS49">
        <v>1.8772200000000001</v>
      </c>
      <c r="HT49">
        <v>1.87639</v>
      </c>
      <c r="HU49">
        <v>5</v>
      </c>
      <c r="HV49">
        <v>0</v>
      </c>
      <c r="HW49">
        <v>0</v>
      </c>
      <c r="HX49">
        <v>0</v>
      </c>
      <c r="HY49" t="s">
        <v>422</v>
      </c>
      <c r="HZ49" t="s">
        <v>423</v>
      </c>
      <c r="IA49" t="s">
        <v>424</v>
      </c>
      <c r="IB49" t="s">
        <v>424</v>
      </c>
      <c r="IC49" t="s">
        <v>424</v>
      </c>
      <c r="ID49" t="s">
        <v>424</v>
      </c>
      <c r="IE49">
        <v>0</v>
      </c>
      <c r="IF49">
        <v>100</v>
      </c>
      <c r="IG49">
        <v>100</v>
      </c>
      <c r="IH49">
        <v>-1.022</v>
      </c>
      <c r="II49">
        <v>0.40610000000000002</v>
      </c>
      <c r="IJ49">
        <v>-0.86946298844240366</v>
      </c>
      <c r="IK49">
        <v>-2.677719669153116E-3</v>
      </c>
      <c r="IL49">
        <v>1.9353498771248068E-6</v>
      </c>
      <c r="IM49">
        <v>-6.1862177325538213E-10</v>
      </c>
      <c r="IN49">
        <v>-0.23250638069723109</v>
      </c>
      <c r="IO49">
        <v>-1.5299015507423901E-2</v>
      </c>
      <c r="IP49">
        <v>1.742162107778985E-3</v>
      </c>
      <c r="IQ49">
        <v>-1.472690239905804E-5</v>
      </c>
      <c r="IR49">
        <v>3</v>
      </c>
      <c r="IS49">
        <v>2255</v>
      </c>
      <c r="IT49">
        <v>2</v>
      </c>
      <c r="IU49">
        <v>41</v>
      </c>
      <c r="IV49">
        <v>0.6</v>
      </c>
      <c r="IW49">
        <v>0.5</v>
      </c>
      <c r="IX49">
        <v>0.29174800000000001</v>
      </c>
      <c r="IY49">
        <v>2.5695800000000002</v>
      </c>
      <c r="IZ49">
        <v>1.5991200000000001</v>
      </c>
      <c r="JA49">
        <v>2.2729499999999998</v>
      </c>
      <c r="JB49">
        <v>1.5502899999999999</v>
      </c>
      <c r="JC49">
        <v>2.4279799999999998</v>
      </c>
      <c r="JD49">
        <v>49.420999999999999</v>
      </c>
      <c r="JE49">
        <v>23.614699999999999</v>
      </c>
      <c r="JF49">
        <v>18</v>
      </c>
      <c r="JG49">
        <v>504.94400000000002</v>
      </c>
      <c r="JH49">
        <v>450.07299999999998</v>
      </c>
      <c r="JI49">
        <v>25.654</v>
      </c>
      <c r="JJ49">
        <v>33.6053</v>
      </c>
      <c r="JK49">
        <v>30.001100000000001</v>
      </c>
      <c r="JL49">
        <v>33.584400000000002</v>
      </c>
      <c r="JM49">
        <v>33.554699999999997</v>
      </c>
      <c r="JN49">
        <v>5.8861699999999999</v>
      </c>
      <c r="JO49">
        <v>29.1311</v>
      </c>
      <c r="JP49">
        <v>26.121099999999998</v>
      </c>
      <c r="JQ49">
        <v>25.626300000000001</v>
      </c>
      <c r="JR49">
        <v>70</v>
      </c>
      <c r="JS49">
        <v>22.3169</v>
      </c>
      <c r="JT49">
        <v>98.860100000000003</v>
      </c>
      <c r="JU49">
        <v>98.562200000000004</v>
      </c>
    </row>
    <row r="50" spans="1:281" x14ac:dyDescent="0.25">
      <c r="A50">
        <v>34</v>
      </c>
      <c r="B50">
        <v>1693329031.0999999</v>
      </c>
      <c r="C50">
        <v>6734</v>
      </c>
      <c r="D50" t="s">
        <v>589</v>
      </c>
      <c r="E50" t="s">
        <v>590</v>
      </c>
      <c r="F50" t="s">
        <v>413</v>
      </c>
      <c r="G50" t="s">
        <v>564</v>
      </c>
      <c r="H50" t="s">
        <v>565</v>
      </c>
      <c r="I50" t="s">
        <v>415</v>
      </c>
      <c r="J50">
        <v>1693329031.0999999</v>
      </c>
      <c r="K50">
        <f t="shared" si="46"/>
        <v>5.9756341742373429E-3</v>
      </c>
      <c r="L50">
        <f t="shared" si="47"/>
        <v>5.9756341742373431</v>
      </c>
      <c r="M50">
        <f t="shared" si="48"/>
        <v>3.9920110168904732</v>
      </c>
      <c r="N50">
        <f t="shared" si="49"/>
        <v>24.968599999999999</v>
      </c>
      <c r="O50">
        <f t="shared" si="50"/>
        <v>9.2301236253386758</v>
      </c>
      <c r="P50">
        <f t="shared" si="51"/>
        <v>0.91478290430112275</v>
      </c>
      <c r="Q50">
        <f t="shared" si="52"/>
        <v>2.4745983208317996</v>
      </c>
      <c r="R50">
        <f t="shared" si="53"/>
        <v>0.44651341885360846</v>
      </c>
      <c r="S50">
        <f t="shared" si="54"/>
        <v>2.9024453399208014</v>
      </c>
      <c r="T50">
        <f t="shared" si="55"/>
        <v>0.41156347620498906</v>
      </c>
      <c r="U50">
        <f t="shared" si="56"/>
        <v>0.26013893913438058</v>
      </c>
      <c r="V50">
        <f t="shared" si="57"/>
        <v>344.35740065802213</v>
      </c>
      <c r="W50">
        <f t="shared" si="58"/>
        <v>30.836296536271824</v>
      </c>
      <c r="X50">
        <f t="shared" si="59"/>
        <v>29.908999999999999</v>
      </c>
      <c r="Y50">
        <f t="shared" si="60"/>
        <v>4.2382312055651363</v>
      </c>
      <c r="Z50">
        <f t="shared" si="61"/>
        <v>65.556071798385162</v>
      </c>
      <c r="AA50">
        <f t="shared" si="62"/>
        <v>2.8507048373255004</v>
      </c>
      <c r="AB50">
        <f t="shared" si="63"/>
        <v>4.3484985587493998</v>
      </c>
      <c r="AC50">
        <f t="shared" si="64"/>
        <v>1.3875263682396359</v>
      </c>
      <c r="AD50">
        <f t="shared" si="65"/>
        <v>-263.52546708386683</v>
      </c>
      <c r="AE50">
        <f t="shared" si="66"/>
        <v>70.038941005016881</v>
      </c>
      <c r="AF50">
        <f t="shared" si="67"/>
        <v>5.372615477925244</v>
      </c>
      <c r="AG50">
        <f t="shared" si="68"/>
        <v>156.24349005709743</v>
      </c>
      <c r="AH50">
        <v>0</v>
      </c>
      <c r="AI50">
        <v>0</v>
      </c>
      <c r="AJ50">
        <f t="shared" si="69"/>
        <v>1</v>
      </c>
      <c r="AK50">
        <f t="shared" si="70"/>
        <v>0</v>
      </c>
      <c r="AL50">
        <f t="shared" si="71"/>
        <v>51499.76074779137</v>
      </c>
      <c r="AM50" t="s">
        <v>416</v>
      </c>
      <c r="AN50">
        <v>10238.9</v>
      </c>
      <c r="AO50">
        <v>302.21199999999999</v>
      </c>
      <c r="AP50">
        <v>4052.3</v>
      </c>
      <c r="AQ50">
        <f t="shared" si="72"/>
        <v>0.92542210596451402</v>
      </c>
      <c r="AR50">
        <v>-0.32343011824092421</v>
      </c>
      <c r="AS50" t="s">
        <v>591</v>
      </c>
      <c r="AT50">
        <v>10507</v>
      </c>
      <c r="AU50">
        <v>630.40823076923073</v>
      </c>
      <c r="AV50">
        <v>684.12892219337857</v>
      </c>
      <c r="AW50">
        <f t="shared" si="73"/>
        <v>7.8524222089477624E-2</v>
      </c>
      <c r="AX50">
        <v>0.5</v>
      </c>
      <c r="AY50">
        <f t="shared" si="74"/>
        <v>1513.1340003290111</v>
      </c>
      <c r="AZ50">
        <f t="shared" si="75"/>
        <v>3.9920110168904732</v>
      </c>
      <c r="BA50">
        <f t="shared" si="76"/>
        <v>59.40883514648749</v>
      </c>
      <c r="BB50">
        <f t="shared" si="77"/>
        <v>2.8519887426976471E-3</v>
      </c>
      <c r="BC50">
        <f t="shared" si="78"/>
        <v>4.923298765104045</v>
      </c>
      <c r="BD50">
        <f t="shared" si="79"/>
        <v>221.04944153932624</v>
      </c>
      <c r="BE50" t="s">
        <v>592</v>
      </c>
      <c r="BF50">
        <v>536.07000000000005</v>
      </c>
      <c r="BG50">
        <f t="shared" si="80"/>
        <v>536.07000000000005</v>
      </c>
      <c r="BH50">
        <f t="shared" si="81"/>
        <v>0.21641962120047253</v>
      </c>
      <c r="BI50">
        <f t="shared" si="82"/>
        <v>0.36283319254467961</v>
      </c>
      <c r="BJ50">
        <f t="shared" si="83"/>
        <v>0.95789270832869911</v>
      </c>
      <c r="BK50">
        <f t="shared" si="84"/>
        <v>0.14066067330985424</v>
      </c>
      <c r="BL50">
        <f t="shared" si="85"/>
        <v>0.89815787731024488</v>
      </c>
      <c r="BM50">
        <f t="shared" si="86"/>
        <v>0.30853656414049452</v>
      </c>
      <c r="BN50">
        <f t="shared" si="87"/>
        <v>0.69146343585950554</v>
      </c>
      <c r="BO50">
        <v>5530</v>
      </c>
      <c r="BP50">
        <v>290.00000000000011</v>
      </c>
      <c r="BQ50">
        <v>670.34</v>
      </c>
      <c r="BR50">
        <v>135</v>
      </c>
      <c r="BS50">
        <v>10507</v>
      </c>
      <c r="BT50">
        <v>669.33</v>
      </c>
      <c r="BU50">
        <v>1.01</v>
      </c>
      <c r="BV50">
        <v>300.00000000000011</v>
      </c>
      <c r="BW50">
        <v>38.200000000000003</v>
      </c>
      <c r="BX50">
        <v>684.12892219337857</v>
      </c>
      <c r="BY50">
        <v>0.9574407098241966</v>
      </c>
      <c r="BZ50">
        <v>-15.549743882249601</v>
      </c>
      <c r="CA50">
        <v>0.82236740825733634</v>
      </c>
      <c r="CB50">
        <v>0.92737305061437403</v>
      </c>
      <c r="CC50">
        <v>-1.1388959065628481E-2</v>
      </c>
      <c r="CD50">
        <v>289.99999999999989</v>
      </c>
      <c r="CE50">
        <v>668.18</v>
      </c>
      <c r="CF50">
        <v>655</v>
      </c>
      <c r="CG50">
        <v>10467</v>
      </c>
      <c r="CH50">
        <v>669.27</v>
      </c>
      <c r="CI50">
        <v>-1.0900000000000001</v>
      </c>
      <c r="CW50">
        <f t="shared" si="88"/>
        <v>1799.94</v>
      </c>
      <c r="CX50">
        <f t="shared" si="89"/>
        <v>1513.1340003290111</v>
      </c>
      <c r="CY50">
        <f t="shared" si="90"/>
        <v>0.84065802211685448</v>
      </c>
      <c r="CZ50">
        <f t="shared" si="91"/>
        <v>0.19131604423370896</v>
      </c>
      <c r="DA50">
        <v>6</v>
      </c>
      <c r="DB50">
        <v>0.5</v>
      </c>
      <c r="DC50" t="s">
        <v>419</v>
      </c>
      <c r="DD50">
        <v>2</v>
      </c>
      <c r="DE50">
        <v>1693329031.0999999</v>
      </c>
      <c r="DF50">
        <v>24.968599999999999</v>
      </c>
      <c r="DG50">
        <v>29.934699999999999</v>
      </c>
      <c r="DH50">
        <v>28.763500000000001</v>
      </c>
      <c r="DI50">
        <v>21.803699999999999</v>
      </c>
      <c r="DJ50">
        <v>26.069600000000001</v>
      </c>
      <c r="DK50">
        <v>28.365100000000002</v>
      </c>
      <c r="DL50">
        <v>500.33800000000002</v>
      </c>
      <c r="DM50">
        <v>99.007499999999993</v>
      </c>
      <c r="DN50">
        <v>0.100913</v>
      </c>
      <c r="DO50">
        <v>30.3566</v>
      </c>
      <c r="DP50">
        <v>29.908999999999999</v>
      </c>
      <c r="DQ50">
        <v>999.9</v>
      </c>
      <c r="DR50">
        <v>0</v>
      </c>
      <c r="DS50">
        <v>0</v>
      </c>
      <c r="DT50">
        <v>9945</v>
      </c>
      <c r="DU50">
        <v>0</v>
      </c>
      <c r="DV50">
        <v>1810.32</v>
      </c>
      <c r="DW50">
        <v>-4.9661499999999998</v>
      </c>
      <c r="DX50">
        <v>25.707999999999998</v>
      </c>
      <c r="DY50">
        <v>30.601900000000001</v>
      </c>
      <c r="DZ50">
        <v>6.9598399999999998</v>
      </c>
      <c r="EA50">
        <v>29.934699999999999</v>
      </c>
      <c r="EB50">
        <v>21.803699999999999</v>
      </c>
      <c r="EC50">
        <v>2.84781</v>
      </c>
      <c r="ED50">
        <v>2.1587299999999998</v>
      </c>
      <c r="EE50">
        <v>23.163799999999998</v>
      </c>
      <c r="EF50">
        <v>18.659300000000002</v>
      </c>
      <c r="EG50">
        <v>1799.94</v>
      </c>
      <c r="EH50">
        <v>0.97800500000000001</v>
      </c>
      <c r="EI50">
        <v>2.1994699999999999E-2</v>
      </c>
      <c r="EJ50">
        <v>0</v>
      </c>
      <c r="EK50">
        <v>630.47400000000005</v>
      </c>
      <c r="EL50">
        <v>4.9995000000000003</v>
      </c>
      <c r="EM50">
        <v>12427.3</v>
      </c>
      <c r="EN50">
        <v>16659.3</v>
      </c>
      <c r="EO50">
        <v>46.75</v>
      </c>
      <c r="EP50">
        <v>48.625</v>
      </c>
      <c r="EQ50">
        <v>47.561999999999998</v>
      </c>
      <c r="ER50">
        <v>47.686999999999998</v>
      </c>
      <c r="ES50">
        <v>48.125</v>
      </c>
      <c r="ET50">
        <v>1755.46</v>
      </c>
      <c r="EU50">
        <v>39.479999999999997</v>
      </c>
      <c r="EV50">
        <v>0</v>
      </c>
      <c r="EW50">
        <v>154.20000004768369</v>
      </c>
      <c r="EX50">
        <v>0</v>
      </c>
      <c r="EY50">
        <v>630.40823076923073</v>
      </c>
      <c r="EZ50">
        <v>-0.89292308584251046</v>
      </c>
      <c r="FA50">
        <v>-28.75213664303152</v>
      </c>
      <c r="FB50">
        <v>12434.469230769229</v>
      </c>
      <c r="FC50">
        <v>15</v>
      </c>
      <c r="FD50">
        <v>1693329003.5999999</v>
      </c>
      <c r="FE50" t="s">
        <v>593</v>
      </c>
      <c r="FF50">
        <v>1693328989.5999999</v>
      </c>
      <c r="FG50">
        <v>1693329003.5999999</v>
      </c>
      <c r="FH50">
        <v>38</v>
      </c>
      <c r="FI50">
        <v>-0.16300000000000001</v>
      </c>
      <c r="FJ50">
        <v>-1E-3</v>
      </c>
      <c r="FK50">
        <v>-1.1140000000000001</v>
      </c>
      <c r="FL50">
        <v>0.111</v>
      </c>
      <c r="FM50">
        <v>30</v>
      </c>
      <c r="FN50">
        <v>22</v>
      </c>
      <c r="FO50">
        <v>0.62</v>
      </c>
      <c r="FP50">
        <v>0.02</v>
      </c>
      <c r="FQ50">
        <v>4.0969998363778037</v>
      </c>
      <c r="FR50">
        <v>-0.2668722057546874</v>
      </c>
      <c r="FS50">
        <v>6.5752181051904043E-2</v>
      </c>
      <c r="FT50">
        <v>1</v>
      </c>
      <c r="FU50">
        <v>0.45063800809924071</v>
      </c>
      <c r="FV50">
        <v>3.4682344245251073E-2</v>
      </c>
      <c r="FW50">
        <v>6.1273261689149556E-3</v>
      </c>
      <c r="FX50">
        <v>1</v>
      </c>
      <c r="FY50">
        <v>2</v>
      </c>
      <c r="FZ50">
        <v>2</v>
      </c>
      <c r="GA50" t="s">
        <v>421</v>
      </c>
      <c r="GB50">
        <v>2.9688500000000002</v>
      </c>
      <c r="GC50">
        <v>2.8121299999999998</v>
      </c>
      <c r="GD50">
        <v>7.4925800000000004E-3</v>
      </c>
      <c r="GE50">
        <v>8.4928599999999996E-3</v>
      </c>
      <c r="GF50">
        <v>0.13425599999999999</v>
      </c>
      <c r="GG50">
        <v>0.110107</v>
      </c>
      <c r="GH50">
        <v>29225.3</v>
      </c>
      <c r="GI50">
        <v>26923.7</v>
      </c>
      <c r="GJ50">
        <v>26473.8</v>
      </c>
      <c r="GK50">
        <v>25628.9</v>
      </c>
      <c r="GL50">
        <v>31193.599999999999</v>
      </c>
      <c r="GM50">
        <v>32150.5</v>
      </c>
      <c r="GN50">
        <v>37484.400000000001</v>
      </c>
      <c r="GO50">
        <v>37949.300000000003</v>
      </c>
      <c r="GP50">
        <v>1.9407000000000001</v>
      </c>
      <c r="GQ50">
        <v>1.8993</v>
      </c>
      <c r="GR50">
        <v>1.7881399999999999E-2</v>
      </c>
      <c r="GS50">
        <v>0</v>
      </c>
      <c r="GT50">
        <v>29.617899999999999</v>
      </c>
      <c r="GU50">
        <v>999.9</v>
      </c>
      <c r="GV50">
        <v>37.799999999999997</v>
      </c>
      <c r="GW50">
        <v>41.4</v>
      </c>
      <c r="GX50">
        <v>30.491499999999998</v>
      </c>
      <c r="GY50">
        <v>61.644100000000002</v>
      </c>
      <c r="GZ50">
        <v>13.766</v>
      </c>
      <c r="HA50">
        <v>1</v>
      </c>
      <c r="HB50">
        <v>0.50249999999999995</v>
      </c>
      <c r="HC50">
        <v>2.28695</v>
      </c>
      <c r="HD50">
        <v>20.230899999999998</v>
      </c>
      <c r="HE50">
        <v>5.2107000000000001</v>
      </c>
      <c r="HF50">
        <v>11.9381</v>
      </c>
      <c r="HG50">
        <v>4.9874000000000001</v>
      </c>
      <c r="HH50">
        <v>3.2909000000000002</v>
      </c>
      <c r="HI50">
        <v>9999</v>
      </c>
      <c r="HJ50">
        <v>9999</v>
      </c>
      <c r="HK50">
        <v>9999</v>
      </c>
      <c r="HL50">
        <v>999.9</v>
      </c>
      <c r="HM50">
        <v>1.87151</v>
      </c>
      <c r="HN50">
        <v>1.87744</v>
      </c>
      <c r="HO50">
        <v>1.8752599999999999</v>
      </c>
      <c r="HP50">
        <v>1.87347</v>
      </c>
      <c r="HQ50">
        <v>1.87399</v>
      </c>
      <c r="HR50">
        <v>1.8714</v>
      </c>
      <c r="HS50">
        <v>1.87723</v>
      </c>
      <c r="HT50">
        <v>1.8764000000000001</v>
      </c>
      <c r="HU50">
        <v>5</v>
      </c>
      <c r="HV50">
        <v>0</v>
      </c>
      <c r="HW50">
        <v>0</v>
      </c>
      <c r="HX50">
        <v>0</v>
      </c>
      <c r="HY50" t="s">
        <v>422</v>
      </c>
      <c r="HZ50" t="s">
        <v>423</v>
      </c>
      <c r="IA50" t="s">
        <v>424</v>
      </c>
      <c r="IB50" t="s">
        <v>424</v>
      </c>
      <c r="IC50" t="s">
        <v>424</v>
      </c>
      <c r="ID50" t="s">
        <v>424</v>
      </c>
      <c r="IE50">
        <v>0</v>
      </c>
      <c r="IF50">
        <v>100</v>
      </c>
      <c r="IG50">
        <v>100</v>
      </c>
      <c r="IH50">
        <v>-1.101</v>
      </c>
      <c r="II50">
        <v>0.39839999999999998</v>
      </c>
      <c r="IJ50">
        <v>-1.032527856464988</v>
      </c>
      <c r="IK50">
        <v>-2.677719669153116E-3</v>
      </c>
      <c r="IL50">
        <v>1.9353498771248068E-6</v>
      </c>
      <c r="IM50">
        <v>-6.1862177325538213E-10</v>
      </c>
      <c r="IN50">
        <v>-0.23318604325249959</v>
      </c>
      <c r="IO50">
        <v>-1.5299015507423901E-2</v>
      </c>
      <c r="IP50">
        <v>1.742162107778985E-3</v>
      </c>
      <c r="IQ50">
        <v>-1.472690239905804E-5</v>
      </c>
      <c r="IR50">
        <v>3</v>
      </c>
      <c r="IS50">
        <v>2255</v>
      </c>
      <c r="IT50">
        <v>2</v>
      </c>
      <c r="IU50">
        <v>41</v>
      </c>
      <c r="IV50">
        <v>0.7</v>
      </c>
      <c r="IW50">
        <v>0.5</v>
      </c>
      <c r="IX50">
        <v>0.21118200000000001</v>
      </c>
      <c r="IY50">
        <v>2.6037599999999999</v>
      </c>
      <c r="IZ50">
        <v>1.5991200000000001</v>
      </c>
      <c r="JA50">
        <v>2.2729499999999998</v>
      </c>
      <c r="JB50">
        <v>1.5502899999999999</v>
      </c>
      <c r="JC50">
        <v>2.2900399999999999</v>
      </c>
      <c r="JD50">
        <v>49.674399999999999</v>
      </c>
      <c r="JE50">
        <v>23.614699999999999</v>
      </c>
      <c r="JF50">
        <v>18</v>
      </c>
      <c r="JG50">
        <v>504.90800000000002</v>
      </c>
      <c r="JH50">
        <v>447.34500000000003</v>
      </c>
      <c r="JI50">
        <v>26.4696</v>
      </c>
      <c r="JJ50">
        <v>33.704999999999998</v>
      </c>
      <c r="JK50">
        <v>30</v>
      </c>
      <c r="JL50">
        <v>33.671700000000001</v>
      </c>
      <c r="JM50">
        <v>33.638599999999997</v>
      </c>
      <c r="JN50">
        <v>4.2612399999999999</v>
      </c>
      <c r="JO50">
        <v>29.8124</v>
      </c>
      <c r="JP50">
        <v>22.360600000000002</v>
      </c>
      <c r="JQ50">
        <v>26.461099999999998</v>
      </c>
      <c r="JR50">
        <v>30</v>
      </c>
      <c r="JS50">
        <v>21.724699999999999</v>
      </c>
      <c r="JT50">
        <v>98.853499999999997</v>
      </c>
      <c r="JU50">
        <v>98.548299999999998</v>
      </c>
    </row>
    <row r="51" spans="1:281" x14ac:dyDescent="0.25">
      <c r="A51">
        <v>35</v>
      </c>
      <c r="B51">
        <v>1693329135.0999999</v>
      </c>
      <c r="C51">
        <v>6838</v>
      </c>
      <c r="D51" t="s">
        <v>594</v>
      </c>
      <c r="E51" t="s">
        <v>595</v>
      </c>
      <c r="F51" t="s">
        <v>413</v>
      </c>
      <c r="G51" t="s">
        <v>564</v>
      </c>
      <c r="H51" t="s">
        <v>565</v>
      </c>
      <c r="I51" t="s">
        <v>415</v>
      </c>
      <c r="J51">
        <v>1693329135.0999999</v>
      </c>
      <c r="K51">
        <f t="shared" si="46"/>
        <v>5.8229041088996786E-3</v>
      </c>
      <c r="L51">
        <f t="shared" si="47"/>
        <v>5.8229041088996789</v>
      </c>
      <c r="M51">
        <f t="shared" si="48"/>
        <v>1.3667878259776445</v>
      </c>
      <c r="N51">
        <f t="shared" si="49"/>
        <v>8.3081499999999995</v>
      </c>
      <c r="O51">
        <f t="shared" si="50"/>
        <v>2.7747859145428584</v>
      </c>
      <c r="P51">
        <f t="shared" si="51"/>
        <v>0.27500203841992366</v>
      </c>
      <c r="Q51">
        <f t="shared" si="52"/>
        <v>0.8233998066387398</v>
      </c>
      <c r="R51">
        <f t="shared" si="53"/>
        <v>0.43297312886130335</v>
      </c>
      <c r="S51">
        <f t="shared" si="54"/>
        <v>2.9151383169244101</v>
      </c>
      <c r="T51">
        <f t="shared" si="55"/>
        <v>0.40015876910007414</v>
      </c>
      <c r="U51">
        <f t="shared" si="56"/>
        <v>0.25283990731648964</v>
      </c>
      <c r="V51">
        <f t="shared" si="57"/>
        <v>344.33080065807326</v>
      </c>
      <c r="W51">
        <f t="shared" si="58"/>
        <v>31.0218548143981</v>
      </c>
      <c r="X51">
        <f t="shared" si="59"/>
        <v>29.996300000000002</v>
      </c>
      <c r="Y51">
        <f t="shared" si="60"/>
        <v>4.2595444043198469</v>
      </c>
      <c r="Z51">
        <f t="shared" si="61"/>
        <v>65.426158969938157</v>
      </c>
      <c r="AA51">
        <f t="shared" si="62"/>
        <v>2.8692507311516398</v>
      </c>
      <c r="AB51">
        <f t="shared" si="63"/>
        <v>4.3854794111786317</v>
      </c>
      <c r="AC51">
        <f t="shared" si="64"/>
        <v>1.3902936731682072</v>
      </c>
      <c r="AD51">
        <f t="shared" si="65"/>
        <v>-256.79007120247581</v>
      </c>
      <c r="AE51">
        <f t="shared" si="66"/>
        <v>79.869188153938836</v>
      </c>
      <c r="AF51">
        <f t="shared" si="67"/>
        <v>6.1071103023046369</v>
      </c>
      <c r="AG51">
        <f t="shared" si="68"/>
        <v>173.51702791184093</v>
      </c>
      <c r="AH51">
        <v>0</v>
      </c>
      <c r="AI51">
        <v>0</v>
      </c>
      <c r="AJ51">
        <f t="shared" si="69"/>
        <v>1</v>
      </c>
      <c r="AK51">
        <f t="shared" si="70"/>
        <v>0</v>
      </c>
      <c r="AL51">
        <f t="shared" si="71"/>
        <v>51834.699380118909</v>
      </c>
      <c r="AM51" t="s">
        <v>416</v>
      </c>
      <c r="AN51">
        <v>10238.9</v>
      </c>
      <c r="AO51">
        <v>302.21199999999999</v>
      </c>
      <c r="AP51">
        <v>4052.3</v>
      </c>
      <c r="AQ51">
        <f t="shared" si="72"/>
        <v>0.92542210596451402</v>
      </c>
      <c r="AR51">
        <v>-0.32343011824092421</v>
      </c>
      <c r="AS51" t="s">
        <v>596</v>
      </c>
      <c r="AT51">
        <v>10495.4</v>
      </c>
      <c r="AU51">
        <v>632.39</v>
      </c>
      <c r="AV51">
        <v>675.30440736358707</v>
      </c>
      <c r="AW51">
        <f t="shared" si="73"/>
        <v>6.3548241201514588E-2</v>
      </c>
      <c r="AX51">
        <v>0.5</v>
      </c>
      <c r="AY51">
        <f t="shared" si="74"/>
        <v>1513.0164003290365</v>
      </c>
      <c r="AZ51">
        <f t="shared" si="75"/>
        <v>1.3667878259776445</v>
      </c>
      <c r="BA51">
        <f t="shared" si="76"/>
        <v>48.074765574978485</v>
      </c>
      <c r="BB51">
        <f t="shared" si="77"/>
        <v>1.1171180588994251E-3</v>
      </c>
      <c r="BC51">
        <f t="shared" si="78"/>
        <v>5.000701247931028</v>
      </c>
      <c r="BD51">
        <f t="shared" si="79"/>
        <v>220.12004230199543</v>
      </c>
      <c r="BE51" t="s">
        <v>597</v>
      </c>
      <c r="BF51">
        <v>543.89</v>
      </c>
      <c r="BG51">
        <f t="shared" si="80"/>
        <v>543.89</v>
      </c>
      <c r="BH51">
        <f t="shared" si="81"/>
        <v>0.19460025128020964</v>
      </c>
      <c r="BI51">
        <f t="shared" si="82"/>
        <v>0.32655785788277286</v>
      </c>
      <c r="BJ51">
        <f t="shared" si="83"/>
        <v>0.96254303021494436</v>
      </c>
      <c r="BK51">
        <f t="shared" si="84"/>
        <v>0.11502353442900813</v>
      </c>
      <c r="BL51">
        <f t="shared" si="85"/>
        <v>0.900511026044299</v>
      </c>
      <c r="BM51">
        <f t="shared" si="86"/>
        <v>0.28085762476298065</v>
      </c>
      <c r="BN51">
        <f t="shared" si="87"/>
        <v>0.7191423752370194</v>
      </c>
      <c r="BO51">
        <v>5532</v>
      </c>
      <c r="BP51">
        <v>290.00000000000011</v>
      </c>
      <c r="BQ51">
        <v>665.08</v>
      </c>
      <c r="BR51">
        <v>195</v>
      </c>
      <c r="BS51">
        <v>10495.4</v>
      </c>
      <c r="BT51">
        <v>663.69</v>
      </c>
      <c r="BU51">
        <v>1.39</v>
      </c>
      <c r="BV51">
        <v>300.00000000000011</v>
      </c>
      <c r="BW51">
        <v>38.200000000000003</v>
      </c>
      <c r="BX51">
        <v>675.30440736358707</v>
      </c>
      <c r="BY51">
        <v>0.79526077223591096</v>
      </c>
      <c r="BZ51">
        <v>-12.186902206897759</v>
      </c>
      <c r="CA51">
        <v>0.68312753884156607</v>
      </c>
      <c r="CB51">
        <v>0.9191360817976223</v>
      </c>
      <c r="CC51">
        <v>-1.139029477196885E-2</v>
      </c>
      <c r="CD51">
        <v>289.99999999999989</v>
      </c>
      <c r="CE51">
        <v>662.27</v>
      </c>
      <c r="CF51">
        <v>625</v>
      </c>
      <c r="CG51">
        <v>10471.1</v>
      </c>
      <c r="CH51">
        <v>663.67</v>
      </c>
      <c r="CI51">
        <v>-1.4</v>
      </c>
      <c r="CW51">
        <f t="shared" si="88"/>
        <v>1799.8</v>
      </c>
      <c r="CX51">
        <f t="shared" si="89"/>
        <v>1513.0164003290365</v>
      </c>
      <c r="CY51">
        <f t="shared" si="90"/>
        <v>0.84065807330205389</v>
      </c>
      <c r="CZ51">
        <f t="shared" si="91"/>
        <v>0.19131614660410784</v>
      </c>
      <c r="DA51">
        <v>6</v>
      </c>
      <c r="DB51">
        <v>0.5</v>
      </c>
      <c r="DC51" t="s">
        <v>419</v>
      </c>
      <c r="DD51">
        <v>2</v>
      </c>
      <c r="DE51">
        <v>1693329135.0999999</v>
      </c>
      <c r="DF51">
        <v>8.3081499999999995</v>
      </c>
      <c r="DG51">
        <v>10.005699999999999</v>
      </c>
      <c r="DH51">
        <v>28.950900000000001</v>
      </c>
      <c r="DI51">
        <v>22.168299999999999</v>
      </c>
      <c r="DJ51">
        <v>9.4151100000000003</v>
      </c>
      <c r="DK51">
        <v>28.5426</v>
      </c>
      <c r="DL51">
        <v>500.19099999999997</v>
      </c>
      <c r="DM51">
        <v>99.007499999999993</v>
      </c>
      <c r="DN51">
        <v>9.9979600000000002E-2</v>
      </c>
      <c r="DO51">
        <v>30.5045</v>
      </c>
      <c r="DP51">
        <v>29.996300000000002</v>
      </c>
      <c r="DQ51">
        <v>999.9</v>
      </c>
      <c r="DR51">
        <v>0</v>
      </c>
      <c r="DS51">
        <v>0</v>
      </c>
      <c r="DT51">
        <v>10017.5</v>
      </c>
      <c r="DU51">
        <v>0</v>
      </c>
      <c r="DV51">
        <v>1799.22</v>
      </c>
      <c r="DW51">
        <v>-1.6975</v>
      </c>
      <c r="DX51">
        <v>8.5558499999999995</v>
      </c>
      <c r="DY51">
        <v>10.2325</v>
      </c>
      <c r="DZ51">
        <v>6.7825899999999999</v>
      </c>
      <c r="EA51">
        <v>10.005699999999999</v>
      </c>
      <c r="EB51">
        <v>22.168299999999999</v>
      </c>
      <c r="EC51">
        <v>2.8663500000000002</v>
      </c>
      <c r="ED51">
        <v>2.19482</v>
      </c>
      <c r="EE51">
        <v>23.2713</v>
      </c>
      <c r="EF51">
        <v>18.924600000000002</v>
      </c>
      <c r="EG51">
        <v>1799.8</v>
      </c>
      <c r="EH51">
        <v>0.97800200000000004</v>
      </c>
      <c r="EI51">
        <v>2.1998199999999999E-2</v>
      </c>
      <c r="EJ51">
        <v>0</v>
      </c>
      <c r="EK51">
        <v>631.92100000000005</v>
      </c>
      <c r="EL51">
        <v>4.9995000000000003</v>
      </c>
      <c r="EM51">
        <v>12458.8</v>
      </c>
      <c r="EN51">
        <v>16657.900000000001</v>
      </c>
      <c r="EO51">
        <v>46.625</v>
      </c>
      <c r="EP51">
        <v>48.5</v>
      </c>
      <c r="EQ51">
        <v>47.436999999999998</v>
      </c>
      <c r="ER51">
        <v>47.5</v>
      </c>
      <c r="ES51">
        <v>48.061999999999998</v>
      </c>
      <c r="ET51">
        <v>1755.32</v>
      </c>
      <c r="EU51">
        <v>39.479999999999997</v>
      </c>
      <c r="EV51">
        <v>0</v>
      </c>
      <c r="EW51">
        <v>102</v>
      </c>
      <c r="EX51">
        <v>0</v>
      </c>
      <c r="EY51">
        <v>632.39</v>
      </c>
      <c r="EZ51">
        <v>0.65069230192986438</v>
      </c>
      <c r="FA51">
        <v>17.392307631152271</v>
      </c>
      <c r="FB51">
        <v>12459.9</v>
      </c>
      <c r="FC51">
        <v>15</v>
      </c>
      <c r="FD51">
        <v>1693329105.5999999</v>
      </c>
      <c r="FE51" t="s">
        <v>598</v>
      </c>
      <c r="FF51">
        <v>1693329095.0999999</v>
      </c>
      <c r="FG51">
        <v>1693329105.5999999</v>
      </c>
      <c r="FH51">
        <v>39</v>
      </c>
      <c r="FI51">
        <v>-4.9000000000000002E-2</v>
      </c>
      <c r="FJ51">
        <v>1E-3</v>
      </c>
      <c r="FK51">
        <v>-1.111</v>
      </c>
      <c r="FL51">
        <v>0.104</v>
      </c>
      <c r="FM51">
        <v>10</v>
      </c>
      <c r="FN51">
        <v>22</v>
      </c>
      <c r="FO51">
        <v>0.9</v>
      </c>
      <c r="FP51">
        <v>0.03</v>
      </c>
      <c r="FQ51">
        <v>1.3776863793819469</v>
      </c>
      <c r="FR51">
        <v>-0.44763429204388983</v>
      </c>
      <c r="FS51">
        <v>6.1865362594839303E-2</v>
      </c>
      <c r="FT51">
        <v>1</v>
      </c>
      <c r="FU51">
        <v>0.43341070887426159</v>
      </c>
      <c r="FV51">
        <v>2.821402769724974E-2</v>
      </c>
      <c r="FW51">
        <v>5.8838903518651101E-3</v>
      </c>
      <c r="FX51">
        <v>1</v>
      </c>
      <c r="FY51">
        <v>2</v>
      </c>
      <c r="FZ51">
        <v>2</v>
      </c>
      <c r="GA51" t="s">
        <v>421</v>
      </c>
      <c r="GB51">
        <v>2.9684499999999998</v>
      </c>
      <c r="GC51">
        <v>2.8118300000000001</v>
      </c>
      <c r="GD51">
        <v>2.7063299999999998E-3</v>
      </c>
      <c r="GE51">
        <v>2.8388900000000002E-3</v>
      </c>
      <c r="GF51">
        <v>0.13483899999999999</v>
      </c>
      <c r="GG51">
        <v>0.111397</v>
      </c>
      <c r="GH51">
        <v>29365.9</v>
      </c>
      <c r="GI51">
        <v>27078</v>
      </c>
      <c r="GJ51">
        <v>26473.599999999999</v>
      </c>
      <c r="GK51">
        <v>25629.8</v>
      </c>
      <c r="GL51">
        <v>31172</v>
      </c>
      <c r="GM51">
        <v>32103.9</v>
      </c>
      <c r="GN51">
        <v>37484.199999999997</v>
      </c>
      <c r="GO51">
        <v>37950</v>
      </c>
      <c r="GP51">
        <v>1.9408000000000001</v>
      </c>
      <c r="GQ51">
        <v>1.8979999999999999</v>
      </c>
      <c r="GR51">
        <v>2.6225999999999999E-2</v>
      </c>
      <c r="GS51">
        <v>0</v>
      </c>
      <c r="GT51">
        <v>29.569400000000002</v>
      </c>
      <c r="GU51">
        <v>999.9</v>
      </c>
      <c r="GV51">
        <v>37.299999999999997</v>
      </c>
      <c r="GW51">
        <v>41.6</v>
      </c>
      <c r="GX51">
        <v>30.408100000000001</v>
      </c>
      <c r="GY51">
        <v>61.474200000000003</v>
      </c>
      <c r="GZ51">
        <v>13.0128</v>
      </c>
      <c r="HA51">
        <v>1</v>
      </c>
      <c r="HB51">
        <v>0.504888</v>
      </c>
      <c r="HC51">
        <v>2.75542</v>
      </c>
      <c r="HD51">
        <v>20.224399999999999</v>
      </c>
      <c r="HE51">
        <v>5.2059100000000003</v>
      </c>
      <c r="HF51">
        <v>11.9381</v>
      </c>
      <c r="HG51">
        <v>4.9859999999999998</v>
      </c>
      <c r="HH51">
        <v>3.2909999999999999</v>
      </c>
      <c r="HI51">
        <v>9999</v>
      </c>
      <c r="HJ51">
        <v>9999</v>
      </c>
      <c r="HK51">
        <v>9999</v>
      </c>
      <c r="HL51">
        <v>999.9</v>
      </c>
      <c r="HM51">
        <v>1.87151</v>
      </c>
      <c r="HN51">
        <v>1.87748</v>
      </c>
      <c r="HO51">
        <v>1.87531</v>
      </c>
      <c r="HP51">
        <v>1.87347</v>
      </c>
      <c r="HQ51">
        <v>1.87405</v>
      </c>
      <c r="HR51">
        <v>1.87141</v>
      </c>
      <c r="HS51">
        <v>1.87724</v>
      </c>
      <c r="HT51">
        <v>1.8764000000000001</v>
      </c>
      <c r="HU51">
        <v>5</v>
      </c>
      <c r="HV51">
        <v>0</v>
      </c>
      <c r="HW51">
        <v>0</v>
      </c>
      <c r="HX51">
        <v>0</v>
      </c>
      <c r="HY51" t="s">
        <v>422</v>
      </c>
      <c r="HZ51" t="s">
        <v>423</v>
      </c>
      <c r="IA51" t="s">
        <v>424</v>
      </c>
      <c r="IB51" t="s">
        <v>424</v>
      </c>
      <c r="IC51" t="s">
        <v>424</v>
      </c>
      <c r="ID51" t="s">
        <v>424</v>
      </c>
      <c r="IE51">
        <v>0</v>
      </c>
      <c r="IF51">
        <v>100</v>
      </c>
      <c r="IG51">
        <v>100</v>
      </c>
      <c r="IH51">
        <v>-1.107</v>
      </c>
      <c r="II51">
        <v>0.4083</v>
      </c>
      <c r="IJ51">
        <v>-1.0819177196451919</v>
      </c>
      <c r="IK51">
        <v>-2.677719669153116E-3</v>
      </c>
      <c r="IL51">
        <v>1.9353498771248068E-6</v>
      </c>
      <c r="IM51">
        <v>-6.1862177325538213E-10</v>
      </c>
      <c r="IN51">
        <v>-0.23197296056698541</v>
      </c>
      <c r="IO51">
        <v>-1.5299015507423901E-2</v>
      </c>
      <c r="IP51">
        <v>1.742162107778985E-3</v>
      </c>
      <c r="IQ51">
        <v>-1.472690239905804E-5</v>
      </c>
      <c r="IR51">
        <v>3</v>
      </c>
      <c r="IS51">
        <v>2255</v>
      </c>
      <c r="IT51">
        <v>2</v>
      </c>
      <c r="IU51">
        <v>41</v>
      </c>
      <c r="IV51">
        <v>0.7</v>
      </c>
      <c r="IW51">
        <v>0.5</v>
      </c>
      <c r="IX51">
        <v>0.17089799999999999</v>
      </c>
      <c r="IY51">
        <v>2.6037599999999999</v>
      </c>
      <c r="IZ51">
        <v>1.5991200000000001</v>
      </c>
      <c r="JA51">
        <v>2.2729499999999998</v>
      </c>
      <c r="JB51">
        <v>1.5502899999999999</v>
      </c>
      <c r="JC51">
        <v>2.4536099999999998</v>
      </c>
      <c r="JD51">
        <v>49.7699</v>
      </c>
      <c r="JE51">
        <v>23.6234</v>
      </c>
      <c r="JF51">
        <v>18</v>
      </c>
      <c r="JG51">
        <v>505.06599999999997</v>
      </c>
      <c r="JH51">
        <v>446.65199999999999</v>
      </c>
      <c r="JI51">
        <v>26.425999999999998</v>
      </c>
      <c r="JJ51">
        <v>33.695900000000002</v>
      </c>
      <c r="JK51">
        <v>29.9999</v>
      </c>
      <c r="JL51">
        <v>33.683799999999998</v>
      </c>
      <c r="JM51">
        <v>33.653700000000001</v>
      </c>
      <c r="JN51">
        <v>3.4761799999999998</v>
      </c>
      <c r="JO51">
        <v>28.321200000000001</v>
      </c>
      <c r="JP51">
        <v>20.3614</v>
      </c>
      <c r="JQ51">
        <v>26.433599999999998</v>
      </c>
      <c r="JR51">
        <v>10</v>
      </c>
      <c r="JS51">
        <v>22.130299999999998</v>
      </c>
      <c r="JT51">
        <v>98.852800000000002</v>
      </c>
      <c r="JU51">
        <v>98.550600000000003</v>
      </c>
    </row>
    <row r="52" spans="1:281" x14ac:dyDescent="0.25">
      <c r="A52">
        <v>36</v>
      </c>
      <c r="B52">
        <v>1693329324.5999999</v>
      </c>
      <c r="C52">
        <v>7027.5</v>
      </c>
      <c r="D52" t="s">
        <v>599</v>
      </c>
      <c r="E52" t="s">
        <v>600</v>
      </c>
      <c r="F52" t="s">
        <v>413</v>
      </c>
      <c r="G52" t="s">
        <v>564</v>
      </c>
      <c r="H52" t="s">
        <v>565</v>
      </c>
      <c r="I52" t="s">
        <v>415</v>
      </c>
      <c r="J52">
        <v>1693329324.5999999</v>
      </c>
      <c r="K52">
        <f t="shared" si="46"/>
        <v>5.75311556011192E-3</v>
      </c>
      <c r="L52">
        <f t="shared" si="47"/>
        <v>5.7531155601119197</v>
      </c>
      <c r="M52">
        <f t="shared" si="48"/>
        <v>39.74170467513045</v>
      </c>
      <c r="N52">
        <f t="shared" si="49"/>
        <v>349.83699999999999</v>
      </c>
      <c r="O52">
        <f t="shared" si="50"/>
        <v>180.39612505647236</v>
      </c>
      <c r="P52">
        <f t="shared" si="51"/>
        <v>17.877930746762569</v>
      </c>
      <c r="Q52">
        <f t="shared" si="52"/>
        <v>34.670155230314798</v>
      </c>
      <c r="R52">
        <f t="shared" si="53"/>
        <v>0.41599689765375886</v>
      </c>
      <c r="S52">
        <f t="shared" si="54"/>
        <v>2.9146486433694769</v>
      </c>
      <c r="T52">
        <f t="shared" si="55"/>
        <v>0.3856038394845327</v>
      </c>
      <c r="U52">
        <f t="shared" si="56"/>
        <v>0.24354779158221865</v>
      </c>
      <c r="V52">
        <f t="shared" si="57"/>
        <v>344.36370065817783</v>
      </c>
      <c r="W52">
        <f t="shared" si="58"/>
        <v>31.003235513375863</v>
      </c>
      <c r="X52">
        <f t="shared" si="59"/>
        <v>30.022600000000001</v>
      </c>
      <c r="Y52">
        <f t="shared" si="60"/>
        <v>4.2659835002414042</v>
      </c>
      <c r="Z52">
        <f t="shared" si="61"/>
        <v>64.905790910825985</v>
      </c>
      <c r="AA52">
        <f t="shared" si="62"/>
        <v>2.8403924828563194</v>
      </c>
      <c r="AB52">
        <f t="shared" si="63"/>
        <v>4.3761772917284567</v>
      </c>
      <c r="AC52">
        <f t="shared" si="64"/>
        <v>1.4255910173850848</v>
      </c>
      <c r="AD52">
        <f t="shared" si="65"/>
        <v>-253.71239620093567</v>
      </c>
      <c r="AE52">
        <f t="shared" si="66"/>
        <v>69.893442351762033</v>
      </c>
      <c r="AF52">
        <f t="shared" si="67"/>
        <v>5.3449372359521581</v>
      </c>
      <c r="AG52">
        <f t="shared" si="68"/>
        <v>165.88968404495637</v>
      </c>
      <c r="AH52">
        <v>0</v>
      </c>
      <c r="AI52">
        <v>0</v>
      </c>
      <c r="AJ52">
        <f t="shared" si="69"/>
        <v>1</v>
      </c>
      <c r="AK52">
        <f t="shared" si="70"/>
        <v>0</v>
      </c>
      <c r="AL52">
        <f t="shared" si="71"/>
        <v>51827.062086646853</v>
      </c>
      <c r="AM52" t="s">
        <v>416</v>
      </c>
      <c r="AN52">
        <v>10238.9</v>
      </c>
      <c r="AO52">
        <v>302.21199999999999</v>
      </c>
      <c r="AP52">
        <v>4052.3</v>
      </c>
      <c r="AQ52">
        <f t="shared" si="72"/>
        <v>0.92542210596451402</v>
      </c>
      <c r="AR52">
        <v>-0.32343011824092421</v>
      </c>
      <c r="AS52" t="s">
        <v>601</v>
      </c>
      <c r="AT52">
        <v>10487.6</v>
      </c>
      <c r="AU52">
        <v>677.38763999999992</v>
      </c>
      <c r="AV52">
        <v>1009.804629979616</v>
      </c>
      <c r="AW52">
        <f t="shared" si="73"/>
        <v>0.3291894096250344</v>
      </c>
      <c r="AX52">
        <v>0.5</v>
      </c>
      <c r="AY52">
        <f t="shared" si="74"/>
        <v>1513.159500329089</v>
      </c>
      <c r="AZ52">
        <f t="shared" si="75"/>
        <v>39.74170467513045</v>
      </c>
      <c r="BA52">
        <f t="shared" si="76"/>
        <v>249.05804129092243</v>
      </c>
      <c r="BB52">
        <f t="shared" si="77"/>
        <v>2.6477800116020696E-2</v>
      </c>
      <c r="BC52">
        <f t="shared" si="78"/>
        <v>3.012954466332562</v>
      </c>
      <c r="BD52">
        <f t="shared" si="79"/>
        <v>246.76414600994002</v>
      </c>
      <c r="BE52" t="s">
        <v>602</v>
      </c>
      <c r="BF52">
        <v>545.53</v>
      </c>
      <c r="BG52">
        <f t="shared" si="80"/>
        <v>545.53</v>
      </c>
      <c r="BH52">
        <f t="shared" si="81"/>
        <v>0.45976678675853166</v>
      </c>
      <c r="BI52">
        <f t="shared" si="82"/>
        <v>0.71599214885855567</v>
      </c>
      <c r="BJ52">
        <f t="shared" si="83"/>
        <v>0.86760619316932208</v>
      </c>
      <c r="BK52">
        <f t="shared" si="84"/>
        <v>0.46978582859065704</v>
      </c>
      <c r="BL52">
        <f t="shared" si="85"/>
        <v>0.8113130598589644</v>
      </c>
      <c r="BM52">
        <f t="shared" si="86"/>
        <v>0.57661990550463527</v>
      </c>
      <c r="BN52">
        <f t="shared" si="87"/>
        <v>0.42338009449536473</v>
      </c>
      <c r="BO52">
        <v>5534</v>
      </c>
      <c r="BP52">
        <v>290.00000000000011</v>
      </c>
      <c r="BQ52">
        <v>907.7</v>
      </c>
      <c r="BR52">
        <v>255</v>
      </c>
      <c r="BS52">
        <v>10487.6</v>
      </c>
      <c r="BT52">
        <v>906.75</v>
      </c>
      <c r="BU52">
        <v>0.95</v>
      </c>
      <c r="BV52">
        <v>300.00000000000011</v>
      </c>
      <c r="BW52">
        <v>38.200000000000003</v>
      </c>
      <c r="BX52">
        <v>1009.804629979616</v>
      </c>
      <c r="BY52">
        <v>1.077803703614308</v>
      </c>
      <c r="BZ52">
        <v>-108.08170835721801</v>
      </c>
      <c r="CA52">
        <v>0.92602485991576933</v>
      </c>
      <c r="CB52">
        <v>0.99794880389200979</v>
      </c>
      <c r="CC52">
        <v>-1.139434505005562E-2</v>
      </c>
      <c r="CD52">
        <v>289.99999999999989</v>
      </c>
      <c r="CE52">
        <v>886.69</v>
      </c>
      <c r="CF52">
        <v>635</v>
      </c>
      <c r="CG52">
        <v>10472.200000000001</v>
      </c>
      <c r="CH52">
        <v>906.6</v>
      </c>
      <c r="CI52">
        <v>-19.91</v>
      </c>
      <c r="CW52">
        <f t="shared" si="88"/>
        <v>1799.97</v>
      </c>
      <c r="CX52">
        <f t="shared" si="89"/>
        <v>1513.159500329089</v>
      </c>
      <c r="CY52">
        <f t="shared" si="90"/>
        <v>0.84065817781912422</v>
      </c>
      <c r="CZ52">
        <f t="shared" si="91"/>
        <v>0.19131635563824831</v>
      </c>
      <c r="DA52">
        <v>6</v>
      </c>
      <c r="DB52">
        <v>0.5</v>
      </c>
      <c r="DC52" t="s">
        <v>419</v>
      </c>
      <c r="DD52">
        <v>2</v>
      </c>
      <c r="DE52">
        <v>1693329324.5999999</v>
      </c>
      <c r="DF52">
        <v>349.83699999999999</v>
      </c>
      <c r="DG52">
        <v>399.92599999999999</v>
      </c>
      <c r="DH52">
        <v>28.660799999999998</v>
      </c>
      <c r="DI52">
        <v>21.957100000000001</v>
      </c>
      <c r="DJ52">
        <v>351.35199999999998</v>
      </c>
      <c r="DK52">
        <v>28.268999999999998</v>
      </c>
      <c r="DL52">
        <v>500.16199999999998</v>
      </c>
      <c r="DM52">
        <v>99.004499999999993</v>
      </c>
      <c r="DN52">
        <v>9.9240400000000006E-2</v>
      </c>
      <c r="DO52">
        <v>30.467400000000001</v>
      </c>
      <c r="DP52">
        <v>30.022600000000001</v>
      </c>
      <c r="DQ52">
        <v>999.9</v>
      </c>
      <c r="DR52">
        <v>0</v>
      </c>
      <c r="DS52">
        <v>0</v>
      </c>
      <c r="DT52">
        <v>10015</v>
      </c>
      <c r="DU52">
        <v>0</v>
      </c>
      <c r="DV52">
        <v>1784.29</v>
      </c>
      <c r="DW52">
        <v>-50.089399999999998</v>
      </c>
      <c r="DX52">
        <v>360.15899999999999</v>
      </c>
      <c r="DY52">
        <v>408.904</v>
      </c>
      <c r="DZ52">
        <v>6.7037000000000004</v>
      </c>
      <c r="EA52">
        <v>399.92599999999999</v>
      </c>
      <c r="EB52">
        <v>21.957100000000001</v>
      </c>
      <c r="EC52">
        <v>2.8375499999999998</v>
      </c>
      <c r="ED52">
        <v>2.1738499999999998</v>
      </c>
      <c r="EE52">
        <v>23.104199999999999</v>
      </c>
      <c r="EF52">
        <v>18.770900000000001</v>
      </c>
      <c r="EG52">
        <v>1799.97</v>
      </c>
      <c r="EH52">
        <v>0.97800200000000004</v>
      </c>
      <c r="EI52">
        <v>2.19981E-2</v>
      </c>
      <c r="EJ52">
        <v>0</v>
      </c>
      <c r="EK52">
        <v>678.76800000000003</v>
      </c>
      <c r="EL52">
        <v>4.9995000000000003</v>
      </c>
      <c r="EM52">
        <v>13280</v>
      </c>
      <c r="EN52">
        <v>16659.5</v>
      </c>
      <c r="EO52">
        <v>46.561999999999998</v>
      </c>
      <c r="EP52">
        <v>48.625</v>
      </c>
      <c r="EQ52">
        <v>47.436999999999998</v>
      </c>
      <c r="ER52">
        <v>47.625</v>
      </c>
      <c r="ES52">
        <v>48.061999999999998</v>
      </c>
      <c r="ET52">
        <v>1755.48</v>
      </c>
      <c r="EU52">
        <v>39.49</v>
      </c>
      <c r="EV52">
        <v>0</v>
      </c>
      <c r="EW52">
        <v>187.4000000953674</v>
      </c>
      <c r="EX52">
        <v>0</v>
      </c>
      <c r="EY52">
        <v>677.38763999999992</v>
      </c>
      <c r="EZ52">
        <v>9.5823846093050751</v>
      </c>
      <c r="FA52">
        <v>116.18461530332711</v>
      </c>
      <c r="FB52">
        <v>13254.296</v>
      </c>
      <c r="FC52">
        <v>15</v>
      </c>
      <c r="FD52">
        <v>1693329218.0999999</v>
      </c>
      <c r="FE52" t="s">
        <v>603</v>
      </c>
      <c r="FF52">
        <v>1693329210.5999999</v>
      </c>
      <c r="FG52">
        <v>1693329218.0999999</v>
      </c>
      <c r="FH52">
        <v>40</v>
      </c>
      <c r="FI52">
        <v>0.29499999999999998</v>
      </c>
      <c r="FJ52">
        <v>-3.0000000000000001E-3</v>
      </c>
      <c r="FK52">
        <v>-1.59</v>
      </c>
      <c r="FL52">
        <v>0.11</v>
      </c>
      <c r="FM52">
        <v>400</v>
      </c>
      <c r="FN52">
        <v>22</v>
      </c>
      <c r="FO52">
        <v>0.21</v>
      </c>
      <c r="FP52">
        <v>0.03</v>
      </c>
      <c r="FQ52">
        <v>39.306132202806737</v>
      </c>
      <c r="FR52">
        <v>3.6437227787710782</v>
      </c>
      <c r="FS52">
        <v>0.29833479509925298</v>
      </c>
      <c r="FT52">
        <v>0</v>
      </c>
      <c r="FU52">
        <v>0.4192032880440405</v>
      </c>
      <c r="FV52">
        <v>-2.219282870588812E-2</v>
      </c>
      <c r="FW52">
        <v>1.921430954185307E-3</v>
      </c>
      <c r="FX52">
        <v>1</v>
      </c>
      <c r="FY52">
        <v>1</v>
      </c>
      <c r="FZ52">
        <v>2</v>
      </c>
      <c r="GA52" t="s">
        <v>460</v>
      </c>
      <c r="GB52">
        <v>2.9683099999999998</v>
      </c>
      <c r="GC52">
        <v>2.81107</v>
      </c>
      <c r="GD52">
        <v>8.6774400000000002E-2</v>
      </c>
      <c r="GE52">
        <v>9.4992900000000005E-2</v>
      </c>
      <c r="GF52">
        <v>0.133912</v>
      </c>
      <c r="GG52">
        <v>0.11062900000000001</v>
      </c>
      <c r="GH52">
        <v>26888.6</v>
      </c>
      <c r="GI52">
        <v>24569.1</v>
      </c>
      <c r="GJ52">
        <v>26471.8</v>
      </c>
      <c r="GK52">
        <v>25623.599999999999</v>
      </c>
      <c r="GL52">
        <v>31210.3</v>
      </c>
      <c r="GM52">
        <v>32132.3</v>
      </c>
      <c r="GN52">
        <v>37481.699999999997</v>
      </c>
      <c r="GO52">
        <v>37942.699999999997</v>
      </c>
      <c r="GP52">
        <v>1.9397</v>
      </c>
      <c r="GQ52">
        <v>1.8942000000000001</v>
      </c>
      <c r="GR52">
        <v>6.2584900000000002E-3</v>
      </c>
      <c r="GS52">
        <v>0</v>
      </c>
      <c r="GT52">
        <v>29.9208</v>
      </c>
      <c r="GU52">
        <v>999.9</v>
      </c>
      <c r="GV52">
        <v>36.200000000000003</v>
      </c>
      <c r="GW52">
        <v>42</v>
      </c>
      <c r="GX52">
        <v>30.143599999999999</v>
      </c>
      <c r="GY52">
        <v>61.804099999999998</v>
      </c>
      <c r="GZ52">
        <v>13.5176</v>
      </c>
      <c r="HA52">
        <v>1</v>
      </c>
      <c r="HB52">
        <v>0.51594499999999999</v>
      </c>
      <c r="HC52">
        <v>3.5955400000000002</v>
      </c>
      <c r="HD52">
        <v>20.209099999999999</v>
      </c>
      <c r="HE52">
        <v>5.2095000000000002</v>
      </c>
      <c r="HF52">
        <v>11.9381</v>
      </c>
      <c r="HG52">
        <v>4.9867999999999997</v>
      </c>
      <c r="HH52">
        <v>3.2909000000000002</v>
      </c>
      <c r="HI52">
        <v>9999</v>
      </c>
      <c r="HJ52">
        <v>9999</v>
      </c>
      <c r="HK52">
        <v>9999</v>
      </c>
      <c r="HL52">
        <v>999.9</v>
      </c>
      <c r="HM52">
        <v>1.8715200000000001</v>
      </c>
      <c r="HN52">
        <v>1.87744</v>
      </c>
      <c r="HO52">
        <v>1.87531</v>
      </c>
      <c r="HP52">
        <v>1.87347</v>
      </c>
      <c r="HQ52">
        <v>1.87405</v>
      </c>
      <c r="HR52">
        <v>1.8714599999999999</v>
      </c>
      <c r="HS52">
        <v>1.87724</v>
      </c>
      <c r="HT52">
        <v>1.87645</v>
      </c>
      <c r="HU52">
        <v>5</v>
      </c>
      <c r="HV52">
        <v>0</v>
      </c>
      <c r="HW52">
        <v>0</v>
      </c>
      <c r="HX52">
        <v>0</v>
      </c>
      <c r="HY52" t="s">
        <v>422</v>
      </c>
      <c r="HZ52" t="s">
        <v>423</v>
      </c>
      <c r="IA52" t="s">
        <v>424</v>
      </c>
      <c r="IB52" t="s">
        <v>424</v>
      </c>
      <c r="IC52" t="s">
        <v>424</v>
      </c>
      <c r="ID52" t="s">
        <v>424</v>
      </c>
      <c r="IE52">
        <v>0</v>
      </c>
      <c r="IF52">
        <v>100</v>
      </c>
      <c r="IG52">
        <v>100</v>
      </c>
      <c r="IH52">
        <v>-1.5149999999999999</v>
      </c>
      <c r="II52">
        <v>0.39179999999999998</v>
      </c>
      <c r="IJ52">
        <v>-0.7865526744499407</v>
      </c>
      <c r="IK52">
        <v>-2.677719669153116E-3</v>
      </c>
      <c r="IL52">
        <v>1.9353498771248068E-6</v>
      </c>
      <c r="IM52">
        <v>-6.1862177325538213E-10</v>
      </c>
      <c r="IN52">
        <v>-0.2352489227851727</v>
      </c>
      <c r="IO52">
        <v>-1.5299015507423901E-2</v>
      </c>
      <c r="IP52">
        <v>1.742162107778985E-3</v>
      </c>
      <c r="IQ52">
        <v>-1.472690239905804E-5</v>
      </c>
      <c r="IR52">
        <v>3</v>
      </c>
      <c r="IS52">
        <v>2255</v>
      </c>
      <c r="IT52">
        <v>2</v>
      </c>
      <c r="IU52">
        <v>41</v>
      </c>
      <c r="IV52">
        <v>1.9</v>
      </c>
      <c r="IW52">
        <v>1.8</v>
      </c>
      <c r="IX52">
        <v>0.95459000000000005</v>
      </c>
      <c r="IY52">
        <v>2.5585900000000001</v>
      </c>
      <c r="IZ52">
        <v>1.5991200000000001</v>
      </c>
      <c r="JA52">
        <v>2.2729499999999998</v>
      </c>
      <c r="JB52">
        <v>1.5502899999999999</v>
      </c>
      <c r="JC52">
        <v>2.4169900000000002</v>
      </c>
      <c r="JD52">
        <v>50.025700000000001</v>
      </c>
      <c r="JE52">
        <v>23.605899999999998</v>
      </c>
      <c r="JF52">
        <v>18</v>
      </c>
      <c r="JG52">
        <v>504.79700000000003</v>
      </c>
      <c r="JH52">
        <v>444.76799999999997</v>
      </c>
      <c r="JI52">
        <v>25.652899999999999</v>
      </c>
      <c r="JJ52">
        <v>33.782299999999999</v>
      </c>
      <c r="JK52">
        <v>30.000699999999998</v>
      </c>
      <c r="JL52">
        <v>33.741199999999999</v>
      </c>
      <c r="JM52">
        <v>33.716799999999999</v>
      </c>
      <c r="JN52">
        <v>19.129200000000001</v>
      </c>
      <c r="JO52">
        <v>27.977</v>
      </c>
      <c r="JP52">
        <v>16.4617</v>
      </c>
      <c r="JQ52">
        <v>25.645499999999998</v>
      </c>
      <c r="JR52">
        <v>400</v>
      </c>
      <c r="JS52">
        <v>22.078900000000001</v>
      </c>
      <c r="JT52">
        <v>98.846100000000007</v>
      </c>
      <c r="JU52">
        <v>98.529799999999994</v>
      </c>
    </row>
    <row r="53" spans="1:281" x14ac:dyDescent="0.25">
      <c r="A53">
        <v>37</v>
      </c>
      <c r="B53">
        <v>1693329429.0999999</v>
      </c>
      <c r="C53">
        <v>7132</v>
      </c>
      <c r="D53" t="s">
        <v>604</v>
      </c>
      <c r="E53" t="s">
        <v>605</v>
      </c>
      <c r="F53" t="s">
        <v>413</v>
      </c>
      <c r="G53" t="s">
        <v>564</v>
      </c>
      <c r="H53" t="s">
        <v>565</v>
      </c>
      <c r="I53" t="s">
        <v>415</v>
      </c>
      <c r="J53">
        <v>1693329429.0999999</v>
      </c>
      <c r="K53">
        <f t="shared" si="46"/>
        <v>5.5206880553510347E-3</v>
      </c>
      <c r="L53">
        <f t="shared" si="47"/>
        <v>5.5206880553510347</v>
      </c>
      <c r="M53">
        <f t="shared" si="48"/>
        <v>43.656871931795671</v>
      </c>
      <c r="N53">
        <f t="shared" si="49"/>
        <v>345.27</v>
      </c>
      <c r="O53">
        <f t="shared" si="50"/>
        <v>155.91717904094716</v>
      </c>
      <c r="P53">
        <f t="shared" si="51"/>
        <v>15.451387141773775</v>
      </c>
      <c r="Q53">
        <f t="shared" si="52"/>
        <v>34.216245260819996</v>
      </c>
      <c r="R53">
        <f t="shared" si="53"/>
        <v>0.40571812948162889</v>
      </c>
      <c r="S53">
        <f t="shared" si="54"/>
        <v>2.9075691921949782</v>
      </c>
      <c r="T53">
        <f t="shared" si="55"/>
        <v>0.37668730864252697</v>
      </c>
      <c r="U53">
        <f t="shared" si="56"/>
        <v>0.23786453637228236</v>
      </c>
      <c r="V53">
        <f t="shared" si="57"/>
        <v>344.37700065815221</v>
      </c>
      <c r="W53">
        <f t="shared" si="58"/>
        <v>31.020369392444437</v>
      </c>
      <c r="X53">
        <f t="shared" si="59"/>
        <v>29.960699999999999</v>
      </c>
      <c r="Y53">
        <f t="shared" si="60"/>
        <v>4.2508418592758161</v>
      </c>
      <c r="Z53">
        <f t="shared" si="61"/>
        <v>65.303992289703132</v>
      </c>
      <c r="AA53">
        <f t="shared" si="62"/>
        <v>2.8504816920342</v>
      </c>
      <c r="AB53">
        <f t="shared" si="63"/>
        <v>4.3649424668997652</v>
      </c>
      <c r="AC53">
        <f t="shared" si="64"/>
        <v>1.4003601672416162</v>
      </c>
      <c r="AD53">
        <f t="shared" si="65"/>
        <v>-243.46234324098063</v>
      </c>
      <c r="AE53">
        <f t="shared" si="66"/>
        <v>72.388475499744558</v>
      </c>
      <c r="AF53">
        <f t="shared" si="67"/>
        <v>5.5462868382278208</v>
      </c>
      <c r="AG53">
        <f t="shared" si="68"/>
        <v>178.84941975514397</v>
      </c>
      <c r="AH53">
        <v>0</v>
      </c>
      <c r="AI53">
        <v>0</v>
      </c>
      <c r="AJ53">
        <f t="shared" si="69"/>
        <v>1</v>
      </c>
      <c r="AK53">
        <f t="shared" si="70"/>
        <v>0</v>
      </c>
      <c r="AL53">
        <f t="shared" si="71"/>
        <v>51633.672283081018</v>
      </c>
      <c r="AM53" t="s">
        <v>416</v>
      </c>
      <c r="AN53">
        <v>10238.9</v>
      </c>
      <c r="AO53">
        <v>302.21199999999999</v>
      </c>
      <c r="AP53">
        <v>4052.3</v>
      </c>
      <c r="AQ53">
        <f t="shared" si="72"/>
        <v>0.92542210596451402</v>
      </c>
      <c r="AR53">
        <v>-0.32343011824092421</v>
      </c>
      <c r="AS53" t="s">
        <v>606</v>
      </c>
      <c r="AT53">
        <v>10513.7</v>
      </c>
      <c r="AU53">
        <v>708.44024000000002</v>
      </c>
      <c r="AV53">
        <v>1066.6255056782311</v>
      </c>
      <c r="AW53">
        <f t="shared" si="73"/>
        <v>0.33581164501637639</v>
      </c>
      <c r="AX53">
        <v>0.5</v>
      </c>
      <c r="AY53">
        <f t="shared" si="74"/>
        <v>1513.2183003290761</v>
      </c>
      <c r="AZ53">
        <f t="shared" si="75"/>
        <v>43.656871931795671</v>
      </c>
      <c r="BA53">
        <f t="shared" si="76"/>
        <v>254.07816335119608</v>
      </c>
      <c r="BB53">
        <f t="shared" si="77"/>
        <v>2.9064082849429126E-2</v>
      </c>
      <c r="BC53">
        <f t="shared" si="78"/>
        <v>2.7991778542959929</v>
      </c>
      <c r="BD53">
        <f t="shared" si="79"/>
        <v>250.01886454674624</v>
      </c>
      <c r="BE53" t="s">
        <v>607</v>
      </c>
      <c r="BF53">
        <v>565.73</v>
      </c>
      <c r="BG53">
        <f t="shared" si="80"/>
        <v>565.73</v>
      </c>
      <c r="BH53">
        <f t="shared" si="81"/>
        <v>0.46960765799401039</v>
      </c>
      <c r="BI53">
        <f t="shared" si="82"/>
        <v>0.7150897974084135</v>
      </c>
      <c r="BJ53">
        <f t="shared" si="83"/>
        <v>0.85633573808119989</v>
      </c>
      <c r="BK53">
        <f t="shared" si="84"/>
        <v>0.46857527112950309</v>
      </c>
      <c r="BL53">
        <f t="shared" si="85"/>
        <v>0.79616118190340301</v>
      </c>
      <c r="BM53">
        <f t="shared" si="86"/>
        <v>0.5710400514344891</v>
      </c>
      <c r="BN53">
        <f t="shared" si="87"/>
        <v>0.4289599485655109</v>
      </c>
      <c r="BO53">
        <v>5536</v>
      </c>
      <c r="BP53">
        <v>290.00000000000011</v>
      </c>
      <c r="BQ53">
        <v>962.32</v>
      </c>
      <c r="BR53">
        <v>125</v>
      </c>
      <c r="BS53">
        <v>10513.7</v>
      </c>
      <c r="BT53">
        <v>961.23</v>
      </c>
      <c r="BU53">
        <v>1.0900000000000001</v>
      </c>
      <c r="BV53">
        <v>300.00000000000011</v>
      </c>
      <c r="BW53">
        <v>38.200000000000003</v>
      </c>
      <c r="BX53">
        <v>1066.6255056782311</v>
      </c>
      <c r="BY53">
        <v>1.2895168910744781</v>
      </c>
      <c r="BZ53">
        <v>-110.8079238015885</v>
      </c>
      <c r="CA53">
        <v>1.1080522215134549</v>
      </c>
      <c r="CB53">
        <v>0.99720795388199612</v>
      </c>
      <c r="CC53">
        <v>-1.1394964182424919E-2</v>
      </c>
      <c r="CD53">
        <v>289.99999999999989</v>
      </c>
      <c r="CE53">
        <v>948.32</v>
      </c>
      <c r="CF53">
        <v>655</v>
      </c>
      <c r="CG53">
        <v>10471.4</v>
      </c>
      <c r="CH53">
        <v>960.81</v>
      </c>
      <c r="CI53">
        <v>-12.49</v>
      </c>
      <c r="CW53">
        <f t="shared" si="88"/>
        <v>1800.04</v>
      </c>
      <c r="CX53">
        <f t="shared" si="89"/>
        <v>1513.2183003290761</v>
      </c>
      <c r="CY53">
        <f t="shared" si="90"/>
        <v>0.84065815222388174</v>
      </c>
      <c r="CZ53">
        <f t="shared" si="91"/>
        <v>0.19131630444776351</v>
      </c>
      <c r="DA53">
        <v>6</v>
      </c>
      <c r="DB53">
        <v>0.5</v>
      </c>
      <c r="DC53" t="s">
        <v>419</v>
      </c>
      <c r="DD53">
        <v>2</v>
      </c>
      <c r="DE53">
        <v>1693329429.0999999</v>
      </c>
      <c r="DF53">
        <v>345.27</v>
      </c>
      <c r="DG53">
        <v>399.928</v>
      </c>
      <c r="DH53">
        <v>28.7637</v>
      </c>
      <c r="DI53">
        <v>22.331499999999998</v>
      </c>
      <c r="DJ53">
        <v>346.81099999999998</v>
      </c>
      <c r="DK53">
        <v>28.366900000000001</v>
      </c>
      <c r="DL53">
        <v>500.161</v>
      </c>
      <c r="DM53">
        <v>98.999799999999993</v>
      </c>
      <c r="DN53">
        <v>0.10016600000000001</v>
      </c>
      <c r="DO53">
        <v>30.422499999999999</v>
      </c>
      <c r="DP53">
        <v>29.960699999999999</v>
      </c>
      <c r="DQ53">
        <v>999.9</v>
      </c>
      <c r="DR53">
        <v>0</v>
      </c>
      <c r="DS53">
        <v>0</v>
      </c>
      <c r="DT53">
        <v>9975</v>
      </c>
      <c r="DU53">
        <v>0</v>
      </c>
      <c r="DV53">
        <v>1802.73</v>
      </c>
      <c r="DW53">
        <v>-54.6584</v>
      </c>
      <c r="DX53">
        <v>355.495</v>
      </c>
      <c r="DY53">
        <v>409.06299999999999</v>
      </c>
      <c r="DZ53">
        <v>6.4322299999999997</v>
      </c>
      <c r="EA53">
        <v>399.928</v>
      </c>
      <c r="EB53">
        <v>22.331499999999998</v>
      </c>
      <c r="EC53">
        <v>2.8475999999999999</v>
      </c>
      <c r="ED53">
        <v>2.2108099999999999</v>
      </c>
      <c r="EE53">
        <v>23.162600000000001</v>
      </c>
      <c r="EF53">
        <v>19.040900000000001</v>
      </c>
      <c r="EG53">
        <v>1800.04</v>
      </c>
      <c r="EH53">
        <v>0.97800200000000004</v>
      </c>
      <c r="EI53">
        <v>2.1998199999999999E-2</v>
      </c>
      <c r="EJ53">
        <v>0</v>
      </c>
      <c r="EK53">
        <v>711.21199999999999</v>
      </c>
      <c r="EL53">
        <v>4.9995000000000003</v>
      </c>
      <c r="EM53">
        <v>13886.3</v>
      </c>
      <c r="EN53">
        <v>16660.2</v>
      </c>
      <c r="EO53">
        <v>46.561999999999998</v>
      </c>
      <c r="EP53">
        <v>48.561999999999998</v>
      </c>
      <c r="EQ53">
        <v>47.436999999999998</v>
      </c>
      <c r="ER53">
        <v>47.561999999999998</v>
      </c>
      <c r="ES53">
        <v>48.061999999999998</v>
      </c>
      <c r="ET53">
        <v>1755.55</v>
      </c>
      <c r="EU53">
        <v>39.49</v>
      </c>
      <c r="EV53">
        <v>0</v>
      </c>
      <c r="EW53">
        <v>102.7999999523163</v>
      </c>
      <c r="EX53">
        <v>0</v>
      </c>
      <c r="EY53">
        <v>708.44024000000002</v>
      </c>
      <c r="EZ53">
        <v>24.806923105910041</v>
      </c>
      <c r="FA53">
        <v>452.5307698816452</v>
      </c>
      <c r="FB53">
        <v>13833.08</v>
      </c>
      <c r="FC53">
        <v>15</v>
      </c>
      <c r="FD53">
        <v>1693329402.5999999</v>
      </c>
      <c r="FE53" t="s">
        <v>608</v>
      </c>
      <c r="FF53">
        <v>1693329389.0999999</v>
      </c>
      <c r="FG53">
        <v>1693329402.5999999</v>
      </c>
      <c r="FH53">
        <v>41</v>
      </c>
      <c r="FI53">
        <v>-3.3000000000000002E-2</v>
      </c>
      <c r="FJ53">
        <v>0</v>
      </c>
      <c r="FK53">
        <v>-1.623</v>
      </c>
      <c r="FL53">
        <v>0.107</v>
      </c>
      <c r="FM53">
        <v>400</v>
      </c>
      <c r="FN53">
        <v>22</v>
      </c>
      <c r="FO53">
        <v>0.09</v>
      </c>
      <c r="FP53">
        <v>0.04</v>
      </c>
      <c r="FQ53">
        <v>43.448292552038332</v>
      </c>
      <c r="FR53">
        <v>0.29831063322859069</v>
      </c>
      <c r="FS53">
        <v>0.122612848449259</v>
      </c>
      <c r="FT53">
        <v>1</v>
      </c>
      <c r="FU53">
        <v>0.40470815097681939</v>
      </c>
      <c r="FV53">
        <v>4.1905718351069501E-2</v>
      </c>
      <c r="FW53">
        <v>5.218188416728076E-3</v>
      </c>
      <c r="FX53">
        <v>1</v>
      </c>
      <c r="FY53">
        <v>2</v>
      </c>
      <c r="FZ53">
        <v>2</v>
      </c>
      <c r="GA53" t="s">
        <v>421</v>
      </c>
      <c r="GB53">
        <v>2.96828</v>
      </c>
      <c r="GC53">
        <v>2.8116400000000001</v>
      </c>
      <c r="GD53">
        <v>8.5870299999999997E-2</v>
      </c>
      <c r="GE53">
        <v>9.4988000000000003E-2</v>
      </c>
      <c r="GF53">
        <v>0.13422300000000001</v>
      </c>
      <c r="GG53">
        <v>0.111944</v>
      </c>
      <c r="GH53">
        <v>26914.799999999999</v>
      </c>
      <c r="GI53">
        <v>24569</v>
      </c>
      <c r="GJ53">
        <v>26471.4</v>
      </c>
      <c r="GK53">
        <v>25623.5</v>
      </c>
      <c r="GL53">
        <v>31198.1</v>
      </c>
      <c r="GM53">
        <v>32084.5</v>
      </c>
      <c r="GN53">
        <v>37480.5</v>
      </c>
      <c r="GO53">
        <v>37942.400000000001</v>
      </c>
      <c r="GP53">
        <v>1.9394</v>
      </c>
      <c r="GQ53">
        <v>1.8932</v>
      </c>
      <c r="GR53">
        <v>1.38581E-2</v>
      </c>
      <c r="GS53">
        <v>0</v>
      </c>
      <c r="GT53">
        <v>29.735199999999999</v>
      </c>
      <c r="GU53">
        <v>999.9</v>
      </c>
      <c r="GV53">
        <v>35.700000000000003</v>
      </c>
      <c r="GW53">
        <v>42.2</v>
      </c>
      <c r="GX53">
        <v>30.040299999999998</v>
      </c>
      <c r="GY53">
        <v>61.504100000000001</v>
      </c>
      <c r="GZ53">
        <v>14.086499999999999</v>
      </c>
      <c r="HA53">
        <v>1</v>
      </c>
      <c r="HB53">
        <v>0.51458300000000001</v>
      </c>
      <c r="HC53">
        <v>3.17252</v>
      </c>
      <c r="HD53">
        <v>20.216699999999999</v>
      </c>
      <c r="HE53">
        <v>5.2088999999999999</v>
      </c>
      <c r="HF53">
        <v>11.9381</v>
      </c>
      <c r="HG53">
        <v>4.9866000000000001</v>
      </c>
      <c r="HH53">
        <v>3.2909999999999999</v>
      </c>
      <c r="HI53">
        <v>9999</v>
      </c>
      <c r="HJ53">
        <v>9999</v>
      </c>
      <c r="HK53">
        <v>9999</v>
      </c>
      <c r="HL53">
        <v>999.9</v>
      </c>
      <c r="HM53">
        <v>1.8715200000000001</v>
      </c>
      <c r="HN53">
        <v>1.87744</v>
      </c>
      <c r="HO53">
        <v>1.8752800000000001</v>
      </c>
      <c r="HP53">
        <v>1.87347</v>
      </c>
      <c r="HQ53">
        <v>1.8740699999999999</v>
      </c>
      <c r="HR53">
        <v>1.8714500000000001</v>
      </c>
      <c r="HS53">
        <v>1.8772800000000001</v>
      </c>
      <c r="HT53">
        <v>1.8764000000000001</v>
      </c>
      <c r="HU53">
        <v>5</v>
      </c>
      <c r="HV53">
        <v>0</v>
      </c>
      <c r="HW53">
        <v>0</v>
      </c>
      <c r="HX53">
        <v>0</v>
      </c>
      <c r="HY53" t="s">
        <v>422</v>
      </c>
      <c r="HZ53" t="s">
        <v>423</v>
      </c>
      <c r="IA53" t="s">
        <v>424</v>
      </c>
      <c r="IB53" t="s">
        <v>424</v>
      </c>
      <c r="IC53" t="s">
        <v>424</v>
      </c>
      <c r="ID53" t="s">
        <v>424</v>
      </c>
      <c r="IE53">
        <v>0</v>
      </c>
      <c r="IF53">
        <v>100</v>
      </c>
      <c r="IG53">
        <v>100</v>
      </c>
      <c r="IH53">
        <v>-1.5409999999999999</v>
      </c>
      <c r="II53">
        <v>0.39679999999999999</v>
      </c>
      <c r="IJ53">
        <v>-0.81942078050913358</v>
      </c>
      <c r="IK53">
        <v>-2.677719669153116E-3</v>
      </c>
      <c r="IL53">
        <v>1.9353498771248068E-6</v>
      </c>
      <c r="IM53">
        <v>-6.1862177325538213E-10</v>
      </c>
      <c r="IN53">
        <v>-0.23495716627928101</v>
      </c>
      <c r="IO53">
        <v>-1.5299015507423901E-2</v>
      </c>
      <c r="IP53">
        <v>1.742162107778985E-3</v>
      </c>
      <c r="IQ53">
        <v>-1.472690239905804E-5</v>
      </c>
      <c r="IR53">
        <v>3</v>
      </c>
      <c r="IS53">
        <v>2255</v>
      </c>
      <c r="IT53">
        <v>2</v>
      </c>
      <c r="IU53">
        <v>41</v>
      </c>
      <c r="IV53">
        <v>0.7</v>
      </c>
      <c r="IW53">
        <v>0.4</v>
      </c>
      <c r="IX53">
        <v>0.95459000000000005</v>
      </c>
      <c r="IY53">
        <v>2.5549300000000001</v>
      </c>
      <c r="IZ53">
        <v>1.5991200000000001</v>
      </c>
      <c r="JA53">
        <v>2.2729499999999998</v>
      </c>
      <c r="JB53">
        <v>1.5502899999999999</v>
      </c>
      <c r="JC53">
        <v>2.4414099999999999</v>
      </c>
      <c r="JD53">
        <v>50.122</v>
      </c>
      <c r="JE53">
        <v>23.605899999999998</v>
      </c>
      <c r="JF53">
        <v>18</v>
      </c>
      <c r="JG53">
        <v>504.78899999999999</v>
      </c>
      <c r="JH53">
        <v>444.28300000000002</v>
      </c>
      <c r="JI53">
        <v>25.926300000000001</v>
      </c>
      <c r="JJ53">
        <v>33.792999999999999</v>
      </c>
      <c r="JK53">
        <v>29.999199999999998</v>
      </c>
      <c r="JL53">
        <v>33.7654</v>
      </c>
      <c r="JM53">
        <v>33.734900000000003</v>
      </c>
      <c r="JN53">
        <v>19.137499999999999</v>
      </c>
      <c r="JO53">
        <v>26.49</v>
      </c>
      <c r="JP53">
        <v>14.8409</v>
      </c>
      <c r="JQ53">
        <v>25.955500000000001</v>
      </c>
      <c r="JR53">
        <v>400</v>
      </c>
      <c r="JS53">
        <v>22.279599999999999</v>
      </c>
      <c r="JT53">
        <v>98.843699999999998</v>
      </c>
      <c r="JU53">
        <v>98.5291</v>
      </c>
    </row>
    <row r="54" spans="1:281" x14ac:dyDescent="0.25">
      <c r="A54">
        <v>38</v>
      </c>
      <c r="B54">
        <v>1693329537.5999999</v>
      </c>
      <c r="C54">
        <v>7240.5</v>
      </c>
      <c r="D54" t="s">
        <v>609</v>
      </c>
      <c r="E54" t="s">
        <v>610</v>
      </c>
      <c r="F54" t="s">
        <v>413</v>
      </c>
      <c r="G54" t="s">
        <v>564</v>
      </c>
      <c r="H54" t="s">
        <v>565</v>
      </c>
      <c r="I54" t="s">
        <v>415</v>
      </c>
      <c r="J54">
        <v>1693329537.5999999</v>
      </c>
      <c r="K54">
        <f t="shared" si="46"/>
        <v>5.4885107716819417E-3</v>
      </c>
      <c r="L54">
        <f t="shared" si="47"/>
        <v>5.4885107716819421</v>
      </c>
      <c r="M54">
        <f t="shared" si="48"/>
        <v>47.934604115320099</v>
      </c>
      <c r="N54">
        <f t="shared" si="49"/>
        <v>439.71899999999999</v>
      </c>
      <c r="O54">
        <f t="shared" si="50"/>
        <v>227.95772225424287</v>
      </c>
      <c r="P54">
        <f t="shared" si="51"/>
        <v>22.589539557974039</v>
      </c>
      <c r="Q54">
        <f t="shared" si="52"/>
        <v>43.574087539856997</v>
      </c>
      <c r="R54">
        <f t="shared" si="53"/>
        <v>0.40046748110353203</v>
      </c>
      <c r="S54">
        <f t="shared" si="54"/>
        <v>2.9157957946821176</v>
      </c>
      <c r="T54">
        <f t="shared" si="55"/>
        <v>0.37222895146060808</v>
      </c>
      <c r="U54">
        <f t="shared" si="56"/>
        <v>0.2350140690788502</v>
      </c>
      <c r="V54">
        <f t="shared" si="57"/>
        <v>344.38650065813391</v>
      </c>
      <c r="W54">
        <f t="shared" si="58"/>
        <v>31.081420581237619</v>
      </c>
      <c r="X54">
        <f t="shared" si="59"/>
        <v>30.0197</v>
      </c>
      <c r="Y54">
        <f t="shared" si="60"/>
        <v>4.2652730699908883</v>
      </c>
      <c r="Z54">
        <f t="shared" si="61"/>
        <v>65.241873324716678</v>
      </c>
      <c r="AA54">
        <f t="shared" si="62"/>
        <v>2.8566202995810004</v>
      </c>
      <c r="AB54">
        <f t="shared" si="63"/>
        <v>4.378507473817093</v>
      </c>
      <c r="AC54">
        <f t="shared" si="64"/>
        <v>1.4086527704098879</v>
      </c>
      <c r="AD54">
        <f t="shared" si="65"/>
        <v>-242.04332503117362</v>
      </c>
      <c r="AE54">
        <f t="shared" si="66"/>
        <v>71.83874697748648</v>
      </c>
      <c r="AF54">
        <f t="shared" si="67"/>
        <v>5.491712496877863</v>
      </c>
      <c r="AG54">
        <f t="shared" si="68"/>
        <v>179.67363510132463</v>
      </c>
      <c r="AH54">
        <v>0</v>
      </c>
      <c r="AI54">
        <v>0</v>
      </c>
      <c r="AJ54">
        <f t="shared" si="69"/>
        <v>1</v>
      </c>
      <c r="AK54">
        <f t="shared" si="70"/>
        <v>0</v>
      </c>
      <c r="AL54">
        <f t="shared" si="71"/>
        <v>51857.861016629577</v>
      </c>
      <c r="AM54" t="s">
        <v>416</v>
      </c>
      <c r="AN54">
        <v>10238.9</v>
      </c>
      <c r="AO54">
        <v>302.21199999999999</v>
      </c>
      <c r="AP54">
        <v>4052.3</v>
      </c>
      <c r="AQ54">
        <f t="shared" si="72"/>
        <v>0.92542210596451402</v>
      </c>
      <c r="AR54">
        <v>-0.32343011824092421</v>
      </c>
      <c r="AS54" t="s">
        <v>611</v>
      </c>
      <c r="AT54">
        <v>10512.1</v>
      </c>
      <c r="AU54">
        <v>751.74430769230764</v>
      </c>
      <c r="AV54">
        <v>1163.9765550594459</v>
      </c>
      <c r="AW54">
        <f t="shared" si="73"/>
        <v>0.35415854861963691</v>
      </c>
      <c r="AX54">
        <v>0.5</v>
      </c>
      <c r="AY54">
        <f t="shared" si="74"/>
        <v>1513.2603003290669</v>
      </c>
      <c r="AZ54">
        <f t="shared" si="75"/>
        <v>47.934604115320099</v>
      </c>
      <c r="BA54">
        <f t="shared" si="76"/>
        <v>267.96703582412908</v>
      </c>
      <c r="BB54">
        <f t="shared" si="77"/>
        <v>3.189010788366485E-2</v>
      </c>
      <c r="BC54">
        <f t="shared" si="78"/>
        <v>2.4814275101898797</v>
      </c>
      <c r="BD54">
        <f t="shared" si="79"/>
        <v>255.01838922854535</v>
      </c>
      <c r="BE54" t="s">
        <v>612</v>
      </c>
      <c r="BF54">
        <v>579.32000000000005</v>
      </c>
      <c r="BG54">
        <f t="shared" si="80"/>
        <v>579.32000000000005</v>
      </c>
      <c r="BH54">
        <f t="shared" si="81"/>
        <v>0.5022923808199784</v>
      </c>
      <c r="BI54">
        <f t="shared" si="82"/>
        <v>0.70508445308583589</v>
      </c>
      <c r="BJ54">
        <f t="shared" si="83"/>
        <v>0.83165565161347155</v>
      </c>
      <c r="BK54">
        <f t="shared" si="84"/>
        <v>0.47835832298614533</v>
      </c>
      <c r="BL54">
        <f t="shared" si="85"/>
        <v>0.77020151125535041</v>
      </c>
      <c r="BM54">
        <f t="shared" si="86"/>
        <v>0.54336231240060806</v>
      </c>
      <c r="BN54">
        <f t="shared" si="87"/>
        <v>0.45663768759939194</v>
      </c>
      <c r="BO54">
        <v>5538</v>
      </c>
      <c r="BP54">
        <v>290.00000000000011</v>
      </c>
      <c r="BQ54">
        <v>1050.47</v>
      </c>
      <c r="BR54">
        <v>135</v>
      </c>
      <c r="BS54">
        <v>10512.1</v>
      </c>
      <c r="BT54">
        <v>1048.6600000000001</v>
      </c>
      <c r="BU54">
        <v>1.81</v>
      </c>
      <c r="BV54">
        <v>300.00000000000011</v>
      </c>
      <c r="BW54">
        <v>38.200000000000003</v>
      </c>
      <c r="BX54">
        <v>1163.9765550594459</v>
      </c>
      <c r="BY54">
        <v>1.4134246702560611</v>
      </c>
      <c r="BZ54">
        <v>-121.22292058638369</v>
      </c>
      <c r="CA54">
        <v>1.214606528764121</v>
      </c>
      <c r="CB54">
        <v>0.99719688651037752</v>
      </c>
      <c r="CC54">
        <v>-1.139606740823137E-2</v>
      </c>
      <c r="CD54">
        <v>289.99999999999989</v>
      </c>
      <c r="CE54">
        <v>1036.77</v>
      </c>
      <c r="CF54">
        <v>635</v>
      </c>
      <c r="CG54">
        <v>10474.200000000001</v>
      </c>
      <c r="CH54">
        <v>1048.24</v>
      </c>
      <c r="CI54">
        <v>-11.47</v>
      </c>
      <c r="CW54">
        <f t="shared" si="88"/>
        <v>1800.09</v>
      </c>
      <c r="CX54">
        <f t="shared" si="89"/>
        <v>1513.2603003290669</v>
      </c>
      <c r="CY54">
        <f t="shared" si="90"/>
        <v>0.84065813394278455</v>
      </c>
      <c r="CZ54">
        <f t="shared" si="91"/>
        <v>0.19131626788556902</v>
      </c>
      <c r="DA54">
        <v>6</v>
      </c>
      <c r="DB54">
        <v>0.5</v>
      </c>
      <c r="DC54" t="s">
        <v>419</v>
      </c>
      <c r="DD54">
        <v>2</v>
      </c>
      <c r="DE54">
        <v>1693329537.5999999</v>
      </c>
      <c r="DF54">
        <v>439.71899999999999</v>
      </c>
      <c r="DG54">
        <v>500.10399999999998</v>
      </c>
      <c r="DH54">
        <v>28.827000000000002</v>
      </c>
      <c r="DI54">
        <v>22.434100000000001</v>
      </c>
      <c r="DJ54">
        <v>441.33800000000002</v>
      </c>
      <c r="DK54">
        <v>28.427600000000002</v>
      </c>
      <c r="DL54">
        <v>500.27</v>
      </c>
      <c r="DM54">
        <v>98.9953</v>
      </c>
      <c r="DN54">
        <v>0.10000299999999999</v>
      </c>
      <c r="DO54">
        <v>30.476700000000001</v>
      </c>
      <c r="DP54">
        <v>30.0197</v>
      </c>
      <c r="DQ54">
        <v>999.9</v>
      </c>
      <c r="DR54">
        <v>0</v>
      </c>
      <c r="DS54">
        <v>0</v>
      </c>
      <c r="DT54">
        <v>10022.5</v>
      </c>
      <c r="DU54">
        <v>0</v>
      </c>
      <c r="DV54">
        <v>1797.77</v>
      </c>
      <c r="DW54">
        <v>-60.385399999999997</v>
      </c>
      <c r="DX54">
        <v>452.77100000000002</v>
      </c>
      <c r="DY54">
        <v>511.58100000000002</v>
      </c>
      <c r="DZ54">
        <v>6.3929600000000004</v>
      </c>
      <c r="EA54">
        <v>500.10399999999998</v>
      </c>
      <c r="EB54">
        <v>22.434100000000001</v>
      </c>
      <c r="EC54">
        <v>2.8537400000000002</v>
      </c>
      <c r="ED54">
        <v>2.2208700000000001</v>
      </c>
      <c r="EE54">
        <v>23.1983</v>
      </c>
      <c r="EF54">
        <v>19.113600000000002</v>
      </c>
      <c r="EG54">
        <v>1800.09</v>
      </c>
      <c r="EH54">
        <v>0.97800200000000004</v>
      </c>
      <c r="EI54">
        <v>2.1998199999999999E-2</v>
      </c>
      <c r="EJ54">
        <v>0</v>
      </c>
      <c r="EK54">
        <v>753.06</v>
      </c>
      <c r="EL54">
        <v>4.9995000000000003</v>
      </c>
      <c r="EM54">
        <v>14647.8</v>
      </c>
      <c r="EN54">
        <v>16660.599999999999</v>
      </c>
      <c r="EO54">
        <v>46.561999999999998</v>
      </c>
      <c r="EP54">
        <v>48.561999999999998</v>
      </c>
      <c r="EQ54">
        <v>47.436999999999998</v>
      </c>
      <c r="ER54">
        <v>47.561999999999998</v>
      </c>
      <c r="ES54">
        <v>48.061999999999998</v>
      </c>
      <c r="ET54">
        <v>1755.6</v>
      </c>
      <c r="EU54">
        <v>39.49</v>
      </c>
      <c r="EV54">
        <v>0</v>
      </c>
      <c r="EW54">
        <v>106.7999999523163</v>
      </c>
      <c r="EX54">
        <v>0</v>
      </c>
      <c r="EY54">
        <v>751.74430769230764</v>
      </c>
      <c r="EZ54">
        <v>11.22058121568155</v>
      </c>
      <c r="FA54">
        <v>210.39658140353109</v>
      </c>
      <c r="FB54">
        <v>14619.29615384615</v>
      </c>
      <c r="FC54">
        <v>15</v>
      </c>
      <c r="FD54">
        <v>1693329507.0999999</v>
      </c>
      <c r="FE54" t="s">
        <v>613</v>
      </c>
      <c r="FF54">
        <v>1693329496.5999999</v>
      </c>
      <c r="FG54">
        <v>1693329507.0999999</v>
      </c>
      <c r="FH54">
        <v>42</v>
      </c>
      <c r="FI54">
        <v>5.8000000000000003E-2</v>
      </c>
      <c r="FJ54">
        <v>0</v>
      </c>
      <c r="FK54">
        <v>-1.696</v>
      </c>
      <c r="FL54">
        <v>0.114</v>
      </c>
      <c r="FM54">
        <v>500</v>
      </c>
      <c r="FN54">
        <v>22</v>
      </c>
      <c r="FO54">
        <v>0.1</v>
      </c>
      <c r="FP54">
        <v>0.03</v>
      </c>
      <c r="FQ54">
        <v>47.718316404579717</v>
      </c>
      <c r="FR54">
        <v>0.6909517212819335</v>
      </c>
      <c r="FS54">
        <v>9.7388204882861984E-2</v>
      </c>
      <c r="FT54">
        <v>1</v>
      </c>
      <c r="FU54">
        <v>0.40349205119343662</v>
      </c>
      <c r="FV54">
        <v>1.3140669500996139E-2</v>
      </c>
      <c r="FW54">
        <v>2.7774056301424271E-3</v>
      </c>
      <c r="FX54">
        <v>1</v>
      </c>
      <c r="FY54">
        <v>2</v>
      </c>
      <c r="FZ54">
        <v>2</v>
      </c>
      <c r="GA54" t="s">
        <v>421</v>
      </c>
      <c r="GB54">
        <v>2.9685800000000002</v>
      </c>
      <c r="GC54">
        <v>2.8119000000000001</v>
      </c>
      <c r="GD54">
        <v>0.103577</v>
      </c>
      <c r="GE54">
        <v>0.112458</v>
      </c>
      <c r="GF54">
        <v>0.13441900000000001</v>
      </c>
      <c r="GG54">
        <v>0.112301</v>
      </c>
      <c r="GH54">
        <v>26394.799999999999</v>
      </c>
      <c r="GI54">
        <v>24096.7</v>
      </c>
      <c r="GJ54">
        <v>26473.1</v>
      </c>
      <c r="GK54">
        <v>25626.1</v>
      </c>
      <c r="GL54">
        <v>31194</v>
      </c>
      <c r="GM54">
        <v>32075.599999999999</v>
      </c>
      <c r="GN54">
        <v>37482.6</v>
      </c>
      <c r="GO54">
        <v>37945.699999999997</v>
      </c>
      <c r="GP54">
        <v>1.9384999999999999</v>
      </c>
      <c r="GQ54">
        <v>1.8909</v>
      </c>
      <c r="GR54">
        <v>2.0787099999999999E-2</v>
      </c>
      <c r="GS54">
        <v>0</v>
      </c>
      <c r="GT54">
        <v>29.6813</v>
      </c>
      <c r="GU54">
        <v>999.9</v>
      </c>
      <c r="GV54">
        <v>35.200000000000003</v>
      </c>
      <c r="GW54">
        <v>42.4</v>
      </c>
      <c r="GX54">
        <v>29.936699999999998</v>
      </c>
      <c r="GY54">
        <v>61.444099999999999</v>
      </c>
      <c r="GZ54">
        <v>13.754</v>
      </c>
      <c r="HA54">
        <v>1</v>
      </c>
      <c r="HB54">
        <v>0.51069100000000001</v>
      </c>
      <c r="HC54">
        <v>3.0241099999999999</v>
      </c>
      <c r="HD54">
        <v>20.219799999999999</v>
      </c>
      <c r="HE54">
        <v>5.2083000000000004</v>
      </c>
      <c r="HF54">
        <v>11.9375</v>
      </c>
      <c r="HG54">
        <v>4.9866000000000001</v>
      </c>
      <c r="HH54">
        <v>3.2909999999999999</v>
      </c>
      <c r="HI54">
        <v>9999</v>
      </c>
      <c r="HJ54">
        <v>9999</v>
      </c>
      <c r="HK54">
        <v>9999</v>
      </c>
      <c r="HL54">
        <v>999.9</v>
      </c>
      <c r="HM54">
        <v>1.8715200000000001</v>
      </c>
      <c r="HN54">
        <v>1.87748</v>
      </c>
      <c r="HO54">
        <v>1.8752899999999999</v>
      </c>
      <c r="HP54">
        <v>1.87347</v>
      </c>
      <c r="HQ54">
        <v>1.87405</v>
      </c>
      <c r="HR54">
        <v>1.8714599999999999</v>
      </c>
      <c r="HS54">
        <v>1.8772899999999999</v>
      </c>
      <c r="HT54">
        <v>1.8764799999999999</v>
      </c>
      <c r="HU54">
        <v>5</v>
      </c>
      <c r="HV54">
        <v>0</v>
      </c>
      <c r="HW54">
        <v>0</v>
      </c>
      <c r="HX54">
        <v>0</v>
      </c>
      <c r="HY54" t="s">
        <v>422</v>
      </c>
      <c r="HZ54" t="s">
        <v>423</v>
      </c>
      <c r="IA54" t="s">
        <v>424</v>
      </c>
      <c r="IB54" t="s">
        <v>424</v>
      </c>
      <c r="IC54" t="s">
        <v>424</v>
      </c>
      <c r="ID54" t="s">
        <v>424</v>
      </c>
      <c r="IE54">
        <v>0</v>
      </c>
      <c r="IF54">
        <v>100</v>
      </c>
      <c r="IG54">
        <v>100</v>
      </c>
      <c r="IH54">
        <v>-1.619</v>
      </c>
      <c r="II54">
        <v>0.39939999999999998</v>
      </c>
      <c r="IJ54">
        <v>-0.76098619170907389</v>
      </c>
      <c r="IK54">
        <v>-2.677719669153116E-3</v>
      </c>
      <c r="IL54">
        <v>1.9353498771248068E-6</v>
      </c>
      <c r="IM54">
        <v>-6.1862177325538213E-10</v>
      </c>
      <c r="IN54">
        <v>-0.23517845684048699</v>
      </c>
      <c r="IO54">
        <v>-1.5299015507423901E-2</v>
      </c>
      <c r="IP54">
        <v>1.742162107778985E-3</v>
      </c>
      <c r="IQ54">
        <v>-1.472690239905804E-5</v>
      </c>
      <c r="IR54">
        <v>3</v>
      </c>
      <c r="IS54">
        <v>2255</v>
      </c>
      <c r="IT54">
        <v>2</v>
      </c>
      <c r="IU54">
        <v>41</v>
      </c>
      <c r="IV54">
        <v>0.7</v>
      </c>
      <c r="IW54">
        <v>0.5</v>
      </c>
      <c r="IX54">
        <v>1.1413599999999999</v>
      </c>
      <c r="IY54">
        <v>2.5500500000000001</v>
      </c>
      <c r="IZ54">
        <v>1.5991200000000001</v>
      </c>
      <c r="JA54">
        <v>2.2717299999999998</v>
      </c>
      <c r="JB54">
        <v>1.5502899999999999</v>
      </c>
      <c r="JC54">
        <v>2.34131</v>
      </c>
      <c r="JD54">
        <v>50.283200000000001</v>
      </c>
      <c r="JE54">
        <v>23.605899999999998</v>
      </c>
      <c r="JF54">
        <v>18</v>
      </c>
      <c r="JG54">
        <v>504.18</v>
      </c>
      <c r="JH54">
        <v>442.87700000000001</v>
      </c>
      <c r="JI54">
        <v>26.139099999999999</v>
      </c>
      <c r="JJ54">
        <v>33.777799999999999</v>
      </c>
      <c r="JK54">
        <v>30.000299999999999</v>
      </c>
      <c r="JL54">
        <v>33.762300000000003</v>
      </c>
      <c r="JM54">
        <v>33.734900000000003</v>
      </c>
      <c r="JN54">
        <v>22.8675</v>
      </c>
      <c r="JO54">
        <v>26.037500000000001</v>
      </c>
      <c r="JP54">
        <v>12.8239</v>
      </c>
      <c r="JQ54">
        <v>26.128399999999999</v>
      </c>
      <c r="JR54">
        <v>500</v>
      </c>
      <c r="JS54">
        <v>22.336200000000002</v>
      </c>
      <c r="JT54">
        <v>98.849500000000006</v>
      </c>
      <c r="JU54">
        <v>98.538200000000003</v>
      </c>
    </row>
    <row r="55" spans="1:281" x14ac:dyDescent="0.25">
      <c r="A55">
        <v>39</v>
      </c>
      <c r="B55">
        <v>1693329676.0999999</v>
      </c>
      <c r="C55">
        <v>7379</v>
      </c>
      <c r="D55" t="s">
        <v>614</v>
      </c>
      <c r="E55" t="s">
        <v>615</v>
      </c>
      <c r="F55" t="s">
        <v>413</v>
      </c>
      <c r="G55" t="s">
        <v>564</v>
      </c>
      <c r="H55" t="s">
        <v>565</v>
      </c>
      <c r="I55" t="s">
        <v>415</v>
      </c>
      <c r="J55">
        <v>1693329676.0999999</v>
      </c>
      <c r="K55">
        <f t="shared" si="46"/>
        <v>5.5781362254871784E-3</v>
      </c>
      <c r="L55">
        <f t="shared" si="47"/>
        <v>5.578136225487178</v>
      </c>
      <c r="M55">
        <f t="shared" si="48"/>
        <v>49.008320506804608</v>
      </c>
      <c r="N55">
        <f t="shared" si="49"/>
        <v>636.89400000000001</v>
      </c>
      <c r="O55">
        <f t="shared" si="50"/>
        <v>420.52562623637789</v>
      </c>
      <c r="P55">
        <f t="shared" si="51"/>
        <v>41.669534931072405</v>
      </c>
      <c r="Q55">
        <f t="shared" si="52"/>
        <v>63.109297328464805</v>
      </c>
      <c r="R55">
        <f t="shared" si="53"/>
        <v>0.40982427035245866</v>
      </c>
      <c r="S55">
        <f t="shared" si="54"/>
        <v>2.910013175277955</v>
      </c>
      <c r="T55">
        <f t="shared" si="55"/>
        <v>0.38024876072169089</v>
      </c>
      <c r="U55">
        <f t="shared" si="56"/>
        <v>0.24013461378090434</v>
      </c>
      <c r="V55">
        <f t="shared" si="57"/>
        <v>344.36750065817051</v>
      </c>
      <c r="W55">
        <f t="shared" si="58"/>
        <v>30.949571685372749</v>
      </c>
      <c r="X55">
        <f t="shared" si="59"/>
        <v>29.972200000000001</v>
      </c>
      <c r="Y55">
        <f t="shared" si="60"/>
        <v>4.2536513787986534</v>
      </c>
      <c r="Z55">
        <f t="shared" si="61"/>
        <v>65.549784378760194</v>
      </c>
      <c r="AA55">
        <f t="shared" si="62"/>
        <v>2.85216282841896</v>
      </c>
      <c r="AB55">
        <f t="shared" si="63"/>
        <v>4.3511399090782259</v>
      </c>
      <c r="AC55">
        <f t="shared" si="64"/>
        <v>1.4014885503796934</v>
      </c>
      <c r="AD55">
        <f t="shared" si="65"/>
        <v>-245.99580754398457</v>
      </c>
      <c r="AE55">
        <f t="shared" si="66"/>
        <v>61.969428970706055</v>
      </c>
      <c r="AF55">
        <f t="shared" si="67"/>
        <v>4.7429802155807455</v>
      </c>
      <c r="AG55">
        <f t="shared" si="68"/>
        <v>165.08410230047275</v>
      </c>
      <c r="AH55">
        <v>0</v>
      </c>
      <c r="AI55">
        <v>0</v>
      </c>
      <c r="AJ55">
        <f t="shared" si="69"/>
        <v>1</v>
      </c>
      <c r="AK55">
        <f t="shared" si="70"/>
        <v>0</v>
      </c>
      <c r="AL55">
        <f t="shared" si="71"/>
        <v>51712.218863343965</v>
      </c>
      <c r="AM55" t="s">
        <v>416</v>
      </c>
      <c r="AN55">
        <v>10238.9</v>
      </c>
      <c r="AO55">
        <v>302.21199999999999</v>
      </c>
      <c r="AP55">
        <v>4052.3</v>
      </c>
      <c r="AQ55">
        <f t="shared" si="72"/>
        <v>0.92542210596451402</v>
      </c>
      <c r="AR55">
        <v>-0.32343011824092421</v>
      </c>
      <c r="AS55" t="s">
        <v>616</v>
      </c>
      <c r="AT55">
        <v>10514.1</v>
      </c>
      <c r="AU55">
        <v>767.56700000000012</v>
      </c>
      <c r="AV55">
        <v>1207.4095113913791</v>
      </c>
      <c r="AW55">
        <f t="shared" si="73"/>
        <v>0.36428610777176906</v>
      </c>
      <c r="AX55">
        <v>0.5</v>
      </c>
      <c r="AY55">
        <f t="shared" si="74"/>
        <v>1513.1763003290853</v>
      </c>
      <c r="AZ55">
        <f t="shared" si="75"/>
        <v>49.008320506804608</v>
      </c>
      <c r="BA55">
        <f t="shared" si="76"/>
        <v>275.61455240968399</v>
      </c>
      <c r="BB55">
        <f t="shared" si="77"/>
        <v>3.2601456032794636E-2</v>
      </c>
      <c r="BC55">
        <f t="shared" si="78"/>
        <v>2.3561935381230041</v>
      </c>
      <c r="BD55">
        <f t="shared" si="79"/>
        <v>257.04420468710236</v>
      </c>
      <c r="BE55" t="s">
        <v>617</v>
      </c>
      <c r="BF55">
        <v>584.87</v>
      </c>
      <c r="BG55">
        <f t="shared" si="80"/>
        <v>584.87</v>
      </c>
      <c r="BH55">
        <f t="shared" si="81"/>
        <v>0.51559931035658724</v>
      </c>
      <c r="BI55">
        <f t="shared" si="82"/>
        <v>0.70652947056858872</v>
      </c>
      <c r="BJ55">
        <f t="shared" si="83"/>
        <v>0.82046082793556641</v>
      </c>
      <c r="BK55">
        <f t="shared" si="84"/>
        <v>0.48590777797797635</v>
      </c>
      <c r="BL55">
        <f t="shared" si="85"/>
        <v>0.75861966135424586</v>
      </c>
      <c r="BM55">
        <f t="shared" si="86"/>
        <v>0.53836067919992703</v>
      </c>
      <c r="BN55">
        <f t="shared" si="87"/>
        <v>0.46163932080007297</v>
      </c>
      <c r="BO55">
        <v>5540</v>
      </c>
      <c r="BP55">
        <v>290.00000000000011</v>
      </c>
      <c r="BQ55">
        <v>1087.01</v>
      </c>
      <c r="BR55">
        <v>125</v>
      </c>
      <c r="BS55">
        <v>10514.1</v>
      </c>
      <c r="BT55">
        <v>1086.05</v>
      </c>
      <c r="BU55">
        <v>0.96</v>
      </c>
      <c r="BV55">
        <v>300.00000000000011</v>
      </c>
      <c r="BW55">
        <v>38.200000000000003</v>
      </c>
      <c r="BX55">
        <v>1207.4095113913791</v>
      </c>
      <c r="BY55">
        <v>1.4527327547427591</v>
      </c>
      <c r="BZ55">
        <v>-127.6018507265529</v>
      </c>
      <c r="CA55">
        <v>1.2483366479511271</v>
      </c>
      <c r="CB55">
        <v>0.99732733057135015</v>
      </c>
      <c r="CC55">
        <v>-1.1395725695216911E-2</v>
      </c>
      <c r="CD55">
        <v>289.99999999999989</v>
      </c>
      <c r="CE55">
        <v>1074.97</v>
      </c>
      <c r="CF55">
        <v>665</v>
      </c>
      <c r="CG55">
        <v>10470.700000000001</v>
      </c>
      <c r="CH55">
        <v>1085.54</v>
      </c>
      <c r="CI55">
        <v>-10.57</v>
      </c>
      <c r="CW55">
        <f t="shared" si="88"/>
        <v>1799.99</v>
      </c>
      <c r="CX55">
        <f t="shared" si="89"/>
        <v>1513.1763003290853</v>
      </c>
      <c r="CY55">
        <f t="shared" si="90"/>
        <v>0.84065817050599467</v>
      </c>
      <c r="CZ55">
        <f t="shared" si="91"/>
        <v>0.19131634101198924</v>
      </c>
      <c r="DA55">
        <v>6</v>
      </c>
      <c r="DB55">
        <v>0.5</v>
      </c>
      <c r="DC55" t="s">
        <v>419</v>
      </c>
      <c r="DD55">
        <v>2</v>
      </c>
      <c r="DE55">
        <v>1693329676.0999999</v>
      </c>
      <c r="DF55">
        <v>636.89400000000001</v>
      </c>
      <c r="DG55">
        <v>699.94399999999996</v>
      </c>
      <c r="DH55">
        <v>28.783799999999999</v>
      </c>
      <c r="DI55">
        <v>22.2851</v>
      </c>
      <c r="DJ55">
        <v>638.55999999999995</v>
      </c>
      <c r="DK55">
        <v>28.395900000000001</v>
      </c>
      <c r="DL55">
        <v>500.18400000000003</v>
      </c>
      <c r="DM55">
        <v>98.989500000000007</v>
      </c>
      <c r="DN55">
        <v>9.9669199999999999E-2</v>
      </c>
      <c r="DO55">
        <v>30.3672</v>
      </c>
      <c r="DP55">
        <v>29.972200000000001</v>
      </c>
      <c r="DQ55">
        <v>999.9</v>
      </c>
      <c r="DR55">
        <v>0</v>
      </c>
      <c r="DS55">
        <v>0</v>
      </c>
      <c r="DT55">
        <v>9990</v>
      </c>
      <c r="DU55">
        <v>0</v>
      </c>
      <c r="DV55">
        <v>1731.06</v>
      </c>
      <c r="DW55">
        <v>-63.0505</v>
      </c>
      <c r="DX55">
        <v>655.76900000000001</v>
      </c>
      <c r="DY55">
        <v>715.89800000000002</v>
      </c>
      <c r="DZ55">
        <v>6.4986300000000004</v>
      </c>
      <c r="EA55">
        <v>699.94399999999996</v>
      </c>
      <c r="EB55">
        <v>22.2851</v>
      </c>
      <c r="EC55">
        <v>2.8492899999999999</v>
      </c>
      <c r="ED55">
        <v>2.2059899999999999</v>
      </c>
      <c r="EE55">
        <v>23.172499999999999</v>
      </c>
      <c r="EF55">
        <v>19.0059</v>
      </c>
      <c r="EG55">
        <v>1799.99</v>
      </c>
      <c r="EH55">
        <v>0.97800200000000004</v>
      </c>
      <c r="EI55">
        <v>2.1998199999999999E-2</v>
      </c>
      <c r="EJ55">
        <v>0</v>
      </c>
      <c r="EK55">
        <v>767.69</v>
      </c>
      <c r="EL55">
        <v>4.9995000000000003</v>
      </c>
      <c r="EM55">
        <v>14885.8</v>
      </c>
      <c r="EN55">
        <v>16659.7</v>
      </c>
      <c r="EO55">
        <v>46.625</v>
      </c>
      <c r="EP55">
        <v>48.686999999999998</v>
      </c>
      <c r="EQ55">
        <v>47.5</v>
      </c>
      <c r="ER55">
        <v>47.686999999999998</v>
      </c>
      <c r="ES55">
        <v>48.125</v>
      </c>
      <c r="ET55">
        <v>1755.5</v>
      </c>
      <c r="EU55">
        <v>39.49</v>
      </c>
      <c r="EV55">
        <v>0</v>
      </c>
      <c r="EW55">
        <v>136.79999995231631</v>
      </c>
      <c r="EX55">
        <v>0</v>
      </c>
      <c r="EY55">
        <v>767.56700000000012</v>
      </c>
      <c r="EZ55">
        <v>0.53073504104020941</v>
      </c>
      <c r="FA55">
        <v>4.0034188081412978</v>
      </c>
      <c r="FB55">
        <v>14883.48076923077</v>
      </c>
      <c r="FC55">
        <v>15</v>
      </c>
      <c r="FD55">
        <v>1693329630.0999999</v>
      </c>
      <c r="FE55" t="s">
        <v>618</v>
      </c>
      <c r="FF55">
        <v>1693329627.5999999</v>
      </c>
      <c r="FG55">
        <v>1693329630.0999999</v>
      </c>
      <c r="FH55">
        <v>43</v>
      </c>
      <c r="FI55">
        <v>0.17599999999999999</v>
      </c>
      <c r="FJ55">
        <v>-0.01</v>
      </c>
      <c r="FK55">
        <v>-1.7250000000000001</v>
      </c>
      <c r="FL55">
        <v>0.122</v>
      </c>
      <c r="FM55">
        <v>700</v>
      </c>
      <c r="FN55">
        <v>23</v>
      </c>
      <c r="FO55">
        <v>0.09</v>
      </c>
      <c r="FP55">
        <v>0.04</v>
      </c>
      <c r="FQ55">
        <v>49.048595993074471</v>
      </c>
      <c r="FR55">
        <v>0.46207098819758718</v>
      </c>
      <c r="FS55">
        <v>0.11961940091066051</v>
      </c>
      <c r="FT55">
        <v>1</v>
      </c>
      <c r="FU55">
        <v>0.41416895546184618</v>
      </c>
      <c r="FV55">
        <v>2.3064434276850222E-2</v>
      </c>
      <c r="FW55">
        <v>3.528520770371823E-3</v>
      </c>
      <c r="FX55">
        <v>1</v>
      </c>
      <c r="FY55">
        <v>2</v>
      </c>
      <c r="FZ55">
        <v>2</v>
      </c>
      <c r="GA55" t="s">
        <v>421</v>
      </c>
      <c r="GB55">
        <v>2.9682900000000001</v>
      </c>
      <c r="GC55">
        <v>2.81128</v>
      </c>
      <c r="GD55">
        <v>0.135551</v>
      </c>
      <c r="GE55">
        <v>0.142876</v>
      </c>
      <c r="GF55">
        <v>0.13428699999999999</v>
      </c>
      <c r="GG55">
        <v>0.11175400000000001</v>
      </c>
      <c r="GH55">
        <v>25449.8</v>
      </c>
      <c r="GI55">
        <v>23263.5</v>
      </c>
      <c r="GJ55">
        <v>26470.9</v>
      </c>
      <c r="GK55">
        <v>25619.8</v>
      </c>
      <c r="GL55">
        <v>31199.7</v>
      </c>
      <c r="GM55">
        <v>32090.6</v>
      </c>
      <c r="GN55">
        <v>37480</v>
      </c>
      <c r="GO55">
        <v>37937.300000000003</v>
      </c>
      <c r="GP55">
        <v>1.9383999999999999</v>
      </c>
      <c r="GQ55">
        <v>1.8877999999999999</v>
      </c>
      <c r="GR55">
        <v>8.0466300000000008E-3</v>
      </c>
      <c r="GS55">
        <v>0</v>
      </c>
      <c r="GT55">
        <v>29.841200000000001</v>
      </c>
      <c r="GU55">
        <v>999.9</v>
      </c>
      <c r="GV55">
        <v>34.5</v>
      </c>
      <c r="GW55">
        <v>42.7</v>
      </c>
      <c r="GX55">
        <v>29.808900000000001</v>
      </c>
      <c r="GY55">
        <v>61.674199999999999</v>
      </c>
      <c r="GZ55">
        <v>13.9223</v>
      </c>
      <c r="HA55">
        <v>1</v>
      </c>
      <c r="HB55">
        <v>0.518953</v>
      </c>
      <c r="HC55">
        <v>3.0507</v>
      </c>
      <c r="HD55">
        <v>20.2197</v>
      </c>
      <c r="HE55">
        <v>5.2083000000000004</v>
      </c>
      <c r="HF55">
        <v>11.9381</v>
      </c>
      <c r="HG55">
        <v>4.9862000000000002</v>
      </c>
      <c r="HH55">
        <v>3.2909999999999999</v>
      </c>
      <c r="HI55">
        <v>9999</v>
      </c>
      <c r="HJ55">
        <v>9999</v>
      </c>
      <c r="HK55">
        <v>9999</v>
      </c>
      <c r="HL55">
        <v>999.9</v>
      </c>
      <c r="HM55">
        <v>1.87158</v>
      </c>
      <c r="HN55">
        <v>1.87744</v>
      </c>
      <c r="HO55">
        <v>1.8752800000000001</v>
      </c>
      <c r="HP55">
        <v>1.87347</v>
      </c>
      <c r="HQ55">
        <v>1.87402</v>
      </c>
      <c r="HR55">
        <v>1.8714599999999999</v>
      </c>
      <c r="HS55">
        <v>1.8772899999999999</v>
      </c>
      <c r="HT55">
        <v>1.87645</v>
      </c>
      <c r="HU55">
        <v>5</v>
      </c>
      <c r="HV55">
        <v>0</v>
      </c>
      <c r="HW55">
        <v>0</v>
      </c>
      <c r="HX55">
        <v>0</v>
      </c>
      <c r="HY55" t="s">
        <v>422</v>
      </c>
      <c r="HZ55" t="s">
        <v>423</v>
      </c>
      <c r="IA55" t="s">
        <v>424</v>
      </c>
      <c r="IB55" t="s">
        <v>424</v>
      </c>
      <c r="IC55" t="s">
        <v>424</v>
      </c>
      <c r="ID55" t="s">
        <v>424</v>
      </c>
      <c r="IE55">
        <v>0</v>
      </c>
      <c r="IF55">
        <v>100</v>
      </c>
      <c r="IG55">
        <v>100</v>
      </c>
      <c r="IH55">
        <v>-1.6659999999999999</v>
      </c>
      <c r="II55">
        <v>0.38790000000000002</v>
      </c>
      <c r="IJ55">
        <v>-0.58495213167461158</v>
      </c>
      <c r="IK55">
        <v>-2.677719669153116E-3</v>
      </c>
      <c r="IL55">
        <v>1.9353498771248068E-6</v>
      </c>
      <c r="IM55">
        <v>-6.1862177325538213E-10</v>
      </c>
      <c r="IN55">
        <v>-0.24523968226772391</v>
      </c>
      <c r="IO55">
        <v>-1.5299015507423901E-2</v>
      </c>
      <c r="IP55">
        <v>1.742162107778985E-3</v>
      </c>
      <c r="IQ55">
        <v>-1.472690239905804E-5</v>
      </c>
      <c r="IR55">
        <v>3</v>
      </c>
      <c r="IS55">
        <v>2255</v>
      </c>
      <c r="IT55">
        <v>2</v>
      </c>
      <c r="IU55">
        <v>41</v>
      </c>
      <c r="IV55">
        <v>0.8</v>
      </c>
      <c r="IW55">
        <v>0.8</v>
      </c>
      <c r="IX55">
        <v>1.49902</v>
      </c>
      <c r="IY55">
        <v>2.5451700000000002</v>
      </c>
      <c r="IZ55">
        <v>1.5991200000000001</v>
      </c>
      <c r="JA55">
        <v>2.2717299999999998</v>
      </c>
      <c r="JB55">
        <v>1.5502899999999999</v>
      </c>
      <c r="JC55">
        <v>2.3596200000000001</v>
      </c>
      <c r="JD55">
        <v>50.51</v>
      </c>
      <c r="JE55">
        <v>23.605899999999998</v>
      </c>
      <c r="JF55">
        <v>18</v>
      </c>
      <c r="JG55">
        <v>504.60899999999998</v>
      </c>
      <c r="JH55">
        <v>441.43</v>
      </c>
      <c r="JI55">
        <v>25.790700000000001</v>
      </c>
      <c r="JJ55">
        <v>33.86</v>
      </c>
      <c r="JK55">
        <v>30.0014</v>
      </c>
      <c r="JL55">
        <v>33.826000000000001</v>
      </c>
      <c r="JM55">
        <v>33.798200000000001</v>
      </c>
      <c r="JN55">
        <v>30.011700000000001</v>
      </c>
      <c r="JO55">
        <v>25.740200000000002</v>
      </c>
      <c r="JP55">
        <v>10.597</v>
      </c>
      <c r="JQ55">
        <v>25.762699999999999</v>
      </c>
      <c r="JR55">
        <v>700</v>
      </c>
      <c r="JS55">
        <v>22.2072</v>
      </c>
      <c r="JT55">
        <v>98.842100000000002</v>
      </c>
      <c r="JU55">
        <v>98.5154</v>
      </c>
    </row>
    <row r="56" spans="1:281" x14ac:dyDescent="0.25">
      <c r="A56">
        <v>40</v>
      </c>
      <c r="B56">
        <v>1693329775.5999999</v>
      </c>
      <c r="C56">
        <v>7478.5</v>
      </c>
      <c r="D56" t="s">
        <v>619</v>
      </c>
      <c r="E56" t="s">
        <v>620</v>
      </c>
      <c r="F56" t="s">
        <v>413</v>
      </c>
      <c r="G56" t="s">
        <v>564</v>
      </c>
      <c r="H56" t="s">
        <v>565</v>
      </c>
      <c r="I56" t="s">
        <v>415</v>
      </c>
      <c r="J56">
        <v>1693329775.5999999</v>
      </c>
      <c r="K56">
        <f t="shared" si="46"/>
        <v>5.2464076138491198E-3</v>
      </c>
      <c r="L56">
        <f t="shared" si="47"/>
        <v>5.2464076138491196</v>
      </c>
      <c r="M56">
        <f t="shared" si="48"/>
        <v>48.655806712072874</v>
      </c>
      <c r="N56">
        <f t="shared" si="49"/>
        <v>836.221</v>
      </c>
      <c r="O56">
        <f t="shared" si="50"/>
        <v>600.46820505282437</v>
      </c>
      <c r="P56">
        <f t="shared" si="51"/>
        <v>59.495754020395715</v>
      </c>
      <c r="Q56">
        <f t="shared" si="52"/>
        <v>82.854676574112005</v>
      </c>
      <c r="R56">
        <f t="shared" si="53"/>
        <v>0.37759341767097521</v>
      </c>
      <c r="S56">
        <f t="shared" si="54"/>
        <v>2.917745545350463</v>
      </c>
      <c r="T56">
        <f t="shared" si="55"/>
        <v>0.35239540868754704</v>
      </c>
      <c r="U56">
        <f t="shared" si="56"/>
        <v>0.22237079019946082</v>
      </c>
      <c r="V56">
        <f t="shared" si="57"/>
        <v>344.38460065813763</v>
      </c>
      <c r="W56">
        <f t="shared" si="58"/>
        <v>31.046426953545883</v>
      </c>
      <c r="X56">
        <f t="shared" si="59"/>
        <v>29.975899999999999</v>
      </c>
      <c r="Y56">
        <f t="shared" si="60"/>
        <v>4.2545556551987351</v>
      </c>
      <c r="Z56">
        <f t="shared" si="61"/>
        <v>65.046720031379635</v>
      </c>
      <c r="AA56">
        <f t="shared" si="62"/>
        <v>2.8321874793023998</v>
      </c>
      <c r="AB56">
        <f t="shared" si="63"/>
        <v>4.3540819244015756</v>
      </c>
      <c r="AC56">
        <f t="shared" si="64"/>
        <v>1.4223681758963354</v>
      </c>
      <c r="AD56">
        <f t="shared" si="65"/>
        <v>-231.36657577074618</v>
      </c>
      <c r="AE56">
        <f t="shared" si="66"/>
        <v>63.408233779680877</v>
      </c>
      <c r="AF56">
        <f t="shared" si="67"/>
        <v>4.8406126201192716</v>
      </c>
      <c r="AG56">
        <f t="shared" si="68"/>
        <v>181.26687128719158</v>
      </c>
      <c r="AH56">
        <v>0</v>
      </c>
      <c r="AI56">
        <v>0</v>
      </c>
      <c r="AJ56">
        <f t="shared" si="69"/>
        <v>1</v>
      </c>
      <c r="AK56">
        <f t="shared" si="70"/>
        <v>0</v>
      </c>
      <c r="AL56">
        <f t="shared" si="71"/>
        <v>51929.695504203926</v>
      </c>
      <c r="AM56" t="s">
        <v>416</v>
      </c>
      <c r="AN56">
        <v>10238.9</v>
      </c>
      <c r="AO56">
        <v>302.21199999999999</v>
      </c>
      <c r="AP56">
        <v>4052.3</v>
      </c>
      <c r="AQ56">
        <f t="shared" si="72"/>
        <v>0.92542210596451402</v>
      </c>
      <c r="AR56">
        <v>-0.32343011824092421</v>
      </c>
      <c r="AS56" t="s">
        <v>621</v>
      </c>
      <c r="AT56">
        <v>10499.6</v>
      </c>
      <c r="AU56">
        <v>767.59238461538473</v>
      </c>
      <c r="AV56">
        <v>1214.1971026039701</v>
      </c>
      <c r="AW56">
        <f t="shared" si="73"/>
        <v>0.36781896203737907</v>
      </c>
      <c r="AX56">
        <v>0.5</v>
      </c>
      <c r="AY56">
        <f t="shared" si="74"/>
        <v>1513.2519003290688</v>
      </c>
      <c r="AZ56">
        <f t="shared" si="75"/>
        <v>48.655806712072874</v>
      </c>
      <c r="BA56">
        <f t="shared" si="76"/>
        <v>278.30137164006476</v>
      </c>
      <c r="BB56">
        <f t="shared" si="77"/>
        <v>3.2366876142473612E-2</v>
      </c>
      <c r="BC56">
        <f t="shared" si="78"/>
        <v>2.3374317821294648</v>
      </c>
      <c r="BD56">
        <f t="shared" si="79"/>
        <v>257.35047484645139</v>
      </c>
      <c r="BE56" t="s">
        <v>622</v>
      </c>
      <c r="BF56">
        <v>586.29999999999995</v>
      </c>
      <c r="BG56">
        <f t="shared" si="80"/>
        <v>586.29999999999995</v>
      </c>
      <c r="BH56">
        <f t="shared" si="81"/>
        <v>0.51712946873071963</v>
      </c>
      <c r="BI56">
        <f t="shared" si="82"/>
        <v>0.71127055075817058</v>
      </c>
      <c r="BJ56">
        <f t="shared" si="83"/>
        <v>0.81884099751760819</v>
      </c>
      <c r="BK56">
        <f t="shared" si="84"/>
        <v>0.48970615497271297</v>
      </c>
      <c r="BL56">
        <f t="shared" si="85"/>
        <v>0.7568096795051289</v>
      </c>
      <c r="BM56">
        <f t="shared" si="86"/>
        <v>0.54328043407891458</v>
      </c>
      <c r="BN56">
        <f t="shared" si="87"/>
        <v>0.45671956592108542</v>
      </c>
      <c r="BO56">
        <v>5542</v>
      </c>
      <c r="BP56">
        <v>290.00000000000011</v>
      </c>
      <c r="BQ56">
        <v>1091.93</v>
      </c>
      <c r="BR56">
        <v>195</v>
      </c>
      <c r="BS56">
        <v>10499.6</v>
      </c>
      <c r="BT56">
        <v>1090.6199999999999</v>
      </c>
      <c r="BU56">
        <v>1.31</v>
      </c>
      <c r="BV56">
        <v>300.00000000000011</v>
      </c>
      <c r="BW56">
        <v>38.200000000000003</v>
      </c>
      <c r="BX56">
        <v>1214.1971026039701</v>
      </c>
      <c r="BY56">
        <v>1.7260645249498401</v>
      </c>
      <c r="BZ56">
        <v>-129.75457029752181</v>
      </c>
      <c r="CA56">
        <v>1.4832525826233769</v>
      </c>
      <c r="CB56">
        <v>0.99635450239013568</v>
      </c>
      <c r="CC56">
        <v>-1.139590367074529E-2</v>
      </c>
      <c r="CD56">
        <v>289.99999999999989</v>
      </c>
      <c r="CE56">
        <v>1079.46</v>
      </c>
      <c r="CF56">
        <v>655</v>
      </c>
      <c r="CG56">
        <v>10472</v>
      </c>
      <c r="CH56">
        <v>1090.29</v>
      </c>
      <c r="CI56">
        <v>-10.83</v>
      </c>
      <c r="CW56">
        <f t="shared" si="88"/>
        <v>1800.08</v>
      </c>
      <c r="CX56">
        <f t="shared" si="89"/>
        <v>1513.2519003290688</v>
      </c>
      <c r="CY56">
        <f t="shared" si="90"/>
        <v>0.84065813759892272</v>
      </c>
      <c r="CZ56">
        <f t="shared" si="91"/>
        <v>0.19131627519784544</v>
      </c>
      <c r="DA56">
        <v>6</v>
      </c>
      <c r="DB56">
        <v>0.5</v>
      </c>
      <c r="DC56" t="s">
        <v>419</v>
      </c>
      <c r="DD56">
        <v>2</v>
      </c>
      <c r="DE56">
        <v>1693329775.5999999</v>
      </c>
      <c r="DF56">
        <v>836.221</v>
      </c>
      <c r="DG56">
        <v>899.84100000000001</v>
      </c>
      <c r="DH56">
        <v>28.584199999999999</v>
      </c>
      <c r="DI56">
        <v>22.471499999999999</v>
      </c>
      <c r="DJ56">
        <v>838.00699999999995</v>
      </c>
      <c r="DK56">
        <v>28.208100000000002</v>
      </c>
      <c r="DL56">
        <v>500.24799999999999</v>
      </c>
      <c r="DM56">
        <v>98.982200000000006</v>
      </c>
      <c r="DN56">
        <v>0.10007199999999999</v>
      </c>
      <c r="DO56">
        <v>30.379000000000001</v>
      </c>
      <c r="DP56">
        <v>29.975899999999999</v>
      </c>
      <c r="DQ56">
        <v>999.9</v>
      </c>
      <c r="DR56">
        <v>0</v>
      </c>
      <c r="DS56">
        <v>0</v>
      </c>
      <c r="DT56">
        <v>10035</v>
      </c>
      <c r="DU56">
        <v>0</v>
      </c>
      <c r="DV56">
        <v>1823.53</v>
      </c>
      <c r="DW56">
        <v>-63.6203</v>
      </c>
      <c r="DX56">
        <v>860.827</v>
      </c>
      <c r="DY56">
        <v>920.52700000000004</v>
      </c>
      <c r="DZ56">
        <v>6.1127500000000001</v>
      </c>
      <c r="EA56">
        <v>899.84100000000001</v>
      </c>
      <c r="EB56">
        <v>22.471499999999999</v>
      </c>
      <c r="EC56">
        <v>2.8293300000000001</v>
      </c>
      <c r="ED56">
        <v>2.2242799999999998</v>
      </c>
      <c r="EE56">
        <v>23.0562</v>
      </c>
      <c r="EF56">
        <v>19.138200000000001</v>
      </c>
      <c r="EG56">
        <v>1800.08</v>
      </c>
      <c r="EH56">
        <v>0.97800200000000004</v>
      </c>
      <c r="EI56">
        <v>2.1998199999999999E-2</v>
      </c>
      <c r="EJ56">
        <v>0</v>
      </c>
      <c r="EK56">
        <v>767.46600000000001</v>
      </c>
      <c r="EL56">
        <v>4.9995000000000003</v>
      </c>
      <c r="EM56">
        <v>14917</v>
      </c>
      <c r="EN56">
        <v>16660.599999999999</v>
      </c>
      <c r="EO56">
        <v>46.561999999999998</v>
      </c>
      <c r="EP56">
        <v>48.436999999999998</v>
      </c>
      <c r="EQ56">
        <v>47.436999999999998</v>
      </c>
      <c r="ER56">
        <v>47.5</v>
      </c>
      <c r="ES56">
        <v>48.061999999999998</v>
      </c>
      <c r="ET56">
        <v>1755.59</v>
      </c>
      <c r="EU56">
        <v>39.49</v>
      </c>
      <c r="EV56">
        <v>0</v>
      </c>
      <c r="EW56">
        <v>97.800000190734863</v>
      </c>
      <c r="EX56">
        <v>0</v>
      </c>
      <c r="EY56">
        <v>767.59238461538473</v>
      </c>
      <c r="EZ56">
        <v>-1.1724444505925471</v>
      </c>
      <c r="FA56">
        <v>-59.651282052558663</v>
      </c>
      <c r="FB56">
        <v>14925.469230769229</v>
      </c>
      <c r="FC56">
        <v>15</v>
      </c>
      <c r="FD56">
        <v>1693329744.5999999</v>
      </c>
      <c r="FE56" t="s">
        <v>623</v>
      </c>
      <c r="FF56">
        <v>1693329741.0999999</v>
      </c>
      <c r="FG56">
        <v>1693329744.5999999</v>
      </c>
      <c r="FH56">
        <v>44</v>
      </c>
      <c r="FI56">
        <v>4.7E-2</v>
      </c>
      <c r="FJ56">
        <v>-3.0000000000000001E-3</v>
      </c>
      <c r="FK56">
        <v>-1.8320000000000001</v>
      </c>
      <c r="FL56">
        <v>0.105</v>
      </c>
      <c r="FM56">
        <v>900</v>
      </c>
      <c r="FN56">
        <v>22</v>
      </c>
      <c r="FO56">
        <v>0.11</v>
      </c>
      <c r="FP56">
        <v>0.03</v>
      </c>
      <c r="FQ56">
        <v>48.81993138668053</v>
      </c>
      <c r="FR56">
        <v>-0.33961132519923409</v>
      </c>
      <c r="FS56">
        <v>0.156566241462159</v>
      </c>
      <c r="FT56">
        <v>1</v>
      </c>
      <c r="FU56">
        <v>0.38112758135141228</v>
      </c>
      <c r="FV56">
        <v>2.0475646123724059E-2</v>
      </c>
      <c r="FW56">
        <v>2.9583239383798401E-3</v>
      </c>
      <c r="FX56">
        <v>1</v>
      </c>
      <c r="FY56">
        <v>2</v>
      </c>
      <c r="FZ56">
        <v>2</v>
      </c>
      <c r="GA56" t="s">
        <v>421</v>
      </c>
      <c r="GB56">
        <v>2.9684499999999998</v>
      </c>
      <c r="GC56">
        <v>2.8120699999999998</v>
      </c>
      <c r="GD56">
        <v>0.16324900000000001</v>
      </c>
      <c r="GE56">
        <v>0.16925299999999999</v>
      </c>
      <c r="GF56">
        <v>0.13365099999999999</v>
      </c>
      <c r="GG56">
        <v>0.112398</v>
      </c>
      <c r="GH56">
        <v>24632.799999999999</v>
      </c>
      <c r="GI56">
        <v>22545.1</v>
      </c>
      <c r="GJ56">
        <v>26470.799999999999</v>
      </c>
      <c r="GK56">
        <v>25618.6</v>
      </c>
      <c r="GL56">
        <v>31224.5</v>
      </c>
      <c r="GM56">
        <v>32067.4</v>
      </c>
      <c r="GN56">
        <v>37479.699999999997</v>
      </c>
      <c r="GO56">
        <v>37935.199999999997</v>
      </c>
      <c r="GP56">
        <v>1.9381999999999999</v>
      </c>
      <c r="GQ56">
        <v>1.887</v>
      </c>
      <c r="GR56">
        <v>2.8759199999999999E-2</v>
      </c>
      <c r="GS56">
        <v>0</v>
      </c>
      <c r="GT56">
        <v>29.5077</v>
      </c>
      <c r="GU56">
        <v>999.9</v>
      </c>
      <c r="GV56">
        <v>34</v>
      </c>
      <c r="GW56">
        <v>42.9</v>
      </c>
      <c r="GX56">
        <v>29.6861</v>
      </c>
      <c r="GY56">
        <v>61.614199999999997</v>
      </c>
      <c r="GZ56">
        <v>14.1867</v>
      </c>
      <c r="HA56">
        <v>1</v>
      </c>
      <c r="HB56">
        <v>0.51556900000000006</v>
      </c>
      <c r="HC56">
        <v>2.1308799999999999</v>
      </c>
      <c r="HD56">
        <v>20.2333</v>
      </c>
      <c r="HE56">
        <v>5.2077099999999996</v>
      </c>
      <c r="HF56">
        <v>11.9375</v>
      </c>
      <c r="HG56">
        <v>4.9871999999999996</v>
      </c>
      <c r="HH56">
        <v>3.2909000000000002</v>
      </c>
      <c r="HI56">
        <v>9999</v>
      </c>
      <c r="HJ56">
        <v>9999</v>
      </c>
      <c r="HK56">
        <v>9999</v>
      </c>
      <c r="HL56">
        <v>999.9</v>
      </c>
      <c r="HM56">
        <v>1.87158</v>
      </c>
      <c r="HN56">
        <v>1.87744</v>
      </c>
      <c r="HO56">
        <v>1.87531</v>
      </c>
      <c r="HP56">
        <v>1.87347</v>
      </c>
      <c r="HQ56">
        <v>1.87405</v>
      </c>
      <c r="HR56">
        <v>1.87147</v>
      </c>
      <c r="HS56">
        <v>1.8772899999999999</v>
      </c>
      <c r="HT56">
        <v>1.8765000000000001</v>
      </c>
      <c r="HU56">
        <v>5</v>
      </c>
      <c r="HV56">
        <v>0</v>
      </c>
      <c r="HW56">
        <v>0</v>
      </c>
      <c r="HX56">
        <v>0</v>
      </c>
      <c r="HY56" t="s">
        <v>422</v>
      </c>
      <c r="HZ56" t="s">
        <v>423</v>
      </c>
      <c r="IA56" t="s">
        <v>424</v>
      </c>
      <c r="IB56" t="s">
        <v>424</v>
      </c>
      <c r="IC56" t="s">
        <v>424</v>
      </c>
      <c r="ID56" t="s">
        <v>424</v>
      </c>
      <c r="IE56">
        <v>0</v>
      </c>
      <c r="IF56">
        <v>100</v>
      </c>
      <c r="IG56">
        <v>100</v>
      </c>
      <c r="IH56">
        <v>-1.786</v>
      </c>
      <c r="II56">
        <v>0.37609999999999999</v>
      </c>
      <c r="IJ56">
        <v>-0.53752492145132802</v>
      </c>
      <c r="IK56">
        <v>-2.677719669153116E-3</v>
      </c>
      <c r="IL56">
        <v>1.9353498771248068E-6</v>
      </c>
      <c r="IM56">
        <v>-6.1862177325538213E-10</v>
      </c>
      <c r="IN56">
        <v>-0.24802414560690331</v>
      </c>
      <c r="IO56">
        <v>-1.5299015507423901E-2</v>
      </c>
      <c r="IP56">
        <v>1.742162107778985E-3</v>
      </c>
      <c r="IQ56">
        <v>-1.472690239905804E-5</v>
      </c>
      <c r="IR56">
        <v>3</v>
      </c>
      <c r="IS56">
        <v>2255</v>
      </c>
      <c r="IT56">
        <v>2</v>
      </c>
      <c r="IU56">
        <v>41</v>
      </c>
      <c r="IV56">
        <v>0.6</v>
      </c>
      <c r="IW56">
        <v>0.5</v>
      </c>
      <c r="IX56">
        <v>1.8420399999999999</v>
      </c>
      <c r="IY56">
        <v>2.5402800000000001</v>
      </c>
      <c r="IZ56">
        <v>1.5991200000000001</v>
      </c>
      <c r="JA56">
        <v>2.2729499999999998</v>
      </c>
      <c r="JB56">
        <v>1.5502899999999999</v>
      </c>
      <c r="JC56">
        <v>2.4328599999999998</v>
      </c>
      <c r="JD56">
        <v>50.607599999999998</v>
      </c>
      <c r="JE56">
        <v>23.614699999999999</v>
      </c>
      <c r="JF56">
        <v>18</v>
      </c>
      <c r="JG56">
        <v>504.61099999999999</v>
      </c>
      <c r="JH56">
        <v>441.048</v>
      </c>
      <c r="JI56">
        <v>26.7575</v>
      </c>
      <c r="JJ56">
        <v>33.86</v>
      </c>
      <c r="JK56">
        <v>29.999600000000001</v>
      </c>
      <c r="JL56">
        <v>33.842799999999997</v>
      </c>
      <c r="JM56">
        <v>33.813299999999998</v>
      </c>
      <c r="JN56">
        <v>36.890500000000003</v>
      </c>
      <c r="JO56">
        <v>24.2026</v>
      </c>
      <c r="JP56">
        <v>9.5652100000000004</v>
      </c>
      <c r="JQ56">
        <v>26.758400000000002</v>
      </c>
      <c r="JR56">
        <v>900</v>
      </c>
      <c r="JS56">
        <v>22.454999999999998</v>
      </c>
      <c r="JT56">
        <v>98.8416</v>
      </c>
      <c r="JU56">
        <v>98.510300000000001</v>
      </c>
    </row>
    <row r="57" spans="1:281" x14ac:dyDescent="0.25">
      <c r="A57">
        <v>41</v>
      </c>
      <c r="B57">
        <v>1693329909.5999999</v>
      </c>
      <c r="C57">
        <v>7612.5</v>
      </c>
      <c r="D57" t="s">
        <v>624</v>
      </c>
      <c r="E57" t="s">
        <v>625</v>
      </c>
      <c r="F57" t="s">
        <v>413</v>
      </c>
      <c r="G57" t="s">
        <v>564</v>
      </c>
      <c r="H57" t="s">
        <v>565</v>
      </c>
      <c r="I57" t="s">
        <v>415</v>
      </c>
      <c r="J57">
        <v>1693329909.5999999</v>
      </c>
      <c r="K57">
        <f t="shared" si="46"/>
        <v>4.9905245627199883E-3</v>
      </c>
      <c r="L57">
        <f t="shared" si="47"/>
        <v>4.9905245627199886</v>
      </c>
      <c r="M57">
        <f t="shared" si="48"/>
        <v>47.769425696750098</v>
      </c>
      <c r="N57">
        <f t="shared" si="49"/>
        <v>1136</v>
      </c>
      <c r="O57">
        <f t="shared" si="50"/>
        <v>884.02156873102649</v>
      </c>
      <c r="P57">
        <f t="shared" si="51"/>
        <v>87.593011931243154</v>
      </c>
      <c r="Q57">
        <f t="shared" si="52"/>
        <v>112.56021920000001</v>
      </c>
      <c r="R57">
        <f t="shared" si="53"/>
        <v>0.35474202300321162</v>
      </c>
      <c r="S57">
        <f t="shared" si="54"/>
        <v>2.9020222232852588</v>
      </c>
      <c r="T57">
        <f t="shared" si="55"/>
        <v>0.33229205691808772</v>
      </c>
      <c r="U57">
        <f t="shared" si="56"/>
        <v>0.20958107032727147</v>
      </c>
      <c r="V57">
        <f t="shared" si="57"/>
        <v>344.38270065814123</v>
      </c>
      <c r="W57">
        <f t="shared" si="58"/>
        <v>31.12724356756447</v>
      </c>
      <c r="X57">
        <f t="shared" si="59"/>
        <v>30.049600000000002</v>
      </c>
      <c r="Y57">
        <f t="shared" si="60"/>
        <v>4.272602801988687</v>
      </c>
      <c r="Z57">
        <f t="shared" si="61"/>
        <v>65.138613391202895</v>
      </c>
      <c r="AA57">
        <f t="shared" si="62"/>
        <v>2.8378948011700005</v>
      </c>
      <c r="AB57">
        <f t="shared" si="63"/>
        <v>4.3567012765937445</v>
      </c>
      <c r="AC57">
        <f t="shared" si="64"/>
        <v>1.4347080008186865</v>
      </c>
      <c r="AD57">
        <f t="shared" si="65"/>
        <v>-220.08213321595147</v>
      </c>
      <c r="AE57">
        <f t="shared" si="66"/>
        <v>53.178654132386505</v>
      </c>
      <c r="AF57">
        <f t="shared" si="67"/>
        <v>4.083377663728367</v>
      </c>
      <c r="AG57">
        <f t="shared" si="68"/>
        <v>181.56259923830461</v>
      </c>
      <c r="AH57">
        <v>0</v>
      </c>
      <c r="AI57">
        <v>0</v>
      </c>
      <c r="AJ57">
        <f t="shared" si="69"/>
        <v>1</v>
      </c>
      <c r="AK57">
        <f t="shared" si="70"/>
        <v>0</v>
      </c>
      <c r="AL57">
        <f t="shared" si="71"/>
        <v>51481.693547629868</v>
      </c>
      <c r="AM57" t="s">
        <v>416</v>
      </c>
      <c r="AN57">
        <v>10238.9</v>
      </c>
      <c r="AO57">
        <v>302.21199999999999</v>
      </c>
      <c r="AP57">
        <v>4052.3</v>
      </c>
      <c r="AQ57">
        <f t="shared" si="72"/>
        <v>0.92542210596451402</v>
      </c>
      <c r="AR57">
        <v>-0.32343011824092421</v>
      </c>
      <c r="AS57" t="s">
        <v>626</v>
      </c>
      <c r="AT57">
        <v>10512.2</v>
      </c>
      <c r="AU57">
        <v>761.79308000000003</v>
      </c>
      <c r="AV57">
        <v>1213.3102366627561</v>
      </c>
      <c r="AW57">
        <f t="shared" si="73"/>
        <v>0.37213660860940789</v>
      </c>
      <c r="AX57">
        <v>0.5</v>
      </c>
      <c r="AY57">
        <f t="shared" si="74"/>
        <v>1513.2435003290705</v>
      </c>
      <c r="AZ57">
        <f t="shared" si="75"/>
        <v>47.769425696750098</v>
      </c>
      <c r="BA57">
        <f t="shared" si="76"/>
        <v>281.56665210634486</v>
      </c>
      <c r="BB57">
        <f t="shared" si="77"/>
        <v>3.1781306712721863E-2</v>
      </c>
      <c r="BC57">
        <f t="shared" si="78"/>
        <v>2.3398712691536874</v>
      </c>
      <c r="BD57">
        <f t="shared" si="79"/>
        <v>257.31061096407234</v>
      </c>
      <c r="BE57" t="s">
        <v>627</v>
      </c>
      <c r="BF57">
        <v>584.20000000000005</v>
      </c>
      <c r="BG57">
        <f t="shared" si="80"/>
        <v>584.20000000000005</v>
      </c>
      <c r="BH57">
        <f t="shared" si="81"/>
        <v>0.51850731795780569</v>
      </c>
      <c r="BI57">
        <f t="shared" si="82"/>
        <v>0.71770753414842081</v>
      </c>
      <c r="BJ57">
        <f t="shared" si="83"/>
        <v>0.81860089482346055</v>
      </c>
      <c r="BK57">
        <f t="shared" si="84"/>
        <v>0.49557461368447975</v>
      </c>
      <c r="BL57">
        <f t="shared" si="85"/>
        <v>0.75704617153977283</v>
      </c>
      <c r="BM57">
        <f t="shared" si="86"/>
        <v>0.55039190097330293</v>
      </c>
      <c r="BN57">
        <f t="shared" si="87"/>
        <v>0.44960809902669707</v>
      </c>
      <c r="BO57">
        <v>5544</v>
      </c>
      <c r="BP57">
        <v>290.00000000000011</v>
      </c>
      <c r="BQ57">
        <v>1089.3499999999999</v>
      </c>
      <c r="BR57">
        <v>135</v>
      </c>
      <c r="BS57">
        <v>10512.2</v>
      </c>
      <c r="BT57">
        <v>1088.3699999999999</v>
      </c>
      <c r="BU57">
        <v>0.98</v>
      </c>
      <c r="BV57">
        <v>300.00000000000011</v>
      </c>
      <c r="BW57">
        <v>38.200000000000003</v>
      </c>
      <c r="BX57">
        <v>1213.3102366627561</v>
      </c>
      <c r="BY57">
        <v>1.208746871986965</v>
      </c>
      <c r="BZ57">
        <v>-131.33509885045689</v>
      </c>
      <c r="CA57">
        <v>1.0387283028322729</v>
      </c>
      <c r="CB57">
        <v>0.99825160173453142</v>
      </c>
      <c r="CC57">
        <v>-1.1396017352614019E-2</v>
      </c>
      <c r="CD57">
        <v>289.99999999999989</v>
      </c>
      <c r="CE57">
        <v>1076.83</v>
      </c>
      <c r="CF57">
        <v>695</v>
      </c>
      <c r="CG57">
        <v>10468.200000000001</v>
      </c>
      <c r="CH57">
        <v>1087.8499999999999</v>
      </c>
      <c r="CI57">
        <v>-11.02</v>
      </c>
      <c r="CW57">
        <f t="shared" si="88"/>
        <v>1800.07</v>
      </c>
      <c r="CX57">
        <f t="shared" si="89"/>
        <v>1513.2435003290705</v>
      </c>
      <c r="CY57">
        <f t="shared" si="90"/>
        <v>0.84065814125510152</v>
      </c>
      <c r="CZ57">
        <f t="shared" si="91"/>
        <v>0.19131628251020308</v>
      </c>
      <c r="DA57">
        <v>6</v>
      </c>
      <c r="DB57">
        <v>0.5</v>
      </c>
      <c r="DC57" t="s">
        <v>419</v>
      </c>
      <c r="DD57">
        <v>2</v>
      </c>
      <c r="DE57">
        <v>1693329909.5999999</v>
      </c>
      <c r="DF57">
        <v>1136</v>
      </c>
      <c r="DG57">
        <v>1200.08</v>
      </c>
      <c r="DH57">
        <v>28.641100000000002</v>
      </c>
      <c r="DI57">
        <v>22.828199999999999</v>
      </c>
      <c r="DJ57">
        <v>1138.07</v>
      </c>
      <c r="DK57">
        <v>28.261900000000001</v>
      </c>
      <c r="DL57">
        <v>500.36200000000002</v>
      </c>
      <c r="DM57">
        <v>98.983500000000006</v>
      </c>
      <c r="DN57">
        <v>0.1012</v>
      </c>
      <c r="DO57">
        <v>30.389500000000002</v>
      </c>
      <c r="DP57">
        <v>30.049600000000002</v>
      </c>
      <c r="DQ57">
        <v>999.9</v>
      </c>
      <c r="DR57">
        <v>0</v>
      </c>
      <c r="DS57">
        <v>0</v>
      </c>
      <c r="DT57">
        <v>9945</v>
      </c>
      <c r="DU57">
        <v>0</v>
      </c>
      <c r="DV57">
        <v>1807.56</v>
      </c>
      <c r="DW57">
        <v>-64.084100000000007</v>
      </c>
      <c r="DX57">
        <v>1169.49</v>
      </c>
      <c r="DY57">
        <v>1228.1199999999999</v>
      </c>
      <c r="DZ57">
        <v>5.8129400000000002</v>
      </c>
      <c r="EA57">
        <v>1200.08</v>
      </c>
      <c r="EB57">
        <v>22.828199999999999</v>
      </c>
      <c r="EC57">
        <v>2.835</v>
      </c>
      <c r="ED57">
        <v>2.2596099999999999</v>
      </c>
      <c r="EE57">
        <v>23.089300000000001</v>
      </c>
      <c r="EF57">
        <v>19.391300000000001</v>
      </c>
      <c r="EG57">
        <v>1800.07</v>
      </c>
      <c r="EH57">
        <v>0.97800200000000004</v>
      </c>
      <c r="EI57">
        <v>2.1998199999999999E-2</v>
      </c>
      <c r="EJ57">
        <v>0</v>
      </c>
      <c r="EK57">
        <v>761.60900000000004</v>
      </c>
      <c r="EL57">
        <v>4.9995000000000003</v>
      </c>
      <c r="EM57">
        <v>14794.9</v>
      </c>
      <c r="EN57">
        <v>16660.5</v>
      </c>
      <c r="EO57">
        <v>46.5</v>
      </c>
      <c r="EP57">
        <v>48.311999999999998</v>
      </c>
      <c r="EQ57">
        <v>47.311999999999998</v>
      </c>
      <c r="ER57">
        <v>47.375</v>
      </c>
      <c r="ES57">
        <v>47.936999999999998</v>
      </c>
      <c r="ET57">
        <v>1755.58</v>
      </c>
      <c r="EU57">
        <v>39.49</v>
      </c>
      <c r="EV57">
        <v>0</v>
      </c>
      <c r="EW57">
        <v>132</v>
      </c>
      <c r="EX57">
        <v>0</v>
      </c>
      <c r="EY57">
        <v>761.79308000000003</v>
      </c>
      <c r="EZ57">
        <v>-1.8583846126459429</v>
      </c>
      <c r="FA57">
        <v>-55.446153835271502</v>
      </c>
      <c r="FB57">
        <v>14801.508</v>
      </c>
      <c r="FC57">
        <v>15</v>
      </c>
      <c r="FD57">
        <v>1693329875.0999999</v>
      </c>
      <c r="FE57" t="s">
        <v>628</v>
      </c>
      <c r="FF57">
        <v>1693329875.0999999</v>
      </c>
      <c r="FG57">
        <v>1693329864.0999999</v>
      </c>
      <c r="FH57">
        <v>45</v>
      </c>
      <c r="FI57">
        <v>-8.4000000000000005E-2</v>
      </c>
      <c r="FJ57">
        <v>1E-3</v>
      </c>
      <c r="FK57">
        <v>-2.1179999999999999</v>
      </c>
      <c r="FL57">
        <v>0.13100000000000001</v>
      </c>
      <c r="FM57">
        <v>1200</v>
      </c>
      <c r="FN57">
        <v>23</v>
      </c>
      <c r="FO57">
        <v>0.15</v>
      </c>
      <c r="FP57">
        <v>0.06</v>
      </c>
      <c r="FQ57">
        <v>47.61830052662485</v>
      </c>
      <c r="FR57">
        <v>0.13800017855681149</v>
      </c>
      <c r="FS57">
        <v>0.11156926199472091</v>
      </c>
      <c r="FT57">
        <v>1</v>
      </c>
      <c r="FU57">
        <v>0.36240195612845039</v>
      </c>
      <c r="FV57">
        <v>-2.8244984346338781E-2</v>
      </c>
      <c r="FW57">
        <v>2.7496800077967771E-3</v>
      </c>
      <c r="FX57">
        <v>1</v>
      </c>
      <c r="FY57">
        <v>2</v>
      </c>
      <c r="FZ57">
        <v>2</v>
      </c>
      <c r="GA57" t="s">
        <v>421</v>
      </c>
      <c r="GB57">
        <v>2.9687999999999999</v>
      </c>
      <c r="GC57">
        <v>2.8124199999999999</v>
      </c>
      <c r="GD57">
        <v>0.19930100000000001</v>
      </c>
      <c r="GE57">
        <v>0.20385500000000001</v>
      </c>
      <c r="GF57">
        <v>0.13383800000000001</v>
      </c>
      <c r="GG57">
        <v>0.11365599999999999</v>
      </c>
      <c r="GH57">
        <v>23571.1</v>
      </c>
      <c r="GI57">
        <v>21604.9</v>
      </c>
      <c r="GJ57">
        <v>26473</v>
      </c>
      <c r="GK57">
        <v>25620</v>
      </c>
      <c r="GL57">
        <v>31222.3</v>
      </c>
      <c r="GM57">
        <v>32026.1</v>
      </c>
      <c r="GN57">
        <v>37482.400000000001</v>
      </c>
      <c r="GO57">
        <v>37937.1</v>
      </c>
      <c r="GP57">
        <v>1.9384999999999999</v>
      </c>
      <c r="GQ57">
        <v>1.8882000000000001</v>
      </c>
      <c r="GR57">
        <v>3.2037499999999997E-2</v>
      </c>
      <c r="GS57">
        <v>0</v>
      </c>
      <c r="GT57">
        <v>29.528099999999998</v>
      </c>
      <c r="GU57">
        <v>999.9</v>
      </c>
      <c r="GV57">
        <v>33.4</v>
      </c>
      <c r="GW57">
        <v>43.1</v>
      </c>
      <c r="GX57">
        <v>29.467400000000001</v>
      </c>
      <c r="GY57">
        <v>61.294199999999996</v>
      </c>
      <c r="GZ57">
        <v>13.585699999999999</v>
      </c>
      <c r="HA57">
        <v>1</v>
      </c>
      <c r="HB57">
        <v>0.51382099999999997</v>
      </c>
      <c r="HC57">
        <v>2.9025799999999999</v>
      </c>
      <c r="HD57">
        <v>20.222300000000001</v>
      </c>
      <c r="HE57">
        <v>5.2088999999999999</v>
      </c>
      <c r="HF57">
        <v>11.9381</v>
      </c>
      <c r="HG57">
        <v>4.9870000000000001</v>
      </c>
      <c r="HH57">
        <v>3.2909999999999999</v>
      </c>
      <c r="HI57">
        <v>9999</v>
      </c>
      <c r="HJ57">
        <v>9999</v>
      </c>
      <c r="HK57">
        <v>9999</v>
      </c>
      <c r="HL57">
        <v>999.9</v>
      </c>
      <c r="HM57">
        <v>1.87157</v>
      </c>
      <c r="HN57">
        <v>1.8775200000000001</v>
      </c>
      <c r="HO57">
        <v>1.87531</v>
      </c>
      <c r="HP57">
        <v>1.87347</v>
      </c>
      <c r="HQ57">
        <v>1.8740300000000001</v>
      </c>
      <c r="HR57">
        <v>1.87147</v>
      </c>
      <c r="HS57">
        <v>1.8772899999999999</v>
      </c>
      <c r="HT57">
        <v>1.8765000000000001</v>
      </c>
      <c r="HU57">
        <v>5</v>
      </c>
      <c r="HV57">
        <v>0</v>
      </c>
      <c r="HW57">
        <v>0</v>
      </c>
      <c r="HX57">
        <v>0</v>
      </c>
      <c r="HY57" t="s">
        <v>422</v>
      </c>
      <c r="HZ57" t="s">
        <v>423</v>
      </c>
      <c r="IA57" t="s">
        <v>424</v>
      </c>
      <c r="IB57" t="s">
        <v>424</v>
      </c>
      <c r="IC57" t="s">
        <v>424</v>
      </c>
      <c r="ID57" t="s">
        <v>424</v>
      </c>
      <c r="IE57">
        <v>0</v>
      </c>
      <c r="IF57">
        <v>100</v>
      </c>
      <c r="IG57">
        <v>100</v>
      </c>
      <c r="IH57">
        <v>-2.0699999999999998</v>
      </c>
      <c r="II57">
        <v>0.37919999999999998</v>
      </c>
      <c r="IJ57">
        <v>-0.62117578636010018</v>
      </c>
      <c r="IK57">
        <v>-2.677719669153116E-3</v>
      </c>
      <c r="IL57">
        <v>1.9353498771248068E-6</v>
      </c>
      <c r="IM57">
        <v>-6.1862177325538213E-10</v>
      </c>
      <c r="IN57">
        <v>-0.24748648807672691</v>
      </c>
      <c r="IO57">
        <v>-1.5299015507423901E-2</v>
      </c>
      <c r="IP57">
        <v>1.742162107778985E-3</v>
      </c>
      <c r="IQ57">
        <v>-1.472690239905804E-5</v>
      </c>
      <c r="IR57">
        <v>3</v>
      </c>
      <c r="IS57">
        <v>2255</v>
      </c>
      <c r="IT57">
        <v>2</v>
      </c>
      <c r="IU57">
        <v>41</v>
      </c>
      <c r="IV57">
        <v>0.6</v>
      </c>
      <c r="IW57">
        <v>0.8</v>
      </c>
      <c r="IX57">
        <v>2.33887</v>
      </c>
      <c r="IY57">
        <v>2.5415000000000001</v>
      </c>
      <c r="IZ57">
        <v>1.5991200000000001</v>
      </c>
      <c r="JA57">
        <v>2.2729499999999998</v>
      </c>
      <c r="JB57">
        <v>1.5502899999999999</v>
      </c>
      <c r="JC57">
        <v>2.3071299999999999</v>
      </c>
      <c r="JD57">
        <v>50.607599999999998</v>
      </c>
      <c r="JE57">
        <v>23.597200000000001</v>
      </c>
      <c r="JF57">
        <v>18</v>
      </c>
      <c r="JG57">
        <v>504.60300000000001</v>
      </c>
      <c r="JH57">
        <v>441.63200000000001</v>
      </c>
      <c r="JI57">
        <v>26.323499999999999</v>
      </c>
      <c r="JJ57">
        <v>33.811199999999999</v>
      </c>
      <c r="JK57">
        <v>30.001100000000001</v>
      </c>
      <c r="JL57">
        <v>33.816899999999997</v>
      </c>
      <c r="JM57">
        <v>33.792200000000001</v>
      </c>
      <c r="JN57">
        <v>46.821100000000001</v>
      </c>
      <c r="JO57">
        <v>22.296800000000001</v>
      </c>
      <c r="JP57">
        <v>8.3200900000000004</v>
      </c>
      <c r="JQ57">
        <v>26.268999999999998</v>
      </c>
      <c r="JR57">
        <v>1200</v>
      </c>
      <c r="JS57">
        <v>22.8888</v>
      </c>
      <c r="JT57">
        <v>98.849199999999996</v>
      </c>
      <c r="JU57">
        <v>98.5154</v>
      </c>
    </row>
    <row r="58" spans="1:281" x14ac:dyDescent="0.25">
      <c r="A58">
        <v>42</v>
      </c>
      <c r="B58">
        <v>1693330011.5999999</v>
      </c>
      <c r="C58">
        <v>7714.5</v>
      </c>
      <c r="D58" t="s">
        <v>629</v>
      </c>
      <c r="E58" t="s">
        <v>630</v>
      </c>
      <c r="F58" t="s">
        <v>413</v>
      </c>
      <c r="G58" t="s">
        <v>564</v>
      </c>
      <c r="H58" t="s">
        <v>565</v>
      </c>
      <c r="I58" t="s">
        <v>415</v>
      </c>
      <c r="J58">
        <v>1693330011.5999999</v>
      </c>
      <c r="K58">
        <f t="shared" si="46"/>
        <v>4.4993202738123081E-3</v>
      </c>
      <c r="L58">
        <f t="shared" si="47"/>
        <v>4.4993202738123079</v>
      </c>
      <c r="M58">
        <f t="shared" si="48"/>
        <v>47.053094039224604</v>
      </c>
      <c r="N58">
        <f t="shared" si="49"/>
        <v>1435.93</v>
      </c>
      <c r="O58">
        <f t="shared" si="50"/>
        <v>1154.4774905723777</v>
      </c>
      <c r="P58">
        <f t="shared" si="51"/>
        <v>114.39148735380286</v>
      </c>
      <c r="Q58">
        <f t="shared" si="52"/>
        <v>142.27923002163402</v>
      </c>
      <c r="R58">
        <f t="shared" si="53"/>
        <v>0.3160871155744891</v>
      </c>
      <c r="S58">
        <f t="shared" si="54"/>
        <v>2.9099496086470795</v>
      </c>
      <c r="T58">
        <f t="shared" si="55"/>
        <v>0.2981762268369037</v>
      </c>
      <c r="U58">
        <f t="shared" si="56"/>
        <v>0.18788473627984154</v>
      </c>
      <c r="V58">
        <f t="shared" si="57"/>
        <v>344.39220065812293</v>
      </c>
      <c r="W58">
        <f t="shared" si="58"/>
        <v>31.211601581609841</v>
      </c>
      <c r="X58">
        <f t="shared" si="59"/>
        <v>30.0471</v>
      </c>
      <c r="Y58">
        <f t="shared" si="60"/>
        <v>4.2719895278903852</v>
      </c>
      <c r="Z58">
        <f t="shared" si="61"/>
        <v>65.124241972098574</v>
      </c>
      <c r="AA58">
        <f t="shared" si="62"/>
        <v>2.83043449264866</v>
      </c>
      <c r="AB58">
        <f t="shared" si="63"/>
        <v>4.3462071986362831</v>
      </c>
      <c r="AC58">
        <f t="shared" si="64"/>
        <v>1.4415550352417252</v>
      </c>
      <c r="AD58">
        <f t="shared" si="65"/>
        <v>-198.4200240751228</v>
      </c>
      <c r="AE58">
        <f t="shared" si="66"/>
        <v>47.111425351404826</v>
      </c>
      <c r="AF58">
        <f t="shared" si="67"/>
        <v>3.6068481911619368</v>
      </c>
      <c r="AG58">
        <f t="shared" si="68"/>
        <v>196.69045012556688</v>
      </c>
      <c r="AH58">
        <v>0</v>
      </c>
      <c r="AI58">
        <v>0</v>
      </c>
      <c r="AJ58">
        <f t="shared" si="69"/>
        <v>1</v>
      </c>
      <c r="AK58">
        <f t="shared" si="70"/>
        <v>0</v>
      </c>
      <c r="AL58">
        <f t="shared" si="71"/>
        <v>51713.713441159329</v>
      </c>
      <c r="AM58" t="s">
        <v>416</v>
      </c>
      <c r="AN58">
        <v>10238.9</v>
      </c>
      <c r="AO58">
        <v>302.21199999999999</v>
      </c>
      <c r="AP58">
        <v>4052.3</v>
      </c>
      <c r="AQ58">
        <f t="shared" si="72"/>
        <v>0.92542210596451402</v>
      </c>
      <c r="AR58">
        <v>-0.32343011824092421</v>
      </c>
      <c r="AS58" t="s">
        <v>631</v>
      </c>
      <c r="AT58">
        <v>10510.2</v>
      </c>
      <c r="AU58">
        <v>757.67039999999997</v>
      </c>
      <c r="AV58">
        <v>1209.7490865680311</v>
      </c>
      <c r="AW58">
        <f t="shared" si="73"/>
        <v>0.37369624130119827</v>
      </c>
      <c r="AX58">
        <v>0.5</v>
      </c>
      <c r="AY58">
        <f t="shared" si="74"/>
        <v>1513.2855003290613</v>
      </c>
      <c r="AZ58">
        <f t="shared" si="75"/>
        <v>47.053094039224604</v>
      </c>
      <c r="BA58">
        <f t="shared" si="76"/>
        <v>282.75455174428674</v>
      </c>
      <c r="BB58">
        <f t="shared" si="77"/>
        <v>3.1307062776431534E-2</v>
      </c>
      <c r="BC58">
        <f t="shared" si="78"/>
        <v>2.3497028805337448</v>
      </c>
      <c r="BD58">
        <f t="shared" si="79"/>
        <v>257.15007680094607</v>
      </c>
      <c r="BE58" t="s">
        <v>632</v>
      </c>
      <c r="BF58">
        <v>583.19000000000005</v>
      </c>
      <c r="BG58">
        <f t="shared" si="80"/>
        <v>583.19000000000005</v>
      </c>
      <c r="BH58">
        <f t="shared" si="81"/>
        <v>0.517924827160261</v>
      </c>
      <c r="BI58">
        <f t="shared" si="82"/>
        <v>0.72152602405670319</v>
      </c>
      <c r="BJ58">
        <f t="shared" si="83"/>
        <v>0.81938909790464098</v>
      </c>
      <c r="BK58">
        <f t="shared" si="84"/>
        <v>0.49813797503044771</v>
      </c>
      <c r="BL58">
        <f t="shared" si="85"/>
        <v>0.75799578928066991</v>
      </c>
      <c r="BM58">
        <f t="shared" si="86"/>
        <v>0.55536914464340792</v>
      </c>
      <c r="BN58">
        <f t="shared" si="87"/>
        <v>0.44463085535659208</v>
      </c>
      <c r="BO58">
        <v>5546</v>
      </c>
      <c r="BP58">
        <v>290.00000000000011</v>
      </c>
      <c r="BQ58">
        <v>1085.01</v>
      </c>
      <c r="BR58">
        <v>145</v>
      </c>
      <c r="BS58">
        <v>10510.2</v>
      </c>
      <c r="BT58">
        <v>1084.7</v>
      </c>
      <c r="BU58">
        <v>0.31</v>
      </c>
      <c r="BV58">
        <v>300.00000000000011</v>
      </c>
      <c r="BW58">
        <v>38.200000000000003</v>
      </c>
      <c r="BX58">
        <v>1209.7490865680311</v>
      </c>
      <c r="BY58">
        <v>1.4498656603108679</v>
      </c>
      <c r="BZ58">
        <v>-131.43376363477341</v>
      </c>
      <c r="CA58">
        <v>1.2459749933553661</v>
      </c>
      <c r="CB58">
        <v>0.99749001369599843</v>
      </c>
      <c r="CC58">
        <v>-1.1396366852057841E-2</v>
      </c>
      <c r="CD58">
        <v>289.99999999999989</v>
      </c>
      <c r="CE58">
        <v>1074.1300000000001</v>
      </c>
      <c r="CF58">
        <v>655</v>
      </c>
      <c r="CG58">
        <v>10472.6</v>
      </c>
      <c r="CH58">
        <v>1084.25</v>
      </c>
      <c r="CI58">
        <v>-10.119999999999999</v>
      </c>
      <c r="CW58">
        <f t="shared" si="88"/>
        <v>1800.12</v>
      </c>
      <c r="CX58">
        <f t="shared" si="89"/>
        <v>1513.2855003290613</v>
      </c>
      <c r="CY58">
        <f t="shared" si="90"/>
        <v>0.84065812297461362</v>
      </c>
      <c r="CZ58">
        <f t="shared" si="91"/>
        <v>0.19131624594922725</v>
      </c>
      <c r="DA58">
        <v>6</v>
      </c>
      <c r="DB58">
        <v>0.5</v>
      </c>
      <c r="DC58" t="s">
        <v>419</v>
      </c>
      <c r="DD58">
        <v>2</v>
      </c>
      <c r="DE58">
        <v>1693330011.5999999</v>
      </c>
      <c r="DF58">
        <v>1435.93</v>
      </c>
      <c r="DG58">
        <v>1500.13</v>
      </c>
      <c r="DH58">
        <v>28.5657</v>
      </c>
      <c r="DI58">
        <v>23.322099999999999</v>
      </c>
      <c r="DJ58">
        <v>1438</v>
      </c>
      <c r="DK58">
        <v>28.1952</v>
      </c>
      <c r="DL58">
        <v>500.12900000000002</v>
      </c>
      <c r="DM58">
        <v>98.985900000000001</v>
      </c>
      <c r="DN58">
        <v>9.9173800000000006E-2</v>
      </c>
      <c r="DO58">
        <v>30.3474</v>
      </c>
      <c r="DP58">
        <v>30.0471</v>
      </c>
      <c r="DQ58">
        <v>999.9</v>
      </c>
      <c r="DR58">
        <v>0</v>
      </c>
      <c r="DS58">
        <v>0</v>
      </c>
      <c r="DT58">
        <v>9990</v>
      </c>
      <c r="DU58">
        <v>0</v>
      </c>
      <c r="DV58">
        <v>1799.27</v>
      </c>
      <c r="DW58">
        <v>-64.206800000000001</v>
      </c>
      <c r="DX58">
        <v>1478.15</v>
      </c>
      <c r="DY58">
        <v>1535.96</v>
      </c>
      <c r="DZ58">
        <v>5.2436100000000003</v>
      </c>
      <c r="EA58">
        <v>1500.13</v>
      </c>
      <c r="EB58">
        <v>23.322099999999999</v>
      </c>
      <c r="EC58">
        <v>2.8275999999999999</v>
      </c>
      <c r="ED58">
        <v>2.3085599999999999</v>
      </c>
      <c r="EE58">
        <v>23.046099999999999</v>
      </c>
      <c r="EF58">
        <v>19.7362</v>
      </c>
      <c r="EG58">
        <v>1800.12</v>
      </c>
      <c r="EH58">
        <v>0.97800200000000004</v>
      </c>
      <c r="EI58">
        <v>2.1998199999999999E-2</v>
      </c>
      <c r="EJ58">
        <v>0</v>
      </c>
      <c r="EK58">
        <v>757.56299999999999</v>
      </c>
      <c r="EL58">
        <v>4.9995000000000003</v>
      </c>
      <c r="EM58">
        <v>14717.9</v>
      </c>
      <c r="EN58">
        <v>16660.900000000001</v>
      </c>
      <c r="EO58">
        <v>46.436999999999998</v>
      </c>
      <c r="EP58">
        <v>48.186999999999998</v>
      </c>
      <c r="EQ58">
        <v>47.25</v>
      </c>
      <c r="ER58">
        <v>47.186999999999998</v>
      </c>
      <c r="ES58">
        <v>47.811999999999998</v>
      </c>
      <c r="ET58">
        <v>1755.63</v>
      </c>
      <c r="EU58">
        <v>39.49</v>
      </c>
      <c r="EV58">
        <v>0</v>
      </c>
      <c r="EW58">
        <v>99.800000190734863</v>
      </c>
      <c r="EX58">
        <v>0</v>
      </c>
      <c r="EY58">
        <v>757.67039999999997</v>
      </c>
      <c r="EZ58">
        <v>-1.471307687845105</v>
      </c>
      <c r="FA58">
        <v>-70.184615291074337</v>
      </c>
      <c r="FB58">
        <v>14724.036</v>
      </c>
      <c r="FC58">
        <v>15</v>
      </c>
      <c r="FD58">
        <v>1693329980.0999999</v>
      </c>
      <c r="FE58" t="s">
        <v>633</v>
      </c>
      <c r="FF58">
        <v>1693329980.0999999</v>
      </c>
      <c r="FG58">
        <v>1693329971.5999999</v>
      </c>
      <c r="FH58">
        <v>46</v>
      </c>
      <c r="FI58">
        <v>0.23400000000000001</v>
      </c>
      <c r="FJ58">
        <v>-6.0000000000000001E-3</v>
      </c>
      <c r="FK58">
        <v>-2.14</v>
      </c>
      <c r="FL58">
        <v>0.128</v>
      </c>
      <c r="FM58">
        <v>1500</v>
      </c>
      <c r="FN58">
        <v>23</v>
      </c>
      <c r="FO58">
        <v>0.1</v>
      </c>
      <c r="FP58">
        <v>0.04</v>
      </c>
      <c r="FQ58">
        <v>46.980513464614447</v>
      </c>
      <c r="FR58">
        <v>-0.57425214422927828</v>
      </c>
      <c r="FS58">
        <v>0.17677776704042619</v>
      </c>
      <c r="FT58">
        <v>1</v>
      </c>
      <c r="FU58">
        <v>0.31722126009385798</v>
      </c>
      <c r="FV58">
        <v>3.624417217760302E-3</v>
      </c>
      <c r="FW58">
        <v>1.803459948628649E-3</v>
      </c>
      <c r="FX58">
        <v>1</v>
      </c>
      <c r="FY58">
        <v>2</v>
      </c>
      <c r="FZ58">
        <v>2</v>
      </c>
      <c r="GA58" t="s">
        <v>421</v>
      </c>
      <c r="GB58">
        <v>2.9682499999999998</v>
      </c>
      <c r="GC58">
        <v>2.8107799999999998</v>
      </c>
      <c r="GD58">
        <v>0.23064100000000001</v>
      </c>
      <c r="GE58">
        <v>0.23413700000000001</v>
      </c>
      <c r="GF58">
        <v>0.133633</v>
      </c>
      <c r="GG58">
        <v>0.115387</v>
      </c>
      <c r="GH58">
        <v>22647.200000000001</v>
      </c>
      <c r="GI58">
        <v>20783.3</v>
      </c>
      <c r="GJ58">
        <v>26474.5</v>
      </c>
      <c r="GK58">
        <v>25623.1</v>
      </c>
      <c r="GL58">
        <v>31233.599999999999</v>
      </c>
      <c r="GM58">
        <v>31968.799999999999</v>
      </c>
      <c r="GN58">
        <v>37485</v>
      </c>
      <c r="GO58">
        <v>37940.800000000003</v>
      </c>
      <c r="GP58">
        <v>1.9386000000000001</v>
      </c>
      <c r="GQ58">
        <v>1.89</v>
      </c>
      <c r="GR58">
        <v>3.7029399999999997E-2</v>
      </c>
      <c r="GS58">
        <v>0</v>
      </c>
      <c r="GT58">
        <v>29.444199999999999</v>
      </c>
      <c r="GU58">
        <v>999.9</v>
      </c>
      <c r="GV58">
        <v>33</v>
      </c>
      <c r="GW58">
        <v>43.2</v>
      </c>
      <c r="GX58">
        <v>29.264800000000001</v>
      </c>
      <c r="GY58">
        <v>61.624200000000002</v>
      </c>
      <c r="GZ58">
        <v>13.165100000000001</v>
      </c>
      <c r="HA58">
        <v>1</v>
      </c>
      <c r="HB58">
        <v>0.50996900000000001</v>
      </c>
      <c r="HC58">
        <v>3.0263599999999999</v>
      </c>
      <c r="HD58">
        <v>20.218800000000002</v>
      </c>
      <c r="HE58">
        <v>5.20411</v>
      </c>
      <c r="HF58">
        <v>11.9381</v>
      </c>
      <c r="HG58">
        <v>4.9854000000000003</v>
      </c>
      <c r="HH58">
        <v>3.29</v>
      </c>
      <c r="HI58">
        <v>9999</v>
      </c>
      <c r="HJ58">
        <v>9999</v>
      </c>
      <c r="HK58">
        <v>9999</v>
      </c>
      <c r="HL58">
        <v>999.9</v>
      </c>
      <c r="HM58">
        <v>1.87155</v>
      </c>
      <c r="HN58">
        <v>1.8774500000000001</v>
      </c>
      <c r="HO58">
        <v>1.87531</v>
      </c>
      <c r="HP58">
        <v>1.87347</v>
      </c>
      <c r="HQ58">
        <v>1.8740699999999999</v>
      </c>
      <c r="HR58">
        <v>1.8714500000000001</v>
      </c>
      <c r="HS58">
        <v>1.8772899999999999</v>
      </c>
      <c r="HT58">
        <v>1.87642</v>
      </c>
      <c r="HU58">
        <v>5</v>
      </c>
      <c r="HV58">
        <v>0</v>
      </c>
      <c r="HW58">
        <v>0</v>
      </c>
      <c r="HX58">
        <v>0</v>
      </c>
      <c r="HY58" t="s">
        <v>422</v>
      </c>
      <c r="HZ58" t="s">
        <v>423</v>
      </c>
      <c r="IA58" t="s">
        <v>424</v>
      </c>
      <c r="IB58" t="s">
        <v>424</v>
      </c>
      <c r="IC58" t="s">
        <v>424</v>
      </c>
      <c r="ID58" t="s">
        <v>424</v>
      </c>
      <c r="IE58">
        <v>0</v>
      </c>
      <c r="IF58">
        <v>100</v>
      </c>
      <c r="IG58">
        <v>100</v>
      </c>
      <c r="IH58">
        <v>-2.0699999999999998</v>
      </c>
      <c r="II58">
        <v>0.3705</v>
      </c>
      <c r="IJ58">
        <v>-0.38716478163770729</v>
      </c>
      <c r="IK58">
        <v>-2.677719669153116E-3</v>
      </c>
      <c r="IL58">
        <v>1.9353498771248068E-6</v>
      </c>
      <c r="IM58">
        <v>-6.1862177325538213E-10</v>
      </c>
      <c r="IN58">
        <v>-0.25306464052843203</v>
      </c>
      <c r="IO58">
        <v>-1.5299015507423901E-2</v>
      </c>
      <c r="IP58">
        <v>1.742162107778985E-3</v>
      </c>
      <c r="IQ58">
        <v>-1.472690239905804E-5</v>
      </c>
      <c r="IR58">
        <v>3</v>
      </c>
      <c r="IS58">
        <v>2255</v>
      </c>
      <c r="IT58">
        <v>2</v>
      </c>
      <c r="IU58">
        <v>41</v>
      </c>
      <c r="IV58">
        <v>0.5</v>
      </c>
      <c r="IW58">
        <v>0.7</v>
      </c>
      <c r="IX58">
        <v>2.81494</v>
      </c>
      <c r="IY58">
        <v>2.5439500000000002</v>
      </c>
      <c r="IZ58">
        <v>1.6003400000000001</v>
      </c>
      <c r="JA58">
        <v>2.2717299999999998</v>
      </c>
      <c r="JB58">
        <v>1.5502899999999999</v>
      </c>
      <c r="JC58">
        <v>2.323</v>
      </c>
      <c r="JD58">
        <v>50.672899999999998</v>
      </c>
      <c r="JE58">
        <v>23.605899999999998</v>
      </c>
      <c r="JF58">
        <v>18</v>
      </c>
      <c r="JG58">
        <v>504.363</v>
      </c>
      <c r="JH58">
        <v>442.47199999999998</v>
      </c>
      <c r="JI58">
        <v>25.973299999999998</v>
      </c>
      <c r="JJ58">
        <v>33.750500000000002</v>
      </c>
      <c r="JK58">
        <v>30.0001</v>
      </c>
      <c r="JL58">
        <v>33.777500000000003</v>
      </c>
      <c r="JM58">
        <v>33.755099999999999</v>
      </c>
      <c r="JN58">
        <v>56.335900000000002</v>
      </c>
      <c r="JO58">
        <v>20.0761</v>
      </c>
      <c r="JP58">
        <v>7.9351099999999999</v>
      </c>
      <c r="JQ58">
        <v>25.974299999999999</v>
      </c>
      <c r="JR58">
        <v>1500</v>
      </c>
      <c r="JS58">
        <v>23.303999999999998</v>
      </c>
      <c r="JT58">
        <v>98.855400000000003</v>
      </c>
      <c r="JU58">
        <v>98.526200000000003</v>
      </c>
    </row>
    <row r="59" spans="1:281" x14ac:dyDescent="0.25">
      <c r="A59">
        <v>43</v>
      </c>
      <c r="B59">
        <v>1693332029</v>
      </c>
      <c r="C59">
        <v>9731.9000000953674</v>
      </c>
      <c r="D59" t="s">
        <v>634</v>
      </c>
      <c r="E59" t="s">
        <v>635</v>
      </c>
      <c r="F59" t="s">
        <v>413</v>
      </c>
      <c r="G59" t="s">
        <v>636</v>
      </c>
      <c r="H59" t="s">
        <v>637</v>
      </c>
      <c r="I59" t="s">
        <v>415</v>
      </c>
      <c r="J59">
        <v>1693332029</v>
      </c>
      <c r="K59">
        <f t="shared" si="46"/>
        <v>4.1515838799680215E-3</v>
      </c>
      <c r="L59">
        <f t="shared" si="47"/>
        <v>4.1515838799680216</v>
      </c>
      <c r="M59">
        <f t="shared" si="48"/>
        <v>38.71856541140216</v>
      </c>
      <c r="N59">
        <f t="shared" si="49"/>
        <v>351.72399999999999</v>
      </c>
      <c r="O59">
        <f t="shared" si="50"/>
        <v>124.33078326264116</v>
      </c>
      <c r="P59">
        <f t="shared" si="51"/>
        <v>12.314725379493821</v>
      </c>
      <c r="Q59">
        <f t="shared" si="52"/>
        <v>34.837586925092396</v>
      </c>
      <c r="R59">
        <f t="shared" si="53"/>
        <v>0.29270979486913601</v>
      </c>
      <c r="S59">
        <f t="shared" si="54"/>
        <v>2.9092891305721666</v>
      </c>
      <c r="T59">
        <f t="shared" si="55"/>
        <v>0.27727753019598739</v>
      </c>
      <c r="U59">
        <f t="shared" si="56"/>
        <v>0.17461715289137775</v>
      </c>
      <c r="V59">
        <f t="shared" si="57"/>
        <v>344.33388749041222</v>
      </c>
      <c r="W59">
        <f t="shared" si="58"/>
        <v>31.279661939066571</v>
      </c>
      <c r="X59">
        <f t="shared" si="59"/>
        <v>30.021899999999999</v>
      </c>
      <c r="Y59">
        <f t="shared" si="60"/>
        <v>4.2658120076364003</v>
      </c>
      <c r="Z59">
        <f t="shared" si="61"/>
        <v>65.336027713479581</v>
      </c>
      <c r="AA59">
        <f t="shared" si="62"/>
        <v>2.8359644390392198</v>
      </c>
      <c r="AB59">
        <f t="shared" si="63"/>
        <v>4.340582888625975</v>
      </c>
      <c r="AC59">
        <f t="shared" si="64"/>
        <v>1.4298475685971805</v>
      </c>
      <c r="AD59">
        <f t="shared" si="65"/>
        <v>-183.08484910658976</v>
      </c>
      <c r="AE59">
        <f t="shared" si="66"/>
        <v>47.508530909483646</v>
      </c>
      <c r="AF59">
        <f t="shared" si="67"/>
        <v>3.6372160662412516</v>
      </c>
      <c r="AG59">
        <f t="shared" si="68"/>
        <v>212.39478535954737</v>
      </c>
      <c r="AH59">
        <v>0</v>
      </c>
      <c r="AI59">
        <v>0</v>
      </c>
      <c r="AJ59">
        <f t="shared" si="69"/>
        <v>1</v>
      </c>
      <c r="AK59">
        <f t="shared" si="70"/>
        <v>0</v>
      </c>
      <c r="AL59">
        <f t="shared" si="71"/>
        <v>51698.025974954166</v>
      </c>
      <c r="AM59" t="s">
        <v>416</v>
      </c>
      <c r="AN59">
        <v>10238.9</v>
      </c>
      <c r="AO59">
        <v>302.21199999999999</v>
      </c>
      <c r="AP59">
        <v>4052.3</v>
      </c>
      <c r="AQ59">
        <f t="shared" si="72"/>
        <v>0.92542210596451402</v>
      </c>
      <c r="AR59">
        <v>-0.32343011824092421</v>
      </c>
      <c r="AS59" t="s">
        <v>638</v>
      </c>
      <c r="AT59">
        <v>10493.2</v>
      </c>
      <c r="AU59">
        <v>734.79134615384623</v>
      </c>
      <c r="AV59">
        <v>1073.3649454861841</v>
      </c>
      <c r="AW59">
        <f t="shared" si="73"/>
        <v>0.31543195141236879</v>
      </c>
      <c r="AX59">
        <v>0.5</v>
      </c>
      <c r="AY59">
        <f t="shared" si="74"/>
        <v>1513.025393745206</v>
      </c>
      <c r="AZ59">
        <f t="shared" si="75"/>
        <v>38.71856541140216</v>
      </c>
      <c r="BA59">
        <f t="shared" si="76"/>
        <v>238.628276242759</v>
      </c>
      <c r="BB59">
        <f t="shared" si="77"/>
        <v>2.58039261542082E-2</v>
      </c>
      <c r="BC59">
        <f t="shared" si="78"/>
        <v>2.7753235905840934</v>
      </c>
      <c r="BD59">
        <f t="shared" si="79"/>
        <v>250.38737484749458</v>
      </c>
      <c r="BE59" t="s">
        <v>639</v>
      </c>
      <c r="BF59">
        <v>574.97</v>
      </c>
      <c r="BG59">
        <f t="shared" si="80"/>
        <v>574.97</v>
      </c>
      <c r="BH59">
        <f t="shared" si="81"/>
        <v>0.46432944133501064</v>
      </c>
      <c r="BI59">
        <f t="shared" si="82"/>
        <v>0.67932791533842596</v>
      </c>
      <c r="BJ59">
        <f t="shared" si="83"/>
        <v>0.85667309530985436</v>
      </c>
      <c r="BK59">
        <f t="shared" si="84"/>
        <v>0.43904857177051876</v>
      </c>
      <c r="BL59">
        <f t="shared" si="85"/>
        <v>0.79436404012754258</v>
      </c>
      <c r="BM59">
        <f t="shared" si="86"/>
        <v>0.5315701845518942</v>
      </c>
      <c r="BN59">
        <f t="shared" si="87"/>
        <v>0.4684298154481058</v>
      </c>
      <c r="BO59">
        <v>5548</v>
      </c>
      <c r="BP59">
        <v>290.00000000000011</v>
      </c>
      <c r="BQ59">
        <v>981.7</v>
      </c>
      <c r="BR59">
        <v>235</v>
      </c>
      <c r="BS59">
        <v>10493.2</v>
      </c>
      <c r="BT59">
        <v>982.02</v>
      </c>
      <c r="BU59">
        <v>-0.32</v>
      </c>
      <c r="BV59">
        <v>300.00000000000011</v>
      </c>
      <c r="BW59">
        <v>38.200000000000003</v>
      </c>
      <c r="BX59">
        <v>1073.3649454861841</v>
      </c>
      <c r="BY59">
        <v>1.1243331073120919</v>
      </c>
      <c r="BZ59">
        <v>-95.845326447551898</v>
      </c>
      <c r="CA59">
        <v>0.96622027814572697</v>
      </c>
      <c r="CB59">
        <v>0.99716250968988485</v>
      </c>
      <c r="CC59">
        <v>-1.139619221357065E-2</v>
      </c>
      <c r="CD59">
        <v>289.99999999999989</v>
      </c>
      <c r="CE59">
        <v>972.34</v>
      </c>
      <c r="CF59">
        <v>645</v>
      </c>
      <c r="CG59">
        <v>10473.5</v>
      </c>
      <c r="CH59">
        <v>981.85</v>
      </c>
      <c r="CI59">
        <v>-9.51</v>
      </c>
      <c r="CW59">
        <f t="shared" si="88"/>
        <v>1799.81</v>
      </c>
      <c r="CX59">
        <f t="shared" si="89"/>
        <v>1513.025393745206</v>
      </c>
      <c r="CY59">
        <f t="shared" si="90"/>
        <v>0.8406583993561576</v>
      </c>
      <c r="CZ59">
        <f t="shared" si="91"/>
        <v>0.19131679871231533</v>
      </c>
      <c r="DA59">
        <v>6</v>
      </c>
      <c r="DB59">
        <v>0.5</v>
      </c>
      <c r="DC59" t="s">
        <v>419</v>
      </c>
      <c r="DD59">
        <v>2</v>
      </c>
      <c r="DE59">
        <v>1693332029</v>
      </c>
      <c r="DF59">
        <v>351.72399999999999</v>
      </c>
      <c r="DG59">
        <v>399.92599999999999</v>
      </c>
      <c r="DH59">
        <v>28.632200000000001</v>
      </c>
      <c r="DI59">
        <v>23.7942</v>
      </c>
      <c r="DJ59">
        <v>353.41699999999997</v>
      </c>
      <c r="DK59">
        <v>28.242000000000001</v>
      </c>
      <c r="DL59">
        <v>500.13</v>
      </c>
      <c r="DM59">
        <v>98.948499999999996</v>
      </c>
      <c r="DN59">
        <v>9.9580100000000005E-2</v>
      </c>
      <c r="DO59">
        <v>30.3248</v>
      </c>
      <c r="DP59">
        <v>30.021899999999999</v>
      </c>
      <c r="DQ59">
        <v>999.9</v>
      </c>
      <c r="DR59">
        <v>0</v>
      </c>
      <c r="DS59">
        <v>0</v>
      </c>
      <c r="DT59">
        <v>9990</v>
      </c>
      <c r="DU59">
        <v>0</v>
      </c>
      <c r="DV59">
        <v>1727.59</v>
      </c>
      <c r="DW59">
        <v>-48.201799999999999</v>
      </c>
      <c r="DX59">
        <v>362.09199999999998</v>
      </c>
      <c r="DY59">
        <v>409.67399999999998</v>
      </c>
      <c r="DZ59">
        <v>4.8380599999999996</v>
      </c>
      <c r="EA59">
        <v>399.92599999999999</v>
      </c>
      <c r="EB59">
        <v>23.7942</v>
      </c>
      <c r="EC59">
        <v>2.83311</v>
      </c>
      <c r="ED59">
        <v>2.3544</v>
      </c>
      <c r="EE59">
        <v>23.078299999999999</v>
      </c>
      <c r="EF59">
        <v>20.0535</v>
      </c>
      <c r="EG59">
        <v>1799.81</v>
      </c>
      <c r="EH59">
        <v>0.97799499999999995</v>
      </c>
      <c r="EI59">
        <v>2.2005400000000001E-2</v>
      </c>
      <c r="EJ59">
        <v>0</v>
      </c>
      <c r="EK59">
        <v>734.66499999999996</v>
      </c>
      <c r="EL59">
        <v>4.9995000000000003</v>
      </c>
      <c r="EM59">
        <v>14321.3</v>
      </c>
      <c r="EN59">
        <v>16658.099999999999</v>
      </c>
      <c r="EO59">
        <v>46.811999999999998</v>
      </c>
      <c r="EP59">
        <v>48.811999999999998</v>
      </c>
      <c r="EQ59">
        <v>47.75</v>
      </c>
      <c r="ER59">
        <v>47.625</v>
      </c>
      <c r="ES59">
        <v>48.25</v>
      </c>
      <c r="ET59">
        <v>1755.32</v>
      </c>
      <c r="EU59">
        <v>39.5</v>
      </c>
      <c r="EV59">
        <v>0</v>
      </c>
      <c r="EW59">
        <v>2015.400000095367</v>
      </c>
      <c r="EX59">
        <v>0</v>
      </c>
      <c r="EY59">
        <v>734.79134615384623</v>
      </c>
      <c r="EZ59">
        <v>0.28933332712562138</v>
      </c>
      <c r="FA59">
        <v>2.1367521255449788</v>
      </c>
      <c r="FB59">
        <v>14324.642307692309</v>
      </c>
      <c r="FC59">
        <v>15</v>
      </c>
      <c r="FD59">
        <v>1693331999</v>
      </c>
      <c r="FE59" t="s">
        <v>640</v>
      </c>
      <c r="FF59">
        <v>1693331990</v>
      </c>
      <c r="FG59">
        <v>1693331999</v>
      </c>
      <c r="FH59">
        <v>48</v>
      </c>
      <c r="FI59">
        <v>0.161</v>
      </c>
      <c r="FJ59">
        <v>2.5999999999999999E-2</v>
      </c>
      <c r="FK59">
        <v>-1.764</v>
      </c>
      <c r="FL59">
        <v>0.18</v>
      </c>
      <c r="FM59">
        <v>400</v>
      </c>
      <c r="FN59">
        <v>24</v>
      </c>
      <c r="FO59">
        <v>0.09</v>
      </c>
      <c r="FP59">
        <v>7.0000000000000007E-2</v>
      </c>
      <c r="FQ59">
        <v>38.789868169942018</v>
      </c>
      <c r="FR59">
        <v>-0.2148498335432891</v>
      </c>
      <c r="FS59">
        <v>7.3984211462355176E-2</v>
      </c>
      <c r="FT59">
        <v>1</v>
      </c>
      <c r="FU59">
        <v>0.28939232352413519</v>
      </c>
      <c r="FV59">
        <v>3.8585796581820313E-2</v>
      </c>
      <c r="FW59">
        <v>3.181616721772162E-3</v>
      </c>
      <c r="FX59">
        <v>1</v>
      </c>
      <c r="FY59">
        <v>2</v>
      </c>
      <c r="FZ59">
        <v>2</v>
      </c>
      <c r="GA59" t="s">
        <v>421</v>
      </c>
      <c r="GB59">
        <v>2.9685000000000001</v>
      </c>
      <c r="GC59">
        <v>2.8111899999999999</v>
      </c>
      <c r="GD59">
        <v>8.7190699999999996E-2</v>
      </c>
      <c r="GE59">
        <v>9.50183E-2</v>
      </c>
      <c r="GF59">
        <v>0.133828</v>
      </c>
      <c r="GG59">
        <v>0.11705</v>
      </c>
      <c r="GH59">
        <v>26896.2</v>
      </c>
      <c r="GI59">
        <v>24577.3</v>
      </c>
      <c r="GJ59">
        <v>26490.2</v>
      </c>
      <c r="GK59">
        <v>25631.3</v>
      </c>
      <c r="GL59">
        <v>31230</v>
      </c>
      <c r="GM59">
        <v>31906.3</v>
      </c>
      <c r="GN59">
        <v>37504.9</v>
      </c>
      <c r="GO59">
        <v>37950.400000000001</v>
      </c>
      <c r="GP59">
        <v>1.9396</v>
      </c>
      <c r="GQ59">
        <v>1.8742000000000001</v>
      </c>
      <c r="GR59">
        <v>3.1739499999999997E-2</v>
      </c>
      <c r="GS59">
        <v>0</v>
      </c>
      <c r="GT59">
        <v>29.505199999999999</v>
      </c>
      <c r="GU59">
        <v>999.9</v>
      </c>
      <c r="GV59">
        <v>27.6</v>
      </c>
      <c r="GW59">
        <v>47.2</v>
      </c>
      <c r="GX59">
        <v>30.089700000000001</v>
      </c>
      <c r="GY59">
        <v>61.574599999999997</v>
      </c>
      <c r="GZ59">
        <v>13.6258</v>
      </c>
      <c r="HA59">
        <v>1</v>
      </c>
      <c r="HB59">
        <v>0.48676799999999998</v>
      </c>
      <c r="HC59">
        <v>3.3241499999999999</v>
      </c>
      <c r="HD59">
        <v>20.214099999999998</v>
      </c>
      <c r="HE59">
        <v>5.2107000000000001</v>
      </c>
      <c r="HF59">
        <v>11.9381</v>
      </c>
      <c r="HG59">
        <v>4.9874000000000001</v>
      </c>
      <c r="HH59">
        <v>3.2909999999999999</v>
      </c>
      <c r="HI59">
        <v>9999</v>
      </c>
      <c r="HJ59">
        <v>9999</v>
      </c>
      <c r="HK59">
        <v>9999</v>
      </c>
      <c r="HL59">
        <v>999.9</v>
      </c>
      <c r="HM59">
        <v>1.87164</v>
      </c>
      <c r="HN59">
        <v>1.87744</v>
      </c>
      <c r="HO59">
        <v>1.87531</v>
      </c>
      <c r="HP59">
        <v>1.87347</v>
      </c>
      <c r="HQ59">
        <v>1.87405</v>
      </c>
      <c r="HR59">
        <v>1.87147</v>
      </c>
      <c r="HS59">
        <v>1.8772899999999999</v>
      </c>
      <c r="HT59">
        <v>1.8765099999999999</v>
      </c>
      <c r="HU59">
        <v>5</v>
      </c>
      <c r="HV59">
        <v>0</v>
      </c>
      <c r="HW59">
        <v>0</v>
      </c>
      <c r="HX59">
        <v>0</v>
      </c>
      <c r="HY59" t="s">
        <v>422</v>
      </c>
      <c r="HZ59" t="s">
        <v>423</v>
      </c>
      <c r="IA59" t="s">
        <v>424</v>
      </c>
      <c r="IB59" t="s">
        <v>424</v>
      </c>
      <c r="IC59" t="s">
        <v>424</v>
      </c>
      <c r="ID59" t="s">
        <v>424</v>
      </c>
      <c r="IE59">
        <v>0</v>
      </c>
      <c r="IF59">
        <v>100</v>
      </c>
      <c r="IG59">
        <v>100</v>
      </c>
      <c r="IH59">
        <v>-1.6930000000000001</v>
      </c>
      <c r="II59">
        <v>0.39019999999999999</v>
      </c>
      <c r="IJ59">
        <v>-0.96027930419959717</v>
      </c>
      <c r="IK59">
        <v>-2.677719669153116E-3</v>
      </c>
      <c r="IL59">
        <v>1.9353498771248068E-6</v>
      </c>
      <c r="IM59">
        <v>-6.1862177325538213E-10</v>
      </c>
      <c r="IN59">
        <v>-0.2355205024495366</v>
      </c>
      <c r="IO59">
        <v>-1.5299015507423901E-2</v>
      </c>
      <c r="IP59">
        <v>1.742162107778985E-3</v>
      </c>
      <c r="IQ59">
        <v>-1.472690239905804E-5</v>
      </c>
      <c r="IR59">
        <v>3</v>
      </c>
      <c r="IS59">
        <v>2255</v>
      </c>
      <c r="IT59">
        <v>2</v>
      </c>
      <c r="IU59">
        <v>41</v>
      </c>
      <c r="IV59">
        <v>0.7</v>
      </c>
      <c r="IW59">
        <v>0.5</v>
      </c>
      <c r="IX59">
        <v>0.95947300000000002</v>
      </c>
      <c r="IY59">
        <v>2.5512700000000001</v>
      </c>
      <c r="IZ59">
        <v>1.5991200000000001</v>
      </c>
      <c r="JA59">
        <v>2.2717299999999998</v>
      </c>
      <c r="JB59">
        <v>1.5502899999999999</v>
      </c>
      <c r="JC59">
        <v>2.4633799999999999</v>
      </c>
      <c r="JD59">
        <v>52.893099999999997</v>
      </c>
      <c r="JE59">
        <v>23.7285</v>
      </c>
      <c r="JF59">
        <v>18</v>
      </c>
      <c r="JG59">
        <v>502.721</v>
      </c>
      <c r="JH59">
        <v>430.899</v>
      </c>
      <c r="JI59">
        <v>25.370799999999999</v>
      </c>
      <c r="JJ59">
        <v>33.469900000000003</v>
      </c>
      <c r="JK59">
        <v>30.0001</v>
      </c>
      <c r="JL59">
        <v>33.482399999999998</v>
      </c>
      <c r="JM59">
        <v>33.462299999999999</v>
      </c>
      <c r="JN59">
        <v>19.248899999999999</v>
      </c>
      <c r="JO59">
        <v>18.735600000000002</v>
      </c>
      <c r="JP59">
        <v>0</v>
      </c>
      <c r="JQ59">
        <v>25.3521</v>
      </c>
      <c r="JR59">
        <v>400</v>
      </c>
      <c r="JS59">
        <v>23.720800000000001</v>
      </c>
      <c r="JT59">
        <v>98.910499999999999</v>
      </c>
      <c r="JU59">
        <v>98.553700000000006</v>
      </c>
    </row>
    <row r="60" spans="1:281" x14ac:dyDescent="0.25">
      <c r="A60">
        <v>44</v>
      </c>
      <c r="B60">
        <v>1693332141.5999999</v>
      </c>
      <c r="C60">
        <v>9844.5</v>
      </c>
      <c r="D60" t="s">
        <v>641</v>
      </c>
      <c r="E60" t="s">
        <v>642</v>
      </c>
      <c r="F60" t="s">
        <v>413</v>
      </c>
      <c r="G60" t="s">
        <v>636</v>
      </c>
      <c r="H60" t="s">
        <v>637</v>
      </c>
      <c r="I60" t="s">
        <v>415</v>
      </c>
      <c r="J60">
        <v>1693332141.5999999</v>
      </c>
      <c r="K60">
        <f t="shared" si="46"/>
        <v>4.1659017676638202E-3</v>
      </c>
      <c r="L60">
        <f t="shared" si="47"/>
        <v>4.1659017676638204</v>
      </c>
      <c r="M60">
        <f t="shared" si="48"/>
        <v>29.943187787679889</v>
      </c>
      <c r="N60">
        <f t="shared" si="49"/>
        <v>262.73099999999999</v>
      </c>
      <c r="O60">
        <f t="shared" si="50"/>
        <v>87.675364257177762</v>
      </c>
      <c r="P60">
        <f t="shared" si="51"/>
        <v>8.6839820315366332</v>
      </c>
      <c r="Q60">
        <f t="shared" si="52"/>
        <v>26.0227180401006</v>
      </c>
      <c r="R60">
        <f t="shared" si="53"/>
        <v>0.29376672922402525</v>
      </c>
      <c r="S60">
        <f t="shared" si="54"/>
        <v>2.9092838319454777</v>
      </c>
      <c r="T60">
        <f t="shared" si="55"/>
        <v>0.27822596633537178</v>
      </c>
      <c r="U60">
        <f t="shared" si="56"/>
        <v>0.17521896340927934</v>
      </c>
      <c r="V60">
        <f t="shared" si="57"/>
        <v>344.3966006582823</v>
      </c>
      <c r="W60">
        <f t="shared" si="58"/>
        <v>31.268700960259117</v>
      </c>
      <c r="X60">
        <f t="shared" si="59"/>
        <v>30.015499999999999</v>
      </c>
      <c r="Y60">
        <f t="shared" si="60"/>
        <v>4.2642443538047123</v>
      </c>
      <c r="Z60">
        <f t="shared" si="61"/>
        <v>65.327251003336769</v>
      </c>
      <c r="AA60">
        <f t="shared" si="62"/>
        <v>2.8343488358021198</v>
      </c>
      <c r="AB60">
        <f t="shared" si="63"/>
        <v>4.3386929532016394</v>
      </c>
      <c r="AC60">
        <f t="shared" si="64"/>
        <v>1.4298955180025925</v>
      </c>
      <c r="AD60">
        <f t="shared" si="65"/>
        <v>-183.71626795397447</v>
      </c>
      <c r="AE60">
        <f t="shared" si="66"/>
        <v>47.320230011264769</v>
      </c>
      <c r="AF60">
        <f t="shared" si="67"/>
        <v>3.622555551159186</v>
      </c>
      <c r="AG60">
        <f t="shared" si="68"/>
        <v>211.62311826673175</v>
      </c>
      <c r="AH60">
        <v>1</v>
      </c>
      <c r="AI60">
        <v>0</v>
      </c>
      <c r="AJ60">
        <f t="shared" si="69"/>
        <v>1</v>
      </c>
      <c r="AK60">
        <f t="shared" si="70"/>
        <v>0</v>
      </c>
      <c r="AL60">
        <f t="shared" si="71"/>
        <v>51699.16458890072</v>
      </c>
      <c r="AM60" t="s">
        <v>416</v>
      </c>
      <c r="AN60">
        <v>10238.9</v>
      </c>
      <c r="AO60">
        <v>302.21199999999999</v>
      </c>
      <c r="AP60">
        <v>4052.3</v>
      </c>
      <c r="AQ60">
        <f t="shared" si="72"/>
        <v>0.92542210596451402</v>
      </c>
      <c r="AR60">
        <v>-0.32343011824092421</v>
      </c>
      <c r="AS60" t="s">
        <v>643</v>
      </c>
      <c r="AT60">
        <v>10491.2</v>
      </c>
      <c r="AU60">
        <v>680.10857692307695</v>
      </c>
      <c r="AV60">
        <v>934.98940157084132</v>
      </c>
      <c r="AW60">
        <f t="shared" si="73"/>
        <v>0.27260290247092478</v>
      </c>
      <c r="AX60">
        <v>0.5</v>
      </c>
      <c r="AY60">
        <f t="shared" si="74"/>
        <v>1513.3026003291411</v>
      </c>
      <c r="AZ60">
        <f t="shared" si="75"/>
        <v>29.943187787679889</v>
      </c>
      <c r="BA60">
        <f t="shared" si="76"/>
        <v>206.26534058326087</v>
      </c>
      <c r="BB60">
        <f t="shared" si="77"/>
        <v>2.0000373949888059E-2</v>
      </c>
      <c r="BC60">
        <f t="shared" si="78"/>
        <v>3.3340598227016049</v>
      </c>
      <c r="BD60">
        <f t="shared" si="79"/>
        <v>242.03154393108551</v>
      </c>
      <c r="BE60" t="s">
        <v>644</v>
      </c>
      <c r="BF60">
        <v>555.67999999999995</v>
      </c>
      <c r="BG60">
        <f t="shared" si="80"/>
        <v>555.67999999999995</v>
      </c>
      <c r="BH60">
        <f t="shared" si="81"/>
        <v>0.40568310286039344</v>
      </c>
      <c r="BI60">
        <f t="shared" si="82"/>
        <v>0.67196020871674011</v>
      </c>
      <c r="BJ60">
        <f t="shared" si="83"/>
        <v>0.89152112566683206</v>
      </c>
      <c r="BK60">
        <f t="shared" si="84"/>
        <v>0.40279697728622138</v>
      </c>
      <c r="BL60">
        <f t="shared" si="85"/>
        <v>0.83126331926855013</v>
      </c>
      <c r="BM60">
        <f t="shared" si="86"/>
        <v>0.54902240825871929</v>
      </c>
      <c r="BN60">
        <f t="shared" si="87"/>
        <v>0.45097759174128071</v>
      </c>
      <c r="BO60">
        <v>5550</v>
      </c>
      <c r="BP60">
        <v>290.00000000000011</v>
      </c>
      <c r="BQ60">
        <v>866.41</v>
      </c>
      <c r="BR60">
        <v>245</v>
      </c>
      <c r="BS60">
        <v>10491.2</v>
      </c>
      <c r="BT60">
        <v>865.07</v>
      </c>
      <c r="BU60">
        <v>1.34</v>
      </c>
      <c r="BV60">
        <v>300.00000000000011</v>
      </c>
      <c r="BW60">
        <v>38.200000000000003</v>
      </c>
      <c r="BX60">
        <v>934.98940157084132</v>
      </c>
      <c r="BY60">
        <v>1.2099307550622149</v>
      </c>
      <c r="BZ60">
        <v>-73.354517747333233</v>
      </c>
      <c r="CA60">
        <v>1.039765146869168</v>
      </c>
      <c r="CB60">
        <v>0.99440579397941087</v>
      </c>
      <c r="CC60">
        <v>-1.1395640266963309E-2</v>
      </c>
      <c r="CD60">
        <v>289.99999999999989</v>
      </c>
      <c r="CE60">
        <v>857.78</v>
      </c>
      <c r="CF60">
        <v>695</v>
      </c>
      <c r="CG60">
        <v>10468.4</v>
      </c>
      <c r="CH60">
        <v>864.92</v>
      </c>
      <c r="CI60">
        <v>-7.14</v>
      </c>
      <c r="CW60">
        <f t="shared" si="88"/>
        <v>1800.14</v>
      </c>
      <c r="CX60">
        <f t="shared" si="89"/>
        <v>1513.3026003291411</v>
      </c>
      <c r="CY60">
        <f t="shared" si="90"/>
        <v>0.84065828231645379</v>
      </c>
      <c r="CZ60">
        <f t="shared" si="91"/>
        <v>0.19131656463290761</v>
      </c>
      <c r="DA60">
        <v>6</v>
      </c>
      <c r="DB60">
        <v>0.5</v>
      </c>
      <c r="DC60" t="s">
        <v>419</v>
      </c>
      <c r="DD60">
        <v>2</v>
      </c>
      <c r="DE60">
        <v>1693332141.5999999</v>
      </c>
      <c r="DF60">
        <v>262.73099999999999</v>
      </c>
      <c r="DG60">
        <v>299.98599999999999</v>
      </c>
      <c r="DH60">
        <v>28.616199999999999</v>
      </c>
      <c r="DI60">
        <v>23.758900000000001</v>
      </c>
      <c r="DJ60">
        <v>264.11099999999999</v>
      </c>
      <c r="DK60">
        <v>28.228400000000001</v>
      </c>
      <c r="DL60">
        <v>499.86900000000003</v>
      </c>
      <c r="DM60">
        <v>98.9482</v>
      </c>
      <c r="DN60">
        <v>9.8802600000000004E-2</v>
      </c>
      <c r="DO60">
        <v>30.3172</v>
      </c>
      <c r="DP60">
        <v>30.015499999999999</v>
      </c>
      <c r="DQ60">
        <v>999.9</v>
      </c>
      <c r="DR60">
        <v>0</v>
      </c>
      <c r="DS60">
        <v>0</v>
      </c>
      <c r="DT60">
        <v>9990</v>
      </c>
      <c r="DU60">
        <v>0</v>
      </c>
      <c r="DV60">
        <v>1703.28</v>
      </c>
      <c r="DW60">
        <v>-37.254600000000003</v>
      </c>
      <c r="DX60">
        <v>270.471</v>
      </c>
      <c r="DY60">
        <v>307.28699999999998</v>
      </c>
      <c r="DZ60">
        <v>4.8573199999999996</v>
      </c>
      <c r="EA60">
        <v>299.98599999999999</v>
      </c>
      <c r="EB60">
        <v>23.758900000000001</v>
      </c>
      <c r="EC60">
        <v>2.8315199999999998</v>
      </c>
      <c r="ED60">
        <v>2.3509000000000002</v>
      </c>
      <c r="EE60">
        <v>23.068999999999999</v>
      </c>
      <c r="EF60">
        <v>20.029499999999999</v>
      </c>
      <c r="EG60">
        <v>1800.14</v>
      </c>
      <c r="EH60">
        <v>0.97799800000000003</v>
      </c>
      <c r="EI60">
        <v>2.2001799999999998E-2</v>
      </c>
      <c r="EJ60">
        <v>0</v>
      </c>
      <c r="EK60">
        <v>678.87199999999996</v>
      </c>
      <c r="EL60">
        <v>4.9995000000000003</v>
      </c>
      <c r="EM60">
        <v>13296.2</v>
      </c>
      <c r="EN60">
        <v>16661.099999999999</v>
      </c>
      <c r="EO60">
        <v>46.686999999999998</v>
      </c>
      <c r="EP60">
        <v>48.686999999999998</v>
      </c>
      <c r="EQ60">
        <v>47.625</v>
      </c>
      <c r="ER60">
        <v>47.625</v>
      </c>
      <c r="ES60">
        <v>48.186999999999998</v>
      </c>
      <c r="ET60">
        <v>1755.64</v>
      </c>
      <c r="EU60">
        <v>39.5</v>
      </c>
      <c r="EV60">
        <v>0</v>
      </c>
      <c r="EW60">
        <v>110.5999999046326</v>
      </c>
      <c r="EX60">
        <v>0</v>
      </c>
      <c r="EY60">
        <v>680.10857692307695</v>
      </c>
      <c r="EZ60">
        <v>-8.6093333500497184</v>
      </c>
      <c r="FA60">
        <v>-181.05982912233529</v>
      </c>
      <c r="FB60">
        <v>13316</v>
      </c>
      <c r="FC60">
        <v>15</v>
      </c>
      <c r="FD60">
        <v>1693332109.5999999</v>
      </c>
      <c r="FE60" t="s">
        <v>645</v>
      </c>
      <c r="FF60">
        <v>1693332109.5999999</v>
      </c>
      <c r="FG60">
        <v>1693332107.0999999</v>
      </c>
      <c r="FH60">
        <v>49</v>
      </c>
      <c r="FI60">
        <v>0.16400000000000001</v>
      </c>
      <c r="FJ60">
        <v>-2E-3</v>
      </c>
      <c r="FK60">
        <v>-1.444</v>
      </c>
      <c r="FL60">
        <v>0.16800000000000001</v>
      </c>
      <c r="FM60">
        <v>300</v>
      </c>
      <c r="FN60">
        <v>24</v>
      </c>
      <c r="FO60">
        <v>0.22</v>
      </c>
      <c r="FP60">
        <v>0.09</v>
      </c>
      <c r="FQ60">
        <v>30.03910978034942</v>
      </c>
      <c r="FR60">
        <v>-0.20927587873325909</v>
      </c>
      <c r="FS60">
        <v>0.1232284620405855</v>
      </c>
      <c r="FT60">
        <v>1</v>
      </c>
      <c r="FU60">
        <v>0.29028521684724168</v>
      </c>
      <c r="FV60">
        <v>3.7419822596314919E-2</v>
      </c>
      <c r="FW60">
        <v>2.9078411785068911E-3</v>
      </c>
      <c r="FX60">
        <v>1</v>
      </c>
      <c r="FY60">
        <v>2</v>
      </c>
      <c r="FZ60">
        <v>2</v>
      </c>
      <c r="GA60" t="s">
        <v>421</v>
      </c>
      <c r="GB60">
        <v>2.9678</v>
      </c>
      <c r="GC60">
        <v>2.8104100000000001</v>
      </c>
      <c r="GD60">
        <v>6.8654699999999999E-2</v>
      </c>
      <c r="GE60">
        <v>7.5515100000000002E-2</v>
      </c>
      <c r="GF60">
        <v>0.13377700000000001</v>
      </c>
      <c r="GG60">
        <v>0.116924</v>
      </c>
      <c r="GH60">
        <v>27442</v>
      </c>
      <c r="GI60">
        <v>25103.7</v>
      </c>
      <c r="GJ60">
        <v>26489.7</v>
      </c>
      <c r="GK60">
        <v>25627.8</v>
      </c>
      <c r="GL60">
        <v>31229.5</v>
      </c>
      <c r="GM60">
        <v>31905.3</v>
      </c>
      <c r="GN60">
        <v>37503.199999999997</v>
      </c>
      <c r="GO60">
        <v>37945.300000000003</v>
      </c>
      <c r="GP60">
        <v>1.9381999999999999</v>
      </c>
      <c r="GQ60">
        <v>1.8723000000000001</v>
      </c>
      <c r="GR60">
        <v>3.0249399999999999E-2</v>
      </c>
      <c r="GS60">
        <v>0</v>
      </c>
      <c r="GT60">
        <v>29.523</v>
      </c>
      <c r="GU60">
        <v>999.9</v>
      </c>
      <c r="GV60">
        <v>27.5</v>
      </c>
      <c r="GW60">
        <v>47.3</v>
      </c>
      <c r="GX60">
        <v>30.133700000000001</v>
      </c>
      <c r="GY60">
        <v>61.458199999999998</v>
      </c>
      <c r="GZ60">
        <v>13.978400000000001</v>
      </c>
      <c r="HA60">
        <v>1</v>
      </c>
      <c r="HB60">
        <v>0.49054900000000001</v>
      </c>
      <c r="HC60">
        <v>3.4173900000000001</v>
      </c>
      <c r="HD60">
        <v>20.2102</v>
      </c>
      <c r="HE60">
        <v>5.1981200000000003</v>
      </c>
      <c r="HF60">
        <v>11.9375</v>
      </c>
      <c r="HG60">
        <v>4.9847999999999999</v>
      </c>
      <c r="HH60">
        <v>3.2881999999999998</v>
      </c>
      <c r="HI60">
        <v>9999</v>
      </c>
      <c r="HJ60">
        <v>9999</v>
      </c>
      <c r="HK60">
        <v>9999</v>
      </c>
      <c r="HL60">
        <v>999.9</v>
      </c>
      <c r="HM60">
        <v>1.87155</v>
      </c>
      <c r="HN60">
        <v>1.87744</v>
      </c>
      <c r="HO60">
        <v>1.8752500000000001</v>
      </c>
      <c r="HP60">
        <v>1.8734599999999999</v>
      </c>
      <c r="HQ60">
        <v>1.87402</v>
      </c>
      <c r="HR60">
        <v>1.87141</v>
      </c>
      <c r="HS60">
        <v>1.8772200000000001</v>
      </c>
      <c r="HT60">
        <v>1.87645</v>
      </c>
      <c r="HU60">
        <v>5</v>
      </c>
      <c r="HV60">
        <v>0</v>
      </c>
      <c r="HW60">
        <v>0</v>
      </c>
      <c r="HX60">
        <v>0</v>
      </c>
      <c r="HY60" t="s">
        <v>422</v>
      </c>
      <c r="HZ60" t="s">
        <v>423</v>
      </c>
      <c r="IA60" t="s">
        <v>424</v>
      </c>
      <c r="IB60" t="s">
        <v>424</v>
      </c>
      <c r="IC60" t="s">
        <v>424</v>
      </c>
      <c r="ID60" t="s">
        <v>424</v>
      </c>
      <c r="IE60">
        <v>0</v>
      </c>
      <c r="IF60">
        <v>100</v>
      </c>
      <c r="IG60">
        <v>100</v>
      </c>
      <c r="IH60">
        <v>-1.38</v>
      </c>
      <c r="II60">
        <v>0.38779999999999998</v>
      </c>
      <c r="IJ60">
        <v>-0.79651808073158703</v>
      </c>
      <c r="IK60">
        <v>-2.677719669153116E-3</v>
      </c>
      <c r="IL60">
        <v>1.9353498771248068E-6</v>
      </c>
      <c r="IM60">
        <v>-6.1862177325538213E-10</v>
      </c>
      <c r="IN60">
        <v>-0.2373029413257928</v>
      </c>
      <c r="IO60">
        <v>-1.5299015507423901E-2</v>
      </c>
      <c r="IP60">
        <v>1.742162107778985E-3</v>
      </c>
      <c r="IQ60">
        <v>-1.472690239905804E-5</v>
      </c>
      <c r="IR60">
        <v>3</v>
      </c>
      <c r="IS60">
        <v>2255</v>
      </c>
      <c r="IT60">
        <v>2</v>
      </c>
      <c r="IU60">
        <v>41</v>
      </c>
      <c r="IV60">
        <v>0.5</v>
      </c>
      <c r="IW60">
        <v>0.6</v>
      </c>
      <c r="IX60">
        <v>0.76538099999999998</v>
      </c>
      <c r="IY60">
        <v>2.5622600000000002</v>
      </c>
      <c r="IZ60">
        <v>1.5991200000000001</v>
      </c>
      <c r="JA60">
        <v>2.2717299999999998</v>
      </c>
      <c r="JB60">
        <v>1.5502899999999999</v>
      </c>
      <c r="JC60">
        <v>2.34009</v>
      </c>
      <c r="JD60">
        <v>52.720100000000002</v>
      </c>
      <c r="JE60">
        <v>23.719799999999999</v>
      </c>
      <c r="JF60">
        <v>18</v>
      </c>
      <c r="JG60">
        <v>501.95100000000002</v>
      </c>
      <c r="JH60">
        <v>429.88799999999998</v>
      </c>
      <c r="JI60">
        <v>25.340399999999999</v>
      </c>
      <c r="JJ60">
        <v>33.505899999999997</v>
      </c>
      <c r="JK60">
        <v>30.0001</v>
      </c>
      <c r="JL60">
        <v>33.500399999999999</v>
      </c>
      <c r="JM60">
        <v>33.4801</v>
      </c>
      <c r="JN60">
        <v>15.364800000000001</v>
      </c>
      <c r="JO60">
        <v>18.944299999999998</v>
      </c>
      <c r="JP60">
        <v>0</v>
      </c>
      <c r="JQ60">
        <v>25.3386</v>
      </c>
      <c r="JR60">
        <v>300</v>
      </c>
      <c r="JS60">
        <v>23.6799</v>
      </c>
      <c r="JT60">
        <v>98.907200000000003</v>
      </c>
      <c r="JU60">
        <v>98.540400000000005</v>
      </c>
    </row>
    <row r="61" spans="1:281" x14ac:dyDescent="0.25">
      <c r="A61">
        <v>45</v>
      </c>
      <c r="B61">
        <v>1693332263.0999999</v>
      </c>
      <c r="C61">
        <v>9966</v>
      </c>
      <c r="D61" t="s">
        <v>646</v>
      </c>
      <c r="E61" t="s">
        <v>647</v>
      </c>
      <c r="F61" t="s">
        <v>413</v>
      </c>
      <c r="G61" t="s">
        <v>636</v>
      </c>
      <c r="H61" t="s">
        <v>637</v>
      </c>
      <c r="I61" t="s">
        <v>415</v>
      </c>
      <c r="J61">
        <v>1693332263.0999999</v>
      </c>
      <c r="K61">
        <f t="shared" si="46"/>
        <v>4.5057177589020204E-3</v>
      </c>
      <c r="L61">
        <f t="shared" si="47"/>
        <v>4.5057177589020201</v>
      </c>
      <c r="M61">
        <f t="shared" si="48"/>
        <v>20.886428768953525</v>
      </c>
      <c r="N61">
        <f t="shared" si="49"/>
        <v>174.01300000000001</v>
      </c>
      <c r="O61">
        <f t="shared" si="50"/>
        <v>61.939817380023477</v>
      </c>
      <c r="P61">
        <f t="shared" si="51"/>
        <v>6.1344853844781495</v>
      </c>
      <c r="Q61">
        <f t="shared" si="52"/>
        <v>17.234151638837002</v>
      </c>
      <c r="R61">
        <f t="shared" si="53"/>
        <v>0.32176590889689999</v>
      </c>
      <c r="S61">
        <f t="shared" si="54"/>
        <v>2.9143711325243156</v>
      </c>
      <c r="T61">
        <f t="shared" si="55"/>
        <v>0.30325231876456543</v>
      </c>
      <c r="U61">
        <f t="shared" si="56"/>
        <v>0.19110724499851878</v>
      </c>
      <c r="V61">
        <f t="shared" si="57"/>
        <v>344.34530065838101</v>
      </c>
      <c r="W61">
        <f t="shared" si="58"/>
        <v>31.133683775559611</v>
      </c>
      <c r="X61">
        <f t="shared" si="59"/>
        <v>29.9847</v>
      </c>
      <c r="Y61">
        <f t="shared" si="60"/>
        <v>4.2567070397567157</v>
      </c>
      <c r="Z61">
        <f t="shared" si="61"/>
        <v>65.576196541625691</v>
      </c>
      <c r="AA61">
        <f t="shared" si="62"/>
        <v>2.8378862755909</v>
      </c>
      <c r="AB61">
        <f t="shared" si="63"/>
        <v>4.3276164603256611</v>
      </c>
      <c r="AC61">
        <f t="shared" si="64"/>
        <v>1.4188207641658157</v>
      </c>
      <c r="AD61">
        <f t="shared" si="65"/>
        <v>-198.7021531675791</v>
      </c>
      <c r="AE61">
        <f t="shared" si="66"/>
        <v>45.234726073385872</v>
      </c>
      <c r="AF61">
        <f t="shared" si="67"/>
        <v>3.4555674148617963</v>
      </c>
      <c r="AG61">
        <f t="shared" si="68"/>
        <v>194.33344097904956</v>
      </c>
      <c r="AH61">
        <v>1</v>
      </c>
      <c r="AI61">
        <v>0</v>
      </c>
      <c r="AJ61">
        <f t="shared" si="69"/>
        <v>1</v>
      </c>
      <c r="AK61">
        <f t="shared" si="70"/>
        <v>0</v>
      </c>
      <c r="AL61">
        <f t="shared" si="71"/>
        <v>51851.057031434786</v>
      </c>
      <c r="AM61" t="s">
        <v>416</v>
      </c>
      <c r="AN61">
        <v>10238.9</v>
      </c>
      <c r="AO61">
        <v>302.21199999999999</v>
      </c>
      <c r="AP61">
        <v>4052.3</v>
      </c>
      <c r="AQ61">
        <f t="shared" si="72"/>
        <v>0.92542210596451402</v>
      </c>
      <c r="AR61">
        <v>-0.32343011824092421</v>
      </c>
      <c r="AS61" t="s">
        <v>648</v>
      </c>
      <c r="AT61">
        <v>10492.7</v>
      </c>
      <c r="AU61">
        <v>649.26335999999992</v>
      </c>
      <c r="AV61">
        <v>817.56643138159507</v>
      </c>
      <c r="AW61">
        <f t="shared" si="73"/>
        <v>0.20585858827053594</v>
      </c>
      <c r="AX61">
        <v>0.5</v>
      </c>
      <c r="AY61">
        <f t="shared" si="74"/>
        <v>1513.0758003291903</v>
      </c>
      <c r="AZ61">
        <f t="shared" si="75"/>
        <v>20.886428768953525</v>
      </c>
      <c r="BA61">
        <f t="shared" si="76"/>
        <v>155.7398241010392</v>
      </c>
      <c r="BB61">
        <f t="shared" si="77"/>
        <v>1.4017710733712056E-2</v>
      </c>
      <c r="BC61">
        <f t="shared" si="78"/>
        <v>3.9565391195820871</v>
      </c>
      <c r="BD61">
        <f t="shared" si="79"/>
        <v>233.35566194130882</v>
      </c>
      <c r="BE61" t="s">
        <v>649</v>
      </c>
      <c r="BF61">
        <v>539.89</v>
      </c>
      <c r="BG61">
        <f t="shared" si="80"/>
        <v>539.89</v>
      </c>
      <c r="BH61">
        <f t="shared" si="81"/>
        <v>0.33963775997059131</v>
      </c>
      <c r="BI61">
        <f t="shared" si="82"/>
        <v>0.60611219520574189</v>
      </c>
      <c r="BJ61">
        <f t="shared" si="83"/>
        <v>0.92094418607691153</v>
      </c>
      <c r="BK61">
        <f t="shared" si="84"/>
        <v>0.32657732452284832</v>
      </c>
      <c r="BL61">
        <f t="shared" si="85"/>
        <v>0.86257537652940541</v>
      </c>
      <c r="BM61">
        <f t="shared" si="86"/>
        <v>0.50400797770203454</v>
      </c>
      <c r="BN61">
        <f t="shared" si="87"/>
        <v>0.49599202229796546</v>
      </c>
      <c r="BO61">
        <v>5552</v>
      </c>
      <c r="BP61">
        <v>290.00000000000011</v>
      </c>
      <c r="BQ61">
        <v>775.7</v>
      </c>
      <c r="BR61">
        <v>235</v>
      </c>
      <c r="BS61">
        <v>10492.7</v>
      </c>
      <c r="BT61">
        <v>775.5</v>
      </c>
      <c r="BU61">
        <v>0.2</v>
      </c>
      <c r="BV61">
        <v>300.00000000000011</v>
      </c>
      <c r="BW61">
        <v>38.200000000000003</v>
      </c>
      <c r="BX61">
        <v>817.56643138159507</v>
      </c>
      <c r="BY61">
        <v>0.98416581414666249</v>
      </c>
      <c r="BZ61">
        <v>-44.143433932742553</v>
      </c>
      <c r="CA61">
        <v>0.84574268017900711</v>
      </c>
      <c r="CB61">
        <v>0.9898267090073376</v>
      </c>
      <c r="CC61">
        <v>-1.1395291657397111E-2</v>
      </c>
      <c r="CD61">
        <v>289.99999999999989</v>
      </c>
      <c r="CE61">
        <v>772.36</v>
      </c>
      <c r="CF61">
        <v>665</v>
      </c>
      <c r="CG61">
        <v>10471.1</v>
      </c>
      <c r="CH61">
        <v>775.41</v>
      </c>
      <c r="CI61">
        <v>-3.05</v>
      </c>
      <c r="CW61">
        <f t="shared" si="88"/>
        <v>1799.87</v>
      </c>
      <c r="CX61">
        <f t="shared" si="89"/>
        <v>1513.0758003291903</v>
      </c>
      <c r="CY61">
        <f t="shared" si="90"/>
        <v>0.84065838106596058</v>
      </c>
      <c r="CZ61">
        <f t="shared" si="91"/>
        <v>0.19131676213192123</v>
      </c>
      <c r="DA61">
        <v>6</v>
      </c>
      <c r="DB61">
        <v>0.5</v>
      </c>
      <c r="DC61" t="s">
        <v>419</v>
      </c>
      <c r="DD61">
        <v>2</v>
      </c>
      <c r="DE61">
        <v>1693332263.0999999</v>
      </c>
      <c r="DF61">
        <v>174.01300000000001</v>
      </c>
      <c r="DG61">
        <v>200.00899999999999</v>
      </c>
      <c r="DH61">
        <v>28.6541</v>
      </c>
      <c r="DI61">
        <v>23.4039</v>
      </c>
      <c r="DJ61">
        <v>175.17699999999999</v>
      </c>
      <c r="DK61">
        <v>28.262599999999999</v>
      </c>
      <c r="DL61">
        <v>500.16500000000002</v>
      </c>
      <c r="DM61">
        <v>98.939400000000006</v>
      </c>
      <c r="DN61">
        <v>0.100049</v>
      </c>
      <c r="DO61">
        <v>30.272600000000001</v>
      </c>
      <c r="DP61">
        <v>29.9847</v>
      </c>
      <c r="DQ61">
        <v>999.9</v>
      </c>
      <c r="DR61">
        <v>0</v>
      </c>
      <c r="DS61">
        <v>0</v>
      </c>
      <c r="DT61">
        <v>10020</v>
      </c>
      <c r="DU61">
        <v>0</v>
      </c>
      <c r="DV61">
        <v>1663.86</v>
      </c>
      <c r="DW61">
        <v>-25.995999999999999</v>
      </c>
      <c r="DX61">
        <v>179.14599999999999</v>
      </c>
      <c r="DY61">
        <v>204.80199999999999</v>
      </c>
      <c r="DZ61">
        <v>5.2501699999999998</v>
      </c>
      <c r="EA61">
        <v>200.00899999999999</v>
      </c>
      <c r="EB61">
        <v>23.4039</v>
      </c>
      <c r="EC61">
        <v>2.8350200000000001</v>
      </c>
      <c r="ED61">
        <v>2.3155700000000001</v>
      </c>
      <c r="EE61">
        <v>23.089400000000001</v>
      </c>
      <c r="EF61">
        <v>19.7851</v>
      </c>
      <c r="EG61">
        <v>1799.87</v>
      </c>
      <c r="EH61">
        <v>0.97799499999999995</v>
      </c>
      <c r="EI61">
        <v>2.2005400000000001E-2</v>
      </c>
      <c r="EJ61">
        <v>0</v>
      </c>
      <c r="EK61">
        <v>648.47199999999998</v>
      </c>
      <c r="EL61">
        <v>4.9995000000000003</v>
      </c>
      <c r="EM61">
        <v>12726.7</v>
      </c>
      <c r="EN61">
        <v>16658.599999999999</v>
      </c>
      <c r="EO61">
        <v>46.625</v>
      </c>
      <c r="EP61">
        <v>48.625</v>
      </c>
      <c r="EQ61">
        <v>47.5</v>
      </c>
      <c r="ER61">
        <v>47.561999999999998</v>
      </c>
      <c r="ES61">
        <v>48.125</v>
      </c>
      <c r="ET61">
        <v>1755.37</v>
      </c>
      <c r="EU61">
        <v>39.5</v>
      </c>
      <c r="EV61">
        <v>0</v>
      </c>
      <c r="EW61">
        <v>119.6000001430511</v>
      </c>
      <c r="EX61">
        <v>0</v>
      </c>
      <c r="EY61">
        <v>649.26335999999992</v>
      </c>
      <c r="EZ61">
        <v>-4.49053845582878</v>
      </c>
      <c r="FA61">
        <v>-58.453846136720472</v>
      </c>
      <c r="FB61">
        <v>12734.744000000001</v>
      </c>
      <c r="FC61">
        <v>15</v>
      </c>
      <c r="FD61">
        <v>1693332224.0999999</v>
      </c>
      <c r="FE61" t="s">
        <v>650</v>
      </c>
      <c r="FF61">
        <v>1693332209.0999999</v>
      </c>
      <c r="FG61">
        <v>1693332224.0999999</v>
      </c>
      <c r="FH61">
        <v>50</v>
      </c>
      <c r="FI61">
        <v>4.4999999999999998E-2</v>
      </c>
      <c r="FJ61">
        <v>2E-3</v>
      </c>
      <c r="FK61">
        <v>-1.216</v>
      </c>
      <c r="FL61">
        <v>0.16700000000000001</v>
      </c>
      <c r="FM61">
        <v>200</v>
      </c>
      <c r="FN61">
        <v>23</v>
      </c>
      <c r="FO61">
        <v>0.16</v>
      </c>
      <c r="FP61">
        <v>0.05</v>
      </c>
      <c r="FQ61">
        <v>20.782459187269311</v>
      </c>
      <c r="FR61">
        <v>0.43096208150746529</v>
      </c>
      <c r="FS61">
        <v>5.7095330713783123E-2</v>
      </c>
      <c r="FT61">
        <v>1</v>
      </c>
      <c r="FU61">
        <v>0.31906072151967402</v>
      </c>
      <c r="FV61">
        <v>4.9646434203076413E-2</v>
      </c>
      <c r="FW61">
        <v>4.0348860389531668E-3</v>
      </c>
      <c r="FX61">
        <v>1</v>
      </c>
      <c r="FY61">
        <v>2</v>
      </c>
      <c r="FZ61">
        <v>2</v>
      </c>
      <c r="GA61" t="s">
        <v>421</v>
      </c>
      <c r="GB61">
        <v>2.9685100000000002</v>
      </c>
      <c r="GC61">
        <v>2.8119200000000002</v>
      </c>
      <c r="GD61">
        <v>4.7863999999999997E-2</v>
      </c>
      <c r="GE61">
        <v>5.3320800000000002E-2</v>
      </c>
      <c r="GF61">
        <v>0.13386500000000001</v>
      </c>
      <c r="GG61">
        <v>0.115679</v>
      </c>
      <c r="GH61">
        <v>28052.400000000001</v>
      </c>
      <c r="GI61">
        <v>25703.7</v>
      </c>
      <c r="GJ61">
        <v>26487.9</v>
      </c>
      <c r="GK61">
        <v>25625.200000000001</v>
      </c>
      <c r="GL61">
        <v>31222.7</v>
      </c>
      <c r="GM61">
        <v>31946.3</v>
      </c>
      <c r="GN61">
        <v>37500.199999999997</v>
      </c>
      <c r="GO61">
        <v>37942.400000000001</v>
      </c>
      <c r="GP61">
        <v>1.9379999999999999</v>
      </c>
      <c r="GQ61">
        <v>1.8696999999999999</v>
      </c>
      <c r="GR61">
        <v>2.7269100000000001E-2</v>
      </c>
      <c r="GS61">
        <v>0</v>
      </c>
      <c r="GT61">
        <v>29.540800000000001</v>
      </c>
      <c r="GU61">
        <v>999.9</v>
      </c>
      <c r="GV61">
        <v>27.4</v>
      </c>
      <c r="GW61">
        <v>47.4</v>
      </c>
      <c r="GX61">
        <v>30.178899999999999</v>
      </c>
      <c r="GY61">
        <v>61.528199999999998</v>
      </c>
      <c r="GZ61">
        <v>14.3429</v>
      </c>
      <c r="HA61">
        <v>1</v>
      </c>
      <c r="HB61">
        <v>0.49414599999999997</v>
      </c>
      <c r="HC61">
        <v>3.1719599999999999</v>
      </c>
      <c r="HD61">
        <v>20.216999999999999</v>
      </c>
      <c r="HE61">
        <v>5.2112999999999996</v>
      </c>
      <c r="HF61">
        <v>11.9375</v>
      </c>
      <c r="HG61">
        <v>4.9871999999999996</v>
      </c>
      <c r="HH61">
        <v>3.2909999999999999</v>
      </c>
      <c r="HI61">
        <v>9999</v>
      </c>
      <c r="HJ61">
        <v>9999</v>
      </c>
      <c r="HK61">
        <v>9999</v>
      </c>
      <c r="HL61">
        <v>999.9</v>
      </c>
      <c r="HM61">
        <v>1.8715999999999999</v>
      </c>
      <c r="HN61">
        <v>1.87744</v>
      </c>
      <c r="HO61">
        <v>1.87521</v>
      </c>
      <c r="HP61">
        <v>1.87344</v>
      </c>
      <c r="HQ61">
        <v>1.8740000000000001</v>
      </c>
      <c r="HR61">
        <v>1.8713599999999999</v>
      </c>
      <c r="HS61">
        <v>1.8771899999999999</v>
      </c>
      <c r="HT61">
        <v>1.87643</v>
      </c>
      <c r="HU61">
        <v>5</v>
      </c>
      <c r="HV61">
        <v>0</v>
      </c>
      <c r="HW61">
        <v>0</v>
      </c>
      <c r="HX61">
        <v>0</v>
      </c>
      <c r="HY61" t="s">
        <v>422</v>
      </c>
      <c r="HZ61" t="s">
        <v>423</v>
      </c>
      <c r="IA61" t="s">
        <v>424</v>
      </c>
      <c r="IB61" t="s">
        <v>424</v>
      </c>
      <c r="IC61" t="s">
        <v>424</v>
      </c>
      <c r="ID61" t="s">
        <v>424</v>
      </c>
      <c r="IE61">
        <v>0</v>
      </c>
      <c r="IF61">
        <v>100</v>
      </c>
      <c r="IG61">
        <v>100</v>
      </c>
      <c r="IH61">
        <v>-1.1639999999999999</v>
      </c>
      <c r="II61">
        <v>0.39150000000000001</v>
      </c>
      <c r="IJ61">
        <v>-0.75099210184848753</v>
      </c>
      <c r="IK61">
        <v>-2.677719669153116E-3</v>
      </c>
      <c r="IL61">
        <v>1.9353498771248068E-6</v>
      </c>
      <c r="IM61">
        <v>-6.1862177325538213E-10</v>
      </c>
      <c r="IN61">
        <v>-0.23528010420887219</v>
      </c>
      <c r="IO61">
        <v>-1.5299015507423901E-2</v>
      </c>
      <c r="IP61">
        <v>1.742162107778985E-3</v>
      </c>
      <c r="IQ61">
        <v>-1.472690239905804E-5</v>
      </c>
      <c r="IR61">
        <v>3</v>
      </c>
      <c r="IS61">
        <v>2255</v>
      </c>
      <c r="IT61">
        <v>2</v>
      </c>
      <c r="IU61">
        <v>41</v>
      </c>
      <c r="IV61">
        <v>0.9</v>
      </c>
      <c r="IW61">
        <v>0.7</v>
      </c>
      <c r="IX61">
        <v>0.56274400000000002</v>
      </c>
      <c r="IY61">
        <v>2.5634800000000002</v>
      </c>
      <c r="IZ61">
        <v>1.5991200000000001</v>
      </c>
      <c r="JA61">
        <v>2.2717299999999998</v>
      </c>
      <c r="JB61">
        <v>1.5502899999999999</v>
      </c>
      <c r="JC61">
        <v>2.4389599999999998</v>
      </c>
      <c r="JD61">
        <v>52.720100000000002</v>
      </c>
      <c r="JE61">
        <v>23.745999999999999</v>
      </c>
      <c r="JF61">
        <v>18</v>
      </c>
      <c r="JG61">
        <v>502.17099999999999</v>
      </c>
      <c r="JH61">
        <v>428.60500000000002</v>
      </c>
      <c r="JI61">
        <v>25.411999999999999</v>
      </c>
      <c r="JJ61">
        <v>33.569099999999999</v>
      </c>
      <c r="JK61">
        <v>30.0002</v>
      </c>
      <c r="JL61">
        <v>33.545299999999997</v>
      </c>
      <c r="JM61">
        <v>33.518900000000002</v>
      </c>
      <c r="JN61">
        <v>11.3118</v>
      </c>
      <c r="JO61">
        <v>20.103899999999999</v>
      </c>
      <c r="JP61">
        <v>0</v>
      </c>
      <c r="JQ61">
        <v>25.401</v>
      </c>
      <c r="JR61">
        <v>200</v>
      </c>
      <c r="JS61">
        <v>23.300699999999999</v>
      </c>
      <c r="JT61">
        <v>98.899600000000007</v>
      </c>
      <c r="JU61">
        <v>98.531899999999993</v>
      </c>
    </row>
    <row r="62" spans="1:281" x14ac:dyDescent="0.25">
      <c r="A62">
        <v>46</v>
      </c>
      <c r="B62">
        <v>1693332370.0999999</v>
      </c>
      <c r="C62">
        <v>10073</v>
      </c>
      <c r="D62" t="s">
        <v>651</v>
      </c>
      <c r="E62" t="s">
        <v>652</v>
      </c>
      <c r="F62" t="s">
        <v>413</v>
      </c>
      <c r="G62" t="s">
        <v>636</v>
      </c>
      <c r="H62" t="s">
        <v>637</v>
      </c>
      <c r="I62" t="s">
        <v>415</v>
      </c>
      <c r="J62">
        <v>1693332370.0999999</v>
      </c>
      <c r="K62">
        <f t="shared" si="46"/>
        <v>4.7234233891067902E-3</v>
      </c>
      <c r="L62">
        <f t="shared" si="47"/>
        <v>4.7234233891067898</v>
      </c>
      <c r="M62">
        <f t="shared" si="48"/>
        <v>13.00537487923887</v>
      </c>
      <c r="N62">
        <f t="shared" si="49"/>
        <v>103.833</v>
      </c>
      <c r="O62">
        <f t="shared" si="50"/>
        <v>36.549082721402854</v>
      </c>
      <c r="P62">
        <f t="shared" si="51"/>
        <v>3.6198479724446395</v>
      </c>
      <c r="Q62">
        <f t="shared" si="52"/>
        <v>10.2836965126554</v>
      </c>
      <c r="R62">
        <f t="shared" si="53"/>
        <v>0.33437077872334298</v>
      </c>
      <c r="S62">
        <f t="shared" si="54"/>
        <v>2.9170133165298551</v>
      </c>
      <c r="T62">
        <f t="shared" si="55"/>
        <v>0.31444343013186765</v>
      </c>
      <c r="U62">
        <f t="shared" si="56"/>
        <v>0.19821849596664629</v>
      </c>
      <c r="V62">
        <f t="shared" si="57"/>
        <v>344.37000065833354</v>
      </c>
      <c r="W62">
        <f t="shared" si="58"/>
        <v>31.165639674453029</v>
      </c>
      <c r="X62">
        <f t="shared" si="59"/>
        <v>30.048100000000002</v>
      </c>
      <c r="Y62">
        <f t="shared" si="60"/>
        <v>4.2722348283234313</v>
      </c>
      <c r="Z62">
        <f t="shared" si="61"/>
        <v>65.241641997544519</v>
      </c>
      <c r="AA62">
        <f t="shared" si="62"/>
        <v>2.8378933781584399</v>
      </c>
      <c r="AB62">
        <f t="shared" si="63"/>
        <v>4.3498190592217911</v>
      </c>
      <c r="AC62">
        <f t="shared" si="64"/>
        <v>1.4343414501649914</v>
      </c>
      <c r="AD62">
        <f t="shared" si="65"/>
        <v>-208.30297145960944</v>
      </c>
      <c r="AE62">
        <f t="shared" si="66"/>
        <v>49.34882247873324</v>
      </c>
      <c r="AF62">
        <f t="shared" si="67"/>
        <v>3.7692833229131035</v>
      </c>
      <c r="AG62">
        <f t="shared" si="68"/>
        <v>189.18513500037045</v>
      </c>
      <c r="AH62">
        <v>0</v>
      </c>
      <c r="AI62">
        <v>0</v>
      </c>
      <c r="AJ62">
        <f t="shared" si="69"/>
        <v>1</v>
      </c>
      <c r="AK62">
        <f t="shared" si="70"/>
        <v>0</v>
      </c>
      <c r="AL62">
        <f t="shared" si="71"/>
        <v>51910.90150977944</v>
      </c>
      <c r="AM62" t="s">
        <v>416</v>
      </c>
      <c r="AN62">
        <v>10238.9</v>
      </c>
      <c r="AO62">
        <v>302.21199999999999</v>
      </c>
      <c r="AP62">
        <v>4052.3</v>
      </c>
      <c r="AQ62">
        <f t="shared" si="72"/>
        <v>0.92542210596451402</v>
      </c>
      <c r="AR62">
        <v>-0.32343011824092421</v>
      </c>
      <c r="AS62" t="s">
        <v>653</v>
      </c>
      <c r="AT62">
        <v>10496.6</v>
      </c>
      <c r="AU62">
        <v>646.0460384615385</v>
      </c>
      <c r="AV62">
        <v>752.09518831295384</v>
      </c>
      <c r="AW62">
        <f t="shared" si="73"/>
        <v>0.14100495721731343</v>
      </c>
      <c r="AX62">
        <v>0.5</v>
      </c>
      <c r="AY62">
        <f t="shared" si="74"/>
        <v>1513.1850003291668</v>
      </c>
      <c r="AZ62">
        <f t="shared" si="75"/>
        <v>13.00537487923887</v>
      </c>
      <c r="BA62">
        <f t="shared" si="76"/>
        <v>106.68329311664729</v>
      </c>
      <c r="BB62">
        <f t="shared" si="77"/>
        <v>8.8084437755993807E-3</v>
      </c>
      <c r="BC62">
        <f t="shared" si="78"/>
        <v>4.388014792502303</v>
      </c>
      <c r="BD62">
        <f t="shared" si="79"/>
        <v>227.69805986970161</v>
      </c>
      <c r="BE62" t="s">
        <v>654</v>
      </c>
      <c r="BF62">
        <v>537.28</v>
      </c>
      <c r="BG62">
        <f t="shared" si="80"/>
        <v>537.28</v>
      </c>
      <c r="BH62">
        <f t="shared" si="81"/>
        <v>0.28562234096299954</v>
      </c>
      <c r="BI62">
        <f t="shared" si="82"/>
        <v>0.49367621854055055</v>
      </c>
      <c r="BJ62">
        <f t="shared" si="83"/>
        <v>0.93888649614711894</v>
      </c>
      <c r="BK62">
        <f t="shared" si="84"/>
        <v>0.23572596755414649</v>
      </c>
      <c r="BL62">
        <f t="shared" si="85"/>
        <v>0.88003396498616737</v>
      </c>
      <c r="BM62">
        <f t="shared" si="86"/>
        <v>0.41056262697485429</v>
      </c>
      <c r="BN62">
        <f t="shared" si="87"/>
        <v>0.58943737302514565</v>
      </c>
      <c r="BO62">
        <v>5554</v>
      </c>
      <c r="BP62">
        <v>290.00000000000011</v>
      </c>
      <c r="BQ62">
        <v>725.61</v>
      </c>
      <c r="BR62">
        <v>215</v>
      </c>
      <c r="BS62">
        <v>10496.6</v>
      </c>
      <c r="BT62">
        <v>725.33</v>
      </c>
      <c r="BU62">
        <v>0.28000000000000003</v>
      </c>
      <c r="BV62">
        <v>300.00000000000011</v>
      </c>
      <c r="BW62">
        <v>38.200000000000003</v>
      </c>
      <c r="BX62">
        <v>752.09518831295384</v>
      </c>
      <c r="BY62">
        <v>0.84702034633027157</v>
      </c>
      <c r="BZ62">
        <v>-28.091034662537481</v>
      </c>
      <c r="CA62">
        <v>0.72792920149511908</v>
      </c>
      <c r="CB62">
        <v>0.98154512474329292</v>
      </c>
      <c r="CC62">
        <v>-1.1395622024471639E-2</v>
      </c>
      <c r="CD62">
        <v>289.99999999999989</v>
      </c>
      <c r="CE62">
        <v>722.6</v>
      </c>
      <c r="CF62">
        <v>665</v>
      </c>
      <c r="CG62">
        <v>10471.700000000001</v>
      </c>
      <c r="CH62">
        <v>725.27</v>
      </c>
      <c r="CI62">
        <v>-2.67</v>
      </c>
      <c r="CW62">
        <f t="shared" si="88"/>
        <v>1800</v>
      </c>
      <c r="CX62">
        <f t="shared" si="89"/>
        <v>1513.1850003291668</v>
      </c>
      <c r="CY62">
        <f t="shared" si="90"/>
        <v>0.84065833351620378</v>
      </c>
      <c r="CZ62">
        <f t="shared" si="91"/>
        <v>0.19131666703240752</v>
      </c>
      <c r="DA62">
        <v>6</v>
      </c>
      <c r="DB62">
        <v>0.5</v>
      </c>
      <c r="DC62" t="s">
        <v>419</v>
      </c>
      <c r="DD62">
        <v>2</v>
      </c>
      <c r="DE62">
        <v>1693332370.0999999</v>
      </c>
      <c r="DF62">
        <v>103.833</v>
      </c>
      <c r="DG62">
        <v>120.023</v>
      </c>
      <c r="DH62">
        <v>28.6538</v>
      </c>
      <c r="DI62">
        <v>23.149799999999999</v>
      </c>
      <c r="DJ62">
        <v>104.97199999999999</v>
      </c>
      <c r="DK62">
        <v>28.262</v>
      </c>
      <c r="DL62">
        <v>500.154</v>
      </c>
      <c r="DM62">
        <v>98.940799999999996</v>
      </c>
      <c r="DN62">
        <v>9.9933800000000003E-2</v>
      </c>
      <c r="DO62">
        <v>30.361899999999999</v>
      </c>
      <c r="DP62">
        <v>30.048100000000002</v>
      </c>
      <c r="DQ62">
        <v>999.9</v>
      </c>
      <c r="DR62">
        <v>0</v>
      </c>
      <c r="DS62">
        <v>0</v>
      </c>
      <c r="DT62">
        <v>10035</v>
      </c>
      <c r="DU62">
        <v>0</v>
      </c>
      <c r="DV62">
        <v>1700.61</v>
      </c>
      <c r="DW62">
        <v>-16.189699999999998</v>
      </c>
      <c r="DX62">
        <v>106.896</v>
      </c>
      <c r="DY62">
        <v>122.867</v>
      </c>
      <c r="DZ62">
        <v>5.5040100000000001</v>
      </c>
      <c r="EA62">
        <v>120.023</v>
      </c>
      <c r="EB62">
        <v>23.149799999999999</v>
      </c>
      <c r="EC62">
        <v>2.8350300000000002</v>
      </c>
      <c r="ED62">
        <v>2.2904599999999999</v>
      </c>
      <c r="EE62">
        <v>23.089500000000001</v>
      </c>
      <c r="EF62">
        <v>19.609500000000001</v>
      </c>
      <c r="EG62">
        <v>1800</v>
      </c>
      <c r="EH62">
        <v>0.97799499999999995</v>
      </c>
      <c r="EI62">
        <v>2.2005400000000001E-2</v>
      </c>
      <c r="EJ62">
        <v>0</v>
      </c>
      <c r="EK62">
        <v>645.39599999999996</v>
      </c>
      <c r="EL62">
        <v>4.9995000000000003</v>
      </c>
      <c r="EM62">
        <v>12675.2</v>
      </c>
      <c r="EN62">
        <v>16659.7</v>
      </c>
      <c r="EO62">
        <v>46.5</v>
      </c>
      <c r="EP62">
        <v>48.5</v>
      </c>
      <c r="EQ62">
        <v>47.375</v>
      </c>
      <c r="ER62">
        <v>47.5</v>
      </c>
      <c r="ES62">
        <v>48</v>
      </c>
      <c r="ET62">
        <v>1755.5</v>
      </c>
      <c r="EU62">
        <v>39.5</v>
      </c>
      <c r="EV62">
        <v>0</v>
      </c>
      <c r="EW62">
        <v>105.2000000476837</v>
      </c>
      <c r="EX62">
        <v>0</v>
      </c>
      <c r="EY62">
        <v>646.0460384615385</v>
      </c>
      <c r="EZ62">
        <v>-4.4519316359054573</v>
      </c>
      <c r="FA62">
        <v>-75.360683740626484</v>
      </c>
      <c r="FB62">
        <v>12684.457692307689</v>
      </c>
      <c r="FC62">
        <v>15</v>
      </c>
      <c r="FD62">
        <v>1693332341.5999999</v>
      </c>
      <c r="FE62" t="s">
        <v>655</v>
      </c>
      <c r="FF62">
        <v>1693332334.5999999</v>
      </c>
      <c r="FG62">
        <v>1693332341.5999999</v>
      </c>
      <c r="FH62">
        <v>51</v>
      </c>
      <c r="FI62">
        <v>-0.128</v>
      </c>
      <c r="FJ62">
        <v>0</v>
      </c>
      <c r="FK62">
        <v>-1.1759999999999999</v>
      </c>
      <c r="FL62">
        <v>0.155</v>
      </c>
      <c r="FM62">
        <v>120</v>
      </c>
      <c r="FN62">
        <v>23</v>
      </c>
      <c r="FO62">
        <v>0.25</v>
      </c>
      <c r="FP62">
        <v>0.05</v>
      </c>
      <c r="FQ62">
        <v>12.966390825848769</v>
      </c>
      <c r="FR62">
        <v>-0.24276559451247259</v>
      </c>
      <c r="FS62">
        <v>6.7689168587906121E-2</v>
      </c>
      <c r="FT62">
        <v>1</v>
      </c>
      <c r="FU62">
        <v>0.33100760803233992</v>
      </c>
      <c r="FV62">
        <v>3.737736474499067E-2</v>
      </c>
      <c r="FW62">
        <v>4.8362294038649467E-3</v>
      </c>
      <c r="FX62">
        <v>1</v>
      </c>
      <c r="FY62">
        <v>2</v>
      </c>
      <c r="FZ62">
        <v>2</v>
      </c>
      <c r="GA62" t="s">
        <v>421</v>
      </c>
      <c r="GB62">
        <v>2.9684499999999998</v>
      </c>
      <c r="GC62">
        <v>2.8119299999999998</v>
      </c>
      <c r="GD62">
        <v>2.9619800000000002E-2</v>
      </c>
      <c r="GE62">
        <v>3.3274600000000001E-2</v>
      </c>
      <c r="GF62">
        <v>0.133856</v>
      </c>
      <c r="GG62">
        <v>0.11479200000000001</v>
      </c>
      <c r="GH62">
        <v>28588.400000000001</v>
      </c>
      <c r="GI62">
        <v>26246</v>
      </c>
      <c r="GJ62">
        <v>26486.7</v>
      </c>
      <c r="GK62">
        <v>25623.4</v>
      </c>
      <c r="GL62">
        <v>31221.1</v>
      </c>
      <c r="GM62">
        <v>31973.8</v>
      </c>
      <c r="GN62">
        <v>37499.1</v>
      </c>
      <c r="GO62">
        <v>37938.699999999997</v>
      </c>
      <c r="GP62">
        <v>1.9382999999999999</v>
      </c>
      <c r="GQ62">
        <v>1.8678999999999999</v>
      </c>
      <c r="GR62">
        <v>3.3974600000000001E-2</v>
      </c>
      <c r="GS62">
        <v>0</v>
      </c>
      <c r="GT62">
        <v>29.495000000000001</v>
      </c>
      <c r="GU62">
        <v>999.9</v>
      </c>
      <c r="GV62">
        <v>27.2</v>
      </c>
      <c r="GW62">
        <v>47.5</v>
      </c>
      <c r="GX62">
        <v>30.110800000000001</v>
      </c>
      <c r="GY62">
        <v>61.328200000000002</v>
      </c>
      <c r="GZ62">
        <v>13.8101</v>
      </c>
      <c r="HA62">
        <v>1</v>
      </c>
      <c r="HB62">
        <v>0.498506</v>
      </c>
      <c r="HC62">
        <v>3.2705099999999998</v>
      </c>
      <c r="HD62">
        <v>20.214500000000001</v>
      </c>
      <c r="HE62">
        <v>5.2065099999999997</v>
      </c>
      <c r="HF62">
        <v>11.9381</v>
      </c>
      <c r="HG62">
        <v>4.9870000000000001</v>
      </c>
      <c r="HH62">
        <v>3.2909999999999999</v>
      </c>
      <c r="HI62">
        <v>9999</v>
      </c>
      <c r="HJ62">
        <v>9999</v>
      </c>
      <c r="HK62">
        <v>9999</v>
      </c>
      <c r="HL62">
        <v>999.9</v>
      </c>
      <c r="HM62">
        <v>1.8715299999999999</v>
      </c>
      <c r="HN62">
        <v>1.87744</v>
      </c>
      <c r="HO62">
        <v>1.87521</v>
      </c>
      <c r="HP62">
        <v>1.87347</v>
      </c>
      <c r="HQ62">
        <v>1.87398</v>
      </c>
      <c r="HR62">
        <v>1.8713599999999999</v>
      </c>
      <c r="HS62">
        <v>1.87723</v>
      </c>
      <c r="HT62">
        <v>1.87642</v>
      </c>
      <c r="HU62">
        <v>5</v>
      </c>
      <c r="HV62">
        <v>0</v>
      </c>
      <c r="HW62">
        <v>0</v>
      </c>
      <c r="HX62">
        <v>0</v>
      </c>
      <c r="HY62" t="s">
        <v>422</v>
      </c>
      <c r="HZ62" t="s">
        <v>423</v>
      </c>
      <c r="IA62" t="s">
        <v>424</v>
      </c>
      <c r="IB62" t="s">
        <v>424</v>
      </c>
      <c r="IC62" t="s">
        <v>424</v>
      </c>
      <c r="ID62" t="s">
        <v>424</v>
      </c>
      <c r="IE62">
        <v>0</v>
      </c>
      <c r="IF62">
        <v>100</v>
      </c>
      <c r="IG62">
        <v>100</v>
      </c>
      <c r="IH62">
        <v>-1.139</v>
      </c>
      <c r="II62">
        <v>0.39179999999999998</v>
      </c>
      <c r="IJ62">
        <v>-0.87859345730702021</v>
      </c>
      <c r="IK62">
        <v>-2.677719669153116E-3</v>
      </c>
      <c r="IL62">
        <v>1.9353498771248068E-6</v>
      </c>
      <c r="IM62">
        <v>-6.1862177325538213E-10</v>
      </c>
      <c r="IN62">
        <v>-0.23491956482417489</v>
      </c>
      <c r="IO62">
        <v>-1.5299015507423901E-2</v>
      </c>
      <c r="IP62">
        <v>1.742162107778985E-3</v>
      </c>
      <c r="IQ62">
        <v>-1.472690239905804E-5</v>
      </c>
      <c r="IR62">
        <v>3</v>
      </c>
      <c r="IS62">
        <v>2255</v>
      </c>
      <c r="IT62">
        <v>2</v>
      </c>
      <c r="IU62">
        <v>41</v>
      </c>
      <c r="IV62">
        <v>0.6</v>
      </c>
      <c r="IW62">
        <v>0.5</v>
      </c>
      <c r="IX62">
        <v>0.396729</v>
      </c>
      <c r="IY62">
        <v>2.5903299999999998</v>
      </c>
      <c r="IZ62">
        <v>1.5991200000000001</v>
      </c>
      <c r="JA62">
        <v>2.2717299999999998</v>
      </c>
      <c r="JB62">
        <v>1.5502899999999999</v>
      </c>
      <c r="JC62">
        <v>2.31934</v>
      </c>
      <c r="JD62">
        <v>52.823799999999999</v>
      </c>
      <c r="JE62">
        <v>23.754799999999999</v>
      </c>
      <c r="JF62">
        <v>18</v>
      </c>
      <c r="JG62">
        <v>502.59899999999999</v>
      </c>
      <c r="JH62">
        <v>427.738</v>
      </c>
      <c r="JI62">
        <v>25.648700000000002</v>
      </c>
      <c r="JJ62">
        <v>33.596200000000003</v>
      </c>
      <c r="JK62">
        <v>30.000599999999999</v>
      </c>
      <c r="JL62">
        <v>33.575299999999999</v>
      </c>
      <c r="JM62">
        <v>33.5488</v>
      </c>
      <c r="JN62">
        <v>7.9746100000000002</v>
      </c>
      <c r="JO62">
        <v>20.9467</v>
      </c>
      <c r="JP62">
        <v>0</v>
      </c>
      <c r="JQ62">
        <v>25.595199999999998</v>
      </c>
      <c r="JR62">
        <v>120</v>
      </c>
      <c r="JS62">
        <v>23.0731</v>
      </c>
      <c r="JT62">
        <v>98.896199999999993</v>
      </c>
      <c r="JU62">
        <v>98.523399999999995</v>
      </c>
    </row>
    <row r="63" spans="1:281" x14ac:dyDescent="0.25">
      <c r="A63">
        <v>47</v>
      </c>
      <c r="B63">
        <v>1693332473.0999999</v>
      </c>
      <c r="C63">
        <v>10176</v>
      </c>
      <c r="D63" t="s">
        <v>656</v>
      </c>
      <c r="E63" t="s">
        <v>657</v>
      </c>
      <c r="F63" t="s">
        <v>413</v>
      </c>
      <c r="G63" t="s">
        <v>636</v>
      </c>
      <c r="H63" t="s">
        <v>637</v>
      </c>
      <c r="I63" t="s">
        <v>415</v>
      </c>
      <c r="J63">
        <v>1693332473.0999999</v>
      </c>
      <c r="K63">
        <f t="shared" si="46"/>
        <v>4.9240856112550344E-3</v>
      </c>
      <c r="L63">
        <f t="shared" si="47"/>
        <v>4.924085611255034</v>
      </c>
      <c r="M63">
        <f t="shared" si="48"/>
        <v>7.7841197123784571</v>
      </c>
      <c r="N63">
        <f t="shared" si="49"/>
        <v>60.327599999999997</v>
      </c>
      <c r="O63">
        <f t="shared" si="50"/>
        <v>22.224926677250355</v>
      </c>
      <c r="P63">
        <f t="shared" si="51"/>
        <v>2.2011172444201694</v>
      </c>
      <c r="Q63">
        <f t="shared" si="52"/>
        <v>5.9747383018547993</v>
      </c>
      <c r="R63">
        <f t="shared" si="53"/>
        <v>0.354753878945548</v>
      </c>
      <c r="S63">
        <f t="shared" si="54"/>
        <v>2.9121667318691133</v>
      </c>
      <c r="T63">
        <f t="shared" si="55"/>
        <v>0.33237538009541767</v>
      </c>
      <c r="U63">
        <f t="shared" si="56"/>
        <v>0.20962748464165121</v>
      </c>
      <c r="V63">
        <f t="shared" si="57"/>
        <v>344.3491006583738</v>
      </c>
      <c r="W63">
        <f t="shared" si="58"/>
        <v>31.064432419503841</v>
      </c>
      <c r="X63">
        <f t="shared" si="59"/>
        <v>29.983799999999999</v>
      </c>
      <c r="Y63">
        <f t="shared" si="60"/>
        <v>4.2564869682754418</v>
      </c>
      <c r="Z63">
        <f t="shared" si="61"/>
        <v>65.519633938864047</v>
      </c>
      <c r="AA63">
        <f t="shared" si="62"/>
        <v>2.8418324822288996</v>
      </c>
      <c r="AB63">
        <f t="shared" si="63"/>
        <v>4.3373753963286727</v>
      </c>
      <c r="AC63">
        <f t="shared" si="64"/>
        <v>1.4146544860465422</v>
      </c>
      <c r="AD63">
        <f t="shared" si="65"/>
        <v>-217.15217545634701</v>
      </c>
      <c r="AE63">
        <f t="shared" si="66"/>
        <v>51.511940447602342</v>
      </c>
      <c r="AF63">
        <f t="shared" si="67"/>
        <v>3.9388231893742547</v>
      </c>
      <c r="AG63">
        <f t="shared" si="68"/>
        <v>182.64768883900339</v>
      </c>
      <c r="AH63">
        <v>0</v>
      </c>
      <c r="AI63">
        <v>0</v>
      </c>
      <c r="AJ63">
        <f t="shared" si="69"/>
        <v>1</v>
      </c>
      <c r="AK63">
        <f t="shared" si="70"/>
        <v>0</v>
      </c>
      <c r="AL63">
        <f t="shared" si="71"/>
        <v>51781.697874391357</v>
      </c>
      <c r="AM63" t="s">
        <v>416</v>
      </c>
      <c r="AN63">
        <v>10238.9</v>
      </c>
      <c r="AO63">
        <v>302.21199999999999</v>
      </c>
      <c r="AP63">
        <v>4052.3</v>
      </c>
      <c r="AQ63">
        <f t="shared" si="72"/>
        <v>0.92542210596451402</v>
      </c>
      <c r="AR63">
        <v>-0.32343011824092421</v>
      </c>
      <c r="AS63" t="s">
        <v>658</v>
      </c>
      <c r="AT63">
        <v>10489.2</v>
      </c>
      <c r="AU63">
        <v>649.27292</v>
      </c>
      <c r="AV63">
        <v>719.13222708699595</v>
      </c>
      <c r="AW63">
        <f t="shared" si="73"/>
        <v>9.7143897124422507E-2</v>
      </c>
      <c r="AX63">
        <v>0.5</v>
      </c>
      <c r="AY63">
        <f t="shared" si="74"/>
        <v>1513.0926003291868</v>
      </c>
      <c r="AZ63">
        <f t="shared" si="75"/>
        <v>7.7841197123784571</v>
      </c>
      <c r="BA63">
        <f t="shared" si="76"/>
        <v>73.493855953051735</v>
      </c>
      <c r="BB63">
        <f t="shared" si="77"/>
        <v>5.3582641464610375E-3</v>
      </c>
      <c r="BC63">
        <f t="shared" si="78"/>
        <v>4.6349859558022271</v>
      </c>
      <c r="BD63">
        <f t="shared" si="79"/>
        <v>224.58148236185954</v>
      </c>
      <c r="BE63" t="s">
        <v>659</v>
      </c>
      <c r="BF63">
        <v>539.89</v>
      </c>
      <c r="BG63">
        <f t="shared" si="80"/>
        <v>539.89</v>
      </c>
      <c r="BH63">
        <f t="shared" si="81"/>
        <v>0.24924794124865779</v>
      </c>
      <c r="BI63">
        <f t="shared" si="82"/>
        <v>0.38974804220151454</v>
      </c>
      <c r="BJ63">
        <f t="shared" si="83"/>
        <v>0.94896887690019216</v>
      </c>
      <c r="BK63">
        <f t="shared" si="84"/>
        <v>0.16756036898257487</v>
      </c>
      <c r="BL63">
        <f t="shared" si="85"/>
        <v>0.88882388170971027</v>
      </c>
      <c r="BM63">
        <f t="shared" si="86"/>
        <v>0.32408724285647966</v>
      </c>
      <c r="BN63">
        <f t="shared" si="87"/>
        <v>0.67591275714352039</v>
      </c>
      <c r="BO63">
        <v>5556</v>
      </c>
      <c r="BP63">
        <v>290.00000000000011</v>
      </c>
      <c r="BQ63">
        <v>701.84</v>
      </c>
      <c r="BR63">
        <v>265</v>
      </c>
      <c r="BS63">
        <v>10489.2</v>
      </c>
      <c r="BT63">
        <v>700.89</v>
      </c>
      <c r="BU63">
        <v>0.95</v>
      </c>
      <c r="BV63">
        <v>300.00000000000011</v>
      </c>
      <c r="BW63">
        <v>38.200000000000003</v>
      </c>
      <c r="BX63">
        <v>719.13222708699595</v>
      </c>
      <c r="BY63">
        <v>1.0012756494017649</v>
      </c>
      <c r="BZ63">
        <v>-19.130891134468651</v>
      </c>
      <c r="CA63">
        <v>0.86055820003127215</v>
      </c>
      <c r="CB63">
        <v>0.94638153423863047</v>
      </c>
      <c r="CC63">
        <v>-1.1396167741935489E-2</v>
      </c>
      <c r="CD63">
        <v>289.99999999999989</v>
      </c>
      <c r="CE63">
        <v>699.27</v>
      </c>
      <c r="CF63">
        <v>655</v>
      </c>
      <c r="CG63">
        <v>10473.5</v>
      </c>
      <c r="CH63">
        <v>700.87</v>
      </c>
      <c r="CI63">
        <v>-1.6</v>
      </c>
      <c r="CW63">
        <f t="shared" si="88"/>
        <v>1799.89</v>
      </c>
      <c r="CX63">
        <f t="shared" si="89"/>
        <v>1513.0926003291868</v>
      </c>
      <c r="CY63">
        <f t="shared" si="90"/>
        <v>0.84065837375016628</v>
      </c>
      <c r="CZ63">
        <f t="shared" si="91"/>
        <v>0.19131674750033267</v>
      </c>
      <c r="DA63">
        <v>6</v>
      </c>
      <c r="DB63">
        <v>0.5</v>
      </c>
      <c r="DC63" t="s">
        <v>419</v>
      </c>
      <c r="DD63">
        <v>2</v>
      </c>
      <c r="DE63">
        <v>1693332473.0999999</v>
      </c>
      <c r="DF63">
        <v>60.327599999999997</v>
      </c>
      <c r="DG63">
        <v>70.022900000000007</v>
      </c>
      <c r="DH63">
        <v>28.694299999999998</v>
      </c>
      <c r="DI63">
        <v>22.956199999999999</v>
      </c>
      <c r="DJ63">
        <v>61.399700000000003</v>
      </c>
      <c r="DK63">
        <v>28.299099999999999</v>
      </c>
      <c r="DL63">
        <v>500.10899999999998</v>
      </c>
      <c r="DM63">
        <v>98.938199999999995</v>
      </c>
      <c r="DN63">
        <v>0.100023</v>
      </c>
      <c r="DO63">
        <v>30.311900000000001</v>
      </c>
      <c r="DP63">
        <v>29.983799999999999</v>
      </c>
      <c r="DQ63">
        <v>999.9</v>
      </c>
      <c r="DR63">
        <v>0</v>
      </c>
      <c r="DS63">
        <v>0</v>
      </c>
      <c r="DT63">
        <v>10007.5</v>
      </c>
      <c r="DU63">
        <v>0</v>
      </c>
      <c r="DV63">
        <v>1679.46</v>
      </c>
      <c r="DW63">
        <v>-9.6952700000000007</v>
      </c>
      <c r="DX63">
        <v>62.1098</v>
      </c>
      <c r="DY63">
        <v>71.668099999999995</v>
      </c>
      <c r="DZ63">
        <v>5.7380000000000004</v>
      </c>
      <c r="EA63">
        <v>70.022900000000007</v>
      </c>
      <c r="EB63">
        <v>22.956199999999999</v>
      </c>
      <c r="EC63">
        <v>2.8389600000000002</v>
      </c>
      <c r="ED63">
        <v>2.2712500000000002</v>
      </c>
      <c r="EE63">
        <v>23.112400000000001</v>
      </c>
      <c r="EF63">
        <v>19.4739</v>
      </c>
      <c r="EG63">
        <v>1799.89</v>
      </c>
      <c r="EH63">
        <v>0.97799100000000005</v>
      </c>
      <c r="EI63">
        <v>2.2008799999999999E-2</v>
      </c>
      <c r="EJ63">
        <v>0</v>
      </c>
      <c r="EK63">
        <v>648.81299999999999</v>
      </c>
      <c r="EL63">
        <v>4.9995000000000003</v>
      </c>
      <c r="EM63">
        <v>12723.7</v>
      </c>
      <c r="EN63">
        <v>16658.7</v>
      </c>
      <c r="EO63">
        <v>46.436999999999998</v>
      </c>
      <c r="EP63">
        <v>48.375</v>
      </c>
      <c r="EQ63">
        <v>47.311999999999998</v>
      </c>
      <c r="ER63">
        <v>47.311999999999998</v>
      </c>
      <c r="ES63">
        <v>47.936999999999998</v>
      </c>
      <c r="ET63">
        <v>1755.39</v>
      </c>
      <c r="EU63">
        <v>39.5</v>
      </c>
      <c r="EV63">
        <v>0</v>
      </c>
      <c r="EW63">
        <v>100.7999999523163</v>
      </c>
      <c r="EX63">
        <v>0</v>
      </c>
      <c r="EY63">
        <v>649.27292</v>
      </c>
      <c r="EZ63">
        <v>-2.3833076979692391</v>
      </c>
      <c r="FA63">
        <v>-41.576922973135638</v>
      </c>
      <c r="FB63">
        <v>12729.951999999999</v>
      </c>
      <c r="FC63">
        <v>15</v>
      </c>
      <c r="FD63">
        <v>1693332443.5999999</v>
      </c>
      <c r="FE63" t="s">
        <v>660</v>
      </c>
      <c r="FF63">
        <v>1693332438.0999999</v>
      </c>
      <c r="FG63">
        <v>1693332443.5999999</v>
      </c>
      <c r="FH63">
        <v>52</v>
      </c>
      <c r="FI63">
        <v>-3.5999999999999997E-2</v>
      </c>
      <c r="FJ63">
        <v>2E-3</v>
      </c>
      <c r="FK63">
        <v>-1.0960000000000001</v>
      </c>
      <c r="FL63">
        <v>0.152</v>
      </c>
      <c r="FM63">
        <v>70</v>
      </c>
      <c r="FN63">
        <v>23</v>
      </c>
      <c r="FO63">
        <v>0.41</v>
      </c>
      <c r="FP63">
        <v>0.05</v>
      </c>
      <c r="FQ63">
        <v>7.7806716745913151</v>
      </c>
      <c r="FR63">
        <v>0.1841583876144641</v>
      </c>
      <c r="FS63">
        <v>6.1038644313987048E-2</v>
      </c>
      <c r="FT63">
        <v>1</v>
      </c>
      <c r="FU63">
        <v>0.35471877468066082</v>
      </c>
      <c r="FV63">
        <v>4.2822842540929613E-2</v>
      </c>
      <c r="FW63">
        <v>4.436279304356746E-3</v>
      </c>
      <c r="FX63">
        <v>1</v>
      </c>
      <c r="FY63">
        <v>2</v>
      </c>
      <c r="FZ63">
        <v>2</v>
      </c>
      <c r="GA63" t="s">
        <v>421</v>
      </c>
      <c r="GB63">
        <v>2.96827</v>
      </c>
      <c r="GC63">
        <v>2.8117800000000002</v>
      </c>
      <c r="GD63">
        <v>1.7552000000000002E-2</v>
      </c>
      <c r="GE63">
        <v>1.9735200000000001E-2</v>
      </c>
      <c r="GF63">
        <v>0.133964</v>
      </c>
      <c r="GG63">
        <v>0.114107</v>
      </c>
      <c r="GH63">
        <v>28942.400000000001</v>
      </c>
      <c r="GI63">
        <v>26611.4</v>
      </c>
      <c r="GJ63">
        <v>26485.599999999999</v>
      </c>
      <c r="GK63">
        <v>25621.7</v>
      </c>
      <c r="GL63">
        <v>31213.8</v>
      </c>
      <c r="GM63">
        <v>31995.599999999999</v>
      </c>
      <c r="GN63">
        <v>37495.800000000003</v>
      </c>
      <c r="GO63">
        <v>37936.300000000003</v>
      </c>
      <c r="GP63">
        <v>1.9376</v>
      </c>
      <c r="GQ63">
        <v>1.8655999999999999</v>
      </c>
      <c r="GR63">
        <v>2.9057300000000001E-2</v>
      </c>
      <c r="GS63">
        <v>0</v>
      </c>
      <c r="GT63">
        <v>29.5108</v>
      </c>
      <c r="GU63">
        <v>999.9</v>
      </c>
      <c r="GV63">
        <v>27.1</v>
      </c>
      <c r="GW63">
        <v>47.6</v>
      </c>
      <c r="GX63">
        <v>30.1508</v>
      </c>
      <c r="GY63">
        <v>61.408200000000001</v>
      </c>
      <c r="GZ63">
        <v>13.73</v>
      </c>
      <c r="HA63">
        <v>1</v>
      </c>
      <c r="HB63">
        <v>0.50070099999999995</v>
      </c>
      <c r="HC63">
        <v>3.1147499999999999</v>
      </c>
      <c r="HD63">
        <v>20.2179</v>
      </c>
      <c r="HE63">
        <v>5.2107000000000001</v>
      </c>
      <c r="HF63">
        <v>11.9381</v>
      </c>
      <c r="HG63">
        <v>4.9875999999999996</v>
      </c>
      <c r="HH63">
        <v>3.2909999999999999</v>
      </c>
      <c r="HI63">
        <v>9999</v>
      </c>
      <c r="HJ63">
        <v>9999</v>
      </c>
      <c r="HK63">
        <v>9999</v>
      </c>
      <c r="HL63">
        <v>999.9</v>
      </c>
      <c r="HM63">
        <v>1.87155</v>
      </c>
      <c r="HN63">
        <v>1.87744</v>
      </c>
      <c r="HO63">
        <v>1.87517</v>
      </c>
      <c r="HP63">
        <v>1.8734200000000001</v>
      </c>
      <c r="HQ63">
        <v>1.8739399999999999</v>
      </c>
      <c r="HR63">
        <v>1.87134</v>
      </c>
      <c r="HS63">
        <v>1.87714</v>
      </c>
      <c r="HT63">
        <v>1.87639</v>
      </c>
      <c r="HU63">
        <v>5</v>
      </c>
      <c r="HV63">
        <v>0</v>
      </c>
      <c r="HW63">
        <v>0</v>
      </c>
      <c r="HX63">
        <v>0</v>
      </c>
      <c r="HY63" t="s">
        <v>422</v>
      </c>
      <c r="HZ63" t="s">
        <v>423</v>
      </c>
      <c r="IA63" t="s">
        <v>424</v>
      </c>
      <c r="IB63" t="s">
        <v>424</v>
      </c>
      <c r="IC63" t="s">
        <v>424</v>
      </c>
      <c r="ID63" t="s">
        <v>424</v>
      </c>
      <c r="IE63">
        <v>0</v>
      </c>
      <c r="IF63">
        <v>100</v>
      </c>
      <c r="IG63">
        <v>100</v>
      </c>
      <c r="IH63">
        <v>-1.0720000000000001</v>
      </c>
      <c r="II63">
        <v>0.3952</v>
      </c>
      <c r="IJ63">
        <v>-0.91484314053776106</v>
      </c>
      <c r="IK63">
        <v>-2.677719669153116E-3</v>
      </c>
      <c r="IL63">
        <v>1.9353498771248068E-6</v>
      </c>
      <c r="IM63">
        <v>-6.1862177325538213E-10</v>
      </c>
      <c r="IN63">
        <v>-0.23337334115846239</v>
      </c>
      <c r="IO63">
        <v>-1.5299015507423901E-2</v>
      </c>
      <c r="IP63">
        <v>1.742162107778985E-3</v>
      </c>
      <c r="IQ63">
        <v>-1.472690239905804E-5</v>
      </c>
      <c r="IR63">
        <v>3</v>
      </c>
      <c r="IS63">
        <v>2255</v>
      </c>
      <c r="IT63">
        <v>2</v>
      </c>
      <c r="IU63">
        <v>41</v>
      </c>
      <c r="IV63">
        <v>0.6</v>
      </c>
      <c r="IW63">
        <v>0.5</v>
      </c>
      <c r="IX63">
        <v>0.29174800000000001</v>
      </c>
      <c r="IY63">
        <v>2.6037599999999999</v>
      </c>
      <c r="IZ63">
        <v>1.5991200000000001</v>
      </c>
      <c r="JA63">
        <v>2.2717299999999998</v>
      </c>
      <c r="JB63">
        <v>1.5502899999999999</v>
      </c>
      <c r="JC63">
        <v>2.3132299999999999</v>
      </c>
      <c r="JD63">
        <v>52.962600000000002</v>
      </c>
      <c r="JE63">
        <v>23.780999999999999</v>
      </c>
      <c r="JF63">
        <v>18</v>
      </c>
      <c r="JG63">
        <v>502.42599999999999</v>
      </c>
      <c r="JH63">
        <v>426.59500000000003</v>
      </c>
      <c r="JI63">
        <v>25.5672</v>
      </c>
      <c r="JJ63">
        <v>33.635399999999997</v>
      </c>
      <c r="JK63">
        <v>30</v>
      </c>
      <c r="JL63">
        <v>33.611400000000003</v>
      </c>
      <c r="JM63">
        <v>33.581699999999998</v>
      </c>
      <c r="JN63">
        <v>5.8845499999999999</v>
      </c>
      <c r="JO63">
        <v>21.698899999999998</v>
      </c>
      <c r="JP63">
        <v>0</v>
      </c>
      <c r="JQ63">
        <v>25.580500000000001</v>
      </c>
      <c r="JR63">
        <v>70</v>
      </c>
      <c r="JS63">
        <v>22.860800000000001</v>
      </c>
      <c r="JT63">
        <v>98.889300000000006</v>
      </c>
      <c r="JU63">
        <v>98.516900000000007</v>
      </c>
    </row>
    <row r="64" spans="1:281" x14ac:dyDescent="0.25">
      <c r="A64">
        <v>48</v>
      </c>
      <c r="B64">
        <v>1693332572.5999999</v>
      </c>
      <c r="C64">
        <v>10275.5</v>
      </c>
      <c r="D64" t="s">
        <v>661</v>
      </c>
      <c r="E64" t="s">
        <v>662</v>
      </c>
      <c r="F64" t="s">
        <v>413</v>
      </c>
      <c r="G64" t="s">
        <v>636</v>
      </c>
      <c r="H64" t="s">
        <v>637</v>
      </c>
      <c r="I64" t="s">
        <v>415</v>
      </c>
      <c r="J64">
        <v>1693332572.5999999</v>
      </c>
      <c r="K64">
        <f t="shared" si="46"/>
        <v>4.9576144937730042E-3</v>
      </c>
      <c r="L64">
        <f t="shared" si="47"/>
        <v>4.9576144937730042</v>
      </c>
      <c r="M64">
        <f t="shared" si="48"/>
        <v>3.4045333238798072</v>
      </c>
      <c r="N64">
        <f t="shared" si="49"/>
        <v>25.781199999999998</v>
      </c>
      <c r="O64">
        <f t="shared" si="50"/>
        <v>9.0884432373757953</v>
      </c>
      <c r="P64">
        <f t="shared" si="51"/>
        <v>0.90011720064954881</v>
      </c>
      <c r="Q64">
        <f t="shared" si="52"/>
        <v>2.5533637573871997</v>
      </c>
      <c r="R64">
        <f t="shared" si="53"/>
        <v>0.3538497163804899</v>
      </c>
      <c r="S64">
        <f t="shared" si="54"/>
        <v>2.9143729005905792</v>
      </c>
      <c r="T64">
        <f t="shared" si="55"/>
        <v>0.33159702366732485</v>
      </c>
      <c r="U64">
        <f t="shared" si="56"/>
        <v>0.20913073244135377</v>
      </c>
      <c r="V64">
        <f t="shared" si="57"/>
        <v>344.37060065850017</v>
      </c>
      <c r="W64">
        <f t="shared" si="58"/>
        <v>31.097366556971878</v>
      </c>
      <c r="X64">
        <f t="shared" si="59"/>
        <v>30.031300000000002</v>
      </c>
      <c r="Y64">
        <f t="shared" si="60"/>
        <v>4.2681154097722951</v>
      </c>
      <c r="Z64">
        <f t="shared" si="61"/>
        <v>65.332034222899466</v>
      </c>
      <c r="AA64">
        <f t="shared" si="62"/>
        <v>2.8405394338848002</v>
      </c>
      <c r="AB64">
        <f t="shared" si="63"/>
        <v>4.34785089377971</v>
      </c>
      <c r="AC64">
        <f t="shared" si="64"/>
        <v>1.4275759758874949</v>
      </c>
      <c r="AD64">
        <f t="shared" si="65"/>
        <v>-218.63079917538948</v>
      </c>
      <c r="AE64">
        <f t="shared" si="66"/>
        <v>50.702518095229117</v>
      </c>
      <c r="AF64">
        <f t="shared" si="67"/>
        <v>3.8757142194137746</v>
      </c>
      <c r="AG64">
        <f t="shared" si="68"/>
        <v>180.3180337977536</v>
      </c>
      <c r="AH64">
        <v>1</v>
      </c>
      <c r="AI64">
        <v>0</v>
      </c>
      <c r="AJ64">
        <f t="shared" si="69"/>
        <v>1</v>
      </c>
      <c r="AK64">
        <f t="shared" si="70"/>
        <v>0</v>
      </c>
      <c r="AL64">
        <f t="shared" si="71"/>
        <v>51837.196055577362</v>
      </c>
      <c r="AM64" t="s">
        <v>416</v>
      </c>
      <c r="AN64">
        <v>10238.9</v>
      </c>
      <c r="AO64">
        <v>302.21199999999999</v>
      </c>
      <c r="AP64">
        <v>4052.3</v>
      </c>
      <c r="AQ64">
        <f t="shared" si="72"/>
        <v>0.92542210596451402</v>
      </c>
      <c r="AR64">
        <v>-0.32343011824092421</v>
      </c>
      <c r="AS64" t="s">
        <v>663</v>
      </c>
      <c r="AT64">
        <v>10499.8</v>
      </c>
      <c r="AU64">
        <v>655.81169230769228</v>
      </c>
      <c r="AV64">
        <v>704.70263465077824</v>
      </c>
      <c r="AW64">
        <f t="shared" si="73"/>
        <v>6.9378117718141175E-2</v>
      </c>
      <c r="AX64">
        <v>0.5</v>
      </c>
      <c r="AY64">
        <f t="shared" si="74"/>
        <v>1513.1853003292501</v>
      </c>
      <c r="AZ64">
        <f t="shared" si="75"/>
        <v>3.4045333238798072</v>
      </c>
      <c r="BA64">
        <f t="shared" si="76"/>
        <v>52.490973947801763</v>
      </c>
      <c r="BB64">
        <f t="shared" si="77"/>
        <v>2.4636529586360462E-3</v>
      </c>
      <c r="BC64">
        <f t="shared" si="78"/>
        <v>4.7503687381673467</v>
      </c>
      <c r="BD64">
        <f t="shared" si="79"/>
        <v>223.15449867497748</v>
      </c>
      <c r="BE64" t="s">
        <v>664</v>
      </c>
      <c r="BF64">
        <v>551.47</v>
      </c>
      <c r="BG64">
        <f t="shared" si="80"/>
        <v>551.47</v>
      </c>
      <c r="BH64">
        <f t="shared" si="81"/>
        <v>0.21744297114301836</v>
      </c>
      <c r="BI64">
        <f t="shared" si="82"/>
        <v>0.31906351055380522</v>
      </c>
      <c r="BJ64">
        <f t="shared" si="83"/>
        <v>0.95622962707392878</v>
      </c>
      <c r="BK64">
        <f t="shared" si="84"/>
        <v>0.12147100611547464</v>
      </c>
      <c r="BL64">
        <f t="shared" si="85"/>
        <v>0.89267168273097108</v>
      </c>
      <c r="BM64">
        <f t="shared" si="86"/>
        <v>0.26829950766195443</v>
      </c>
      <c r="BN64">
        <f t="shared" si="87"/>
        <v>0.73170049233804557</v>
      </c>
      <c r="BO64">
        <v>5558</v>
      </c>
      <c r="BP64">
        <v>290.00000000000011</v>
      </c>
      <c r="BQ64">
        <v>693.98</v>
      </c>
      <c r="BR64">
        <v>205</v>
      </c>
      <c r="BS64">
        <v>10499.8</v>
      </c>
      <c r="BT64">
        <v>691.79</v>
      </c>
      <c r="BU64">
        <v>2.19</v>
      </c>
      <c r="BV64">
        <v>300.00000000000011</v>
      </c>
      <c r="BW64">
        <v>38.200000000000003</v>
      </c>
      <c r="BX64">
        <v>704.70263465077824</v>
      </c>
      <c r="BY64">
        <v>1.3033365317299399</v>
      </c>
      <c r="BZ64">
        <v>-13.55431146614387</v>
      </c>
      <c r="CA64">
        <v>1.120252080295645</v>
      </c>
      <c r="CB64">
        <v>0.83944405688675461</v>
      </c>
      <c r="CC64">
        <v>-1.1397072969966639E-2</v>
      </c>
      <c r="CD64">
        <v>289.99999999999989</v>
      </c>
      <c r="CE64">
        <v>689.77</v>
      </c>
      <c r="CF64">
        <v>645</v>
      </c>
      <c r="CG64">
        <v>10475.299999999999</v>
      </c>
      <c r="CH64">
        <v>691.76</v>
      </c>
      <c r="CI64">
        <v>-1.99</v>
      </c>
      <c r="CW64">
        <f t="shared" si="88"/>
        <v>1800</v>
      </c>
      <c r="CX64">
        <f t="shared" si="89"/>
        <v>1513.1853003292501</v>
      </c>
      <c r="CY64">
        <f t="shared" si="90"/>
        <v>0.84065850018291677</v>
      </c>
      <c r="CZ64">
        <f t="shared" si="91"/>
        <v>0.19131700036583343</v>
      </c>
      <c r="DA64">
        <v>6</v>
      </c>
      <c r="DB64">
        <v>0.5</v>
      </c>
      <c r="DC64" t="s">
        <v>419</v>
      </c>
      <c r="DD64">
        <v>2</v>
      </c>
      <c r="DE64">
        <v>1693332572.5999999</v>
      </c>
      <c r="DF64">
        <v>25.781199999999998</v>
      </c>
      <c r="DG64">
        <v>30.016999999999999</v>
      </c>
      <c r="DH64">
        <v>28.680800000000001</v>
      </c>
      <c r="DI64">
        <v>22.906400000000001</v>
      </c>
      <c r="DJ64">
        <v>26.932300000000001</v>
      </c>
      <c r="DK64">
        <v>28.287800000000001</v>
      </c>
      <c r="DL64">
        <v>500.35599999999999</v>
      </c>
      <c r="DM64">
        <v>98.939499999999995</v>
      </c>
      <c r="DN64">
        <v>0.100256</v>
      </c>
      <c r="DO64">
        <v>30.353999999999999</v>
      </c>
      <c r="DP64">
        <v>30.031300000000002</v>
      </c>
      <c r="DQ64">
        <v>999.9</v>
      </c>
      <c r="DR64">
        <v>0</v>
      </c>
      <c r="DS64">
        <v>0</v>
      </c>
      <c r="DT64">
        <v>10020</v>
      </c>
      <c r="DU64">
        <v>0</v>
      </c>
      <c r="DV64">
        <v>1682.5</v>
      </c>
      <c r="DW64">
        <v>-4.2358399999999996</v>
      </c>
      <c r="DX64">
        <v>26.542400000000001</v>
      </c>
      <c r="DY64">
        <v>30.720700000000001</v>
      </c>
      <c r="DZ64">
        <v>5.7743900000000004</v>
      </c>
      <c r="EA64">
        <v>30.016999999999999</v>
      </c>
      <c r="EB64">
        <v>22.906400000000001</v>
      </c>
      <c r="EC64">
        <v>2.8376700000000001</v>
      </c>
      <c r="ED64">
        <v>2.2663500000000001</v>
      </c>
      <c r="EE64">
        <v>23.104900000000001</v>
      </c>
      <c r="EF64">
        <v>19.4392</v>
      </c>
      <c r="EG64">
        <v>1800</v>
      </c>
      <c r="EH64">
        <v>0.97799100000000005</v>
      </c>
      <c r="EI64">
        <v>2.2008900000000001E-2</v>
      </c>
      <c r="EJ64">
        <v>0</v>
      </c>
      <c r="EK64">
        <v>655.79100000000005</v>
      </c>
      <c r="EL64">
        <v>4.9995000000000003</v>
      </c>
      <c r="EM64">
        <v>12835</v>
      </c>
      <c r="EN64">
        <v>16659.7</v>
      </c>
      <c r="EO64">
        <v>46.311999999999998</v>
      </c>
      <c r="EP64">
        <v>48.311999999999998</v>
      </c>
      <c r="EQ64">
        <v>47.186999999999998</v>
      </c>
      <c r="ER64">
        <v>47.25</v>
      </c>
      <c r="ES64">
        <v>47.811999999999998</v>
      </c>
      <c r="ET64">
        <v>1755.49</v>
      </c>
      <c r="EU64">
        <v>39.51</v>
      </c>
      <c r="EV64">
        <v>0</v>
      </c>
      <c r="EW64">
        <v>97.799999952316284</v>
      </c>
      <c r="EX64">
        <v>0</v>
      </c>
      <c r="EY64">
        <v>655.81169230769228</v>
      </c>
      <c r="EZ64">
        <v>-1.5072820451863209</v>
      </c>
      <c r="FA64">
        <v>-30.181196524687881</v>
      </c>
      <c r="FB64">
        <v>12839.31538461538</v>
      </c>
      <c r="FC64">
        <v>15</v>
      </c>
      <c r="FD64">
        <v>1693332539.5999999</v>
      </c>
      <c r="FE64" t="s">
        <v>665</v>
      </c>
      <c r="FF64">
        <v>1693332534.0999999</v>
      </c>
      <c r="FG64">
        <v>1693332539.5999999</v>
      </c>
      <c r="FH64">
        <v>53</v>
      </c>
      <c r="FI64">
        <v>-0.16600000000000001</v>
      </c>
      <c r="FJ64">
        <v>-2E-3</v>
      </c>
      <c r="FK64">
        <v>-1.1619999999999999</v>
      </c>
      <c r="FL64">
        <v>0.13800000000000001</v>
      </c>
      <c r="FM64">
        <v>30</v>
      </c>
      <c r="FN64">
        <v>23</v>
      </c>
      <c r="FO64">
        <v>0.96</v>
      </c>
      <c r="FP64">
        <v>0.03</v>
      </c>
      <c r="FQ64">
        <v>3.3956990461588958</v>
      </c>
      <c r="FR64">
        <v>0.17748451981059041</v>
      </c>
      <c r="FS64">
        <v>0.14309234630636949</v>
      </c>
      <c r="FT64">
        <v>1</v>
      </c>
      <c r="FU64">
        <v>0.35425564541580201</v>
      </c>
      <c r="FV64">
        <v>2.6725493800384009E-2</v>
      </c>
      <c r="FW64">
        <v>2.658414218299814E-3</v>
      </c>
      <c r="FX64">
        <v>1</v>
      </c>
      <c r="FY64">
        <v>2</v>
      </c>
      <c r="FZ64">
        <v>2</v>
      </c>
      <c r="GA64" t="s">
        <v>421</v>
      </c>
      <c r="GB64">
        <v>2.9689199999999998</v>
      </c>
      <c r="GC64">
        <v>2.8121299999999998</v>
      </c>
      <c r="GD64">
        <v>7.7361599999999997E-3</v>
      </c>
      <c r="GE64">
        <v>8.5116099999999993E-3</v>
      </c>
      <c r="GF64">
        <v>0.13392399999999999</v>
      </c>
      <c r="GG64">
        <v>0.11393</v>
      </c>
      <c r="GH64">
        <v>29229.9</v>
      </c>
      <c r="GI64">
        <v>26916</v>
      </c>
      <c r="GJ64">
        <v>26484.3</v>
      </c>
      <c r="GK64">
        <v>25621.8</v>
      </c>
      <c r="GL64">
        <v>31213.599999999999</v>
      </c>
      <c r="GM64">
        <v>32001</v>
      </c>
      <c r="GN64">
        <v>37494.5</v>
      </c>
      <c r="GO64">
        <v>37936.1</v>
      </c>
      <c r="GP64">
        <v>1.9376</v>
      </c>
      <c r="GQ64">
        <v>1.8646</v>
      </c>
      <c r="GR64">
        <v>3.10689E-2</v>
      </c>
      <c r="GS64">
        <v>0</v>
      </c>
      <c r="GT64">
        <v>29.525500000000001</v>
      </c>
      <c r="GU64">
        <v>999.9</v>
      </c>
      <c r="GV64">
        <v>27</v>
      </c>
      <c r="GW64">
        <v>47.7</v>
      </c>
      <c r="GX64">
        <v>30.195900000000002</v>
      </c>
      <c r="GY64">
        <v>61.528300000000002</v>
      </c>
      <c r="GZ64">
        <v>13.709899999999999</v>
      </c>
      <c r="HA64">
        <v>1</v>
      </c>
      <c r="HB64">
        <v>0.50355700000000003</v>
      </c>
      <c r="HC64">
        <v>3.46001</v>
      </c>
      <c r="HD64">
        <v>20.2105</v>
      </c>
      <c r="HE64">
        <v>5.2083000000000004</v>
      </c>
      <c r="HF64">
        <v>11.9381</v>
      </c>
      <c r="HG64">
        <v>4.9867999999999997</v>
      </c>
      <c r="HH64">
        <v>3.2906</v>
      </c>
      <c r="HI64">
        <v>9999</v>
      </c>
      <c r="HJ64">
        <v>9999</v>
      </c>
      <c r="HK64">
        <v>9999</v>
      </c>
      <c r="HL64">
        <v>999.9</v>
      </c>
      <c r="HM64">
        <v>1.8715999999999999</v>
      </c>
      <c r="HN64">
        <v>1.87744</v>
      </c>
      <c r="HO64">
        <v>1.8751800000000001</v>
      </c>
      <c r="HP64">
        <v>1.87347</v>
      </c>
      <c r="HQ64">
        <v>1.8739300000000001</v>
      </c>
      <c r="HR64">
        <v>1.87137</v>
      </c>
      <c r="HS64">
        <v>1.8771899999999999</v>
      </c>
      <c r="HT64">
        <v>1.87645</v>
      </c>
      <c r="HU64">
        <v>5</v>
      </c>
      <c r="HV64">
        <v>0</v>
      </c>
      <c r="HW64">
        <v>0</v>
      </c>
      <c r="HX64">
        <v>0</v>
      </c>
      <c r="HY64" t="s">
        <v>422</v>
      </c>
      <c r="HZ64" t="s">
        <v>423</v>
      </c>
      <c r="IA64" t="s">
        <v>424</v>
      </c>
      <c r="IB64" t="s">
        <v>424</v>
      </c>
      <c r="IC64" t="s">
        <v>424</v>
      </c>
      <c r="ID64" t="s">
        <v>424</v>
      </c>
      <c r="IE64">
        <v>0</v>
      </c>
      <c r="IF64">
        <v>100</v>
      </c>
      <c r="IG64">
        <v>100</v>
      </c>
      <c r="IH64">
        <v>-1.151</v>
      </c>
      <c r="II64">
        <v>0.39300000000000002</v>
      </c>
      <c r="IJ64">
        <v>-1.080440456912406</v>
      </c>
      <c r="IK64">
        <v>-2.677719669153116E-3</v>
      </c>
      <c r="IL64">
        <v>1.9353498771248068E-6</v>
      </c>
      <c r="IM64">
        <v>-6.1862177325538213E-10</v>
      </c>
      <c r="IN64">
        <v>-0.23493469621451921</v>
      </c>
      <c r="IO64">
        <v>-1.5299015507423901E-2</v>
      </c>
      <c r="IP64">
        <v>1.742162107778985E-3</v>
      </c>
      <c r="IQ64">
        <v>-1.472690239905804E-5</v>
      </c>
      <c r="IR64">
        <v>3</v>
      </c>
      <c r="IS64">
        <v>2255</v>
      </c>
      <c r="IT64">
        <v>2</v>
      </c>
      <c r="IU64">
        <v>41</v>
      </c>
      <c r="IV64">
        <v>0.6</v>
      </c>
      <c r="IW64">
        <v>0.6</v>
      </c>
      <c r="IX64">
        <v>0.20996100000000001</v>
      </c>
      <c r="IY64">
        <v>2.63062</v>
      </c>
      <c r="IZ64">
        <v>1.5991200000000001</v>
      </c>
      <c r="JA64">
        <v>2.2705099999999998</v>
      </c>
      <c r="JB64">
        <v>1.5502899999999999</v>
      </c>
      <c r="JC64">
        <v>2.2863799999999999</v>
      </c>
      <c r="JD64">
        <v>53.101900000000001</v>
      </c>
      <c r="JE64">
        <v>23.780999999999999</v>
      </c>
      <c r="JF64">
        <v>18</v>
      </c>
      <c r="JG64">
        <v>502.541</v>
      </c>
      <c r="JH64">
        <v>426.12400000000002</v>
      </c>
      <c r="JI64">
        <v>25.453199999999999</v>
      </c>
      <c r="JJ64">
        <v>33.647500000000001</v>
      </c>
      <c r="JK64">
        <v>30.000399999999999</v>
      </c>
      <c r="JL64">
        <v>33.6265</v>
      </c>
      <c r="JM64">
        <v>33.599600000000002</v>
      </c>
      <c r="JN64">
        <v>4.2426899999999996</v>
      </c>
      <c r="JO64">
        <v>21.522099999999998</v>
      </c>
      <c r="JP64">
        <v>0</v>
      </c>
      <c r="JQ64">
        <v>25.451799999999999</v>
      </c>
      <c r="JR64">
        <v>30</v>
      </c>
      <c r="JS64">
        <v>22.849499999999999</v>
      </c>
      <c r="JT64">
        <v>98.885400000000004</v>
      </c>
      <c r="JU64">
        <v>98.5167</v>
      </c>
    </row>
    <row r="65" spans="1:281" x14ac:dyDescent="0.25">
      <c r="A65">
        <v>49</v>
      </c>
      <c r="B65">
        <v>1693332672.0999999</v>
      </c>
      <c r="C65">
        <v>10375</v>
      </c>
      <c r="D65" t="s">
        <v>666</v>
      </c>
      <c r="E65" t="s">
        <v>667</v>
      </c>
      <c r="F65" t="s">
        <v>413</v>
      </c>
      <c r="G65" t="s">
        <v>636</v>
      </c>
      <c r="H65" t="s">
        <v>637</v>
      </c>
      <c r="I65" t="s">
        <v>415</v>
      </c>
      <c r="J65">
        <v>1693332672.0999999</v>
      </c>
      <c r="K65">
        <f t="shared" si="46"/>
        <v>4.9553046257436789E-3</v>
      </c>
      <c r="L65">
        <f t="shared" si="47"/>
        <v>4.955304625743679</v>
      </c>
      <c r="M65">
        <f t="shared" si="48"/>
        <v>1.084298350057824</v>
      </c>
      <c r="N65">
        <f t="shared" si="49"/>
        <v>8.5991599999999995</v>
      </c>
      <c r="O65">
        <f t="shared" si="50"/>
        <v>3.3186267025990421</v>
      </c>
      <c r="P65">
        <f t="shared" si="51"/>
        <v>0.32866564799556852</v>
      </c>
      <c r="Q65">
        <f t="shared" si="52"/>
        <v>0.85163193901987999</v>
      </c>
      <c r="R65">
        <f t="shared" si="53"/>
        <v>0.35710868641545684</v>
      </c>
      <c r="S65">
        <f t="shared" si="54"/>
        <v>2.9090789434846003</v>
      </c>
      <c r="T65">
        <f t="shared" si="55"/>
        <v>0.33441987280907709</v>
      </c>
      <c r="U65">
        <f t="shared" si="56"/>
        <v>0.21093068050419256</v>
      </c>
      <c r="V65">
        <f t="shared" si="57"/>
        <v>344.36630065783714</v>
      </c>
      <c r="W65">
        <f t="shared" si="58"/>
        <v>31.051125994054914</v>
      </c>
      <c r="X65">
        <f t="shared" si="59"/>
        <v>29.9755</v>
      </c>
      <c r="Y65">
        <f t="shared" si="60"/>
        <v>4.2544578875115198</v>
      </c>
      <c r="Z65">
        <f t="shared" si="61"/>
        <v>65.489043306026915</v>
      </c>
      <c r="AA65">
        <f t="shared" si="62"/>
        <v>2.8395291097745003</v>
      </c>
      <c r="AB65">
        <f t="shared" si="63"/>
        <v>4.3358842432703248</v>
      </c>
      <c r="AC65">
        <f t="shared" si="64"/>
        <v>1.4149287777370194</v>
      </c>
      <c r="AD65">
        <f t="shared" si="65"/>
        <v>-218.52893399529623</v>
      </c>
      <c r="AE65">
        <f t="shared" si="66"/>
        <v>51.818040825977384</v>
      </c>
      <c r="AF65">
        <f t="shared" si="67"/>
        <v>3.9661539358386895</v>
      </c>
      <c r="AG65">
        <f t="shared" si="68"/>
        <v>181.621561424357</v>
      </c>
      <c r="AH65">
        <v>0</v>
      </c>
      <c r="AI65">
        <v>0</v>
      </c>
      <c r="AJ65">
        <f t="shared" si="69"/>
        <v>1</v>
      </c>
      <c r="AK65">
        <f t="shared" si="70"/>
        <v>0</v>
      </c>
      <c r="AL65">
        <f t="shared" si="71"/>
        <v>51695.029622080663</v>
      </c>
      <c r="AM65" t="s">
        <v>416</v>
      </c>
      <c r="AN65">
        <v>10238.9</v>
      </c>
      <c r="AO65">
        <v>302.21199999999999</v>
      </c>
      <c r="AP65">
        <v>4052.3</v>
      </c>
      <c r="AQ65">
        <f t="shared" si="72"/>
        <v>0.92542210596451402</v>
      </c>
      <c r="AR65">
        <v>-0.32343011824092421</v>
      </c>
      <c r="AS65" t="s">
        <v>668</v>
      </c>
      <c r="AT65">
        <v>10528.6</v>
      </c>
      <c r="AU65">
        <v>658.82911538461542</v>
      </c>
      <c r="AV65">
        <v>699.29895756197936</v>
      </c>
      <c r="AW65">
        <f t="shared" si="73"/>
        <v>5.7872018454677931E-2</v>
      </c>
      <c r="AX65">
        <v>0.5</v>
      </c>
      <c r="AY65">
        <f t="shared" si="74"/>
        <v>1513.1757003289185</v>
      </c>
      <c r="AZ65">
        <f t="shared" si="75"/>
        <v>1.084298350057824</v>
      </c>
      <c r="BA65">
        <f t="shared" si="76"/>
        <v>43.78526602730269</v>
      </c>
      <c r="BB65">
        <f t="shared" si="77"/>
        <v>9.3031395362266976E-4</v>
      </c>
      <c r="BC65">
        <f t="shared" si="78"/>
        <v>4.7948034330379246</v>
      </c>
      <c r="BD65">
        <f t="shared" si="79"/>
        <v>222.60978220865692</v>
      </c>
      <c r="BE65" t="s">
        <v>669</v>
      </c>
      <c r="BF65">
        <v>555.16999999999996</v>
      </c>
      <c r="BG65">
        <f t="shared" si="80"/>
        <v>555.16999999999996</v>
      </c>
      <c r="BH65">
        <f t="shared" si="81"/>
        <v>0.20610492265635205</v>
      </c>
      <c r="BI65">
        <f t="shared" si="82"/>
        <v>0.28078911317984662</v>
      </c>
      <c r="BJ65">
        <f t="shared" si="83"/>
        <v>0.95878650277170729</v>
      </c>
      <c r="BK65">
        <f t="shared" si="84"/>
        <v>0.10191682553826312</v>
      </c>
      <c r="BL65">
        <f t="shared" si="85"/>
        <v>0.89411262947376713</v>
      </c>
      <c r="BM65">
        <f t="shared" si="86"/>
        <v>0.23661020486784576</v>
      </c>
      <c r="BN65">
        <f t="shared" si="87"/>
        <v>0.76338979513215421</v>
      </c>
      <c r="BO65">
        <v>5560</v>
      </c>
      <c r="BP65">
        <v>290.00000000000011</v>
      </c>
      <c r="BQ65">
        <v>690.89</v>
      </c>
      <c r="BR65">
        <v>75</v>
      </c>
      <c r="BS65">
        <v>10528.6</v>
      </c>
      <c r="BT65">
        <v>687.97</v>
      </c>
      <c r="BU65">
        <v>2.92</v>
      </c>
      <c r="BV65">
        <v>300.00000000000011</v>
      </c>
      <c r="BW65">
        <v>38.200000000000003</v>
      </c>
      <c r="BX65">
        <v>699.29895756197936</v>
      </c>
      <c r="BY65">
        <v>1.137088063055508</v>
      </c>
      <c r="BZ65">
        <v>-11.928233138251979</v>
      </c>
      <c r="CA65">
        <v>0.97736534935275443</v>
      </c>
      <c r="CB65">
        <v>0.84176255188477922</v>
      </c>
      <c r="CC65">
        <v>-1.1397195773081211E-2</v>
      </c>
      <c r="CD65">
        <v>289.99999999999989</v>
      </c>
      <c r="CE65">
        <v>686.56</v>
      </c>
      <c r="CF65">
        <v>655</v>
      </c>
      <c r="CG65">
        <v>10474.4</v>
      </c>
      <c r="CH65">
        <v>687.91</v>
      </c>
      <c r="CI65">
        <v>-1.35</v>
      </c>
      <c r="CW65">
        <f t="shared" si="88"/>
        <v>1799.99</v>
      </c>
      <c r="CX65">
        <f t="shared" si="89"/>
        <v>1513.1757003289185</v>
      </c>
      <c r="CY65">
        <f t="shared" si="90"/>
        <v>0.84065783717071674</v>
      </c>
      <c r="CZ65">
        <f t="shared" si="91"/>
        <v>0.19131567434143365</v>
      </c>
      <c r="DA65">
        <v>6</v>
      </c>
      <c r="DB65">
        <v>0.5</v>
      </c>
      <c r="DC65" t="s">
        <v>419</v>
      </c>
      <c r="DD65">
        <v>2</v>
      </c>
      <c r="DE65">
        <v>1693332672.0999999</v>
      </c>
      <c r="DF65">
        <v>8.5991599999999995</v>
      </c>
      <c r="DG65">
        <v>9.9511299999999991</v>
      </c>
      <c r="DH65">
        <v>28.671500000000002</v>
      </c>
      <c r="DI65">
        <v>22.896999999999998</v>
      </c>
      <c r="DJ65">
        <v>9.7204599999999992</v>
      </c>
      <c r="DK65">
        <v>28.2819</v>
      </c>
      <c r="DL65">
        <v>500.11900000000003</v>
      </c>
      <c r="DM65">
        <v>98.936599999999999</v>
      </c>
      <c r="DN65">
        <v>0.10004300000000001</v>
      </c>
      <c r="DO65">
        <v>30.305900000000001</v>
      </c>
      <c r="DP65">
        <v>29.9755</v>
      </c>
      <c r="DQ65">
        <v>999.9</v>
      </c>
      <c r="DR65">
        <v>0</v>
      </c>
      <c r="DS65">
        <v>0</v>
      </c>
      <c r="DT65">
        <v>9990</v>
      </c>
      <c r="DU65">
        <v>0</v>
      </c>
      <c r="DV65">
        <v>1683.38</v>
      </c>
      <c r="DW65">
        <v>-1.3519699999999999</v>
      </c>
      <c r="DX65">
        <v>8.8529900000000001</v>
      </c>
      <c r="DY65">
        <v>10.1843</v>
      </c>
      <c r="DZ65">
        <v>5.77447</v>
      </c>
      <c r="EA65">
        <v>9.9511299999999991</v>
      </c>
      <c r="EB65">
        <v>22.896999999999998</v>
      </c>
      <c r="EC65">
        <v>2.8366600000000002</v>
      </c>
      <c r="ED65">
        <v>2.2653500000000002</v>
      </c>
      <c r="EE65">
        <v>23.099</v>
      </c>
      <c r="EF65">
        <v>19.432099999999998</v>
      </c>
      <c r="EG65">
        <v>1799.99</v>
      </c>
      <c r="EH65">
        <v>0.97800900000000002</v>
      </c>
      <c r="EI65">
        <v>2.1991400000000001E-2</v>
      </c>
      <c r="EJ65">
        <v>0</v>
      </c>
      <c r="EK65">
        <v>658.66399999999999</v>
      </c>
      <c r="EL65">
        <v>4.9995000000000003</v>
      </c>
      <c r="EM65">
        <v>12884.6</v>
      </c>
      <c r="EN65">
        <v>16659.8</v>
      </c>
      <c r="EO65">
        <v>46.375</v>
      </c>
      <c r="EP65">
        <v>48.311999999999998</v>
      </c>
      <c r="EQ65">
        <v>47.186999999999998</v>
      </c>
      <c r="ER65">
        <v>47.311999999999998</v>
      </c>
      <c r="ES65">
        <v>47.875</v>
      </c>
      <c r="ET65">
        <v>1755.52</v>
      </c>
      <c r="EU65">
        <v>39.47</v>
      </c>
      <c r="EV65">
        <v>0</v>
      </c>
      <c r="EW65">
        <v>97.799999952316284</v>
      </c>
      <c r="EX65">
        <v>0</v>
      </c>
      <c r="EY65">
        <v>658.82911538461542</v>
      </c>
      <c r="EZ65">
        <v>-0.72413674233959469</v>
      </c>
      <c r="FA65">
        <v>-13.03589741782433</v>
      </c>
      <c r="FB65">
        <v>12885.56538461538</v>
      </c>
      <c r="FC65">
        <v>15</v>
      </c>
      <c r="FD65">
        <v>1693332636.0999999</v>
      </c>
      <c r="FE65" t="s">
        <v>670</v>
      </c>
      <c r="FF65">
        <v>1693332636.0999999</v>
      </c>
      <c r="FG65">
        <v>1693332635.5999999</v>
      </c>
      <c r="FH65">
        <v>54</v>
      </c>
      <c r="FI65">
        <v>-1.4999999999999999E-2</v>
      </c>
      <c r="FJ65">
        <v>-3.0000000000000001E-3</v>
      </c>
      <c r="FK65">
        <v>-1.125</v>
      </c>
      <c r="FL65">
        <v>0.13500000000000001</v>
      </c>
      <c r="FM65">
        <v>10</v>
      </c>
      <c r="FN65">
        <v>23</v>
      </c>
      <c r="FO65">
        <v>0.77</v>
      </c>
      <c r="FP65">
        <v>0.03</v>
      </c>
      <c r="FQ65">
        <v>1.1234958198264551</v>
      </c>
      <c r="FR65">
        <v>-5.4587084393065907E-2</v>
      </c>
      <c r="FS65">
        <v>3.4438444168840093E-2</v>
      </c>
      <c r="FT65">
        <v>1</v>
      </c>
      <c r="FU65">
        <v>0.35629122279356179</v>
      </c>
      <c r="FV65">
        <v>1.963738735878354E-2</v>
      </c>
      <c r="FW65">
        <v>1.823315228544727E-3</v>
      </c>
      <c r="FX65">
        <v>1</v>
      </c>
      <c r="FY65">
        <v>2</v>
      </c>
      <c r="FZ65">
        <v>2</v>
      </c>
      <c r="GA65" t="s">
        <v>421</v>
      </c>
      <c r="GB65">
        <v>2.96827</v>
      </c>
      <c r="GC65">
        <v>2.8116500000000002</v>
      </c>
      <c r="GD65">
        <v>2.7924400000000002E-3</v>
      </c>
      <c r="GE65">
        <v>2.82168E-3</v>
      </c>
      <c r="GF65">
        <v>0.13389200000000001</v>
      </c>
      <c r="GG65">
        <v>0.113886</v>
      </c>
      <c r="GH65">
        <v>29374.5</v>
      </c>
      <c r="GI65">
        <v>27069.4</v>
      </c>
      <c r="GJ65">
        <v>26483.599999999999</v>
      </c>
      <c r="GK65">
        <v>25621</v>
      </c>
      <c r="GL65">
        <v>31214.2</v>
      </c>
      <c r="GM65">
        <v>32001.7</v>
      </c>
      <c r="GN65">
        <v>37493.9</v>
      </c>
      <c r="GO65">
        <v>37935.4</v>
      </c>
      <c r="GP65">
        <v>1.9373</v>
      </c>
      <c r="GQ65">
        <v>1.8633</v>
      </c>
      <c r="GR65">
        <v>2.1845099999999999E-2</v>
      </c>
      <c r="GS65">
        <v>0</v>
      </c>
      <c r="GT65">
        <v>29.619900000000001</v>
      </c>
      <c r="GU65">
        <v>999.9</v>
      </c>
      <c r="GV65">
        <v>26.7</v>
      </c>
      <c r="GW65">
        <v>47.9</v>
      </c>
      <c r="GX65">
        <v>30.164100000000001</v>
      </c>
      <c r="GY65">
        <v>61.578299999999999</v>
      </c>
      <c r="GZ65">
        <v>13.818099999999999</v>
      </c>
      <c r="HA65">
        <v>1</v>
      </c>
      <c r="HB65">
        <v>0.50801799999999997</v>
      </c>
      <c r="HC65">
        <v>3.76383</v>
      </c>
      <c r="HD65">
        <v>20.204799999999999</v>
      </c>
      <c r="HE65">
        <v>5.2088999999999999</v>
      </c>
      <c r="HF65">
        <v>11.9381</v>
      </c>
      <c r="HG65">
        <v>4.9875999999999996</v>
      </c>
      <c r="HH65">
        <v>3.2909999999999999</v>
      </c>
      <c r="HI65">
        <v>9999</v>
      </c>
      <c r="HJ65">
        <v>9999</v>
      </c>
      <c r="HK65">
        <v>9999</v>
      </c>
      <c r="HL65">
        <v>999.9</v>
      </c>
      <c r="HM65">
        <v>1.87164</v>
      </c>
      <c r="HN65">
        <v>1.87744</v>
      </c>
      <c r="HO65">
        <v>1.8752599999999999</v>
      </c>
      <c r="HP65">
        <v>1.87347</v>
      </c>
      <c r="HQ65">
        <v>1.8739399999999999</v>
      </c>
      <c r="HR65">
        <v>1.87141</v>
      </c>
      <c r="HS65">
        <v>1.8772200000000001</v>
      </c>
      <c r="HT65">
        <v>1.87643</v>
      </c>
      <c r="HU65">
        <v>5</v>
      </c>
      <c r="HV65">
        <v>0</v>
      </c>
      <c r="HW65">
        <v>0</v>
      </c>
      <c r="HX65">
        <v>0</v>
      </c>
      <c r="HY65" t="s">
        <v>422</v>
      </c>
      <c r="HZ65" t="s">
        <v>423</v>
      </c>
      <c r="IA65" t="s">
        <v>424</v>
      </c>
      <c r="IB65" t="s">
        <v>424</v>
      </c>
      <c r="IC65" t="s">
        <v>424</v>
      </c>
      <c r="ID65" t="s">
        <v>424</v>
      </c>
      <c r="IE65">
        <v>0</v>
      </c>
      <c r="IF65">
        <v>100</v>
      </c>
      <c r="IG65">
        <v>100</v>
      </c>
      <c r="IH65">
        <v>-1.121</v>
      </c>
      <c r="II65">
        <v>0.3896</v>
      </c>
      <c r="IJ65">
        <v>-1.095452558686506</v>
      </c>
      <c r="IK65">
        <v>-2.677719669153116E-3</v>
      </c>
      <c r="IL65">
        <v>1.9353498771248068E-6</v>
      </c>
      <c r="IM65">
        <v>-6.1862177325538213E-10</v>
      </c>
      <c r="IN65">
        <v>-0.23813870060362169</v>
      </c>
      <c r="IO65">
        <v>-1.5299015507423901E-2</v>
      </c>
      <c r="IP65">
        <v>1.742162107778985E-3</v>
      </c>
      <c r="IQ65">
        <v>-1.472690239905804E-5</v>
      </c>
      <c r="IR65">
        <v>3</v>
      </c>
      <c r="IS65">
        <v>2255</v>
      </c>
      <c r="IT65">
        <v>2</v>
      </c>
      <c r="IU65">
        <v>41</v>
      </c>
      <c r="IV65">
        <v>0.6</v>
      </c>
      <c r="IW65">
        <v>0.6</v>
      </c>
      <c r="IX65">
        <v>0.169678</v>
      </c>
      <c r="IY65">
        <v>2.63794</v>
      </c>
      <c r="IZ65">
        <v>1.5991200000000001</v>
      </c>
      <c r="JA65">
        <v>2.2717299999999998</v>
      </c>
      <c r="JB65">
        <v>1.5502899999999999</v>
      </c>
      <c r="JC65">
        <v>2.34375</v>
      </c>
      <c r="JD65">
        <v>53.241700000000002</v>
      </c>
      <c r="JE65">
        <v>23.772300000000001</v>
      </c>
      <c r="JF65">
        <v>18</v>
      </c>
      <c r="JG65">
        <v>502.58</v>
      </c>
      <c r="JH65">
        <v>425.55599999999998</v>
      </c>
      <c r="JI65">
        <v>25.004799999999999</v>
      </c>
      <c r="JJ65">
        <v>33.683799999999998</v>
      </c>
      <c r="JK65">
        <v>30</v>
      </c>
      <c r="JL65">
        <v>33.656599999999997</v>
      </c>
      <c r="JM65">
        <v>33.6297</v>
      </c>
      <c r="JN65">
        <v>3.4453100000000001</v>
      </c>
      <c r="JO65">
        <v>21.171800000000001</v>
      </c>
      <c r="JP65">
        <v>0</v>
      </c>
      <c r="JQ65">
        <v>25.0152</v>
      </c>
      <c r="JR65">
        <v>10</v>
      </c>
      <c r="JS65">
        <v>22.904</v>
      </c>
      <c r="JT65">
        <v>98.883300000000006</v>
      </c>
      <c r="JU65">
        <v>98.514499999999998</v>
      </c>
    </row>
    <row r="66" spans="1:281" x14ac:dyDescent="0.25">
      <c r="A66">
        <v>50</v>
      </c>
      <c r="B66">
        <v>1693332861.5999999</v>
      </c>
      <c r="C66">
        <v>10564.5</v>
      </c>
      <c r="D66" t="s">
        <v>671</v>
      </c>
      <c r="E66" t="s">
        <v>672</v>
      </c>
      <c r="F66" t="s">
        <v>413</v>
      </c>
      <c r="G66" t="s">
        <v>636</v>
      </c>
      <c r="H66" t="s">
        <v>637</v>
      </c>
      <c r="I66" t="s">
        <v>415</v>
      </c>
      <c r="J66">
        <v>1693332861.5999999</v>
      </c>
      <c r="K66">
        <f t="shared" si="46"/>
        <v>5.0102055225673013E-3</v>
      </c>
      <c r="L66">
        <f t="shared" si="47"/>
        <v>5.0102055225673015</v>
      </c>
      <c r="M66">
        <f t="shared" si="48"/>
        <v>36.952142230720362</v>
      </c>
      <c r="N66">
        <f t="shared" si="49"/>
        <v>353.43700000000001</v>
      </c>
      <c r="O66">
        <f t="shared" si="50"/>
        <v>171.58622160939967</v>
      </c>
      <c r="P66">
        <f t="shared" si="51"/>
        <v>16.993719737420921</v>
      </c>
      <c r="Q66">
        <f t="shared" si="52"/>
        <v>35.004030431461004</v>
      </c>
      <c r="R66">
        <f t="shared" si="53"/>
        <v>0.35619840758188803</v>
      </c>
      <c r="S66">
        <f t="shared" si="54"/>
        <v>2.9117422462813369</v>
      </c>
      <c r="T66">
        <f t="shared" si="55"/>
        <v>0.33364044097289475</v>
      </c>
      <c r="U66">
        <f t="shared" si="56"/>
        <v>0.21043285979627185</v>
      </c>
      <c r="V66">
        <f t="shared" si="57"/>
        <v>344.34600065804403</v>
      </c>
      <c r="W66">
        <f t="shared" si="58"/>
        <v>31.035846757971797</v>
      </c>
      <c r="X66">
        <f t="shared" si="59"/>
        <v>29.9481</v>
      </c>
      <c r="Y66">
        <f t="shared" si="60"/>
        <v>4.2477654599295001</v>
      </c>
      <c r="Z66">
        <f t="shared" si="61"/>
        <v>64.890349542744133</v>
      </c>
      <c r="AA66">
        <f t="shared" si="62"/>
        <v>2.8135381924052005</v>
      </c>
      <c r="AB66">
        <f t="shared" si="63"/>
        <v>4.3358345458624568</v>
      </c>
      <c r="AC66">
        <f t="shared" si="64"/>
        <v>1.4342272675242995</v>
      </c>
      <c r="AD66">
        <f t="shared" si="65"/>
        <v>-220.95006354521797</v>
      </c>
      <c r="AE66">
        <f t="shared" si="66"/>
        <v>56.135278438191577</v>
      </c>
      <c r="AF66">
        <f t="shared" si="67"/>
        <v>4.2920793928352845</v>
      </c>
      <c r="AG66">
        <f t="shared" si="68"/>
        <v>183.82329494385289</v>
      </c>
      <c r="AH66">
        <v>0</v>
      </c>
      <c r="AI66">
        <v>0</v>
      </c>
      <c r="AJ66">
        <f t="shared" si="69"/>
        <v>1</v>
      </c>
      <c r="AK66">
        <f t="shared" si="70"/>
        <v>0</v>
      </c>
      <c r="AL66">
        <f t="shared" si="71"/>
        <v>51770.717271814516</v>
      </c>
      <c r="AM66" t="s">
        <v>416</v>
      </c>
      <c r="AN66">
        <v>10238.9</v>
      </c>
      <c r="AO66">
        <v>302.21199999999999</v>
      </c>
      <c r="AP66">
        <v>4052.3</v>
      </c>
      <c r="AQ66">
        <f t="shared" si="72"/>
        <v>0.92542210596451402</v>
      </c>
      <c r="AR66">
        <v>-0.32343011824092421</v>
      </c>
      <c r="AS66" t="s">
        <v>673</v>
      </c>
      <c r="AT66">
        <v>10497.2</v>
      </c>
      <c r="AU66">
        <v>681.82176923076918</v>
      </c>
      <c r="AV66">
        <v>968.38883026391284</v>
      </c>
      <c r="AW66">
        <f t="shared" si="73"/>
        <v>0.29592148533461105</v>
      </c>
      <c r="AX66">
        <v>0.5</v>
      </c>
      <c r="AY66">
        <f t="shared" si="74"/>
        <v>1513.0836003290221</v>
      </c>
      <c r="AZ66">
        <f t="shared" si="75"/>
        <v>36.952142230720362</v>
      </c>
      <c r="BA66">
        <f t="shared" si="76"/>
        <v>223.8769732224026</v>
      </c>
      <c r="BB66">
        <f t="shared" si="77"/>
        <v>2.4635500867801131E-2</v>
      </c>
      <c r="BC66">
        <f t="shared" si="78"/>
        <v>3.1845794513094869</v>
      </c>
      <c r="BD66">
        <f t="shared" si="79"/>
        <v>244.21186934929062</v>
      </c>
      <c r="BE66" t="s">
        <v>674</v>
      </c>
      <c r="BF66">
        <v>550.09</v>
      </c>
      <c r="BG66">
        <f t="shared" si="80"/>
        <v>550.09</v>
      </c>
      <c r="BH66">
        <f t="shared" si="81"/>
        <v>0.4319533819384459</v>
      </c>
      <c r="BI66">
        <f t="shared" si="82"/>
        <v>0.68507736646632023</v>
      </c>
      <c r="BJ66">
        <f t="shared" si="83"/>
        <v>0.88056146539930136</v>
      </c>
      <c r="BK66">
        <f t="shared" si="84"/>
        <v>0.43016665848257907</v>
      </c>
      <c r="BL66">
        <f t="shared" si="85"/>
        <v>0.8223570139516958</v>
      </c>
      <c r="BM66">
        <f t="shared" si="86"/>
        <v>0.55271659768890147</v>
      </c>
      <c r="BN66">
        <f t="shared" si="87"/>
        <v>0.44728340231109853</v>
      </c>
      <c r="BO66">
        <v>5562</v>
      </c>
      <c r="BP66">
        <v>290.00000000000011</v>
      </c>
      <c r="BQ66">
        <v>885.62</v>
      </c>
      <c r="BR66">
        <v>235</v>
      </c>
      <c r="BS66">
        <v>10497.2</v>
      </c>
      <c r="BT66">
        <v>884.97</v>
      </c>
      <c r="BU66">
        <v>0.65</v>
      </c>
      <c r="BV66">
        <v>300.00000000000011</v>
      </c>
      <c r="BW66">
        <v>38.200000000000003</v>
      </c>
      <c r="BX66">
        <v>968.38883026391284</v>
      </c>
      <c r="BY66">
        <v>1.022075524222654</v>
      </c>
      <c r="BZ66">
        <v>-87.56862794213292</v>
      </c>
      <c r="CA66">
        <v>0.8787045450412142</v>
      </c>
      <c r="CB66">
        <v>0.99718859127775539</v>
      </c>
      <c r="CC66">
        <v>-1.1400379977753059E-2</v>
      </c>
      <c r="CD66">
        <v>289.99999999999989</v>
      </c>
      <c r="CE66">
        <v>871.03</v>
      </c>
      <c r="CF66">
        <v>635</v>
      </c>
      <c r="CG66">
        <v>10478.9</v>
      </c>
      <c r="CH66">
        <v>884.82</v>
      </c>
      <c r="CI66">
        <v>-13.79</v>
      </c>
      <c r="CW66">
        <f t="shared" si="88"/>
        <v>1799.88</v>
      </c>
      <c r="CX66">
        <f t="shared" si="89"/>
        <v>1513.0836003290221</v>
      </c>
      <c r="CY66">
        <f t="shared" si="90"/>
        <v>0.84065804405239353</v>
      </c>
      <c r="CZ66">
        <f t="shared" si="91"/>
        <v>0.19131608810478701</v>
      </c>
      <c r="DA66">
        <v>6</v>
      </c>
      <c r="DB66">
        <v>0.5</v>
      </c>
      <c r="DC66" t="s">
        <v>419</v>
      </c>
      <c r="DD66">
        <v>2</v>
      </c>
      <c r="DE66">
        <v>1693332861.5999999</v>
      </c>
      <c r="DF66">
        <v>353.43700000000001</v>
      </c>
      <c r="DG66">
        <v>399.89299999999997</v>
      </c>
      <c r="DH66">
        <v>28.4084</v>
      </c>
      <c r="DI66">
        <v>22.5684</v>
      </c>
      <c r="DJ66">
        <v>354.91300000000001</v>
      </c>
      <c r="DK66">
        <v>28.026399999999999</v>
      </c>
      <c r="DL66">
        <v>500.12400000000002</v>
      </c>
      <c r="DM66">
        <v>98.938900000000004</v>
      </c>
      <c r="DN66">
        <v>0.100053</v>
      </c>
      <c r="DO66">
        <v>30.305700000000002</v>
      </c>
      <c r="DP66">
        <v>29.9481</v>
      </c>
      <c r="DQ66">
        <v>999.9</v>
      </c>
      <c r="DR66">
        <v>0</v>
      </c>
      <c r="DS66">
        <v>0</v>
      </c>
      <c r="DT66">
        <v>10005</v>
      </c>
      <c r="DU66">
        <v>0</v>
      </c>
      <c r="DV66">
        <v>1680.13</v>
      </c>
      <c r="DW66">
        <v>-46.455599999999997</v>
      </c>
      <c r="DX66">
        <v>363.77199999999999</v>
      </c>
      <c r="DY66">
        <v>409.12599999999998</v>
      </c>
      <c r="DZ66">
        <v>5.8400499999999997</v>
      </c>
      <c r="EA66">
        <v>399.89299999999997</v>
      </c>
      <c r="EB66">
        <v>22.5684</v>
      </c>
      <c r="EC66">
        <v>2.8107000000000002</v>
      </c>
      <c r="ED66">
        <v>2.2328899999999998</v>
      </c>
      <c r="EE66">
        <v>22.947099999999999</v>
      </c>
      <c r="EF66">
        <v>19.200299999999999</v>
      </c>
      <c r="EG66">
        <v>1799.88</v>
      </c>
      <c r="EH66">
        <v>0.97800500000000001</v>
      </c>
      <c r="EI66">
        <v>2.1995000000000001E-2</v>
      </c>
      <c r="EJ66">
        <v>0</v>
      </c>
      <c r="EK66">
        <v>682.351</v>
      </c>
      <c r="EL66">
        <v>4.9995000000000003</v>
      </c>
      <c r="EM66">
        <v>13325.8</v>
      </c>
      <c r="EN66">
        <v>16658.7</v>
      </c>
      <c r="EO66">
        <v>46.311999999999998</v>
      </c>
      <c r="EP66">
        <v>48.311999999999998</v>
      </c>
      <c r="EQ66">
        <v>47.186999999999998</v>
      </c>
      <c r="ER66">
        <v>47.25</v>
      </c>
      <c r="ES66">
        <v>47.811999999999998</v>
      </c>
      <c r="ET66">
        <v>1755.4</v>
      </c>
      <c r="EU66">
        <v>39.479999999999997</v>
      </c>
      <c r="EV66">
        <v>0</v>
      </c>
      <c r="EW66">
        <v>187.79999995231631</v>
      </c>
      <c r="EX66">
        <v>0</v>
      </c>
      <c r="EY66">
        <v>681.82176923076918</v>
      </c>
      <c r="EZ66">
        <v>7.4427350382198139</v>
      </c>
      <c r="FA66">
        <v>135.49743578037791</v>
      </c>
      <c r="FB66">
        <v>13311.13461538461</v>
      </c>
      <c r="FC66">
        <v>15</v>
      </c>
      <c r="FD66">
        <v>1693332745.5999999</v>
      </c>
      <c r="FE66" t="s">
        <v>675</v>
      </c>
      <c r="FF66">
        <v>1693332736.5999999</v>
      </c>
      <c r="FG66">
        <v>1693332745.5999999</v>
      </c>
      <c r="FH66">
        <v>55</v>
      </c>
      <c r="FI66">
        <v>0.35399999999999998</v>
      </c>
      <c r="FJ66">
        <v>5.0000000000000001E-3</v>
      </c>
      <c r="FK66">
        <v>-1.546</v>
      </c>
      <c r="FL66">
        <v>0.13</v>
      </c>
      <c r="FM66">
        <v>401</v>
      </c>
      <c r="FN66">
        <v>22</v>
      </c>
      <c r="FO66">
        <v>0.42</v>
      </c>
      <c r="FP66">
        <v>7.0000000000000007E-2</v>
      </c>
      <c r="FQ66">
        <v>36.664862588121217</v>
      </c>
      <c r="FR66">
        <v>2.9886708417557819</v>
      </c>
      <c r="FS66">
        <v>0.2311866502006826</v>
      </c>
      <c r="FT66">
        <v>0</v>
      </c>
      <c r="FU66">
        <v>0.35565329172821558</v>
      </c>
      <c r="FV66">
        <v>-2.2405998694448011E-3</v>
      </c>
      <c r="FW66">
        <v>6.7733123205070589E-4</v>
      </c>
      <c r="FX66">
        <v>1</v>
      </c>
      <c r="FY66">
        <v>1</v>
      </c>
      <c r="FZ66">
        <v>2</v>
      </c>
      <c r="GA66" t="s">
        <v>460</v>
      </c>
      <c r="GB66">
        <v>2.9682300000000001</v>
      </c>
      <c r="GC66">
        <v>2.8117899999999998</v>
      </c>
      <c r="GD66">
        <v>8.7424500000000002E-2</v>
      </c>
      <c r="GE66">
        <v>9.4940899999999995E-2</v>
      </c>
      <c r="GF66">
        <v>0.13303400000000001</v>
      </c>
      <c r="GG66">
        <v>0.11272600000000001</v>
      </c>
      <c r="GH66">
        <v>26880.2</v>
      </c>
      <c r="GI66">
        <v>24564.6</v>
      </c>
      <c r="GJ66">
        <v>26482.3</v>
      </c>
      <c r="GK66">
        <v>25617.200000000001</v>
      </c>
      <c r="GL66">
        <v>31250.400000000001</v>
      </c>
      <c r="GM66">
        <v>32047.599999999999</v>
      </c>
      <c r="GN66">
        <v>37492.1</v>
      </c>
      <c r="GO66">
        <v>37932.199999999997</v>
      </c>
      <c r="GP66">
        <v>1.9368000000000001</v>
      </c>
      <c r="GQ66">
        <v>1.8624000000000001</v>
      </c>
      <c r="GR66">
        <v>2.2262299999999999E-2</v>
      </c>
      <c r="GS66">
        <v>0</v>
      </c>
      <c r="GT66">
        <v>29.585699999999999</v>
      </c>
      <c r="GU66">
        <v>999.9</v>
      </c>
      <c r="GV66">
        <v>26.5</v>
      </c>
      <c r="GW66">
        <v>48.1</v>
      </c>
      <c r="GX66">
        <v>30.240600000000001</v>
      </c>
      <c r="GY66">
        <v>61.458300000000001</v>
      </c>
      <c r="GZ66">
        <v>13.709899999999999</v>
      </c>
      <c r="HA66">
        <v>1</v>
      </c>
      <c r="HB66">
        <v>0.50814000000000004</v>
      </c>
      <c r="HC66">
        <v>2.9365999999999999</v>
      </c>
      <c r="HD66">
        <v>20.220800000000001</v>
      </c>
      <c r="HE66">
        <v>5.2095000000000002</v>
      </c>
      <c r="HF66">
        <v>11.9381</v>
      </c>
      <c r="HG66">
        <v>4.9874000000000001</v>
      </c>
      <c r="HH66">
        <v>3.2909999999999999</v>
      </c>
      <c r="HI66">
        <v>9999</v>
      </c>
      <c r="HJ66">
        <v>9999</v>
      </c>
      <c r="HK66">
        <v>9999</v>
      </c>
      <c r="HL66">
        <v>999.9</v>
      </c>
      <c r="HM66">
        <v>1.87155</v>
      </c>
      <c r="HN66">
        <v>1.87744</v>
      </c>
      <c r="HO66">
        <v>1.8751500000000001</v>
      </c>
      <c r="HP66">
        <v>1.87338</v>
      </c>
      <c r="HQ66">
        <v>1.87398</v>
      </c>
      <c r="HR66">
        <v>1.8713599999999999</v>
      </c>
      <c r="HS66">
        <v>1.87714</v>
      </c>
      <c r="HT66">
        <v>1.8763700000000001</v>
      </c>
      <c r="HU66">
        <v>5</v>
      </c>
      <c r="HV66">
        <v>0</v>
      </c>
      <c r="HW66">
        <v>0</v>
      </c>
      <c r="HX66">
        <v>0</v>
      </c>
      <c r="HY66" t="s">
        <v>422</v>
      </c>
      <c r="HZ66" t="s">
        <v>423</v>
      </c>
      <c r="IA66" t="s">
        <v>424</v>
      </c>
      <c r="IB66" t="s">
        <v>424</v>
      </c>
      <c r="IC66" t="s">
        <v>424</v>
      </c>
      <c r="ID66" t="s">
        <v>424</v>
      </c>
      <c r="IE66">
        <v>0</v>
      </c>
      <c r="IF66">
        <v>100</v>
      </c>
      <c r="IG66">
        <v>100</v>
      </c>
      <c r="IH66">
        <v>-1.476</v>
      </c>
      <c r="II66">
        <v>0.38200000000000001</v>
      </c>
      <c r="IJ66">
        <v>-0.74154943392608152</v>
      </c>
      <c r="IK66">
        <v>-2.677719669153116E-3</v>
      </c>
      <c r="IL66">
        <v>1.9353498771248068E-6</v>
      </c>
      <c r="IM66">
        <v>-6.1862177325538213E-10</v>
      </c>
      <c r="IN66">
        <v>-0.2334056207373473</v>
      </c>
      <c r="IO66">
        <v>-1.5299015507423901E-2</v>
      </c>
      <c r="IP66">
        <v>1.742162107778985E-3</v>
      </c>
      <c r="IQ66">
        <v>-1.472690239905804E-5</v>
      </c>
      <c r="IR66">
        <v>3</v>
      </c>
      <c r="IS66">
        <v>2255</v>
      </c>
      <c r="IT66">
        <v>2</v>
      </c>
      <c r="IU66">
        <v>41</v>
      </c>
      <c r="IV66">
        <v>2.1</v>
      </c>
      <c r="IW66">
        <v>1.9</v>
      </c>
      <c r="IX66">
        <v>0.96191400000000005</v>
      </c>
      <c r="IY66">
        <v>2.5866699999999998</v>
      </c>
      <c r="IZ66">
        <v>1.5991200000000001</v>
      </c>
      <c r="JA66">
        <v>2.2717299999999998</v>
      </c>
      <c r="JB66">
        <v>1.5502899999999999</v>
      </c>
      <c r="JC66">
        <v>2.32056</v>
      </c>
      <c r="JD66">
        <v>53.311799999999998</v>
      </c>
      <c r="JE66">
        <v>23.7898</v>
      </c>
      <c r="JF66">
        <v>18</v>
      </c>
      <c r="JG66">
        <v>502.60700000000003</v>
      </c>
      <c r="JH66">
        <v>425.34699999999998</v>
      </c>
      <c r="JI66">
        <v>25.7456</v>
      </c>
      <c r="JJ66">
        <v>33.735300000000002</v>
      </c>
      <c r="JK66">
        <v>30.0001</v>
      </c>
      <c r="JL66">
        <v>33.701900000000002</v>
      </c>
      <c r="JM66">
        <v>33.677700000000002</v>
      </c>
      <c r="JN66">
        <v>19.2774</v>
      </c>
      <c r="JO66">
        <v>22.8064</v>
      </c>
      <c r="JP66">
        <v>0</v>
      </c>
      <c r="JQ66">
        <v>25.751999999999999</v>
      </c>
      <c r="JR66">
        <v>400</v>
      </c>
      <c r="JS66">
        <v>22.5807</v>
      </c>
      <c r="JT66">
        <v>98.878399999999999</v>
      </c>
      <c r="JU66">
        <v>98.503699999999995</v>
      </c>
    </row>
    <row r="67" spans="1:281" x14ac:dyDescent="0.25">
      <c r="A67">
        <v>51</v>
      </c>
      <c r="B67">
        <v>1693332999.5999999</v>
      </c>
      <c r="C67">
        <v>10702.5</v>
      </c>
      <c r="D67" t="s">
        <v>676</v>
      </c>
      <c r="E67" t="s">
        <v>677</v>
      </c>
      <c r="F67" t="s">
        <v>413</v>
      </c>
      <c r="G67" t="s">
        <v>636</v>
      </c>
      <c r="H67" t="s">
        <v>637</v>
      </c>
      <c r="I67" t="s">
        <v>415</v>
      </c>
      <c r="J67">
        <v>1693332999.5999999</v>
      </c>
      <c r="K67">
        <f t="shared" si="46"/>
        <v>4.8519237051009786E-3</v>
      </c>
      <c r="L67">
        <f t="shared" si="47"/>
        <v>4.8519237051009787</v>
      </c>
      <c r="M67">
        <f t="shared" si="48"/>
        <v>40.957957870618252</v>
      </c>
      <c r="N67">
        <f t="shared" si="49"/>
        <v>349.03100000000001</v>
      </c>
      <c r="O67">
        <f t="shared" si="50"/>
        <v>143.49408092684166</v>
      </c>
      <c r="P67">
        <f t="shared" si="51"/>
        <v>14.210828411390315</v>
      </c>
      <c r="Q67">
        <f t="shared" si="52"/>
        <v>34.566022648591094</v>
      </c>
      <c r="R67">
        <f t="shared" si="53"/>
        <v>0.34667596525853717</v>
      </c>
      <c r="S67">
        <f t="shared" si="54"/>
        <v>2.9064183459885125</v>
      </c>
      <c r="T67">
        <f t="shared" si="55"/>
        <v>0.32523249404272087</v>
      </c>
      <c r="U67">
        <f t="shared" si="56"/>
        <v>0.20508629358878017</v>
      </c>
      <c r="V67">
        <f t="shared" si="57"/>
        <v>344.34790065804043</v>
      </c>
      <c r="W67">
        <f t="shared" si="58"/>
        <v>31.147735421028365</v>
      </c>
      <c r="X67">
        <f t="shared" si="59"/>
        <v>30.022500000000001</v>
      </c>
      <c r="Y67">
        <f t="shared" si="60"/>
        <v>4.2659590009299828</v>
      </c>
      <c r="Z67">
        <f t="shared" si="61"/>
        <v>65.276704557336899</v>
      </c>
      <c r="AA67">
        <f t="shared" si="62"/>
        <v>2.8415500670340599</v>
      </c>
      <c r="AB67">
        <f t="shared" si="63"/>
        <v>4.3530844369420283</v>
      </c>
      <c r="AC67">
        <f t="shared" si="64"/>
        <v>1.4244089338959229</v>
      </c>
      <c r="AD67">
        <f t="shared" si="65"/>
        <v>-213.96983539495315</v>
      </c>
      <c r="AE67">
        <f t="shared" si="66"/>
        <v>55.233516118798647</v>
      </c>
      <c r="AF67">
        <f t="shared" si="67"/>
        <v>4.2338760419559387</v>
      </c>
      <c r="AG67">
        <f t="shared" si="68"/>
        <v>189.84545742384188</v>
      </c>
      <c r="AH67">
        <v>1</v>
      </c>
      <c r="AI67">
        <v>0</v>
      </c>
      <c r="AJ67">
        <f t="shared" si="69"/>
        <v>1</v>
      </c>
      <c r="AK67">
        <f t="shared" si="70"/>
        <v>0</v>
      </c>
      <c r="AL67">
        <f t="shared" si="71"/>
        <v>51607.746065866173</v>
      </c>
      <c r="AM67" t="s">
        <v>416</v>
      </c>
      <c r="AN67">
        <v>10238.9</v>
      </c>
      <c r="AO67">
        <v>302.21199999999999</v>
      </c>
      <c r="AP67">
        <v>4052.3</v>
      </c>
      <c r="AQ67">
        <f t="shared" si="72"/>
        <v>0.92542210596451402</v>
      </c>
      <c r="AR67">
        <v>-0.32343011824092421</v>
      </c>
      <c r="AS67" t="s">
        <v>678</v>
      </c>
      <c r="AT67">
        <v>10510.6</v>
      </c>
      <c r="AU67">
        <v>717.04707692307682</v>
      </c>
      <c r="AV67">
        <v>1045.7109889836329</v>
      </c>
      <c r="AW67">
        <f t="shared" si="73"/>
        <v>0.31429708162481618</v>
      </c>
      <c r="AX67">
        <v>0.5</v>
      </c>
      <c r="AY67">
        <f t="shared" si="74"/>
        <v>1513.0920003290203</v>
      </c>
      <c r="AZ67">
        <f t="shared" si="75"/>
        <v>40.957957870618252</v>
      </c>
      <c r="BA67">
        <f t="shared" si="76"/>
        <v>237.78019996663323</v>
      </c>
      <c r="BB67">
        <f t="shared" si="77"/>
        <v>2.7282801032509973E-2</v>
      </c>
      <c r="BC67">
        <f t="shared" si="78"/>
        <v>2.8751624901050223</v>
      </c>
      <c r="BD67">
        <f t="shared" si="79"/>
        <v>248.8522201624433</v>
      </c>
      <c r="BE67" t="s">
        <v>679</v>
      </c>
      <c r="BF67">
        <v>570.23</v>
      </c>
      <c r="BG67">
        <f t="shared" si="80"/>
        <v>570.23</v>
      </c>
      <c r="BH67">
        <f t="shared" si="81"/>
        <v>0.45469636830131366</v>
      </c>
      <c r="BI67">
        <f t="shared" si="82"/>
        <v>0.69122408608405883</v>
      </c>
      <c r="BJ67">
        <f t="shared" si="83"/>
        <v>0.86344875634791007</v>
      </c>
      <c r="BK67">
        <f t="shared" si="84"/>
        <v>0.44205024745203947</v>
      </c>
      <c r="BL67">
        <f t="shared" si="85"/>
        <v>0.80173825547996935</v>
      </c>
      <c r="BM67">
        <f t="shared" si="86"/>
        <v>0.54969432732238455</v>
      </c>
      <c r="BN67">
        <f t="shared" si="87"/>
        <v>0.45030567267761545</v>
      </c>
      <c r="BO67">
        <v>5564</v>
      </c>
      <c r="BP67">
        <v>290.00000000000011</v>
      </c>
      <c r="BQ67">
        <v>954.91</v>
      </c>
      <c r="BR67">
        <v>165</v>
      </c>
      <c r="BS67">
        <v>10510.6</v>
      </c>
      <c r="BT67">
        <v>953.73</v>
      </c>
      <c r="BU67">
        <v>1.18</v>
      </c>
      <c r="BV67">
        <v>300.00000000000011</v>
      </c>
      <c r="BW67">
        <v>38.200000000000003</v>
      </c>
      <c r="BX67">
        <v>1045.7109889836329</v>
      </c>
      <c r="BY67">
        <v>1.2126950437115831</v>
      </c>
      <c r="BZ67">
        <v>-96.682100033743836</v>
      </c>
      <c r="CA67">
        <v>1.042635291979537</v>
      </c>
      <c r="CB67">
        <v>0.99675422203679975</v>
      </c>
      <c r="CC67">
        <v>-1.1401205339265851E-2</v>
      </c>
      <c r="CD67">
        <v>289.99999999999989</v>
      </c>
      <c r="CE67">
        <v>942.84</v>
      </c>
      <c r="CF67">
        <v>645</v>
      </c>
      <c r="CG67">
        <v>10478.4</v>
      </c>
      <c r="CH67">
        <v>953.44</v>
      </c>
      <c r="CI67">
        <v>-10.6</v>
      </c>
      <c r="CW67">
        <f t="shared" si="88"/>
        <v>1799.89</v>
      </c>
      <c r="CX67">
        <f t="shared" si="89"/>
        <v>1513.0920003290203</v>
      </c>
      <c r="CY67">
        <f t="shared" si="90"/>
        <v>0.84065804039636871</v>
      </c>
      <c r="CZ67">
        <f t="shared" si="91"/>
        <v>0.19131608079273757</v>
      </c>
      <c r="DA67">
        <v>6</v>
      </c>
      <c r="DB67">
        <v>0.5</v>
      </c>
      <c r="DC67" t="s">
        <v>419</v>
      </c>
      <c r="DD67">
        <v>2</v>
      </c>
      <c r="DE67">
        <v>1693332999.5999999</v>
      </c>
      <c r="DF67">
        <v>349.03100000000001</v>
      </c>
      <c r="DG67">
        <v>400.16699999999997</v>
      </c>
      <c r="DH67">
        <v>28.692599999999999</v>
      </c>
      <c r="DI67">
        <v>23.042400000000001</v>
      </c>
      <c r="DJ67">
        <v>350.70499999999998</v>
      </c>
      <c r="DK67">
        <v>28.301600000000001</v>
      </c>
      <c r="DL67">
        <v>500.447</v>
      </c>
      <c r="DM67">
        <v>98.934600000000003</v>
      </c>
      <c r="DN67">
        <v>9.9648100000000003E-2</v>
      </c>
      <c r="DO67">
        <v>30.375</v>
      </c>
      <c r="DP67">
        <v>30.022500000000001</v>
      </c>
      <c r="DQ67">
        <v>999.9</v>
      </c>
      <c r="DR67">
        <v>0</v>
      </c>
      <c r="DS67">
        <v>0</v>
      </c>
      <c r="DT67">
        <v>9975</v>
      </c>
      <c r="DU67">
        <v>0</v>
      </c>
      <c r="DV67">
        <v>1656.74</v>
      </c>
      <c r="DW67">
        <v>-51.136000000000003</v>
      </c>
      <c r="DX67">
        <v>359.34100000000001</v>
      </c>
      <c r="DY67">
        <v>409.60500000000002</v>
      </c>
      <c r="DZ67">
        <v>5.6501400000000004</v>
      </c>
      <c r="EA67">
        <v>400.16699999999997</v>
      </c>
      <c r="EB67">
        <v>23.042400000000001</v>
      </c>
      <c r="EC67">
        <v>2.8386900000000002</v>
      </c>
      <c r="ED67">
        <v>2.27969</v>
      </c>
      <c r="EE67">
        <v>23.110800000000001</v>
      </c>
      <c r="EF67">
        <v>19.5336</v>
      </c>
      <c r="EG67">
        <v>1799.89</v>
      </c>
      <c r="EH67">
        <v>0.97800500000000001</v>
      </c>
      <c r="EI67">
        <v>2.1995000000000001E-2</v>
      </c>
      <c r="EJ67">
        <v>0</v>
      </c>
      <c r="EK67">
        <v>718.76599999999996</v>
      </c>
      <c r="EL67">
        <v>4.9995000000000003</v>
      </c>
      <c r="EM67">
        <v>13979</v>
      </c>
      <c r="EN67">
        <v>16658.8</v>
      </c>
      <c r="EO67">
        <v>46.311999999999998</v>
      </c>
      <c r="EP67">
        <v>48.311999999999998</v>
      </c>
      <c r="EQ67">
        <v>47.186999999999998</v>
      </c>
      <c r="ER67">
        <v>47.25</v>
      </c>
      <c r="ES67">
        <v>47.811999999999998</v>
      </c>
      <c r="ET67">
        <v>1755.41</v>
      </c>
      <c r="EU67">
        <v>39.479999999999997</v>
      </c>
      <c r="EV67">
        <v>0</v>
      </c>
      <c r="EW67">
        <v>136.20000004768369</v>
      </c>
      <c r="EX67">
        <v>0</v>
      </c>
      <c r="EY67">
        <v>717.04707692307682</v>
      </c>
      <c r="EZ67">
        <v>15.209435890414371</v>
      </c>
      <c r="FA67">
        <v>248.37606828242639</v>
      </c>
      <c r="FB67">
        <v>13950.81538461538</v>
      </c>
      <c r="FC67">
        <v>15</v>
      </c>
      <c r="FD67">
        <v>1693332968.0999999</v>
      </c>
      <c r="FE67" t="s">
        <v>680</v>
      </c>
      <c r="FF67">
        <v>1693332965.5999999</v>
      </c>
      <c r="FG67">
        <v>1693332968.0999999</v>
      </c>
      <c r="FH67">
        <v>56</v>
      </c>
      <c r="FI67">
        <v>-0.20499999999999999</v>
      </c>
      <c r="FJ67">
        <v>-4.0000000000000001E-3</v>
      </c>
      <c r="FK67">
        <v>-1.75</v>
      </c>
      <c r="FL67">
        <v>0.13900000000000001</v>
      </c>
      <c r="FM67">
        <v>400</v>
      </c>
      <c r="FN67">
        <v>23</v>
      </c>
      <c r="FO67">
        <v>0.1</v>
      </c>
      <c r="FP67">
        <v>0.04</v>
      </c>
      <c r="FQ67">
        <v>40.716301782616149</v>
      </c>
      <c r="FR67">
        <v>0.18995368483039429</v>
      </c>
      <c r="FS67">
        <v>8.827348767604197E-2</v>
      </c>
      <c r="FT67">
        <v>1</v>
      </c>
      <c r="FU67">
        <v>0.34592904209714959</v>
      </c>
      <c r="FV67">
        <v>4.0304165713196602E-2</v>
      </c>
      <c r="FW67">
        <v>3.4668728702249379E-3</v>
      </c>
      <c r="FX67">
        <v>1</v>
      </c>
      <c r="FY67">
        <v>2</v>
      </c>
      <c r="FZ67">
        <v>2</v>
      </c>
      <c r="GA67" t="s">
        <v>421</v>
      </c>
      <c r="GB67">
        <v>2.96909</v>
      </c>
      <c r="GC67">
        <v>2.8111299999999999</v>
      </c>
      <c r="GD67">
        <v>8.6590299999999995E-2</v>
      </c>
      <c r="GE67">
        <v>9.4984600000000002E-2</v>
      </c>
      <c r="GF67">
        <v>0.13393099999999999</v>
      </c>
      <c r="GG67">
        <v>0.114371</v>
      </c>
      <c r="GH67">
        <v>26904.6</v>
      </c>
      <c r="GI67">
        <v>24561.7</v>
      </c>
      <c r="GJ67">
        <v>26482.1</v>
      </c>
      <c r="GK67">
        <v>25615.599999999999</v>
      </c>
      <c r="GL67">
        <v>31217.9</v>
      </c>
      <c r="GM67">
        <v>31985</v>
      </c>
      <c r="GN67">
        <v>37491.9</v>
      </c>
      <c r="GO67">
        <v>37928.400000000001</v>
      </c>
      <c r="GP67">
        <v>1.9355</v>
      </c>
      <c r="GQ67">
        <v>1.8617999999999999</v>
      </c>
      <c r="GR67">
        <v>2.3320299999999999E-2</v>
      </c>
      <c r="GS67">
        <v>0</v>
      </c>
      <c r="GT67">
        <v>29.642900000000001</v>
      </c>
      <c r="GU67">
        <v>999.9</v>
      </c>
      <c r="GV67">
        <v>26.3</v>
      </c>
      <c r="GW67">
        <v>48.2</v>
      </c>
      <c r="GX67">
        <v>30.164200000000001</v>
      </c>
      <c r="GY67">
        <v>61.728299999999997</v>
      </c>
      <c r="GZ67">
        <v>14.0946</v>
      </c>
      <c r="HA67">
        <v>1</v>
      </c>
      <c r="HB67">
        <v>0.51436000000000004</v>
      </c>
      <c r="HC67">
        <v>3.7542900000000001</v>
      </c>
      <c r="HD67">
        <v>20.2042</v>
      </c>
      <c r="HE67">
        <v>5.2059100000000003</v>
      </c>
      <c r="HF67">
        <v>11.9381</v>
      </c>
      <c r="HG67">
        <v>4.9863999999999997</v>
      </c>
      <c r="HH67">
        <v>3.2902</v>
      </c>
      <c r="HI67">
        <v>9999</v>
      </c>
      <c r="HJ67">
        <v>9999</v>
      </c>
      <c r="HK67">
        <v>9999</v>
      </c>
      <c r="HL67">
        <v>999.9</v>
      </c>
      <c r="HM67">
        <v>1.87155</v>
      </c>
      <c r="HN67">
        <v>1.87744</v>
      </c>
      <c r="HO67">
        <v>1.87517</v>
      </c>
      <c r="HP67">
        <v>1.87338</v>
      </c>
      <c r="HQ67">
        <v>1.8739399999999999</v>
      </c>
      <c r="HR67">
        <v>1.87134</v>
      </c>
      <c r="HS67">
        <v>1.87714</v>
      </c>
      <c r="HT67">
        <v>1.8763700000000001</v>
      </c>
      <c r="HU67">
        <v>5</v>
      </c>
      <c r="HV67">
        <v>0</v>
      </c>
      <c r="HW67">
        <v>0</v>
      </c>
      <c r="HX67">
        <v>0</v>
      </c>
      <c r="HY67" t="s">
        <v>422</v>
      </c>
      <c r="HZ67" t="s">
        <v>423</v>
      </c>
      <c r="IA67" t="s">
        <v>424</v>
      </c>
      <c r="IB67" t="s">
        <v>424</v>
      </c>
      <c r="IC67" t="s">
        <v>424</v>
      </c>
      <c r="ID67" t="s">
        <v>424</v>
      </c>
      <c r="IE67">
        <v>0</v>
      </c>
      <c r="IF67">
        <v>100</v>
      </c>
      <c r="IG67">
        <v>100</v>
      </c>
      <c r="IH67">
        <v>-1.6739999999999999</v>
      </c>
      <c r="II67">
        <v>0.39100000000000001</v>
      </c>
      <c r="IJ67">
        <v>-0.94616712788948787</v>
      </c>
      <c r="IK67">
        <v>-2.677719669153116E-3</v>
      </c>
      <c r="IL67">
        <v>1.9353498771248068E-6</v>
      </c>
      <c r="IM67">
        <v>-6.1862177325538213E-10</v>
      </c>
      <c r="IN67">
        <v>-0.23768354373414549</v>
      </c>
      <c r="IO67">
        <v>-1.5299015507423901E-2</v>
      </c>
      <c r="IP67">
        <v>1.742162107778985E-3</v>
      </c>
      <c r="IQ67">
        <v>-1.472690239905804E-5</v>
      </c>
      <c r="IR67">
        <v>3</v>
      </c>
      <c r="IS67">
        <v>2255</v>
      </c>
      <c r="IT67">
        <v>2</v>
      </c>
      <c r="IU67">
        <v>41</v>
      </c>
      <c r="IV67">
        <v>0.6</v>
      </c>
      <c r="IW67">
        <v>0.5</v>
      </c>
      <c r="IX67">
        <v>0.96191400000000005</v>
      </c>
      <c r="IY67">
        <v>2.5830099999999998</v>
      </c>
      <c r="IZ67">
        <v>1.5991200000000001</v>
      </c>
      <c r="JA67">
        <v>2.2717299999999998</v>
      </c>
      <c r="JB67">
        <v>1.5502899999999999</v>
      </c>
      <c r="JC67">
        <v>2.36084</v>
      </c>
      <c r="JD67">
        <v>53.347000000000001</v>
      </c>
      <c r="JE67">
        <v>23.807300000000001</v>
      </c>
      <c r="JF67">
        <v>18</v>
      </c>
      <c r="JG67">
        <v>501.99700000000001</v>
      </c>
      <c r="JH67">
        <v>425.17899999999997</v>
      </c>
      <c r="JI67">
        <v>25.273499999999999</v>
      </c>
      <c r="JJ67">
        <v>33.753500000000003</v>
      </c>
      <c r="JK67">
        <v>30.0002</v>
      </c>
      <c r="JL67">
        <v>33.732100000000003</v>
      </c>
      <c r="JM67">
        <v>33.7057</v>
      </c>
      <c r="JN67">
        <v>19.2836</v>
      </c>
      <c r="JO67">
        <v>20.811299999999999</v>
      </c>
      <c r="JP67">
        <v>0</v>
      </c>
      <c r="JQ67">
        <v>25.256</v>
      </c>
      <c r="JR67">
        <v>400</v>
      </c>
      <c r="JS67">
        <v>23.0535</v>
      </c>
      <c r="JT67">
        <v>98.877799999999993</v>
      </c>
      <c r="JU67">
        <v>98.495099999999994</v>
      </c>
    </row>
    <row r="68" spans="1:281" x14ac:dyDescent="0.25">
      <c r="A68">
        <v>52</v>
      </c>
      <c r="B68">
        <v>1693333103.5999999</v>
      </c>
      <c r="C68">
        <v>10806.5</v>
      </c>
      <c r="D68" t="s">
        <v>681</v>
      </c>
      <c r="E68" t="s">
        <v>682</v>
      </c>
      <c r="F68" t="s">
        <v>413</v>
      </c>
      <c r="G68" t="s">
        <v>636</v>
      </c>
      <c r="H68" t="s">
        <v>637</v>
      </c>
      <c r="I68" t="s">
        <v>415</v>
      </c>
      <c r="J68">
        <v>1693333103.5999999</v>
      </c>
      <c r="K68">
        <f t="shared" si="46"/>
        <v>4.7711587359860249E-3</v>
      </c>
      <c r="L68">
        <f t="shared" si="47"/>
        <v>4.7711587359860248</v>
      </c>
      <c r="M68">
        <f t="shared" si="48"/>
        <v>44.583421400523591</v>
      </c>
      <c r="N68">
        <f t="shared" si="49"/>
        <v>444.03800000000001</v>
      </c>
      <c r="O68">
        <f t="shared" si="50"/>
        <v>215.8514482822886</v>
      </c>
      <c r="P68">
        <f t="shared" si="51"/>
        <v>21.375934351945002</v>
      </c>
      <c r="Q68">
        <f t="shared" si="52"/>
        <v>43.973423450723196</v>
      </c>
      <c r="R68">
        <f t="shared" si="53"/>
        <v>0.34161905188975117</v>
      </c>
      <c r="S68">
        <f t="shared" si="54"/>
        <v>2.9142208425080609</v>
      </c>
      <c r="T68">
        <f t="shared" si="55"/>
        <v>0.32082858656399005</v>
      </c>
      <c r="U68">
        <f t="shared" si="56"/>
        <v>0.20228028210270488</v>
      </c>
      <c r="V68">
        <f t="shared" si="57"/>
        <v>344.39730065794538</v>
      </c>
      <c r="W68">
        <f t="shared" si="58"/>
        <v>31.11329325623019</v>
      </c>
      <c r="X68">
        <f t="shared" si="59"/>
        <v>29.988399999999999</v>
      </c>
      <c r="Y68">
        <f t="shared" si="60"/>
        <v>4.2576118822538902</v>
      </c>
      <c r="Z68">
        <f t="shared" si="61"/>
        <v>65.388662287024189</v>
      </c>
      <c r="AA68">
        <f t="shared" si="62"/>
        <v>2.83764738657888</v>
      </c>
      <c r="AB68">
        <f t="shared" si="63"/>
        <v>4.3396626988987759</v>
      </c>
      <c r="AC68">
        <f t="shared" si="64"/>
        <v>1.4199644956750102</v>
      </c>
      <c r="AD68">
        <f t="shared" si="65"/>
        <v>-210.40810025698369</v>
      </c>
      <c r="AE68">
        <f t="shared" si="66"/>
        <v>52.27098742019313</v>
      </c>
      <c r="AF68">
        <f t="shared" si="67"/>
        <v>3.9943187133456797</v>
      </c>
      <c r="AG68">
        <f t="shared" si="68"/>
        <v>190.25450653450054</v>
      </c>
      <c r="AH68">
        <v>1</v>
      </c>
      <c r="AI68">
        <v>0</v>
      </c>
      <c r="AJ68">
        <f t="shared" si="69"/>
        <v>1</v>
      </c>
      <c r="AK68">
        <f t="shared" si="70"/>
        <v>0</v>
      </c>
      <c r="AL68">
        <f t="shared" si="71"/>
        <v>51838.312352957422</v>
      </c>
      <c r="AM68" t="s">
        <v>416</v>
      </c>
      <c r="AN68">
        <v>10238.9</v>
      </c>
      <c r="AO68">
        <v>302.21199999999999</v>
      </c>
      <c r="AP68">
        <v>4052.3</v>
      </c>
      <c r="AQ68">
        <f t="shared" si="72"/>
        <v>0.92542210596451402</v>
      </c>
      <c r="AR68">
        <v>-0.32343011824092421</v>
      </c>
      <c r="AS68" t="s">
        <v>683</v>
      </c>
      <c r="AT68">
        <v>10496.2</v>
      </c>
      <c r="AU68">
        <v>755.7374615384615</v>
      </c>
      <c r="AV68">
        <v>1134.7242234407149</v>
      </c>
      <c r="AW68">
        <f t="shared" si="73"/>
        <v>0.33399019257127371</v>
      </c>
      <c r="AX68">
        <v>0.5</v>
      </c>
      <c r="AY68">
        <f t="shared" si="74"/>
        <v>1513.3104003289727</v>
      </c>
      <c r="AZ68">
        <f t="shared" si="75"/>
        <v>44.583421400523591</v>
      </c>
      <c r="BA68">
        <f t="shared" si="76"/>
        <v>252.71541601299245</v>
      </c>
      <c r="BB68">
        <f t="shared" si="77"/>
        <v>2.9674580647170854E-2</v>
      </c>
      <c r="BC68">
        <f t="shared" si="78"/>
        <v>2.5711760763444369</v>
      </c>
      <c r="BD68">
        <f t="shared" si="79"/>
        <v>253.58612575545183</v>
      </c>
      <c r="BE68" t="s">
        <v>684</v>
      </c>
      <c r="BF68">
        <v>582.79</v>
      </c>
      <c r="BG68">
        <f t="shared" si="80"/>
        <v>582.79</v>
      </c>
      <c r="BH68">
        <f t="shared" si="81"/>
        <v>0.48640384336481157</v>
      </c>
      <c r="BI68">
        <f t="shared" si="82"/>
        <v>0.68665204259246593</v>
      </c>
      <c r="BJ68">
        <f t="shared" si="83"/>
        <v>0.84091868204999698</v>
      </c>
      <c r="BK68">
        <f t="shared" si="84"/>
        <v>0.45523266954078773</v>
      </c>
      <c r="BL68">
        <f t="shared" si="85"/>
        <v>0.77800194997005001</v>
      </c>
      <c r="BM68">
        <f t="shared" si="86"/>
        <v>0.52951449976798226</v>
      </c>
      <c r="BN68">
        <f t="shared" si="87"/>
        <v>0.47048550023201774</v>
      </c>
      <c r="BO68">
        <v>5566</v>
      </c>
      <c r="BP68">
        <v>290.00000000000011</v>
      </c>
      <c r="BQ68">
        <v>1033.82</v>
      </c>
      <c r="BR68">
        <v>245</v>
      </c>
      <c r="BS68">
        <v>10496.2</v>
      </c>
      <c r="BT68">
        <v>1033.04</v>
      </c>
      <c r="BU68">
        <v>0.78</v>
      </c>
      <c r="BV68">
        <v>300.00000000000011</v>
      </c>
      <c r="BW68">
        <v>38.200000000000003</v>
      </c>
      <c r="BX68">
        <v>1134.7242234407149</v>
      </c>
      <c r="BY68">
        <v>1.2176373331549559</v>
      </c>
      <c r="BZ68">
        <v>-106.7277687609528</v>
      </c>
      <c r="CA68">
        <v>1.0468889646887101</v>
      </c>
      <c r="CB68">
        <v>0.9973131960368784</v>
      </c>
      <c r="CC68">
        <v>-1.1401275417130151E-2</v>
      </c>
      <c r="CD68">
        <v>289.99999999999989</v>
      </c>
      <c r="CE68">
        <v>1023.89</v>
      </c>
      <c r="CF68">
        <v>675</v>
      </c>
      <c r="CG68">
        <v>10475.4</v>
      </c>
      <c r="CH68">
        <v>1032.8399999999999</v>
      </c>
      <c r="CI68">
        <v>-8.9499999999999993</v>
      </c>
      <c r="CW68">
        <f t="shared" si="88"/>
        <v>1800.15</v>
      </c>
      <c r="CX68">
        <f t="shared" si="89"/>
        <v>1513.3104003289727</v>
      </c>
      <c r="CY68">
        <f t="shared" si="90"/>
        <v>0.84065794535398308</v>
      </c>
      <c r="CZ68">
        <f t="shared" si="91"/>
        <v>0.1913158907079662</v>
      </c>
      <c r="DA68">
        <v>6</v>
      </c>
      <c r="DB68">
        <v>0.5</v>
      </c>
      <c r="DC68" t="s">
        <v>419</v>
      </c>
      <c r="DD68">
        <v>2</v>
      </c>
      <c r="DE68">
        <v>1693333103.5999999</v>
      </c>
      <c r="DF68">
        <v>444.03800000000001</v>
      </c>
      <c r="DG68">
        <v>500.07299999999998</v>
      </c>
      <c r="DH68">
        <v>28.654199999999999</v>
      </c>
      <c r="DI68">
        <v>23.093599999999999</v>
      </c>
      <c r="DJ68">
        <v>445.69900000000001</v>
      </c>
      <c r="DK68">
        <v>28.268000000000001</v>
      </c>
      <c r="DL68">
        <v>500.06599999999997</v>
      </c>
      <c r="DM68">
        <v>98.930899999999994</v>
      </c>
      <c r="DN68">
        <v>9.9866399999999994E-2</v>
      </c>
      <c r="DO68">
        <v>30.321100000000001</v>
      </c>
      <c r="DP68">
        <v>29.988399999999999</v>
      </c>
      <c r="DQ68">
        <v>999.9</v>
      </c>
      <c r="DR68">
        <v>0</v>
      </c>
      <c r="DS68">
        <v>0</v>
      </c>
      <c r="DT68">
        <v>10020</v>
      </c>
      <c r="DU68">
        <v>0</v>
      </c>
      <c r="DV68">
        <v>1661.6</v>
      </c>
      <c r="DW68">
        <v>-56.034799999999997</v>
      </c>
      <c r="DX68">
        <v>457.137</v>
      </c>
      <c r="DY68">
        <v>511.89400000000001</v>
      </c>
      <c r="DZ68">
        <v>5.5605900000000004</v>
      </c>
      <c r="EA68">
        <v>500.07299999999998</v>
      </c>
      <c r="EB68">
        <v>23.093599999999999</v>
      </c>
      <c r="EC68">
        <v>2.8347899999999999</v>
      </c>
      <c r="ED68">
        <v>2.2846700000000002</v>
      </c>
      <c r="EE68">
        <v>23.088100000000001</v>
      </c>
      <c r="EF68">
        <v>19.5687</v>
      </c>
      <c r="EG68">
        <v>1800.15</v>
      </c>
      <c r="EH68">
        <v>0.97800900000000002</v>
      </c>
      <c r="EI68">
        <v>2.1991400000000001E-2</v>
      </c>
      <c r="EJ68">
        <v>0</v>
      </c>
      <c r="EK68">
        <v>756.81399999999996</v>
      </c>
      <c r="EL68">
        <v>4.9995000000000003</v>
      </c>
      <c r="EM68">
        <v>14677.5</v>
      </c>
      <c r="EN68">
        <v>16661.3</v>
      </c>
      <c r="EO68">
        <v>46.375</v>
      </c>
      <c r="EP68">
        <v>48.375</v>
      </c>
      <c r="EQ68">
        <v>47.25</v>
      </c>
      <c r="ER68">
        <v>47.375</v>
      </c>
      <c r="ES68">
        <v>47.875</v>
      </c>
      <c r="ET68">
        <v>1755.67</v>
      </c>
      <c r="EU68">
        <v>39.479999999999997</v>
      </c>
      <c r="EV68">
        <v>0</v>
      </c>
      <c r="EW68">
        <v>102</v>
      </c>
      <c r="EX68">
        <v>0</v>
      </c>
      <c r="EY68">
        <v>755.7374615384615</v>
      </c>
      <c r="EZ68">
        <v>8.7448205186638841</v>
      </c>
      <c r="FA68">
        <v>159.20341879040029</v>
      </c>
      <c r="FB68">
        <v>14658.303846153851</v>
      </c>
      <c r="FC68">
        <v>15</v>
      </c>
      <c r="FD68">
        <v>1693333073.0999999</v>
      </c>
      <c r="FE68" t="s">
        <v>685</v>
      </c>
      <c r="FF68">
        <v>1693333069.5999999</v>
      </c>
      <c r="FG68">
        <v>1693333073.0999999</v>
      </c>
      <c r="FH68">
        <v>57</v>
      </c>
      <c r="FI68">
        <v>0.14899999999999999</v>
      </c>
      <c r="FJ68">
        <v>-3.0000000000000001E-3</v>
      </c>
      <c r="FK68">
        <v>-1.732</v>
      </c>
      <c r="FL68">
        <v>0.13800000000000001</v>
      </c>
      <c r="FM68">
        <v>500</v>
      </c>
      <c r="FN68">
        <v>23</v>
      </c>
      <c r="FO68">
        <v>0.12</v>
      </c>
      <c r="FP68">
        <v>0.05</v>
      </c>
      <c r="FQ68">
        <v>44.578314830643833</v>
      </c>
      <c r="FR68">
        <v>0.12882793455462091</v>
      </c>
      <c r="FS68">
        <v>9.523337640413404E-2</v>
      </c>
      <c r="FT68">
        <v>1</v>
      </c>
      <c r="FU68">
        <v>0.3420115102094799</v>
      </c>
      <c r="FV68">
        <v>3.230045456428296E-2</v>
      </c>
      <c r="FW68">
        <v>3.5043043438766292E-3</v>
      </c>
      <c r="FX68">
        <v>1</v>
      </c>
      <c r="FY68">
        <v>2</v>
      </c>
      <c r="FZ68">
        <v>2</v>
      </c>
      <c r="GA68" t="s">
        <v>421</v>
      </c>
      <c r="GB68">
        <v>2.968</v>
      </c>
      <c r="GC68">
        <v>2.8117299999999998</v>
      </c>
      <c r="GD68">
        <v>0.10427400000000001</v>
      </c>
      <c r="GE68">
        <v>0.11238099999999999</v>
      </c>
      <c r="GF68">
        <v>0.133795</v>
      </c>
      <c r="GG68">
        <v>0.114528</v>
      </c>
      <c r="GH68">
        <v>26379.8</v>
      </c>
      <c r="GI68">
        <v>24084.3</v>
      </c>
      <c r="GJ68">
        <v>26478.9</v>
      </c>
      <c r="GK68">
        <v>25610.799999999999</v>
      </c>
      <c r="GL68">
        <v>31220.2</v>
      </c>
      <c r="GM68">
        <v>31975.3</v>
      </c>
      <c r="GN68">
        <v>37486.400000000001</v>
      </c>
      <c r="GO68">
        <v>37921.9</v>
      </c>
      <c r="GP68">
        <v>1.9350000000000001</v>
      </c>
      <c r="GQ68">
        <v>1.8597999999999999</v>
      </c>
      <c r="GR68">
        <v>1.71363E-2</v>
      </c>
      <c r="GS68">
        <v>0</v>
      </c>
      <c r="GT68">
        <v>29.709499999999998</v>
      </c>
      <c r="GU68">
        <v>999.9</v>
      </c>
      <c r="GV68">
        <v>26.2</v>
      </c>
      <c r="GW68">
        <v>48.3</v>
      </c>
      <c r="GX68">
        <v>30.200199999999999</v>
      </c>
      <c r="GY68">
        <v>61.648299999999999</v>
      </c>
      <c r="GZ68">
        <v>14.0505</v>
      </c>
      <c r="HA68">
        <v>1</v>
      </c>
      <c r="HB68">
        <v>0.52233700000000005</v>
      </c>
      <c r="HC68">
        <v>3.7174399999999999</v>
      </c>
      <c r="HD68">
        <v>20.2058</v>
      </c>
      <c r="HE68">
        <v>5.2095000000000002</v>
      </c>
      <c r="HF68">
        <v>11.9381</v>
      </c>
      <c r="HG68">
        <v>4.9862000000000002</v>
      </c>
      <c r="HH68">
        <v>3.2909000000000002</v>
      </c>
      <c r="HI68">
        <v>9999</v>
      </c>
      <c r="HJ68">
        <v>9999</v>
      </c>
      <c r="HK68">
        <v>9999</v>
      </c>
      <c r="HL68">
        <v>999.9</v>
      </c>
      <c r="HM68">
        <v>1.8715299999999999</v>
      </c>
      <c r="HN68">
        <v>1.87741</v>
      </c>
      <c r="HO68">
        <v>1.8751500000000001</v>
      </c>
      <c r="HP68">
        <v>1.87338</v>
      </c>
      <c r="HQ68">
        <v>1.8739399999999999</v>
      </c>
      <c r="HR68">
        <v>1.87134</v>
      </c>
      <c r="HS68">
        <v>1.87714</v>
      </c>
      <c r="HT68">
        <v>1.8763700000000001</v>
      </c>
      <c r="HU68">
        <v>5</v>
      </c>
      <c r="HV68">
        <v>0</v>
      </c>
      <c r="HW68">
        <v>0</v>
      </c>
      <c r="HX68">
        <v>0</v>
      </c>
      <c r="HY68" t="s">
        <v>422</v>
      </c>
      <c r="HZ68" t="s">
        <v>423</v>
      </c>
      <c r="IA68" t="s">
        <v>424</v>
      </c>
      <c r="IB68" t="s">
        <v>424</v>
      </c>
      <c r="IC68" t="s">
        <v>424</v>
      </c>
      <c r="ID68" t="s">
        <v>424</v>
      </c>
      <c r="IE68">
        <v>0</v>
      </c>
      <c r="IF68">
        <v>100</v>
      </c>
      <c r="IG68">
        <v>100</v>
      </c>
      <c r="IH68">
        <v>-1.661</v>
      </c>
      <c r="II68">
        <v>0.38619999999999999</v>
      </c>
      <c r="IJ68">
        <v>-0.79759301352151768</v>
      </c>
      <c r="IK68">
        <v>-2.677719669153116E-3</v>
      </c>
      <c r="IL68">
        <v>1.9353498771248068E-6</v>
      </c>
      <c r="IM68">
        <v>-6.1862177325538213E-10</v>
      </c>
      <c r="IN68">
        <v>-0.24079392388496301</v>
      </c>
      <c r="IO68">
        <v>-1.5299015507423901E-2</v>
      </c>
      <c r="IP68">
        <v>1.742162107778985E-3</v>
      </c>
      <c r="IQ68">
        <v>-1.472690239905804E-5</v>
      </c>
      <c r="IR68">
        <v>3</v>
      </c>
      <c r="IS68">
        <v>2255</v>
      </c>
      <c r="IT68">
        <v>2</v>
      </c>
      <c r="IU68">
        <v>41</v>
      </c>
      <c r="IV68">
        <v>0.6</v>
      </c>
      <c r="IW68">
        <v>0.5</v>
      </c>
      <c r="IX68">
        <v>1.1498999999999999</v>
      </c>
      <c r="IY68">
        <v>2.5769000000000002</v>
      </c>
      <c r="IZ68">
        <v>1.5991200000000001</v>
      </c>
      <c r="JA68">
        <v>2.2717299999999998</v>
      </c>
      <c r="JB68">
        <v>1.5502899999999999</v>
      </c>
      <c r="JC68">
        <v>2.4255399999999998</v>
      </c>
      <c r="JD68">
        <v>53.4878</v>
      </c>
      <c r="JE68">
        <v>23.816099999999999</v>
      </c>
      <c r="JF68">
        <v>18</v>
      </c>
      <c r="JG68">
        <v>502.16399999999999</v>
      </c>
      <c r="JH68">
        <v>424.42</v>
      </c>
      <c r="JI68">
        <v>25.132200000000001</v>
      </c>
      <c r="JJ68">
        <v>33.838700000000003</v>
      </c>
      <c r="JK68">
        <v>30.000399999999999</v>
      </c>
      <c r="JL68">
        <v>33.795699999999997</v>
      </c>
      <c r="JM68">
        <v>33.768900000000002</v>
      </c>
      <c r="JN68">
        <v>23.054200000000002</v>
      </c>
      <c r="JO68">
        <v>20.816199999999998</v>
      </c>
      <c r="JP68">
        <v>0</v>
      </c>
      <c r="JQ68">
        <v>25.138000000000002</v>
      </c>
      <c r="JR68">
        <v>500</v>
      </c>
      <c r="JS68">
        <v>23.022099999999998</v>
      </c>
      <c r="JT68">
        <v>98.864400000000003</v>
      </c>
      <c r="JU68">
        <v>98.477800000000002</v>
      </c>
    </row>
    <row r="69" spans="1:281" x14ac:dyDescent="0.25">
      <c r="A69">
        <v>53</v>
      </c>
      <c r="B69">
        <v>1693333293.0999999</v>
      </c>
      <c r="C69">
        <v>10996</v>
      </c>
      <c r="D69" t="s">
        <v>686</v>
      </c>
      <c r="E69" t="s">
        <v>687</v>
      </c>
      <c r="F69" t="s">
        <v>413</v>
      </c>
      <c r="G69" t="s">
        <v>636</v>
      </c>
      <c r="H69" t="s">
        <v>637</v>
      </c>
      <c r="I69" t="s">
        <v>415</v>
      </c>
      <c r="J69">
        <v>1693333293.0999999</v>
      </c>
      <c r="K69">
        <f t="shared" si="46"/>
        <v>4.5791646432705455E-3</v>
      </c>
      <c r="L69">
        <f t="shared" si="47"/>
        <v>4.5791646432705457</v>
      </c>
      <c r="M69">
        <f t="shared" si="48"/>
        <v>46.339695603598884</v>
      </c>
      <c r="N69">
        <f t="shared" si="49"/>
        <v>640.96799999999996</v>
      </c>
      <c r="O69">
        <f t="shared" si="50"/>
        <v>386.76967643713618</v>
      </c>
      <c r="P69">
        <f t="shared" si="51"/>
        <v>38.29981074081465</v>
      </c>
      <c r="Q69">
        <f t="shared" si="52"/>
        <v>63.471762618671995</v>
      </c>
      <c r="R69">
        <f t="shared" si="53"/>
        <v>0.32260253511620501</v>
      </c>
      <c r="S69">
        <f t="shared" si="54"/>
        <v>2.906677738366386</v>
      </c>
      <c r="T69">
        <f t="shared" si="55"/>
        <v>0.30394934054251743</v>
      </c>
      <c r="U69">
        <f t="shared" si="56"/>
        <v>0.19155431450674398</v>
      </c>
      <c r="V69">
        <f t="shared" si="57"/>
        <v>344.33650065806233</v>
      </c>
      <c r="W69">
        <f t="shared" si="58"/>
        <v>31.145334233519563</v>
      </c>
      <c r="X69">
        <f t="shared" si="59"/>
        <v>29.980599999999999</v>
      </c>
      <c r="Y69">
        <f t="shared" si="60"/>
        <v>4.2557045722008198</v>
      </c>
      <c r="Z69">
        <f t="shared" si="61"/>
        <v>64.988937118106392</v>
      </c>
      <c r="AA69">
        <f t="shared" si="62"/>
        <v>2.8171184615043994</v>
      </c>
      <c r="AB69">
        <f t="shared" si="63"/>
        <v>4.3347661716405108</v>
      </c>
      <c r="AC69">
        <f t="shared" si="64"/>
        <v>1.4385861106964204</v>
      </c>
      <c r="AD69">
        <f t="shared" si="65"/>
        <v>-201.94116076823104</v>
      </c>
      <c r="AE69">
        <f t="shared" si="66"/>
        <v>50.270903122043713</v>
      </c>
      <c r="AF69">
        <f t="shared" si="67"/>
        <v>3.8509259638653672</v>
      </c>
      <c r="AG69">
        <f t="shared" si="68"/>
        <v>196.51716897574039</v>
      </c>
      <c r="AH69">
        <v>1</v>
      </c>
      <c r="AI69">
        <v>0</v>
      </c>
      <c r="AJ69">
        <f t="shared" si="69"/>
        <v>1</v>
      </c>
      <c r="AK69">
        <f t="shared" si="70"/>
        <v>0</v>
      </c>
      <c r="AL69">
        <f t="shared" si="71"/>
        <v>51627.414262580634</v>
      </c>
      <c r="AM69" t="s">
        <v>416</v>
      </c>
      <c r="AN69">
        <v>10238.9</v>
      </c>
      <c r="AO69">
        <v>302.21199999999999</v>
      </c>
      <c r="AP69">
        <v>4052.3</v>
      </c>
      <c r="AQ69">
        <f t="shared" si="72"/>
        <v>0.92542210596451402</v>
      </c>
      <c r="AR69">
        <v>-0.32343011824092421</v>
      </c>
      <c r="AS69" t="s">
        <v>688</v>
      </c>
      <c r="AT69">
        <v>10510.7</v>
      </c>
      <c r="AU69">
        <v>773.32803999999999</v>
      </c>
      <c r="AV69">
        <v>1183.405248465971</v>
      </c>
      <c r="AW69">
        <f t="shared" si="73"/>
        <v>0.34652306046263315</v>
      </c>
      <c r="AX69">
        <v>0.5</v>
      </c>
      <c r="AY69">
        <f t="shared" si="74"/>
        <v>1513.0416003290311</v>
      </c>
      <c r="AZ69">
        <f t="shared" si="75"/>
        <v>46.339695603598884</v>
      </c>
      <c r="BA69">
        <f t="shared" si="76"/>
        <v>262.15190297664805</v>
      </c>
      <c r="BB69">
        <f t="shared" si="77"/>
        <v>3.0840609875956011E-2</v>
      </c>
      <c r="BC69">
        <f t="shared" si="78"/>
        <v>2.4242707688282867</v>
      </c>
      <c r="BD69">
        <f t="shared" si="79"/>
        <v>255.93899529021724</v>
      </c>
      <c r="BE69" t="s">
        <v>689</v>
      </c>
      <c r="BF69">
        <v>592.17999999999995</v>
      </c>
      <c r="BG69">
        <f t="shared" si="80"/>
        <v>592.17999999999995</v>
      </c>
      <c r="BH69">
        <f t="shared" si="81"/>
        <v>0.49959660837432207</v>
      </c>
      <c r="BI69">
        <f t="shared" si="82"/>
        <v>0.69360571039545804</v>
      </c>
      <c r="BJ69">
        <f t="shared" si="83"/>
        <v>0.82913157680485905</v>
      </c>
      <c r="BK69">
        <f t="shared" si="84"/>
        <v>0.46536580844196851</v>
      </c>
      <c r="BL69">
        <f t="shared" si="85"/>
        <v>0.7650206479245365</v>
      </c>
      <c r="BM69">
        <f t="shared" si="86"/>
        <v>0.53113220824371288</v>
      </c>
      <c r="BN69">
        <f t="shared" si="87"/>
        <v>0.46886779175628712</v>
      </c>
      <c r="BO69">
        <v>5568</v>
      </c>
      <c r="BP69">
        <v>290.00000000000011</v>
      </c>
      <c r="BQ69">
        <v>1074.79</v>
      </c>
      <c r="BR69">
        <v>165</v>
      </c>
      <c r="BS69">
        <v>10510.7</v>
      </c>
      <c r="BT69">
        <v>1074.74</v>
      </c>
      <c r="BU69">
        <v>0.05</v>
      </c>
      <c r="BV69">
        <v>300.00000000000011</v>
      </c>
      <c r="BW69">
        <v>38.200000000000003</v>
      </c>
      <c r="BX69">
        <v>1183.405248465971</v>
      </c>
      <c r="BY69">
        <v>1.2623802835806539</v>
      </c>
      <c r="BZ69">
        <v>-114.2145638232131</v>
      </c>
      <c r="CA69">
        <v>1.0853471511993049</v>
      </c>
      <c r="CB69">
        <v>0.99747793833761667</v>
      </c>
      <c r="CC69">
        <v>-1.1401332591768631E-2</v>
      </c>
      <c r="CD69">
        <v>289.99999999999989</v>
      </c>
      <c r="CE69">
        <v>1065.3</v>
      </c>
      <c r="CF69">
        <v>655</v>
      </c>
      <c r="CG69">
        <v>10477.299999999999</v>
      </c>
      <c r="CH69">
        <v>1074.3900000000001</v>
      </c>
      <c r="CI69">
        <v>-9.09</v>
      </c>
      <c r="CW69">
        <f t="shared" si="88"/>
        <v>1799.83</v>
      </c>
      <c r="CX69">
        <f t="shared" si="89"/>
        <v>1513.0416003290311</v>
      </c>
      <c r="CY69">
        <f t="shared" si="90"/>
        <v>0.84065806233312657</v>
      </c>
      <c r="CZ69">
        <f t="shared" si="91"/>
        <v>0.19131612466625311</v>
      </c>
      <c r="DA69">
        <v>6</v>
      </c>
      <c r="DB69">
        <v>0.5</v>
      </c>
      <c r="DC69" t="s">
        <v>419</v>
      </c>
      <c r="DD69">
        <v>2</v>
      </c>
      <c r="DE69">
        <v>1693333293.0999999</v>
      </c>
      <c r="DF69">
        <v>640.96799999999996</v>
      </c>
      <c r="DG69">
        <v>700.04600000000005</v>
      </c>
      <c r="DH69">
        <v>28.448599999999999</v>
      </c>
      <c r="DI69">
        <v>23.114599999999999</v>
      </c>
      <c r="DJ69">
        <v>642.69200000000001</v>
      </c>
      <c r="DK69">
        <v>28.0761</v>
      </c>
      <c r="DL69">
        <v>500.43799999999999</v>
      </c>
      <c r="DM69">
        <v>98.924499999999995</v>
      </c>
      <c r="DN69">
        <v>0.100354</v>
      </c>
      <c r="DO69">
        <v>30.301400000000001</v>
      </c>
      <c r="DP69">
        <v>29.980599999999999</v>
      </c>
      <c r="DQ69">
        <v>999.9</v>
      </c>
      <c r="DR69">
        <v>0</v>
      </c>
      <c r="DS69">
        <v>0</v>
      </c>
      <c r="DT69">
        <v>9977.5</v>
      </c>
      <c r="DU69">
        <v>0</v>
      </c>
      <c r="DV69">
        <v>1621.37</v>
      </c>
      <c r="DW69">
        <v>-59.078200000000002</v>
      </c>
      <c r="DX69">
        <v>659.73699999999997</v>
      </c>
      <c r="DY69">
        <v>716.61</v>
      </c>
      <c r="DZ69">
        <v>5.3340300000000003</v>
      </c>
      <c r="EA69">
        <v>700.04600000000005</v>
      </c>
      <c r="EB69">
        <v>23.114599999999999</v>
      </c>
      <c r="EC69">
        <v>2.81426</v>
      </c>
      <c r="ED69">
        <v>2.2866</v>
      </c>
      <c r="EE69">
        <v>22.968</v>
      </c>
      <c r="EF69">
        <v>19.5823</v>
      </c>
      <c r="EG69">
        <v>1799.83</v>
      </c>
      <c r="EH69">
        <v>0.97800500000000001</v>
      </c>
      <c r="EI69">
        <v>2.1995000000000001E-2</v>
      </c>
      <c r="EJ69">
        <v>0</v>
      </c>
      <c r="EK69">
        <v>773.16700000000003</v>
      </c>
      <c r="EL69">
        <v>4.9995000000000003</v>
      </c>
      <c r="EM69">
        <v>14963.3</v>
      </c>
      <c r="EN69">
        <v>16658.2</v>
      </c>
      <c r="EO69">
        <v>46.375</v>
      </c>
      <c r="EP69">
        <v>48.436999999999998</v>
      </c>
      <c r="EQ69">
        <v>47.25</v>
      </c>
      <c r="ER69">
        <v>47.375</v>
      </c>
      <c r="ES69">
        <v>47.875</v>
      </c>
      <c r="ET69">
        <v>1755.35</v>
      </c>
      <c r="EU69">
        <v>39.479999999999997</v>
      </c>
      <c r="EV69">
        <v>0</v>
      </c>
      <c r="EW69">
        <v>187.39999985694891</v>
      </c>
      <c r="EX69">
        <v>0</v>
      </c>
      <c r="EY69">
        <v>773.32803999999999</v>
      </c>
      <c r="EZ69">
        <v>0.73361539265374054</v>
      </c>
      <c r="FA69">
        <v>-2.4384615630240081</v>
      </c>
      <c r="FB69">
        <v>14963.755999999999</v>
      </c>
      <c r="FC69">
        <v>15</v>
      </c>
      <c r="FD69">
        <v>1693333178.5999999</v>
      </c>
      <c r="FE69" t="s">
        <v>690</v>
      </c>
      <c r="FF69">
        <v>1693333178.5999999</v>
      </c>
      <c r="FG69">
        <v>1693333171.0999999</v>
      </c>
      <c r="FH69">
        <v>58</v>
      </c>
      <c r="FI69">
        <v>0.159</v>
      </c>
      <c r="FJ69">
        <v>-5.0000000000000001E-3</v>
      </c>
      <c r="FK69">
        <v>-1.7789999999999999</v>
      </c>
      <c r="FL69">
        <v>0.13100000000000001</v>
      </c>
      <c r="FM69">
        <v>700</v>
      </c>
      <c r="FN69">
        <v>23</v>
      </c>
      <c r="FO69">
        <v>0.13</v>
      </c>
      <c r="FP69">
        <v>0.03</v>
      </c>
      <c r="FQ69">
        <v>45.916336256916473</v>
      </c>
      <c r="FR69">
        <v>-2.4321691715311551</v>
      </c>
      <c r="FS69">
        <v>0.43315013311951123</v>
      </c>
      <c r="FT69">
        <v>0</v>
      </c>
      <c r="FU69">
        <v>0.32894949770029108</v>
      </c>
      <c r="FV69">
        <v>9.4203569823858547E-4</v>
      </c>
      <c r="FW69">
        <v>1.0845538040404031E-3</v>
      </c>
      <c r="FX69">
        <v>1</v>
      </c>
      <c r="FY69">
        <v>1</v>
      </c>
      <c r="FZ69">
        <v>2</v>
      </c>
      <c r="GA69" t="s">
        <v>460</v>
      </c>
      <c r="GB69">
        <v>2.9689399999999999</v>
      </c>
      <c r="GC69">
        <v>2.8118500000000002</v>
      </c>
      <c r="GD69">
        <v>0.13606499999999999</v>
      </c>
      <c r="GE69">
        <v>0.14280499999999999</v>
      </c>
      <c r="GF69">
        <v>0.133134</v>
      </c>
      <c r="GG69">
        <v>0.114579</v>
      </c>
      <c r="GH69">
        <v>25442.1</v>
      </c>
      <c r="GI69">
        <v>23257.1</v>
      </c>
      <c r="GJ69">
        <v>26478.799999999999</v>
      </c>
      <c r="GK69">
        <v>25610.7</v>
      </c>
      <c r="GL69">
        <v>31247.7</v>
      </c>
      <c r="GM69">
        <v>31976.1</v>
      </c>
      <c r="GN69">
        <v>37487.199999999997</v>
      </c>
      <c r="GO69">
        <v>37922.5</v>
      </c>
      <c r="GP69">
        <v>1.9340999999999999</v>
      </c>
      <c r="GQ69">
        <v>1.8583000000000001</v>
      </c>
      <c r="GR69">
        <v>1.7881399999999999E-2</v>
      </c>
      <c r="GS69">
        <v>0</v>
      </c>
      <c r="GT69">
        <v>29.689499999999999</v>
      </c>
      <c r="GU69">
        <v>999.9</v>
      </c>
      <c r="GV69">
        <v>26.1</v>
      </c>
      <c r="GW69">
        <v>48.5</v>
      </c>
      <c r="GX69">
        <v>30.3949</v>
      </c>
      <c r="GY69">
        <v>61.7883</v>
      </c>
      <c r="GZ69">
        <v>13.958299999999999</v>
      </c>
      <c r="HA69">
        <v>1</v>
      </c>
      <c r="HB69">
        <v>0.52302800000000005</v>
      </c>
      <c r="HC69">
        <v>3.3314400000000002</v>
      </c>
      <c r="HD69">
        <v>20.2134</v>
      </c>
      <c r="HE69">
        <v>5.2100999999999997</v>
      </c>
      <c r="HF69">
        <v>11.9381</v>
      </c>
      <c r="HG69">
        <v>4.9871999999999996</v>
      </c>
      <c r="HH69">
        <v>3.2909999999999999</v>
      </c>
      <c r="HI69">
        <v>9999</v>
      </c>
      <c r="HJ69">
        <v>9999</v>
      </c>
      <c r="HK69">
        <v>9999</v>
      </c>
      <c r="HL69">
        <v>999.9</v>
      </c>
      <c r="HM69">
        <v>1.87151</v>
      </c>
      <c r="HN69">
        <v>1.8774200000000001</v>
      </c>
      <c r="HO69">
        <v>1.8751500000000001</v>
      </c>
      <c r="HP69">
        <v>1.8733900000000001</v>
      </c>
      <c r="HQ69">
        <v>1.8739300000000001</v>
      </c>
      <c r="HR69">
        <v>1.87134</v>
      </c>
      <c r="HS69">
        <v>1.87714</v>
      </c>
      <c r="HT69">
        <v>1.8763700000000001</v>
      </c>
      <c r="HU69">
        <v>5</v>
      </c>
      <c r="HV69">
        <v>0</v>
      </c>
      <c r="HW69">
        <v>0</v>
      </c>
      <c r="HX69">
        <v>0</v>
      </c>
      <c r="HY69" t="s">
        <v>422</v>
      </c>
      <c r="HZ69" t="s">
        <v>423</v>
      </c>
      <c r="IA69" t="s">
        <v>424</v>
      </c>
      <c r="IB69" t="s">
        <v>424</v>
      </c>
      <c r="IC69" t="s">
        <v>424</v>
      </c>
      <c r="ID69" t="s">
        <v>424</v>
      </c>
      <c r="IE69">
        <v>0</v>
      </c>
      <c r="IF69">
        <v>100</v>
      </c>
      <c r="IG69">
        <v>100</v>
      </c>
      <c r="IH69">
        <v>-1.724</v>
      </c>
      <c r="II69">
        <v>0.3725</v>
      </c>
      <c r="IJ69">
        <v>-0.63854757304722787</v>
      </c>
      <c r="IK69">
        <v>-2.677719669153116E-3</v>
      </c>
      <c r="IL69">
        <v>1.9353498771248068E-6</v>
      </c>
      <c r="IM69">
        <v>-6.1862177325538213E-10</v>
      </c>
      <c r="IN69">
        <v>-0.24538119551589679</v>
      </c>
      <c r="IO69">
        <v>-1.5299015507423901E-2</v>
      </c>
      <c r="IP69">
        <v>1.742162107778985E-3</v>
      </c>
      <c r="IQ69">
        <v>-1.472690239905804E-5</v>
      </c>
      <c r="IR69">
        <v>3</v>
      </c>
      <c r="IS69">
        <v>2255</v>
      </c>
      <c r="IT69">
        <v>2</v>
      </c>
      <c r="IU69">
        <v>41</v>
      </c>
      <c r="IV69">
        <v>1.9</v>
      </c>
      <c r="IW69">
        <v>2</v>
      </c>
      <c r="IX69">
        <v>1.5112300000000001</v>
      </c>
      <c r="IY69">
        <v>2.5769000000000002</v>
      </c>
      <c r="IZ69">
        <v>1.5991200000000001</v>
      </c>
      <c r="JA69">
        <v>2.2717299999999998</v>
      </c>
      <c r="JB69">
        <v>1.5502899999999999</v>
      </c>
      <c r="JC69">
        <v>2.2705099999999998</v>
      </c>
      <c r="JD69">
        <v>53.629100000000001</v>
      </c>
      <c r="JE69">
        <v>23.816099999999999</v>
      </c>
      <c r="JF69">
        <v>18</v>
      </c>
      <c r="JG69">
        <v>502.02499999999998</v>
      </c>
      <c r="JH69">
        <v>423.91300000000001</v>
      </c>
      <c r="JI69">
        <v>25.306000000000001</v>
      </c>
      <c r="JJ69">
        <v>33.896599999999999</v>
      </c>
      <c r="JK69">
        <v>29.999700000000001</v>
      </c>
      <c r="JL69">
        <v>33.853400000000001</v>
      </c>
      <c r="JM69">
        <v>33.825400000000002</v>
      </c>
      <c r="JN69">
        <v>30.273599999999998</v>
      </c>
      <c r="JO69">
        <v>21.1784</v>
      </c>
      <c r="JP69">
        <v>0</v>
      </c>
      <c r="JQ69">
        <v>25.315000000000001</v>
      </c>
      <c r="JR69">
        <v>700</v>
      </c>
      <c r="JS69">
        <v>23.137899999999998</v>
      </c>
      <c r="JT69">
        <v>98.865600000000001</v>
      </c>
      <c r="JU69">
        <v>98.478399999999993</v>
      </c>
    </row>
    <row r="70" spans="1:281" x14ac:dyDescent="0.25">
      <c r="A70">
        <v>54</v>
      </c>
      <c r="B70">
        <v>1693333394.0999999</v>
      </c>
      <c r="C70">
        <v>11097</v>
      </c>
      <c r="D70" t="s">
        <v>691</v>
      </c>
      <c r="E70" t="s">
        <v>692</v>
      </c>
      <c r="F70" t="s">
        <v>413</v>
      </c>
      <c r="G70" t="s">
        <v>636</v>
      </c>
      <c r="H70" t="s">
        <v>637</v>
      </c>
      <c r="I70" t="s">
        <v>415</v>
      </c>
      <c r="J70">
        <v>1693333394.0999999</v>
      </c>
      <c r="K70">
        <f t="shared" si="46"/>
        <v>4.5362991850548514E-3</v>
      </c>
      <c r="L70">
        <f t="shared" si="47"/>
        <v>4.5362991850548511</v>
      </c>
      <c r="M70">
        <f t="shared" si="48"/>
        <v>45.93786975779021</v>
      </c>
      <c r="N70">
        <f t="shared" si="49"/>
        <v>840.29</v>
      </c>
      <c r="O70">
        <f t="shared" si="50"/>
        <v>582.41345595662608</v>
      </c>
      <c r="P70">
        <f t="shared" si="51"/>
        <v>57.673385312028998</v>
      </c>
      <c r="Q70">
        <f t="shared" si="52"/>
        <v>83.209562636640001</v>
      </c>
      <c r="R70">
        <f t="shared" si="53"/>
        <v>0.3209916391643452</v>
      </c>
      <c r="S70">
        <f t="shared" si="54"/>
        <v>2.9088952367424206</v>
      </c>
      <c r="T70">
        <f t="shared" si="55"/>
        <v>0.30253175478054056</v>
      </c>
      <c r="U70">
        <f t="shared" si="56"/>
        <v>0.19065236896239873</v>
      </c>
      <c r="V70">
        <f t="shared" si="57"/>
        <v>344.38590065796728</v>
      </c>
      <c r="W70">
        <f t="shared" si="58"/>
        <v>31.182509136373184</v>
      </c>
      <c r="X70">
        <f t="shared" si="59"/>
        <v>30.0123</v>
      </c>
      <c r="Y70">
        <f t="shared" si="60"/>
        <v>4.2634607151818038</v>
      </c>
      <c r="Z70">
        <f t="shared" si="61"/>
        <v>65.229993415624762</v>
      </c>
      <c r="AA70">
        <f t="shared" si="62"/>
        <v>2.8318324681152003</v>
      </c>
      <c r="AB70">
        <f t="shared" si="63"/>
        <v>4.3413042372573374</v>
      </c>
      <c r="AC70">
        <f t="shared" si="64"/>
        <v>1.4316282470666035</v>
      </c>
      <c r="AD70">
        <f t="shared" si="65"/>
        <v>-200.05079406091895</v>
      </c>
      <c r="AE70">
        <f t="shared" si="66"/>
        <v>49.462403145027437</v>
      </c>
      <c r="AF70">
        <f t="shared" si="67"/>
        <v>3.7871903058079872</v>
      </c>
      <c r="AG70">
        <f t="shared" si="68"/>
        <v>197.58470004788376</v>
      </c>
      <c r="AH70">
        <v>1</v>
      </c>
      <c r="AI70">
        <v>0</v>
      </c>
      <c r="AJ70">
        <f t="shared" si="69"/>
        <v>1</v>
      </c>
      <c r="AK70">
        <f t="shared" si="70"/>
        <v>0</v>
      </c>
      <c r="AL70">
        <f t="shared" si="71"/>
        <v>51685.880649450053</v>
      </c>
      <c r="AM70" t="s">
        <v>416</v>
      </c>
      <c r="AN70">
        <v>10238.9</v>
      </c>
      <c r="AO70">
        <v>302.21199999999999</v>
      </c>
      <c r="AP70">
        <v>4052.3</v>
      </c>
      <c r="AQ70">
        <f t="shared" si="72"/>
        <v>0.92542210596451402</v>
      </c>
      <c r="AR70">
        <v>-0.32343011824092421</v>
      </c>
      <c r="AS70" t="s">
        <v>693</v>
      </c>
      <c r="AT70">
        <v>10491.6</v>
      </c>
      <c r="AU70">
        <v>774.18776923076916</v>
      </c>
      <c r="AV70">
        <v>1193.2836702390471</v>
      </c>
      <c r="AW70">
        <f t="shared" si="73"/>
        <v>0.35121229885289695</v>
      </c>
      <c r="AX70">
        <v>0.5</v>
      </c>
      <c r="AY70">
        <f t="shared" si="74"/>
        <v>1513.2600003289836</v>
      </c>
      <c r="AZ70">
        <f t="shared" si="75"/>
        <v>45.93786975779021</v>
      </c>
      <c r="BA70">
        <f t="shared" si="76"/>
        <v>265.73776173883897</v>
      </c>
      <c r="BB70">
        <f t="shared" si="77"/>
        <v>3.0570622276392623E-2</v>
      </c>
      <c r="BC70">
        <f t="shared" si="78"/>
        <v>2.3959234514524237</v>
      </c>
      <c r="BD70">
        <f t="shared" si="79"/>
        <v>256.39804693728189</v>
      </c>
      <c r="BE70" t="s">
        <v>694</v>
      </c>
      <c r="BF70">
        <v>592.67999999999995</v>
      </c>
      <c r="BG70">
        <f t="shared" si="80"/>
        <v>592.67999999999995</v>
      </c>
      <c r="BH70">
        <f t="shared" si="81"/>
        <v>0.50332011173732893</v>
      </c>
      <c r="BI70">
        <f t="shared" si="82"/>
        <v>0.69779110880470141</v>
      </c>
      <c r="BJ70">
        <f t="shared" si="83"/>
        <v>0.82639605787946457</v>
      </c>
      <c r="BK70">
        <f t="shared" si="84"/>
        <v>0.47032793770207887</v>
      </c>
      <c r="BL70">
        <f t="shared" si="85"/>
        <v>0.76238646393390053</v>
      </c>
      <c r="BM70">
        <f t="shared" si="86"/>
        <v>0.53419448201473041</v>
      </c>
      <c r="BN70">
        <f t="shared" si="87"/>
        <v>0.46580551798526959</v>
      </c>
      <c r="BO70">
        <v>5570</v>
      </c>
      <c r="BP70">
        <v>290.00000000000011</v>
      </c>
      <c r="BQ70">
        <v>1080.24</v>
      </c>
      <c r="BR70">
        <v>275</v>
      </c>
      <c r="BS70">
        <v>10491.6</v>
      </c>
      <c r="BT70">
        <v>1079.99</v>
      </c>
      <c r="BU70">
        <v>0.25</v>
      </c>
      <c r="BV70">
        <v>300.00000000000011</v>
      </c>
      <c r="BW70">
        <v>38.200000000000003</v>
      </c>
      <c r="BX70">
        <v>1193.2836702390471</v>
      </c>
      <c r="BY70">
        <v>1.237465142208279</v>
      </c>
      <c r="BZ70">
        <v>-118.8603913928399</v>
      </c>
      <c r="CA70">
        <v>1.063929408284509</v>
      </c>
      <c r="CB70">
        <v>0.99776160804942982</v>
      </c>
      <c r="CC70">
        <v>-1.1401305672969981E-2</v>
      </c>
      <c r="CD70">
        <v>289.99999999999989</v>
      </c>
      <c r="CE70">
        <v>1069.48</v>
      </c>
      <c r="CF70">
        <v>685</v>
      </c>
      <c r="CG70">
        <v>10474.4</v>
      </c>
      <c r="CH70">
        <v>1079.81</v>
      </c>
      <c r="CI70">
        <v>-10.33</v>
      </c>
      <c r="CW70">
        <f t="shared" si="88"/>
        <v>1800.09</v>
      </c>
      <c r="CX70">
        <f t="shared" si="89"/>
        <v>1513.2600003289836</v>
      </c>
      <c r="CY70">
        <f t="shared" si="90"/>
        <v>0.84065796728440445</v>
      </c>
      <c r="CZ70">
        <f t="shared" si="91"/>
        <v>0.19131593456880894</v>
      </c>
      <c r="DA70">
        <v>6</v>
      </c>
      <c r="DB70">
        <v>0.5</v>
      </c>
      <c r="DC70" t="s">
        <v>419</v>
      </c>
      <c r="DD70">
        <v>2</v>
      </c>
      <c r="DE70">
        <v>1693333394.0999999</v>
      </c>
      <c r="DF70">
        <v>840.29</v>
      </c>
      <c r="DG70">
        <v>899.99199999999996</v>
      </c>
      <c r="DH70">
        <v>28.597200000000001</v>
      </c>
      <c r="DI70">
        <v>23.309100000000001</v>
      </c>
      <c r="DJ70">
        <v>842.16800000000001</v>
      </c>
      <c r="DK70">
        <v>28.219000000000001</v>
      </c>
      <c r="DL70">
        <v>499.98</v>
      </c>
      <c r="DM70">
        <v>98.926199999999994</v>
      </c>
      <c r="DN70">
        <v>9.8615999999999995E-2</v>
      </c>
      <c r="DO70">
        <v>30.3277</v>
      </c>
      <c r="DP70">
        <v>30.0123</v>
      </c>
      <c r="DQ70">
        <v>999.9</v>
      </c>
      <c r="DR70">
        <v>0</v>
      </c>
      <c r="DS70">
        <v>0</v>
      </c>
      <c r="DT70">
        <v>9990</v>
      </c>
      <c r="DU70">
        <v>0</v>
      </c>
      <c r="DV70">
        <v>1618.69</v>
      </c>
      <c r="DW70">
        <v>-59.701500000000003</v>
      </c>
      <c r="DX70">
        <v>865.02800000000002</v>
      </c>
      <c r="DY70">
        <v>921.471</v>
      </c>
      <c r="DZ70">
        <v>5.2880399999999996</v>
      </c>
      <c r="EA70">
        <v>899.99199999999996</v>
      </c>
      <c r="EB70">
        <v>23.309100000000001</v>
      </c>
      <c r="EC70">
        <v>2.8290099999999998</v>
      </c>
      <c r="ED70">
        <v>2.3058900000000002</v>
      </c>
      <c r="EE70">
        <v>23.054300000000001</v>
      </c>
      <c r="EF70">
        <v>19.717600000000001</v>
      </c>
      <c r="EG70">
        <v>1800.09</v>
      </c>
      <c r="EH70">
        <v>0.97800900000000002</v>
      </c>
      <c r="EI70">
        <v>2.1991400000000001E-2</v>
      </c>
      <c r="EJ70">
        <v>0</v>
      </c>
      <c r="EK70">
        <v>774.34100000000001</v>
      </c>
      <c r="EL70">
        <v>4.9995000000000003</v>
      </c>
      <c r="EM70">
        <v>14975.1</v>
      </c>
      <c r="EN70">
        <v>16660.7</v>
      </c>
      <c r="EO70">
        <v>46.311999999999998</v>
      </c>
      <c r="EP70">
        <v>48.311999999999998</v>
      </c>
      <c r="EQ70">
        <v>47.25</v>
      </c>
      <c r="ER70">
        <v>47.25</v>
      </c>
      <c r="ES70">
        <v>47.811999999999998</v>
      </c>
      <c r="ET70">
        <v>1755.61</v>
      </c>
      <c r="EU70">
        <v>39.479999999999997</v>
      </c>
      <c r="EV70">
        <v>0</v>
      </c>
      <c r="EW70">
        <v>99.200000047683716</v>
      </c>
      <c r="EX70">
        <v>0</v>
      </c>
      <c r="EY70">
        <v>774.18776923076916</v>
      </c>
      <c r="EZ70">
        <v>-0.8754188106498777</v>
      </c>
      <c r="FA70">
        <v>-18.04444444530457</v>
      </c>
      <c r="FB70">
        <v>14973.93076923077</v>
      </c>
      <c r="FC70">
        <v>15</v>
      </c>
      <c r="FD70">
        <v>1693333362.0999999</v>
      </c>
      <c r="FE70" t="s">
        <v>695</v>
      </c>
      <c r="FF70">
        <v>1693333360.5999999</v>
      </c>
      <c r="FG70">
        <v>1693333362.0999999</v>
      </c>
      <c r="FH70">
        <v>59</v>
      </c>
      <c r="FI70">
        <v>1.2999999999999999E-2</v>
      </c>
      <c r="FJ70">
        <v>-1E-3</v>
      </c>
      <c r="FK70">
        <v>-1.921</v>
      </c>
      <c r="FL70">
        <v>0.13700000000000001</v>
      </c>
      <c r="FM70">
        <v>900</v>
      </c>
      <c r="FN70">
        <v>23</v>
      </c>
      <c r="FO70">
        <v>0.11</v>
      </c>
      <c r="FP70">
        <v>0.04</v>
      </c>
      <c r="FQ70">
        <v>45.922646131453327</v>
      </c>
      <c r="FR70">
        <v>-0.54088675551420418</v>
      </c>
      <c r="FS70">
        <v>0.1560429205615837</v>
      </c>
      <c r="FT70">
        <v>1</v>
      </c>
      <c r="FU70">
        <v>0.31970146960658402</v>
      </c>
      <c r="FV70">
        <v>1.9487943766737501E-2</v>
      </c>
      <c r="FW70">
        <v>1.995236088720616E-3</v>
      </c>
      <c r="FX70">
        <v>1</v>
      </c>
      <c r="FY70">
        <v>2</v>
      </c>
      <c r="FZ70">
        <v>2</v>
      </c>
      <c r="GA70" t="s">
        <v>421</v>
      </c>
      <c r="GB70">
        <v>2.9677500000000001</v>
      </c>
      <c r="GC70">
        <v>2.8102200000000002</v>
      </c>
      <c r="GD70">
        <v>0.16370399999999999</v>
      </c>
      <c r="GE70">
        <v>0.16920299999999999</v>
      </c>
      <c r="GF70">
        <v>0.13361700000000001</v>
      </c>
      <c r="GG70">
        <v>0.115262</v>
      </c>
      <c r="GH70">
        <v>24629.3</v>
      </c>
      <c r="GI70">
        <v>22540.9</v>
      </c>
      <c r="GJ70">
        <v>26481.4</v>
      </c>
      <c r="GK70">
        <v>25612.1</v>
      </c>
      <c r="GL70">
        <v>31234.7</v>
      </c>
      <c r="GM70">
        <v>31955</v>
      </c>
      <c r="GN70">
        <v>37490.6</v>
      </c>
      <c r="GO70">
        <v>37924.400000000001</v>
      </c>
      <c r="GP70">
        <v>1.9336</v>
      </c>
      <c r="GQ70">
        <v>1.8599000000000001</v>
      </c>
      <c r="GR70">
        <v>2.4735900000000002E-2</v>
      </c>
      <c r="GS70">
        <v>0</v>
      </c>
      <c r="GT70">
        <v>29.6097</v>
      </c>
      <c r="GU70">
        <v>999.9</v>
      </c>
      <c r="GV70">
        <v>25.9</v>
      </c>
      <c r="GW70">
        <v>48.6</v>
      </c>
      <c r="GX70">
        <v>30.3123</v>
      </c>
      <c r="GY70">
        <v>61.618400000000001</v>
      </c>
      <c r="GZ70">
        <v>14.7957</v>
      </c>
      <c r="HA70">
        <v>1</v>
      </c>
      <c r="HB70">
        <v>0.51770300000000002</v>
      </c>
      <c r="HC70">
        <v>3.2103000000000002</v>
      </c>
      <c r="HD70">
        <v>20.213699999999999</v>
      </c>
      <c r="HE70">
        <v>5.1951299999999998</v>
      </c>
      <c r="HF70">
        <v>11.9375</v>
      </c>
      <c r="HG70">
        <v>4.9833999999999996</v>
      </c>
      <c r="HH70">
        <v>3.2881999999999998</v>
      </c>
      <c r="HI70">
        <v>9999</v>
      </c>
      <c r="HJ70">
        <v>9999</v>
      </c>
      <c r="HK70">
        <v>9999</v>
      </c>
      <c r="HL70">
        <v>999.9</v>
      </c>
      <c r="HM70">
        <v>1.8715299999999999</v>
      </c>
      <c r="HN70">
        <v>1.8774</v>
      </c>
      <c r="HO70">
        <v>1.8751800000000001</v>
      </c>
      <c r="HP70">
        <v>1.8734200000000001</v>
      </c>
      <c r="HQ70">
        <v>1.8739300000000001</v>
      </c>
      <c r="HR70">
        <v>1.8713599999999999</v>
      </c>
      <c r="HS70">
        <v>1.87714</v>
      </c>
      <c r="HT70">
        <v>1.8763700000000001</v>
      </c>
      <c r="HU70">
        <v>5</v>
      </c>
      <c r="HV70">
        <v>0</v>
      </c>
      <c r="HW70">
        <v>0</v>
      </c>
      <c r="HX70">
        <v>0</v>
      </c>
      <c r="HY70" t="s">
        <v>422</v>
      </c>
      <c r="HZ70" t="s">
        <v>423</v>
      </c>
      <c r="IA70" t="s">
        <v>424</v>
      </c>
      <c r="IB70" t="s">
        <v>424</v>
      </c>
      <c r="IC70" t="s">
        <v>424</v>
      </c>
      <c r="ID70" t="s">
        <v>424</v>
      </c>
      <c r="IE70">
        <v>0</v>
      </c>
      <c r="IF70">
        <v>100</v>
      </c>
      <c r="IG70">
        <v>100</v>
      </c>
      <c r="IH70">
        <v>-1.8779999999999999</v>
      </c>
      <c r="II70">
        <v>0.37819999999999998</v>
      </c>
      <c r="IJ70">
        <v>-0.62573652074127972</v>
      </c>
      <c r="IK70">
        <v>-2.677719669153116E-3</v>
      </c>
      <c r="IL70">
        <v>1.9353498771248068E-6</v>
      </c>
      <c r="IM70">
        <v>-6.1862177325538213E-10</v>
      </c>
      <c r="IN70">
        <v>-0.24644255937122489</v>
      </c>
      <c r="IO70">
        <v>-1.5299015507423901E-2</v>
      </c>
      <c r="IP70">
        <v>1.742162107778985E-3</v>
      </c>
      <c r="IQ70">
        <v>-1.472690239905804E-5</v>
      </c>
      <c r="IR70">
        <v>3</v>
      </c>
      <c r="IS70">
        <v>2255</v>
      </c>
      <c r="IT70">
        <v>2</v>
      </c>
      <c r="IU70">
        <v>41</v>
      </c>
      <c r="IV70">
        <v>0.6</v>
      </c>
      <c r="IW70">
        <v>0.5</v>
      </c>
      <c r="IX70">
        <v>1.8591299999999999</v>
      </c>
      <c r="IY70">
        <v>2.5683600000000002</v>
      </c>
      <c r="IZ70">
        <v>1.5991200000000001</v>
      </c>
      <c r="JA70">
        <v>2.2717299999999998</v>
      </c>
      <c r="JB70">
        <v>1.5502899999999999</v>
      </c>
      <c r="JC70">
        <v>2.4267599999999998</v>
      </c>
      <c r="JD70">
        <v>53.6646</v>
      </c>
      <c r="JE70">
        <v>23.8248</v>
      </c>
      <c r="JF70">
        <v>18</v>
      </c>
      <c r="JG70">
        <v>501.512</v>
      </c>
      <c r="JH70">
        <v>424.697</v>
      </c>
      <c r="JI70">
        <v>25.504100000000001</v>
      </c>
      <c r="JJ70">
        <v>33.844799999999999</v>
      </c>
      <c r="JK70">
        <v>29.9999</v>
      </c>
      <c r="JL70">
        <v>33.829099999999997</v>
      </c>
      <c r="JM70">
        <v>33.801299999999998</v>
      </c>
      <c r="JN70">
        <v>37.226500000000001</v>
      </c>
      <c r="JO70">
        <v>20.216999999999999</v>
      </c>
      <c r="JP70">
        <v>0</v>
      </c>
      <c r="JQ70">
        <v>25.505299999999998</v>
      </c>
      <c r="JR70">
        <v>900</v>
      </c>
      <c r="JS70">
        <v>23.288799999999998</v>
      </c>
      <c r="JT70">
        <v>98.874899999999997</v>
      </c>
      <c r="JU70">
        <v>98.483699999999999</v>
      </c>
    </row>
    <row r="71" spans="1:281" x14ac:dyDescent="0.25">
      <c r="A71">
        <v>55</v>
      </c>
      <c r="B71">
        <v>1693333498.0999999</v>
      </c>
      <c r="C71">
        <v>11201</v>
      </c>
      <c r="D71" t="s">
        <v>696</v>
      </c>
      <c r="E71" t="s">
        <v>697</v>
      </c>
      <c r="F71" t="s">
        <v>413</v>
      </c>
      <c r="G71" t="s">
        <v>636</v>
      </c>
      <c r="H71" t="s">
        <v>637</v>
      </c>
      <c r="I71" t="s">
        <v>415</v>
      </c>
      <c r="J71">
        <v>1693333498.0999999</v>
      </c>
      <c r="K71">
        <f t="shared" si="46"/>
        <v>4.0750634940913731E-3</v>
      </c>
      <c r="L71">
        <f t="shared" si="47"/>
        <v>4.0750634940913733</v>
      </c>
      <c r="M71">
        <f t="shared" si="48"/>
        <v>44.949806188798334</v>
      </c>
      <c r="N71">
        <f t="shared" si="49"/>
        <v>1140.44</v>
      </c>
      <c r="O71">
        <f t="shared" si="50"/>
        <v>853.28449393405413</v>
      </c>
      <c r="P71">
        <f t="shared" si="51"/>
        <v>84.498053402736659</v>
      </c>
      <c r="Q71">
        <f t="shared" si="52"/>
        <v>112.93415116256001</v>
      </c>
      <c r="R71">
        <f t="shared" si="53"/>
        <v>0.28583194602665651</v>
      </c>
      <c r="S71">
        <f t="shared" si="54"/>
        <v>2.9036369200667451</v>
      </c>
      <c r="T71">
        <f t="shared" si="55"/>
        <v>0.27106969246998769</v>
      </c>
      <c r="U71">
        <f t="shared" si="56"/>
        <v>0.17068132807732345</v>
      </c>
      <c r="V71">
        <f t="shared" si="57"/>
        <v>344.41181382339113</v>
      </c>
      <c r="W71">
        <f t="shared" si="58"/>
        <v>31.270690914179816</v>
      </c>
      <c r="X71">
        <f t="shared" si="59"/>
        <v>30.037099999999999</v>
      </c>
      <c r="Y71">
        <f t="shared" si="60"/>
        <v>4.2695371985683392</v>
      </c>
      <c r="Z71">
        <f t="shared" si="61"/>
        <v>65.413081697794524</v>
      </c>
      <c r="AA71">
        <f t="shared" si="62"/>
        <v>2.8342368270216003</v>
      </c>
      <c r="AB71">
        <f t="shared" si="63"/>
        <v>4.3328287759253508</v>
      </c>
      <c r="AC71">
        <f t="shared" si="64"/>
        <v>1.435300371546739</v>
      </c>
      <c r="AD71">
        <f t="shared" si="65"/>
        <v>-179.71030008942955</v>
      </c>
      <c r="AE71">
        <f t="shared" si="66"/>
        <v>40.152734087285147</v>
      </c>
      <c r="AF71">
        <f t="shared" si="67"/>
        <v>3.0798019235235143</v>
      </c>
      <c r="AG71">
        <f t="shared" si="68"/>
        <v>207.93404974477025</v>
      </c>
      <c r="AH71">
        <v>1</v>
      </c>
      <c r="AI71">
        <v>0</v>
      </c>
      <c r="AJ71">
        <f t="shared" si="69"/>
        <v>1</v>
      </c>
      <c r="AK71">
        <f t="shared" si="70"/>
        <v>0</v>
      </c>
      <c r="AL71">
        <f t="shared" si="71"/>
        <v>51542.547239024585</v>
      </c>
      <c r="AM71" t="s">
        <v>416</v>
      </c>
      <c r="AN71">
        <v>10238.9</v>
      </c>
      <c r="AO71">
        <v>302.21199999999999</v>
      </c>
      <c r="AP71">
        <v>4052.3</v>
      </c>
      <c r="AQ71">
        <f t="shared" si="72"/>
        <v>0.92542210596451402</v>
      </c>
      <c r="AR71">
        <v>-0.32343011824092421</v>
      </c>
      <c r="AS71" t="s">
        <v>698</v>
      </c>
      <c r="AT71">
        <v>10492.1</v>
      </c>
      <c r="AU71">
        <v>771.80063999999993</v>
      </c>
      <c r="AV71">
        <v>1191.825158216885</v>
      </c>
      <c r="AW71">
        <f t="shared" si="73"/>
        <v>0.35242125518250744</v>
      </c>
      <c r="AX71">
        <v>0.5</v>
      </c>
      <c r="AY71">
        <f t="shared" si="74"/>
        <v>1513.3698069116954</v>
      </c>
      <c r="AZ71">
        <f t="shared" si="75"/>
        <v>44.949806188798334</v>
      </c>
      <c r="BA71">
        <f t="shared" si="76"/>
        <v>266.67184345356429</v>
      </c>
      <c r="BB71">
        <f t="shared" si="77"/>
        <v>2.9915514436902556E-2</v>
      </c>
      <c r="BC71">
        <f t="shared" si="78"/>
        <v>2.4000792583223638</v>
      </c>
      <c r="BD71">
        <f t="shared" si="79"/>
        <v>256.33064552275238</v>
      </c>
      <c r="BE71" t="s">
        <v>699</v>
      </c>
      <c r="BF71">
        <v>594.5</v>
      </c>
      <c r="BG71">
        <f t="shared" si="80"/>
        <v>594.5</v>
      </c>
      <c r="BH71">
        <f t="shared" si="81"/>
        <v>0.5011852234354206</v>
      </c>
      <c r="BI71">
        <f t="shared" si="82"/>
        <v>0.70317566979888835</v>
      </c>
      <c r="BJ71">
        <f t="shared" si="83"/>
        <v>0.82725283179568365</v>
      </c>
      <c r="BK71">
        <f t="shared" si="84"/>
        <v>0.4721428795621348</v>
      </c>
      <c r="BL71">
        <f t="shared" si="85"/>
        <v>0.76277539134631378</v>
      </c>
      <c r="BM71">
        <f t="shared" si="86"/>
        <v>0.54163978886495756</v>
      </c>
      <c r="BN71">
        <f t="shared" si="87"/>
        <v>0.45836021113504244</v>
      </c>
      <c r="BO71">
        <v>5572</v>
      </c>
      <c r="BP71">
        <v>290.00000000000011</v>
      </c>
      <c r="BQ71">
        <v>1080.54</v>
      </c>
      <c r="BR71">
        <v>265</v>
      </c>
      <c r="BS71">
        <v>10492.1</v>
      </c>
      <c r="BT71">
        <v>1079.19</v>
      </c>
      <c r="BU71">
        <v>1.35</v>
      </c>
      <c r="BV71">
        <v>300.00000000000011</v>
      </c>
      <c r="BW71">
        <v>38.200000000000003</v>
      </c>
      <c r="BX71">
        <v>1191.825158216885</v>
      </c>
      <c r="BY71">
        <v>1.4229328523678779</v>
      </c>
      <c r="BZ71">
        <v>-118.17489065386719</v>
      </c>
      <c r="CA71">
        <v>1.2232712651482109</v>
      </c>
      <c r="CB71">
        <v>0.99700875398506816</v>
      </c>
      <c r="CC71">
        <v>-1.140049454949945E-2</v>
      </c>
      <c r="CD71">
        <v>289.99999999999989</v>
      </c>
      <c r="CE71">
        <v>1069.3699999999999</v>
      </c>
      <c r="CF71">
        <v>635</v>
      </c>
      <c r="CG71">
        <v>10478.5</v>
      </c>
      <c r="CH71">
        <v>1079.05</v>
      </c>
      <c r="CI71">
        <v>-9.68</v>
      </c>
      <c r="CW71">
        <f t="shared" si="88"/>
        <v>1800.22</v>
      </c>
      <c r="CX71">
        <f t="shared" si="89"/>
        <v>1513.3698069116954</v>
      </c>
      <c r="CY71">
        <f t="shared" si="90"/>
        <v>0.84065825671956507</v>
      </c>
      <c r="CZ71">
        <f t="shared" si="91"/>
        <v>0.19131651343913028</v>
      </c>
      <c r="DA71">
        <v>6</v>
      </c>
      <c r="DB71">
        <v>0.5</v>
      </c>
      <c r="DC71" t="s">
        <v>419</v>
      </c>
      <c r="DD71">
        <v>2</v>
      </c>
      <c r="DE71">
        <v>1693333498.0999999</v>
      </c>
      <c r="DF71">
        <v>1140.44</v>
      </c>
      <c r="DG71">
        <v>1199.9000000000001</v>
      </c>
      <c r="DH71">
        <v>28.620899999999999</v>
      </c>
      <c r="DI71">
        <v>23.875299999999999</v>
      </c>
      <c r="DJ71">
        <v>1142.47</v>
      </c>
      <c r="DK71">
        <v>28.243600000000001</v>
      </c>
      <c r="DL71">
        <v>500.476</v>
      </c>
      <c r="DM71">
        <v>98.925899999999999</v>
      </c>
      <c r="DN71">
        <v>0.100924</v>
      </c>
      <c r="DO71">
        <v>30.293600000000001</v>
      </c>
      <c r="DP71">
        <v>30.037099999999999</v>
      </c>
      <c r="DQ71">
        <v>999.9</v>
      </c>
      <c r="DR71">
        <v>0</v>
      </c>
      <c r="DS71">
        <v>0</v>
      </c>
      <c r="DT71">
        <v>9960</v>
      </c>
      <c r="DU71">
        <v>0</v>
      </c>
      <c r="DV71">
        <v>1629.02</v>
      </c>
      <c r="DW71">
        <v>-59.462200000000003</v>
      </c>
      <c r="DX71">
        <v>1174.04</v>
      </c>
      <c r="DY71">
        <v>1229.25</v>
      </c>
      <c r="DZ71">
        <v>4.7456199999999997</v>
      </c>
      <c r="EA71">
        <v>1199.9000000000001</v>
      </c>
      <c r="EB71">
        <v>23.875299999999999</v>
      </c>
      <c r="EC71">
        <v>2.83135</v>
      </c>
      <c r="ED71">
        <v>2.3618899999999998</v>
      </c>
      <c r="EE71">
        <v>23.068000000000001</v>
      </c>
      <c r="EF71">
        <v>20.104800000000001</v>
      </c>
      <c r="EG71">
        <v>1800.22</v>
      </c>
      <c r="EH71">
        <v>0.97799400000000003</v>
      </c>
      <c r="EI71">
        <v>2.2005500000000001E-2</v>
      </c>
      <c r="EJ71">
        <v>0</v>
      </c>
      <c r="EK71">
        <v>771.55700000000002</v>
      </c>
      <c r="EL71">
        <v>4.9995000000000003</v>
      </c>
      <c r="EM71">
        <v>14934</v>
      </c>
      <c r="EN71">
        <v>16661.8</v>
      </c>
      <c r="EO71">
        <v>46.436999999999998</v>
      </c>
      <c r="EP71">
        <v>48.436999999999998</v>
      </c>
      <c r="EQ71">
        <v>47.311999999999998</v>
      </c>
      <c r="ER71">
        <v>47.436999999999998</v>
      </c>
      <c r="ES71">
        <v>47.936999999999998</v>
      </c>
      <c r="ET71">
        <v>1755.71</v>
      </c>
      <c r="EU71">
        <v>39.5</v>
      </c>
      <c r="EV71">
        <v>0</v>
      </c>
      <c r="EW71">
        <v>102</v>
      </c>
      <c r="EX71">
        <v>0</v>
      </c>
      <c r="EY71">
        <v>771.80063999999993</v>
      </c>
      <c r="EZ71">
        <v>-1.684923095915055</v>
      </c>
      <c r="FA71">
        <v>-45.361538364321383</v>
      </c>
      <c r="FB71">
        <v>14937.832</v>
      </c>
      <c r="FC71">
        <v>15</v>
      </c>
      <c r="FD71">
        <v>1693333464.5999999</v>
      </c>
      <c r="FE71" t="s">
        <v>700</v>
      </c>
      <c r="FF71">
        <v>1693333464.5999999</v>
      </c>
      <c r="FG71">
        <v>1693333462.0999999</v>
      </c>
      <c r="FH71">
        <v>60</v>
      </c>
      <c r="FI71">
        <v>5.1999999999999998E-2</v>
      </c>
      <c r="FJ71">
        <v>-2E-3</v>
      </c>
      <c r="FK71">
        <v>-2.0699999999999998</v>
      </c>
      <c r="FL71">
        <v>0.14299999999999999</v>
      </c>
      <c r="FM71">
        <v>1200</v>
      </c>
      <c r="FN71">
        <v>23</v>
      </c>
      <c r="FO71">
        <v>0.16</v>
      </c>
      <c r="FP71">
        <v>0.05</v>
      </c>
      <c r="FQ71">
        <v>45.081804505121418</v>
      </c>
      <c r="FR71">
        <v>-0.66955163629510284</v>
      </c>
      <c r="FS71">
        <v>0.13719373085276329</v>
      </c>
      <c r="FT71">
        <v>1</v>
      </c>
      <c r="FU71">
        <v>0.28418130285781551</v>
      </c>
      <c r="FV71">
        <v>2.376795347963364E-2</v>
      </c>
      <c r="FW71">
        <v>2.0721044269535532E-3</v>
      </c>
      <c r="FX71">
        <v>1</v>
      </c>
      <c r="FY71">
        <v>2</v>
      </c>
      <c r="FZ71">
        <v>2</v>
      </c>
      <c r="GA71" t="s">
        <v>421</v>
      </c>
      <c r="GB71">
        <v>2.9690500000000002</v>
      </c>
      <c r="GC71">
        <v>2.8122699999999998</v>
      </c>
      <c r="GD71">
        <v>0.19966300000000001</v>
      </c>
      <c r="GE71">
        <v>0.203738</v>
      </c>
      <c r="GF71">
        <v>0.13369200000000001</v>
      </c>
      <c r="GG71">
        <v>0.117206</v>
      </c>
      <c r="GH71">
        <v>23565.599999999999</v>
      </c>
      <c r="GI71">
        <v>21598.799999999999</v>
      </c>
      <c r="GJ71">
        <v>26479.1</v>
      </c>
      <c r="GK71">
        <v>25609.1</v>
      </c>
      <c r="GL71">
        <v>31231.8</v>
      </c>
      <c r="GM71">
        <v>31883.5</v>
      </c>
      <c r="GN71">
        <v>37487</v>
      </c>
      <c r="GO71">
        <v>37920</v>
      </c>
      <c r="GP71">
        <v>1.9346000000000001</v>
      </c>
      <c r="GQ71">
        <v>1.8607</v>
      </c>
      <c r="GR71">
        <v>1.72853E-2</v>
      </c>
      <c r="GS71">
        <v>0</v>
      </c>
      <c r="GT71">
        <v>29.755700000000001</v>
      </c>
      <c r="GU71">
        <v>999.9</v>
      </c>
      <c r="GV71">
        <v>25.7</v>
      </c>
      <c r="GW71">
        <v>48.7</v>
      </c>
      <c r="GX71">
        <v>30.2287</v>
      </c>
      <c r="GY71">
        <v>61.928400000000003</v>
      </c>
      <c r="GZ71">
        <v>14.475199999999999</v>
      </c>
      <c r="HA71">
        <v>1</v>
      </c>
      <c r="HB71">
        <v>0.52802800000000005</v>
      </c>
      <c r="HC71">
        <v>4.4566600000000003</v>
      </c>
      <c r="HD71">
        <v>20.187899999999999</v>
      </c>
      <c r="HE71">
        <v>5.2100999999999997</v>
      </c>
      <c r="HF71">
        <v>11.9381</v>
      </c>
      <c r="HG71">
        <v>4.9874000000000001</v>
      </c>
      <c r="HH71">
        <v>3.2909999999999999</v>
      </c>
      <c r="HI71">
        <v>9999</v>
      </c>
      <c r="HJ71">
        <v>9999</v>
      </c>
      <c r="HK71">
        <v>9999</v>
      </c>
      <c r="HL71">
        <v>999.9</v>
      </c>
      <c r="HM71">
        <v>1.8714900000000001</v>
      </c>
      <c r="HN71">
        <v>1.8773500000000001</v>
      </c>
      <c r="HO71">
        <v>1.8751500000000001</v>
      </c>
      <c r="HP71">
        <v>1.8733200000000001</v>
      </c>
      <c r="HQ71">
        <v>1.8739300000000001</v>
      </c>
      <c r="HR71">
        <v>1.87134</v>
      </c>
      <c r="HS71">
        <v>1.87714</v>
      </c>
      <c r="HT71">
        <v>1.8763700000000001</v>
      </c>
      <c r="HU71">
        <v>5</v>
      </c>
      <c r="HV71">
        <v>0</v>
      </c>
      <c r="HW71">
        <v>0</v>
      </c>
      <c r="HX71">
        <v>0</v>
      </c>
      <c r="HY71" t="s">
        <v>422</v>
      </c>
      <c r="HZ71" t="s">
        <v>423</v>
      </c>
      <c r="IA71" t="s">
        <v>424</v>
      </c>
      <c r="IB71" t="s">
        <v>424</v>
      </c>
      <c r="IC71" t="s">
        <v>424</v>
      </c>
      <c r="ID71" t="s">
        <v>424</v>
      </c>
      <c r="IE71">
        <v>0</v>
      </c>
      <c r="IF71">
        <v>100</v>
      </c>
      <c r="IG71">
        <v>100</v>
      </c>
      <c r="IH71">
        <v>-2.0299999999999998</v>
      </c>
      <c r="II71">
        <v>0.37730000000000002</v>
      </c>
      <c r="IJ71">
        <v>-0.57288675290695945</v>
      </c>
      <c r="IK71">
        <v>-2.677719669153116E-3</v>
      </c>
      <c r="IL71">
        <v>1.9353498771248068E-6</v>
      </c>
      <c r="IM71">
        <v>-6.1862177325538213E-10</v>
      </c>
      <c r="IN71">
        <v>-0.24845850604159389</v>
      </c>
      <c r="IO71">
        <v>-1.5299015507423901E-2</v>
      </c>
      <c r="IP71">
        <v>1.742162107778985E-3</v>
      </c>
      <c r="IQ71">
        <v>-1.472690239905804E-5</v>
      </c>
      <c r="IR71">
        <v>3</v>
      </c>
      <c r="IS71">
        <v>2255</v>
      </c>
      <c r="IT71">
        <v>2</v>
      </c>
      <c r="IU71">
        <v>41</v>
      </c>
      <c r="IV71">
        <v>0.6</v>
      </c>
      <c r="IW71">
        <v>0.6</v>
      </c>
      <c r="IX71">
        <v>2.36084</v>
      </c>
      <c r="IY71">
        <v>2.5634800000000002</v>
      </c>
      <c r="IZ71">
        <v>1.5991200000000001</v>
      </c>
      <c r="JA71">
        <v>2.2717299999999998</v>
      </c>
      <c r="JB71">
        <v>1.5502899999999999</v>
      </c>
      <c r="JC71">
        <v>2.35229</v>
      </c>
      <c r="JD71">
        <v>53.771099999999997</v>
      </c>
      <c r="JE71">
        <v>23.833600000000001</v>
      </c>
      <c r="JF71">
        <v>18</v>
      </c>
      <c r="JG71">
        <v>502.30099999999999</v>
      </c>
      <c r="JH71">
        <v>425.327</v>
      </c>
      <c r="JI71">
        <v>24.596599999999999</v>
      </c>
      <c r="JJ71">
        <v>33.863</v>
      </c>
      <c r="JK71">
        <v>30.000699999999998</v>
      </c>
      <c r="JL71">
        <v>33.847299999999997</v>
      </c>
      <c r="JM71">
        <v>33.824800000000003</v>
      </c>
      <c r="JN71">
        <v>47.256</v>
      </c>
      <c r="JO71">
        <v>17.5046</v>
      </c>
      <c r="JP71">
        <v>0</v>
      </c>
      <c r="JQ71">
        <v>24.5854</v>
      </c>
      <c r="JR71">
        <v>1200</v>
      </c>
      <c r="JS71">
        <v>23.803699999999999</v>
      </c>
      <c r="JT71">
        <v>98.865799999999993</v>
      </c>
      <c r="JU71">
        <v>98.472099999999998</v>
      </c>
    </row>
    <row r="72" spans="1:281" x14ac:dyDescent="0.25">
      <c r="A72">
        <v>56</v>
      </c>
      <c r="B72">
        <v>1693333640.5999999</v>
      </c>
      <c r="C72">
        <v>11343.5</v>
      </c>
      <c r="D72" t="s">
        <v>701</v>
      </c>
      <c r="E72" t="s">
        <v>702</v>
      </c>
      <c r="F72" t="s">
        <v>413</v>
      </c>
      <c r="G72" t="s">
        <v>636</v>
      </c>
      <c r="H72" t="s">
        <v>637</v>
      </c>
      <c r="I72" t="s">
        <v>415</v>
      </c>
      <c r="J72">
        <v>1693333640.5999999</v>
      </c>
      <c r="K72">
        <f t="shared" si="46"/>
        <v>3.8791987683008699E-3</v>
      </c>
      <c r="L72">
        <f t="shared" si="47"/>
        <v>3.8791987683008697</v>
      </c>
      <c r="M72">
        <f t="shared" si="48"/>
        <v>44.073594092213291</v>
      </c>
      <c r="N72">
        <f t="shared" si="49"/>
        <v>1440.46</v>
      </c>
      <c r="O72">
        <f t="shared" si="50"/>
        <v>1135.2477581173325</v>
      </c>
      <c r="P72">
        <f t="shared" si="51"/>
        <v>112.41538786229808</v>
      </c>
      <c r="Q72">
        <f t="shared" si="52"/>
        <v>142.63835223834002</v>
      </c>
      <c r="R72">
        <f t="shared" si="53"/>
        <v>0.26848010138584</v>
      </c>
      <c r="S72">
        <f t="shared" si="54"/>
        <v>2.9114471072275467</v>
      </c>
      <c r="T72">
        <f t="shared" si="55"/>
        <v>0.25544498711969954</v>
      </c>
      <c r="U72">
        <f t="shared" si="56"/>
        <v>0.16077151745595092</v>
      </c>
      <c r="V72">
        <f t="shared" si="57"/>
        <v>344.3744006584929</v>
      </c>
      <c r="W72">
        <f t="shared" si="58"/>
        <v>31.23401138360645</v>
      </c>
      <c r="X72">
        <f t="shared" si="59"/>
        <v>29.974799999999998</v>
      </c>
      <c r="Y72">
        <f t="shared" si="60"/>
        <v>4.2542867987702957</v>
      </c>
      <c r="Z72">
        <f t="shared" si="61"/>
        <v>65.034836598495588</v>
      </c>
      <c r="AA72">
        <f t="shared" si="62"/>
        <v>2.8041171534440998</v>
      </c>
      <c r="AB72">
        <f t="shared" si="63"/>
        <v>4.3117155360223753</v>
      </c>
      <c r="AC72">
        <f t="shared" si="64"/>
        <v>1.4501696453261959</v>
      </c>
      <c r="AD72">
        <f t="shared" si="65"/>
        <v>-171.07266568206836</v>
      </c>
      <c r="AE72">
        <f t="shared" si="66"/>
        <v>36.666308353517728</v>
      </c>
      <c r="AF72">
        <f t="shared" si="67"/>
        <v>2.8027944902686874</v>
      </c>
      <c r="AG72">
        <f t="shared" si="68"/>
        <v>212.77083782021097</v>
      </c>
      <c r="AH72">
        <v>1</v>
      </c>
      <c r="AI72">
        <v>0</v>
      </c>
      <c r="AJ72">
        <f t="shared" si="69"/>
        <v>1</v>
      </c>
      <c r="AK72">
        <f t="shared" si="70"/>
        <v>0</v>
      </c>
      <c r="AL72">
        <f t="shared" si="71"/>
        <v>51778.589329981587</v>
      </c>
      <c r="AM72" t="s">
        <v>416</v>
      </c>
      <c r="AN72">
        <v>10238.9</v>
      </c>
      <c r="AO72">
        <v>302.21199999999999</v>
      </c>
      <c r="AP72">
        <v>4052.3</v>
      </c>
      <c r="AQ72">
        <f t="shared" si="72"/>
        <v>0.92542210596451402</v>
      </c>
      <c r="AR72">
        <v>-0.32343011824092421</v>
      </c>
      <c r="AS72" t="s">
        <v>703</v>
      </c>
      <c r="AT72">
        <v>10500.3</v>
      </c>
      <c r="AU72">
        <v>767.72376923076922</v>
      </c>
      <c r="AV72">
        <v>1184.3672338014501</v>
      </c>
      <c r="AW72">
        <f t="shared" si="73"/>
        <v>0.3517857068988518</v>
      </c>
      <c r="AX72">
        <v>0.5</v>
      </c>
      <c r="AY72">
        <f t="shared" si="74"/>
        <v>1513.2021003292464</v>
      </c>
      <c r="AZ72">
        <f t="shared" si="75"/>
        <v>44.073594092213291</v>
      </c>
      <c r="BA72">
        <f t="shared" si="76"/>
        <v>266.1614352725756</v>
      </c>
      <c r="BB72">
        <f t="shared" si="77"/>
        <v>2.9339784950598597E-2</v>
      </c>
      <c r="BC72">
        <f t="shared" si="78"/>
        <v>2.4214894539030589</v>
      </c>
      <c r="BD72">
        <f t="shared" si="79"/>
        <v>255.98396269205415</v>
      </c>
      <c r="BE72" t="s">
        <v>704</v>
      </c>
      <c r="BF72">
        <v>593.29</v>
      </c>
      <c r="BG72">
        <f t="shared" si="80"/>
        <v>593.29</v>
      </c>
      <c r="BH72">
        <f t="shared" si="81"/>
        <v>0.4990658445558952</v>
      </c>
      <c r="BI72">
        <f t="shared" si="82"/>
        <v>0.70488836440389169</v>
      </c>
      <c r="BJ72">
        <f t="shared" si="83"/>
        <v>0.82911953599398369</v>
      </c>
      <c r="BK72">
        <f t="shared" si="84"/>
        <v>0.47230175439219391</v>
      </c>
      <c r="BL72">
        <f t="shared" si="85"/>
        <v>0.76476412452149112</v>
      </c>
      <c r="BM72">
        <f t="shared" si="86"/>
        <v>0.54473136625196461</v>
      </c>
      <c r="BN72">
        <f t="shared" si="87"/>
        <v>0.45526863374803539</v>
      </c>
      <c r="BO72">
        <v>5574</v>
      </c>
      <c r="BP72">
        <v>290.00000000000011</v>
      </c>
      <c r="BQ72">
        <v>1076.01</v>
      </c>
      <c r="BR72">
        <v>215</v>
      </c>
      <c r="BS72">
        <v>10500.3</v>
      </c>
      <c r="BT72">
        <v>1074.6199999999999</v>
      </c>
      <c r="BU72">
        <v>1.39</v>
      </c>
      <c r="BV72">
        <v>300.00000000000011</v>
      </c>
      <c r="BW72">
        <v>38.200000000000003</v>
      </c>
      <c r="BX72">
        <v>1184.3672338014501</v>
      </c>
      <c r="BY72">
        <v>1.0385656259445351</v>
      </c>
      <c r="BZ72">
        <v>-115.2335877064848</v>
      </c>
      <c r="CA72">
        <v>0.89285245452243212</v>
      </c>
      <c r="CB72">
        <v>0.99832185363655523</v>
      </c>
      <c r="CC72">
        <v>-1.1400393770856511E-2</v>
      </c>
      <c r="CD72">
        <v>289.99999999999989</v>
      </c>
      <c r="CE72">
        <v>1065.51</v>
      </c>
      <c r="CF72">
        <v>645</v>
      </c>
      <c r="CG72">
        <v>10477.5</v>
      </c>
      <c r="CH72">
        <v>1074.3900000000001</v>
      </c>
      <c r="CI72">
        <v>-8.8800000000000008</v>
      </c>
      <c r="CW72">
        <f t="shared" si="88"/>
        <v>1800.02</v>
      </c>
      <c r="CX72">
        <f t="shared" si="89"/>
        <v>1513.2021003292464</v>
      </c>
      <c r="CY72">
        <f t="shared" si="90"/>
        <v>0.84065849286632721</v>
      </c>
      <c r="CZ72">
        <f t="shared" si="91"/>
        <v>0.19131698573265457</v>
      </c>
      <c r="DA72">
        <v>6</v>
      </c>
      <c r="DB72">
        <v>0.5</v>
      </c>
      <c r="DC72" t="s">
        <v>419</v>
      </c>
      <c r="DD72">
        <v>2</v>
      </c>
      <c r="DE72">
        <v>1693333640.5999999</v>
      </c>
      <c r="DF72">
        <v>1440.46</v>
      </c>
      <c r="DG72">
        <v>1500.01</v>
      </c>
      <c r="DH72">
        <v>28.317900000000002</v>
      </c>
      <c r="DI72">
        <v>23.797999999999998</v>
      </c>
      <c r="DJ72">
        <v>1442.57</v>
      </c>
      <c r="DK72">
        <v>27.961600000000001</v>
      </c>
      <c r="DL72">
        <v>500.36700000000002</v>
      </c>
      <c r="DM72">
        <v>98.922200000000004</v>
      </c>
      <c r="DN72">
        <v>0.100579</v>
      </c>
      <c r="DO72">
        <v>30.208400000000001</v>
      </c>
      <c r="DP72">
        <v>29.974799999999998</v>
      </c>
      <c r="DQ72">
        <v>999.9</v>
      </c>
      <c r="DR72">
        <v>0</v>
      </c>
      <c r="DS72">
        <v>0</v>
      </c>
      <c r="DT72">
        <v>10005</v>
      </c>
      <c r="DU72">
        <v>0</v>
      </c>
      <c r="DV72">
        <v>1596.96</v>
      </c>
      <c r="DW72">
        <v>-59.549100000000003</v>
      </c>
      <c r="DX72">
        <v>1482.44</v>
      </c>
      <c r="DY72">
        <v>1536.58</v>
      </c>
      <c r="DZ72">
        <v>4.5199499999999997</v>
      </c>
      <c r="EA72">
        <v>1500.01</v>
      </c>
      <c r="EB72">
        <v>23.797999999999998</v>
      </c>
      <c r="EC72">
        <v>2.8012700000000001</v>
      </c>
      <c r="ED72">
        <v>2.3541500000000002</v>
      </c>
      <c r="EE72">
        <v>22.8916</v>
      </c>
      <c r="EF72">
        <v>20.0518</v>
      </c>
      <c r="EG72">
        <v>1800.02</v>
      </c>
      <c r="EH72">
        <v>0.97799100000000005</v>
      </c>
      <c r="EI72">
        <v>2.2008900000000001E-2</v>
      </c>
      <c r="EJ72">
        <v>0</v>
      </c>
      <c r="EK72">
        <v>767.50800000000004</v>
      </c>
      <c r="EL72">
        <v>4.9995000000000003</v>
      </c>
      <c r="EM72">
        <v>14844.4</v>
      </c>
      <c r="EN72">
        <v>16660</v>
      </c>
      <c r="EO72">
        <v>46.375</v>
      </c>
      <c r="EP72">
        <v>48.375</v>
      </c>
      <c r="EQ72">
        <v>47.25</v>
      </c>
      <c r="ER72">
        <v>47.311999999999998</v>
      </c>
      <c r="ES72">
        <v>47.875</v>
      </c>
      <c r="ET72">
        <v>1755.51</v>
      </c>
      <c r="EU72">
        <v>39.51</v>
      </c>
      <c r="EV72">
        <v>0</v>
      </c>
      <c r="EW72">
        <v>140.5999999046326</v>
      </c>
      <c r="EX72">
        <v>0</v>
      </c>
      <c r="EY72">
        <v>767.72376923076922</v>
      </c>
      <c r="EZ72">
        <v>-0.8770598331337045</v>
      </c>
      <c r="FA72">
        <v>-28.861538459177599</v>
      </c>
      <c r="FB72">
        <v>14847.461538461541</v>
      </c>
      <c r="FC72">
        <v>15</v>
      </c>
      <c r="FD72">
        <v>1693333607.0999999</v>
      </c>
      <c r="FE72" t="s">
        <v>705</v>
      </c>
      <c r="FF72">
        <v>1693333607.0999999</v>
      </c>
      <c r="FG72">
        <v>1693333599.5999999</v>
      </c>
      <c r="FH72">
        <v>61</v>
      </c>
      <c r="FI72">
        <v>0.157</v>
      </c>
      <c r="FJ72">
        <v>-8.0000000000000002E-3</v>
      </c>
      <c r="FK72">
        <v>-2.1680000000000001</v>
      </c>
      <c r="FL72">
        <v>0.14199999999999999</v>
      </c>
      <c r="FM72">
        <v>1500</v>
      </c>
      <c r="FN72">
        <v>23</v>
      </c>
      <c r="FO72">
        <v>0.15</v>
      </c>
      <c r="FP72">
        <v>0.03</v>
      </c>
      <c r="FQ72">
        <v>44.125764230809537</v>
      </c>
      <c r="FR72">
        <v>-3.9260332983575501E-2</v>
      </c>
      <c r="FS72">
        <v>0.15039065400414051</v>
      </c>
      <c r="FT72">
        <v>1</v>
      </c>
      <c r="FU72">
        <v>0.27454762176289721</v>
      </c>
      <c r="FV72">
        <v>-2.1953717836974199E-2</v>
      </c>
      <c r="FW72">
        <v>2.5094780028331589E-3</v>
      </c>
      <c r="FX72">
        <v>1</v>
      </c>
      <c r="FY72">
        <v>2</v>
      </c>
      <c r="FZ72">
        <v>2</v>
      </c>
      <c r="GA72" t="s">
        <v>421</v>
      </c>
      <c r="GB72">
        <v>2.9687299999999999</v>
      </c>
      <c r="GC72">
        <v>2.8123200000000002</v>
      </c>
      <c r="GD72">
        <v>0.23089799999999999</v>
      </c>
      <c r="GE72">
        <v>0.23396</v>
      </c>
      <c r="GF72">
        <v>0.13275000000000001</v>
      </c>
      <c r="GG72">
        <v>0.116935</v>
      </c>
      <c r="GH72">
        <v>22642.7</v>
      </c>
      <c r="GI72">
        <v>20775.099999999999</v>
      </c>
      <c r="GJ72">
        <v>26478.9</v>
      </c>
      <c r="GK72">
        <v>25607.8</v>
      </c>
      <c r="GL72">
        <v>31267.8</v>
      </c>
      <c r="GM72">
        <v>31893.200000000001</v>
      </c>
      <c r="GN72">
        <v>37486.400000000001</v>
      </c>
      <c r="GO72">
        <v>37917.199999999997</v>
      </c>
      <c r="GP72">
        <v>1.9339</v>
      </c>
      <c r="GQ72">
        <v>1.8613</v>
      </c>
      <c r="GR72">
        <v>2.2947800000000001E-2</v>
      </c>
      <c r="GS72">
        <v>0</v>
      </c>
      <c r="GT72">
        <v>29.601199999999999</v>
      </c>
      <c r="GU72">
        <v>999.9</v>
      </c>
      <c r="GV72">
        <v>25.4</v>
      </c>
      <c r="GW72">
        <v>48.8</v>
      </c>
      <c r="GX72">
        <v>30.029800000000002</v>
      </c>
      <c r="GY72">
        <v>61.528399999999998</v>
      </c>
      <c r="GZ72">
        <v>13.754</v>
      </c>
      <c r="HA72">
        <v>1</v>
      </c>
      <c r="HB72">
        <v>0.52746899999999997</v>
      </c>
      <c r="HC72">
        <v>3.94231</v>
      </c>
      <c r="HD72">
        <v>20.200099999999999</v>
      </c>
      <c r="HE72">
        <v>5.2065099999999997</v>
      </c>
      <c r="HF72">
        <v>11.9381</v>
      </c>
      <c r="HG72">
        <v>4.9867999999999997</v>
      </c>
      <c r="HH72">
        <v>3.2909999999999999</v>
      </c>
      <c r="HI72">
        <v>9999</v>
      </c>
      <c r="HJ72">
        <v>9999</v>
      </c>
      <c r="HK72">
        <v>9999</v>
      </c>
      <c r="HL72">
        <v>999.9</v>
      </c>
      <c r="HM72">
        <v>1.8714900000000001</v>
      </c>
      <c r="HN72">
        <v>1.87731</v>
      </c>
      <c r="HO72">
        <v>1.8751500000000001</v>
      </c>
      <c r="HP72">
        <v>1.8733</v>
      </c>
      <c r="HQ72">
        <v>1.87391</v>
      </c>
      <c r="HR72">
        <v>1.87131</v>
      </c>
      <c r="HS72">
        <v>1.8771199999999999</v>
      </c>
      <c r="HT72">
        <v>1.87635</v>
      </c>
      <c r="HU72">
        <v>5</v>
      </c>
      <c r="HV72">
        <v>0</v>
      </c>
      <c r="HW72">
        <v>0</v>
      </c>
      <c r="HX72">
        <v>0</v>
      </c>
      <c r="HY72" t="s">
        <v>422</v>
      </c>
      <c r="HZ72" t="s">
        <v>423</v>
      </c>
      <c r="IA72" t="s">
        <v>424</v>
      </c>
      <c r="IB72" t="s">
        <v>424</v>
      </c>
      <c r="IC72" t="s">
        <v>424</v>
      </c>
      <c r="ID72" t="s">
        <v>424</v>
      </c>
      <c r="IE72">
        <v>0</v>
      </c>
      <c r="IF72">
        <v>100</v>
      </c>
      <c r="IG72">
        <v>100</v>
      </c>
      <c r="IH72">
        <v>-2.11</v>
      </c>
      <c r="II72">
        <v>0.35630000000000001</v>
      </c>
      <c r="IJ72">
        <v>-0.41573245928175728</v>
      </c>
      <c r="IK72">
        <v>-2.677719669153116E-3</v>
      </c>
      <c r="IL72">
        <v>1.9353498771248068E-6</v>
      </c>
      <c r="IM72">
        <v>-6.1862177325538213E-10</v>
      </c>
      <c r="IN72">
        <v>-0.25600750824790253</v>
      </c>
      <c r="IO72">
        <v>-1.5299015507423901E-2</v>
      </c>
      <c r="IP72">
        <v>1.742162107778985E-3</v>
      </c>
      <c r="IQ72">
        <v>-1.472690239905804E-5</v>
      </c>
      <c r="IR72">
        <v>3</v>
      </c>
      <c r="IS72">
        <v>2255</v>
      </c>
      <c r="IT72">
        <v>2</v>
      </c>
      <c r="IU72">
        <v>41</v>
      </c>
      <c r="IV72">
        <v>0.6</v>
      </c>
      <c r="IW72">
        <v>0.7</v>
      </c>
      <c r="IX72">
        <v>2.8393600000000001</v>
      </c>
      <c r="IY72">
        <v>2.5573700000000001</v>
      </c>
      <c r="IZ72">
        <v>1.5991200000000001</v>
      </c>
      <c r="JA72">
        <v>2.2705099999999998</v>
      </c>
      <c r="JB72">
        <v>1.5502899999999999</v>
      </c>
      <c r="JC72">
        <v>2.4389599999999998</v>
      </c>
      <c r="JD72">
        <v>53.6646</v>
      </c>
      <c r="JE72">
        <v>23.8598</v>
      </c>
      <c r="JF72">
        <v>18</v>
      </c>
      <c r="JG72">
        <v>501.91800000000001</v>
      </c>
      <c r="JH72">
        <v>425.72899999999998</v>
      </c>
      <c r="JI72">
        <v>24.947600000000001</v>
      </c>
      <c r="JJ72">
        <v>33.881300000000003</v>
      </c>
      <c r="JK72">
        <v>29.9999</v>
      </c>
      <c r="JL72">
        <v>33.856400000000001</v>
      </c>
      <c r="JM72">
        <v>33.831499999999998</v>
      </c>
      <c r="JN72">
        <v>56.835599999999999</v>
      </c>
      <c r="JO72">
        <v>17.340499999999999</v>
      </c>
      <c r="JP72">
        <v>0</v>
      </c>
      <c r="JQ72">
        <v>25.001200000000001</v>
      </c>
      <c r="JR72">
        <v>1500</v>
      </c>
      <c r="JS72">
        <v>23.7544</v>
      </c>
      <c r="JT72">
        <v>98.864400000000003</v>
      </c>
      <c r="JU72">
        <v>98.465900000000005</v>
      </c>
    </row>
    <row r="73" spans="1:281" x14ac:dyDescent="0.25">
      <c r="A73">
        <v>57</v>
      </c>
      <c r="B73">
        <v>1693336381.0999999</v>
      </c>
      <c r="C73">
        <v>14084</v>
      </c>
      <c r="D73" t="s">
        <v>706</v>
      </c>
      <c r="E73" t="s">
        <v>707</v>
      </c>
      <c r="F73" t="s">
        <v>413</v>
      </c>
      <c r="G73" t="s">
        <v>564</v>
      </c>
      <c r="H73" t="s">
        <v>708</v>
      </c>
      <c r="I73" t="s">
        <v>415</v>
      </c>
      <c r="J73">
        <v>1693336381.0999999</v>
      </c>
      <c r="K73">
        <f t="shared" si="46"/>
        <v>2.9926385058594534E-3</v>
      </c>
      <c r="L73">
        <f t="shared" si="47"/>
        <v>2.9926385058594533</v>
      </c>
      <c r="M73">
        <f t="shared" si="48"/>
        <v>38.536181878628241</v>
      </c>
      <c r="N73">
        <f t="shared" si="49"/>
        <v>352.49799999999999</v>
      </c>
      <c r="O73">
        <f t="shared" si="50"/>
        <v>10.471408723849727</v>
      </c>
      <c r="P73">
        <f t="shared" si="51"/>
        <v>1.0363912488027389</v>
      </c>
      <c r="Q73">
        <f t="shared" si="52"/>
        <v>34.887936480638004</v>
      </c>
      <c r="R73">
        <f t="shared" si="53"/>
        <v>0.18843452735201352</v>
      </c>
      <c r="S73">
        <f t="shared" si="54"/>
        <v>2.9079606057162946</v>
      </c>
      <c r="T73">
        <f t="shared" si="55"/>
        <v>0.1819043483134197</v>
      </c>
      <c r="U73">
        <f t="shared" si="56"/>
        <v>0.11425807521957806</v>
      </c>
      <c r="V73">
        <f t="shared" si="57"/>
        <v>344.32380065825464</v>
      </c>
      <c r="W73">
        <f t="shared" si="58"/>
        <v>31.581489926173656</v>
      </c>
      <c r="X73">
        <f t="shared" si="59"/>
        <v>30.082899999999999</v>
      </c>
      <c r="Y73">
        <f t="shared" si="60"/>
        <v>4.2807789333330399</v>
      </c>
      <c r="Z73">
        <f t="shared" si="61"/>
        <v>62.438694610234357</v>
      </c>
      <c r="AA73">
        <f t="shared" si="62"/>
        <v>2.7100014115541002</v>
      </c>
      <c r="AB73">
        <f t="shared" si="63"/>
        <v>4.3402595593500806</v>
      </c>
      <c r="AC73">
        <f t="shared" si="64"/>
        <v>1.5707775217789397</v>
      </c>
      <c r="AD73">
        <f t="shared" si="65"/>
        <v>-131.97535810840191</v>
      </c>
      <c r="AE73">
        <f t="shared" si="66"/>
        <v>37.719817705395769</v>
      </c>
      <c r="AF73">
        <f t="shared" si="67"/>
        <v>2.8899723264803652</v>
      </c>
      <c r="AG73">
        <f t="shared" si="68"/>
        <v>252.95823258172885</v>
      </c>
      <c r="AH73">
        <v>3</v>
      </c>
      <c r="AI73">
        <v>1</v>
      </c>
      <c r="AJ73">
        <f t="shared" si="69"/>
        <v>1</v>
      </c>
      <c r="AK73">
        <f t="shared" si="70"/>
        <v>0</v>
      </c>
      <c r="AL73">
        <f t="shared" si="71"/>
        <v>51658.957326300741</v>
      </c>
      <c r="AM73" t="s">
        <v>416</v>
      </c>
      <c r="AN73">
        <v>10238.9</v>
      </c>
      <c r="AO73">
        <v>302.21199999999999</v>
      </c>
      <c r="AP73">
        <v>4052.3</v>
      </c>
      <c r="AQ73">
        <f t="shared" si="72"/>
        <v>0.92542210596451402</v>
      </c>
      <c r="AR73">
        <v>-0.32343011824092421</v>
      </c>
      <c r="AS73" t="s">
        <v>709</v>
      </c>
      <c r="AT73">
        <v>10498.3</v>
      </c>
      <c r="AU73">
        <v>706.3825384615385</v>
      </c>
      <c r="AV73">
        <v>1036.045813784252</v>
      </c>
      <c r="AW73">
        <f t="shared" si="73"/>
        <v>0.31819372361400533</v>
      </c>
      <c r="AX73">
        <v>0.5</v>
      </c>
      <c r="AY73">
        <f t="shared" si="74"/>
        <v>1512.9831003291272</v>
      </c>
      <c r="AZ73">
        <f t="shared" si="75"/>
        <v>38.536181878628241</v>
      </c>
      <c r="BA73">
        <f t="shared" si="76"/>
        <v>240.7108632293936</v>
      </c>
      <c r="BB73">
        <f t="shared" si="77"/>
        <v>2.5684101817406834E-2</v>
      </c>
      <c r="BC73">
        <f t="shared" si="78"/>
        <v>2.9113135211642853</v>
      </c>
      <c r="BD73">
        <f t="shared" si="79"/>
        <v>248.30098227962776</v>
      </c>
      <c r="BE73" t="s">
        <v>710</v>
      </c>
      <c r="BF73">
        <v>565.27</v>
      </c>
      <c r="BG73">
        <f t="shared" si="80"/>
        <v>565.27</v>
      </c>
      <c r="BH73">
        <f t="shared" si="81"/>
        <v>0.45439671443167207</v>
      </c>
      <c r="BI73">
        <f t="shared" si="82"/>
        <v>0.70025533527895334</v>
      </c>
      <c r="BJ73">
        <f t="shared" si="83"/>
        <v>0.86499232476226129</v>
      </c>
      <c r="BK73">
        <f t="shared" si="84"/>
        <v>0.44923423959261011</v>
      </c>
      <c r="BL73">
        <f t="shared" si="85"/>
        <v>0.80431557505203821</v>
      </c>
      <c r="BM73">
        <f t="shared" si="86"/>
        <v>0.56036681517529685</v>
      </c>
      <c r="BN73">
        <f t="shared" si="87"/>
        <v>0.43963318482470315</v>
      </c>
      <c r="BO73">
        <v>5576</v>
      </c>
      <c r="BP73">
        <v>290.00000000000011</v>
      </c>
      <c r="BQ73">
        <v>939.25</v>
      </c>
      <c r="BR73">
        <v>155</v>
      </c>
      <c r="BS73">
        <v>10498.3</v>
      </c>
      <c r="BT73">
        <v>939.65</v>
      </c>
      <c r="BU73">
        <v>-0.4</v>
      </c>
      <c r="BV73">
        <v>300.00000000000011</v>
      </c>
      <c r="BW73">
        <v>38.299999999999997</v>
      </c>
      <c r="BX73">
        <v>1036.045813784252</v>
      </c>
      <c r="BY73">
        <v>1.2329532107830521</v>
      </c>
      <c r="BZ73">
        <v>-101.19799137892841</v>
      </c>
      <c r="CA73">
        <v>1.058150223663078</v>
      </c>
      <c r="CB73">
        <v>0.99694802186151066</v>
      </c>
      <c r="CC73">
        <v>-1.1384759288097891E-2</v>
      </c>
      <c r="CD73">
        <v>289.99999999999989</v>
      </c>
      <c r="CE73">
        <v>928</v>
      </c>
      <c r="CF73">
        <v>685</v>
      </c>
      <c r="CG73">
        <v>10454.6</v>
      </c>
      <c r="CH73">
        <v>939.25</v>
      </c>
      <c r="CI73">
        <v>-11.25</v>
      </c>
      <c r="CW73">
        <f t="shared" si="88"/>
        <v>1799.76</v>
      </c>
      <c r="CX73">
        <f t="shared" si="89"/>
        <v>1512.9831003291272</v>
      </c>
      <c r="CY73">
        <f t="shared" si="90"/>
        <v>0.84065825461679733</v>
      </c>
      <c r="CZ73">
        <f t="shared" si="91"/>
        <v>0.19131650923359483</v>
      </c>
      <c r="DA73">
        <v>6</v>
      </c>
      <c r="DB73">
        <v>0.5</v>
      </c>
      <c r="DC73" t="s">
        <v>419</v>
      </c>
      <c r="DD73">
        <v>2</v>
      </c>
      <c r="DE73">
        <v>1693336381.0999999</v>
      </c>
      <c r="DF73">
        <v>352.49799999999999</v>
      </c>
      <c r="DG73">
        <v>399.96600000000001</v>
      </c>
      <c r="DH73">
        <v>27.3811</v>
      </c>
      <c r="DI73">
        <v>23.891300000000001</v>
      </c>
      <c r="DJ73">
        <v>353.95</v>
      </c>
      <c r="DK73">
        <v>27.011500000000002</v>
      </c>
      <c r="DL73">
        <v>500.435</v>
      </c>
      <c r="DM73">
        <v>98.8733</v>
      </c>
      <c r="DN73">
        <v>0.100131</v>
      </c>
      <c r="DO73">
        <v>30.323499999999999</v>
      </c>
      <c r="DP73">
        <v>30.082899999999999</v>
      </c>
      <c r="DQ73">
        <v>999.9</v>
      </c>
      <c r="DR73">
        <v>0</v>
      </c>
      <c r="DS73">
        <v>0</v>
      </c>
      <c r="DT73">
        <v>9990</v>
      </c>
      <c r="DU73">
        <v>0</v>
      </c>
      <c r="DV73">
        <v>1462.54</v>
      </c>
      <c r="DW73">
        <v>-47.468299999999999</v>
      </c>
      <c r="DX73">
        <v>362.42099999999999</v>
      </c>
      <c r="DY73">
        <v>409.75599999999997</v>
      </c>
      <c r="DZ73">
        <v>3.4897800000000001</v>
      </c>
      <c r="EA73">
        <v>399.96600000000001</v>
      </c>
      <c r="EB73">
        <v>23.891300000000001</v>
      </c>
      <c r="EC73">
        <v>2.7072600000000002</v>
      </c>
      <c r="ED73">
        <v>2.3622200000000002</v>
      </c>
      <c r="EE73">
        <v>22.3293</v>
      </c>
      <c r="EF73">
        <v>20.107099999999999</v>
      </c>
      <c r="EG73">
        <v>1799.76</v>
      </c>
      <c r="EH73">
        <v>0.97799499999999995</v>
      </c>
      <c r="EI73">
        <v>2.2005E-2</v>
      </c>
      <c r="EJ73">
        <v>0</v>
      </c>
      <c r="EK73">
        <v>705.95699999999999</v>
      </c>
      <c r="EL73">
        <v>4.9995000000000003</v>
      </c>
      <c r="EM73">
        <v>13755.9</v>
      </c>
      <c r="EN73">
        <v>16657.599999999999</v>
      </c>
      <c r="EO73">
        <v>50.561999999999998</v>
      </c>
      <c r="EP73">
        <v>52</v>
      </c>
      <c r="EQ73">
        <v>51.5</v>
      </c>
      <c r="ER73">
        <v>51.061999999999998</v>
      </c>
      <c r="ES73">
        <v>51.75</v>
      </c>
      <c r="ET73">
        <v>1755.27</v>
      </c>
      <c r="EU73">
        <v>39.49</v>
      </c>
      <c r="EV73">
        <v>0</v>
      </c>
      <c r="EW73">
        <v>2738.599999904633</v>
      </c>
      <c r="EX73">
        <v>0</v>
      </c>
      <c r="EY73">
        <v>706.3825384615385</v>
      </c>
      <c r="EZ73">
        <v>-4.2612649617062059</v>
      </c>
      <c r="FA73">
        <v>-47.870085508397629</v>
      </c>
      <c r="FB73">
        <v>13760.33076923077</v>
      </c>
      <c r="FC73">
        <v>15</v>
      </c>
      <c r="FD73">
        <v>1693336341.0999999</v>
      </c>
      <c r="FE73" t="s">
        <v>711</v>
      </c>
      <c r="FF73">
        <v>1693336326.5999999</v>
      </c>
      <c r="FG73">
        <v>1693336341.0999999</v>
      </c>
      <c r="FH73">
        <v>63</v>
      </c>
      <c r="FI73">
        <v>0.316</v>
      </c>
      <c r="FJ73">
        <v>5.8999999999999997E-2</v>
      </c>
      <c r="FK73">
        <v>-1.522</v>
      </c>
      <c r="FL73">
        <v>4.1000000000000002E-2</v>
      </c>
      <c r="FM73">
        <v>400</v>
      </c>
      <c r="FN73">
        <v>19</v>
      </c>
      <c r="FO73">
        <v>0.15</v>
      </c>
      <c r="FP73">
        <v>0.03</v>
      </c>
      <c r="FQ73">
        <v>38.410264778549632</v>
      </c>
      <c r="FR73">
        <v>-0.61653985087863772</v>
      </c>
      <c r="FS73">
        <v>9.190423673290303E-2</v>
      </c>
      <c r="FT73">
        <v>1</v>
      </c>
      <c r="FU73">
        <v>0.19135796192850141</v>
      </c>
      <c r="FV73">
        <v>-2.8232691443169641E-2</v>
      </c>
      <c r="FW73">
        <v>2.2004387090541208E-3</v>
      </c>
      <c r="FX73">
        <v>1</v>
      </c>
      <c r="FY73">
        <v>2</v>
      </c>
      <c r="FZ73">
        <v>2</v>
      </c>
      <c r="GA73" t="s">
        <v>421</v>
      </c>
      <c r="GB73">
        <v>2.96888</v>
      </c>
      <c r="GC73">
        <v>2.8117399999999999</v>
      </c>
      <c r="GD73">
        <v>8.7124999999999994E-2</v>
      </c>
      <c r="GE73">
        <v>9.48542E-2</v>
      </c>
      <c r="GF73">
        <v>0.129492</v>
      </c>
      <c r="GG73">
        <v>0.117183</v>
      </c>
      <c r="GH73">
        <v>26885.8</v>
      </c>
      <c r="GI73">
        <v>24553.1</v>
      </c>
      <c r="GJ73">
        <v>26479.8</v>
      </c>
      <c r="GK73">
        <v>25603.599999999999</v>
      </c>
      <c r="GL73">
        <v>31373.4</v>
      </c>
      <c r="GM73">
        <v>31870.6</v>
      </c>
      <c r="GN73">
        <v>37484.5</v>
      </c>
      <c r="GO73">
        <v>37912.9</v>
      </c>
      <c r="GP73">
        <v>1.93</v>
      </c>
      <c r="GQ73">
        <v>1.9</v>
      </c>
      <c r="GR73">
        <v>1.30236E-2</v>
      </c>
      <c r="GS73">
        <v>0</v>
      </c>
      <c r="GT73">
        <v>29.870899999999999</v>
      </c>
      <c r="GU73">
        <v>999.9</v>
      </c>
      <c r="GV73">
        <v>28.3</v>
      </c>
      <c r="GW73">
        <v>43.2</v>
      </c>
      <c r="GX73">
        <v>25.127700000000001</v>
      </c>
      <c r="GY73">
        <v>61.936999999999998</v>
      </c>
      <c r="GZ73">
        <v>12.5441</v>
      </c>
      <c r="HA73">
        <v>1</v>
      </c>
      <c r="HB73">
        <v>0.53990899999999997</v>
      </c>
      <c r="HC73">
        <v>5.1321599999999998</v>
      </c>
      <c r="HD73">
        <v>20.227900000000002</v>
      </c>
      <c r="HE73">
        <v>5.2088999999999999</v>
      </c>
      <c r="HF73">
        <v>11.9381</v>
      </c>
      <c r="HG73">
        <v>4.9874000000000001</v>
      </c>
      <c r="HH73">
        <v>3.2909999999999999</v>
      </c>
      <c r="HI73">
        <v>9999</v>
      </c>
      <c r="HJ73">
        <v>9999</v>
      </c>
      <c r="HK73">
        <v>9999</v>
      </c>
      <c r="HL73">
        <v>999.9</v>
      </c>
      <c r="HM73">
        <v>1.87042</v>
      </c>
      <c r="HN73">
        <v>1.8765400000000001</v>
      </c>
      <c r="HO73">
        <v>1.8743300000000001</v>
      </c>
      <c r="HP73">
        <v>1.87256</v>
      </c>
      <c r="HQ73">
        <v>1.87304</v>
      </c>
      <c r="HR73">
        <v>1.8704499999999999</v>
      </c>
      <c r="HS73">
        <v>1.8763700000000001</v>
      </c>
      <c r="HT73">
        <v>1.87547</v>
      </c>
      <c r="HU73">
        <v>5</v>
      </c>
      <c r="HV73">
        <v>0</v>
      </c>
      <c r="HW73">
        <v>0</v>
      </c>
      <c r="HX73">
        <v>0</v>
      </c>
      <c r="HY73" t="s">
        <v>422</v>
      </c>
      <c r="HZ73" t="s">
        <v>423</v>
      </c>
      <c r="IA73" t="s">
        <v>424</v>
      </c>
      <c r="IB73" t="s">
        <v>424</v>
      </c>
      <c r="IC73" t="s">
        <v>424</v>
      </c>
      <c r="ID73" t="s">
        <v>424</v>
      </c>
      <c r="IE73">
        <v>0</v>
      </c>
      <c r="IF73">
        <v>100</v>
      </c>
      <c r="IG73">
        <v>100</v>
      </c>
      <c r="IH73">
        <v>-1.452</v>
      </c>
      <c r="II73">
        <v>0.36959999999999998</v>
      </c>
      <c r="IJ73">
        <v>-0.71924543577227462</v>
      </c>
      <c r="IK73">
        <v>-2.677719669153116E-3</v>
      </c>
      <c r="IL73">
        <v>1.9353498771248068E-6</v>
      </c>
      <c r="IM73">
        <v>-6.1862177325538213E-10</v>
      </c>
      <c r="IN73">
        <v>-0.19801781168549051</v>
      </c>
      <c r="IO73">
        <v>-1.5299015507423901E-2</v>
      </c>
      <c r="IP73">
        <v>1.742162107778985E-3</v>
      </c>
      <c r="IQ73">
        <v>-1.472690239905804E-5</v>
      </c>
      <c r="IR73">
        <v>3</v>
      </c>
      <c r="IS73">
        <v>2255</v>
      </c>
      <c r="IT73">
        <v>2</v>
      </c>
      <c r="IU73">
        <v>41</v>
      </c>
      <c r="IV73">
        <v>0.9</v>
      </c>
      <c r="IW73">
        <v>0.7</v>
      </c>
      <c r="IX73">
        <v>0.96679700000000002</v>
      </c>
      <c r="IY73">
        <v>2.5439500000000002</v>
      </c>
      <c r="IZ73">
        <v>1.6003400000000001</v>
      </c>
      <c r="JA73">
        <v>2.2619600000000002</v>
      </c>
      <c r="JB73">
        <v>1.5502899999999999</v>
      </c>
      <c r="JC73">
        <v>2.2509800000000002</v>
      </c>
      <c r="JD73">
        <v>43.209099999999999</v>
      </c>
      <c r="JE73">
        <v>15.769399999999999</v>
      </c>
      <c r="JF73">
        <v>18</v>
      </c>
      <c r="JG73">
        <v>499.81200000000001</v>
      </c>
      <c r="JH73">
        <v>449.56099999999998</v>
      </c>
      <c r="JI73">
        <v>23.837299999999999</v>
      </c>
      <c r="JJ73">
        <v>33.9238</v>
      </c>
      <c r="JK73">
        <v>30.0016</v>
      </c>
      <c r="JL73">
        <v>33.911200000000001</v>
      </c>
      <c r="JM73">
        <v>33.889000000000003</v>
      </c>
      <c r="JN73">
        <v>19.395</v>
      </c>
      <c r="JO73">
        <v>0</v>
      </c>
      <c r="JP73">
        <v>15.8779</v>
      </c>
      <c r="JQ73">
        <v>23.8477</v>
      </c>
      <c r="JR73">
        <v>400</v>
      </c>
      <c r="JS73">
        <v>26.942299999999999</v>
      </c>
      <c r="JT73">
        <v>98.863</v>
      </c>
      <c r="JU73">
        <v>98.452600000000004</v>
      </c>
    </row>
    <row r="74" spans="1:281" x14ac:dyDescent="0.25">
      <c r="A74">
        <v>58</v>
      </c>
      <c r="B74">
        <v>1693336553.5999999</v>
      </c>
      <c r="C74">
        <v>14256.5</v>
      </c>
      <c r="D74" t="s">
        <v>712</v>
      </c>
      <c r="E74" t="s">
        <v>713</v>
      </c>
      <c r="F74" t="s">
        <v>413</v>
      </c>
      <c r="G74" t="s">
        <v>564</v>
      </c>
      <c r="H74" t="s">
        <v>708</v>
      </c>
      <c r="I74" t="s">
        <v>415</v>
      </c>
      <c r="J74">
        <v>1693336553.5999999</v>
      </c>
      <c r="K74">
        <f t="shared" si="46"/>
        <v>4.1435438601022841E-3</v>
      </c>
      <c r="L74">
        <f t="shared" si="47"/>
        <v>4.1435438601022838</v>
      </c>
      <c r="M74">
        <f t="shared" si="48"/>
        <v>29.727182291793106</v>
      </c>
      <c r="N74">
        <f t="shared" si="49"/>
        <v>263.03800000000001</v>
      </c>
      <c r="O74">
        <f t="shared" si="50"/>
        <v>87.571847110671783</v>
      </c>
      <c r="P74">
        <f t="shared" si="51"/>
        <v>8.6664873108897265</v>
      </c>
      <c r="Q74">
        <f t="shared" si="52"/>
        <v>26.031373831830603</v>
      </c>
      <c r="R74">
        <f t="shared" si="53"/>
        <v>0.29085758598046058</v>
      </c>
      <c r="S74">
        <f t="shared" si="54"/>
        <v>2.9078192336067872</v>
      </c>
      <c r="T74">
        <f t="shared" si="55"/>
        <v>0.27560727515095268</v>
      </c>
      <c r="U74">
        <f t="shared" si="56"/>
        <v>0.17355806478896532</v>
      </c>
      <c r="V74">
        <f t="shared" si="57"/>
        <v>344.35230065819979</v>
      </c>
      <c r="W74">
        <f t="shared" si="58"/>
        <v>31.022994890439726</v>
      </c>
      <c r="X74">
        <f t="shared" si="59"/>
        <v>29.884499999999999</v>
      </c>
      <c r="Y74">
        <f t="shared" si="60"/>
        <v>4.2322665658798995</v>
      </c>
      <c r="Z74">
        <f t="shared" si="61"/>
        <v>65.410609361409925</v>
      </c>
      <c r="AA74">
        <f t="shared" si="62"/>
        <v>2.7972558746981098</v>
      </c>
      <c r="AB74">
        <f t="shared" si="63"/>
        <v>4.276455917483621</v>
      </c>
      <c r="AC74">
        <f t="shared" si="64"/>
        <v>1.4350106911817897</v>
      </c>
      <c r="AD74">
        <f t="shared" si="65"/>
        <v>-182.73028423051073</v>
      </c>
      <c r="AE74">
        <f t="shared" si="66"/>
        <v>28.343356174415629</v>
      </c>
      <c r="AF74">
        <f t="shared" si="67"/>
        <v>2.166781247865611</v>
      </c>
      <c r="AG74">
        <f t="shared" si="68"/>
        <v>192.13215384997031</v>
      </c>
      <c r="AH74">
        <v>2</v>
      </c>
      <c r="AI74">
        <v>0</v>
      </c>
      <c r="AJ74">
        <f t="shared" si="69"/>
        <v>1</v>
      </c>
      <c r="AK74">
        <f t="shared" si="70"/>
        <v>0</v>
      </c>
      <c r="AL74">
        <f t="shared" si="71"/>
        <v>51698.785403048823</v>
      </c>
      <c r="AM74" t="s">
        <v>416</v>
      </c>
      <c r="AN74">
        <v>10238.9</v>
      </c>
      <c r="AO74">
        <v>302.21199999999999</v>
      </c>
      <c r="AP74">
        <v>4052.3</v>
      </c>
      <c r="AQ74">
        <f t="shared" si="72"/>
        <v>0.92542210596451402</v>
      </c>
      <c r="AR74">
        <v>-0.32343011824092421</v>
      </c>
      <c r="AS74" t="s">
        <v>714</v>
      </c>
      <c r="AT74">
        <v>10485</v>
      </c>
      <c r="AU74">
        <v>653.11308000000008</v>
      </c>
      <c r="AV74">
        <v>894.05368961820363</v>
      </c>
      <c r="AW74">
        <f t="shared" si="73"/>
        <v>0.26949232738035533</v>
      </c>
      <c r="AX74">
        <v>0.5</v>
      </c>
      <c r="AY74">
        <f t="shared" si="74"/>
        <v>1513.1091003290999</v>
      </c>
      <c r="AZ74">
        <f t="shared" si="75"/>
        <v>29.727182291793106</v>
      </c>
      <c r="BA74">
        <f t="shared" si="76"/>
        <v>203.88564651404235</v>
      </c>
      <c r="BB74">
        <f t="shared" si="77"/>
        <v>1.9860175583834669E-2</v>
      </c>
      <c r="BC74">
        <f t="shared" si="78"/>
        <v>3.5325018475461945</v>
      </c>
      <c r="BD74">
        <f t="shared" si="79"/>
        <v>239.1965060704924</v>
      </c>
      <c r="BE74" t="s">
        <v>715</v>
      </c>
      <c r="BF74">
        <v>543.04999999999995</v>
      </c>
      <c r="BG74">
        <f t="shared" si="80"/>
        <v>543.04999999999995</v>
      </c>
      <c r="BH74">
        <f t="shared" si="81"/>
        <v>0.39259799908448023</v>
      </c>
      <c r="BI74">
        <f t="shared" si="82"/>
        <v>0.6864332676396685</v>
      </c>
      <c r="BJ74">
        <f t="shared" si="83"/>
        <v>0.89997757651401189</v>
      </c>
      <c r="BK74">
        <f t="shared" si="84"/>
        <v>0.40710313897223777</v>
      </c>
      <c r="BL74">
        <f t="shared" si="85"/>
        <v>0.84217925296200946</v>
      </c>
      <c r="BM74">
        <f t="shared" si="86"/>
        <v>0.57075504595884363</v>
      </c>
      <c r="BN74">
        <f t="shared" si="87"/>
        <v>0.42924495404115637</v>
      </c>
      <c r="BO74">
        <v>5578</v>
      </c>
      <c r="BP74">
        <v>290.00000000000011</v>
      </c>
      <c r="BQ74">
        <v>823.63</v>
      </c>
      <c r="BR74">
        <v>255</v>
      </c>
      <c r="BS74">
        <v>10485</v>
      </c>
      <c r="BT74">
        <v>824.21</v>
      </c>
      <c r="BU74">
        <v>-0.57999999999999996</v>
      </c>
      <c r="BV74">
        <v>300.00000000000011</v>
      </c>
      <c r="BW74">
        <v>38.299999999999997</v>
      </c>
      <c r="BX74">
        <v>894.05368961820363</v>
      </c>
      <c r="BY74">
        <v>1.041064231151039</v>
      </c>
      <c r="BZ74">
        <v>-73.234919139442951</v>
      </c>
      <c r="CA74">
        <v>0.89413557993818182</v>
      </c>
      <c r="CB74">
        <v>0.99584357929090261</v>
      </c>
      <c r="CC74">
        <v>-1.139148142380423E-2</v>
      </c>
      <c r="CD74">
        <v>289.99999999999989</v>
      </c>
      <c r="CE74">
        <v>818.03</v>
      </c>
      <c r="CF74">
        <v>645</v>
      </c>
      <c r="CG74">
        <v>10466.799999999999</v>
      </c>
      <c r="CH74">
        <v>824.08</v>
      </c>
      <c r="CI74">
        <v>-6.05</v>
      </c>
      <c r="CW74">
        <f t="shared" si="88"/>
        <v>1799.91</v>
      </c>
      <c r="CX74">
        <f t="shared" si="89"/>
        <v>1513.1091003290999</v>
      </c>
      <c r="CY74">
        <f t="shared" si="90"/>
        <v>0.84065819975948786</v>
      </c>
      <c r="CZ74">
        <f t="shared" si="91"/>
        <v>0.19131639951897583</v>
      </c>
      <c r="DA74">
        <v>6</v>
      </c>
      <c r="DB74">
        <v>0.5</v>
      </c>
      <c r="DC74" t="s">
        <v>419</v>
      </c>
      <c r="DD74">
        <v>2</v>
      </c>
      <c r="DE74">
        <v>1693336553.5999999</v>
      </c>
      <c r="DF74">
        <v>263.03800000000001</v>
      </c>
      <c r="DG74">
        <v>299.99700000000001</v>
      </c>
      <c r="DH74">
        <v>28.2653</v>
      </c>
      <c r="DI74">
        <v>23.436399999999999</v>
      </c>
      <c r="DJ74">
        <v>264.34500000000003</v>
      </c>
      <c r="DK74">
        <v>27.890599999999999</v>
      </c>
      <c r="DL74">
        <v>500.291</v>
      </c>
      <c r="DM74">
        <v>98.865300000000005</v>
      </c>
      <c r="DN74">
        <v>9.9008700000000005E-2</v>
      </c>
      <c r="DO74">
        <v>30.065300000000001</v>
      </c>
      <c r="DP74">
        <v>29.884499999999999</v>
      </c>
      <c r="DQ74">
        <v>999.9</v>
      </c>
      <c r="DR74">
        <v>0</v>
      </c>
      <c r="DS74">
        <v>0</v>
      </c>
      <c r="DT74">
        <v>9990</v>
      </c>
      <c r="DU74">
        <v>0</v>
      </c>
      <c r="DV74">
        <v>1463.34</v>
      </c>
      <c r="DW74">
        <v>-36.958599999999997</v>
      </c>
      <c r="DX74">
        <v>270.69</v>
      </c>
      <c r="DY74">
        <v>307.197</v>
      </c>
      <c r="DZ74">
        <v>4.8288900000000003</v>
      </c>
      <c r="EA74">
        <v>299.99700000000001</v>
      </c>
      <c r="EB74">
        <v>23.436399999999999</v>
      </c>
      <c r="EC74">
        <v>2.7944499999999999</v>
      </c>
      <c r="ED74">
        <v>2.31704</v>
      </c>
      <c r="EE74">
        <v>22.851400000000002</v>
      </c>
      <c r="EF74">
        <v>19.795400000000001</v>
      </c>
      <c r="EG74">
        <v>1799.91</v>
      </c>
      <c r="EH74">
        <v>0.97799800000000003</v>
      </c>
      <c r="EI74">
        <v>2.2001799999999998E-2</v>
      </c>
      <c r="EJ74">
        <v>0</v>
      </c>
      <c r="EK74">
        <v>652.99199999999996</v>
      </c>
      <c r="EL74">
        <v>4.9995000000000003</v>
      </c>
      <c r="EM74">
        <v>12731.5</v>
      </c>
      <c r="EN74">
        <v>16658.900000000001</v>
      </c>
      <c r="EO74">
        <v>49.436999999999998</v>
      </c>
      <c r="EP74">
        <v>51</v>
      </c>
      <c r="EQ74">
        <v>50.375</v>
      </c>
      <c r="ER74">
        <v>49.75</v>
      </c>
      <c r="ES74">
        <v>50.625</v>
      </c>
      <c r="ET74">
        <v>1755.42</v>
      </c>
      <c r="EU74">
        <v>39.49</v>
      </c>
      <c r="EV74">
        <v>0</v>
      </c>
      <c r="EW74">
        <v>170.60000014305109</v>
      </c>
      <c r="EX74">
        <v>0</v>
      </c>
      <c r="EY74">
        <v>653.11308000000008</v>
      </c>
      <c r="EZ74">
        <v>-8.9846159205485027E-2</v>
      </c>
      <c r="FA74">
        <v>-17.484615265108349</v>
      </c>
      <c r="FB74">
        <v>12733.388000000001</v>
      </c>
      <c r="FC74">
        <v>15</v>
      </c>
      <c r="FD74">
        <v>1693336521.5999999</v>
      </c>
      <c r="FE74" t="s">
        <v>716</v>
      </c>
      <c r="FF74">
        <v>1693336520.5999999</v>
      </c>
      <c r="FG74">
        <v>1693336521.5999999</v>
      </c>
      <c r="FH74">
        <v>64</v>
      </c>
      <c r="FI74">
        <v>-4.0000000000000001E-3</v>
      </c>
      <c r="FJ74">
        <v>-3.5999999999999997E-2</v>
      </c>
      <c r="FK74">
        <v>-1.371</v>
      </c>
      <c r="FL74">
        <v>0.156</v>
      </c>
      <c r="FM74">
        <v>300</v>
      </c>
      <c r="FN74">
        <v>23</v>
      </c>
      <c r="FO74">
        <v>0.2</v>
      </c>
      <c r="FP74">
        <v>0.05</v>
      </c>
      <c r="FQ74">
        <v>29.644189489841679</v>
      </c>
      <c r="FR74">
        <v>0.43402016325723031</v>
      </c>
      <c r="FS74">
        <v>9.3472657814767934E-2</v>
      </c>
      <c r="FT74">
        <v>1</v>
      </c>
      <c r="FU74">
        <v>0.28559511301236629</v>
      </c>
      <c r="FV74">
        <v>3.938473095565443E-2</v>
      </c>
      <c r="FW74">
        <v>3.2357645983917922E-3</v>
      </c>
      <c r="FX74">
        <v>1</v>
      </c>
      <c r="FY74">
        <v>2</v>
      </c>
      <c r="FZ74">
        <v>2</v>
      </c>
      <c r="GA74" t="s">
        <v>421</v>
      </c>
      <c r="GB74">
        <v>2.9683299999999999</v>
      </c>
      <c r="GC74">
        <v>2.8106200000000001</v>
      </c>
      <c r="GD74">
        <v>6.8549799999999994E-2</v>
      </c>
      <c r="GE74">
        <v>7.5350500000000001E-2</v>
      </c>
      <c r="GF74">
        <v>0.13238800000000001</v>
      </c>
      <c r="GG74">
        <v>0.115582</v>
      </c>
      <c r="GH74">
        <v>27428.5</v>
      </c>
      <c r="GI74">
        <v>25072.799999999999</v>
      </c>
      <c r="GJ74">
        <v>26475.8</v>
      </c>
      <c r="GK74">
        <v>25594.3</v>
      </c>
      <c r="GL74">
        <v>31263.8</v>
      </c>
      <c r="GM74">
        <v>31915.4</v>
      </c>
      <c r="GN74">
        <v>37478.6</v>
      </c>
      <c r="GO74">
        <v>37898.9</v>
      </c>
      <c r="GP74">
        <v>1.9298999999999999</v>
      </c>
      <c r="GQ74">
        <v>1.8998999999999999</v>
      </c>
      <c r="GR74">
        <v>7.1525599999999996E-3</v>
      </c>
      <c r="GS74">
        <v>0</v>
      </c>
      <c r="GT74">
        <v>29.7681</v>
      </c>
      <c r="GU74">
        <v>999.9</v>
      </c>
      <c r="GV74">
        <v>31.7</v>
      </c>
      <c r="GW74">
        <v>42.9</v>
      </c>
      <c r="GX74">
        <v>27.711099999999998</v>
      </c>
      <c r="GY74">
        <v>61.807000000000002</v>
      </c>
      <c r="GZ74">
        <v>12.9367</v>
      </c>
      <c r="HA74">
        <v>1</v>
      </c>
      <c r="HB74">
        <v>0.54091500000000003</v>
      </c>
      <c r="HC74">
        <v>3.4230999999999998</v>
      </c>
      <c r="HD74">
        <v>20.269600000000001</v>
      </c>
      <c r="HE74">
        <v>5.2011200000000004</v>
      </c>
      <c r="HF74">
        <v>11.9381</v>
      </c>
      <c r="HG74">
        <v>4.9851999999999999</v>
      </c>
      <c r="HH74">
        <v>3.2890000000000001</v>
      </c>
      <c r="HI74">
        <v>9999</v>
      </c>
      <c r="HJ74">
        <v>9999</v>
      </c>
      <c r="HK74">
        <v>9999</v>
      </c>
      <c r="HL74">
        <v>999.9</v>
      </c>
      <c r="HM74">
        <v>1.87042</v>
      </c>
      <c r="HN74">
        <v>1.87653</v>
      </c>
      <c r="HO74">
        <v>1.87432</v>
      </c>
      <c r="HP74">
        <v>1.87256</v>
      </c>
      <c r="HQ74">
        <v>1.87304</v>
      </c>
      <c r="HR74">
        <v>1.8704499999999999</v>
      </c>
      <c r="HS74">
        <v>1.87635</v>
      </c>
      <c r="HT74">
        <v>1.8754599999999999</v>
      </c>
      <c r="HU74">
        <v>5</v>
      </c>
      <c r="HV74">
        <v>0</v>
      </c>
      <c r="HW74">
        <v>0</v>
      </c>
      <c r="HX74">
        <v>0</v>
      </c>
      <c r="HY74" t="s">
        <v>422</v>
      </c>
      <c r="HZ74" t="s">
        <v>423</v>
      </c>
      <c r="IA74" t="s">
        <v>424</v>
      </c>
      <c r="IB74" t="s">
        <v>424</v>
      </c>
      <c r="IC74" t="s">
        <v>424</v>
      </c>
      <c r="ID74" t="s">
        <v>424</v>
      </c>
      <c r="IE74">
        <v>0</v>
      </c>
      <c r="IF74">
        <v>100</v>
      </c>
      <c r="IG74">
        <v>100</v>
      </c>
      <c r="IH74">
        <v>-1.3069999999999999</v>
      </c>
      <c r="II74">
        <v>0.37469999999999998</v>
      </c>
      <c r="IJ74">
        <v>-0.72291350305808133</v>
      </c>
      <c r="IK74">
        <v>-2.677719669153116E-3</v>
      </c>
      <c r="IL74">
        <v>1.9353498771248068E-6</v>
      </c>
      <c r="IM74">
        <v>-6.1862177325538213E-10</v>
      </c>
      <c r="IN74">
        <v>-0.23429672284686009</v>
      </c>
      <c r="IO74">
        <v>-1.5299015507423901E-2</v>
      </c>
      <c r="IP74">
        <v>1.742162107778985E-3</v>
      </c>
      <c r="IQ74">
        <v>-1.472690239905804E-5</v>
      </c>
      <c r="IR74">
        <v>3</v>
      </c>
      <c r="IS74">
        <v>2255</v>
      </c>
      <c r="IT74">
        <v>2</v>
      </c>
      <c r="IU74">
        <v>41</v>
      </c>
      <c r="IV74">
        <v>0.6</v>
      </c>
      <c r="IW74">
        <v>0.5</v>
      </c>
      <c r="IX74">
        <v>0.77148399999999995</v>
      </c>
      <c r="IY74">
        <v>2.52563</v>
      </c>
      <c r="IZ74">
        <v>1.5991200000000001</v>
      </c>
      <c r="JA74">
        <v>2.2619600000000002</v>
      </c>
      <c r="JB74">
        <v>1.5502899999999999</v>
      </c>
      <c r="JC74">
        <v>2.3596200000000001</v>
      </c>
      <c r="JD74">
        <v>43.046900000000001</v>
      </c>
      <c r="JE74">
        <v>15.7606</v>
      </c>
      <c r="JF74">
        <v>18</v>
      </c>
      <c r="JG74">
        <v>500.613</v>
      </c>
      <c r="JH74">
        <v>450.23500000000001</v>
      </c>
      <c r="JI74">
        <v>24.6752</v>
      </c>
      <c r="JJ74">
        <v>34.072499999999998</v>
      </c>
      <c r="JK74">
        <v>30.000399999999999</v>
      </c>
      <c r="JL74">
        <v>34.024299999999997</v>
      </c>
      <c r="JM74">
        <v>33.992400000000004</v>
      </c>
      <c r="JN74">
        <v>15.4785</v>
      </c>
      <c r="JO74">
        <v>21.707799999999999</v>
      </c>
      <c r="JP74">
        <v>25.2332</v>
      </c>
      <c r="JQ74">
        <v>24.726299999999998</v>
      </c>
      <c r="JR74">
        <v>300</v>
      </c>
      <c r="JS74">
        <v>23.400099999999998</v>
      </c>
      <c r="JT74">
        <v>98.8476</v>
      </c>
      <c r="JU74">
        <v>98.416499999999999</v>
      </c>
    </row>
    <row r="75" spans="1:281" x14ac:dyDescent="0.25">
      <c r="A75">
        <v>59</v>
      </c>
      <c r="B75">
        <v>1693336663.5999999</v>
      </c>
      <c r="C75">
        <v>14366.5</v>
      </c>
      <c r="D75" t="s">
        <v>717</v>
      </c>
      <c r="E75" t="s">
        <v>718</v>
      </c>
      <c r="F75" t="s">
        <v>413</v>
      </c>
      <c r="G75" t="s">
        <v>564</v>
      </c>
      <c r="H75" t="s">
        <v>708</v>
      </c>
      <c r="I75" t="s">
        <v>415</v>
      </c>
      <c r="J75">
        <v>1693336663.5999999</v>
      </c>
      <c r="K75">
        <f t="shared" si="46"/>
        <v>4.0909452829028647E-3</v>
      </c>
      <c r="L75">
        <f t="shared" si="47"/>
        <v>4.0909452829028643</v>
      </c>
      <c r="M75">
        <f t="shared" si="48"/>
        <v>20.557117244601361</v>
      </c>
      <c r="N75">
        <f t="shared" si="49"/>
        <v>174.47200000000001</v>
      </c>
      <c r="O75">
        <f t="shared" si="50"/>
        <v>51.342793550544975</v>
      </c>
      <c r="P75">
        <f t="shared" si="51"/>
        <v>5.0814551678816384</v>
      </c>
      <c r="Q75">
        <f t="shared" si="52"/>
        <v>17.267693959384001</v>
      </c>
      <c r="R75">
        <f t="shared" si="53"/>
        <v>0.28584537405952359</v>
      </c>
      <c r="S75">
        <f t="shared" si="54"/>
        <v>2.9105420419049932</v>
      </c>
      <c r="T75">
        <f t="shared" si="55"/>
        <v>0.27111485918399736</v>
      </c>
      <c r="U75">
        <f t="shared" si="56"/>
        <v>0.17070698198215373</v>
      </c>
      <c r="V75">
        <f t="shared" si="57"/>
        <v>344.39540065794904</v>
      </c>
      <c r="W75">
        <f t="shared" si="58"/>
        <v>31.100906408923279</v>
      </c>
      <c r="X75">
        <f t="shared" si="59"/>
        <v>29.9724</v>
      </c>
      <c r="Y75">
        <f t="shared" si="60"/>
        <v>4.2537002543213127</v>
      </c>
      <c r="Z75">
        <f t="shared" si="61"/>
        <v>65.548804013737708</v>
      </c>
      <c r="AA75">
        <f t="shared" si="62"/>
        <v>2.8136111496042</v>
      </c>
      <c r="AB75">
        <f t="shared" si="63"/>
        <v>4.2923912830118516</v>
      </c>
      <c r="AC75">
        <f t="shared" si="64"/>
        <v>1.4400891047171127</v>
      </c>
      <c r="AD75">
        <f t="shared" si="65"/>
        <v>-180.41068697601634</v>
      </c>
      <c r="AE75">
        <f t="shared" si="66"/>
        <v>24.745202582213555</v>
      </c>
      <c r="AF75">
        <f t="shared" si="67"/>
        <v>1.8913705086250279</v>
      </c>
      <c r="AG75">
        <f t="shared" si="68"/>
        <v>190.62128677277127</v>
      </c>
      <c r="AH75">
        <v>2</v>
      </c>
      <c r="AI75">
        <v>0</v>
      </c>
      <c r="AJ75">
        <f t="shared" si="69"/>
        <v>1</v>
      </c>
      <c r="AK75">
        <f t="shared" si="70"/>
        <v>0</v>
      </c>
      <c r="AL75">
        <f t="shared" si="71"/>
        <v>51765.157590001618</v>
      </c>
      <c r="AM75" t="s">
        <v>416</v>
      </c>
      <c r="AN75">
        <v>10238.9</v>
      </c>
      <c r="AO75">
        <v>302.21199999999999</v>
      </c>
      <c r="AP75">
        <v>4052.3</v>
      </c>
      <c r="AQ75">
        <f t="shared" si="72"/>
        <v>0.92542210596451402</v>
      </c>
      <c r="AR75">
        <v>-0.32343011824092421</v>
      </c>
      <c r="AS75" t="s">
        <v>719</v>
      </c>
      <c r="AT75">
        <v>10485.299999999999</v>
      </c>
      <c r="AU75">
        <v>636.80107999999996</v>
      </c>
      <c r="AV75">
        <v>807.48598066628279</v>
      </c>
      <c r="AW75">
        <f t="shared" si="73"/>
        <v>0.21137815981083063</v>
      </c>
      <c r="AX75">
        <v>0.5</v>
      </c>
      <c r="AY75">
        <f t="shared" si="74"/>
        <v>1513.3020003289744</v>
      </c>
      <c r="AZ75">
        <f t="shared" si="75"/>
        <v>20.557117244601361</v>
      </c>
      <c r="BA75">
        <f t="shared" si="76"/>
        <v>159.9394960337938</v>
      </c>
      <c r="BB75">
        <f t="shared" si="77"/>
        <v>1.379800420425209E-2</v>
      </c>
      <c r="BC75">
        <f t="shared" si="78"/>
        <v>4.0184153001099991</v>
      </c>
      <c r="BD75">
        <f t="shared" si="79"/>
        <v>232.52712120516694</v>
      </c>
      <c r="BE75" t="s">
        <v>720</v>
      </c>
      <c r="BF75">
        <v>532.51</v>
      </c>
      <c r="BG75">
        <f t="shared" si="80"/>
        <v>532.51</v>
      </c>
      <c r="BH75">
        <f t="shared" si="81"/>
        <v>0.34053344237554595</v>
      </c>
      <c r="BI75">
        <f t="shared" si="82"/>
        <v>0.62072658220075583</v>
      </c>
      <c r="BJ75">
        <f t="shared" si="83"/>
        <v>0.92187716293691313</v>
      </c>
      <c r="BK75">
        <f t="shared" si="84"/>
        <v>0.33780663006080003</v>
      </c>
      <c r="BL75">
        <f t="shared" si="85"/>
        <v>0.86526343364041525</v>
      </c>
      <c r="BM75">
        <f t="shared" si="86"/>
        <v>0.519068077409235</v>
      </c>
      <c r="BN75">
        <f t="shared" si="87"/>
        <v>0.480931922590765</v>
      </c>
      <c r="BO75">
        <v>5580</v>
      </c>
      <c r="BP75">
        <v>290.00000000000011</v>
      </c>
      <c r="BQ75">
        <v>763.25</v>
      </c>
      <c r="BR75">
        <v>285</v>
      </c>
      <c r="BS75">
        <v>10485.299999999999</v>
      </c>
      <c r="BT75">
        <v>762.77</v>
      </c>
      <c r="BU75">
        <v>0.48</v>
      </c>
      <c r="BV75">
        <v>300.00000000000011</v>
      </c>
      <c r="BW75">
        <v>38.299999999999997</v>
      </c>
      <c r="BX75">
        <v>807.48598066628279</v>
      </c>
      <c r="BY75">
        <v>1.1614713228695981</v>
      </c>
      <c r="BZ75">
        <v>-46.885686211266353</v>
      </c>
      <c r="CA75">
        <v>0.99807079758807971</v>
      </c>
      <c r="CB75">
        <v>0.98747076877608275</v>
      </c>
      <c r="CC75">
        <v>-1.1396407563959959E-2</v>
      </c>
      <c r="CD75">
        <v>289.99999999999989</v>
      </c>
      <c r="CE75">
        <v>761.1</v>
      </c>
      <c r="CF75">
        <v>695</v>
      </c>
      <c r="CG75">
        <v>10467.299999999999</v>
      </c>
      <c r="CH75">
        <v>762.69</v>
      </c>
      <c r="CI75">
        <v>-1.59</v>
      </c>
      <c r="CW75">
        <f t="shared" si="88"/>
        <v>1800.14</v>
      </c>
      <c r="CX75">
        <f t="shared" si="89"/>
        <v>1513.3020003289744</v>
      </c>
      <c r="CY75">
        <f t="shared" si="90"/>
        <v>0.84065794900895174</v>
      </c>
      <c r="CZ75">
        <f t="shared" si="91"/>
        <v>0.19131589801790361</v>
      </c>
      <c r="DA75">
        <v>6</v>
      </c>
      <c r="DB75">
        <v>0.5</v>
      </c>
      <c r="DC75" t="s">
        <v>419</v>
      </c>
      <c r="DD75">
        <v>2</v>
      </c>
      <c r="DE75">
        <v>1693336663.5999999</v>
      </c>
      <c r="DF75">
        <v>174.47200000000001</v>
      </c>
      <c r="DG75">
        <v>200.00200000000001</v>
      </c>
      <c r="DH75">
        <v>28.428599999999999</v>
      </c>
      <c r="DI75">
        <v>23.658100000000001</v>
      </c>
      <c r="DJ75">
        <v>175.60499999999999</v>
      </c>
      <c r="DK75">
        <v>28.049800000000001</v>
      </c>
      <c r="DL75">
        <v>499.90300000000002</v>
      </c>
      <c r="DM75">
        <v>98.870999999999995</v>
      </c>
      <c r="DN75">
        <v>0.100147</v>
      </c>
      <c r="DO75">
        <v>30.130099999999999</v>
      </c>
      <c r="DP75">
        <v>29.9724</v>
      </c>
      <c r="DQ75">
        <v>999.9</v>
      </c>
      <c r="DR75">
        <v>0</v>
      </c>
      <c r="DS75">
        <v>0</v>
      </c>
      <c r="DT75">
        <v>10005</v>
      </c>
      <c r="DU75">
        <v>0</v>
      </c>
      <c r="DV75">
        <v>1442.98</v>
      </c>
      <c r="DW75">
        <v>-25.530200000000001</v>
      </c>
      <c r="DX75">
        <v>179.577</v>
      </c>
      <c r="DY75">
        <v>204.84899999999999</v>
      </c>
      <c r="DZ75">
        <v>4.7705299999999999</v>
      </c>
      <c r="EA75">
        <v>200.00200000000001</v>
      </c>
      <c r="EB75">
        <v>23.658100000000001</v>
      </c>
      <c r="EC75">
        <v>2.8107700000000002</v>
      </c>
      <c r="ED75">
        <v>2.3391000000000002</v>
      </c>
      <c r="EE75">
        <v>22.947500000000002</v>
      </c>
      <c r="EF75">
        <v>19.9482</v>
      </c>
      <c r="EG75">
        <v>1800.14</v>
      </c>
      <c r="EH75">
        <v>0.97800799999999999</v>
      </c>
      <c r="EI75">
        <v>2.1991500000000001E-2</v>
      </c>
      <c r="EJ75">
        <v>0</v>
      </c>
      <c r="EK75">
        <v>636.39099999999996</v>
      </c>
      <c r="EL75">
        <v>4.9995000000000003</v>
      </c>
      <c r="EM75">
        <v>12396</v>
      </c>
      <c r="EN75">
        <v>16661.2</v>
      </c>
      <c r="EO75">
        <v>48.75</v>
      </c>
      <c r="EP75">
        <v>50.375</v>
      </c>
      <c r="EQ75">
        <v>49.686999999999998</v>
      </c>
      <c r="ER75">
        <v>49.061999999999998</v>
      </c>
      <c r="ES75">
        <v>50</v>
      </c>
      <c r="ET75">
        <v>1755.66</v>
      </c>
      <c r="EU75">
        <v>39.479999999999997</v>
      </c>
      <c r="EV75">
        <v>0</v>
      </c>
      <c r="EW75">
        <v>108.2000000476837</v>
      </c>
      <c r="EX75">
        <v>0</v>
      </c>
      <c r="EY75">
        <v>636.80107999999996</v>
      </c>
      <c r="EZ75">
        <v>-3.8423846131800432</v>
      </c>
      <c r="FA75">
        <v>-75.930769495139273</v>
      </c>
      <c r="FB75">
        <v>12401.415999999999</v>
      </c>
      <c r="FC75">
        <v>15</v>
      </c>
      <c r="FD75">
        <v>1693336624.0999999</v>
      </c>
      <c r="FE75" t="s">
        <v>721</v>
      </c>
      <c r="FF75">
        <v>1693336614.5999999</v>
      </c>
      <c r="FG75">
        <v>1693336624.0999999</v>
      </c>
      <c r="FH75">
        <v>65</v>
      </c>
      <c r="FI75">
        <v>4.0000000000000001E-3</v>
      </c>
      <c r="FJ75">
        <v>-3.0000000000000001E-3</v>
      </c>
      <c r="FK75">
        <v>-1.1839999999999999</v>
      </c>
      <c r="FL75">
        <v>0.158</v>
      </c>
      <c r="FM75">
        <v>200</v>
      </c>
      <c r="FN75">
        <v>23</v>
      </c>
      <c r="FO75">
        <v>0.15</v>
      </c>
      <c r="FP75">
        <v>0.03</v>
      </c>
      <c r="FQ75">
        <v>20.440607002692619</v>
      </c>
      <c r="FR75">
        <v>2.874274046441571E-2</v>
      </c>
      <c r="FS75">
        <v>5.794893334725746E-2</v>
      </c>
      <c r="FT75">
        <v>1</v>
      </c>
      <c r="FU75">
        <v>0.28350363039286708</v>
      </c>
      <c r="FV75">
        <v>4.3976979480632873E-2</v>
      </c>
      <c r="FW75">
        <v>3.491922018395766E-3</v>
      </c>
      <c r="FX75">
        <v>1</v>
      </c>
      <c r="FY75">
        <v>2</v>
      </c>
      <c r="FZ75">
        <v>2</v>
      </c>
      <c r="GA75" t="s">
        <v>421</v>
      </c>
      <c r="GB75">
        <v>2.9672700000000001</v>
      </c>
      <c r="GC75">
        <v>2.81189</v>
      </c>
      <c r="GD75">
        <v>4.7863700000000002E-2</v>
      </c>
      <c r="GE75">
        <v>5.3203899999999998E-2</v>
      </c>
      <c r="GF75">
        <v>0.132911</v>
      </c>
      <c r="GG75">
        <v>0.11634</v>
      </c>
      <c r="GH75">
        <v>28036.799999999999</v>
      </c>
      <c r="GI75">
        <v>25670.7</v>
      </c>
      <c r="GJ75">
        <v>26475.1</v>
      </c>
      <c r="GK75">
        <v>25591.599999999999</v>
      </c>
      <c r="GL75">
        <v>31243.4</v>
      </c>
      <c r="GM75">
        <v>31883.1</v>
      </c>
      <c r="GN75">
        <v>37478.300000000003</v>
      </c>
      <c r="GO75">
        <v>37894.800000000003</v>
      </c>
      <c r="GP75">
        <v>1.9296</v>
      </c>
      <c r="GQ75">
        <v>1.9008</v>
      </c>
      <c r="GR75">
        <v>1.5377999999999999E-2</v>
      </c>
      <c r="GS75">
        <v>0</v>
      </c>
      <c r="GT75">
        <v>29.722100000000001</v>
      </c>
      <c r="GU75">
        <v>999.9</v>
      </c>
      <c r="GV75">
        <v>32.299999999999997</v>
      </c>
      <c r="GW75">
        <v>42.6</v>
      </c>
      <c r="GX75">
        <v>27.793800000000001</v>
      </c>
      <c r="GY75">
        <v>61.877000000000002</v>
      </c>
      <c r="GZ75">
        <v>13.5296</v>
      </c>
      <c r="HA75">
        <v>1</v>
      </c>
      <c r="HB75">
        <v>0.54397399999999996</v>
      </c>
      <c r="HC75">
        <v>3.52216</v>
      </c>
      <c r="HD75">
        <v>20.268799999999999</v>
      </c>
      <c r="HE75">
        <v>5.2088999999999999</v>
      </c>
      <c r="HF75">
        <v>11.9381</v>
      </c>
      <c r="HG75">
        <v>4.9866000000000001</v>
      </c>
      <c r="HH75">
        <v>3.2907000000000002</v>
      </c>
      <c r="HI75">
        <v>9999</v>
      </c>
      <c r="HJ75">
        <v>9999</v>
      </c>
      <c r="HK75">
        <v>9999</v>
      </c>
      <c r="HL75">
        <v>999.9</v>
      </c>
      <c r="HM75">
        <v>1.87042</v>
      </c>
      <c r="HN75">
        <v>1.87653</v>
      </c>
      <c r="HO75">
        <v>1.87429</v>
      </c>
      <c r="HP75">
        <v>1.87256</v>
      </c>
      <c r="HQ75">
        <v>1.87304</v>
      </c>
      <c r="HR75">
        <v>1.87042</v>
      </c>
      <c r="HS75">
        <v>1.8763700000000001</v>
      </c>
      <c r="HT75">
        <v>1.8754599999999999</v>
      </c>
      <c r="HU75">
        <v>5</v>
      </c>
      <c r="HV75">
        <v>0</v>
      </c>
      <c r="HW75">
        <v>0</v>
      </c>
      <c r="HX75">
        <v>0</v>
      </c>
      <c r="HY75" t="s">
        <v>422</v>
      </c>
      <c r="HZ75" t="s">
        <v>423</v>
      </c>
      <c r="IA75" t="s">
        <v>424</v>
      </c>
      <c r="IB75" t="s">
        <v>424</v>
      </c>
      <c r="IC75" t="s">
        <v>424</v>
      </c>
      <c r="ID75" t="s">
        <v>424</v>
      </c>
      <c r="IE75">
        <v>0</v>
      </c>
      <c r="IF75">
        <v>100</v>
      </c>
      <c r="IG75">
        <v>100</v>
      </c>
      <c r="IH75">
        <v>-1.133</v>
      </c>
      <c r="II75">
        <v>0.37880000000000003</v>
      </c>
      <c r="IJ75">
        <v>-0.71867884598580911</v>
      </c>
      <c r="IK75">
        <v>-2.677719669153116E-3</v>
      </c>
      <c r="IL75">
        <v>1.9353498771248068E-6</v>
      </c>
      <c r="IM75">
        <v>-6.1862177325538213E-10</v>
      </c>
      <c r="IN75">
        <v>-0.23769981385915409</v>
      </c>
      <c r="IO75">
        <v>-1.5299015507423901E-2</v>
      </c>
      <c r="IP75">
        <v>1.742162107778985E-3</v>
      </c>
      <c r="IQ75">
        <v>-1.472690239905804E-5</v>
      </c>
      <c r="IR75">
        <v>3</v>
      </c>
      <c r="IS75">
        <v>2255</v>
      </c>
      <c r="IT75">
        <v>2</v>
      </c>
      <c r="IU75">
        <v>41</v>
      </c>
      <c r="IV75">
        <v>0.8</v>
      </c>
      <c r="IW75">
        <v>0.7</v>
      </c>
      <c r="IX75">
        <v>0.56762699999999999</v>
      </c>
      <c r="IY75">
        <v>2.5354000000000001</v>
      </c>
      <c r="IZ75">
        <v>1.5991200000000001</v>
      </c>
      <c r="JA75">
        <v>2.2619600000000002</v>
      </c>
      <c r="JB75">
        <v>1.5502899999999999</v>
      </c>
      <c r="JC75">
        <v>2.4279799999999998</v>
      </c>
      <c r="JD75">
        <v>42.912100000000002</v>
      </c>
      <c r="JE75">
        <v>15.7431</v>
      </c>
      <c r="JF75">
        <v>18</v>
      </c>
      <c r="JG75">
        <v>500.74700000000001</v>
      </c>
      <c r="JH75">
        <v>451.12</v>
      </c>
      <c r="JI75">
        <v>24.912800000000001</v>
      </c>
      <c r="JJ75">
        <v>34.1021</v>
      </c>
      <c r="JK75">
        <v>30.000299999999999</v>
      </c>
      <c r="JL75">
        <v>34.067100000000003</v>
      </c>
      <c r="JM75">
        <v>34.0381</v>
      </c>
      <c r="JN75">
        <v>11.4047</v>
      </c>
      <c r="JO75">
        <v>21.4664</v>
      </c>
      <c r="JP75">
        <v>25.950199999999999</v>
      </c>
      <c r="JQ75">
        <v>24.910799999999998</v>
      </c>
      <c r="JR75">
        <v>200</v>
      </c>
      <c r="JS75">
        <v>23.5503</v>
      </c>
      <c r="JT75">
        <v>98.846000000000004</v>
      </c>
      <c r="JU75">
        <v>98.406000000000006</v>
      </c>
    </row>
    <row r="76" spans="1:281" x14ac:dyDescent="0.25">
      <c r="A76">
        <v>60</v>
      </c>
      <c r="B76">
        <v>1693336781.5999999</v>
      </c>
      <c r="C76">
        <v>14484.5</v>
      </c>
      <c r="D76" t="s">
        <v>722</v>
      </c>
      <c r="E76" t="s">
        <v>723</v>
      </c>
      <c r="F76" t="s">
        <v>413</v>
      </c>
      <c r="G76" t="s">
        <v>564</v>
      </c>
      <c r="H76" t="s">
        <v>708</v>
      </c>
      <c r="I76" t="s">
        <v>415</v>
      </c>
      <c r="J76">
        <v>1693336781.5999999</v>
      </c>
      <c r="K76">
        <f t="shared" si="46"/>
        <v>4.4350771347885813E-3</v>
      </c>
      <c r="L76">
        <f t="shared" si="47"/>
        <v>4.4350771347885809</v>
      </c>
      <c r="M76">
        <f t="shared" si="48"/>
        <v>12.849545870342856</v>
      </c>
      <c r="N76">
        <f t="shared" si="49"/>
        <v>103.991</v>
      </c>
      <c r="O76">
        <f t="shared" si="50"/>
        <v>33.08532582431765</v>
      </c>
      <c r="P76">
        <f t="shared" si="51"/>
        <v>3.2741107252427852</v>
      </c>
      <c r="Q76">
        <f t="shared" si="52"/>
        <v>10.2909081275685</v>
      </c>
      <c r="R76">
        <f t="shared" si="53"/>
        <v>0.31185453498007493</v>
      </c>
      <c r="S76">
        <f t="shared" si="54"/>
        <v>2.9155960275466617</v>
      </c>
      <c r="T76">
        <f t="shared" si="55"/>
        <v>0.29443766066061078</v>
      </c>
      <c r="U76">
        <f t="shared" si="56"/>
        <v>0.18550726810585896</v>
      </c>
      <c r="V76">
        <f t="shared" si="57"/>
        <v>344.37510065815587</v>
      </c>
      <c r="W76">
        <f t="shared" si="58"/>
        <v>31.107162579209465</v>
      </c>
      <c r="X76">
        <f t="shared" si="59"/>
        <v>29.995200000000001</v>
      </c>
      <c r="Y76">
        <f t="shared" si="60"/>
        <v>4.2592752731664429</v>
      </c>
      <c r="Z76">
        <f t="shared" si="61"/>
        <v>65.37661414810691</v>
      </c>
      <c r="AA76">
        <f t="shared" si="62"/>
        <v>2.8219914291681003</v>
      </c>
      <c r="AB76">
        <f t="shared" si="63"/>
        <v>4.3165151116193377</v>
      </c>
      <c r="AC76">
        <f t="shared" si="64"/>
        <v>1.4372838439983426</v>
      </c>
      <c r="AD76">
        <f t="shared" si="65"/>
        <v>-195.58690164417644</v>
      </c>
      <c r="AE76">
        <f t="shared" si="66"/>
        <v>36.561373592428119</v>
      </c>
      <c r="AF76">
        <f t="shared" si="67"/>
        <v>2.791345962251043</v>
      </c>
      <c r="AG76">
        <f t="shared" si="68"/>
        <v>188.14091856865861</v>
      </c>
      <c r="AH76">
        <v>2</v>
      </c>
      <c r="AI76">
        <v>0</v>
      </c>
      <c r="AJ76">
        <f t="shared" si="69"/>
        <v>1</v>
      </c>
      <c r="AK76">
        <f t="shared" si="70"/>
        <v>0</v>
      </c>
      <c r="AL76">
        <f t="shared" si="71"/>
        <v>51891.814324313345</v>
      </c>
      <c r="AM76" t="s">
        <v>416</v>
      </c>
      <c r="AN76">
        <v>10238.9</v>
      </c>
      <c r="AO76">
        <v>302.21199999999999</v>
      </c>
      <c r="AP76">
        <v>4052.3</v>
      </c>
      <c r="AQ76">
        <f t="shared" si="72"/>
        <v>0.92542210596451402</v>
      </c>
      <c r="AR76">
        <v>-0.32343011824092421</v>
      </c>
      <c r="AS76" t="s">
        <v>724</v>
      </c>
      <c r="AT76">
        <v>10492</v>
      </c>
      <c r="AU76">
        <v>638.24561538461535</v>
      </c>
      <c r="AV76">
        <v>755.54778442580141</v>
      </c>
      <c r="AW76">
        <f t="shared" si="73"/>
        <v>0.15525446763149864</v>
      </c>
      <c r="AX76">
        <v>0.5</v>
      </c>
      <c r="AY76">
        <f t="shared" si="74"/>
        <v>1513.209900329078</v>
      </c>
      <c r="AZ76">
        <f t="shared" si="75"/>
        <v>12.849545870342856</v>
      </c>
      <c r="BA76">
        <f t="shared" si="76"/>
        <v>117.46629874515206</v>
      </c>
      <c r="BB76">
        <f t="shared" si="77"/>
        <v>8.7053197218172132E-3</v>
      </c>
      <c r="BC76">
        <f t="shared" si="78"/>
        <v>4.36339339950504</v>
      </c>
      <c r="BD76">
        <f t="shared" si="79"/>
        <v>228.01351016713969</v>
      </c>
      <c r="BE76" t="s">
        <v>725</v>
      </c>
      <c r="BF76">
        <v>534.95000000000005</v>
      </c>
      <c r="BG76">
        <f t="shared" si="80"/>
        <v>534.95000000000005</v>
      </c>
      <c r="BH76">
        <f t="shared" si="81"/>
        <v>0.29197065886898277</v>
      </c>
      <c r="BI76">
        <f t="shared" si="82"/>
        <v>0.53174681398779389</v>
      </c>
      <c r="BJ76">
        <f t="shared" si="83"/>
        <v>0.93728295892481517</v>
      </c>
      <c r="BK76">
        <f t="shared" si="84"/>
        <v>0.25875338561627531</v>
      </c>
      <c r="BL76">
        <f t="shared" si="85"/>
        <v>0.87911329429448026</v>
      </c>
      <c r="BM76">
        <f t="shared" si="86"/>
        <v>0.44568728916586786</v>
      </c>
      <c r="BN76">
        <f t="shared" si="87"/>
        <v>0.55431271083413214</v>
      </c>
      <c r="BO76">
        <v>5582</v>
      </c>
      <c r="BP76">
        <v>290.00000000000011</v>
      </c>
      <c r="BQ76">
        <v>725.78</v>
      </c>
      <c r="BR76">
        <v>275</v>
      </c>
      <c r="BS76">
        <v>10492</v>
      </c>
      <c r="BT76">
        <v>726.08</v>
      </c>
      <c r="BU76">
        <v>-0.3</v>
      </c>
      <c r="BV76">
        <v>300.00000000000011</v>
      </c>
      <c r="BW76">
        <v>38.299999999999997</v>
      </c>
      <c r="BX76">
        <v>755.54778442580141</v>
      </c>
      <c r="BY76">
        <v>0.81256763397814036</v>
      </c>
      <c r="BZ76">
        <v>-30.921167997442488</v>
      </c>
      <c r="CA76">
        <v>0.69861699657435306</v>
      </c>
      <c r="CB76">
        <v>0.98590837424007072</v>
      </c>
      <c r="CC76">
        <v>-1.1401571968854281E-2</v>
      </c>
      <c r="CD76">
        <v>289.99999999999989</v>
      </c>
      <c r="CE76">
        <v>723.78</v>
      </c>
      <c r="CF76">
        <v>695</v>
      </c>
      <c r="CG76">
        <v>10472.9</v>
      </c>
      <c r="CH76">
        <v>726.02</v>
      </c>
      <c r="CI76">
        <v>-2.2400000000000002</v>
      </c>
      <c r="CW76">
        <f t="shared" si="88"/>
        <v>1800.03</v>
      </c>
      <c r="CX76">
        <f t="shared" si="89"/>
        <v>1513.209900329078</v>
      </c>
      <c r="CY76">
        <f t="shared" si="90"/>
        <v>0.84065815588022308</v>
      </c>
      <c r="CZ76">
        <f t="shared" si="91"/>
        <v>0.19131631176044614</v>
      </c>
      <c r="DA76">
        <v>6</v>
      </c>
      <c r="DB76">
        <v>0.5</v>
      </c>
      <c r="DC76" t="s">
        <v>419</v>
      </c>
      <c r="DD76">
        <v>2</v>
      </c>
      <c r="DE76">
        <v>1693336781.5999999</v>
      </c>
      <c r="DF76">
        <v>103.991</v>
      </c>
      <c r="DG76">
        <v>119.949</v>
      </c>
      <c r="DH76">
        <v>28.5166</v>
      </c>
      <c r="DI76">
        <v>23.351099999999999</v>
      </c>
      <c r="DJ76">
        <v>105.054</v>
      </c>
      <c r="DK76">
        <v>28.129100000000001</v>
      </c>
      <c r="DL76">
        <v>500.46699999999998</v>
      </c>
      <c r="DM76">
        <v>98.860699999999994</v>
      </c>
      <c r="DN76">
        <v>9.8903500000000005E-2</v>
      </c>
      <c r="DO76">
        <v>30.227799999999998</v>
      </c>
      <c r="DP76">
        <v>29.995200000000001</v>
      </c>
      <c r="DQ76">
        <v>999.9</v>
      </c>
      <c r="DR76">
        <v>0</v>
      </c>
      <c r="DS76">
        <v>0</v>
      </c>
      <c r="DT76">
        <v>10035</v>
      </c>
      <c r="DU76">
        <v>0</v>
      </c>
      <c r="DV76">
        <v>1450.36</v>
      </c>
      <c r="DW76">
        <v>-15.958500000000001</v>
      </c>
      <c r="DX76">
        <v>107.04300000000001</v>
      </c>
      <c r="DY76">
        <v>122.81699999999999</v>
      </c>
      <c r="DZ76">
        <v>5.16554</v>
      </c>
      <c r="EA76">
        <v>119.949</v>
      </c>
      <c r="EB76">
        <v>23.351099999999999</v>
      </c>
      <c r="EC76">
        <v>2.8191700000000002</v>
      </c>
      <c r="ED76">
        <v>2.3085100000000001</v>
      </c>
      <c r="EE76">
        <v>22.9968</v>
      </c>
      <c r="EF76">
        <v>19.735900000000001</v>
      </c>
      <c r="EG76">
        <v>1800.03</v>
      </c>
      <c r="EH76">
        <v>0.97799800000000003</v>
      </c>
      <c r="EI76">
        <v>2.20021E-2</v>
      </c>
      <c r="EJ76">
        <v>0</v>
      </c>
      <c r="EK76">
        <v>638.28599999999994</v>
      </c>
      <c r="EL76">
        <v>4.9995000000000003</v>
      </c>
      <c r="EM76">
        <v>12387.6</v>
      </c>
      <c r="EN76">
        <v>16660.099999999999</v>
      </c>
      <c r="EO76">
        <v>48</v>
      </c>
      <c r="EP76">
        <v>49.561999999999998</v>
      </c>
      <c r="EQ76">
        <v>48.936999999999998</v>
      </c>
      <c r="ER76">
        <v>48.375</v>
      </c>
      <c r="ES76">
        <v>49.311999999999998</v>
      </c>
      <c r="ET76">
        <v>1755.54</v>
      </c>
      <c r="EU76">
        <v>39.49</v>
      </c>
      <c r="EV76">
        <v>0</v>
      </c>
      <c r="EW76">
        <v>115.7999999523163</v>
      </c>
      <c r="EX76">
        <v>0</v>
      </c>
      <c r="EY76">
        <v>638.24561538461535</v>
      </c>
      <c r="EZ76">
        <v>-2.6366495704706101</v>
      </c>
      <c r="FA76">
        <v>-78.960683793616553</v>
      </c>
      <c r="FB76">
        <v>12395.823076923079</v>
      </c>
      <c r="FC76">
        <v>15</v>
      </c>
      <c r="FD76">
        <v>1693336750.0999999</v>
      </c>
      <c r="FE76" t="s">
        <v>726</v>
      </c>
      <c r="FF76">
        <v>1693336737.0999999</v>
      </c>
      <c r="FG76">
        <v>1693336750.0999999</v>
      </c>
      <c r="FH76">
        <v>66</v>
      </c>
      <c r="FI76">
        <v>-8.4000000000000005E-2</v>
      </c>
      <c r="FJ76">
        <v>5.0000000000000001E-3</v>
      </c>
      <c r="FK76">
        <v>-1.1000000000000001</v>
      </c>
      <c r="FL76">
        <v>0.154</v>
      </c>
      <c r="FM76">
        <v>120</v>
      </c>
      <c r="FN76">
        <v>23</v>
      </c>
      <c r="FO76">
        <v>0.33</v>
      </c>
      <c r="FP76">
        <v>0.04</v>
      </c>
      <c r="FQ76">
        <v>12.850062848803271</v>
      </c>
      <c r="FR76">
        <v>0.37965525445131448</v>
      </c>
      <c r="FS76">
        <v>5.8457616073552293E-2</v>
      </c>
      <c r="FT76">
        <v>1</v>
      </c>
      <c r="FU76">
        <v>0.3056362170639309</v>
      </c>
      <c r="FV76">
        <v>3.7256342373880667E-2</v>
      </c>
      <c r="FW76">
        <v>3.3331010748521828E-3</v>
      </c>
      <c r="FX76">
        <v>1</v>
      </c>
      <c r="FY76">
        <v>2</v>
      </c>
      <c r="FZ76">
        <v>2</v>
      </c>
      <c r="GA76" t="s">
        <v>421</v>
      </c>
      <c r="GB76">
        <v>2.9688300000000001</v>
      </c>
      <c r="GC76">
        <v>2.8109099999999998</v>
      </c>
      <c r="GD76">
        <v>2.9575500000000001E-2</v>
      </c>
      <c r="GE76">
        <v>3.3181500000000003E-2</v>
      </c>
      <c r="GF76">
        <v>0.13316800000000001</v>
      </c>
      <c r="GG76">
        <v>0.115277</v>
      </c>
      <c r="GH76">
        <v>28578.799999999999</v>
      </c>
      <c r="GI76">
        <v>26218.5</v>
      </c>
      <c r="GJ76">
        <v>26478.1</v>
      </c>
      <c r="GK76">
        <v>25596.1</v>
      </c>
      <c r="GL76">
        <v>31235.3</v>
      </c>
      <c r="GM76">
        <v>31925.200000000001</v>
      </c>
      <c r="GN76">
        <v>37482</v>
      </c>
      <c r="GO76">
        <v>37901.1</v>
      </c>
      <c r="GP76">
        <v>1.9303999999999999</v>
      </c>
      <c r="GQ76">
        <v>1.903</v>
      </c>
      <c r="GR76">
        <v>2.6032300000000001E-2</v>
      </c>
      <c r="GS76">
        <v>0</v>
      </c>
      <c r="GT76">
        <v>29.571400000000001</v>
      </c>
      <c r="GU76">
        <v>999.9</v>
      </c>
      <c r="GV76">
        <v>32.799999999999997</v>
      </c>
      <c r="GW76">
        <v>42.4</v>
      </c>
      <c r="GX76">
        <v>27.931999999999999</v>
      </c>
      <c r="GY76">
        <v>61.627000000000002</v>
      </c>
      <c r="GZ76">
        <v>12.379799999999999</v>
      </c>
      <c r="HA76">
        <v>1</v>
      </c>
      <c r="HB76">
        <v>0.53654500000000005</v>
      </c>
      <c r="HC76">
        <v>3.1974</v>
      </c>
      <c r="HD76">
        <v>20.2742</v>
      </c>
      <c r="HE76">
        <v>5.2017199999999999</v>
      </c>
      <c r="HF76">
        <v>11.9381</v>
      </c>
      <c r="HG76">
        <v>4.9855999999999998</v>
      </c>
      <c r="HH76">
        <v>3.29</v>
      </c>
      <c r="HI76">
        <v>9999</v>
      </c>
      <c r="HJ76">
        <v>9999</v>
      </c>
      <c r="HK76">
        <v>9999</v>
      </c>
      <c r="HL76">
        <v>999.9</v>
      </c>
      <c r="HM76">
        <v>1.87042</v>
      </c>
      <c r="HN76">
        <v>1.8765400000000001</v>
      </c>
      <c r="HO76">
        <v>1.8743000000000001</v>
      </c>
      <c r="HP76">
        <v>1.87256</v>
      </c>
      <c r="HQ76">
        <v>1.8730199999999999</v>
      </c>
      <c r="HR76">
        <v>1.87043</v>
      </c>
      <c r="HS76">
        <v>1.8763399999999999</v>
      </c>
      <c r="HT76">
        <v>1.8754599999999999</v>
      </c>
      <c r="HU76">
        <v>5</v>
      </c>
      <c r="HV76">
        <v>0</v>
      </c>
      <c r="HW76">
        <v>0</v>
      </c>
      <c r="HX76">
        <v>0</v>
      </c>
      <c r="HY76" t="s">
        <v>422</v>
      </c>
      <c r="HZ76" t="s">
        <v>423</v>
      </c>
      <c r="IA76" t="s">
        <v>424</v>
      </c>
      <c r="IB76" t="s">
        <v>424</v>
      </c>
      <c r="IC76" t="s">
        <v>424</v>
      </c>
      <c r="ID76" t="s">
        <v>424</v>
      </c>
      <c r="IE76">
        <v>0</v>
      </c>
      <c r="IF76">
        <v>100</v>
      </c>
      <c r="IG76">
        <v>100</v>
      </c>
      <c r="IH76">
        <v>-1.0629999999999999</v>
      </c>
      <c r="II76">
        <v>0.38750000000000001</v>
      </c>
      <c r="IJ76">
        <v>-0.80287754246207799</v>
      </c>
      <c r="IK76">
        <v>-2.677719669153116E-3</v>
      </c>
      <c r="IL76">
        <v>1.9353498771248068E-6</v>
      </c>
      <c r="IM76">
        <v>-6.1862177325538213E-10</v>
      </c>
      <c r="IN76">
        <v>-0.2328632994012641</v>
      </c>
      <c r="IO76">
        <v>-1.5299015507423901E-2</v>
      </c>
      <c r="IP76">
        <v>1.742162107778985E-3</v>
      </c>
      <c r="IQ76">
        <v>-1.472690239905804E-5</v>
      </c>
      <c r="IR76">
        <v>3</v>
      </c>
      <c r="IS76">
        <v>2255</v>
      </c>
      <c r="IT76">
        <v>2</v>
      </c>
      <c r="IU76">
        <v>41</v>
      </c>
      <c r="IV76">
        <v>0.7</v>
      </c>
      <c r="IW76">
        <v>0.5</v>
      </c>
      <c r="IX76">
        <v>0.400391</v>
      </c>
      <c r="IY76">
        <v>2.5622600000000002</v>
      </c>
      <c r="IZ76">
        <v>1.6003400000000001</v>
      </c>
      <c r="JA76">
        <v>2.2619600000000002</v>
      </c>
      <c r="JB76">
        <v>1.5502899999999999</v>
      </c>
      <c r="JC76">
        <v>2.2644000000000002</v>
      </c>
      <c r="JD76">
        <v>42.750999999999998</v>
      </c>
      <c r="JE76">
        <v>15.7081</v>
      </c>
      <c r="JF76">
        <v>18</v>
      </c>
      <c r="JG76">
        <v>501.07900000000001</v>
      </c>
      <c r="JH76">
        <v>452.31200000000001</v>
      </c>
      <c r="JI76">
        <v>25.309200000000001</v>
      </c>
      <c r="JJ76">
        <v>34.037500000000001</v>
      </c>
      <c r="JK76">
        <v>29.9999</v>
      </c>
      <c r="JL76">
        <v>34.0426</v>
      </c>
      <c r="JM76">
        <v>34.0137</v>
      </c>
      <c r="JN76">
        <v>8.0563900000000004</v>
      </c>
      <c r="JO76">
        <v>22.451000000000001</v>
      </c>
      <c r="JP76">
        <v>26.302</v>
      </c>
      <c r="JQ76">
        <v>25.308199999999999</v>
      </c>
      <c r="JR76">
        <v>120</v>
      </c>
      <c r="JS76">
        <v>23.2575</v>
      </c>
      <c r="JT76">
        <v>98.856399999999994</v>
      </c>
      <c r="JU76">
        <v>98.422600000000003</v>
      </c>
    </row>
    <row r="77" spans="1:281" x14ac:dyDescent="0.25">
      <c r="A77">
        <v>61</v>
      </c>
      <c r="B77">
        <v>1693336881.0999999</v>
      </c>
      <c r="C77">
        <v>14584</v>
      </c>
      <c r="D77" t="s">
        <v>727</v>
      </c>
      <c r="E77" t="s">
        <v>728</v>
      </c>
      <c r="F77" t="s">
        <v>413</v>
      </c>
      <c r="G77" t="s">
        <v>564</v>
      </c>
      <c r="H77" t="s">
        <v>708</v>
      </c>
      <c r="I77" t="s">
        <v>415</v>
      </c>
      <c r="J77">
        <v>1693336881.0999999</v>
      </c>
      <c r="K77">
        <f t="shared" si="46"/>
        <v>4.4518905049150412E-3</v>
      </c>
      <c r="L77">
        <f t="shared" si="47"/>
        <v>4.451890504915041</v>
      </c>
      <c r="M77">
        <f t="shared" si="48"/>
        <v>7.7780703169682175</v>
      </c>
      <c r="N77">
        <f t="shared" si="49"/>
        <v>60.339100000000002</v>
      </c>
      <c r="O77">
        <f t="shared" si="50"/>
        <v>17.631969526782513</v>
      </c>
      <c r="P77">
        <f t="shared" si="51"/>
        <v>1.7447866180935121</v>
      </c>
      <c r="Q77">
        <f t="shared" si="52"/>
        <v>5.9709072243965906</v>
      </c>
      <c r="R77">
        <f t="shared" si="53"/>
        <v>0.31311758843886262</v>
      </c>
      <c r="S77">
        <f t="shared" si="54"/>
        <v>2.9050479685908734</v>
      </c>
      <c r="T77">
        <f t="shared" si="55"/>
        <v>0.29550372134240593</v>
      </c>
      <c r="U77">
        <f t="shared" si="56"/>
        <v>0.18618974304529834</v>
      </c>
      <c r="V77">
        <f t="shared" si="57"/>
        <v>344.40800065826039</v>
      </c>
      <c r="W77">
        <f t="shared" si="58"/>
        <v>31.089936027092353</v>
      </c>
      <c r="X77">
        <f t="shared" si="59"/>
        <v>30.011500000000002</v>
      </c>
      <c r="Y77">
        <f t="shared" si="60"/>
        <v>4.2632648251370604</v>
      </c>
      <c r="Z77">
        <f t="shared" si="61"/>
        <v>65.526161841935675</v>
      </c>
      <c r="AA77">
        <f t="shared" si="62"/>
        <v>2.8258526616228301</v>
      </c>
      <c r="AB77">
        <f t="shared" si="63"/>
        <v>4.3125563625097456</v>
      </c>
      <c r="AC77">
        <f t="shared" si="64"/>
        <v>1.4374121635142303</v>
      </c>
      <c r="AD77">
        <f t="shared" si="65"/>
        <v>-196.32837126675332</v>
      </c>
      <c r="AE77">
        <f t="shared" si="66"/>
        <v>31.370374300358815</v>
      </c>
      <c r="AF77">
        <f t="shared" si="67"/>
        <v>2.4037291703249344</v>
      </c>
      <c r="AG77">
        <f t="shared" si="68"/>
        <v>181.85373286219081</v>
      </c>
      <c r="AH77">
        <v>1</v>
      </c>
      <c r="AI77">
        <v>0</v>
      </c>
      <c r="AJ77">
        <f t="shared" si="69"/>
        <v>1</v>
      </c>
      <c r="AK77">
        <f t="shared" si="70"/>
        <v>0</v>
      </c>
      <c r="AL77">
        <f t="shared" si="71"/>
        <v>51595.022636581729</v>
      </c>
      <c r="AM77" t="s">
        <v>416</v>
      </c>
      <c r="AN77">
        <v>10238.9</v>
      </c>
      <c r="AO77">
        <v>302.21199999999999</v>
      </c>
      <c r="AP77">
        <v>4052.3</v>
      </c>
      <c r="AQ77">
        <f t="shared" si="72"/>
        <v>0.92542210596451402</v>
      </c>
      <c r="AR77">
        <v>-0.32343011824092421</v>
      </c>
      <c r="AS77" t="s">
        <v>729</v>
      </c>
      <c r="AT77">
        <v>10495.1</v>
      </c>
      <c r="AU77">
        <v>641.417423076923</v>
      </c>
      <c r="AV77">
        <v>718.23632815681117</v>
      </c>
      <c r="AW77">
        <f t="shared" si="73"/>
        <v>0.10695491451543016</v>
      </c>
      <c r="AX77">
        <v>0.5</v>
      </c>
      <c r="AY77">
        <f t="shared" si="74"/>
        <v>1513.3530003291303</v>
      </c>
      <c r="AZ77">
        <f t="shared" si="75"/>
        <v>7.7780703169682175</v>
      </c>
      <c r="BA77">
        <f t="shared" si="76"/>
        <v>80.930270390935931</v>
      </c>
      <c r="BB77">
        <f t="shared" si="77"/>
        <v>5.3533448134355918E-3</v>
      </c>
      <c r="BC77">
        <f t="shared" si="78"/>
        <v>4.6420148092471161</v>
      </c>
      <c r="BD77">
        <f t="shared" si="79"/>
        <v>224.49403199358005</v>
      </c>
      <c r="BE77" t="s">
        <v>730</v>
      </c>
      <c r="BF77">
        <v>539.16999999999996</v>
      </c>
      <c r="BG77">
        <f t="shared" si="80"/>
        <v>539.16999999999996</v>
      </c>
      <c r="BH77">
        <f t="shared" si="81"/>
        <v>0.24931393907120225</v>
      </c>
      <c r="BI77">
        <f t="shared" si="82"/>
        <v>0.42899693019123419</v>
      </c>
      <c r="BJ77">
        <f t="shared" si="83"/>
        <v>0.94902940450344531</v>
      </c>
      <c r="BK77">
        <f t="shared" si="84"/>
        <v>0.18465003097350829</v>
      </c>
      <c r="BL77">
        <f t="shared" si="85"/>
        <v>0.88906278248488801</v>
      </c>
      <c r="BM77">
        <f t="shared" si="86"/>
        <v>0.36061115044495518</v>
      </c>
      <c r="BN77">
        <f t="shared" si="87"/>
        <v>0.63938884955504482</v>
      </c>
      <c r="BO77">
        <v>5584</v>
      </c>
      <c r="BP77">
        <v>290.00000000000011</v>
      </c>
      <c r="BQ77">
        <v>701.02</v>
      </c>
      <c r="BR77">
        <v>275</v>
      </c>
      <c r="BS77">
        <v>10495.1</v>
      </c>
      <c r="BT77">
        <v>700.18</v>
      </c>
      <c r="BU77">
        <v>0.84</v>
      </c>
      <c r="BV77">
        <v>300.00000000000011</v>
      </c>
      <c r="BW77">
        <v>38.200000000000003</v>
      </c>
      <c r="BX77">
        <v>718.23632815681117</v>
      </c>
      <c r="BY77">
        <v>0.93924964518594811</v>
      </c>
      <c r="BZ77">
        <v>-18.946859379521371</v>
      </c>
      <c r="CA77">
        <v>0.8077788085525518</v>
      </c>
      <c r="CB77">
        <v>0.95157055694356452</v>
      </c>
      <c r="CC77">
        <v>-1.140492969966629E-2</v>
      </c>
      <c r="CD77">
        <v>289.99999999999989</v>
      </c>
      <c r="CE77">
        <v>698.64</v>
      </c>
      <c r="CF77">
        <v>655</v>
      </c>
      <c r="CG77">
        <v>10480.1</v>
      </c>
      <c r="CH77">
        <v>700.16</v>
      </c>
      <c r="CI77">
        <v>-1.52</v>
      </c>
      <c r="CW77">
        <f t="shared" si="88"/>
        <v>1800.2</v>
      </c>
      <c r="CX77">
        <f t="shared" si="89"/>
        <v>1513.3530003291303</v>
      </c>
      <c r="CY77">
        <f t="shared" si="90"/>
        <v>0.84065826037614166</v>
      </c>
      <c r="CZ77">
        <f t="shared" si="91"/>
        <v>0.19131652075228328</v>
      </c>
      <c r="DA77">
        <v>6</v>
      </c>
      <c r="DB77">
        <v>0.5</v>
      </c>
      <c r="DC77" t="s">
        <v>419</v>
      </c>
      <c r="DD77">
        <v>2</v>
      </c>
      <c r="DE77">
        <v>1693336881.0999999</v>
      </c>
      <c r="DF77">
        <v>60.339100000000002</v>
      </c>
      <c r="DG77">
        <v>69.996600000000001</v>
      </c>
      <c r="DH77">
        <v>28.556699999999999</v>
      </c>
      <c r="DI77">
        <v>23.366199999999999</v>
      </c>
      <c r="DJ77">
        <v>61.393900000000002</v>
      </c>
      <c r="DK77">
        <v>28.169499999999999</v>
      </c>
      <c r="DL77">
        <v>499.92399999999998</v>
      </c>
      <c r="DM77">
        <v>98.856999999999999</v>
      </c>
      <c r="DN77">
        <v>9.8854899999999996E-2</v>
      </c>
      <c r="DO77">
        <v>30.2118</v>
      </c>
      <c r="DP77">
        <v>30.011500000000002</v>
      </c>
      <c r="DQ77">
        <v>999.9</v>
      </c>
      <c r="DR77">
        <v>0</v>
      </c>
      <c r="DS77">
        <v>0</v>
      </c>
      <c r="DT77">
        <v>9975</v>
      </c>
      <c r="DU77">
        <v>0</v>
      </c>
      <c r="DV77">
        <v>1468.76</v>
      </c>
      <c r="DW77">
        <v>-9.6574299999999997</v>
      </c>
      <c r="DX77">
        <v>62.112900000000003</v>
      </c>
      <c r="DY77">
        <v>71.671300000000002</v>
      </c>
      <c r="DZ77">
        <v>5.1904199999999996</v>
      </c>
      <c r="EA77">
        <v>69.996600000000001</v>
      </c>
      <c r="EB77">
        <v>23.366199999999999</v>
      </c>
      <c r="EC77">
        <v>2.8230300000000002</v>
      </c>
      <c r="ED77">
        <v>2.30992</v>
      </c>
      <c r="EE77">
        <v>23.019400000000001</v>
      </c>
      <c r="EF77">
        <v>19.745699999999999</v>
      </c>
      <c r="EG77">
        <v>1800.2</v>
      </c>
      <c r="EH77">
        <v>0.97799400000000003</v>
      </c>
      <c r="EI77">
        <v>2.20057E-2</v>
      </c>
      <c r="EJ77">
        <v>0</v>
      </c>
      <c r="EK77">
        <v>641.13</v>
      </c>
      <c r="EL77">
        <v>4.9995000000000003</v>
      </c>
      <c r="EM77">
        <v>12435.6</v>
      </c>
      <c r="EN77">
        <v>16661.599999999999</v>
      </c>
      <c r="EO77">
        <v>47.625</v>
      </c>
      <c r="EP77">
        <v>49.25</v>
      </c>
      <c r="EQ77">
        <v>48.5</v>
      </c>
      <c r="ER77">
        <v>48.125</v>
      </c>
      <c r="ES77">
        <v>48.936999999999998</v>
      </c>
      <c r="ET77">
        <v>1755.7</v>
      </c>
      <c r="EU77">
        <v>39.5</v>
      </c>
      <c r="EV77">
        <v>0</v>
      </c>
      <c r="EW77">
        <v>97.799999952316284</v>
      </c>
      <c r="EX77">
        <v>0</v>
      </c>
      <c r="EY77">
        <v>641.417423076923</v>
      </c>
      <c r="EZ77">
        <v>-1.7023931696306089</v>
      </c>
      <c r="FA77">
        <v>-53.309401595143541</v>
      </c>
      <c r="FB77">
        <v>12440.565384615389</v>
      </c>
      <c r="FC77">
        <v>15</v>
      </c>
      <c r="FD77">
        <v>1693336849.0999999</v>
      </c>
      <c r="FE77" t="s">
        <v>731</v>
      </c>
      <c r="FF77">
        <v>1693336842.0999999</v>
      </c>
      <c r="FG77">
        <v>1693336849.0999999</v>
      </c>
      <c r="FH77">
        <v>67</v>
      </c>
      <c r="FI77">
        <v>-9.5000000000000001E-2</v>
      </c>
      <c r="FJ77">
        <v>-2E-3</v>
      </c>
      <c r="FK77">
        <v>-1.0780000000000001</v>
      </c>
      <c r="FL77">
        <v>0.155</v>
      </c>
      <c r="FM77">
        <v>70</v>
      </c>
      <c r="FN77">
        <v>23</v>
      </c>
      <c r="FO77">
        <v>0.4</v>
      </c>
      <c r="FP77">
        <v>0.04</v>
      </c>
      <c r="FQ77">
        <v>7.7977595911479209</v>
      </c>
      <c r="FR77">
        <v>0.1766344764035663</v>
      </c>
      <c r="FS77">
        <v>3.9693112994124931E-2</v>
      </c>
      <c r="FT77">
        <v>1</v>
      </c>
      <c r="FU77">
        <v>0.31264753699272613</v>
      </c>
      <c r="FV77">
        <v>1.4439294923916929E-2</v>
      </c>
      <c r="FW77">
        <v>1.466793752017057E-3</v>
      </c>
      <c r="FX77">
        <v>1</v>
      </c>
      <c r="FY77">
        <v>2</v>
      </c>
      <c r="FZ77">
        <v>2</v>
      </c>
      <c r="GA77" t="s">
        <v>421</v>
      </c>
      <c r="GB77">
        <v>2.9674100000000001</v>
      </c>
      <c r="GC77">
        <v>2.81033</v>
      </c>
      <c r="GD77">
        <v>1.7513000000000001E-2</v>
      </c>
      <c r="GE77">
        <v>1.96858E-2</v>
      </c>
      <c r="GF77">
        <v>0.133302</v>
      </c>
      <c r="GG77">
        <v>0.115328</v>
      </c>
      <c r="GH77">
        <v>28934.400000000001</v>
      </c>
      <c r="GI77">
        <v>26585.200000000001</v>
      </c>
      <c r="GJ77">
        <v>26478.5</v>
      </c>
      <c r="GK77">
        <v>25596.799999999999</v>
      </c>
      <c r="GL77">
        <v>31229.3</v>
      </c>
      <c r="GM77">
        <v>31922.6</v>
      </c>
      <c r="GN77">
        <v>37481.800000000003</v>
      </c>
      <c r="GO77">
        <v>37901.4</v>
      </c>
      <c r="GP77">
        <v>1.9305000000000001</v>
      </c>
      <c r="GQ77">
        <v>1.9045000000000001</v>
      </c>
      <c r="GR77">
        <v>1.71363E-2</v>
      </c>
      <c r="GS77">
        <v>0</v>
      </c>
      <c r="GT77">
        <v>29.732600000000001</v>
      </c>
      <c r="GU77">
        <v>999.9</v>
      </c>
      <c r="GV77">
        <v>33.1</v>
      </c>
      <c r="GW77">
        <v>42.2</v>
      </c>
      <c r="GX77">
        <v>27.8934</v>
      </c>
      <c r="GY77">
        <v>61.617100000000001</v>
      </c>
      <c r="GZ77">
        <v>13.3413</v>
      </c>
      <c r="HA77">
        <v>1</v>
      </c>
      <c r="HB77">
        <v>0.53913599999999995</v>
      </c>
      <c r="HC77">
        <v>4.0326300000000002</v>
      </c>
      <c r="HD77">
        <v>20.255800000000001</v>
      </c>
      <c r="HE77">
        <v>5.1963200000000001</v>
      </c>
      <c r="HF77">
        <v>11.9381</v>
      </c>
      <c r="HG77">
        <v>4.9842000000000004</v>
      </c>
      <c r="HH77">
        <v>3.2877000000000001</v>
      </c>
      <c r="HI77">
        <v>9999</v>
      </c>
      <c r="HJ77">
        <v>9999</v>
      </c>
      <c r="HK77">
        <v>9999</v>
      </c>
      <c r="HL77">
        <v>999.9</v>
      </c>
      <c r="HM77">
        <v>1.8704000000000001</v>
      </c>
      <c r="HN77">
        <v>1.87653</v>
      </c>
      <c r="HO77">
        <v>1.8742399999999999</v>
      </c>
      <c r="HP77">
        <v>1.8725499999999999</v>
      </c>
      <c r="HQ77">
        <v>1.8730199999999999</v>
      </c>
      <c r="HR77">
        <v>1.87042</v>
      </c>
      <c r="HS77">
        <v>1.8763099999999999</v>
      </c>
      <c r="HT77">
        <v>1.8754599999999999</v>
      </c>
      <c r="HU77">
        <v>5</v>
      </c>
      <c r="HV77">
        <v>0</v>
      </c>
      <c r="HW77">
        <v>0</v>
      </c>
      <c r="HX77">
        <v>0</v>
      </c>
      <c r="HY77" t="s">
        <v>422</v>
      </c>
      <c r="HZ77" t="s">
        <v>423</v>
      </c>
      <c r="IA77" t="s">
        <v>424</v>
      </c>
      <c r="IB77" t="s">
        <v>424</v>
      </c>
      <c r="IC77" t="s">
        <v>424</v>
      </c>
      <c r="ID77" t="s">
        <v>424</v>
      </c>
      <c r="IE77">
        <v>0</v>
      </c>
      <c r="IF77">
        <v>100</v>
      </c>
      <c r="IG77">
        <v>100</v>
      </c>
      <c r="IH77">
        <v>-1.0549999999999999</v>
      </c>
      <c r="II77">
        <v>0.38719999999999999</v>
      </c>
      <c r="IJ77">
        <v>-0.8974947291060833</v>
      </c>
      <c r="IK77">
        <v>-2.677719669153116E-3</v>
      </c>
      <c r="IL77">
        <v>1.9353498771248068E-6</v>
      </c>
      <c r="IM77">
        <v>-6.1862177325538213E-10</v>
      </c>
      <c r="IN77">
        <v>-0.23510147349059421</v>
      </c>
      <c r="IO77">
        <v>-1.5299015507423901E-2</v>
      </c>
      <c r="IP77">
        <v>1.742162107778985E-3</v>
      </c>
      <c r="IQ77">
        <v>-1.472690239905804E-5</v>
      </c>
      <c r="IR77">
        <v>3</v>
      </c>
      <c r="IS77">
        <v>2255</v>
      </c>
      <c r="IT77">
        <v>2</v>
      </c>
      <c r="IU77">
        <v>41</v>
      </c>
      <c r="IV77">
        <v>0.7</v>
      </c>
      <c r="IW77">
        <v>0.5</v>
      </c>
      <c r="IX77">
        <v>0.29541000000000001</v>
      </c>
      <c r="IY77">
        <v>2.5598100000000001</v>
      </c>
      <c r="IZ77">
        <v>1.5991200000000001</v>
      </c>
      <c r="JA77">
        <v>2.2607400000000002</v>
      </c>
      <c r="JB77">
        <v>1.5502899999999999</v>
      </c>
      <c r="JC77">
        <v>2.4145500000000002</v>
      </c>
      <c r="JD77">
        <v>42.6706</v>
      </c>
      <c r="JE77">
        <v>15.681800000000001</v>
      </c>
      <c r="JF77">
        <v>18</v>
      </c>
      <c r="JG77">
        <v>501.02600000000001</v>
      </c>
      <c r="JH77">
        <v>453.15800000000002</v>
      </c>
      <c r="JI77">
        <v>24.693000000000001</v>
      </c>
      <c r="JJ77">
        <v>34.015999999999998</v>
      </c>
      <c r="JK77">
        <v>30</v>
      </c>
      <c r="JL77">
        <v>34.027299999999997</v>
      </c>
      <c r="JM77">
        <v>34.0015</v>
      </c>
      <c r="JN77">
        <v>5.9643600000000001</v>
      </c>
      <c r="JO77">
        <v>22.308900000000001</v>
      </c>
      <c r="JP77">
        <v>26.8203</v>
      </c>
      <c r="JQ77">
        <v>24.694600000000001</v>
      </c>
      <c r="JR77">
        <v>70</v>
      </c>
      <c r="JS77">
        <v>23.285399999999999</v>
      </c>
      <c r="JT77">
        <v>98.856700000000004</v>
      </c>
      <c r="JU77">
        <v>98.424300000000002</v>
      </c>
    </row>
    <row r="78" spans="1:281" x14ac:dyDescent="0.25">
      <c r="A78">
        <v>62</v>
      </c>
      <c r="B78">
        <v>1693336986.5999999</v>
      </c>
      <c r="C78">
        <v>14689.5</v>
      </c>
      <c r="D78" t="s">
        <v>732</v>
      </c>
      <c r="E78" t="s">
        <v>733</v>
      </c>
      <c r="F78" t="s">
        <v>413</v>
      </c>
      <c r="G78" t="s">
        <v>564</v>
      </c>
      <c r="H78" t="s">
        <v>708</v>
      </c>
      <c r="I78" t="s">
        <v>415</v>
      </c>
      <c r="J78">
        <v>1693336986.5999999</v>
      </c>
      <c r="K78">
        <f t="shared" si="46"/>
        <v>4.920664311906498E-3</v>
      </c>
      <c r="L78">
        <f t="shared" si="47"/>
        <v>4.9206643119064983</v>
      </c>
      <c r="M78">
        <f t="shared" si="48"/>
        <v>3.3870757570901793</v>
      </c>
      <c r="N78">
        <f t="shared" si="49"/>
        <v>25.773399999999999</v>
      </c>
      <c r="O78">
        <f t="shared" si="50"/>
        <v>8.9857087877264572</v>
      </c>
      <c r="P78">
        <f t="shared" si="51"/>
        <v>0.88914320520248225</v>
      </c>
      <c r="Q78">
        <f t="shared" si="52"/>
        <v>2.55029892758898</v>
      </c>
      <c r="R78">
        <f t="shared" si="53"/>
        <v>0.34980727471630196</v>
      </c>
      <c r="S78">
        <f t="shared" si="54"/>
        <v>2.9101884156201652</v>
      </c>
      <c r="T78">
        <f t="shared" si="55"/>
        <v>0.32801413865534079</v>
      </c>
      <c r="U78">
        <f t="shared" si="56"/>
        <v>0.20685362068216229</v>
      </c>
      <c r="V78">
        <f t="shared" si="57"/>
        <v>344.37640065798558</v>
      </c>
      <c r="W78">
        <f t="shared" si="58"/>
        <v>30.926536427824924</v>
      </c>
      <c r="X78">
        <f t="shared" si="59"/>
        <v>29.949000000000002</v>
      </c>
      <c r="Y78">
        <f t="shared" si="60"/>
        <v>4.247985138371873</v>
      </c>
      <c r="Z78">
        <f t="shared" si="61"/>
        <v>65.458806908592464</v>
      </c>
      <c r="AA78">
        <f t="shared" si="62"/>
        <v>2.8165755699466799</v>
      </c>
      <c r="AB78">
        <f t="shared" si="63"/>
        <v>4.3028214276495795</v>
      </c>
      <c r="AC78">
        <f t="shared" si="64"/>
        <v>1.4314095684251931</v>
      </c>
      <c r="AD78">
        <f t="shared" si="65"/>
        <v>-217.00129615507657</v>
      </c>
      <c r="AE78">
        <f t="shared" si="66"/>
        <v>35.050136994574757</v>
      </c>
      <c r="AF78">
        <f t="shared" si="67"/>
        <v>2.6795924471921961</v>
      </c>
      <c r="AG78">
        <f t="shared" si="68"/>
        <v>165.10483394467596</v>
      </c>
      <c r="AH78">
        <v>1</v>
      </c>
      <c r="AI78">
        <v>0</v>
      </c>
      <c r="AJ78">
        <f t="shared" si="69"/>
        <v>1</v>
      </c>
      <c r="AK78">
        <f t="shared" si="70"/>
        <v>0</v>
      </c>
      <c r="AL78">
        <f t="shared" si="71"/>
        <v>51747.465287478168</v>
      </c>
      <c r="AM78" t="s">
        <v>416</v>
      </c>
      <c r="AN78">
        <v>10238.9</v>
      </c>
      <c r="AO78">
        <v>302.21199999999999</v>
      </c>
      <c r="AP78">
        <v>4052.3</v>
      </c>
      <c r="AQ78">
        <f t="shared" si="72"/>
        <v>0.92542210596451402</v>
      </c>
      <c r="AR78">
        <v>-0.32343011824092421</v>
      </c>
      <c r="AS78" t="s">
        <v>734</v>
      </c>
      <c r="AT78">
        <v>10519.8</v>
      </c>
      <c r="AU78">
        <v>645.85623999999996</v>
      </c>
      <c r="AV78">
        <v>699.27204266180684</v>
      </c>
      <c r="AW78">
        <f t="shared" si="73"/>
        <v>7.6387728098605945E-2</v>
      </c>
      <c r="AX78">
        <v>0.5</v>
      </c>
      <c r="AY78">
        <f t="shared" si="74"/>
        <v>1513.2180003289927</v>
      </c>
      <c r="AZ78">
        <f t="shared" si="75"/>
        <v>3.3870757570901793</v>
      </c>
      <c r="BA78">
        <f t="shared" si="76"/>
        <v>57.795642581523651</v>
      </c>
      <c r="BB78">
        <f t="shared" si="77"/>
        <v>2.4520630038265424E-3</v>
      </c>
      <c r="BC78">
        <f t="shared" si="78"/>
        <v>4.7950264743528983</v>
      </c>
      <c r="BD78">
        <f t="shared" si="79"/>
        <v>222.60705469524004</v>
      </c>
      <c r="BE78" t="s">
        <v>735</v>
      </c>
      <c r="BF78">
        <v>548.27</v>
      </c>
      <c r="BG78">
        <f t="shared" si="80"/>
        <v>548.27</v>
      </c>
      <c r="BH78">
        <f t="shared" si="81"/>
        <v>0.21594177008280147</v>
      </c>
      <c r="BI78">
        <f t="shared" si="82"/>
        <v>0.35374225222528999</v>
      </c>
      <c r="BJ78">
        <f t="shared" si="83"/>
        <v>0.95690617869658445</v>
      </c>
      <c r="BK78">
        <f t="shared" si="84"/>
        <v>0.13452827512866466</v>
      </c>
      <c r="BL78">
        <f t="shared" si="85"/>
        <v>0.89411980661205626</v>
      </c>
      <c r="BM78">
        <f t="shared" si="86"/>
        <v>0.3002932426998921</v>
      </c>
      <c r="BN78">
        <f t="shared" si="87"/>
        <v>0.6997067573001079</v>
      </c>
      <c r="BO78">
        <v>5586</v>
      </c>
      <c r="BP78">
        <v>290.00000000000011</v>
      </c>
      <c r="BQ78">
        <v>686.61</v>
      </c>
      <c r="BR78">
        <v>155</v>
      </c>
      <c r="BS78">
        <v>10519.8</v>
      </c>
      <c r="BT78">
        <v>685.58</v>
      </c>
      <c r="BU78">
        <v>1.03</v>
      </c>
      <c r="BV78">
        <v>300.00000000000011</v>
      </c>
      <c r="BW78">
        <v>38.200000000000003</v>
      </c>
      <c r="BX78">
        <v>699.27204266180684</v>
      </c>
      <c r="BY78">
        <v>1.2266320461920741</v>
      </c>
      <c r="BZ78">
        <v>-14.401892260409671</v>
      </c>
      <c r="CA78">
        <v>1.055252593215906</v>
      </c>
      <c r="CB78">
        <v>0.86931939373367628</v>
      </c>
      <c r="CC78">
        <v>-1.140788854282535E-2</v>
      </c>
      <c r="CD78">
        <v>289.99999999999989</v>
      </c>
      <c r="CE78">
        <v>684</v>
      </c>
      <c r="CF78">
        <v>785</v>
      </c>
      <c r="CG78">
        <v>10471.9</v>
      </c>
      <c r="CH78">
        <v>685.52</v>
      </c>
      <c r="CI78">
        <v>-1.52</v>
      </c>
      <c r="CW78">
        <f t="shared" si="88"/>
        <v>1800.04</v>
      </c>
      <c r="CX78">
        <f t="shared" si="89"/>
        <v>1513.2180003289927</v>
      </c>
      <c r="CY78">
        <f t="shared" si="90"/>
        <v>0.84065798556087235</v>
      </c>
      <c r="CZ78">
        <f t="shared" si="91"/>
        <v>0.19131597112174484</v>
      </c>
      <c r="DA78">
        <v>6</v>
      </c>
      <c r="DB78">
        <v>0.5</v>
      </c>
      <c r="DC78" t="s">
        <v>419</v>
      </c>
      <c r="DD78">
        <v>2</v>
      </c>
      <c r="DE78">
        <v>1693336986.5999999</v>
      </c>
      <c r="DF78">
        <v>25.773399999999999</v>
      </c>
      <c r="DG78">
        <v>29.991900000000001</v>
      </c>
      <c r="DH78">
        <v>28.464400000000001</v>
      </c>
      <c r="DI78">
        <v>22.725200000000001</v>
      </c>
      <c r="DJ78">
        <v>26.8367</v>
      </c>
      <c r="DK78">
        <v>28.078099999999999</v>
      </c>
      <c r="DL78">
        <v>499.78399999999999</v>
      </c>
      <c r="DM78">
        <v>98.850999999999999</v>
      </c>
      <c r="DN78">
        <v>9.9814700000000006E-2</v>
      </c>
      <c r="DO78">
        <v>30.1724</v>
      </c>
      <c r="DP78">
        <v>29.949000000000002</v>
      </c>
      <c r="DQ78">
        <v>999.9</v>
      </c>
      <c r="DR78">
        <v>0</v>
      </c>
      <c r="DS78">
        <v>0</v>
      </c>
      <c r="DT78">
        <v>10005</v>
      </c>
      <c r="DU78">
        <v>0</v>
      </c>
      <c r="DV78">
        <v>1461.07</v>
      </c>
      <c r="DW78">
        <v>-4.2185300000000003</v>
      </c>
      <c r="DX78">
        <v>26.528500000000001</v>
      </c>
      <c r="DY78">
        <v>30.689399999999999</v>
      </c>
      <c r="DZ78">
        <v>5.7391899999999998</v>
      </c>
      <c r="EA78">
        <v>29.991900000000001</v>
      </c>
      <c r="EB78">
        <v>22.725200000000001</v>
      </c>
      <c r="EC78">
        <v>2.8137400000000001</v>
      </c>
      <c r="ED78">
        <v>2.24641</v>
      </c>
      <c r="EE78">
        <v>22.9649</v>
      </c>
      <c r="EF78">
        <v>19.2972</v>
      </c>
      <c r="EG78">
        <v>1800.04</v>
      </c>
      <c r="EH78">
        <v>0.97800500000000001</v>
      </c>
      <c r="EI78">
        <v>2.1995399999999998E-2</v>
      </c>
      <c r="EJ78">
        <v>0</v>
      </c>
      <c r="EK78">
        <v>645.67700000000002</v>
      </c>
      <c r="EL78">
        <v>4.9995000000000003</v>
      </c>
      <c r="EM78">
        <v>12493.9</v>
      </c>
      <c r="EN78">
        <v>16660.2</v>
      </c>
      <c r="EO78">
        <v>47.25</v>
      </c>
      <c r="EP78">
        <v>48.875</v>
      </c>
      <c r="EQ78">
        <v>48.125</v>
      </c>
      <c r="ER78">
        <v>47.75</v>
      </c>
      <c r="ES78">
        <v>48.625</v>
      </c>
      <c r="ET78">
        <v>1755.56</v>
      </c>
      <c r="EU78">
        <v>39.479999999999997</v>
      </c>
      <c r="EV78">
        <v>0</v>
      </c>
      <c r="EW78">
        <v>103.7999999523163</v>
      </c>
      <c r="EX78">
        <v>0</v>
      </c>
      <c r="EY78">
        <v>645.85623999999996</v>
      </c>
      <c r="EZ78">
        <v>-1.7935384750327279</v>
      </c>
      <c r="FA78">
        <v>6.153846238922049</v>
      </c>
      <c r="FB78">
        <v>12496.98</v>
      </c>
      <c r="FC78">
        <v>15</v>
      </c>
      <c r="FD78">
        <v>1693336957.5999999</v>
      </c>
      <c r="FE78" t="s">
        <v>736</v>
      </c>
      <c r="FF78">
        <v>1693336947.0999999</v>
      </c>
      <c r="FG78">
        <v>1693336957.5999999</v>
      </c>
      <c r="FH78">
        <v>68</v>
      </c>
      <c r="FI78">
        <v>-9.5000000000000001E-2</v>
      </c>
      <c r="FJ78">
        <v>3.0000000000000001E-3</v>
      </c>
      <c r="FK78">
        <v>-1.0740000000000001</v>
      </c>
      <c r="FL78">
        <v>0.14599999999999999</v>
      </c>
      <c r="FM78">
        <v>30</v>
      </c>
      <c r="FN78">
        <v>23</v>
      </c>
      <c r="FO78">
        <v>0.8</v>
      </c>
      <c r="FP78">
        <v>0.03</v>
      </c>
      <c r="FQ78">
        <v>3.4076990977143842</v>
      </c>
      <c r="FR78">
        <v>-7.186491757544608E-2</v>
      </c>
      <c r="FS78">
        <v>3.9686537572148212E-2</v>
      </c>
      <c r="FT78">
        <v>1</v>
      </c>
      <c r="FU78">
        <v>0.34565860973878948</v>
      </c>
      <c r="FV78">
        <v>4.9351179973593451E-2</v>
      </c>
      <c r="FW78">
        <v>4.1302453396365978E-3</v>
      </c>
      <c r="FX78">
        <v>1</v>
      </c>
      <c r="FY78">
        <v>2</v>
      </c>
      <c r="FZ78">
        <v>2</v>
      </c>
      <c r="GA78" t="s">
        <v>421</v>
      </c>
      <c r="GB78">
        <v>2.9670700000000001</v>
      </c>
      <c r="GC78">
        <v>2.81155</v>
      </c>
      <c r="GD78">
        <v>7.69245E-3</v>
      </c>
      <c r="GE78">
        <v>8.4865600000000006E-3</v>
      </c>
      <c r="GF78">
        <v>0.132996</v>
      </c>
      <c r="GG78">
        <v>0.113098</v>
      </c>
      <c r="GH78">
        <v>29225.5</v>
      </c>
      <c r="GI78">
        <v>26890.799999999999</v>
      </c>
      <c r="GJ78">
        <v>26480.400000000001</v>
      </c>
      <c r="GK78">
        <v>25598.7</v>
      </c>
      <c r="GL78">
        <v>31241.599999999999</v>
      </c>
      <c r="GM78">
        <v>32004.6</v>
      </c>
      <c r="GN78">
        <v>37484.400000000001</v>
      </c>
      <c r="GO78">
        <v>37904.1</v>
      </c>
      <c r="GP78">
        <v>1.9313</v>
      </c>
      <c r="GQ78">
        <v>1.905</v>
      </c>
      <c r="GR78">
        <v>2.2098400000000001E-2</v>
      </c>
      <c r="GS78">
        <v>0</v>
      </c>
      <c r="GT78">
        <v>29.589300000000001</v>
      </c>
      <c r="GU78">
        <v>999.9</v>
      </c>
      <c r="GV78">
        <v>33.4</v>
      </c>
      <c r="GW78">
        <v>42</v>
      </c>
      <c r="GX78">
        <v>27.854500000000002</v>
      </c>
      <c r="GY78">
        <v>61.677100000000003</v>
      </c>
      <c r="GZ78">
        <v>13.2973</v>
      </c>
      <c r="HA78">
        <v>1</v>
      </c>
      <c r="HB78">
        <v>0.531138</v>
      </c>
      <c r="HC78">
        <v>2.9095900000000001</v>
      </c>
      <c r="HD78">
        <v>20.280200000000001</v>
      </c>
      <c r="HE78">
        <v>5.2107000000000001</v>
      </c>
      <c r="HF78">
        <v>11.9381</v>
      </c>
      <c r="HG78">
        <v>4.9875999999999996</v>
      </c>
      <c r="HH78">
        <v>3.2909999999999999</v>
      </c>
      <c r="HI78">
        <v>9999</v>
      </c>
      <c r="HJ78">
        <v>9999</v>
      </c>
      <c r="HK78">
        <v>9999</v>
      </c>
      <c r="HL78">
        <v>999.9</v>
      </c>
      <c r="HM78">
        <v>1.87042</v>
      </c>
      <c r="HN78">
        <v>1.87653</v>
      </c>
      <c r="HO78">
        <v>1.8742700000000001</v>
      </c>
      <c r="HP78">
        <v>1.87256</v>
      </c>
      <c r="HQ78">
        <v>1.8730199999999999</v>
      </c>
      <c r="HR78">
        <v>1.87042</v>
      </c>
      <c r="HS78">
        <v>1.8763099999999999</v>
      </c>
      <c r="HT78">
        <v>1.8754599999999999</v>
      </c>
      <c r="HU78">
        <v>5</v>
      </c>
      <c r="HV78">
        <v>0</v>
      </c>
      <c r="HW78">
        <v>0</v>
      </c>
      <c r="HX78">
        <v>0</v>
      </c>
      <c r="HY78" t="s">
        <v>422</v>
      </c>
      <c r="HZ78" t="s">
        <v>423</v>
      </c>
      <c r="IA78" t="s">
        <v>424</v>
      </c>
      <c r="IB78" t="s">
        <v>424</v>
      </c>
      <c r="IC78" t="s">
        <v>424</v>
      </c>
      <c r="ID78" t="s">
        <v>424</v>
      </c>
      <c r="IE78">
        <v>0</v>
      </c>
      <c r="IF78">
        <v>100</v>
      </c>
      <c r="IG78">
        <v>100</v>
      </c>
      <c r="IH78">
        <v>-1.0629999999999999</v>
      </c>
      <c r="II78">
        <v>0.38629999999999998</v>
      </c>
      <c r="IJ78">
        <v>-0.9928498710397351</v>
      </c>
      <c r="IK78">
        <v>-2.677719669153116E-3</v>
      </c>
      <c r="IL78">
        <v>1.9353498771248068E-6</v>
      </c>
      <c r="IM78">
        <v>-6.1862177325538213E-10</v>
      </c>
      <c r="IN78">
        <v>-0.2316290487961967</v>
      </c>
      <c r="IO78">
        <v>-1.5299015507423901E-2</v>
      </c>
      <c r="IP78">
        <v>1.742162107778985E-3</v>
      </c>
      <c r="IQ78">
        <v>-1.472690239905804E-5</v>
      </c>
      <c r="IR78">
        <v>3</v>
      </c>
      <c r="IS78">
        <v>2255</v>
      </c>
      <c r="IT78">
        <v>2</v>
      </c>
      <c r="IU78">
        <v>41</v>
      </c>
      <c r="IV78">
        <v>0.7</v>
      </c>
      <c r="IW78">
        <v>0.5</v>
      </c>
      <c r="IX78">
        <v>0.21362300000000001</v>
      </c>
      <c r="IY78">
        <v>2.5830099999999998</v>
      </c>
      <c r="IZ78">
        <v>1.5991200000000001</v>
      </c>
      <c r="JA78">
        <v>2.2607400000000002</v>
      </c>
      <c r="JB78">
        <v>1.5502899999999999</v>
      </c>
      <c r="JC78">
        <v>2.4169900000000002</v>
      </c>
      <c r="JD78">
        <v>42.563699999999997</v>
      </c>
      <c r="JE78">
        <v>15.6731</v>
      </c>
      <c r="JF78">
        <v>18</v>
      </c>
      <c r="JG78">
        <v>501.423</v>
      </c>
      <c r="JH78">
        <v>453.33699999999999</v>
      </c>
      <c r="JI78">
        <v>25.630299999999998</v>
      </c>
      <c r="JJ78">
        <v>33.996699999999997</v>
      </c>
      <c r="JK78">
        <v>30</v>
      </c>
      <c r="JL78">
        <v>34.011099999999999</v>
      </c>
      <c r="JM78">
        <v>33.983199999999997</v>
      </c>
      <c r="JN78">
        <v>4.3183800000000003</v>
      </c>
      <c r="JO78">
        <v>26.226500000000001</v>
      </c>
      <c r="JP78">
        <v>26.6387</v>
      </c>
      <c r="JQ78">
        <v>25.628</v>
      </c>
      <c r="JR78">
        <v>30</v>
      </c>
      <c r="JS78">
        <v>22.599799999999998</v>
      </c>
      <c r="JT78">
        <v>98.863600000000005</v>
      </c>
      <c r="JU78">
        <v>98.4315</v>
      </c>
    </row>
    <row r="79" spans="1:281" x14ac:dyDescent="0.25">
      <c r="A79">
        <v>63</v>
      </c>
      <c r="B79">
        <v>1693337087.5</v>
      </c>
      <c r="C79">
        <v>14790.400000095369</v>
      </c>
      <c r="D79" t="s">
        <v>737</v>
      </c>
      <c r="E79" t="s">
        <v>738</v>
      </c>
      <c r="F79" t="s">
        <v>413</v>
      </c>
      <c r="G79" t="s">
        <v>564</v>
      </c>
      <c r="H79" t="s">
        <v>708</v>
      </c>
      <c r="I79" t="s">
        <v>415</v>
      </c>
      <c r="J79">
        <v>1693337087.5</v>
      </c>
      <c r="K79">
        <f t="shared" si="46"/>
        <v>4.8327544838614326E-3</v>
      </c>
      <c r="L79">
        <f t="shared" si="47"/>
        <v>4.8327544838614322</v>
      </c>
      <c r="M79">
        <f t="shared" si="48"/>
        <v>1.057776906659379</v>
      </c>
      <c r="N79">
        <f t="shared" si="49"/>
        <v>8.5760799999999993</v>
      </c>
      <c r="O79">
        <f t="shared" si="50"/>
        <v>3.1855417668445893</v>
      </c>
      <c r="P79">
        <f t="shared" si="51"/>
        <v>0.31518914588531566</v>
      </c>
      <c r="Q79">
        <f t="shared" si="52"/>
        <v>0.84854870163000795</v>
      </c>
      <c r="R79">
        <f t="shared" si="53"/>
        <v>0.34022306296525268</v>
      </c>
      <c r="S79">
        <f t="shared" si="54"/>
        <v>2.9153057508375255</v>
      </c>
      <c r="T79">
        <f t="shared" si="55"/>
        <v>0.31960383905625228</v>
      </c>
      <c r="U79">
        <f t="shared" si="56"/>
        <v>0.20150073607569274</v>
      </c>
      <c r="V79">
        <f t="shared" si="57"/>
        <v>344.34280065821804</v>
      </c>
      <c r="W79">
        <f t="shared" si="58"/>
        <v>31.047369524800416</v>
      </c>
      <c r="X79">
        <f t="shared" si="59"/>
        <v>30.034600000000001</v>
      </c>
      <c r="Y79">
        <f t="shared" si="60"/>
        <v>4.2689243079652339</v>
      </c>
      <c r="Z79">
        <f t="shared" si="61"/>
        <v>65.314567331737479</v>
      </c>
      <c r="AA79">
        <f t="shared" si="62"/>
        <v>2.82643434595211</v>
      </c>
      <c r="AB79">
        <f t="shared" si="63"/>
        <v>4.3274180040058177</v>
      </c>
      <c r="AC79">
        <f t="shared" si="64"/>
        <v>1.442489962013124</v>
      </c>
      <c r="AD79">
        <f t="shared" si="65"/>
        <v>-213.12447273828917</v>
      </c>
      <c r="AE79">
        <f t="shared" si="66"/>
        <v>37.280715375206682</v>
      </c>
      <c r="AF79">
        <f t="shared" si="67"/>
        <v>2.8477238530892666</v>
      </c>
      <c r="AG79">
        <f t="shared" si="68"/>
        <v>171.34676714822484</v>
      </c>
      <c r="AH79">
        <v>1</v>
      </c>
      <c r="AI79">
        <v>0</v>
      </c>
      <c r="AJ79">
        <f t="shared" si="69"/>
        <v>1</v>
      </c>
      <c r="AK79">
        <f t="shared" si="70"/>
        <v>0</v>
      </c>
      <c r="AL79">
        <f t="shared" si="71"/>
        <v>51875.678549444572</v>
      </c>
      <c r="AM79" t="s">
        <v>416</v>
      </c>
      <c r="AN79">
        <v>10238.9</v>
      </c>
      <c r="AO79">
        <v>302.21199999999999</v>
      </c>
      <c r="AP79">
        <v>4052.3</v>
      </c>
      <c r="AQ79">
        <f t="shared" si="72"/>
        <v>0.92542210596451402</v>
      </c>
      <c r="AR79">
        <v>-0.32343011824092421</v>
      </c>
      <c r="AS79" t="s">
        <v>739</v>
      </c>
      <c r="AT79">
        <v>10531.3</v>
      </c>
      <c r="AU79">
        <v>647.93744000000004</v>
      </c>
      <c r="AV79">
        <v>693.03869689787325</v>
      </c>
      <c r="AW79">
        <f t="shared" si="73"/>
        <v>6.5077544875563276E-2</v>
      </c>
      <c r="AX79">
        <v>0.5</v>
      </c>
      <c r="AY79">
        <f t="shared" si="74"/>
        <v>1513.0671003291091</v>
      </c>
      <c r="AZ79">
        <f t="shared" si="75"/>
        <v>1.057776906659379</v>
      </c>
      <c r="BA79">
        <f t="shared" si="76"/>
        <v>49.233346060702999</v>
      </c>
      <c r="BB79">
        <f t="shared" si="77"/>
        <v>9.128524601452739E-4</v>
      </c>
      <c r="BC79">
        <f t="shared" si="78"/>
        <v>4.8471482445909517</v>
      </c>
      <c r="BD79">
        <f t="shared" si="79"/>
        <v>221.97149886646008</v>
      </c>
      <c r="BE79" t="s">
        <v>740</v>
      </c>
      <c r="BF79">
        <v>553.78</v>
      </c>
      <c r="BG79">
        <f t="shared" si="80"/>
        <v>553.78</v>
      </c>
      <c r="BH79">
        <f t="shared" si="81"/>
        <v>0.20093928018913287</v>
      </c>
      <c r="BI79">
        <f t="shared" si="82"/>
        <v>0.3238667164245308</v>
      </c>
      <c r="BJ79">
        <f t="shared" si="83"/>
        <v>0.96019496904466073</v>
      </c>
      <c r="BK79">
        <f t="shared" si="84"/>
        <v>0.11539963174434474</v>
      </c>
      <c r="BL79">
        <f t="shared" si="85"/>
        <v>0.89578199314312801</v>
      </c>
      <c r="BM79">
        <f t="shared" si="86"/>
        <v>0.27680281945364454</v>
      </c>
      <c r="BN79">
        <f t="shared" si="87"/>
        <v>0.72319718054635551</v>
      </c>
      <c r="BO79">
        <v>5588</v>
      </c>
      <c r="BP79">
        <v>290.00000000000011</v>
      </c>
      <c r="BQ79">
        <v>681.5</v>
      </c>
      <c r="BR79">
        <v>115</v>
      </c>
      <c r="BS79">
        <v>10531.3</v>
      </c>
      <c r="BT79">
        <v>680.46</v>
      </c>
      <c r="BU79">
        <v>1.04</v>
      </c>
      <c r="BV79">
        <v>300.00000000000011</v>
      </c>
      <c r="BW79">
        <v>38.200000000000003</v>
      </c>
      <c r="BX79">
        <v>693.03869689787325</v>
      </c>
      <c r="BY79">
        <v>0.90244420506385314</v>
      </c>
      <c r="BZ79">
        <v>-13.24855455726266</v>
      </c>
      <c r="CA79">
        <v>0.77655301385298237</v>
      </c>
      <c r="CB79">
        <v>0.91224447012222831</v>
      </c>
      <c r="CC79">
        <v>-1.141055372636263E-2</v>
      </c>
      <c r="CD79">
        <v>289.99999999999989</v>
      </c>
      <c r="CE79">
        <v>679.14</v>
      </c>
      <c r="CF79">
        <v>685</v>
      </c>
      <c r="CG79">
        <v>10483.1</v>
      </c>
      <c r="CH79">
        <v>680.4</v>
      </c>
      <c r="CI79">
        <v>-1.26</v>
      </c>
      <c r="CW79">
        <f t="shared" si="88"/>
        <v>1799.86</v>
      </c>
      <c r="CX79">
        <f t="shared" si="89"/>
        <v>1513.0671003291091</v>
      </c>
      <c r="CY79">
        <f t="shared" si="90"/>
        <v>0.84065821804424179</v>
      </c>
      <c r="CZ79">
        <f t="shared" si="91"/>
        <v>0.19131643608848359</v>
      </c>
      <c r="DA79">
        <v>6</v>
      </c>
      <c r="DB79">
        <v>0.5</v>
      </c>
      <c r="DC79" t="s">
        <v>419</v>
      </c>
      <c r="DD79">
        <v>2</v>
      </c>
      <c r="DE79">
        <v>1693337087.5</v>
      </c>
      <c r="DF79">
        <v>8.5760799999999993</v>
      </c>
      <c r="DG79">
        <v>9.8948099999999997</v>
      </c>
      <c r="DH79">
        <v>28.566099999999999</v>
      </c>
      <c r="DI79">
        <v>22.933900000000001</v>
      </c>
      <c r="DJ79">
        <v>9.6606000000000005</v>
      </c>
      <c r="DK79">
        <v>28.172699999999999</v>
      </c>
      <c r="DL79">
        <v>500.12799999999999</v>
      </c>
      <c r="DM79">
        <v>98.844300000000004</v>
      </c>
      <c r="DN79">
        <v>9.9355100000000002E-2</v>
      </c>
      <c r="DO79">
        <v>30.271799999999999</v>
      </c>
      <c r="DP79">
        <v>30.034600000000001</v>
      </c>
      <c r="DQ79">
        <v>999.9</v>
      </c>
      <c r="DR79">
        <v>0</v>
      </c>
      <c r="DS79">
        <v>0</v>
      </c>
      <c r="DT79">
        <v>10035</v>
      </c>
      <c r="DU79">
        <v>0</v>
      </c>
      <c r="DV79">
        <v>1474.71</v>
      </c>
      <c r="DW79">
        <v>-1.31873</v>
      </c>
      <c r="DX79">
        <v>8.8282699999999998</v>
      </c>
      <c r="DY79">
        <v>10.1271</v>
      </c>
      <c r="DZ79">
        <v>5.6322200000000002</v>
      </c>
      <c r="EA79">
        <v>9.8948099999999997</v>
      </c>
      <c r="EB79">
        <v>22.933900000000001</v>
      </c>
      <c r="EC79">
        <v>2.8235999999999999</v>
      </c>
      <c r="ED79">
        <v>2.26688</v>
      </c>
      <c r="EE79">
        <v>23.0227</v>
      </c>
      <c r="EF79">
        <v>19.443000000000001</v>
      </c>
      <c r="EG79">
        <v>1799.86</v>
      </c>
      <c r="EH79">
        <v>0.97799800000000003</v>
      </c>
      <c r="EI79">
        <v>2.2002500000000001E-2</v>
      </c>
      <c r="EJ79">
        <v>0</v>
      </c>
      <c r="EK79">
        <v>647.83399999999995</v>
      </c>
      <c r="EL79">
        <v>4.9995000000000003</v>
      </c>
      <c r="EM79">
        <v>12524</v>
      </c>
      <c r="EN79">
        <v>16658.5</v>
      </c>
      <c r="EO79">
        <v>46.936999999999998</v>
      </c>
      <c r="EP79">
        <v>48.5</v>
      </c>
      <c r="EQ79">
        <v>47.811999999999998</v>
      </c>
      <c r="ER79">
        <v>47.436999999999998</v>
      </c>
      <c r="ES79">
        <v>48.311999999999998</v>
      </c>
      <c r="ET79">
        <v>1755.37</v>
      </c>
      <c r="EU79">
        <v>39.49</v>
      </c>
      <c r="EV79">
        <v>0</v>
      </c>
      <c r="EW79">
        <v>99</v>
      </c>
      <c r="EX79">
        <v>0</v>
      </c>
      <c r="EY79">
        <v>647.93744000000004</v>
      </c>
      <c r="EZ79">
        <v>-1.7615391876439922E-2</v>
      </c>
      <c r="FA79">
        <v>-15.23846148601222</v>
      </c>
      <c r="FB79">
        <v>12526.8</v>
      </c>
      <c r="FC79">
        <v>15</v>
      </c>
      <c r="FD79">
        <v>1693337056</v>
      </c>
      <c r="FE79" t="s">
        <v>741</v>
      </c>
      <c r="FF79">
        <v>1693337054</v>
      </c>
      <c r="FG79">
        <v>1693337056</v>
      </c>
      <c r="FH79">
        <v>69</v>
      </c>
      <c r="FI79">
        <v>-6.6000000000000003E-2</v>
      </c>
      <c r="FJ79">
        <v>3.0000000000000001E-3</v>
      </c>
      <c r="FK79">
        <v>-1.0880000000000001</v>
      </c>
      <c r="FL79">
        <v>0.13500000000000001</v>
      </c>
      <c r="FM79">
        <v>10</v>
      </c>
      <c r="FN79">
        <v>22</v>
      </c>
      <c r="FO79">
        <v>1.1200000000000001</v>
      </c>
      <c r="FP79">
        <v>0.04</v>
      </c>
      <c r="FQ79">
        <v>1.1467127820730101</v>
      </c>
      <c r="FR79">
        <v>-3.6229990090220631E-3</v>
      </c>
      <c r="FS79">
        <v>5.1526590087082623E-2</v>
      </c>
      <c r="FT79">
        <v>1</v>
      </c>
      <c r="FU79">
        <v>0.33855337941936259</v>
      </c>
      <c r="FV79">
        <v>3.5158889905490737E-2</v>
      </c>
      <c r="FW79">
        <v>3.5390282979198781E-3</v>
      </c>
      <c r="FX79">
        <v>1</v>
      </c>
      <c r="FY79">
        <v>2</v>
      </c>
      <c r="FZ79">
        <v>2</v>
      </c>
      <c r="GA79" t="s">
        <v>421</v>
      </c>
      <c r="GB79">
        <v>2.96801</v>
      </c>
      <c r="GC79">
        <v>2.8113600000000001</v>
      </c>
      <c r="GD79">
        <v>2.7699199999999999E-3</v>
      </c>
      <c r="GE79">
        <v>2.8002999999999999E-3</v>
      </c>
      <c r="GF79">
        <v>0.13331299999999999</v>
      </c>
      <c r="GG79">
        <v>0.113829</v>
      </c>
      <c r="GH79">
        <v>29371.5</v>
      </c>
      <c r="GI79">
        <v>27047.4</v>
      </c>
      <c r="GJ79">
        <v>26481.200000000001</v>
      </c>
      <c r="GK79">
        <v>25600.9</v>
      </c>
      <c r="GL79">
        <v>31230.7</v>
      </c>
      <c r="GM79">
        <v>31979.8</v>
      </c>
      <c r="GN79">
        <v>37486</v>
      </c>
      <c r="GO79">
        <v>37906.6</v>
      </c>
      <c r="GP79">
        <v>1.9321999999999999</v>
      </c>
      <c r="GQ79">
        <v>1.9073</v>
      </c>
      <c r="GR79">
        <v>2.5317099999999999E-2</v>
      </c>
      <c r="GS79">
        <v>0</v>
      </c>
      <c r="GT79">
        <v>29.622499999999999</v>
      </c>
      <c r="GU79">
        <v>999.9</v>
      </c>
      <c r="GV79">
        <v>33.700000000000003</v>
      </c>
      <c r="GW79">
        <v>41.8</v>
      </c>
      <c r="GX79">
        <v>27.811</v>
      </c>
      <c r="GY79">
        <v>61.717100000000002</v>
      </c>
      <c r="GZ79">
        <v>12.4559</v>
      </c>
      <c r="HA79">
        <v>1</v>
      </c>
      <c r="HB79">
        <v>0.53003</v>
      </c>
      <c r="HC79">
        <v>3.4481299999999999</v>
      </c>
      <c r="HD79">
        <v>20.268999999999998</v>
      </c>
      <c r="HE79">
        <v>5.2047100000000004</v>
      </c>
      <c r="HF79">
        <v>11.9381</v>
      </c>
      <c r="HG79">
        <v>4.9859999999999998</v>
      </c>
      <c r="HH79">
        <v>3.29</v>
      </c>
      <c r="HI79">
        <v>9999</v>
      </c>
      <c r="HJ79">
        <v>9999</v>
      </c>
      <c r="HK79">
        <v>9999</v>
      </c>
      <c r="HL79">
        <v>999.9</v>
      </c>
      <c r="HM79">
        <v>1.87039</v>
      </c>
      <c r="HN79">
        <v>1.87653</v>
      </c>
      <c r="HO79">
        <v>1.8742399999999999</v>
      </c>
      <c r="HP79">
        <v>1.87256</v>
      </c>
      <c r="HQ79">
        <v>1.8730199999999999</v>
      </c>
      <c r="HR79">
        <v>1.87042</v>
      </c>
      <c r="HS79">
        <v>1.8762799999999999</v>
      </c>
      <c r="HT79">
        <v>1.8754599999999999</v>
      </c>
      <c r="HU79">
        <v>5</v>
      </c>
      <c r="HV79">
        <v>0</v>
      </c>
      <c r="HW79">
        <v>0</v>
      </c>
      <c r="HX79">
        <v>0</v>
      </c>
      <c r="HY79" t="s">
        <v>422</v>
      </c>
      <c r="HZ79" t="s">
        <v>423</v>
      </c>
      <c r="IA79" t="s">
        <v>424</v>
      </c>
      <c r="IB79" t="s">
        <v>424</v>
      </c>
      <c r="IC79" t="s">
        <v>424</v>
      </c>
      <c r="ID79" t="s">
        <v>424</v>
      </c>
      <c r="IE79">
        <v>0</v>
      </c>
      <c r="IF79">
        <v>100</v>
      </c>
      <c r="IG79">
        <v>100</v>
      </c>
      <c r="IH79">
        <v>-1.085</v>
      </c>
      <c r="II79">
        <v>0.39340000000000003</v>
      </c>
      <c r="IJ79">
        <v>-1.0588365987662149</v>
      </c>
      <c r="IK79">
        <v>-2.677719669153116E-3</v>
      </c>
      <c r="IL79">
        <v>1.9353498771248068E-6</v>
      </c>
      <c r="IM79">
        <v>-6.1862177325538213E-10</v>
      </c>
      <c r="IN79">
        <v>-0.2290269294772844</v>
      </c>
      <c r="IO79">
        <v>-1.5299015507423901E-2</v>
      </c>
      <c r="IP79">
        <v>1.742162107778985E-3</v>
      </c>
      <c r="IQ79">
        <v>-1.472690239905804E-5</v>
      </c>
      <c r="IR79">
        <v>3</v>
      </c>
      <c r="IS79">
        <v>2255</v>
      </c>
      <c r="IT79">
        <v>2</v>
      </c>
      <c r="IU79">
        <v>41</v>
      </c>
      <c r="IV79">
        <v>0.6</v>
      </c>
      <c r="IW79">
        <v>0.5</v>
      </c>
      <c r="IX79">
        <v>0.17333999999999999</v>
      </c>
      <c r="IY79">
        <v>2.6049799999999999</v>
      </c>
      <c r="IZ79">
        <v>1.6003400000000001</v>
      </c>
      <c r="JA79">
        <v>2.2619600000000002</v>
      </c>
      <c r="JB79">
        <v>1.5502899999999999</v>
      </c>
      <c r="JC79">
        <v>2.34009</v>
      </c>
      <c r="JD79">
        <v>42.430399999999999</v>
      </c>
      <c r="JE79">
        <v>15.629300000000001</v>
      </c>
      <c r="JF79">
        <v>18</v>
      </c>
      <c r="JG79">
        <v>501.68299999999999</v>
      </c>
      <c r="JH79">
        <v>454.48599999999999</v>
      </c>
      <c r="JI79">
        <v>25.446200000000001</v>
      </c>
      <c r="JJ79">
        <v>33.945500000000003</v>
      </c>
      <c r="JK79">
        <v>30.000499999999999</v>
      </c>
      <c r="JL79">
        <v>33.969200000000001</v>
      </c>
      <c r="JM79">
        <v>33.9437</v>
      </c>
      <c r="JN79">
        <v>3.52291</v>
      </c>
      <c r="JO79">
        <v>25.325299999999999</v>
      </c>
      <c r="JP79">
        <v>26.801300000000001</v>
      </c>
      <c r="JQ79">
        <v>25.444600000000001</v>
      </c>
      <c r="JR79">
        <v>10</v>
      </c>
      <c r="JS79">
        <v>22.846699999999998</v>
      </c>
      <c r="JT79">
        <v>98.867500000000007</v>
      </c>
      <c r="JU79">
        <v>98.438599999999994</v>
      </c>
    </row>
    <row r="80" spans="1:281" x14ac:dyDescent="0.25">
      <c r="A80">
        <v>64</v>
      </c>
      <c r="B80">
        <v>1693337277</v>
      </c>
      <c r="C80">
        <v>14979.900000095369</v>
      </c>
      <c r="D80" t="s">
        <v>742</v>
      </c>
      <c r="E80" t="s">
        <v>743</v>
      </c>
      <c r="F80" t="s">
        <v>413</v>
      </c>
      <c r="G80" t="s">
        <v>564</v>
      </c>
      <c r="H80" t="s">
        <v>708</v>
      </c>
      <c r="I80" t="s">
        <v>415</v>
      </c>
      <c r="J80">
        <v>1693337277</v>
      </c>
      <c r="K80">
        <f t="shared" si="46"/>
        <v>4.8394841899686136E-3</v>
      </c>
      <c r="L80">
        <f t="shared" si="47"/>
        <v>4.8394841899686138</v>
      </c>
      <c r="M80">
        <f t="shared" si="48"/>
        <v>37.628919090840327</v>
      </c>
      <c r="N80">
        <f t="shared" si="49"/>
        <v>352.709</v>
      </c>
      <c r="O80">
        <f t="shared" si="50"/>
        <v>158.5253492904445</v>
      </c>
      <c r="P80">
        <f t="shared" si="51"/>
        <v>15.685272296602514</v>
      </c>
      <c r="Q80">
        <f t="shared" si="52"/>
        <v>34.898751090756001</v>
      </c>
      <c r="R80">
        <f t="shared" si="53"/>
        <v>0.33786870528376334</v>
      </c>
      <c r="S80">
        <f t="shared" si="54"/>
        <v>2.9074551653035479</v>
      </c>
      <c r="T80">
        <f t="shared" si="55"/>
        <v>0.31747333670444061</v>
      </c>
      <c r="U80">
        <f t="shared" si="56"/>
        <v>0.20015060085749936</v>
      </c>
      <c r="V80">
        <f t="shared" si="57"/>
        <v>344.35290065836642</v>
      </c>
      <c r="W80">
        <f t="shared" si="58"/>
        <v>30.981352089120008</v>
      </c>
      <c r="X80">
        <f t="shared" si="59"/>
        <v>29.999199999999998</v>
      </c>
      <c r="Y80">
        <f t="shared" si="60"/>
        <v>4.2602540029474021</v>
      </c>
      <c r="Z80">
        <f t="shared" si="61"/>
        <v>65.08514607154089</v>
      </c>
      <c r="AA80">
        <f t="shared" si="62"/>
        <v>2.8058196535416</v>
      </c>
      <c r="AB80">
        <f t="shared" si="63"/>
        <v>4.310998473380506</v>
      </c>
      <c r="AC80">
        <f t="shared" si="64"/>
        <v>1.4544343494058021</v>
      </c>
      <c r="AD80">
        <f t="shared" si="65"/>
        <v>-213.42125277761585</v>
      </c>
      <c r="AE80">
        <f t="shared" si="66"/>
        <v>32.336848928461976</v>
      </c>
      <c r="AF80">
        <f t="shared" si="67"/>
        <v>2.4755051835059505</v>
      </c>
      <c r="AG80">
        <f t="shared" si="68"/>
        <v>165.74400199271849</v>
      </c>
      <c r="AH80">
        <v>2</v>
      </c>
      <c r="AI80">
        <v>0</v>
      </c>
      <c r="AJ80">
        <f t="shared" si="69"/>
        <v>1</v>
      </c>
      <c r="AK80">
        <f t="shared" si="70"/>
        <v>0</v>
      </c>
      <c r="AL80">
        <f t="shared" si="71"/>
        <v>51664.113062989156</v>
      </c>
      <c r="AM80" t="s">
        <v>416</v>
      </c>
      <c r="AN80">
        <v>10238.9</v>
      </c>
      <c r="AO80">
        <v>302.21199999999999</v>
      </c>
      <c r="AP80">
        <v>4052.3</v>
      </c>
      <c r="AQ80">
        <f t="shared" si="72"/>
        <v>0.92542210596451402</v>
      </c>
      <c r="AR80">
        <v>-0.32343011824092421</v>
      </c>
      <c r="AS80" t="s">
        <v>744</v>
      </c>
      <c r="AT80">
        <v>10504.7</v>
      </c>
      <c r="AU80">
        <v>677.38467999999989</v>
      </c>
      <c r="AV80">
        <v>990.12055052294181</v>
      </c>
      <c r="AW80">
        <f t="shared" si="73"/>
        <v>0.3158563574483606</v>
      </c>
      <c r="AX80">
        <v>0.5</v>
      </c>
      <c r="AY80">
        <f t="shared" si="74"/>
        <v>1513.109400329183</v>
      </c>
      <c r="AZ80">
        <f t="shared" si="75"/>
        <v>37.628919090840327</v>
      </c>
      <c r="BA80">
        <f t="shared" si="76"/>
        <v>238.96261180442448</v>
      </c>
      <c r="BB80">
        <f t="shared" si="77"/>
        <v>2.5082356372133147E-2</v>
      </c>
      <c r="BC80">
        <f t="shared" si="78"/>
        <v>3.0927339583647044</v>
      </c>
      <c r="BD80">
        <f t="shared" si="79"/>
        <v>245.57112242082502</v>
      </c>
      <c r="BE80" t="s">
        <v>745</v>
      </c>
      <c r="BF80">
        <v>550.88</v>
      </c>
      <c r="BG80">
        <f t="shared" si="80"/>
        <v>550.88</v>
      </c>
      <c r="BH80">
        <f t="shared" si="81"/>
        <v>0.44362330454706012</v>
      </c>
      <c r="BI80">
        <f t="shared" si="82"/>
        <v>0.71199225606700334</v>
      </c>
      <c r="BJ80">
        <f t="shared" si="83"/>
        <v>0.87455359524908705</v>
      </c>
      <c r="BK80">
        <f t="shared" si="84"/>
        <v>0.45461837955815926</v>
      </c>
      <c r="BL80">
        <f t="shared" si="85"/>
        <v>0.81656202453837301</v>
      </c>
      <c r="BM80">
        <f t="shared" si="86"/>
        <v>0.57902445331682262</v>
      </c>
      <c r="BN80">
        <f t="shared" si="87"/>
        <v>0.42097554668317738</v>
      </c>
      <c r="BO80">
        <v>5590</v>
      </c>
      <c r="BP80">
        <v>290.00000000000011</v>
      </c>
      <c r="BQ80">
        <v>895.25</v>
      </c>
      <c r="BR80">
        <v>275</v>
      </c>
      <c r="BS80">
        <v>10504.7</v>
      </c>
      <c r="BT80">
        <v>894.68</v>
      </c>
      <c r="BU80">
        <v>0.56999999999999995</v>
      </c>
      <c r="BV80">
        <v>300.00000000000011</v>
      </c>
      <c r="BW80">
        <v>38.200000000000003</v>
      </c>
      <c r="BX80">
        <v>990.12055052294181</v>
      </c>
      <c r="BY80">
        <v>1.2860063148362471</v>
      </c>
      <c r="BZ80">
        <v>-100.26085458838391</v>
      </c>
      <c r="CA80">
        <v>1.1070302028123411</v>
      </c>
      <c r="CB80">
        <v>0.99659800102441831</v>
      </c>
      <c r="CC80">
        <v>-1.1415893437152391E-2</v>
      </c>
      <c r="CD80">
        <v>289.99999999999989</v>
      </c>
      <c r="CE80">
        <v>875.95</v>
      </c>
      <c r="CF80">
        <v>635</v>
      </c>
      <c r="CG80">
        <v>10492.3</v>
      </c>
      <c r="CH80">
        <v>894.56</v>
      </c>
      <c r="CI80">
        <v>-18.61</v>
      </c>
      <c r="CW80">
        <f t="shared" si="88"/>
        <v>1799.91</v>
      </c>
      <c r="CX80">
        <f t="shared" si="89"/>
        <v>1513.109400329183</v>
      </c>
      <c r="CY80">
        <f t="shared" si="90"/>
        <v>0.84065836643453451</v>
      </c>
      <c r="CZ80">
        <f t="shared" si="91"/>
        <v>0.19131673286906925</v>
      </c>
      <c r="DA80">
        <v>6</v>
      </c>
      <c r="DB80">
        <v>0.5</v>
      </c>
      <c r="DC80" t="s">
        <v>419</v>
      </c>
      <c r="DD80">
        <v>2</v>
      </c>
      <c r="DE80">
        <v>1693337277</v>
      </c>
      <c r="DF80">
        <v>352.709</v>
      </c>
      <c r="DG80">
        <v>399.86099999999999</v>
      </c>
      <c r="DH80">
        <v>28.357399999999998</v>
      </c>
      <c r="DI80">
        <v>22.720800000000001</v>
      </c>
      <c r="DJ80">
        <v>354.26100000000002</v>
      </c>
      <c r="DK80">
        <v>27.9757</v>
      </c>
      <c r="DL80">
        <v>500.541</v>
      </c>
      <c r="DM80">
        <v>98.844700000000003</v>
      </c>
      <c r="DN80">
        <v>0.100184</v>
      </c>
      <c r="DO80">
        <v>30.205500000000001</v>
      </c>
      <c r="DP80">
        <v>29.999199999999998</v>
      </c>
      <c r="DQ80">
        <v>999.9</v>
      </c>
      <c r="DR80">
        <v>0</v>
      </c>
      <c r="DS80">
        <v>0</v>
      </c>
      <c r="DT80">
        <v>9990</v>
      </c>
      <c r="DU80">
        <v>0</v>
      </c>
      <c r="DV80">
        <v>1444.19</v>
      </c>
      <c r="DW80">
        <v>-47.151899999999998</v>
      </c>
      <c r="DX80">
        <v>363.00299999999999</v>
      </c>
      <c r="DY80">
        <v>409.15699999999998</v>
      </c>
      <c r="DZ80">
        <v>5.6365600000000002</v>
      </c>
      <c r="EA80">
        <v>399.86099999999999</v>
      </c>
      <c r="EB80">
        <v>22.720800000000001</v>
      </c>
      <c r="EC80">
        <v>2.8029799999999998</v>
      </c>
      <c r="ED80">
        <v>2.2458300000000002</v>
      </c>
      <c r="EE80">
        <v>22.901599999999998</v>
      </c>
      <c r="EF80">
        <v>19.292999999999999</v>
      </c>
      <c r="EG80">
        <v>1799.91</v>
      </c>
      <c r="EH80">
        <v>0.97799400000000003</v>
      </c>
      <c r="EI80">
        <v>2.2005899999999998E-2</v>
      </c>
      <c r="EJ80">
        <v>0</v>
      </c>
      <c r="EK80">
        <v>677.85799999999995</v>
      </c>
      <c r="EL80">
        <v>4.9995000000000003</v>
      </c>
      <c r="EM80">
        <v>13039.8</v>
      </c>
      <c r="EN80">
        <v>16659</v>
      </c>
      <c r="EO80">
        <v>46.75</v>
      </c>
      <c r="EP80">
        <v>48.436999999999998</v>
      </c>
      <c r="EQ80">
        <v>47.625</v>
      </c>
      <c r="ER80">
        <v>47.5</v>
      </c>
      <c r="ES80">
        <v>48.125</v>
      </c>
      <c r="ET80">
        <v>1755.41</v>
      </c>
      <c r="EU80">
        <v>39.5</v>
      </c>
      <c r="EV80">
        <v>0</v>
      </c>
      <c r="EW80">
        <v>187.4000000953674</v>
      </c>
      <c r="EX80">
        <v>0</v>
      </c>
      <c r="EY80">
        <v>677.38467999999989</v>
      </c>
      <c r="EZ80">
        <v>4.7312307734061596</v>
      </c>
      <c r="FA80">
        <v>97.176923018249212</v>
      </c>
      <c r="FB80">
        <v>13030.396000000001</v>
      </c>
      <c r="FC80">
        <v>15</v>
      </c>
      <c r="FD80">
        <v>1693337165.5</v>
      </c>
      <c r="FE80" t="s">
        <v>746</v>
      </c>
      <c r="FF80">
        <v>1693337165.5</v>
      </c>
      <c r="FG80">
        <v>1693337163</v>
      </c>
      <c r="FH80">
        <v>70</v>
      </c>
      <c r="FI80">
        <v>0.24</v>
      </c>
      <c r="FJ80">
        <v>-2E-3</v>
      </c>
      <c r="FK80">
        <v>-1.6220000000000001</v>
      </c>
      <c r="FL80">
        <v>0.14199999999999999</v>
      </c>
      <c r="FM80">
        <v>400</v>
      </c>
      <c r="FN80">
        <v>23</v>
      </c>
      <c r="FO80">
        <v>0.21</v>
      </c>
      <c r="FP80">
        <v>0.04</v>
      </c>
      <c r="FQ80">
        <v>37.321199921265368</v>
      </c>
      <c r="FR80">
        <v>2.9048864021780521</v>
      </c>
      <c r="FS80">
        <v>0.2164048424045793</v>
      </c>
      <c r="FT80">
        <v>0</v>
      </c>
      <c r="FU80">
        <v>0.34003956411626463</v>
      </c>
      <c r="FV80">
        <v>-3.4021644526368841E-2</v>
      </c>
      <c r="FW80">
        <v>2.6409188301987799E-3</v>
      </c>
      <c r="FX80">
        <v>1</v>
      </c>
      <c r="FY80">
        <v>1</v>
      </c>
      <c r="FZ80">
        <v>2</v>
      </c>
      <c r="GA80" t="s">
        <v>460</v>
      </c>
      <c r="GB80">
        <v>2.9690599999999998</v>
      </c>
      <c r="GC80">
        <v>2.8117899999999998</v>
      </c>
      <c r="GD80">
        <v>8.7146299999999996E-2</v>
      </c>
      <c r="GE80">
        <v>9.4775399999999996E-2</v>
      </c>
      <c r="GF80">
        <v>0.13264899999999999</v>
      </c>
      <c r="GG80">
        <v>0.113076</v>
      </c>
      <c r="GH80">
        <v>26883.1</v>
      </c>
      <c r="GI80">
        <v>24546.3</v>
      </c>
      <c r="GJ80">
        <v>26478.1</v>
      </c>
      <c r="GK80">
        <v>25594.799999999999</v>
      </c>
      <c r="GL80">
        <v>31257.8</v>
      </c>
      <c r="GM80">
        <v>32007.9</v>
      </c>
      <c r="GN80">
        <v>37481.4</v>
      </c>
      <c r="GO80">
        <v>37899.699999999997</v>
      </c>
      <c r="GP80">
        <v>1.9314</v>
      </c>
      <c r="GQ80">
        <v>1.9091</v>
      </c>
      <c r="GR80">
        <v>-1.87755E-3</v>
      </c>
      <c r="GS80">
        <v>0</v>
      </c>
      <c r="GT80">
        <v>30.029699999999998</v>
      </c>
      <c r="GU80">
        <v>999.9</v>
      </c>
      <c r="GV80">
        <v>34.299999999999997</v>
      </c>
      <c r="GW80">
        <v>41.4</v>
      </c>
      <c r="GX80">
        <v>27.715699999999998</v>
      </c>
      <c r="GY80">
        <v>61.7072</v>
      </c>
      <c r="GZ80">
        <v>12.492000000000001</v>
      </c>
      <c r="HA80">
        <v>1</v>
      </c>
      <c r="HB80">
        <v>0.54131099999999999</v>
      </c>
      <c r="HC80">
        <v>4.0896600000000003</v>
      </c>
      <c r="HD80">
        <v>20.256699999999999</v>
      </c>
      <c r="HE80">
        <v>5.2100999999999997</v>
      </c>
      <c r="HF80">
        <v>11.9381</v>
      </c>
      <c r="HG80">
        <v>4.9870000000000001</v>
      </c>
      <c r="HH80">
        <v>3.2909000000000002</v>
      </c>
      <c r="HI80">
        <v>9999</v>
      </c>
      <c r="HJ80">
        <v>9999</v>
      </c>
      <c r="HK80">
        <v>9999</v>
      </c>
      <c r="HL80">
        <v>999.9</v>
      </c>
      <c r="HM80">
        <v>1.8704000000000001</v>
      </c>
      <c r="HN80">
        <v>1.8765099999999999</v>
      </c>
      <c r="HO80">
        <v>1.8742399999999999</v>
      </c>
      <c r="HP80">
        <v>1.87252</v>
      </c>
      <c r="HQ80">
        <v>1.8730199999999999</v>
      </c>
      <c r="HR80">
        <v>1.87042</v>
      </c>
      <c r="HS80">
        <v>1.87626</v>
      </c>
      <c r="HT80">
        <v>1.8754599999999999</v>
      </c>
      <c r="HU80">
        <v>5</v>
      </c>
      <c r="HV80">
        <v>0</v>
      </c>
      <c r="HW80">
        <v>0</v>
      </c>
      <c r="HX80">
        <v>0</v>
      </c>
      <c r="HY80" t="s">
        <v>422</v>
      </c>
      <c r="HZ80" t="s">
        <v>423</v>
      </c>
      <c r="IA80" t="s">
        <v>424</v>
      </c>
      <c r="IB80" t="s">
        <v>424</v>
      </c>
      <c r="IC80" t="s">
        <v>424</v>
      </c>
      <c r="ID80" t="s">
        <v>424</v>
      </c>
      <c r="IE80">
        <v>0</v>
      </c>
      <c r="IF80">
        <v>100</v>
      </c>
      <c r="IG80">
        <v>100</v>
      </c>
      <c r="IH80">
        <v>-1.552</v>
      </c>
      <c r="II80">
        <v>0.38169999999999998</v>
      </c>
      <c r="IJ80">
        <v>-0.81831156258063231</v>
      </c>
      <c r="IK80">
        <v>-2.677719669153116E-3</v>
      </c>
      <c r="IL80">
        <v>1.9353498771248068E-6</v>
      </c>
      <c r="IM80">
        <v>-6.1862177325538213E-10</v>
      </c>
      <c r="IN80">
        <v>-0.23142346149506279</v>
      </c>
      <c r="IO80">
        <v>-1.5299015507423901E-2</v>
      </c>
      <c r="IP80">
        <v>1.742162107778985E-3</v>
      </c>
      <c r="IQ80">
        <v>-1.472690239905804E-5</v>
      </c>
      <c r="IR80">
        <v>3</v>
      </c>
      <c r="IS80">
        <v>2255</v>
      </c>
      <c r="IT80">
        <v>2</v>
      </c>
      <c r="IU80">
        <v>41</v>
      </c>
      <c r="IV80">
        <v>1.9</v>
      </c>
      <c r="IW80">
        <v>1.9</v>
      </c>
      <c r="IX80">
        <v>0.96435499999999996</v>
      </c>
      <c r="IY80">
        <v>2.5451700000000002</v>
      </c>
      <c r="IZ80">
        <v>1.6003400000000001</v>
      </c>
      <c r="JA80">
        <v>2.2619600000000002</v>
      </c>
      <c r="JB80">
        <v>1.5502899999999999</v>
      </c>
      <c r="JC80">
        <v>2.2534200000000002</v>
      </c>
      <c r="JD80">
        <v>42.271000000000001</v>
      </c>
      <c r="JE80">
        <v>15.5768</v>
      </c>
      <c r="JF80">
        <v>18</v>
      </c>
      <c r="JG80">
        <v>501.46800000000002</v>
      </c>
      <c r="JH80">
        <v>455.89600000000002</v>
      </c>
      <c r="JI80">
        <v>24.7697</v>
      </c>
      <c r="JJ80">
        <v>34.037500000000001</v>
      </c>
      <c r="JK80">
        <v>30.000299999999999</v>
      </c>
      <c r="JL80">
        <v>34.008899999999997</v>
      </c>
      <c r="JM80">
        <v>33.983199999999997</v>
      </c>
      <c r="JN80">
        <v>19.34</v>
      </c>
      <c r="JO80">
        <v>26.354099999999999</v>
      </c>
      <c r="JP80">
        <v>26.8996</v>
      </c>
      <c r="JQ80">
        <v>24.770199999999999</v>
      </c>
      <c r="JR80">
        <v>400</v>
      </c>
      <c r="JS80">
        <v>22.773900000000001</v>
      </c>
      <c r="JT80">
        <v>98.855400000000003</v>
      </c>
      <c r="JU80">
        <v>98.418599999999998</v>
      </c>
    </row>
    <row r="81" spans="1:281" x14ac:dyDescent="0.25">
      <c r="A81">
        <v>65</v>
      </c>
      <c r="B81">
        <v>1693337419.5</v>
      </c>
      <c r="C81">
        <v>15122.400000095369</v>
      </c>
      <c r="D81" t="s">
        <v>747</v>
      </c>
      <c r="E81" t="s">
        <v>748</v>
      </c>
      <c r="F81" t="s">
        <v>413</v>
      </c>
      <c r="G81" t="s">
        <v>564</v>
      </c>
      <c r="H81" t="s">
        <v>708</v>
      </c>
      <c r="I81" t="s">
        <v>415</v>
      </c>
      <c r="J81">
        <v>1693337419.5</v>
      </c>
      <c r="K81">
        <f t="shared" ref="K81:K112" si="92">(L81)/1000</f>
        <v>4.8498037982071833E-3</v>
      </c>
      <c r="L81">
        <f t="shared" ref="L81:L112" si="93">1000*DL81*AJ81*(DH81-DI81)/(100*DA81*(1000-AJ81*DH81))</f>
        <v>4.8498037982071835</v>
      </c>
      <c r="M81">
        <f t="shared" ref="M81:M112" si="94">DL81*AJ81*(DG81-DF81*(1000-AJ81*DI81)/(1000-AJ81*DH81))/(100*DA81)</f>
        <v>41.781702828215515</v>
      </c>
      <c r="N81">
        <f t="shared" ref="N81:N112" si="95">DF81 - IF(AJ81&gt;1, M81*DA81*100/(AL81*DT81), 0)</f>
        <v>347.93200000000002</v>
      </c>
      <c r="O81">
        <f t="shared" ref="O81:O112" si="96">((U81-K81/2)*N81-M81)/(U81+K81/2)</f>
        <v>134.57623855008345</v>
      </c>
      <c r="P81">
        <f t="shared" ref="P81:P112" si="97">O81*(DM81+DN81)/1000</f>
        <v>13.315567869119649</v>
      </c>
      <c r="Q81">
        <f t="shared" ref="Q81:Q112" si="98">(DF81 - IF(AJ81&gt;1, M81*DA81*100/(AL81*DT81), 0))*(DM81+DN81)/1000</f>
        <v>34.42592993944001</v>
      </c>
      <c r="R81">
        <f t="shared" ref="R81:R112" si="99">2/((1/T81-1/S81)+SIGN(T81)*SQRT((1/T81-1/S81)*(1/T81-1/S81) + 4*DB81/((DB81+1)*(DB81+1))*(2*1/T81*1/S81-1/S81*1/S81)))</f>
        <v>0.33999393769550934</v>
      </c>
      <c r="S81">
        <f t="shared" ref="S81:S112" si="100">IF(LEFT(DC81,1)&lt;&gt;"0",IF(LEFT(DC81,1)="1",3,DD81),$D$5+$E$5*(DT81*DM81/($K$5*1000))+$F$5*(DT81*DM81/($K$5*1000))*MAX(MIN(DA81,$J$5),$I$5)*MAX(MIN(DA81,$J$5),$I$5)+$G$5*MAX(MIN(DA81,$J$5),$I$5)*(DT81*DM81/($K$5*1000))+$H$5*(DT81*DM81/($K$5*1000))*(DT81*DM81/($K$5*1000)))</f>
        <v>2.8995579808532077</v>
      </c>
      <c r="T81">
        <f t="shared" ref="T81:T112" si="101">K81*(1000-(1000*0.61365*EXP(17.502*X81/(240.97+X81))/(DM81+DN81)+DH81)/2)/(1000*0.61365*EXP(17.502*X81/(240.97+X81))/(DM81+DN81)-DH81)</f>
        <v>0.31929704100801659</v>
      </c>
      <c r="U81">
        <f t="shared" ref="U81:U112" si="102">1/((DB81+1)/(R81/1.6)+1/(S81/1.37)) + DB81/((DB81+1)/(R81/1.6) + DB81/(S81/1.37))</f>
        <v>0.20131510712585701</v>
      </c>
      <c r="V81">
        <f t="shared" ref="V81:V112" si="103">(CW81*CZ81)</f>
        <v>344.38140065831158</v>
      </c>
      <c r="W81">
        <f t="shared" ref="W81:W112" si="104">(DO81+(V81+2*0.95*0.0000000567*(((DO81+$B$7)+273)^4-(DO81+273)^4)-44100*K81)/(1.84*29.3*S81+8*0.95*0.0000000567*(DO81+273)^3))</f>
        <v>30.917115028018106</v>
      </c>
      <c r="X81">
        <f t="shared" ref="X81:X112" si="105">($C$7*DP81+$D$7*DQ81+$E$7*W81)</f>
        <v>29.947800000000001</v>
      </c>
      <c r="Y81">
        <f t="shared" ref="Y81:Y112" si="106">0.61365*EXP(17.502*X81/(240.97+X81))</f>
        <v>4.247692235982262</v>
      </c>
      <c r="Z81">
        <f t="shared" ref="Z81:Z112" si="107">(AA81/AB81*100)</f>
        <v>65.149189212738221</v>
      </c>
      <c r="AA81">
        <f t="shared" ref="AA81:AA112" si="108">DH81*(DM81+DN81)/1000</f>
        <v>2.7983361919980001</v>
      </c>
      <c r="AB81">
        <f t="shared" ref="AB81:AB112" si="109">0.61365*EXP(17.502*DO81/(240.97+DO81))</f>
        <v>4.29527401002691</v>
      </c>
      <c r="AC81">
        <f t="shared" ref="AC81:AC112" si="110">(Y81-DH81*(DM81+DN81)/1000)</f>
        <v>1.4493560439842619</v>
      </c>
      <c r="AD81">
        <f t="shared" ref="AD81:AD112" si="111">(-K81*44100)</f>
        <v>-213.87634750093679</v>
      </c>
      <c r="AE81">
        <f t="shared" ref="AE81:AE112" si="112">2*29.3*S81*0.92*(DO81-X81)</f>
        <v>30.326268153568932</v>
      </c>
      <c r="AF81">
        <f t="shared" ref="AF81:AF112" si="113">2*0.95*0.0000000567*(((DO81+$B$7)+273)^4-(X81+273)^4)</f>
        <v>2.3265850570185225</v>
      </c>
      <c r="AG81">
        <f t="shared" ref="AG81:AG112" si="114">V81+AF81+AD81+AE81</f>
        <v>163.15790636796225</v>
      </c>
      <c r="AH81">
        <v>1</v>
      </c>
      <c r="AI81">
        <v>0</v>
      </c>
      <c r="AJ81">
        <f t="shared" ref="AJ81:AJ112" si="115">IF(AH81*$H$13&gt;=AL81,1,(AL81/(AL81-AH81*$H$13)))</f>
        <v>1</v>
      </c>
      <c r="AK81">
        <f t="shared" ref="AK81:AK112" si="116">(AJ81-1)*100</f>
        <v>0</v>
      </c>
      <c r="AL81">
        <f t="shared" ref="AL81:AL112" si="117">MAX(0,($B$13+$C$13*DT81)/(1+$D$13*DT81)*DM81/(DO81+273)*$E$13)</f>
        <v>51451.041851451497</v>
      </c>
      <c r="AM81" t="s">
        <v>416</v>
      </c>
      <c r="AN81">
        <v>10238.9</v>
      </c>
      <c r="AO81">
        <v>302.21199999999999</v>
      </c>
      <c r="AP81">
        <v>4052.3</v>
      </c>
      <c r="AQ81">
        <f t="shared" ref="AQ81:AQ112" si="118">1-AO81/AP81</f>
        <v>0.92542210596451402</v>
      </c>
      <c r="AR81">
        <v>-0.32343011824092421</v>
      </c>
      <c r="AS81" t="s">
        <v>749</v>
      </c>
      <c r="AT81">
        <v>10515.6</v>
      </c>
      <c r="AU81">
        <v>709.80032000000006</v>
      </c>
      <c r="AV81">
        <v>1046.246631606072</v>
      </c>
      <c r="AW81">
        <f t="shared" ref="AW81:AW112" si="119">1-AU81/AV81</f>
        <v>0.32157457089214236</v>
      </c>
      <c r="AX81">
        <v>0.5</v>
      </c>
      <c r="AY81">
        <f t="shared" ref="AY81:AY112" si="120">CX81</f>
        <v>1513.2354003291557</v>
      </c>
      <c r="AZ81">
        <f t="shared" ref="AZ81:AZ112" si="121">M81</f>
        <v>41.781702828215515</v>
      </c>
      <c r="BA81">
        <f t="shared" ref="BA81:BA112" si="122">AW81*AX81*AY81</f>
        <v>243.30901225982376</v>
      </c>
      <c r="BB81">
        <f t="shared" ref="BB81:BB112" si="123">(AZ81-AR81)/AY81</f>
        <v>2.7824575698729898E-2</v>
      </c>
      <c r="BC81">
        <f t="shared" ref="BC81:BC112" si="124">(AP81-AV81)/AV81</f>
        <v>2.8731785389639888</v>
      </c>
      <c r="BD81">
        <f t="shared" ref="BD81:BD112" si="125">AO81/(AQ81+AO81/AV81)</f>
        <v>248.88254268569241</v>
      </c>
      <c r="BE81" t="s">
        <v>750</v>
      </c>
      <c r="BF81">
        <v>567.12</v>
      </c>
      <c r="BG81">
        <f t="shared" ref="BG81:BG112" si="126">IF(BF81&lt;&gt;0, BF81, BD81)</f>
        <v>567.12</v>
      </c>
      <c r="BH81">
        <f t="shared" ref="BH81:BH112" si="127">1-BG81/AV81</f>
        <v>0.45794807565647733</v>
      </c>
      <c r="BI81">
        <f t="shared" ref="BI81:BI112" si="128">(AV81-AU81)/(AV81-BG81)</f>
        <v>0.7022074946622695</v>
      </c>
      <c r="BJ81">
        <f t="shared" ref="BJ81:BJ112" si="129">(AP81-AV81)/(AP81-BG81)</f>
        <v>0.86252456641950437</v>
      </c>
      <c r="BK81">
        <f t="shared" ref="BK81:BK112" si="130">(AV81-AU81)/(AV81-AO81)</f>
        <v>0.45219173586022393</v>
      </c>
      <c r="BL81">
        <f t="shared" ref="BL81:BL112" si="131">(AP81-AV81)/(AP81-AO81)</f>
        <v>0.80159542079917279</v>
      </c>
      <c r="BM81">
        <f t="shared" ref="BM81:BM112" si="132">(BI81*BG81/AU81)</f>
        <v>0.56105344440090732</v>
      </c>
      <c r="BN81">
        <f t="shared" ref="BN81:BN112" si="133">(1-BM81)</f>
        <v>0.43894655559909268</v>
      </c>
      <c r="BO81">
        <v>5592</v>
      </c>
      <c r="BP81">
        <v>290.00000000000011</v>
      </c>
      <c r="BQ81">
        <v>950.84</v>
      </c>
      <c r="BR81">
        <v>215</v>
      </c>
      <c r="BS81">
        <v>10515.6</v>
      </c>
      <c r="BT81">
        <v>949.38</v>
      </c>
      <c r="BU81">
        <v>1.46</v>
      </c>
      <c r="BV81">
        <v>300.00000000000011</v>
      </c>
      <c r="BW81">
        <v>38.200000000000003</v>
      </c>
      <c r="BX81">
        <v>1046.246631606072</v>
      </c>
      <c r="BY81">
        <v>1.138223404914894</v>
      </c>
      <c r="BZ81">
        <v>-101.8647883267102</v>
      </c>
      <c r="CA81">
        <v>0.97993003438238346</v>
      </c>
      <c r="CB81">
        <v>0.9974155025450655</v>
      </c>
      <c r="CC81">
        <v>-1.1417115016685211E-2</v>
      </c>
      <c r="CD81">
        <v>289.99999999999989</v>
      </c>
      <c r="CE81">
        <v>937.9</v>
      </c>
      <c r="CF81">
        <v>635</v>
      </c>
      <c r="CG81">
        <v>10493.6</v>
      </c>
      <c r="CH81">
        <v>949.17</v>
      </c>
      <c r="CI81">
        <v>-11.27</v>
      </c>
      <c r="CW81">
        <f t="shared" ref="CW81:CW112" si="134">$B$11*DU81+$C$11*DV81+$F$11*EG81*(1-EJ81)</f>
        <v>1800.06</v>
      </c>
      <c r="CX81">
        <f t="shared" ref="CX81:CX112" si="135">CW81*CY81</f>
        <v>1513.2354003291557</v>
      </c>
      <c r="CY81">
        <f t="shared" ref="CY81:CY112" si="136">($B$11*$D$9+$C$11*$D$9+$F$11*((ET81+EL81)/MAX(ET81+EL81+EU81, 0.1)*$I$9+EU81/MAX(ET81+EL81+EU81, 0.1)*$J$9))/($B$11+$C$11+$F$11)</f>
        <v>0.84065831157247861</v>
      </c>
      <c r="CZ81">
        <f t="shared" ref="CZ81:CZ112" si="137">($B$11*$K$9+$C$11*$K$9+$F$11*((ET81+EL81)/MAX(ET81+EL81+EU81, 0.1)*$P$9+EU81/MAX(ET81+EL81+EU81, 0.1)*$Q$9))/($B$11+$C$11+$F$11)</f>
        <v>0.19131662314495715</v>
      </c>
      <c r="DA81">
        <v>6</v>
      </c>
      <c r="DB81">
        <v>0.5</v>
      </c>
      <c r="DC81" t="s">
        <v>419</v>
      </c>
      <c r="DD81">
        <v>2</v>
      </c>
      <c r="DE81">
        <v>1693337419.5</v>
      </c>
      <c r="DF81">
        <v>347.93200000000002</v>
      </c>
      <c r="DG81">
        <v>400.05</v>
      </c>
      <c r="DH81">
        <v>28.2819</v>
      </c>
      <c r="DI81">
        <v>22.631599999999999</v>
      </c>
      <c r="DJ81">
        <v>349.46499999999997</v>
      </c>
      <c r="DK81">
        <v>27.9054</v>
      </c>
      <c r="DL81">
        <v>500.43099999999998</v>
      </c>
      <c r="DM81">
        <v>98.843800000000002</v>
      </c>
      <c r="DN81">
        <v>0.10062</v>
      </c>
      <c r="DO81">
        <v>30.1418</v>
      </c>
      <c r="DP81">
        <v>29.947800000000001</v>
      </c>
      <c r="DQ81">
        <v>999.9</v>
      </c>
      <c r="DR81">
        <v>0</v>
      </c>
      <c r="DS81">
        <v>0</v>
      </c>
      <c r="DT81">
        <v>9945</v>
      </c>
      <c r="DU81">
        <v>0</v>
      </c>
      <c r="DV81">
        <v>1430.23</v>
      </c>
      <c r="DW81">
        <v>-52.118299999999998</v>
      </c>
      <c r="DX81">
        <v>358.05900000000003</v>
      </c>
      <c r="DY81">
        <v>409.31400000000002</v>
      </c>
      <c r="DZ81">
        <v>5.6503699999999997</v>
      </c>
      <c r="EA81">
        <v>400.05</v>
      </c>
      <c r="EB81">
        <v>22.631599999999999</v>
      </c>
      <c r="EC81">
        <v>2.79549</v>
      </c>
      <c r="ED81">
        <v>2.23699</v>
      </c>
      <c r="EE81">
        <v>22.857500000000002</v>
      </c>
      <c r="EF81">
        <v>19.229700000000001</v>
      </c>
      <c r="EG81">
        <v>1800.06</v>
      </c>
      <c r="EH81">
        <v>0.97799400000000003</v>
      </c>
      <c r="EI81">
        <v>2.2006100000000001E-2</v>
      </c>
      <c r="EJ81">
        <v>0</v>
      </c>
      <c r="EK81">
        <v>711.02700000000004</v>
      </c>
      <c r="EL81">
        <v>4.9995000000000003</v>
      </c>
      <c r="EM81">
        <v>13647.2</v>
      </c>
      <c r="EN81">
        <v>16660.3</v>
      </c>
      <c r="EO81">
        <v>46.686999999999998</v>
      </c>
      <c r="EP81">
        <v>48.375</v>
      </c>
      <c r="EQ81">
        <v>47.5</v>
      </c>
      <c r="ER81">
        <v>47.436999999999998</v>
      </c>
      <c r="ES81">
        <v>48.061999999999998</v>
      </c>
      <c r="ET81">
        <v>1755.56</v>
      </c>
      <c r="EU81">
        <v>39.5</v>
      </c>
      <c r="EV81">
        <v>0</v>
      </c>
      <c r="EW81">
        <v>140.60000014305109</v>
      </c>
      <c r="EX81">
        <v>0</v>
      </c>
      <c r="EY81">
        <v>709.80032000000006</v>
      </c>
      <c r="EZ81">
        <v>11.78130766809166</v>
      </c>
      <c r="FA81">
        <v>235.75384573648569</v>
      </c>
      <c r="FB81">
        <v>13619.968000000001</v>
      </c>
      <c r="FC81">
        <v>15</v>
      </c>
      <c r="FD81">
        <v>1693337353</v>
      </c>
      <c r="FE81" t="s">
        <v>751</v>
      </c>
      <c r="FF81">
        <v>1693337347.5</v>
      </c>
      <c r="FG81">
        <v>1693337353</v>
      </c>
      <c r="FH81">
        <v>71</v>
      </c>
      <c r="FI81">
        <v>1.0999999999999999E-2</v>
      </c>
      <c r="FJ81">
        <v>-2E-3</v>
      </c>
      <c r="FK81">
        <v>-1.61</v>
      </c>
      <c r="FL81">
        <v>0.13300000000000001</v>
      </c>
      <c r="FM81">
        <v>400</v>
      </c>
      <c r="FN81">
        <v>23</v>
      </c>
      <c r="FO81">
        <v>0.1</v>
      </c>
      <c r="FP81">
        <v>0.04</v>
      </c>
      <c r="FQ81">
        <v>41.536839288190087</v>
      </c>
      <c r="FR81">
        <v>0.65902554106052069</v>
      </c>
      <c r="FS81">
        <v>8.9950101414161571E-2</v>
      </c>
      <c r="FT81">
        <v>1</v>
      </c>
      <c r="FU81">
        <v>0.34082732266711802</v>
      </c>
      <c r="FV81">
        <v>-3.1915410570110899E-3</v>
      </c>
      <c r="FW81">
        <v>6.0281743982495072E-4</v>
      </c>
      <c r="FX81">
        <v>1</v>
      </c>
      <c r="FY81">
        <v>2</v>
      </c>
      <c r="FZ81">
        <v>2</v>
      </c>
      <c r="GA81" t="s">
        <v>421</v>
      </c>
      <c r="GB81">
        <v>2.9686699999999999</v>
      </c>
      <c r="GC81">
        <v>2.8118400000000001</v>
      </c>
      <c r="GD81">
        <v>8.6187299999999994E-2</v>
      </c>
      <c r="GE81">
        <v>9.4791799999999996E-2</v>
      </c>
      <c r="GF81">
        <v>0.13239100000000001</v>
      </c>
      <c r="GG81">
        <v>0.112744</v>
      </c>
      <c r="GH81">
        <v>26907.1</v>
      </c>
      <c r="GI81">
        <v>24541</v>
      </c>
      <c r="GJ81">
        <v>26474.3</v>
      </c>
      <c r="GK81">
        <v>25590.3</v>
      </c>
      <c r="GL81">
        <v>31263.1</v>
      </c>
      <c r="GM81">
        <v>32014.5</v>
      </c>
      <c r="GN81">
        <v>37475.699999999997</v>
      </c>
      <c r="GO81">
        <v>37893.199999999997</v>
      </c>
      <c r="GP81">
        <v>1.9311</v>
      </c>
      <c r="GQ81">
        <v>1.9086000000000001</v>
      </c>
      <c r="GR81">
        <v>4.2170300000000001E-3</v>
      </c>
      <c r="GS81">
        <v>0</v>
      </c>
      <c r="GT81">
        <v>29.879200000000001</v>
      </c>
      <c r="GU81">
        <v>999.9</v>
      </c>
      <c r="GV81">
        <v>34.799999999999997</v>
      </c>
      <c r="GW81">
        <v>41.2</v>
      </c>
      <c r="GX81">
        <v>27.8215</v>
      </c>
      <c r="GY81">
        <v>61.577199999999998</v>
      </c>
      <c r="GZ81">
        <v>12.255599999999999</v>
      </c>
      <c r="HA81">
        <v>1</v>
      </c>
      <c r="HB81">
        <v>0.54460399999999998</v>
      </c>
      <c r="HC81">
        <v>3.2335099999999999</v>
      </c>
      <c r="HD81">
        <v>20.274799999999999</v>
      </c>
      <c r="HE81">
        <v>5.2100999999999997</v>
      </c>
      <c r="HF81">
        <v>11.9381</v>
      </c>
      <c r="HG81">
        <v>4.9871999999999996</v>
      </c>
      <c r="HH81">
        <v>3.2909000000000002</v>
      </c>
      <c r="HI81">
        <v>9999</v>
      </c>
      <c r="HJ81">
        <v>9999</v>
      </c>
      <c r="HK81">
        <v>9999</v>
      </c>
      <c r="HL81">
        <v>999.9</v>
      </c>
      <c r="HM81">
        <v>1.8703399999999999</v>
      </c>
      <c r="HN81">
        <v>1.87653</v>
      </c>
      <c r="HO81">
        <v>1.8742399999999999</v>
      </c>
      <c r="HP81">
        <v>1.8725499999999999</v>
      </c>
      <c r="HQ81">
        <v>1.873</v>
      </c>
      <c r="HR81">
        <v>1.87042</v>
      </c>
      <c r="HS81">
        <v>1.87622</v>
      </c>
      <c r="HT81">
        <v>1.8754599999999999</v>
      </c>
      <c r="HU81">
        <v>5</v>
      </c>
      <c r="HV81">
        <v>0</v>
      </c>
      <c r="HW81">
        <v>0</v>
      </c>
      <c r="HX81">
        <v>0</v>
      </c>
      <c r="HY81" t="s">
        <v>422</v>
      </c>
      <c r="HZ81" t="s">
        <v>423</v>
      </c>
      <c r="IA81" t="s">
        <v>424</v>
      </c>
      <c r="IB81" t="s">
        <v>424</v>
      </c>
      <c r="IC81" t="s">
        <v>424</v>
      </c>
      <c r="ID81" t="s">
        <v>424</v>
      </c>
      <c r="IE81">
        <v>0</v>
      </c>
      <c r="IF81">
        <v>100</v>
      </c>
      <c r="IG81">
        <v>100</v>
      </c>
      <c r="IH81">
        <v>-1.5329999999999999</v>
      </c>
      <c r="II81">
        <v>0.3765</v>
      </c>
      <c r="IJ81">
        <v>-0.80685527654213285</v>
      </c>
      <c r="IK81">
        <v>-2.677719669153116E-3</v>
      </c>
      <c r="IL81">
        <v>1.9353498771248068E-6</v>
      </c>
      <c r="IM81">
        <v>-6.1862177325538213E-10</v>
      </c>
      <c r="IN81">
        <v>-0.23315230604929851</v>
      </c>
      <c r="IO81">
        <v>-1.5299015507423901E-2</v>
      </c>
      <c r="IP81">
        <v>1.742162107778985E-3</v>
      </c>
      <c r="IQ81">
        <v>-1.472690239905804E-5</v>
      </c>
      <c r="IR81">
        <v>3</v>
      </c>
      <c r="IS81">
        <v>2255</v>
      </c>
      <c r="IT81">
        <v>2</v>
      </c>
      <c r="IU81">
        <v>41</v>
      </c>
      <c r="IV81">
        <v>1.2</v>
      </c>
      <c r="IW81">
        <v>1.1000000000000001</v>
      </c>
      <c r="IX81">
        <v>0.96435499999999996</v>
      </c>
      <c r="IY81">
        <v>2.5439500000000002</v>
      </c>
      <c r="IZ81">
        <v>1.6003400000000001</v>
      </c>
      <c r="JA81">
        <v>2.2631800000000002</v>
      </c>
      <c r="JB81">
        <v>1.5502899999999999</v>
      </c>
      <c r="JC81">
        <v>2.32056</v>
      </c>
      <c r="JD81">
        <v>42.138599999999997</v>
      </c>
      <c r="JE81">
        <v>15.559200000000001</v>
      </c>
      <c r="JF81">
        <v>18</v>
      </c>
      <c r="JG81">
        <v>501.86200000000002</v>
      </c>
      <c r="JH81">
        <v>456.09</v>
      </c>
      <c r="JI81">
        <v>25.2118</v>
      </c>
      <c r="JJ81">
        <v>34.129899999999999</v>
      </c>
      <c r="JK81">
        <v>30</v>
      </c>
      <c r="JL81">
        <v>34.085599999999999</v>
      </c>
      <c r="JM81">
        <v>34.053400000000003</v>
      </c>
      <c r="JN81">
        <v>19.3249</v>
      </c>
      <c r="JO81">
        <v>27.367799999999999</v>
      </c>
      <c r="JP81">
        <v>26.7714</v>
      </c>
      <c r="JQ81">
        <v>25.248000000000001</v>
      </c>
      <c r="JR81">
        <v>400</v>
      </c>
      <c r="JS81">
        <v>22.690100000000001</v>
      </c>
      <c r="JT81">
        <v>98.840800000000002</v>
      </c>
      <c r="JU81">
        <v>98.401399999999995</v>
      </c>
    </row>
    <row r="82" spans="1:281" x14ac:dyDescent="0.25">
      <c r="A82">
        <v>66</v>
      </c>
      <c r="B82">
        <v>1693337528.5</v>
      </c>
      <c r="C82">
        <v>15231.400000095369</v>
      </c>
      <c r="D82" t="s">
        <v>752</v>
      </c>
      <c r="E82" t="s">
        <v>753</v>
      </c>
      <c r="F82" t="s">
        <v>413</v>
      </c>
      <c r="G82" t="s">
        <v>564</v>
      </c>
      <c r="H82" t="s">
        <v>708</v>
      </c>
      <c r="I82" t="s">
        <v>415</v>
      </c>
      <c r="J82">
        <v>1693337528.5</v>
      </c>
      <c r="K82">
        <f t="shared" si="92"/>
        <v>4.6976249739306567E-3</v>
      </c>
      <c r="L82">
        <f t="shared" si="93"/>
        <v>4.6976249739306564</v>
      </c>
      <c r="M82">
        <f t="shared" si="94"/>
        <v>45.730110396874345</v>
      </c>
      <c r="N82">
        <f t="shared" si="95"/>
        <v>442.70400000000001</v>
      </c>
      <c r="O82">
        <f t="shared" si="96"/>
        <v>200.01924257888533</v>
      </c>
      <c r="P82">
        <f t="shared" si="97"/>
        <v>19.789840054616533</v>
      </c>
      <c r="Q82">
        <f t="shared" si="98"/>
        <v>43.800992537424001</v>
      </c>
      <c r="R82">
        <f t="shared" si="99"/>
        <v>0.32812972417224029</v>
      </c>
      <c r="S82">
        <f t="shared" si="100"/>
        <v>2.9021047113739495</v>
      </c>
      <c r="T82">
        <f t="shared" si="101"/>
        <v>0.30882391750403765</v>
      </c>
      <c r="U82">
        <f t="shared" si="102"/>
        <v>0.19465477468259162</v>
      </c>
      <c r="V82">
        <f t="shared" si="103"/>
        <v>344.32510065808424</v>
      </c>
      <c r="W82">
        <f t="shared" si="104"/>
        <v>31.06132567527623</v>
      </c>
      <c r="X82">
        <f t="shared" si="105"/>
        <v>29.9998</v>
      </c>
      <c r="Y82">
        <f t="shared" si="106"/>
        <v>4.2604008293183089</v>
      </c>
      <c r="Z82">
        <f t="shared" si="107"/>
        <v>65.007106819694755</v>
      </c>
      <c r="AA82">
        <f t="shared" si="108"/>
        <v>2.8091646807287001</v>
      </c>
      <c r="AB82">
        <f t="shared" si="109"/>
        <v>4.3213193420840366</v>
      </c>
      <c r="AC82">
        <f t="shared" si="110"/>
        <v>1.4512361485896088</v>
      </c>
      <c r="AD82">
        <f t="shared" si="111"/>
        <v>-207.16526135034195</v>
      </c>
      <c r="AE82">
        <f t="shared" si="112"/>
        <v>38.707775799978997</v>
      </c>
      <c r="AF82">
        <f t="shared" si="113"/>
        <v>2.9693079383358829</v>
      </c>
      <c r="AG82">
        <f t="shared" si="114"/>
        <v>178.83692304605717</v>
      </c>
      <c r="AH82">
        <v>1</v>
      </c>
      <c r="AI82">
        <v>0</v>
      </c>
      <c r="AJ82">
        <f t="shared" si="115"/>
        <v>1</v>
      </c>
      <c r="AK82">
        <f t="shared" si="116"/>
        <v>0</v>
      </c>
      <c r="AL82">
        <f t="shared" si="117"/>
        <v>51505.202179737098</v>
      </c>
      <c r="AM82" t="s">
        <v>416</v>
      </c>
      <c r="AN82">
        <v>10238.9</v>
      </c>
      <c r="AO82">
        <v>302.21199999999999</v>
      </c>
      <c r="AP82">
        <v>4052.3</v>
      </c>
      <c r="AQ82">
        <f t="shared" si="118"/>
        <v>0.92542210596451402</v>
      </c>
      <c r="AR82">
        <v>-0.32343011824092421</v>
      </c>
      <c r="AS82" t="s">
        <v>754</v>
      </c>
      <c r="AT82">
        <v>10525.2</v>
      </c>
      <c r="AU82">
        <v>752.26255999999978</v>
      </c>
      <c r="AV82">
        <v>1146.5087001863139</v>
      </c>
      <c r="AW82">
        <f t="shared" si="119"/>
        <v>0.34386667987974884</v>
      </c>
      <c r="AX82">
        <v>0.5</v>
      </c>
      <c r="AY82">
        <f t="shared" si="120"/>
        <v>1512.9912003290419</v>
      </c>
      <c r="AZ82">
        <f t="shared" si="121"/>
        <v>45.730110396874345</v>
      </c>
      <c r="BA82">
        <f t="shared" si="122"/>
        <v>260.13363037221183</v>
      </c>
      <c r="BB82">
        <f t="shared" si="123"/>
        <v>3.0438736527416448E-2</v>
      </c>
      <c r="BC82">
        <f t="shared" si="124"/>
        <v>2.5344694718334706</v>
      </c>
      <c r="BD82">
        <f t="shared" si="125"/>
        <v>254.16996372903222</v>
      </c>
      <c r="BE82" t="s">
        <v>755</v>
      </c>
      <c r="BF82">
        <v>586.37</v>
      </c>
      <c r="BG82">
        <f t="shared" si="126"/>
        <v>586.37</v>
      </c>
      <c r="BH82">
        <f t="shared" si="127"/>
        <v>0.48856035727883118</v>
      </c>
      <c r="BI82">
        <f t="shared" si="128"/>
        <v>0.70383663913095018</v>
      </c>
      <c r="BJ82">
        <f t="shared" si="129"/>
        <v>0.83838718606944918</v>
      </c>
      <c r="BK82">
        <f t="shared" si="130"/>
        <v>0.46695212725492646</v>
      </c>
      <c r="BL82">
        <f t="shared" si="131"/>
        <v>0.77485949658079656</v>
      </c>
      <c r="BM82">
        <f t="shared" si="132"/>
        <v>0.54862319625107403</v>
      </c>
      <c r="BN82">
        <f t="shared" si="133"/>
        <v>0.45137680374892597</v>
      </c>
      <c r="BO82">
        <v>5594</v>
      </c>
      <c r="BP82">
        <v>290.00000000000011</v>
      </c>
      <c r="BQ82">
        <v>1039.43</v>
      </c>
      <c r="BR82">
        <v>175</v>
      </c>
      <c r="BS82">
        <v>10525.2</v>
      </c>
      <c r="BT82">
        <v>1038.3</v>
      </c>
      <c r="BU82">
        <v>1.1299999999999999</v>
      </c>
      <c r="BV82">
        <v>300.00000000000011</v>
      </c>
      <c r="BW82">
        <v>38.200000000000003</v>
      </c>
      <c r="BX82">
        <v>1146.5087001863139</v>
      </c>
      <c r="BY82">
        <v>1.288694664351169</v>
      </c>
      <c r="BZ82">
        <v>-113.8958932910661</v>
      </c>
      <c r="CA82">
        <v>1.1097043323944491</v>
      </c>
      <c r="CB82">
        <v>0.99734903717884038</v>
      </c>
      <c r="CC82">
        <v>-1.1419551501668511E-2</v>
      </c>
      <c r="CD82">
        <v>289.99999999999989</v>
      </c>
      <c r="CE82">
        <v>1027.94</v>
      </c>
      <c r="CF82">
        <v>665</v>
      </c>
      <c r="CG82">
        <v>10492.6</v>
      </c>
      <c r="CH82">
        <v>1037.96</v>
      </c>
      <c r="CI82">
        <v>-10.02</v>
      </c>
      <c r="CW82">
        <f t="shared" si="134"/>
        <v>1799.77</v>
      </c>
      <c r="CX82">
        <f t="shared" si="135"/>
        <v>1512.9912003290419</v>
      </c>
      <c r="CY82">
        <f t="shared" si="136"/>
        <v>0.84065808427134692</v>
      </c>
      <c r="CZ82">
        <f t="shared" si="137"/>
        <v>0.19131616854269393</v>
      </c>
      <c r="DA82">
        <v>6</v>
      </c>
      <c r="DB82">
        <v>0.5</v>
      </c>
      <c r="DC82" t="s">
        <v>419</v>
      </c>
      <c r="DD82">
        <v>2</v>
      </c>
      <c r="DE82">
        <v>1693337528.5</v>
      </c>
      <c r="DF82">
        <v>442.70400000000001</v>
      </c>
      <c r="DG82">
        <v>500.08100000000002</v>
      </c>
      <c r="DH82">
        <v>28.392700000000001</v>
      </c>
      <c r="DI82">
        <v>22.915099999999999</v>
      </c>
      <c r="DJ82">
        <v>444.30399999999997</v>
      </c>
      <c r="DK82">
        <v>28.0166</v>
      </c>
      <c r="DL82">
        <v>499.95400000000001</v>
      </c>
      <c r="DM82">
        <v>98.839100000000002</v>
      </c>
      <c r="DN82">
        <v>0.100581</v>
      </c>
      <c r="DO82">
        <v>30.247199999999999</v>
      </c>
      <c r="DP82">
        <v>29.9998</v>
      </c>
      <c r="DQ82">
        <v>999.9</v>
      </c>
      <c r="DR82">
        <v>0</v>
      </c>
      <c r="DS82">
        <v>0</v>
      </c>
      <c r="DT82">
        <v>9960</v>
      </c>
      <c r="DU82">
        <v>0</v>
      </c>
      <c r="DV82">
        <v>1403.65</v>
      </c>
      <c r="DW82">
        <v>-57.377000000000002</v>
      </c>
      <c r="DX82">
        <v>455.64</v>
      </c>
      <c r="DY82">
        <v>511.80900000000003</v>
      </c>
      <c r="DZ82">
        <v>5.4775400000000003</v>
      </c>
      <c r="EA82">
        <v>500.08100000000002</v>
      </c>
      <c r="EB82">
        <v>22.915099999999999</v>
      </c>
      <c r="EC82">
        <v>2.8063099999999999</v>
      </c>
      <c r="ED82">
        <v>2.26491</v>
      </c>
      <c r="EE82">
        <v>22.921199999999999</v>
      </c>
      <c r="EF82">
        <v>19.428999999999998</v>
      </c>
      <c r="EG82">
        <v>1799.77</v>
      </c>
      <c r="EH82">
        <v>0.97800399999999998</v>
      </c>
      <c r="EI82">
        <v>2.19957E-2</v>
      </c>
      <c r="EJ82">
        <v>0</v>
      </c>
      <c r="EK82">
        <v>753.62199999999996</v>
      </c>
      <c r="EL82">
        <v>4.9995000000000003</v>
      </c>
      <c r="EM82">
        <v>14393</v>
      </c>
      <c r="EN82">
        <v>16657.7</v>
      </c>
      <c r="EO82">
        <v>46.436999999999998</v>
      </c>
      <c r="EP82">
        <v>48.061999999999998</v>
      </c>
      <c r="EQ82">
        <v>47.311999999999998</v>
      </c>
      <c r="ER82">
        <v>47.125</v>
      </c>
      <c r="ES82">
        <v>47.875</v>
      </c>
      <c r="ET82">
        <v>1755.29</v>
      </c>
      <c r="EU82">
        <v>39.479999999999997</v>
      </c>
      <c r="EV82">
        <v>0</v>
      </c>
      <c r="EW82">
        <v>107</v>
      </c>
      <c r="EX82">
        <v>0</v>
      </c>
      <c r="EY82">
        <v>752.26255999999978</v>
      </c>
      <c r="EZ82">
        <v>7.8157692407631227</v>
      </c>
      <c r="FA82">
        <v>118.1692308773421</v>
      </c>
      <c r="FB82">
        <v>14377.88</v>
      </c>
      <c r="FC82">
        <v>15</v>
      </c>
      <c r="FD82">
        <v>1693337502</v>
      </c>
      <c r="FE82" t="s">
        <v>756</v>
      </c>
      <c r="FF82">
        <v>1693337502</v>
      </c>
      <c r="FG82">
        <v>1693337499</v>
      </c>
      <c r="FH82">
        <v>72</v>
      </c>
      <c r="FI82">
        <v>6.8000000000000005E-2</v>
      </c>
      <c r="FJ82">
        <v>-6.0000000000000001E-3</v>
      </c>
      <c r="FK82">
        <v>-1.673</v>
      </c>
      <c r="FL82">
        <v>0.127</v>
      </c>
      <c r="FM82">
        <v>500</v>
      </c>
      <c r="FN82">
        <v>23</v>
      </c>
      <c r="FO82">
        <v>7.0000000000000007E-2</v>
      </c>
      <c r="FP82">
        <v>0.05</v>
      </c>
      <c r="FQ82">
        <v>45.730993802864283</v>
      </c>
      <c r="FR82">
        <v>-0.58459792113282028</v>
      </c>
      <c r="FS82">
        <v>8.8851951761537068E-2</v>
      </c>
      <c r="FT82">
        <v>1</v>
      </c>
      <c r="FU82">
        <v>0.32993010014303159</v>
      </c>
      <c r="FV82">
        <v>4.9424923637556101E-2</v>
      </c>
      <c r="FW82">
        <v>5.0971600054933383E-3</v>
      </c>
      <c r="FX82">
        <v>1</v>
      </c>
      <c r="FY82">
        <v>2</v>
      </c>
      <c r="FZ82">
        <v>2</v>
      </c>
      <c r="GA82" t="s">
        <v>421</v>
      </c>
      <c r="GB82">
        <v>2.9674200000000002</v>
      </c>
      <c r="GC82">
        <v>2.8119200000000002</v>
      </c>
      <c r="GD82">
        <v>0.103857</v>
      </c>
      <c r="GE82">
        <v>0.112202</v>
      </c>
      <c r="GF82">
        <v>0.13275400000000001</v>
      </c>
      <c r="GG82">
        <v>0.113729</v>
      </c>
      <c r="GH82">
        <v>26386.7</v>
      </c>
      <c r="GI82">
        <v>24069.3</v>
      </c>
      <c r="GJ82">
        <v>26474.5</v>
      </c>
      <c r="GK82">
        <v>25591</v>
      </c>
      <c r="GL82">
        <v>31251.5</v>
      </c>
      <c r="GM82">
        <v>31981.1</v>
      </c>
      <c r="GN82">
        <v>37476.1</v>
      </c>
      <c r="GO82">
        <v>37894.300000000003</v>
      </c>
      <c r="GP82">
        <v>1.9300999999999999</v>
      </c>
      <c r="GQ82">
        <v>1.9113</v>
      </c>
      <c r="GR82">
        <v>2.16067E-2</v>
      </c>
      <c r="GS82">
        <v>0</v>
      </c>
      <c r="GT82">
        <v>29.648099999999999</v>
      </c>
      <c r="GU82">
        <v>999.9</v>
      </c>
      <c r="GV82">
        <v>35.1</v>
      </c>
      <c r="GW82">
        <v>41</v>
      </c>
      <c r="GX82">
        <v>27.765999999999998</v>
      </c>
      <c r="GY82">
        <v>61.837200000000003</v>
      </c>
      <c r="GZ82">
        <v>13.161099999999999</v>
      </c>
      <c r="HA82">
        <v>1</v>
      </c>
      <c r="HB82">
        <v>0.54619899999999999</v>
      </c>
      <c r="HC82">
        <v>3.6039099999999999</v>
      </c>
      <c r="HD82">
        <v>20.2666</v>
      </c>
      <c r="HE82">
        <v>5.2107000000000001</v>
      </c>
      <c r="HF82">
        <v>11.9381</v>
      </c>
      <c r="HG82">
        <v>4.9874000000000001</v>
      </c>
      <c r="HH82">
        <v>3.2909999999999999</v>
      </c>
      <c r="HI82">
        <v>9999</v>
      </c>
      <c r="HJ82">
        <v>9999</v>
      </c>
      <c r="HK82">
        <v>9999</v>
      </c>
      <c r="HL82">
        <v>999.9</v>
      </c>
      <c r="HM82">
        <v>1.8703399999999999</v>
      </c>
      <c r="HN82">
        <v>1.8765099999999999</v>
      </c>
      <c r="HO82">
        <v>1.8742399999999999</v>
      </c>
      <c r="HP82">
        <v>1.8724799999999999</v>
      </c>
      <c r="HQ82">
        <v>1.8730199999999999</v>
      </c>
      <c r="HR82">
        <v>1.87042</v>
      </c>
      <c r="HS82">
        <v>1.87629</v>
      </c>
      <c r="HT82">
        <v>1.8754599999999999</v>
      </c>
      <c r="HU82">
        <v>5</v>
      </c>
      <c r="HV82">
        <v>0</v>
      </c>
      <c r="HW82">
        <v>0</v>
      </c>
      <c r="HX82">
        <v>0</v>
      </c>
      <c r="HY82" t="s">
        <v>422</v>
      </c>
      <c r="HZ82" t="s">
        <v>423</v>
      </c>
      <c r="IA82" t="s">
        <v>424</v>
      </c>
      <c r="IB82" t="s">
        <v>424</v>
      </c>
      <c r="IC82" t="s">
        <v>424</v>
      </c>
      <c r="ID82" t="s">
        <v>424</v>
      </c>
      <c r="IE82">
        <v>0</v>
      </c>
      <c r="IF82">
        <v>100</v>
      </c>
      <c r="IG82">
        <v>100</v>
      </c>
      <c r="IH82">
        <v>-1.6</v>
      </c>
      <c r="II82">
        <v>0.37609999999999999</v>
      </c>
      <c r="IJ82">
        <v>-0.73884503406210156</v>
      </c>
      <c r="IK82">
        <v>-2.677719669153116E-3</v>
      </c>
      <c r="IL82">
        <v>1.9353498771248068E-6</v>
      </c>
      <c r="IM82">
        <v>-6.1862177325538213E-10</v>
      </c>
      <c r="IN82">
        <v>-0.23886792547460381</v>
      </c>
      <c r="IO82">
        <v>-1.5299015507423901E-2</v>
      </c>
      <c r="IP82">
        <v>1.742162107778985E-3</v>
      </c>
      <c r="IQ82">
        <v>-1.472690239905804E-5</v>
      </c>
      <c r="IR82">
        <v>3</v>
      </c>
      <c r="IS82">
        <v>2255</v>
      </c>
      <c r="IT82">
        <v>2</v>
      </c>
      <c r="IU82">
        <v>41</v>
      </c>
      <c r="IV82">
        <v>0.4</v>
      </c>
      <c r="IW82">
        <v>0.5</v>
      </c>
      <c r="IX82">
        <v>1.1511199999999999</v>
      </c>
      <c r="IY82">
        <v>2.5305200000000001</v>
      </c>
      <c r="IZ82">
        <v>1.5991200000000001</v>
      </c>
      <c r="JA82">
        <v>2.2631800000000002</v>
      </c>
      <c r="JB82">
        <v>1.5502899999999999</v>
      </c>
      <c r="JC82">
        <v>2.4401899999999999</v>
      </c>
      <c r="JD82">
        <v>42.0593</v>
      </c>
      <c r="JE82">
        <v>15.532999999999999</v>
      </c>
      <c r="JF82">
        <v>18</v>
      </c>
      <c r="JG82">
        <v>501.21199999999999</v>
      </c>
      <c r="JH82">
        <v>457.78199999999998</v>
      </c>
      <c r="JI82">
        <v>25.552199999999999</v>
      </c>
      <c r="JJ82">
        <v>34.107300000000002</v>
      </c>
      <c r="JK82">
        <v>29.9999</v>
      </c>
      <c r="JL82">
        <v>34.085599999999999</v>
      </c>
      <c r="JM82">
        <v>34.053400000000003</v>
      </c>
      <c r="JN82">
        <v>23.0733</v>
      </c>
      <c r="JO82">
        <v>25.451599999999999</v>
      </c>
      <c r="JP82">
        <v>26.6675</v>
      </c>
      <c r="JQ82">
        <v>25.580300000000001</v>
      </c>
      <c r="JR82">
        <v>500</v>
      </c>
      <c r="JS82">
        <v>22.951599999999999</v>
      </c>
      <c r="JT82">
        <v>98.841800000000006</v>
      </c>
      <c r="JU82">
        <v>98.404300000000006</v>
      </c>
    </row>
    <row r="83" spans="1:281" x14ac:dyDescent="0.25">
      <c r="A83">
        <v>67</v>
      </c>
      <c r="B83">
        <v>1693337632.5</v>
      </c>
      <c r="C83">
        <v>15335.400000095369</v>
      </c>
      <c r="D83" t="s">
        <v>757</v>
      </c>
      <c r="E83" t="s">
        <v>758</v>
      </c>
      <c r="F83" t="s">
        <v>413</v>
      </c>
      <c r="G83" t="s">
        <v>564</v>
      </c>
      <c r="H83" t="s">
        <v>708</v>
      </c>
      <c r="I83" t="s">
        <v>415</v>
      </c>
      <c r="J83">
        <v>1693337632.5</v>
      </c>
      <c r="K83">
        <f t="shared" si="92"/>
        <v>4.5900934911916689E-3</v>
      </c>
      <c r="L83">
        <f t="shared" si="93"/>
        <v>4.5900934911916691</v>
      </c>
      <c r="M83">
        <f t="shared" si="94"/>
        <v>47.577816195219974</v>
      </c>
      <c r="N83">
        <f t="shared" si="95"/>
        <v>639.43399999999997</v>
      </c>
      <c r="O83">
        <f t="shared" si="96"/>
        <v>379.155505739246</v>
      </c>
      <c r="P83">
        <f t="shared" si="97"/>
        <v>37.513994181750782</v>
      </c>
      <c r="Q83">
        <f t="shared" si="98"/>
        <v>63.266187599845999</v>
      </c>
      <c r="R83">
        <f t="shared" si="99"/>
        <v>0.32297850658470922</v>
      </c>
      <c r="S83">
        <f t="shared" si="100"/>
        <v>2.9100098161690884</v>
      </c>
      <c r="T83">
        <f t="shared" si="101"/>
        <v>0.30430323915513124</v>
      </c>
      <c r="U83">
        <f t="shared" si="102"/>
        <v>0.19177737625705712</v>
      </c>
      <c r="V83">
        <f t="shared" si="103"/>
        <v>344.36370065817783</v>
      </c>
      <c r="W83">
        <f t="shared" si="104"/>
        <v>31.154836558048039</v>
      </c>
      <c r="X83">
        <f t="shared" si="105"/>
        <v>30.025500000000001</v>
      </c>
      <c r="Y83">
        <f t="shared" si="106"/>
        <v>4.2666940336134118</v>
      </c>
      <c r="Z83">
        <f t="shared" si="107"/>
        <v>65.185956413234251</v>
      </c>
      <c r="AA83">
        <f t="shared" si="108"/>
        <v>2.8277809354795003</v>
      </c>
      <c r="AB83">
        <f t="shared" si="109"/>
        <v>4.3380217014126616</v>
      </c>
      <c r="AC83">
        <f t="shared" si="110"/>
        <v>1.4389130981339116</v>
      </c>
      <c r="AD83">
        <f t="shared" si="111"/>
        <v>-202.42312296155259</v>
      </c>
      <c r="AE83">
        <f t="shared" si="112"/>
        <v>45.339605821489656</v>
      </c>
      <c r="AF83">
        <f t="shared" si="113"/>
        <v>3.4701900788731157</v>
      </c>
      <c r="AG83">
        <f t="shared" si="114"/>
        <v>190.75037359698797</v>
      </c>
      <c r="AH83">
        <v>1</v>
      </c>
      <c r="AI83">
        <v>0</v>
      </c>
      <c r="AJ83">
        <f t="shared" si="115"/>
        <v>1</v>
      </c>
      <c r="AK83">
        <f t="shared" si="116"/>
        <v>0</v>
      </c>
      <c r="AL83">
        <f t="shared" si="117"/>
        <v>51717.93731766018</v>
      </c>
      <c r="AM83" t="s">
        <v>416</v>
      </c>
      <c r="AN83">
        <v>10238.9</v>
      </c>
      <c r="AO83">
        <v>302.21199999999999</v>
      </c>
      <c r="AP83">
        <v>4052.3</v>
      </c>
      <c r="AQ83">
        <f t="shared" si="118"/>
        <v>0.92542210596451402</v>
      </c>
      <c r="AR83">
        <v>-0.32343011824092421</v>
      </c>
      <c r="AS83" t="s">
        <v>759</v>
      </c>
      <c r="AT83">
        <v>10513.2</v>
      </c>
      <c r="AU83">
        <v>770.97515384615383</v>
      </c>
      <c r="AV83">
        <v>1198.4859253951131</v>
      </c>
      <c r="AW83">
        <f t="shared" si="119"/>
        <v>0.35670904638118206</v>
      </c>
      <c r="AX83">
        <v>0.5</v>
      </c>
      <c r="AY83">
        <f t="shared" si="120"/>
        <v>1513.159500329089</v>
      </c>
      <c r="AZ83">
        <f t="shared" si="121"/>
        <v>47.577816195219974</v>
      </c>
      <c r="BA83">
        <f t="shared" si="122"/>
        <v>269.87884119250765</v>
      </c>
      <c r="BB83">
        <f t="shared" si="123"/>
        <v>3.1656442234307164E-2</v>
      </c>
      <c r="BC83">
        <f t="shared" si="124"/>
        <v>2.3811828025131381</v>
      </c>
      <c r="BD83">
        <f t="shared" si="125"/>
        <v>256.63740589392251</v>
      </c>
      <c r="BE83" t="s">
        <v>760</v>
      </c>
      <c r="BF83">
        <v>592.69000000000005</v>
      </c>
      <c r="BG83">
        <f t="shared" si="126"/>
        <v>592.69000000000005</v>
      </c>
      <c r="BH83">
        <f t="shared" si="127"/>
        <v>0.50546770100399474</v>
      </c>
      <c r="BI83">
        <f t="shared" si="128"/>
        <v>0.70570096896925749</v>
      </c>
      <c r="BJ83">
        <f t="shared" si="129"/>
        <v>0.8248947351305167</v>
      </c>
      <c r="BK83">
        <f t="shared" si="130"/>
        <v>0.47698673300185046</v>
      </c>
      <c r="BL83">
        <f t="shared" si="131"/>
        <v>0.76099922844607559</v>
      </c>
      <c r="BM83">
        <f t="shared" si="132"/>
        <v>0.54251022904150858</v>
      </c>
      <c r="BN83">
        <f t="shared" si="133"/>
        <v>0.45748977095849142</v>
      </c>
      <c r="BO83">
        <v>5596</v>
      </c>
      <c r="BP83">
        <v>290.00000000000011</v>
      </c>
      <c r="BQ83">
        <v>1080.96</v>
      </c>
      <c r="BR83">
        <v>225</v>
      </c>
      <c r="BS83">
        <v>10513.2</v>
      </c>
      <c r="BT83">
        <v>1080.3499999999999</v>
      </c>
      <c r="BU83">
        <v>0.61</v>
      </c>
      <c r="BV83">
        <v>300.00000000000011</v>
      </c>
      <c r="BW83">
        <v>38.200000000000003</v>
      </c>
      <c r="BX83">
        <v>1198.4859253951131</v>
      </c>
      <c r="BY83">
        <v>1.21244097896627</v>
      </c>
      <c r="BZ83">
        <v>-124.19474508361699</v>
      </c>
      <c r="CA83">
        <v>1.043748698178641</v>
      </c>
      <c r="CB83">
        <v>0.99802628036499907</v>
      </c>
      <c r="CC83">
        <v>-1.14167530589544E-2</v>
      </c>
      <c r="CD83">
        <v>289.99999999999989</v>
      </c>
      <c r="CE83">
        <v>1069.48</v>
      </c>
      <c r="CF83">
        <v>655</v>
      </c>
      <c r="CG83">
        <v>10490.8</v>
      </c>
      <c r="CH83">
        <v>1080.0999999999999</v>
      </c>
      <c r="CI83">
        <v>-10.62</v>
      </c>
      <c r="CW83">
        <f t="shared" si="134"/>
        <v>1799.97</v>
      </c>
      <c r="CX83">
        <f t="shared" si="135"/>
        <v>1513.159500329089</v>
      </c>
      <c r="CY83">
        <f t="shared" si="136"/>
        <v>0.84065817781912422</v>
      </c>
      <c r="CZ83">
        <f t="shared" si="137"/>
        <v>0.19131635563824831</v>
      </c>
      <c r="DA83">
        <v>6</v>
      </c>
      <c r="DB83">
        <v>0.5</v>
      </c>
      <c r="DC83" t="s">
        <v>419</v>
      </c>
      <c r="DD83">
        <v>2</v>
      </c>
      <c r="DE83">
        <v>1693337632.5</v>
      </c>
      <c r="DF83">
        <v>639.43399999999997</v>
      </c>
      <c r="DG83">
        <v>700.03599999999994</v>
      </c>
      <c r="DH83">
        <v>28.580500000000001</v>
      </c>
      <c r="DI83">
        <v>23.231000000000002</v>
      </c>
      <c r="DJ83">
        <v>641.09299999999996</v>
      </c>
      <c r="DK83">
        <v>28.196300000000001</v>
      </c>
      <c r="DL83">
        <v>500.11099999999999</v>
      </c>
      <c r="DM83">
        <v>98.840900000000005</v>
      </c>
      <c r="DN83">
        <v>0.100019</v>
      </c>
      <c r="DO83">
        <v>30.314499999999999</v>
      </c>
      <c r="DP83">
        <v>30.025500000000001</v>
      </c>
      <c r="DQ83">
        <v>999.9</v>
      </c>
      <c r="DR83">
        <v>0</v>
      </c>
      <c r="DS83">
        <v>0</v>
      </c>
      <c r="DT83">
        <v>10005</v>
      </c>
      <c r="DU83">
        <v>0</v>
      </c>
      <c r="DV83">
        <v>1409.11</v>
      </c>
      <c r="DW83">
        <v>-60.601900000000001</v>
      </c>
      <c r="DX83">
        <v>658.24699999999996</v>
      </c>
      <c r="DY83">
        <v>716.68600000000004</v>
      </c>
      <c r="DZ83">
        <v>5.3495499999999998</v>
      </c>
      <c r="EA83">
        <v>700.03599999999994</v>
      </c>
      <c r="EB83">
        <v>23.231000000000002</v>
      </c>
      <c r="EC83">
        <v>2.8249300000000002</v>
      </c>
      <c r="ED83">
        <v>2.29617</v>
      </c>
      <c r="EE83">
        <v>23.0305</v>
      </c>
      <c r="EF83">
        <v>19.6496</v>
      </c>
      <c r="EG83">
        <v>1799.97</v>
      </c>
      <c r="EH83">
        <v>0.97799800000000003</v>
      </c>
      <c r="EI83">
        <v>2.2002500000000001E-2</v>
      </c>
      <c r="EJ83">
        <v>0</v>
      </c>
      <c r="EK83">
        <v>770.84100000000001</v>
      </c>
      <c r="EL83">
        <v>4.9995000000000003</v>
      </c>
      <c r="EM83">
        <v>14745.1</v>
      </c>
      <c r="EN83">
        <v>16659.5</v>
      </c>
      <c r="EO83">
        <v>46.875</v>
      </c>
      <c r="EP83">
        <v>48.436999999999998</v>
      </c>
      <c r="EQ83">
        <v>47.686999999999998</v>
      </c>
      <c r="ER83">
        <v>47.686999999999998</v>
      </c>
      <c r="ES83">
        <v>48.311999999999998</v>
      </c>
      <c r="ET83">
        <v>1755.48</v>
      </c>
      <c r="EU83">
        <v>39.49</v>
      </c>
      <c r="EV83">
        <v>0</v>
      </c>
      <c r="EW83">
        <v>102.2000000476837</v>
      </c>
      <c r="EX83">
        <v>0</v>
      </c>
      <c r="EY83">
        <v>770.97515384615383</v>
      </c>
      <c r="EZ83">
        <v>2.269880335936393</v>
      </c>
      <c r="FA83">
        <v>45.52136747649952</v>
      </c>
      <c r="FB83">
        <v>14740.24230769231</v>
      </c>
      <c r="FC83">
        <v>15</v>
      </c>
      <c r="FD83">
        <v>1693337608</v>
      </c>
      <c r="FE83" t="s">
        <v>761</v>
      </c>
      <c r="FF83">
        <v>1693337608</v>
      </c>
      <c r="FG83">
        <v>1693337599</v>
      </c>
      <c r="FH83">
        <v>73</v>
      </c>
      <c r="FI83">
        <v>0.16500000000000001</v>
      </c>
      <c r="FJ83">
        <v>0</v>
      </c>
      <c r="FK83">
        <v>-1.714</v>
      </c>
      <c r="FL83">
        <v>0.14099999999999999</v>
      </c>
      <c r="FM83">
        <v>700</v>
      </c>
      <c r="FN83">
        <v>23</v>
      </c>
      <c r="FO83">
        <v>7.0000000000000007E-2</v>
      </c>
      <c r="FP83">
        <v>0.05</v>
      </c>
      <c r="FQ83">
        <v>47.607851127358593</v>
      </c>
      <c r="FR83">
        <v>-0.59902733751935211</v>
      </c>
      <c r="FS83">
        <v>0.16223495008903371</v>
      </c>
      <c r="FT83">
        <v>1</v>
      </c>
      <c r="FU83">
        <v>0.32326514488320113</v>
      </c>
      <c r="FV83">
        <v>1.6904589089461269E-2</v>
      </c>
      <c r="FW83">
        <v>3.12493646266043E-3</v>
      </c>
      <c r="FX83">
        <v>1</v>
      </c>
      <c r="FY83">
        <v>2</v>
      </c>
      <c r="FZ83">
        <v>2</v>
      </c>
      <c r="GA83" t="s">
        <v>421</v>
      </c>
      <c r="GB83">
        <v>2.9679199999999999</v>
      </c>
      <c r="GC83">
        <v>2.81176</v>
      </c>
      <c r="GD83">
        <v>0.13566</v>
      </c>
      <c r="GE83">
        <v>0.14263000000000001</v>
      </c>
      <c r="GF83">
        <v>0.13336500000000001</v>
      </c>
      <c r="GG83">
        <v>0.11484</v>
      </c>
      <c r="GH83">
        <v>25454.3</v>
      </c>
      <c r="GI83">
        <v>23246.799999999999</v>
      </c>
      <c r="GJ83">
        <v>26479.599999999999</v>
      </c>
      <c r="GK83">
        <v>25594.7</v>
      </c>
      <c r="GL83">
        <v>31237.200000000001</v>
      </c>
      <c r="GM83">
        <v>31947.3</v>
      </c>
      <c r="GN83">
        <v>37483.199999999997</v>
      </c>
      <c r="GO83">
        <v>37899.300000000003</v>
      </c>
      <c r="GP83">
        <v>1.9311</v>
      </c>
      <c r="GQ83">
        <v>1.9144000000000001</v>
      </c>
      <c r="GR83">
        <v>2.3499099999999998E-2</v>
      </c>
      <c r="GS83">
        <v>0</v>
      </c>
      <c r="GT83">
        <v>29.642900000000001</v>
      </c>
      <c r="GU83">
        <v>999.9</v>
      </c>
      <c r="GV83">
        <v>35.299999999999997</v>
      </c>
      <c r="GW83">
        <v>40.9</v>
      </c>
      <c r="GX83">
        <v>27.778099999999998</v>
      </c>
      <c r="GY83">
        <v>61.727200000000003</v>
      </c>
      <c r="GZ83">
        <v>12.820499999999999</v>
      </c>
      <c r="HA83">
        <v>1</v>
      </c>
      <c r="HB83">
        <v>0.53567100000000001</v>
      </c>
      <c r="HC83">
        <v>3.3936700000000002</v>
      </c>
      <c r="HD83">
        <v>20.271599999999999</v>
      </c>
      <c r="HE83">
        <v>5.2095000000000002</v>
      </c>
      <c r="HF83">
        <v>11.9381</v>
      </c>
      <c r="HG83">
        <v>4.9871999999999996</v>
      </c>
      <c r="HH83">
        <v>3.2909999999999999</v>
      </c>
      <c r="HI83">
        <v>9999</v>
      </c>
      <c r="HJ83">
        <v>9999</v>
      </c>
      <c r="HK83">
        <v>9999</v>
      </c>
      <c r="HL83">
        <v>999.9</v>
      </c>
      <c r="HM83">
        <v>1.8703000000000001</v>
      </c>
      <c r="HN83">
        <v>1.8765099999999999</v>
      </c>
      <c r="HO83">
        <v>1.8742399999999999</v>
      </c>
      <c r="HP83">
        <v>1.8724799999999999</v>
      </c>
      <c r="HQ83">
        <v>1.8730199999999999</v>
      </c>
      <c r="HR83">
        <v>1.87042</v>
      </c>
      <c r="HS83">
        <v>1.87625</v>
      </c>
      <c r="HT83">
        <v>1.8754599999999999</v>
      </c>
      <c r="HU83">
        <v>5</v>
      </c>
      <c r="HV83">
        <v>0</v>
      </c>
      <c r="HW83">
        <v>0</v>
      </c>
      <c r="HX83">
        <v>0</v>
      </c>
      <c r="HY83" t="s">
        <v>422</v>
      </c>
      <c r="HZ83" t="s">
        <v>423</v>
      </c>
      <c r="IA83" t="s">
        <v>424</v>
      </c>
      <c r="IB83" t="s">
        <v>424</v>
      </c>
      <c r="IC83" t="s">
        <v>424</v>
      </c>
      <c r="ID83" t="s">
        <v>424</v>
      </c>
      <c r="IE83">
        <v>0</v>
      </c>
      <c r="IF83">
        <v>100</v>
      </c>
      <c r="IG83">
        <v>100</v>
      </c>
      <c r="IH83">
        <v>-1.659</v>
      </c>
      <c r="II83">
        <v>0.38419999999999999</v>
      </c>
      <c r="IJ83">
        <v>-0.57389841592694113</v>
      </c>
      <c r="IK83">
        <v>-2.677719669153116E-3</v>
      </c>
      <c r="IL83">
        <v>1.9353498771248068E-6</v>
      </c>
      <c r="IM83">
        <v>-6.1862177325538213E-10</v>
      </c>
      <c r="IN83">
        <v>-0.23929454095365901</v>
      </c>
      <c r="IO83">
        <v>-1.5299015507423901E-2</v>
      </c>
      <c r="IP83">
        <v>1.742162107778985E-3</v>
      </c>
      <c r="IQ83">
        <v>-1.472690239905804E-5</v>
      </c>
      <c r="IR83">
        <v>3</v>
      </c>
      <c r="IS83">
        <v>2255</v>
      </c>
      <c r="IT83">
        <v>2</v>
      </c>
      <c r="IU83">
        <v>41</v>
      </c>
      <c r="IV83">
        <v>0.4</v>
      </c>
      <c r="IW83">
        <v>0.6</v>
      </c>
      <c r="IX83">
        <v>1.5112300000000001</v>
      </c>
      <c r="IY83">
        <v>2.5280800000000001</v>
      </c>
      <c r="IZ83">
        <v>1.5991200000000001</v>
      </c>
      <c r="JA83">
        <v>2.2631800000000002</v>
      </c>
      <c r="JB83">
        <v>1.5502899999999999</v>
      </c>
      <c r="JC83">
        <v>2.4206500000000002</v>
      </c>
      <c r="JD83">
        <v>41.927500000000002</v>
      </c>
      <c r="JE83">
        <v>15.5242</v>
      </c>
      <c r="JF83">
        <v>18</v>
      </c>
      <c r="JG83">
        <v>501.50900000000001</v>
      </c>
      <c r="JH83">
        <v>459.39600000000002</v>
      </c>
      <c r="JI83">
        <v>25.612500000000001</v>
      </c>
      <c r="JJ83">
        <v>34.034399999999998</v>
      </c>
      <c r="JK83">
        <v>30.0001</v>
      </c>
      <c r="JL83">
        <v>34.0396</v>
      </c>
      <c r="JM83">
        <v>34.007599999999996</v>
      </c>
      <c r="JN83">
        <v>30.26</v>
      </c>
      <c r="JO83">
        <v>23.752300000000002</v>
      </c>
      <c r="JP83">
        <v>26.867000000000001</v>
      </c>
      <c r="JQ83">
        <v>25.589300000000001</v>
      </c>
      <c r="JR83">
        <v>700</v>
      </c>
      <c r="JS83">
        <v>23.117000000000001</v>
      </c>
      <c r="JT83">
        <v>98.860699999999994</v>
      </c>
      <c r="JU83">
        <v>98.417699999999996</v>
      </c>
    </row>
    <row r="84" spans="1:281" x14ac:dyDescent="0.25">
      <c r="A84">
        <v>68</v>
      </c>
      <c r="B84">
        <v>1693337732</v>
      </c>
      <c r="C84">
        <v>15434.900000095369</v>
      </c>
      <c r="D84" t="s">
        <v>762</v>
      </c>
      <c r="E84" t="s">
        <v>763</v>
      </c>
      <c r="F84" t="s">
        <v>413</v>
      </c>
      <c r="G84" t="s">
        <v>564</v>
      </c>
      <c r="H84" t="s">
        <v>708</v>
      </c>
      <c r="I84" t="s">
        <v>415</v>
      </c>
      <c r="J84">
        <v>1693337732</v>
      </c>
      <c r="K84">
        <f t="shared" si="92"/>
        <v>4.5541114073073602E-3</v>
      </c>
      <c r="L84">
        <f t="shared" si="93"/>
        <v>4.5541114073073601</v>
      </c>
      <c r="M84">
        <f t="shared" si="94"/>
        <v>47.64562688058308</v>
      </c>
      <c r="N84">
        <f t="shared" si="95"/>
        <v>838.31500000000005</v>
      </c>
      <c r="O84">
        <f t="shared" si="96"/>
        <v>572.68831608167068</v>
      </c>
      <c r="P84">
        <f t="shared" si="97"/>
        <v>56.658056655624385</v>
      </c>
      <c r="Q84">
        <f t="shared" si="98"/>
        <v>82.937432860925014</v>
      </c>
      <c r="R84">
        <f t="shared" si="99"/>
        <v>0.32241287706882521</v>
      </c>
      <c r="S84">
        <f t="shared" si="100"/>
        <v>2.9124909997953239</v>
      </c>
      <c r="T84">
        <f t="shared" si="101"/>
        <v>0.30381581514587108</v>
      </c>
      <c r="U84">
        <f t="shared" si="102"/>
        <v>0.19146630631799882</v>
      </c>
      <c r="V84">
        <f t="shared" si="103"/>
        <v>344.35740065802213</v>
      </c>
      <c r="W84">
        <f t="shared" si="104"/>
        <v>31.135238246496968</v>
      </c>
      <c r="X84">
        <f t="shared" si="105"/>
        <v>29.999300000000002</v>
      </c>
      <c r="Y84">
        <f t="shared" si="106"/>
        <v>4.2602784737029769</v>
      </c>
      <c r="Z84">
        <f t="shared" si="107"/>
        <v>65.353115333222391</v>
      </c>
      <c r="AA84">
        <f t="shared" si="108"/>
        <v>2.8304378252025004</v>
      </c>
      <c r="AB84">
        <f t="shared" si="109"/>
        <v>4.3309914313505447</v>
      </c>
      <c r="AC84">
        <f t="shared" si="110"/>
        <v>1.4298406485004764</v>
      </c>
      <c r="AD84">
        <f t="shared" si="111"/>
        <v>-200.83631306225459</v>
      </c>
      <c r="AE84">
        <f t="shared" si="112"/>
        <v>45.048525820658888</v>
      </c>
      <c r="AF84">
        <f t="shared" si="113"/>
        <v>3.4440452974446005</v>
      </c>
      <c r="AG84">
        <f t="shared" si="114"/>
        <v>192.013658713871</v>
      </c>
      <c r="AH84">
        <v>1</v>
      </c>
      <c r="AI84">
        <v>0</v>
      </c>
      <c r="AJ84">
        <f t="shared" si="115"/>
        <v>1</v>
      </c>
      <c r="AK84">
        <f t="shared" si="116"/>
        <v>0</v>
      </c>
      <c r="AL84">
        <f t="shared" si="117"/>
        <v>51793.025899379922</v>
      </c>
      <c r="AM84" t="s">
        <v>416</v>
      </c>
      <c r="AN84">
        <v>10238.9</v>
      </c>
      <c r="AO84">
        <v>302.21199999999999</v>
      </c>
      <c r="AP84">
        <v>4052.3</v>
      </c>
      <c r="AQ84">
        <f t="shared" si="118"/>
        <v>0.92542210596451402</v>
      </c>
      <c r="AR84">
        <v>-0.32343011824092421</v>
      </c>
      <c r="AS84" t="s">
        <v>764</v>
      </c>
      <c r="AT84">
        <v>10509.2</v>
      </c>
      <c r="AU84">
        <v>772.62242307692316</v>
      </c>
      <c r="AV84">
        <v>1204.9617638501761</v>
      </c>
      <c r="AW84">
        <f t="shared" si="119"/>
        <v>0.35879921981243024</v>
      </c>
      <c r="AX84">
        <v>0.5</v>
      </c>
      <c r="AY84">
        <f t="shared" si="120"/>
        <v>1513.1340003290111</v>
      </c>
      <c r="AZ84">
        <f t="shared" si="121"/>
        <v>47.64562688058308</v>
      </c>
      <c r="BA84">
        <f t="shared" si="122"/>
        <v>271.45564939485536</v>
      </c>
      <c r="BB84">
        <f t="shared" si="123"/>
        <v>3.1701790448429391E-2</v>
      </c>
      <c r="BC84">
        <f t="shared" si="124"/>
        <v>2.3630112768489973</v>
      </c>
      <c r="BD84">
        <f t="shared" si="125"/>
        <v>256.93309123947876</v>
      </c>
      <c r="BE84" t="s">
        <v>765</v>
      </c>
      <c r="BF84">
        <v>592.76</v>
      </c>
      <c r="BG84">
        <f t="shared" si="126"/>
        <v>592.76</v>
      </c>
      <c r="BH84">
        <f t="shared" si="127"/>
        <v>0.50806737791747625</v>
      </c>
      <c r="BI84">
        <f t="shared" si="128"/>
        <v>0.70620401034822755</v>
      </c>
      <c r="BJ84">
        <f t="shared" si="129"/>
        <v>0.82303954749759345</v>
      </c>
      <c r="BK84">
        <f t="shared" si="130"/>
        <v>0.47891382317216058</v>
      </c>
      <c r="BL84">
        <f t="shared" si="131"/>
        <v>0.75927237871479925</v>
      </c>
      <c r="BM84">
        <f t="shared" si="132"/>
        <v>0.54180344327430707</v>
      </c>
      <c r="BN84">
        <f t="shared" si="133"/>
        <v>0.45819655672569293</v>
      </c>
      <c r="BO84">
        <v>5598</v>
      </c>
      <c r="BP84">
        <v>290.00000000000011</v>
      </c>
      <c r="BQ84">
        <v>1088.53</v>
      </c>
      <c r="BR84">
        <v>225</v>
      </c>
      <c r="BS84">
        <v>10509.2</v>
      </c>
      <c r="BT84">
        <v>1087.23</v>
      </c>
      <c r="BU84">
        <v>1.3</v>
      </c>
      <c r="BV84">
        <v>300.00000000000011</v>
      </c>
      <c r="BW84">
        <v>38.200000000000003</v>
      </c>
      <c r="BX84">
        <v>1204.9617638501761</v>
      </c>
      <c r="BY84">
        <v>1.6328183613614169</v>
      </c>
      <c r="BZ84">
        <v>-123.7315319996342</v>
      </c>
      <c r="CA84">
        <v>1.405051097591598</v>
      </c>
      <c r="CB84">
        <v>0.99640237211520277</v>
      </c>
      <c r="CC84">
        <v>-1.14128149054505E-2</v>
      </c>
      <c r="CD84">
        <v>289.99999999999989</v>
      </c>
      <c r="CE84">
        <v>1077</v>
      </c>
      <c r="CF84">
        <v>685</v>
      </c>
      <c r="CG84">
        <v>10483.299999999999</v>
      </c>
      <c r="CH84">
        <v>1086.93</v>
      </c>
      <c r="CI84">
        <v>-9.93</v>
      </c>
      <c r="CW84">
        <f t="shared" si="134"/>
        <v>1799.94</v>
      </c>
      <c r="CX84">
        <f t="shared" si="135"/>
        <v>1513.1340003290111</v>
      </c>
      <c r="CY84">
        <f t="shared" si="136"/>
        <v>0.84065802211685448</v>
      </c>
      <c r="CZ84">
        <f t="shared" si="137"/>
        <v>0.19131604423370896</v>
      </c>
      <c r="DA84">
        <v>6</v>
      </c>
      <c r="DB84">
        <v>0.5</v>
      </c>
      <c r="DC84" t="s">
        <v>419</v>
      </c>
      <c r="DD84">
        <v>2</v>
      </c>
      <c r="DE84">
        <v>1693337732</v>
      </c>
      <c r="DF84">
        <v>838.31500000000005</v>
      </c>
      <c r="DG84">
        <v>900.048</v>
      </c>
      <c r="DH84">
        <v>28.609500000000001</v>
      </c>
      <c r="DI84">
        <v>23.302900000000001</v>
      </c>
      <c r="DJ84">
        <v>840.05499999999995</v>
      </c>
      <c r="DK84">
        <v>28.2258</v>
      </c>
      <c r="DL84">
        <v>500.18700000000001</v>
      </c>
      <c r="DM84">
        <v>98.833100000000002</v>
      </c>
      <c r="DN84">
        <v>0.100395</v>
      </c>
      <c r="DO84">
        <v>30.286200000000001</v>
      </c>
      <c r="DP84">
        <v>29.999300000000002</v>
      </c>
      <c r="DQ84">
        <v>999.9</v>
      </c>
      <c r="DR84">
        <v>0</v>
      </c>
      <c r="DS84">
        <v>0</v>
      </c>
      <c r="DT84">
        <v>10020</v>
      </c>
      <c r="DU84">
        <v>0</v>
      </c>
      <c r="DV84">
        <v>1390.22</v>
      </c>
      <c r="DW84">
        <v>-61.7331</v>
      </c>
      <c r="DX84">
        <v>863.005</v>
      </c>
      <c r="DY84">
        <v>921.52200000000005</v>
      </c>
      <c r="DZ84">
        <v>5.3066199999999997</v>
      </c>
      <c r="EA84">
        <v>900.048</v>
      </c>
      <c r="EB84">
        <v>23.302900000000001</v>
      </c>
      <c r="EC84">
        <v>2.8275600000000001</v>
      </c>
      <c r="ED84">
        <v>2.3030900000000001</v>
      </c>
      <c r="EE84">
        <v>23.0459</v>
      </c>
      <c r="EF84">
        <v>19.6981</v>
      </c>
      <c r="EG84">
        <v>1799.94</v>
      </c>
      <c r="EH84">
        <v>0.97800500000000001</v>
      </c>
      <c r="EI84">
        <v>2.1995399999999998E-2</v>
      </c>
      <c r="EJ84">
        <v>0</v>
      </c>
      <c r="EK84">
        <v>772.20100000000002</v>
      </c>
      <c r="EL84">
        <v>4.9995000000000003</v>
      </c>
      <c r="EM84">
        <v>14777.5</v>
      </c>
      <c r="EN84">
        <v>16659.3</v>
      </c>
      <c r="EO84">
        <v>47.436999999999998</v>
      </c>
      <c r="EP84">
        <v>48.811999999999998</v>
      </c>
      <c r="EQ84">
        <v>48.25</v>
      </c>
      <c r="ER84">
        <v>48.186999999999998</v>
      </c>
      <c r="ES84">
        <v>48.75</v>
      </c>
      <c r="ET84">
        <v>1755.46</v>
      </c>
      <c r="EU84">
        <v>39.479999999999997</v>
      </c>
      <c r="EV84">
        <v>0</v>
      </c>
      <c r="EW84">
        <v>97.799999952316284</v>
      </c>
      <c r="EX84">
        <v>0</v>
      </c>
      <c r="EY84">
        <v>772.62242307692316</v>
      </c>
      <c r="EZ84">
        <v>-2.06225640781344</v>
      </c>
      <c r="FA84">
        <v>-37.381196543543773</v>
      </c>
      <c r="FB84">
        <v>14783.06923076923</v>
      </c>
      <c r="FC84">
        <v>15</v>
      </c>
      <c r="FD84">
        <v>1693337698</v>
      </c>
      <c r="FE84" t="s">
        <v>766</v>
      </c>
      <c r="FF84">
        <v>1693337698</v>
      </c>
      <c r="FG84">
        <v>1693337696</v>
      </c>
      <c r="FH84">
        <v>74</v>
      </c>
      <c r="FI84">
        <v>8.4000000000000005E-2</v>
      </c>
      <c r="FJ84">
        <v>-2E-3</v>
      </c>
      <c r="FK84">
        <v>-1.7849999999999999</v>
      </c>
      <c r="FL84">
        <v>0.14699999999999999</v>
      </c>
      <c r="FM84">
        <v>901</v>
      </c>
      <c r="FN84">
        <v>23</v>
      </c>
      <c r="FO84">
        <v>0.14000000000000001</v>
      </c>
      <c r="FP84">
        <v>0.04</v>
      </c>
      <c r="FQ84">
        <v>47.552253472391413</v>
      </c>
      <c r="FR84">
        <v>-2.5068157023091921E-2</v>
      </c>
      <c r="FS84">
        <v>6.8239061602510198E-2</v>
      </c>
      <c r="FT84">
        <v>1</v>
      </c>
      <c r="FU84">
        <v>0.32111091640943762</v>
      </c>
      <c r="FV84">
        <v>-2.917636520565591E-3</v>
      </c>
      <c r="FW84">
        <v>7.4187283269680796E-4</v>
      </c>
      <c r="FX84">
        <v>1</v>
      </c>
      <c r="FY84">
        <v>2</v>
      </c>
      <c r="FZ84">
        <v>2</v>
      </c>
      <c r="GA84" t="s">
        <v>421</v>
      </c>
      <c r="GB84">
        <v>2.9681700000000002</v>
      </c>
      <c r="GC84">
        <v>2.8122699999999998</v>
      </c>
      <c r="GD84">
        <v>0.16322900000000001</v>
      </c>
      <c r="GE84">
        <v>0.16900200000000001</v>
      </c>
      <c r="GF84">
        <v>0.13347300000000001</v>
      </c>
      <c r="GG84">
        <v>0.115096</v>
      </c>
      <c r="GH84">
        <v>24644</v>
      </c>
      <c r="GI84">
        <v>22534.6</v>
      </c>
      <c r="GJ84">
        <v>26482.7</v>
      </c>
      <c r="GK84">
        <v>25599.3</v>
      </c>
      <c r="GL84">
        <v>31238.3</v>
      </c>
      <c r="GM84">
        <v>31945.3</v>
      </c>
      <c r="GN84">
        <v>37487.599999999999</v>
      </c>
      <c r="GO84">
        <v>37905.699999999997</v>
      </c>
      <c r="GP84">
        <v>1.9318</v>
      </c>
      <c r="GQ84">
        <v>1.9174</v>
      </c>
      <c r="GR84">
        <v>2.4557099999999998E-2</v>
      </c>
      <c r="GS84">
        <v>0</v>
      </c>
      <c r="GT84">
        <v>29.599499999999999</v>
      </c>
      <c r="GU84">
        <v>999.9</v>
      </c>
      <c r="GV84">
        <v>35.4</v>
      </c>
      <c r="GW84">
        <v>40.700000000000003</v>
      </c>
      <c r="GX84">
        <v>27.563199999999998</v>
      </c>
      <c r="GY84">
        <v>61.657200000000003</v>
      </c>
      <c r="GZ84">
        <v>13.113</v>
      </c>
      <c r="HA84">
        <v>1</v>
      </c>
      <c r="HB84">
        <v>0.52535600000000005</v>
      </c>
      <c r="HC84">
        <v>2.8245900000000002</v>
      </c>
      <c r="HD84">
        <v>20.282399999999999</v>
      </c>
      <c r="HE84">
        <v>5.2095000000000002</v>
      </c>
      <c r="HF84">
        <v>11.9381</v>
      </c>
      <c r="HG84">
        <v>4.9874000000000001</v>
      </c>
      <c r="HH84">
        <v>3.2909999999999999</v>
      </c>
      <c r="HI84">
        <v>9999</v>
      </c>
      <c r="HJ84">
        <v>9999</v>
      </c>
      <c r="HK84">
        <v>9999</v>
      </c>
      <c r="HL84">
        <v>999.9</v>
      </c>
      <c r="HM84">
        <v>1.8703000000000001</v>
      </c>
      <c r="HN84">
        <v>1.87653</v>
      </c>
      <c r="HO84">
        <v>1.8742399999999999</v>
      </c>
      <c r="HP84">
        <v>1.8725000000000001</v>
      </c>
      <c r="HQ84">
        <v>1.8730199999999999</v>
      </c>
      <c r="HR84">
        <v>1.87042</v>
      </c>
      <c r="HS84">
        <v>1.87622</v>
      </c>
      <c r="HT84">
        <v>1.8754599999999999</v>
      </c>
      <c r="HU84">
        <v>5</v>
      </c>
      <c r="HV84">
        <v>0</v>
      </c>
      <c r="HW84">
        <v>0</v>
      </c>
      <c r="HX84">
        <v>0</v>
      </c>
      <c r="HY84" t="s">
        <v>422</v>
      </c>
      <c r="HZ84" t="s">
        <v>423</v>
      </c>
      <c r="IA84" t="s">
        <v>424</v>
      </c>
      <c r="IB84" t="s">
        <v>424</v>
      </c>
      <c r="IC84" t="s">
        <v>424</v>
      </c>
      <c r="ID84" t="s">
        <v>424</v>
      </c>
      <c r="IE84">
        <v>0</v>
      </c>
      <c r="IF84">
        <v>100</v>
      </c>
      <c r="IG84">
        <v>100</v>
      </c>
      <c r="IH84">
        <v>-1.74</v>
      </c>
      <c r="II84">
        <v>0.38369999999999999</v>
      </c>
      <c r="IJ84">
        <v>-0.4896899937900252</v>
      </c>
      <c r="IK84">
        <v>-2.677719669153116E-3</v>
      </c>
      <c r="IL84">
        <v>1.9353498771248068E-6</v>
      </c>
      <c r="IM84">
        <v>-6.1862177325538213E-10</v>
      </c>
      <c r="IN84">
        <v>-0.24126293911445371</v>
      </c>
      <c r="IO84">
        <v>-1.5299015507423901E-2</v>
      </c>
      <c r="IP84">
        <v>1.742162107778985E-3</v>
      </c>
      <c r="IQ84">
        <v>-1.472690239905804E-5</v>
      </c>
      <c r="IR84">
        <v>3</v>
      </c>
      <c r="IS84">
        <v>2255</v>
      </c>
      <c r="IT84">
        <v>2</v>
      </c>
      <c r="IU84">
        <v>41</v>
      </c>
      <c r="IV84">
        <v>0.6</v>
      </c>
      <c r="IW84">
        <v>0.6</v>
      </c>
      <c r="IX84">
        <v>1.85547</v>
      </c>
      <c r="IY84">
        <v>2.5158700000000001</v>
      </c>
      <c r="IZ84">
        <v>1.5991200000000001</v>
      </c>
      <c r="JA84">
        <v>2.2631800000000002</v>
      </c>
      <c r="JB84">
        <v>1.5502899999999999</v>
      </c>
      <c r="JC84">
        <v>2.3584000000000001</v>
      </c>
      <c r="JD84">
        <v>41.848599999999998</v>
      </c>
      <c r="JE84">
        <v>15.497999999999999</v>
      </c>
      <c r="JF84">
        <v>18</v>
      </c>
      <c r="JG84">
        <v>501.47</v>
      </c>
      <c r="JH84">
        <v>460.863</v>
      </c>
      <c r="JI84">
        <v>25.609200000000001</v>
      </c>
      <c r="JJ84">
        <v>33.957799999999999</v>
      </c>
      <c r="JK84">
        <v>29.998699999999999</v>
      </c>
      <c r="JL84">
        <v>33.975299999999997</v>
      </c>
      <c r="JM84">
        <v>33.949800000000003</v>
      </c>
      <c r="JN84">
        <v>37.165399999999998</v>
      </c>
      <c r="JO84">
        <v>23.614000000000001</v>
      </c>
      <c r="JP84">
        <v>27.475999999999999</v>
      </c>
      <c r="JQ84">
        <v>25.622299999999999</v>
      </c>
      <c r="JR84">
        <v>900</v>
      </c>
      <c r="JS84">
        <v>23.230599999999999</v>
      </c>
      <c r="JT84">
        <v>98.872</v>
      </c>
      <c r="JU84">
        <v>98.434799999999996</v>
      </c>
    </row>
    <row r="85" spans="1:281" x14ac:dyDescent="0.25">
      <c r="A85">
        <v>69</v>
      </c>
      <c r="B85">
        <v>1693337836</v>
      </c>
      <c r="C85">
        <v>15538.900000095369</v>
      </c>
      <c r="D85" t="s">
        <v>767</v>
      </c>
      <c r="E85" t="s">
        <v>768</v>
      </c>
      <c r="F85" t="s">
        <v>413</v>
      </c>
      <c r="G85" t="s">
        <v>564</v>
      </c>
      <c r="H85" t="s">
        <v>708</v>
      </c>
      <c r="I85" t="s">
        <v>415</v>
      </c>
      <c r="J85">
        <v>1693337836</v>
      </c>
      <c r="K85">
        <f t="shared" si="92"/>
        <v>4.3633481709411002E-3</v>
      </c>
      <c r="L85">
        <f t="shared" si="93"/>
        <v>4.3633481709411006</v>
      </c>
      <c r="M85">
        <f t="shared" si="94"/>
        <v>46.803872212279792</v>
      </c>
      <c r="N85">
        <f t="shared" si="95"/>
        <v>1138.17</v>
      </c>
      <c r="O85">
        <f t="shared" si="96"/>
        <v>858.3956048292597</v>
      </c>
      <c r="P85">
        <f t="shared" si="97"/>
        <v>84.92256049336379</v>
      </c>
      <c r="Q85">
        <f t="shared" si="98"/>
        <v>112.60112485776</v>
      </c>
      <c r="R85">
        <f t="shared" si="99"/>
        <v>0.30721430216100276</v>
      </c>
      <c r="S85">
        <f t="shared" si="100"/>
        <v>2.9098400469672123</v>
      </c>
      <c r="T85">
        <f t="shared" si="101"/>
        <v>0.29026530377842769</v>
      </c>
      <c r="U85">
        <f t="shared" si="102"/>
        <v>0.18286064963541757</v>
      </c>
      <c r="V85">
        <f t="shared" si="103"/>
        <v>344.37570065832256</v>
      </c>
      <c r="W85">
        <f t="shared" si="104"/>
        <v>31.222651226028589</v>
      </c>
      <c r="X85">
        <f t="shared" si="105"/>
        <v>29.991599999999998</v>
      </c>
      <c r="Y85">
        <f t="shared" si="106"/>
        <v>4.258394583912021</v>
      </c>
      <c r="Z85">
        <f t="shared" si="107"/>
        <v>65.077725155015315</v>
      </c>
      <c r="AA85">
        <f t="shared" si="108"/>
        <v>2.8244612617087999</v>
      </c>
      <c r="AB85">
        <f t="shared" si="109"/>
        <v>4.3401352075244262</v>
      </c>
      <c r="AC85">
        <f t="shared" si="110"/>
        <v>1.4339333222032211</v>
      </c>
      <c r="AD85">
        <f t="shared" si="111"/>
        <v>-192.42365433850253</v>
      </c>
      <c r="AE85">
        <f t="shared" si="112"/>
        <v>51.988473297249072</v>
      </c>
      <c r="AF85">
        <f t="shared" si="113"/>
        <v>3.9788116089315677</v>
      </c>
      <c r="AG85">
        <f t="shared" si="114"/>
        <v>207.91933122600065</v>
      </c>
      <c r="AH85">
        <v>1</v>
      </c>
      <c r="AI85">
        <v>0</v>
      </c>
      <c r="AJ85">
        <f t="shared" si="115"/>
        <v>1</v>
      </c>
      <c r="AK85">
        <f t="shared" si="116"/>
        <v>0</v>
      </c>
      <c r="AL85">
        <f t="shared" si="117"/>
        <v>51711.465024890043</v>
      </c>
      <c r="AM85" t="s">
        <v>416</v>
      </c>
      <c r="AN85">
        <v>10238.9</v>
      </c>
      <c r="AO85">
        <v>302.21199999999999</v>
      </c>
      <c r="AP85">
        <v>4052.3</v>
      </c>
      <c r="AQ85">
        <f t="shared" si="118"/>
        <v>0.92542210596451402</v>
      </c>
      <c r="AR85">
        <v>-0.32343011824092421</v>
      </c>
      <c r="AS85" t="s">
        <v>769</v>
      </c>
      <c r="AT85">
        <v>10499.1</v>
      </c>
      <c r="AU85">
        <v>768.88800000000003</v>
      </c>
      <c r="AV85">
        <v>1207.6860241534839</v>
      </c>
      <c r="AW85">
        <f t="shared" si="119"/>
        <v>0.36333783398798147</v>
      </c>
      <c r="AX85">
        <v>0.5</v>
      </c>
      <c r="AY85">
        <f t="shared" si="120"/>
        <v>1513.2102003291611</v>
      </c>
      <c r="AZ85">
        <f t="shared" si="121"/>
        <v>46.803872212279792</v>
      </c>
      <c r="BA85">
        <f t="shared" si="122"/>
        <v>274.90325827805844</v>
      </c>
      <c r="BB85">
        <f t="shared" si="123"/>
        <v>3.1143923243624281E-2</v>
      </c>
      <c r="BC85">
        <f t="shared" si="124"/>
        <v>2.3554251013548173</v>
      </c>
      <c r="BD85">
        <f t="shared" si="125"/>
        <v>257.05673446434633</v>
      </c>
      <c r="BE85" t="s">
        <v>770</v>
      </c>
      <c r="BF85">
        <v>591.45000000000005</v>
      </c>
      <c r="BG85">
        <f t="shared" si="126"/>
        <v>591.45000000000005</v>
      </c>
      <c r="BH85">
        <f t="shared" si="127"/>
        <v>0.51026178313641468</v>
      </c>
      <c r="BI85">
        <f t="shared" si="128"/>
        <v>0.71206162404454609</v>
      </c>
      <c r="BJ85">
        <f t="shared" si="129"/>
        <v>0.8219408457016385</v>
      </c>
      <c r="BK85">
        <f t="shared" si="130"/>
        <v>0.48460586659425214</v>
      </c>
      <c r="BL85">
        <f t="shared" si="131"/>
        <v>0.75854592634799922</v>
      </c>
      <c r="BM85">
        <f t="shared" si="132"/>
        <v>0.54773757366631659</v>
      </c>
      <c r="BN85">
        <f t="shared" si="133"/>
        <v>0.45226242633368341</v>
      </c>
      <c r="BO85">
        <v>5600</v>
      </c>
      <c r="BP85">
        <v>290.00000000000011</v>
      </c>
      <c r="BQ85">
        <v>1086.6400000000001</v>
      </c>
      <c r="BR85">
        <v>265</v>
      </c>
      <c r="BS85">
        <v>10499.1</v>
      </c>
      <c r="BT85">
        <v>1086.8900000000001</v>
      </c>
      <c r="BU85">
        <v>-0.25</v>
      </c>
      <c r="BV85">
        <v>300.00000000000011</v>
      </c>
      <c r="BW85">
        <v>38.299999999999997</v>
      </c>
      <c r="BX85">
        <v>1207.6860241534839</v>
      </c>
      <c r="BY85">
        <v>1.409688176124674</v>
      </c>
      <c r="BZ85">
        <v>-126.8237347375221</v>
      </c>
      <c r="CA85">
        <v>1.2126104241379001</v>
      </c>
      <c r="CB85">
        <v>0.99744677387565983</v>
      </c>
      <c r="CC85">
        <v>-1.1408910567297001E-2</v>
      </c>
      <c r="CD85">
        <v>289.99999999999989</v>
      </c>
      <c r="CE85">
        <v>1075.78</v>
      </c>
      <c r="CF85">
        <v>675</v>
      </c>
      <c r="CG85">
        <v>10480.4</v>
      </c>
      <c r="CH85">
        <v>1086.68</v>
      </c>
      <c r="CI85">
        <v>-10.9</v>
      </c>
      <c r="CW85">
        <f t="shared" si="134"/>
        <v>1800.03</v>
      </c>
      <c r="CX85">
        <f t="shared" si="135"/>
        <v>1513.2102003291611</v>
      </c>
      <c r="CY85">
        <f t="shared" si="136"/>
        <v>0.84065832254415829</v>
      </c>
      <c r="CZ85">
        <f t="shared" si="137"/>
        <v>0.19131664508831661</v>
      </c>
      <c r="DA85">
        <v>6</v>
      </c>
      <c r="DB85">
        <v>0.5</v>
      </c>
      <c r="DC85" t="s">
        <v>419</v>
      </c>
      <c r="DD85">
        <v>2</v>
      </c>
      <c r="DE85">
        <v>1693337836</v>
      </c>
      <c r="DF85">
        <v>1138.17</v>
      </c>
      <c r="DG85">
        <v>1200.24</v>
      </c>
      <c r="DH85">
        <v>28.549600000000002</v>
      </c>
      <c r="DI85">
        <v>23.467500000000001</v>
      </c>
      <c r="DJ85">
        <v>1140.23</v>
      </c>
      <c r="DK85">
        <v>28.1692</v>
      </c>
      <c r="DL85">
        <v>500.43599999999998</v>
      </c>
      <c r="DM85">
        <v>98.831299999999999</v>
      </c>
      <c r="DN85">
        <v>0.100428</v>
      </c>
      <c r="DO85">
        <v>30.323</v>
      </c>
      <c r="DP85">
        <v>29.991599999999998</v>
      </c>
      <c r="DQ85">
        <v>999.9</v>
      </c>
      <c r="DR85">
        <v>0</v>
      </c>
      <c r="DS85">
        <v>0</v>
      </c>
      <c r="DT85">
        <v>10005</v>
      </c>
      <c r="DU85">
        <v>0</v>
      </c>
      <c r="DV85">
        <v>1393.7</v>
      </c>
      <c r="DW85">
        <v>-62.070399999999999</v>
      </c>
      <c r="DX85">
        <v>1171.6199999999999</v>
      </c>
      <c r="DY85">
        <v>1229.0899999999999</v>
      </c>
      <c r="DZ85">
        <v>5.08216</v>
      </c>
      <c r="EA85">
        <v>1200.24</v>
      </c>
      <c r="EB85">
        <v>23.467500000000001</v>
      </c>
      <c r="EC85">
        <v>2.8216000000000001</v>
      </c>
      <c r="ED85">
        <v>2.3193199999999998</v>
      </c>
      <c r="EE85">
        <v>23.010999999999999</v>
      </c>
      <c r="EF85">
        <v>19.811199999999999</v>
      </c>
      <c r="EG85">
        <v>1800.03</v>
      </c>
      <c r="EH85">
        <v>0.97799400000000003</v>
      </c>
      <c r="EI85">
        <v>2.20057E-2</v>
      </c>
      <c r="EJ85">
        <v>0</v>
      </c>
      <c r="EK85">
        <v>767.98299999999995</v>
      </c>
      <c r="EL85">
        <v>4.9995000000000003</v>
      </c>
      <c r="EM85">
        <v>14731</v>
      </c>
      <c r="EN85">
        <v>16660</v>
      </c>
      <c r="EO85">
        <v>47.875</v>
      </c>
      <c r="EP85">
        <v>49.125</v>
      </c>
      <c r="EQ85">
        <v>48.686999999999998</v>
      </c>
      <c r="ER85">
        <v>48.5</v>
      </c>
      <c r="ES85">
        <v>49.186999999999998</v>
      </c>
      <c r="ET85">
        <v>1755.53</v>
      </c>
      <c r="EU85">
        <v>39.5</v>
      </c>
      <c r="EV85">
        <v>0</v>
      </c>
      <c r="EW85">
        <v>102</v>
      </c>
      <c r="EX85">
        <v>0</v>
      </c>
      <c r="EY85">
        <v>768.88800000000003</v>
      </c>
      <c r="EZ85">
        <v>-3.747760697480905</v>
      </c>
      <c r="FA85">
        <v>-74.837606934055799</v>
      </c>
      <c r="FB85">
        <v>14738.73846153846</v>
      </c>
      <c r="FC85">
        <v>15</v>
      </c>
      <c r="FD85">
        <v>1693337802</v>
      </c>
      <c r="FE85" t="s">
        <v>771</v>
      </c>
      <c r="FF85">
        <v>1693337802</v>
      </c>
      <c r="FG85">
        <v>1693337795</v>
      </c>
      <c r="FH85">
        <v>75</v>
      </c>
      <c r="FI85">
        <v>-0.108</v>
      </c>
      <c r="FJ85">
        <v>-1E-3</v>
      </c>
      <c r="FK85">
        <v>-2.0950000000000002</v>
      </c>
      <c r="FL85">
        <v>0.14799999999999999</v>
      </c>
      <c r="FM85">
        <v>1201</v>
      </c>
      <c r="FN85">
        <v>23</v>
      </c>
      <c r="FO85">
        <v>7.0000000000000007E-2</v>
      </c>
      <c r="FP85">
        <v>0.03</v>
      </c>
      <c r="FQ85">
        <v>46.577290556919827</v>
      </c>
      <c r="FR85">
        <v>-2.3550493346660688E-2</v>
      </c>
      <c r="FS85">
        <v>0.1146586750326475</v>
      </c>
      <c r="FT85">
        <v>1</v>
      </c>
      <c r="FU85">
        <v>0.31150756224979032</v>
      </c>
      <c r="FV85">
        <v>-2.9784857135724201E-2</v>
      </c>
      <c r="FW85">
        <v>2.2419705584571818E-3</v>
      </c>
      <c r="FX85">
        <v>1</v>
      </c>
      <c r="FY85">
        <v>2</v>
      </c>
      <c r="FZ85">
        <v>2</v>
      </c>
      <c r="GA85" t="s">
        <v>421</v>
      </c>
      <c r="GB85">
        <v>2.9689100000000002</v>
      </c>
      <c r="GC85">
        <v>2.8121700000000001</v>
      </c>
      <c r="GD85">
        <v>0.19920599999999999</v>
      </c>
      <c r="GE85">
        <v>0.20355200000000001</v>
      </c>
      <c r="GF85">
        <v>0.13330700000000001</v>
      </c>
      <c r="GG85">
        <v>0.11568199999999999</v>
      </c>
      <c r="GH85">
        <v>23585.5</v>
      </c>
      <c r="GI85">
        <v>21597.8</v>
      </c>
      <c r="GJ85">
        <v>26486.400000000001</v>
      </c>
      <c r="GK85">
        <v>25602</v>
      </c>
      <c r="GL85">
        <v>31250</v>
      </c>
      <c r="GM85">
        <v>31929.9</v>
      </c>
      <c r="GN85">
        <v>37492.1</v>
      </c>
      <c r="GO85">
        <v>37909.699999999997</v>
      </c>
      <c r="GP85">
        <v>1.9331</v>
      </c>
      <c r="GQ85">
        <v>1.9206000000000001</v>
      </c>
      <c r="GR85">
        <v>2.9504300000000001E-2</v>
      </c>
      <c r="GS85">
        <v>0</v>
      </c>
      <c r="GT85">
        <v>29.511299999999999</v>
      </c>
      <c r="GU85">
        <v>999.9</v>
      </c>
      <c r="GV85">
        <v>35.700000000000003</v>
      </c>
      <c r="GW85">
        <v>40.5</v>
      </c>
      <c r="GX85">
        <v>27.5032</v>
      </c>
      <c r="GY85">
        <v>61.667200000000001</v>
      </c>
      <c r="GZ85">
        <v>12.7644</v>
      </c>
      <c r="HA85">
        <v>1</v>
      </c>
      <c r="HB85">
        <v>0.52015199999999995</v>
      </c>
      <c r="HC85">
        <v>3.0526800000000001</v>
      </c>
      <c r="HD85">
        <v>20.278199999999998</v>
      </c>
      <c r="HE85">
        <v>5.2100999999999997</v>
      </c>
      <c r="HF85">
        <v>11.9381</v>
      </c>
      <c r="HG85">
        <v>4.9870000000000001</v>
      </c>
      <c r="HH85">
        <v>3.2909999999999999</v>
      </c>
      <c r="HI85">
        <v>9999</v>
      </c>
      <c r="HJ85">
        <v>9999</v>
      </c>
      <c r="HK85">
        <v>9999</v>
      </c>
      <c r="HL85">
        <v>999.9</v>
      </c>
      <c r="HM85">
        <v>1.87029</v>
      </c>
      <c r="HN85">
        <v>1.8764700000000001</v>
      </c>
      <c r="HO85">
        <v>1.8742399999999999</v>
      </c>
      <c r="HP85">
        <v>1.8724799999999999</v>
      </c>
      <c r="HQ85">
        <v>1.8729899999999999</v>
      </c>
      <c r="HR85">
        <v>1.87039</v>
      </c>
      <c r="HS85">
        <v>1.87622</v>
      </c>
      <c r="HT85">
        <v>1.87534</v>
      </c>
      <c r="HU85">
        <v>5</v>
      </c>
      <c r="HV85">
        <v>0</v>
      </c>
      <c r="HW85">
        <v>0</v>
      </c>
      <c r="HX85">
        <v>0</v>
      </c>
      <c r="HY85" t="s">
        <v>422</v>
      </c>
      <c r="HZ85" t="s">
        <v>423</v>
      </c>
      <c r="IA85" t="s">
        <v>424</v>
      </c>
      <c r="IB85" t="s">
        <v>424</v>
      </c>
      <c r="IC85" t="s">
        <v>424</v>
      </c>
      <c r="ID85" t="s">
        <v>424</v>
      </c>
      <c r="IE85">
        <v>0</v>
      </c>
      <c r="IF85">
        <v>100</v>
      </c>
      <c r="IG85">
        <v>100</v>
      </c>
      <c r="IH85">
        <v>-2.06</v>
      </c>
      <c r="II85">
        <v>0.38040000000000002</v>
      </c>
      <c r="IJ85">
        <v>-0.59729097547343857</v>
      </c>
      <c r="IK85">
        <v>-2.677719669153116E-3</v>
      </c>
      <c r="IL85">
        <v>1.9353498771248068E-6</v>
      </c>
      <c r="IM85">
        <v>-6.1862177325538213E-10</v>
      </c>
      <c r="IN85">
        <v>-0.2418437565736494</v>
      </c>
      <c r="IO85">
        <v>-1.5299015507423901E-2</v>
      </c>
      <c r="IP85">
        <v>1.742162107778985E-3</v>
      </c>
      <c r="IQ85">
        <v>-1.472690239905804E-5</v>
      </c>
      <c r="IR85">
        <v>3</v>
      </c>
      <c r="IS85">
        <v>2255</v>
      </c>
      <c r="IT85">
        <v>2</v>
      </c>
      <c r="IU85">
        <v>41</v>
      </c>
      <c r="IV85">
        <v>0.6</v>
      </c>
      <c r="IW85">
        <v>0.7</v>
      </c>
      <c r="IX85">
        <v>2.35229</v>
      </c>
      <c r="IY85">
        <v>2.51953</v>
      </c>
      <c r="IZ85">
        <v>1.6003400000000001</v>
      </c>
      <c r="JA85">
        <v>2.2631800000000002</v>
      </c>
      <c r="JB85">
        <v>1.5502899999999999</v>
      </c>
      <c r="JC85">
        <v>2.2875999999999999</v>
      </c>
      <c r="JD85">
        <v>41.717399999999998</v>
      </c>
      <c r="JE85">
        <v>15.4717</v>
      </c>
      <c r="JF85">
        <v>18</v>
      </c>
      <c r="JG85">
        <v>501.77499999999998</v>
      </c>
      <c r="JH85">
        <v>462.39299999999997</v>
      </c>
      <c r="JI85">
        <v>25.7225</v>
      </c>
      <c r="JJ85">
        <v>33.8752</v>
      </c>
      <c r="JK85">
        <v>29.9999</v>
      </c>
      <c r="JL85">
        <v>33.905099999999997</v>
      </c>
      <c r="JM85">
        <v>33.883000000000003</v>
      </c>
      <c r="JN85">
        <v>47.101799999999997</v>
      </c>
      <c r="JO85">
        <v>23.3096</v>
      </c>
      <c r="JP85">
        <v>28.5244</v>
      </c>
      <c r="JQ85">
        <v>25.721800000000002</v>
      </c>
      <c r="JR85">
        <v>1200</v>
      </c>
      <c r="JS85">
        <v>23.479399999999998</v>
      </c>
      <c r="JT85">
        <v>98.884799999999998</v>
      </c>
      <c r="JU85">
        <v>98.4452</v>
      </c>
    </row>
    <row r="86" spans="1:281" x14ac:dyDescent="0.25">
      <c r="A86">
        <v>70</v>
      </c>
      <c r="B86">
        <v>1693337943</v>
      </c>
      <c r="C86">
        <v>15645.900000095369</v>
      </c>
      <c r="D86" t="s">
        <v>772</v>
      </c>
      <c r="E86" t="s">
        <v>773</v>
      </c>
      <c r="F86" t="s">
        <v>413</v>
      </c>
      <c r="G86" t="s">
        <v>564</v>
      </c>
      <c r="H86" t="s">
        <v>708</v>
      </c>
      <c r="I86" t="s">
        <v>415</v>
      </c>
      <c r="J86">
        <v>1693337943</v>
      </c>
      <c r="K86">
        <f t="shared" si="92"/>
        <v>4.0499446724181166E-3</v>
      </c>
      <c r="L86">
        <f t="shared" si="93"/>
        <v>4.0499446724181167</v>
      </c>
      <c r="M86">
        <f t="shared" si="94"/>
        <v>45.71775788996986</v>
      </c>
      <c r="N86">
        <f t="shared" si="95"/>
        <v>1437.92</v>
      </c>
      <c r="O86">
        <f t="shared" si="96"/>
        <v>1139.4765671721843</v>
      </c>
      <c r="P86">
        <f t="shared" si="97"/>
        <v>112.72102284084747</v>
      </c>
      <c r="Q86">
        <f t="shared" si="98"/>
        <v>142.24409508091199</v>
      </c>
      <c r="R86">
        <f t="shared" si="99"/>
        <v>0.28579363498959026</v>
      </c>
      <c r="S86">
        <f t="shared" si="100"/>
        <v>2.9097038699550386</v>
      </c>
      <c r="T86">
        <f t="shared" si="101"/>
        <v>0.27106429767515294</v>
      </c>
      <c r="U86">
        <f t="shared" si="102"/>
        <v>0.17067527388790388</v>
      </c>
      <c r="V86">
        <f t="shared" si="103"/>
        <v>344.35420065819613</v>
      </c>
      <c r="W86">
        <f t="shared" si="104"/>
        <v>31.280212844171679</v>
      </c>
      <c r="X86">
        <f t="shared" si="105"/>
        <v>29.981200000000001</v>
      </c>
      <c r="Y86">
        <f t="shared" si="106"/>
        <v>4.255851261917031</v>
      </c>
      <c r="Z86">
        <f t="shared" si="107"/>
        <v>65.313953291320431</v>
      </c>
      <c r="AA86">
        <f t="shared" si="108"/>
        <v>2.8307853012864896</v>
      </c>
      <c r="AB86">
        <f t="shared" si="109"/>
        <v>4.3341202892134119</v>
      </c>
      <c r="AC86">
        <f t="shared" si="110"/>
        <v>1.4250659606305414</v>
      </c>
      <c r="AD86">
        <f t="shared" si="111"/>
        <v>-178.60256005363894</v>
      </c>
      <c r="AE86">
        <f t="shared" si="112"/>
        <v>49.821262519756111</v>
      </c>
      <c r="AF86">
        <f t="shared" si="113"/>
        <v>3.8124749861425746</v>
      </c>
      <c r="AG86">
        <f t="shared" si="114"/>
        <v>219.38537811045586</v>
      </c>
      <c r="AH86">
        <v>1</v>
      </c>
      <c r="AI86">
        <v>0</v>
      </c>
      <c r="AJ86">
        <f t="shared" si="115"/>
        <v>1</v>
      </c>
      <c r="AK86">
        <f t="shared" si="116"/>
        <v>0</v>
      </c>
      <c r="AL86">
        <f t="shared" si="117"/>
        <v>51711.561857016561</v>
      </c>
      <c r="AM86" t="s">
        <v>416</v>
      </c>
      <c r="AN86">
        <v>10238.9</v>
      </c>
      <c r="AO86">
        <v>302.21199999999999</v>
      </c>
      <c r="AP86">
        <v>4052.3</v>
      </c>
      <c r="AQ86">
        <f t="shared" si="118"/>
        <v>0.92542210596451402</v>
      </c>
      <c r="AR86">
        <v>-0.32343011824092421</v>
      </c>
      <c r="AS86" t="s">
        <v>774</v>
      </c>
      <c r="AT86">
        <v>10502.9</v>
      </c>
      <c r="AU86">
        <v>764.39580769230759</v>
      </c>
      <c r="AV86">
        <v>1201.4599538547291</v>
      </c>
      <c r="AW86">
        <f t="shared" si="119"/>
        <v>0.36377753978412486</v>
      </c>
      <c r="AX86">
        <v>0.5</v>
      </c>
      <c r="AY86">
        <f t="shared" si="120"/>
        <v>1513.117500329098</v>
      </c>
      <c r="AZ86">
        <f t="shared" si="121"/>
        <v>45.71775788996986</v>
      </c>
      <c r="BA86">
        <f t="shared" si="122"/>
        <v>275.21908083701203</v>
      </c>
      <c r="BB86">
        <f t="shared" si="123"/>
        <v>3.0428032190624309E-2</v>
      </c>
      <c r="BC86">
        <f t="shared" si="124"/>
        <v>2.3728132069643428</v>
      </c>
      <c r="BD86">
        <f t="shared" si="125"/>
        <v>256.77351057355639</v>
      </c>
      <c r="BE86" t="s">
        <v>775</v>
      </c>
      <c r="BF86">
        <v>595.37</v>
      </c>
      <c r="BG86">
        <f t="shared" si="126"/>
        <v>595.37</v>
      </c>
      <c r="BH86">
        <f t="shared" si="127"/>
        <v>0.50446121979360836</v>
      </c>
      <c r="BI86">
        <f t="shared" si="128"/>
        <v>0.72112092170922104</v>
      </c>
      <c r="BJ86">
        <f t="shared" si="129"/>
        <v>0.82467392922196026</v>
      </c>
      <c r="BK86">
        <f t="shared" si="130"/>
        <v>0.48603296153068359</v>
      </c>
      <c r="BL86">
        <f t="shared" si="131"/>
        <v>0.76020617280055058</v>
      </c>
      <c r="BM86">
        <f t="shared" si="132"/>
        <v>0.56166420437883768</v>
      </c>
      <c r="BN86">
        <f t="shared" si="133"/>
        <v>0.43833579562116232</v>
      </c>
      <c r="BO86">
        <v>5602</v>
      </c>
      <c r="BP86">
        <v>290.00000000000011</v>
      </c>
      <c r="BQ86">
        <v>1083.82</v>
      </c>
      <c r="BR86">
        <v>225</v>
      </c>
      <c r="BS86">
        <v>10502.9</v>
      </c>
      <c r="BT86">
        <v>1083.1099999999999</v>
      </c>
      <c r="BU86">
        <v>0.71</v>
      </c>
      <c r="BV86">
        <v>300.00000000000011</v>
      </c>
      <c r="BW86">
        <v>38.299999999999997</v>
      </c>
      <c r="BX86">
        <v>1201.4599538547291</v>
      </c>
      <c r="BY86">
        <v>1.4578088907574469</v>
      </c>
      <c r="BZ86">
        <v>-124.3024141681406</v>
      </c>
      <c r="CA86">
        <v>1.253638433475009</v>
      </c>
      <c r="CB86">
        <v>0.99716006514562505</v>
      </c>
      <c r="CC86">
        <v>-1.1405730144605129E-2</v>
      </c>
      <c r="CD86">
        <v>289.99999999999989</v>
      </c>
      <c r="CE86">
        <v>1073.4100000000001</v>
      </c>
      <c r="CF86">
        <v>645</v>
      </c>
      <c r="CG86">
        <v>10480.4</v>
      </c>
      <c r="CH86">
        <v>1082.8599999999999</v>
      </c>
      <c r="CI86">
        <v>-9.4499999999999993</v>
      </c>
      <c r="CW86">
        <f t="shared" si="134"/>
        <v>1799.92</v>
      </c>
      <c r="CX86">
        <f t="shared" si="135"/>
        <v>1513.117500329098</v>
      </c>
      <c r="CY86">
        <f t="shared" si="136"/>
        <v>0.84065819610265902</v>
      </c>
      <c r="CZ86">
        <f t="shared" si="137"/>
        <v>0.19131639220531807</v>
      </c>
      <c r="DA86">
        <v>6</v>
      </c>
      <c r="DB86">
        <v>0.5</v>
      </c>
      <c r="DC86" t="s">
        <v>419</v>
      </c>
      <c r="DD86">
        <v>2</v>
      </c>
      <c r="DE86">
        <v>1693337943</v>
      </c>
      <c r="DF86">
        <v>1437.92</v>
      </c>
      <c r="DG86">
        <v>1499.77</v>
      </c>
      <c r="DH86">
        <v>28.6159</v>
      </c>
      <c r="DI86">
        <v>23.895</v>
      </c>
      <c r="DJ86">
        <v>1439.98</v>
      </c>
      <c r="DK86">
        <v>28.234300000000001</v>
      </c>
      <c r="DL86">
        <v>499.99599999999998</v>
      </c>
      <c r="DM86">
        <v>98.823599999999999</v>
      </c>
      <c r="DN86">
        <v>9.9911100000000003E-2</v>
      </c>
      <c r="DO86">
        <v>30.2988</v>
      </c>
      <c r="DP86">
        <v>29.981200000000001</v>
      </c>
      <c r="DQ86">
        <v>999.9</v>
      </c>
      <c r="DR86">
        <v>0</v>
      </c>
      <c r="DS86">
        <v>0</v>
      </c>
      <c r="DT86">
        <v>10005</v>
      </c>
      <c r="DU86">
        <v>0</v>
      </c>
      <c r="DV86">
        <v>1404.91</v>
      </c>
      <c r="DW86">
        <v>-61.8553</v>
      </c>
      <c r="DX86">
        <v>1480.28</v>
      </c>
      <c r="DY86">
        <v>1536.49</v>
      </c>
      <c r="DZ86">
        <v>4.7209099999999999</v>
      </c>
      <c r="EA86">
        <v>1499.77</v>
      </c>
      <c r="EB86">
        <v>23.895</v>
      </c>
      <c r="EC86">
        <v>2.8279299999999998</v>
      </c>
      <c r="ED86">
        <v>2.3613900000000001</v>
      </c>
      <c r="EE86">
        <v>23.047999999999998</v>
      </c>
      <c r="EF86">
        <v>20.101400000000002</v>
      </c>
      <c r="EG86">
        <v>1799.92</v>
      </c>
      <c r="EH86">
        <v>0.97799800000000003</v>
      </c>
      <c r="EI86">
        <v>2.20021E-2</v>
      </c>
      <c r="EJ86">
        <v>0</v>
      </c>
      <c r="EK86">
        <v>764.23199999999997</v>
      </c>
      <c r="EL86">
        <v>4.9995000000000003</v>
      </c>
      <c r="EM86">
        <v>14671.3</v>
      </c>
      <c r="EN86">
        <v>16659.099999999999</v>
      </c>
      <c r="EO86">
        <v>48.186999999999998</v>
      </c>
      <c r="EP86">
        <v>49.436999999999998</v>
      </c>
      <c r="EQ86">
        <v>49.061999999999998</v>
      </c>
      <c r="ER86">
        <v>48.686999999999998</v>
      </c>
      <c r="ES86">
        <v>49.5</v>
      </c>
      <c r="ET86">
        <v>1755.43</v>
      </c>
      <c r="EU86">
        <v>39.49</v>
      </c>
      <c r="EV86">
        <v>0</v>
      </c>
      <c r="EW86">
        <v>105.2000000476837</v>
      </c>
      <c r="EX86">
        <v>0</v>
      </c>
      <c r="EY86">
        <v>764.39580769230759</v>
      </c>
      <c r="EZ86">
        <v>-3.646735041997454</v>
      </c>
      <c r="FA86">
        <v>-65.521367460142628</v>
      </c>
      <c r="FB86">
        <v>14681.41923076923</v>
      </c>
      <c r="FC86">
        <v>15</v>
      </c>
      <c r="FD86">
        <v>1693337913</v>
      </c>
      <c r="FE86" t="s">
        <v>776</v>
      </c>
      <c r="FF86">
        <v>1693337913</v>
      </c>
      <c r="FG86">
        <v>1693337900</v>
      </c>
      <c r="FH86">
        <v>76</v>
      </c>
      <c r="FI86">
        <v>0.223</v>
      </c>
      <c r="FJ86">
        <v>-2E-3</v>
      </c>
      <c r="FK86">
        <v>-2.1280000000000001</v>
      </c>
      <c r="FL86">
        <v>0.158</v>
      </c>
      <c r="FM86">
        <v>1501</v>
      </c>
      <c r="FN86">
        <v>23</v>
      </c>
      <c r="FO86">
        <v>0.14000000000000001</v>
      </c>
      <c r="FP86">
        <v>0.06</v>
      </c>
      <c r="FQ86">
        <v>45.847139849067993</v>
      </c>
      <c r="FR86">
        <v>-0.40966650134678467</v>
      </c>
      <c r="FS86">
        <v>0.19508375024782079</v>
      </c>
      <c r="FT86">
        <v>1</v>
      </c>
      <c r="FU86">
        <v>0.28638040541742971</v>
      </c>
      <c r="FV86">
        <v>1.9612615328910239E-2</v>
      </c>
      <c r="FW86">
        <v>2.0489526410661322E-3</v>
      </c>
      <c r="FX86">
        <v>1</v>
      </c>
      <c r="FY86">
        <v>2</v>
      </c>
      <c r="FZ86">
        <v>2</v>
      </c>
      <c r="GA86" t="s">
        <v>421</v>
      </c>
      <c r="GB86">
        <v>2.9678100000000001</v>
      </c>
      <c r="GC86">
        <v>2.8116500000000002</v>
      </c>
      <c r="GD86">
        <v>0.230433</v>
      </c>
      <c r="GE86">
        <v>0.23371500000000001</v>
      </c>
      <c r="GF86">
        <v>0.13352600000000001</v>
      </c>
      <c r="GG86">
        <v>0.117155</v>
      </c>
      <c r="GH86">
        <v>22664.3</v>
      </c>
      <c r="GI86">
        <v>20778.400000000001</v>
      </c>
      <c r="GJ86">
        <v>26487.7</v>
      </c>
      <c r="GK86">
        <v>25603.3</v>
      </c>
      <c r="GL86">
        <v>31246.1</v>
      </c>
      <c r="GM86">
        <v>31879.599999999999</v>
      </c>
      <c r="GN86">
        <v>37494.6</v>
      </c>
      <c r="GO86">
        <v>37910.6</v>
      </c>
      <c r="GP86">
        <v>1.9333</v>
      </c>
      <c r="GQ86">
        <v>1.9248000000000001</v>
      </c>
      <c r="GR86">
        <v>2.7358500000000001E-2</v>
      </c>
      <c r="GS86">
        <v>0</v>
      </c>
      <c r="GT86">
        <v>29.535799999999998</v>
      </c>
      <c r="GU86">
        <v>999.9</v>
      </c>
      <c r="GV86">
        <v>36.4</v>
      </c>
      <c r="GW86">
        <v>40.4</v>
      </c>
      <c r="GX86">
        <v>27.8948</v>
      </c>
      <c r="GY86">
        <v>61.677199999999999</v>
      </c>
      <c r="GZ86">
        <v>12.8606</v>
      </c>
      <c r="HA86">
        <v>1</v>
      </c>
      <c r="HB86">
        <v>0.51658499999999996</v>
      </c>
      <c r="HC86">
        <v>3.3539500000000002</v>
      </c>
      <c r="HD86">
        <v>20.273</v>
      </c>
      <c r="HE86">
        <v>5.2088999999999999</v>
      </c>
      <c r="HF86">
        <v>11.9381</v>
      </c>
      <c r="HG86">
        <v>4.9871999999999996</v>
      </c>
      <c r="HH86">
        <v>3.2909999999999999</v>
      </c>
      <c r="HI86">
        <v>9999</v>
      </c>
      <c r="HJ86">
        <v>9999</v>
      </c>
      <c r="HK86">
        <v>9999</v>
      </c>
      <c r="HL86">
        <v>999.9</v>
      </c>
      <c r="HM86">
        <v>1.8702700000000001</v>
      </c>
      <c r="HN86">
        <v>1.87645</v>
      </c>
      <c r="HO86">
        <v>1.8742399999999999</v>
      </c>
      <c r="HP86">
        <v>1.8724799999999999</v>
      </c>
      <c r="HQ86">
        <v>1.87294</v>
      </c>
      <c r="HR86">
        <v>1.87039</v>
      </c>
      <c r="HS86">
        <v>1.87622</v>
      </c>
      <c r="HT86">
        <v>1.8754299999999999</v>
      </c>
      <c r="HU86">
        <v>5</v>
      </c>
      <c r="HV86">
        <v>0</v>
      </c>
      <c r="HW86">
        <v>0</v>
      </c>
      <c r="HX86">
        <v>0</v>
      </c>
      <c r="HY86" t="s">
        <v>422</v>
      </c>
      <c r="HZ86" t="s">
        <v>423</v>
      </c>
      <c r="IA86" t="s">
        <v>424</v>
      </c>
      <c r="IB86" t="s">
        <v>424</v>
      </c>
      <c r="IC86" t="s">
        <v>424</v>
      </c>
      <c r="ID86" t="s">
        <v>424</v>
      </c>
      <c r="IE86">
        <v>0</v>
      </c>
      <c r="IF86">
        <v>100</v>
      </c>
      <c r="IG86">
        <v>100</v>
      </c>
      <c r="IH86">
        <v>-2.06</v>
      </c>
      <c r="II86">
        <v>0.38159999999999999</v>
      </c>
      <c r="IJ86">
        <v>-0.37482090552059111</v>
      </c>
      <c r="IK86">
        <v>-2.677719669153116E-3</v>
      </c>
      <c r="IL86">
        <v>1.9353498771248068E-6</v>
      </c>
      <c r="IM86">
        <v>-6.1862177325538213E-10</v>
      </c>
      <c r="IN86">
        <v>-0.2437028755838663</v>
      </c>
      <c r="IO86">
        <v>-1.5299015507423901E-2</v>
      </c>
      <c r="IP86">
        <v>1.742162107778985E-3</v>
      </c>
      <c r="IQ86">
        <v>-1.472690239905804E-5</v>
      </c>
      <c r="IR86">
        <v>3</v>
      </c>
      <c r="IS86">
        <v>2255</v>
      </c>
      <c r="IT86">
        <v>2</v>
      </c>
      <c r="IU86">
        <v>41</v>
      </c>
      <c r="IV86">
        <v>0.5</v>
      </c>
      <c r="IW86">
        <v>0.7</v>
      </c>
      <c r="IX86">
        <v>2.8283700000000001</v>
      </c>
      <c r="IY86">
        <v>2.50854</v>
      </c>
      <c r="IZ86">
        <v>1.5991200000000001</v>
      </c>
      <c r="JA86">
        <v>2.2631800000000002</v>
      </c>
      <c r="JB86">
        <v>1.5502899999999999</v>
      </c>
      <c r="JC86">
        <v>2.4340799999999998</v>
      </c>
      <c r="JD86">
        <v>41.586599999999997</v>
      </c>
      <c r="JE86">
        <v>15.4542</v>
      </c>
      <c r="JF86">
        <v>18</v>
      </c>
      <c r="JG86">
        <v>501.46699999999998</v>
      </c>
      <c r="JH86">
        <v>464.62599999999998</v>
      </c>
      <c r="JI86">
        <v>25.243300000000001</v>
      </c>
      <c r="JJ86">
        <v>33.814900000000002</v>
      </c>
      <c r="JK86">
        <v>29.999500000000001</v>
      </c>
      <c r="JL86">
        <v>33.848199999999999</v>
      </c>
      <c r="JM86">
        <v>33.825400000000002</v>
      </c>
      <c r="JN86">
        <v>56.612000000000002</v>
      </c>
      <c r="JO86">
        <v>23.296600000000002</v>
      </c>
      <c r="JP86">
        <v>30.021799999999999</v>
      </c>
      <c r="JQ86">
        <v>25.577000000000002</v>
      </c>
      <c r="JR86">
        <v>1500</v>
      </c>
      <c r="JS86">
        <v>23.818300000000001</v>
      </c>
      <c r="JT86">
        <v>98.890699999999995</v>
      </c>
      <c r="JU86">
        <v>98.448599999999999</v>
      </c>
    </row>
    <row r="87" spans="1:281" x14ac:dyDescent="0.25">
      <c r="A87">
        <v>71</v>
      </c>
      <c r="B87">
        <v>1693339671.5999999</v>
      </c>
      <c r="C87">
        <v>17374.5</v>
      </c>
      <c r="D87" t="s">
        <v>777</v>
      </c>
      <c r="E87" t="s">
        <v>778</v>
      </c>
      <c r="F87" t="s">
        <v>413</v>
      </c>
      <c r="G87" t="s">
        <v>414</v>
      </c>
      <c r="H87" t="s">
        <v>779</v>
      </c>
      <c r="I87" t="s">
        <v>415</v>
      </c>
      <c r="J87">
        <v>1693339671.5999999</v>
      </c>
      <c r="K87">
        <f t="shared" si="92"/>
        <v>4.243582796684694E-3</v>
      </c>
      <c r="L87">
        <f t="shared" si="93"/>
        <v>4.2435827966846942</v>
      </c>
      <c r="M87">
        <f t="shared" si="94"/>
        <v>39.537451659716474</v>
      </c>
      <c r="N87">
        <f t="shared" si="95"/>
        <v>350.88099999999997</v>
      </c>
      <c r="O87">
        <f t="shared" si="96"/>
        <v>111.86093179506143</v>
      </c>
      <c r="P87">
        <f t="shared" si="97"/>
        <v>11.06248740917726</v>
      </c>
      <c r="Q87">
        <f t="shared" si="98"/>
        <v>34.700378249404999</v>
      </c>
      <c r="R87">
        <f t="shared" si="99"/>
        <v>0.2838024276324394</v>
      </c>
      <c r="S87">
        <f t="shared" si="100"/>
        <v>2.9035061361040917</v>
      </c>
      <c r="T87">
        <f t="shared" si="101"/>
        <v>0.26924271123947413</v>
      </c>
      <c r="U87">
        <f t="shared" si="102"/>
        <v>0.16952255856403592</v>
      </c>
      <c r="V87">
        <f t="shared" si="103"/>
        <v>344.3821006579746</v>
      </c>
      <c r="W87">
        <f t="shared" si="104"/>
        <v>30.79165116509191</v>
      </c>
      <c r="X87">
        <f t="shared" si="105"/>
        <v>30.0032</v>
      </c>
      <c r="Y87">
        <f t="shared" si="106"/>
        <v>4.2612329287233823</v>
      </c>
      <c r="Z87">
        <f t="shared" si="107"/>
        <v>65.259855758936808</v>
      </c>
      <c r="AA87">
        <f t="shared" si="108"/>
        <v>2.7578454464330004</v>
      </c>
      <c r="AB87">
        <f t="shared" si="109"/>
        <v>4.22594474713551</v>
      </c>
      <c r="AC87">
        <f t="shared" si="110"/>
        <v>1.5033874822903819</v>
      </c>
      <c r="AD87">
        <f t="shared" si="111"/>
        <v>-187.14200133379501</v>
      </c>
      <c r="AE87">
        <f t="shared" si="112"/>
        <v>-22.650444160555505</v>
      </c>
      <c r="AF87">
        <f t="shared" si="113"/>
        <v>-1.7333877275438443</v>
      </c>
      <c r="AG87">
        <f t="shared" si="114"/>
        <v>132.85626743608023</v>
      </c>
      <c r="AH87">
        <v>0</v>
      </c>
      <c r="AI87">
        <v>0</v>
      </c>
      <c r="AJ87">
        <f t="shared" si="115"/>
        <v>1</v>
      </c>
      <c r="AK87">
        <f t="shared" si="116"/>
        <v>0</v>
      </c>
      <c r="AL87">
        <f t="shared" si="117"/>
        <v>51610.135670154319</v>
      </c>
      <c r="AM87" t="s">
        <v>416</v>
      </c>
      <c r="AN87">
        <v>10238.9</v>
      </c>
      <c r="AO87">
        <v>302.21199999999999</v>
      </c>
      <c r="AP87">
        <v>4052.3</v>
      </c>
      <c r="AQ87">
        <f t="shared" si="118"/>
        <v>0.92542210596451402</v>
      </c>
      <c r="AR87">
        <v>-0.32343011824092421</v>
      </c>
      <c r="AS87" t="s">
        <v>780</v>
      </c>
      <c r="AT87">
        <v>10457.4</v>
      </c>
      <c r="AU87">
        <v>835.24319999999989</v>
      </c>
      <c r="AV87">
        <v>1183.129935778298</v>
      </c>
      <c r="AW87">
        <f t="shared" si="119"/>
        <v>0.29403933182490882</v>
      </c>
      <c r="AX87">
        <v>0.5</v>
      </c>
      <c r="AY87">
        <f t="shared" si="120"/>
        <v>1513.2432003289873</v>
      </c>
      <c r="AZ87">
        <f t="shared" si="121"/>
        <v>39.537451659716474</v>
      </c>
      <c r="BA87">
        <f t="shared" si="122"/>
        <v>222.47650975666105</v>
      </c>
      <c r="BB87">
        <f t="shared" si="123"/>
        <v>2.6341358592783647E-2</v>
      </c>
      <c r="BC87">
        <f t="shared" si="124"/>
        <v>2.4250675918653659</v>
      </c>
      <c r="BD87">
        <f t="shared" si="125"/>
        <v>255.92611542383776</v>
      </c>
      <c r="BE87" t="s">
        <v>781</v>
      </c>
      <c r="BF87">
        <v>627.12</v>
      </c>
      <c r="BG87">
        <f t="shared" si="126"/>
        <v>627.12</v>
      </c>
      <c r="BH87">
        <f t="shared" si="127"/>
        <v>0.46994832855153656</v>
      </c>
      <c r="BI87">
        <f t="shared" si="128"/>
        <v>0.62568438690098083</v>
      </c>
      <c r="BJ87">
        <f t="shared" si="129"/>
        <v>0.83766986383830977</v>
      </c>
      <c r="BK87">
        <f t="shared" si="130"/>
        <v>0.39491389793413323</v>
      </c>
      <c r="BL87">
        <f t="shared" si="131"/>
        <v>0.76509406291844395</v>
      </c>
      <c r="BM87">
        <f t="shared" si="132"/>
        <v>0.46977837438645792</v>
      </c>
      <c r="BN87">
        <f t="shared" si="133"/>
        <v>0.53022162561354214</v>
      </c>
      <c r="BO87">
        <v>5604</v>
      </c>
      <c r="BP87">
        <v>290.00000000000011</v>
      </c>
      <c r="BQ87">
        <v>1091.19</v>
      </c>
      <c r="BR87">
        <v>215</v>
      </c>
      <c r="BS87">
        <v>10457.4</v>
      </c>
      <c r="BT87">
        <v>1087.74</v>
      </c>
      <c r="BU87">
        <v>3.45</v>
      </c>
      <c r="BV87">
        <v>300.00000000000011</v>
      </c>
      <c r="BW87">
        <v>38.299999999999997</v>
      </c>
      <c r="BX87">
        <v>1183.129935778298</v>
      </c>
      <c r="BY87">
        <v>1.419161442609759</v>
      </c>
      <c r="BZ87">
        <v>-99.756137045867845</v>
      </c>
      <c r="CA87">
        <v>1.214981559379088</v>
      </c>
      <c r="CB87">
        <v>0.99586364280584028</v>
      </c>
      <c r="CC87">
        <v>-1.135350500556173E-2</v>
      </c>
      <c r="CD87">
        <v>289.99999999999989</v>
      </c>
      <c r="CE87">
        <v>1077.8800000000001</v>
      </c>
      <c r="CF87">
        <v>645</v>
      </c>
      <c r="CG87">
        <v>10433.700000000001</v>
      </c>
      <c r="CH87">
        <v>1087.52</v>
      </c>
      <c r="CI87">
        <v>-9.64</v>
      </c>
      <c r="CW87">
        <f t="shared" si="134"/>
        <v>1800.07</v>
      </c>
      <c r="CX87">
        <f t="shared" si="135"/>
        <v>1513.2432003289873</v>
      </c>
      <c r="CY87">
        <f t="shared" si="136"/>
        <v>0.84065797459486979</v>
      </c>
      <c r="CZ87">
        <f t="shared" si="137"/>
        <v>0.19131594918973963</v>
      </c>
      <c r="DA87">
        <v>6</v>
      </c>
      <c r="DB87">
        <v>0.5</v>
      </c>
      <c r="DC87" t="s">
        <v>419</v>
      </c>
      <c r="DD87">
        <v>2</v>
      </c>
      <c r="DE87">
        <v>1693339671.5999999</v>
      </c>
      <c r="DF87">
        <v>350.88099999999997</v>
      </c>
      <c r="DG87">
        <v>400.07799999999997</v>
      </c>
      <c r="DH87">
        <v>27.886600000000001</v>
      </c>
      <c r="DI87">
        <v>22.939800000000002</v>
      </c>
      <c r="DJ87">
        <v>352.5</v>
      </c>
      <c r="DK87">
        <v>27.518599999999999</v>
      </c>
      <c r="DL87">
        <v>500.35300000000001</v>
      </c>
      <c r="DM87">
        <v>98.794499999999999</v>
      </c>
      <c r="DN87">
        <v>0.100505</v>
      </c>
      <c r="DO87">
        <v>29.858499999999999</v>
      </c>
      <c r="DP87">
        <v>30.0032</v>
      </c>
      <c r="DQ87">
        <v>999.9</v>
      </c>
      <c r="DR87">
        <v>0</v>
      </c>
      <c r="DS87">
        <v>0</v>
      </c>
      <c r="DT87">
        <v>9972.5</v>
      </c>
      <c r="DU87">
        <v>0</v>
      </c>
      <c r="DV87">
        <v>1517.04</v>
      </c>
      <c r="DW87">
        <v>-49.196899999999999</v>
      </c>
      <c r="DX87">
        <v>360.947</v>
      </c>
      <c r="DY87">
        <v>409.471</v>
      </c>
      <c r="DZ87">
        <v>4.9467999999999996</v>
      </c>
      <c r="EA87">
        <v>400.07799999999997</v>
      </c>
      <c r="EB87">
        <v>22.939800000000002</v>
      </c>
      <c r="EC87">
        <v>2.7550500000000002</v>
      </c>
      <c r="ED87">
        <v>2.26633</v>
      </c>
      <c r="EE87">
        <v>22.6172</v>
      </c>
      <c r="EF87">
        <v>19.4391</v>
      </c>
      <c r="EG87">
        <v>1800.07</v>
      </c>
      <c r="EH87">
        <v>0.97800699999999996</v>
      </c>
      <c r="EI87">
        <v>2.1993200000000001E-2</v>
      </c>
      <c r="EJ87">
        <v>0</v>
      </c>
      <c r="EK87">
        <v>834.8</v>
      </c>
      <c r="EL87">
        <v>4.9995000000000003</v>
      </c>
      <c r="EM87">
        <v>16215.7</v>
      </c>
      <c r="EN87">
        <v>16660.5</v>
      </c>
      <c r="EO87">
        <v>47.625</v>
      </c>
      <c r="EP87">
        <v>49.436999999999998</v>
      </c>
      <c r="EQ87">
        <v>48.625</v>
      </c>
      <c r="ER87">
        <v>48.061999999999998</v>
      </c>
      <c r="ES87">
        <v>48.936999999999998</v>
      </c>
      <c r="ET87">
        <v>1755.59</v>
      </c>
      <c r="EU87">
        <v>39.479999999999997</v>
      </c>
      <c r="EV87">
        <v>0</v>
      </c>
      <c r="EW87">
        <v>1726.7999999523161</v>
      </c>
      <c r="EX87">
        <v>0</v>
      </c>
      <c r="EY87">
        <v>835.24319999999989</v>
      </c>
      <c r="EZ87">
        <v>-2.1837692225407408</v>
      </c>
      <c r="FA87">
        <v>-38.746153850901429</v>
      </c>
      <c r="FB87">
        <v>16217.504000000001</v>
      </c>
      <c r="FC87">
        <v>15</v>
      </c>
      <c r="FD87">
        <v>1693339642.0999999</v>
      </c>
      <c r="FE87" t="s">
        <v>782</v>
      </c>
      <c r="FF87">
        <v>1693339639.5999999</v>
      </c>
      <c r="FG87">
        <v>1693339642.0999999</v>
      </c>
      <c r="FH87">
        <v>79</v>
      </c>
      <c r="FI87">
        <v>1.4E-2</v>
      </c>
      <c r="FJ87">
        <v>1E-3</v>
      </c>
      <c r="FK87">
        <v>-1.6919999999999999</v>
      </c>
      <c r="FL87">
        <v>0.14399999999999999</v>
      </c>
      <c r="FM87">
        <v>400</v>
      </c>
      <c r="FN87">
        <v>23</v>
      </c>
      <c r="FO87">
        <v>0.11</v>
      </c>
      <c r="FP87">
        <v>0.04</v>
      </c>
      <c r="FQ87">
        <v>39.553647443292029</v>
      </c>
      <c r="FR87">
        <v>-0.67220808421802025</v>
      </c>
      <c r="FS87">
        <v>8.2417649970340567E-2</v>
      </c>
      <c r="FT87">
        <v>1</v>
      </c>
      <c r="FU87">
        <v>0.27805291428805251</v>
      </c>
      <c r="FV87">
        <v>2.7927484093343839E-2</v>
      </c>
      <c r="FW87">
        <v>2.6293266923330129E-3</v>
      </c>
      <c r="FX87">
        <v>1</v>
      </c>
      <c r="FY87">
        <v>2</v>
      </c>
      <c r="FZ87">
        <v>2</v>
      </c>
      <c r="GA87" t="s">
        <v>421</v>
      </c>
      <c r="GB87">
        <v>2.9687999999999999</v>
      </c>
      <c r="GC87">
        <v>2.81196</v>
      </c>
      <c r="GD87">
        <v>8.6817699999999998E-2</v>
      </c>
      <c r="GE87">
        <v>9.48383E-2</v>
      </c>
      <c r="GF87">
        <v>0.13114500000000001</v>
      </c>
      <c r="GG87">
        <v>0.113857</v>
      </c>
      <c r="GH87">
        <v>26907.8</v>
      </c>
      <c r="GI87">
        <v>24555</v>
      </c>
      <c r="GJ87">
        <v>26492</v>
      </c>
      <c r="GK87">
        <v>25604.5</v>
      </c>
      <c r="GL87">
        <v>31324.7</v>
      </c>
      <c r="GM87">
        <v>31989.1</v>
      </c>
      <c r="GN87">
        <v>37499</v>
      </c>
      <c r="GO87">
        <v>37911.199999999997</v>
      </c>
      <c r="GP87">
        <v>1.9371</v>
      </c>
      <c r="GQ87">
        <v>1.9319999999999999</v>
      </c>
      <c r="GR87">
        <v>-7.5548899999999999E-3</v>
      </c>
      <c r="GS87">
        <v>0</v>
      </c>
      <c r="GT87">
        <v>30.126100000000001</v>
      </c>
      <c r="GU87">
        <v>999.9</v>
      </c>
      <c r="GV87">
        <v>39.6</v>
      </c>
      <c r="GW87">
        <v>38.299999999999997</v>
      </c>
      <c r="GX87">
        <v>27.121099999999998</v>
      </c>
      <c r="GY87">
        <v>61.860300000000002</v>
      </c>
      <c r="GZ87">
        <v>12.528</v>
      </c>
      <c r="HA87">
        <v>1</v>
      </c>
      <c r="HB87">
        <v>0.52086399999999999</v>
      </c>
      <c r="HC87">
        <v>4.4325200000000002</v>
      </c>
      <c r="HD87">
        <v>20.197500000000002</v>
      </c>
      <c r="HE87">
        <v>5.2071100000000001</v>
      </c>
      <c r="HF87">
        <v>11.9381</v>
      </c>
      <c r="HG87">
        <v>4.9870000000000001</v>
      </c>
      <c r="HH87">
        <v>3.2909999999999999</v>
      </c>
      <c r="HI87">
        <v>9999</v>
      </c>
      <c r="HJ87">
        <v>9999</v>
      </c>
      <c r="HK87">
        <v>9999</v>
      </c>
      <c r="HL87">
        <v>999.9</v>
      </c>
      <c r="HM87">
        <v>1.87087</v>
      </c>
      <c r="HN87">
        <v>1.8769800000000001</v>
      </c>
      <c r="HO87">
        <v>1.87483</v>
      </c>
      <c r="HP87">
        <v>1.8730199999999999</v>
      </c>
      <c r="HQ87">
        <v>1.87347</v>
      </c>
      <c r="HR87">
        <v>1.8708800000000001</v>
      </c>
      <c r="HS87">
        <v>1.87683</v>
      </c>
      <c r="HT87">
        <v>1.87592</v>
      </c>
      <c r="HU87">
        <v>5</v>
      </c>
      <c r="HV87">
        <v>0</v>
      </c>
      <c r="HW87">
        <v>0</v>
      </c>
      <c r="HX87">
        <v>0</v>
      </c>
      <c r="HY87" t="s">
        <v>422</v>
      </c>
      <c r="HZ87" t="s">
        <v>423</v>
      </c>
      <c r="IA87" t="s">
        <v>424</v>
      </c>
      <c r="IB87" t="s">
        <v>424</v>
      </c>
      <c r="IC87" t="s">
        <v>424</v>
      </c>
      <c r="ID87" t="s">
        <v>424</v>
      </c>
      <c r="IE87">
        <v>0</v>
      </c>
      <c r="IF87">
        <v>100</v>
      </c>
      <c r="IG87">
        <v>100</v>
      </c>
      <c r="IH87">
        <v>-1.619</v>
      </c>
      <c r="II87">
        <v>0.36799999999999999</v>
      </c>
      <c r="IJ87">
        <v>-0.88824689198425055</v>
      </c>
      <c r="IK87">
        <v>-2.677719669153116E-3</v>
      </c>
      <c r="IL87">
        <v>1.9353498771248068E-6</v>
      </c>
      <c r="IM87">
        <v>-6.1862177325538213E-10</v>
      </c>
      <c r="IN87">
        <v>-0.2233831439392221</v>
      </c>
      <c r="IO87">
        <v>-1.5299015507423901E-2</v>
      </c>
      <c r="IP87">
        <v>1.742162107778985E-3</v>
      </c>
      <c r="IQ87">
        <v>-1.472690239905804E-5</v>
      </c>
      <c r="IR87">
        <v>3</v>
      </c>
      <c r="IS87">
        <v>2255</v>
      </c>
      <c r="IT87">
        <v>2</v>
      </c>
      <c r="IU87">
        <v>41</v>
      </c>
      <c r="IV87">
        <v>0.5</v>
      </c>
      <c r="IW87">
        <v>0.5</v>
      </c>
      <c r="IX87">
        <v>0.95947300000000002</v>
      </c>
      <c r="IY87">
        <v>2.5109900000000001</v>
      </c>
      <c r="IZ87">
        <v>1.5991200000000001</v>
      </c>
      <c r="JA87">
        <v>2.2668499999999998</v>
      </c>
      <c r="JB87">
        <v>1.5502899999999999</v>
      </c>
      <c r="JC87">
        <v>2.4316399999999998</v>
      </c>
      <c r="JD87">
        <v>41.6389</v>
      </c>
      <c r="JE87">
        <v>23.772300000000001</v>
      </c>
      <c r="JF87">
        <v>18</v>
      </c>
      <c r="JG87">
        <v>503.03500000000003</v>
      </c>
      <c r="JH87">
        <v>468.26</v>
      </c>
      <c r="JI87">
        <v>23.877500000000001</v>
      </c>
      <c r="JJ87">
        <v>33.777799999999999</v>
      </c>
      <c r="JK87">
        <v>30</v>
      </c>
      <c r="JL87">
        <v>33.732100000000003</v>
      </c>
      <c r="JM87">
        <v>33.698700000000002</v>
      </c>
      <c r="JN87">
        <v>19.234400000000001</v>
      </c>
      <c r="JO87">
        <v>25.2257</v>
      </c>
      <c r="JP87">
        <v>33.972700000000003</v>
      </c>
      <c r="JQ87">
        <v>23.877199999999998</v>
      </c>
      <c r="JR87">
        <v>400</v>
      </c>
      <c r="JS87">
        <v>22.878</v>
      </c>
      <c r="JT87">
        <v>98.904200000000003</v>
      </c>
      <c r="JU87">
        <v>98.451499999999996</v>
      </c>
    </row>
    <row r="88" spans="1:281" x14ac:dyDescent="0.25">
      <c r="A88">
        <v>72</v>
      </c>
      <c r="B88">
        <v>1693339771.5999999</v>
      </c>
      <c r="C88">
        <v>17474.5</v>
      </c>
      <c r="D88" t="s">
        <v>783</v>
      </c>
      <c r="E88" t="s">
        <v>784</v>
      </c>
      <c r="F88" t="s">
        <v>413</v>
      </c>
      <c r="G88" t="s">
        <v>414</v>
      </c>
      <c r="H88" t="s">
        <v>779</v>
      </c>
      <c r="I88" t="s">
        <v>415</v>
      </c>
      <c r="J88">
        <v>1693339771.5999999</v>
      </c>
      <c r="K88">
        <f t="shared" si="92"/>
        <v>4.1352237359766194E-3</v>
      </c>
      <c r="L88">
        <f t="shared" si="93"/>
        <v>4.1352237359766191</v>
      </c>
      <c r="M88">
        <f t="shared" si="94"/>
        <v>30.459662346472353</v>
      </c>
      <c r="N88">
        <f t="shared" si="95"/>
        <v>262.17</v>
      </c>
      <c r="O88">
        <f t="shared" si="96"/>
        <v>72.602123386640372</v>
      </c>
      <c r="P88">
        <f t="shared" si="97"/>
        <v>7.1800424893849168</v>
      </c>
      <c r="Q88">
        <f t="shared" si="98"/>
        <v>25.927502552748003</v>
      </c>
      <c r="R88">
        <f t="shared" si="99"/>
        <v>0.27473145713807495</v>
      </c>
      <c r="S88">
        <f t="shared" si="100"/>
        <v>2.9013506358902306</v>
      </c>
      <c r="T88">
        <f t="shared" si="101"/>
        <v>0.2610539043275415</v>
      </c>
      <c r="U88">
        <f t="shared" si="102"/>
        <v>0.16433080181298404</v>
      </c>
      <c r="V88">
        <f t="shared" si="103"/>
        <v>344.36500065800743</v>
      </c>
      <c r="W88">
        <f t="shared" si="104"/>
        <v>30.809579723847328</v>
      </c>
      <c r="X88">
        <f t="shared" si="105"/>
        <v>30.041799999999999</v>
      </c>
      <c r="Y88">
        <f t="shared" si="106"/>
        <v>4.2706896405044992</v>
      </c>
      <c r="Z88">
        <f t="shared" si="107"/>
        <v>65.347779432302801</v>
      </c>
      <c r="AA88">
        <f t="shared" si="108"/>
        <v>2.7598148700757203</v>
      </c>
      <c r="AB88">
        <f t="shared" si="109"/>
        <v>4.2232726101041544</v>
      </c>
      <c r="AC88">
        <f t="shared" si="110"/>
        <v>1.5108747704287788</v>
      </c>
      <c r="AD88">
        <f t="shared" si="111"/>
        <v>-182.36336675656892</v>
      </c>
      <c r="AE88">
        <f t="shared" si="112"/>
        <v>-30.391942688174524</v>
      </c>
      <c r="AF88">
        <f t="shared" si="113"/>
        <v>-2.3278734024181369</v>
      </c>
      <c r="AG88">
        <f t="shared" si="114"/>
        <v>129.28181781084584</v>
      </c>
      <c r="AH88">
        <v>0</v>
      </c>
      <c r="AI88">
        <v>0</v>
      </c>
      <c r="AJ88">
        <f t="shared" si="115"/>
        <v>1</v>
      </c>
      <c r="AK88">
        <f t="shared" si="116"/>
        <v>0</v>
      </c>
      <c r="AL88">
        <f t="shared" si="117"/>
        <v>51550.898662888285</v>
      </c>
      <c r="AM88" t="s">
        <v>416</v>
      </c>
      <c r="AN88">
        <v>10238.9</v>
      </c>
      <c r="AO88">
        <v>302.21199999999999</v>
      </c>
      <c r="AP88">
        <v>4052.3</v>
      </c>
      <c r="AQ88">
        <f t="shared" si="118"/>
        <v>0.92542210596451402</v>
      </c>
      <c r="AR88">
        <v>-0.32343011824092421</v>
      </c>
      <c r="AS88" t="s">
        <v>785</v>
      </c>
      <c r="AT88">
        <v>10454.700000000001</v>
      </c>
      <c r="AU88">
        <v>776.46096153846156</v>
      </c>
      <c r="AV88">
        <v>1037.2264329216951</v>
      </c>
      <c r="AW88">
        <f t="shared" si="119"/>
        <v>0.25140650402506648</v>
      </c>
      <c r="AX88">
        <v>0.5</v>
      </c>
      <c r="AY88">
        <f t="shared" si="120"/>
        <v>1513.1676003290036</v>
      </c>
      <c r="AZ88">
        <f t="shared" si="121"/>
        <v>30.459662346472353</v>
      </c>
      <c r="BA88">
        <f t="shared" si="122"/>
        <v>190.21008820135691</v>
      </c>
      <c r="BB88">
        <f t="shared" si="123"/>
        <v>2.0343478447476804E-2</v>
      </c>
      <c r="BC88">
        <f t="shared" si="124"/>
        <v>2.9068614830662791</v>
      </c>
      <c r="BD88">
        <f t="shared" si="125"/>
        <v>248.3687359219532</v>
      </c>
      <c r="BE88" t="s">
        <v>786</v>
      </c>
      <c r="BF88">
        <v>598.4</v>
      </c>
      <c r="BG88">
        <f t="shared" si="126"/>
        <v>598.4</v>
      </c>
      <c r="BH88">
        <f t="shared" si="127"/>
        <v>0.42307679306397317</v>
      </c>
      <c r="BI88">
        <f t="shared" si="128"/>
        <v>0.59423373757834896</v>
      </c>
      <c r="BJ88">
        <f t="shared" si="129"/>
        <v>0.87294755698726223</v>
      </c>
      <c r="BK88">
        <f t="shared" si="130"/>
        <v>0.35477598765875418</v>
      </c>
      <c r="BL88">
        <f t="shared" si="131"/>
        <v>0.80400075066993226</v>
      </c>
      <c r="BM88">
        <f t="shared" si="132"/>
        <v>0.45796181157946098</v>
      </c>
      <c r="BN88">
        <f t="shared" si="133"/>
        <v>0.54203818842053897</v>
      </c>
      <c r="BO88">
        <v>5606</v>
      </c>
      <c r="BP88">
        <v>290.00000000000011</v>
      </c>
      <c r="BQ88">
        <v>966.1</v>
      </c>
      <c r="BR88">
        <v>225</v>
      </c>
      <c r="BS88">
        <v>10454.700000000001</v>
      </c>
      <c r="BT88">
        <v>962.92</v>
      </c>
      <c r="BU88">
        <v>3.18</v>
      </c>
      <c r="BV88">
        <v>300.00000000000011</v>
      </c>
      <c r="BW88">
        <v>38.299999999999997</v>
      </c>
      <c r="BX88">
        <v>1037.2264329216951</v>
      </c>
      <c r="BY88">
        <v>1.2425225332432159</v>
      </c>
      <c r="BZ88">
        <v>-77.686707174755142</v>
      </c>
      <c r="CA88">
        <v>1.063662657324399</v>
      </c>
      <c r="CB88">
        <v>0.99477845770182238</v>
      </c>
      <c r="CC88">
        <v>-1.1352201557285869E-2</v>
      </c>
      <c r="CD88">
        <v>289.99999999999989</v>
      </c>
      <c r="CE88">
        <v>956.31</v>
      </c>
      <c r="CF88">
        <v>655</v>
      </c>
      <c r="CG88">
        <v>10431.799999999999</v>
      </c>
      <c r="CH88">
        <v>962.76</v>
      </c>
      <c r="CI88">
        <v>-6.45</v>
      </c>
      <c r="CW88">
        <f t="shared" si="134"/>
        <v>1799.98</v>
      </c>
      <c r="CX88">
        <f t="shared" si="135"/>
        <v>1513.1676003290036</v>
      </c>
      <c r="CY88">
        <f t="shared" si="136"/>
        <v>0.84065800749397412</v>
      </c>
      <c r="CZ88">
        <f t="shared" si="137"/>
        <v>0.19131601498794845</v>
      </c>
      <c r="DA88">
        <v>6</v>
      </c>
      <c r="DB88">
        <v>0.5</v>
      </c>
      <c r="DC88" t="s">
        <v>419</v>
      </c>
      <c r="DD88">
        <v>2</v>
      </c>
      <c r="DE88">
        <v>1693339771.5999999</v>
      </c>
      <c r="DF88">
        <v>262.17</v>
      </c>
      <c r="DG88">
        <v>300.01400000000001</v>
      </c>
      <c r="DH88">
        <v>27.906300000000002</v>
      </c>
      <c r="DI88">
        <v>23.083600000000001</v>
      </c>
      <c r="DJ88">
        <v>263.50299999999999</v>
      </c>
      <c r="DK88">
        <v>27.5365</v>
      </c>
      <c r="DL88">
        <v>500.113</v>
      </c>
      <c r="DM88">
        <v>98.796400000000006</v>
      </c>
      <c r="DN88">
        <v>9.9364400000000005E-2</v>
      </c>
      <c r="DO88">
        <v>29.8475</v>
      </c>
      <c r="DP88">
        <v>30.041799999999999</v>
      </c>
      <c r="DQ88">
        <v>999.9</v>
      </c>
      <c r="DR88">
        <v>0</v>
      </c>
      <c r="DS88">
        <v>0</v>
      </c>
      <c r="DT88">
        <v>9960</v>
      </c>
      <c r="DU88">
        <v>0</v>
      </c>
      <c r="DV88">
        <v>1527.59</v>
      </c>
      <c r="DW88">
        <v>-37.8444</v>
      </c>
      <c r="DX88">
        <v>269.69600000000003</v>
      </c>
      <c r="DY88">
        <v>307.10300000000001</v>
      </c>
      <c r="DZ88">
        <v>4.82273</v>
      </c>
      <c r="EA88">
        <v>300.01400000000001</v>
      </c>
      <c r="EB88">
        <v>23.083600000000001</v>
      </c>
      <c r="EC88">
        <v>2.75705</v>
      </c>
      <c r="ED88">
        <v>2.2805800000000001</v>
      </c>
      <c r="EE88">
        <v>22.629100000000001</v>
      </c>
      <c r="EF88">
        <v>19.539899999999999</v>
      </c>
      <c r="EG88">
        <v>1799.98</v>
      </c>
      <c r="EH88">
        <v>0.97800699999999996</v>
      </c>
      <c r="EI88">
        <v>2.1993200000000001E-2</v>
      </c>
      <c r="EJ88">
        <v>0</v>
      </c>
      <c r="EK88">
        <v>774.41200000000003</v>
      </c>
      <c r="EL88">
        <v>4.9995000000000003</v>
      </c>
      <c r="EM88">
        <v>15110.1</v>
      </c>
      <c r="EN88">
        <v>16659.7</v>
      </c>
      <c r="EO88">
        <v>47.625</v>
      </c>
      <c r="EP88">
        <v>49.311999999999998</v>
      </c>
      <c r="EQ88">
        <v>48.561999999999998</v>
      </c>
      <c r="ER88">
        <v>48</v>
      </c>
      <c r="ES88">
        <v>48.875</v>
      </c>
      <c r="ET88">
        <v>1755.5</v>
      </c>
      <c r="EU88">
        <v>39.479999999999997</v>
      </c>
      <c r="EV88">
        <v>0</v>
      </c>
      <c r="EW88">
        <v>97.799999952316284</v>
      </c>
      <c r="EX88">
        <v>0</v>
      </c>
      <c r="EY88">
        <v>776.46096153846156</v>
      </c>
      <c r="EZ88">
        <v>-17.851726506871699</v>
      </c>
      <c r="FA88">
        <v>-338.91623954602358</v>
      </c>
      <c r="FB88">
        <v>15148.96538461538</v>
      </c>
      <c r="FC88">
        <v>15</v>
      </c>
      <c r="FD88">
        <v>1693339745.5999999</v>
      </c>
      <c r="FE88" t="s">
        <v>787</v>
      </c>
      <c r="FF88">
        <v>1693339732.0999999</v>
      </c>
      <c r="FG88">
        <v>1693339745.5999999</v>
      </c>
      <c r="FH88">
        <v>80</v>
      </c>
      <c r="FI88">
        <v>0.13700000000000001</v>
      </c>
      <c r="FJ88">
        <v>1E-3</v>
      </c>
      <c r="FK88">
        <v>-1.399</v>
      </c>
      <c r="FL88">
        <v>0.153</v>
      </c>
      <c r="FM88">
        <v>300</v>
      </c>
      <c r="FN88">
        <v>23</v>
      </c>
      <c r="FO88">
        <v>0.1</v>
      </c>
      <c r="FP88">
        <v>0.04</v>
      </c>
      <c r="FQ88">
        <v>30.572582062087061</v>
      </c>
      <c r="FR88">
        <v>-0.14402026084898589</v>
      </c>
      <c r="FS88">
        <v>6.6108951170731498E-2</v>
      </c>
      <c r="FT88">
        <v>1</v>
      </c>
      <c r="FU88">
        <v>0.26768518828889931</v>
      </c>
      <c r="FV88">
        <v>4.602704262796687E-2</v>
      </c>
      <c r="FW88">
        <v>3.4247298838786331E-3</v>
      </c>
      <c r="FX88">
        <v>1</v>
      </c>
      <c r="FY88">
        <v>2</v>
      </c>
      <c r="FZ88">
        <v>2</v>
      </c>
      <c r="GA88" t="s">
        <v>421</v>
      </c>
      <c r="GB88">
        <v>2.9681299999999999</v>
      </c>
      <c r="GC88">
        <v>2.8107099999999998</v>
      </c>
      <c r="GD88">
        <v>6.8365400000000007E-2</v>
      </c>
      <c r="GE88">
        <v>7.5353799999999999E-2</v>
      </c>
      <c r="GF88">
        <v>0.13119600000000001</v>
      </c>
      <c r="GG88">
        <v>0.11435099999999999</v>
      </c>
      <c r="GH88">
        <v>27450.9</v>
      </c>
      <c r="GI88">
        <v>25081.4</v>
      </c>
      <c r="GJ88">
        <v>26491.3</v>
      </c>
      <c r="GK88">
        <v>25602.1</v>
      </c>
      <c r="GL88">
        <v>31320.9</v>
      </c>
      <c r="GM88">
        <v>31966.9</v>
      </c>
      <c r="GN88">
        <v>37498</v>
      </c>
      <c r="GO88">
        <v>37907.699999999997</v>
      </c>
      <c r="GP88">
        <v>1.9359999999999999</v>
      </c>
      <c r="GQ88">
        <v>1.9319999999999999</v>
      </c>
      <c r="GR88">
        <v>-7.2717700000000003E-3</v>
      </c>
      <c r="GS88">
        <v>0</v>
      </c>
      <c r="GT88">
        <v>30.1601</v>
      </c>
      <c r="GU88">
        <v>999.9</v>
      </c>
      <c r="GV88">
        <v>39.799999999999997</v>
      </c>
      <c r="GW88">
        <v>38.200000000000003</v>
      </c>
      <c r="GX88">
        <v>27.1096</v>
      </c>
      <c r="GY88">
        <v>61.850299999999997</v>
      </c>
      <c r="GZ88">
        <v>12.1274</v>
      </c>
      <c r="HA88">
        <v>1</v>
      </c>
      <c r="HB88">
        <v>0.52667699999999995</v>
      </c>
      <c r="HC88">
        <v>4.8390399999999998</v>
      </c>
      <c r="HD88">
        <v>20.186399999999999</v>
      </c>
      <c r="HE88">
        <v>5.2095000000000002</v>
      </c>
      <c r="HF88">
        <v>11.9381</v>
      </c>
      <c r="HG88">
        <v>4.9843999999999999</v>
      </c>
      <c r="HH88">
        <v>3.2909999999999999</v>
      </c>
      <c r="HI88">
        <v>9999</v>
      </c>
      <c r="HJ88">
        <v>9999</v>
      </c>
      <c r="HK88">
        <v>9999</v>
      </c>
      <c r="HL88">
        <v>999.9</v>
      </c>
      <c r="HM88">
        <v>1.8708800000000001</v>
      </c>
      <c r="HN88">
        <v>1.8769800000000001</v>
      </c>
      <c r="HO88">
        <v>1.87479</v>
      </c>
      <c r="HP88">
        <v>1.8730199999999999</v>
      </c>
      <c r="HQ88">
        <v>1.87347</v>
      </c>
      <c r="HR88">
        <v>1.8709</v>
      </c>
      <c r="HS88">
        <v>1.8768199999999999</v>
      </c>
      <c r="HT88">
        <v>1.87592</v>
      </c>
      <c r="HU88">
        <v>5</v>
      </c>
      <c r="HV88">
        <v>0</v>
      </c>
      <c r="HW88">
        <v>0</v>
      </c>
      <c r="HX88">
        <v>0</v>
      </c>
      <c r="HY88" t="s">
        <v>422</v>
      </c>
      <c r="HZ88" t="s">
        <v>423</v>
      </c>
      <c r="IA88" t="s">
        <v>424</v>
      </c>
      <c r="IB88" t="s">
        <v>424</v>
      </c>
      <c r="IC88" t="s">
        <v>424</v>
      </c>
      <c r="ID88" t="s">
        <v>424</v>
      </c>
      <c r="IE88">
        <v>0</v>
      </c>
      <c r="IF88">
        <v>100</v>
      </c>
      <c r="IG88">
        <v>100</v>
      </c>
      <c r="IH88">
        <v>-1.333</v>
      </c>
      <c r="II88">
        <v>0.36980000000000002</v>
      </c>
      <c r="IJ88">
        <v>-0.75089499771664925</v>
      </c>
      <c r="IK88">
        <v>-2.677719669153116E-3</v>
      </c>
      <c r="IL88">
        <v>1.9353498771248068E-6</v>
      </c>
      <c r="IM88">
        <v>-6.1862177325538213E-10</v>
      </c>
      <c r="IN88">
        <v>-0.22237783739911721</v>
      </c>
      <c r="IO88">
        <v>-1.5299015507423901E-2</v>
      </c>
      <c r="IP88">
        <v>1.742162107778985E-3</v>
      </c>
      <c r="IQ88">
        <v>-1.472690239905804E-5</v>
      </c>
      <c r="IR88">
        <v>3</v>
      </c>
      <c r="IS88">
        <v>2255</v>
      </c>
      <c r="IT88">
        <v>2</v>
      </c>
      <c r="IU88">
        <v>41</v>
      </c>
      <c r="IV88">
        <v>0.7</v>
      </c>
      <c r="IW88">
        <v>0.4</v>
      </c>
      <c r="IX88">
        <v>0.76538099999999998</v>
      </c>
      <c r="IY88">
        <v>2.5109900000000001</v>
      </c>
      <c r="IZ88">
        <v>1.5991200000000001</v>
      </c>
      <c r="JA88">
        <v>2.2680699999999998</v>
      </c>
      <c r="JB88">
        <v>1.5502899999999999</v>
      </c>
      <c r="JC88">
        <v>2.36328</v>
      </c>
      <c r="JD88">
        <v>41.691200000000002</v>
      </c>
      <c r="JE88">
        <v>23.772300000000001</v>
      </c>
      <c r="JF88">
        <v>18</v>
      </c>
      <c r="JG88">
        <v>502.60199999999998</v>
      </c>
      <c r="JH88">
        <v>468.50799999999998</v>
      </c>
      <c r="JI88">
        <v>23.646599999999999</v>
      </c>
      <c r="JJ88">
        <v>33.811199999999999</v>
      </c>
      <c r="JK88">
        <v>30.000699999999998</v>
      </c>
      <c r="JL88">
        <v>33.768500000000003</v>
      </c>
      <c r="JM88">
        <v>33.7318</v>
      </c>
      <c r="JN88">
        <v>15.3622</v>
      </c>
      <c r="JO88">
        <v>24.781600000000001</v>
      </c>
      <c r="JP88">
        <v>34.509500000000003</v>
      </c>
      <c r="JQ88">
        <v>23.637599999999999</v>
      </c>
      <c r="JR88">
        <v>300</v>
      </c>
      <c r="JS88">
        <v>23.015000000000001</v>
      </c>
      <c r="JT88">
        <v>98.901499999999999</v>
      </c>
      <c r="JU88">
        <v>98.4422</v>
      </c>
    </row>
    <row r="89" spans="1:281" x14ac:dyDescent="0.25">
      <c r="A89">
        <v>73</v>
      </c>
      <c r="B89">
        <v>1693339892.5999999</v>
      </c>
      <c r="C89">
        <v>17595.5</v>
      </c>
      <c r="D89" t="s">
        <v>788</v>
      </c>
      <c r="E89" t="s">
        <v>789</v>
      </c>
      <c r="F89" t="s">
        <v>413</v>
      </c>
      <c r="G89" t="s">
        <v>414</v>
      </c>
      <c r="H89" t="s">
        <v>779</v>
      </c>
      <c r="I89" t="s">
        <v>415</v>
      </c>
      <c r="J89">
        <v>1693339892.5999999</v>
      </c>
      <c r="K89">
        <f t="shared" si="92"/>
        <v>4.5478924103899117E-3</v>
      </c>
      <c r="L89">
        <f t="shared" si="93"/>
        <v>4.5478924103899114</v>
      </c>
      <c r="M89">
        <f t="shared" si="94"/>
        <v>21.293074785809889</v>
      </c>
      <c r="N89">
        <f t="shared" si="95"/>
        <v>173.52799999999999</v>
      </c>
      <c r="O89">
        <f t="shared" si="96"/>
        <v>54.455664929903989</v>
      </c>
      <c r="P89">
        <f t="shared" si="97"/>
        <v>5.3856585635207184</v>
      </c>
      <c r="Q89">
        <f t="shared" si="98"/>
        <v>17.161897856055997</v>
      </c>
      <c r="R89">
        <f t="shared" si="99"/>
        <v>0.3078150612436773</v>
      </c>
      <c r="S89">
        <f t="shared" si="100"/>
        <v>2.9022830123245056</v>
      </c>
      <c r="T89">
        <f t="shared" si="101"/>
        <v>0.29076001639316473</v>
      </c>
      <c r="U89">
        <f t="shared" si="102"/>
        <v>0.18317854741559905</v>
      </c>
      <c r="V89">
        <f t="shared" si="103"/>
        <v>344.36120065801481</v>
      </c>
      <c r="W89">
        <f t="shared" si="104"/>
        <v>30.642361075363585</v>
      </c>
      <c r="X89">
        <f t="shared" si="105"/>
        <v>29.975100000000001</v>
      </c>
      <c r="Y89">
        <f t="shared" si="106"/>
        <v>4.2543601217822991</v>
      </c>
      <c r="Z89">
        <f t="shared" si="107"/>
        <v>65.628654779969906</v>
      </c>
      <c r="AA89">
        <f t="shared" si="108"/>
        <v>2.7623032345730998</v>
      </c>
      <c r="AB89">
        <f t="shared" si="109"/>
        <v>4.2089895699281712</v>
      </c>
      <c r="AC89">
        <f t="shared" si="110"/>
        <v>1.4920568872091993</v>
      </c>
      <c r="AD89">
        <f t="shared" si="111"/>
        <v>-200.56205529819511</v>
      </c>
      <c r="AE89">
        <f t="shared" si="112"/>
        <v>-29.181259948322193</v>
      </c>
      <c r="AF89">
        <f t="shared" si="113"/>
        <v>-2.2330336951674394</v>
      </c>
      <c r="AG89">
        <f t="shared" si="114"/>
        <v>112.38485171633009</v>
      </c>
      <c r="AH89">
        <v>0</v>
      </c>
      <c r="AI89">
        <v>0</v>
      </c>
      <c r="AJ89">
        <f t="shared" si="115"/>
        <v>1</v>
      </c>
      <c r="AK89">
        <f t="shared" si="116"/>
        <v>0</v>
      </c>
      <c r="AL89">
        <f t="shared" si="117"/>
        <v>51587.446690365039</v>
      </c>
      <c r="AM89" t="s">
        <v>416</v>
      </c>
      <c r="AN89">
        <v>10238.9</v>
      </c>
      <c r="AO89">
        <v>302.21199999999999</v>
      </c>
      <c r="AP89">
        <v>4052.3</v>
      </c>
      <c r="AQ89">
        <f t="shared" si="118"/>
        <v>0.92542210596451402</v>
      </c>
      <c r="AR89">
        <v>-0.32343011824092421</v>
      </c>
      <c r="AS89" t="s">
        <v>790</v>
      </c>
      <c r="AT89">
        <v>10461.5</v>
      </c>
      <c r="AU89">
        <v>734.05575999999996</v>
      </c>
      <c r="AV89">
        <v>916.03732652627832</v>
      </c>
      <c r="AW89">
        <f t="shared" si="119"/>
        <v>0.19866173708922319</v>
      </c>
      <c r="AX89">
        <v>0.5</v>
      </c>
      <c r="AY89">
        <f t="shared" si="120"/>
        <v>1513.1508003290073</v>
      </c>
      <c r="AZ89">
        <f t="shared" si="121"/>
        <v>21.293074785809889</v>
      </c>
      <c r="BA89">
        <f t="shared" si="122"/>
        <v>150.30258323565445</v>
      </c>
      <c r="BB89">
        <f t="shared" si="123"/>
        <v>1.4285757175921062E-2</v>
      </c>
      <c r="BC89">
        <f t="shared" si="124"/>
        <v>3.4237280323137051</v>
      </c>
      <c r="BD89">
        <f t="shared" si="125"/>
        <v>240.74222266541381</v>
      </c>
      <c r="BE89" t="s">
        <v>791</v>
      </c>
      <c r="BF89">
        <v>574.63</v>
      </c>
      <c r="BG89">
        <f t="shared" si="126"/>
        <v>574.63</v>
      </c>
      <c r="BH89">
        <f t="shared" si="127"/>
        <v>0.37270023463010526</v>
      </c>
      <c r="BI89">
        <f t="shared" si="128"/>
        <v>0.53303357129997364</v>
      </c>
      <c r="BJ89">
        <f t="shared" si="129"/>
        <v>0.90182871677695753</v>
      </c>
      <c r="BK89">
        <f t="shared" si="130"/>
        <v>0.29647125763959103</v>
      </c>
      <c r="BL89">
        <f t="shared" si="131"/>
        <v>0.83631708735200927</v>
      </c>
      <c r="BM89">
        <f t="shared" si="132"/>
        <v>0.41726677694907516</v>
      </c>
      <c r="BN89">
        <f t="shared" si="133"/>
        <v>0.58273322305092479</v>
      </c>
      <c r="BO89">
        <v>5608</v>
      </c>
      <c r="BP89">
        <v>290.00000000000011</v>
      </c>
      <c r="BQ89">
        <v>864.64</v>
      </c>
      <c r="BR89">
        <v>185</v>
      </c>
      <c r="BS89">
        <v>10461.5</v>
      </c>
      <c r="BT89">
        <v>863.3</v>
      </c>
      <c r="BU89">
        <v>1.34</v>
      </c>
      <c r="BV89">
        <v>300.00000000000011</v>
      </c>
      <c r="BW89">
        <v>38.299999999999997</v>
      </c>
      <c r="BX89">
        <v>916.03732652627832</v>
      </c>
      <c r="BY89">
        <v>1.1525376446267359</v>
      </c>
      <c r="BZ89">
        <v>-55.170065423586493</v>
      </c>
      <c r="CA89">
        <v>0.98658552311568681</v>
      </c>
      <c r="CB89">
        <v>0.99112539333654881</v>
      </c>
      <c r="CC89">
        <v>-1.135128387096776E-2</v>
      </c>
      <c r="CD89">
        <v>289.99999999999989</v>
      </c>
      <c r="CE89">
        <v>858.76</v>
      </c>
      <c r="CF89">
        <v>635</v>
      </c>
      <c r="CG89">
        <v>10433.4</v>
      </c>
      <c r="CH89">
        <v>863.16</v>
      </c>
      <c r="CI89">
        <v>-4.4000000000000004</v>
      </c>
      <c r="CW89">
        <f t="shared" si="134"/>
        <v>1799.96</v>
      </c>
      <c r="CX89">
        <f t="shared" si="135"/>
        <v>1513.1508003290073</v>
      </c>
      <c r="CY89">
        <f t="shared" si="136"/>
        <v>0.84065801480533309</v>
      </c>
      <c r="CZ89">
        <f t="shared" si="137"/>
        <v>0.19131602961066624</v>
      </c>
      <c r="DA89">
        <v>6</v>
      </c>
      <c r="DB89">
        <v>0.5</v>
      </c>
      <c r="DC89" t="s">
        <v>419</v>
      </c>
      <c r="DD89">
        <v>2</v>
      </c>
      <c r="DE89">
        <v>1693339892.5999999</v>
      </c>
      <c r="DF89">
        <v>173.52799999999999</v>
      </c>
      <c r="DG89">
        <v>200.03</v>
      </c>
      <c r="DH89">
        <v>27.930299999999999</v>
      </c>
      <c r="DI89">
        <v>22.624600000000001</v>
      </c>
      <c r="DJ89">
        <v>174.67599999999999</v>
      </c>
      <c r="DK89">
        <v>27.5578</v>
      </c>
      <c r="DL89">
        <v>499.93799999999999</v>
      </c>
      <c r="DM89">
        <v>98.799599999999998</v>
      </c>
      <c r="DN89">
        <v>0.10027700000000001</v>
      </c>
      <c r="DO89">
        <v>29.788599999999999</v>
      </c>
      <c r="DP89">
        <v>29.975100000000001</v>
      </c>
      <c r="DQ89">
        <v>999.9</v>
      </c>
      <c r="DR89">
        <v>0</v>
      </c>
      <c r="DS89">
        <v>0</v>
      </c>
      <c r="DT89">
        <v>9965</v>
      </c>
      <c r="DU89">
        <v>0</v>
      </c>
      <c r="DV89">
        <v>1516.03</v>
      </c>
      <c r="DW89">
        <v>-26.501999999999999</v>
      </c>
      <c r="DX89">
        <v>178.51400000000001</v>
      </c>
      <c r="DY89">
        <v>204.66</v>
      </c>
      <c r="DZ89">
        <v>5.3057600000000003</v>
      </c>
      <c r="EA89">
        <v>200.03</v>
      </c>
      <c r="EB89">
        <v>22.624600000000001</v>
      </c>
      <c r="EC89">
        <v>2.7595000000000001</v>
      </c>
      <c r="ED89">
        <v>2.2353000000000001</v>
      </c>
      <c r="EE89">
        <v>22.643799999999999</v>
      </c>
      <c r="EF89">
        <v>19.217600000000001</v>
      </c>
      <c r="EG89">
        <v>1799.96</v>
      </c>
      <c r="EH89">
        <v>0.97800699999999996</v>
      </c>
      <c r="EI89">
        <v>2.1993200000000001E-2</v>
      </c>
      <c r="EJ89">
        <v>0</v>
      </c>
      <c r="EK89">
        <v>733.44299999999998</v>
      </c>
      <c r="EL89">
        <v>4.9995000000000003</v>
      </c>
      <c r="EM89">
        <v>14359.6</v>
      </c>
      <c r="EN89">
        <v>16659.5</v>
      </c>
      <c r="EO89">
        <v>47.5</v>
      </c>
      <c r="EP89">
        <v>49.186999999999998</v>
      </c>
      <c r="EQ89">
        <v>48.436999999999998</v>
      </c>
      <c r="ER89">
        <v>47.936999999999998</v>
      </c>
      <c r="ES89">
        <v>48.811999999999998</v>
      </c>
      <c r="ET89">
        <v>1755.48</v>
      </c>
      <c r="EU89">
        <v>39.479999999999997</v>
      </c>
      <c r="EV89">
        <v>0</v>
      </c>
      <c r="EW89">
        <v>118.7999999523163</v>
      </c>
      <c r="EX89">
        <v>0</v>
      </c>
      <c r="EY89">
        <v>734.05575999999996</v>
      </c>
      <c r="EZ89">
        <v>-6.6611538260700804</v>
      </c>
      <c r="FA89">
        <v>-42.969230630473398</v>
      </c>
      <c r="FB89">
        <v>14371.716</v>
      </c>
      <c r="FC89">
        <v>15</v>
      </c>
      <c r="FD89">
        <v>1693339854.0999999</v>
      </c>
      <c r="FE89" t="s">
        <v>792</v>
      </c>
      <c r="FF89">
        <v>1693339840.0999999</v>
      </c>
      <c r="FG89">
        <v>1693339854.0999999</v>
      </c>
      <c r="FH89">
        <v>81</v>
      </c>
      <c r="FI89">
        <v>1.4999999999999999E-2</v>
      </c>
      <c r="FJ89">
        <v>2E-3</v>
      </c>
      <c r="FK89">
        <v>-1.202</v>
      </c>
      <c r="FL89">
        <v>0.14099999999999999</v>
      </c>
      <c r="FM89">
        <v>200</v>
      </c>
      <c r="FN89">
        <v>22</v>
      </c>
      <c r="FO89">
        <v>0.1</v>
      </c>
      <c r="FP89">
        <v>0.04</v>
      </c>
      <c r="FQ89">
        <v>21.206669738227109</v>
      </c>
      <c r="FR89">
        <v>0.63519803675488418</v>
      </c>
      <c r="FS89">
        <v>8.239057515730297E-2</v>
      </c>
      <c r="FT89">
        <v>1</v>
      </c>
      <c r="FU89">
        <v>0.30533547295123559</v>
      </c>
      <c r="FV89">
        <v>4.0659906833339678E-2</v>
      </c>
      <c r="FW89">
        <v>3.4041261417446329E-3</v>
      </c>
      <c r="FX89">
        <v>1</v>
      </c>
      <c r="FY89">
        <v>2</v>
      </c>
      <c r="FZ89">
        <v>2</v>
      </c>
      <c r="GA89" t="s">
        <v>421</v>
      </c>
      <c r="GB89">
        <v>2.9676499999999999</v>
      </c>
      <c r="GC89">
        <v>2.8116699999999999</v>
      </c>
      <c r="GD89">
        <v>4.7636400000000002E-2</v>
      </c>
      <c r="GE89">
        <v>5.3212299999999997E-2</v>
      </c>
      <c r="GF89">
        <v>0.13125999999999999</v>
      </c>
      <c r="GG89">
        <v>0.112744</v>
      </c>
      <c r="GH89">
        <v>28060.2</v>
      </c>
      <c r="GI89">
        <v>25681.1</v>
      </c>
      <c r="GJ89">
        <v>26489.9</v>
      </c>
      <c r="GK89">
        <v>25601.1</v>
      </c>
      <c r="GL89">
        <v>31315.4</v>
      </c>
      <c r="GM89">
        <v>32022.2</v>
      </c>
      <c r="GN89">
        <v>37495.699999999997</v>
      </c>
      <c r="GO89">
        <v>37906.199999999997</v>
      </c>
      <c r="GP89">
        <v>1.9368000000000001</v>
      </c>
      <c r="GQ89">
        <v>1.9309000000000001</v>
      </c>
      <c r="GR89">
        <v>-7.6740999999999997E-3</v>
      </c>
      <c r="GS89">
        <v>0</v>
      </c>
      <c r="GT89">
        <v>30.1</v>
      </c>
      <c r="GU89">
        <v>999.9</v>
      </c>
      <c r="GV89">
        <v>40.1</v>
      </c>
      <c r="GW89">
        <v>38.200000000000003</v>
      </c>
      <c r="GX89">
        <v>27.312899999999999</v>
      </c>
      <c r="GY89">
        <v>61.510399999999997</v>
      </c>
      <c r="GZ89">
        <v>12.600199999999999</v>
      </c>
      <c r="HA89">
        <v>1</v>
      </c>
      <c r="HB89">
        <v>0.525528</v>
      </c>
      <c r="HC89">
        <v>4.22201</v>
      </c>
      <c r="HD89">
        <v>20.2026</v>
      </c>
      <c r="HE89">
        <v>5.2100999999999997</v>
      </c>
      <c r="HF89">
        <v>11.9381</v>
      </c>
      <c r="HG89">
        <v>4.9871999999999996</v>
      </c>
      <c r="HH89">
        <v>3.2909999999999999</v>
      </c>
      <c r="HI89">
        <v>9999</v>
      </c>
      <c r="HJ89">
        <v>9999</v>
      </c>
      <c r="HK89">
        <v>9999</v>
      </c>
      <c r="HL89">
        <v>999.9</v>
      </c>
      <c r="HM89">
        <v>1.8708800000000001</v>
      </c>
      <c r="HN89">
        <v>1.8769800000000001</v>
      </c>
      <c r="HO89">
        <v>1.87483</v>
      </c>
      <c r="HP89">
        <v>1.8730199999999999</v>
      </c>
      <c r="HQ89">
        <v>1.8735200000000001</v>
      </c>
      <c r="HR89">
        <v>1.8708800000000001</v>
      </c>
      <c r="HS89">
        <v>1.87683</v>
      </c>
      <c r="HT89">
        <v>1.87592</v>
      </c>
      <c r="HU89">
        <v>5</v>
      </c>
      <c r="HV89">
        <v>0</v>
      </c>
      <c r="HW89">
        <v>0</v>
      </c>
      <c r="HX89">
        <v>0</v>
      </c>
      <c r="HY89" t="s">
        <v>422</v>
      </c>
      <c r="HZ89" t="s">
        <v>423</v>
      </c>
      <c r="IA89" t="s">
        <v>424</v>
      </c>
      <c r="IB89" t="s">
        <v>424</v>
      </c>
      <c r="IC89" t="s">
        <v>424</v>
      </c>
      <c r="ID89" t="s">
        <v>424</v>
      </c>
      <c r="IE89">
        <v>0</v>
      </c>
      <c r="IF89">
        <v>100</v>
      </c>
      <c r="IG89">
        <v>100</v>
      </c>
      <c r="IH89">
        <v>-1.1479999999999999</v>
      </c>
      <c r="II89">
        <v>0.3725</v>
      </c>
      <c r="IJ89">
        <v>-0.73625513221679961</v>
      </c>
      <c r="IK89">
        <v>-2.677719669153116E-3</v>
      </c>
      <c r="IL89">
        <v>1.9353498771248068E-6</v>
      </c>
      <c r="IM89">
        <v>-6.1862177325538213E-10</v>
      </c>
      <c r="IN89">
        <v>-0.2206626217179882</v>
      </c>
      <c r="IO89">
        <v>-1.5299015507423901E-2</v>
      </c>
      <c r="IP89">
        <v>1.742162107778985E-3</v>
      </c>
      <c r="IQ89">
        <v>-1.472690239905804E-5</v>
      </c>
      <c r="IR89">
        <v>3</v>
      </c>
      <c r="IS89">
        <v>2255</v>
      </c>
      <c r="IT89">
        <v>2</v>
      </c>
      <c r="IU89">
        <v>41</v>
      </c>
      <c r="IV89">
        <v>0.9</v>
      </c>
      <c r="IW89">
        <v>0.6</v>
      </c>
      <c r="IX89">
        <v>0.56396500000000005</v>
      </c>
      <c r="IY89">
        <v>2.5280800000000001</v>
      </c>
      <c r="IZ89">
        <v>1.6003400000000001</v>
      </c>
      <c r="JA89">
        <v>2.2668499999999998</v>
      </c>
      <c r="JB89">
        <v>1.5502899999999999</v>
      </c>
      <c r="JC89">
        <v>2.32056</v>
      </c>
      <c r="JD89">
        <v>41.717399999999998</v>
      </c>
      <c r="JE89">
        <v>23.772300000000001</v>
      </c>
      <c r="JF89">
        <v>18</v>
      </c>
      <c r="JG89">
        <v>503.404</v>
      </c>
      <c r="JH89">
        <v>468.077</v>
      </c>
      <c r="JI89">
        <v>23.933299999999999</v>
      </c>
      <c r="JJ89">
        <v>33.850900000000003</v>
      </c>
      <c r="JK89">
        <v>29.9998</v>
      </c>
      <c r="JL89">
        <v>33.8048</v>
      </c>
      <c r="JM89">
        <v>33.768000000000001</v>
      </c>
      <c r="JN89">
        <v>11.3269</v>
      </c>
      <c r="JO89">
        <v>26.7133</v>
      </c>
      <c r="JP89">
        <v>34.703499999999998</v>
      </c>
      <c r="JQ89">
        <v>23.939699999999998</v>
      </c>
      <c r="JR89">
        <v>200</v>
      </c>
      <c r="JS89">
        <v>22.538499999999999</v>
      </c>
      <c r="JT89">
        <v>98.895899999999997</v>
      </c>
      <c r="JU89">
        <v>98.438400000000001</v>
      </c>
    </row>
    <row r="90" spans="1:281" x14ac:dyDescent="0.25">
      <c r="A90">
        <v>74</v>
      </c>
      <c r="B90">
        <v>1693340001.5999999</v>
      </c>
      <c r="C90">
        <v>17704.5</v>
      </c>
      <c r="D90" t="s">
        <v>793</v>
      </c>
      <c r="E90" t="s">
        <v>794</v>
      </c>
      <c r="F90" t="s">
        <v>413</v>
      </c>
      <c r="G90" t="s">
        <v>414</v>
      </c>
      <c r="H90" t="s">
        <v>779</v>
      </c>
      <c r="I90" t="s">
        <v>415</v>
      </c>
      <c r="J90">
        <v>1693340001.5999999</v>
      </c>
      <c r="K90">
        <f t="shared" si="92"/>
        <v>4.6031036236568856E-3</v>
      </c>
      <c r="L90">
        <f t="shared" si="93"/>
        <v>4.6031036236568852</v>
      </c>
      <c r="M90">
        <f t="shared" si="94"/>
        <v>13.423693950734938</v>
      </c>
      <c r="N90">
        <f t="shared" si="95"/>
        <v>103.29300000000001</v>
      </c>
      <c r="O90">
        <f t="shared" si="96"/>
        <v>28.713263684471361</v>
      </c>
      <c r="P90">
        <f t="shared" si="97"/>
        <v>2.8396900112511205</v>
      </c>
      <c r="Q90">
        <f t="shared" si="98"/>
        <v>10.215491473050299</v>
      </c>
      <c r="R90">
        <f t="shared" si="99"/>
        <v>0.30934205077182786</v>
      </c>
      <c r="S90">
        <f t="shared" si="100"/>
        <v>2.9092776077691904</v>
      </c>
      <c r="T90">
        <f t="shared" si="101"/>
        <v>0.29216138780533024</v>
      </c>
      <c r="U90">
        <f t="shared" si="102"/>
        <v>0.18406492010125758</v>
      </c>
      <c r="V90">
        <f t="shared" si="103"/>
        <v>344.37450065798924</v>
      </c>
      <c r="W90">
        <f t="shared" si="104"/>
        <v>30.743140164423661</v>
      </c>
      <c r="X90">
        <f t="shared" si="105"/>
        <v>30.044499999999999</v>
      </c>
      <c r="Y90">
        <f t="shared" si="106"/>
        <v>4.2713518042075158</v>
      </c>
      <c r="Z90">
        <f t="shared" si="107"/>
        <v>65.337644776575729</v>
      </c>
      <c r="AA90">
        <f t="shared" si="108"/>
        <v>2.7686352481750802</v>
      </c>
      <c r="AB90">
        <f t="shared" si="109"/>
        <v>4.2374273784164114</v>
      </c>
      <c r="AC90">
        <f t="shared" si="110"/>
        <v>1.5027165560324356</v>
      </c>
      <c r="AD90">
        <f t="shared" si="111"/>
        <v>-202.99686980326865</v>
      </c>
      <c r="AE90">
        <f t="shared" si="112"/>
        <v>-21.770082445339273</v>
      </c>
      <c r="AF90">
        <f t="shared" si="113"/>
        <v>-1.6634392798760553</v>
      </c>
      <c r="AG90">
        <f t="shared" si="114"/>
        <v>117.94410912950526</v>
      </c>
      <c r="AH90">
        <v>0</v>
      </c>
      <c r="AI90">
        <v>0</v>
      </c>
      <c r="AJ90">
        <f t="shared" si="115"/>
        <v>1</v>
      </c>
      <c r="AK90">
        <f t="shared" si="116"/>
        <v>0</v>
      </c>
      <c r="AL90">
        <f t="shared" si="117"/>
        <v>51766.044034888859</v>
      </c>
      <c r="AM90" t="s">
        <v>416</v>
      </c>
      <c r="AN90">
        <v>10238.9</v>
      </c>
      <c r="AO90">
        <v>302.21199999999999</v>
      </c>
      <c r="AP90">
        <v>4052.3</v>
      </c>
      <c r="AQ90">
        <f t="shared" si="118"/>
        <v>0.92542210596451402</v>
      </c>
      <c r="AR90">
        <v>-0.32343011824092421</v>
      </c>
      <c r="AS90" t="s">
        <v>795</v>
      </c>
      <c r="AT90">
        <v>10444.799999999999</v>
      </c>
      <c r="AU90">
        <v>733.61487999999997</v>
      </c>
      <c r="AV90">
        <v>857.94457740112875</v>
      </c>
      <c r="AW90">
        <f t="shared" si="119"/>
        <v>0.144915768076472</v>
      </c>
      <c r="AX90">
        <v>0.5</v>
      </c>
      <c r="AY90">
        <f t="shared" si="120"/>
        <v>1513.2096003289946</v>
      </c>
      <c r="AZ90">
        <f t="shared" si="121"/>
        <v>13.423693950734938</v>
      </c>
      <c r="BA90">
        <f t="shared" si="122"/>
        <v>109.64396574618374</v>
      </c>
      <c r="BB90">
        <f t="shared" si="123"/>
        <v>9.0847454747756233E-3</v>
      </c>
      <c r="BC90">
        <f t="shared" si="124"/>
        <v>3.7232654727828214</v>
      </c>
      <c r="BD90">
        <f t="shared" si="125"/>
        <v>236.53307969874561</v>
      </c>
      <c r="BE90" t="s">
        <v>796</v>
      </c>
      <c r="BF90">
        <v>573.17999999999995</v>
      </c>
      <c r="BG90">
        <f t="shared" si="126"/>
        <v>573.17999999999995</v>
      </c>
      <c r="BH90">
        <f t="shared" si="127"/>
        <v>0.33191488693096338</v>
      </c>
      <c r="BI90">
        <f t="shared" si="128"/>
        <v>0.43660520748686327</v>
      </c>
      <c r="BJ90">
        <f t="shared" si="129"/>
        <v>0.9181504008481659</v>
      </c>
      <c r="BK90">
        <f t="shared" si="130"/>
        <v>0.22372216864189229</v>
      </c>
      <c r="BL90">
        <f t="shared" si="131"/>
        <v>0.85180812359573199</v>
      </c>
      <c r="BM90">
        <f t="shared" si="132"/>
        <v>0.34112363264403839</v>
      </c>
      <c r="BN90">
        <f t="shared" si="133"/>
        <v>0.65887636735596167</v>
      </c>
      <c r="BO90">
        <v>5610</v>
      </c>
      <c r="BP90">
        <v>290.00000000000011</v>
      </c>
      <c r="BQ90">
        <v>824.64</v>
      </c>
      <c r="BR90">
        <v>285</v>
      </c>
      <c r="BS90">
        <v>10444.799999999999</v>
      </c>
      <c r="BT90">
        <v>824</v>
      </c>
      <c r="BU90">
        <v>0.64</v>
      </c>
      <c r="BV90">
        <v>300.00000000000011</v>
      </c>
      <c r="BW90">
        <v>38.299999999999997</v>
      </c>
      <c r="BX90">
        <v>857.94457740112875</v>
      </c>
      <c r="BY90">
        <v>0.66178024259620261</v>
      </c>
      <c r="BZ90">
        <v>-35.452540267275218</v>
      </c>
      <c r="CA90">
        <v>0.56650759164736864</v>
      </c>
      <c r="CB90">
        <v>0.99290126692060143</v>
      </c>
      <c r="CC90">
        <v>-1.135146206896552E-2</v>
      </c>
      <c r="CD90">
        <v>289.99999999999989</v>
      </c>
      <c r="CE90">
        <v>822.6</v>
      </c>
      <c r="CF90">
        <v>715</v>
      </c>
      <c r="CG90">
        <v>10425.799999999999</v>
      </c>
      <c r="CH90">
        <v>823.94</v>
      </c>
      <c r="CI90">
        <v>-1.34</v>
      </c>
      <c r="CW90">
        <f t="shared" si="134"/>
        <v>1800.03</v>
      </c>
      <c r="CX90">
        <f t="shared" si="135"/>
        <v>1513.2096003289946</v>
      </c>
      <c r="CY90">
        <f t="shared" si="136"/>
        <v>0.84065798921628787</v>
      </c>
      <c r="CZ90">
        <f t="shared" si="137"/>
        <v>0.1913159784325757</v>
      </c>
      <c r="DA90">
        <v>6</v>
      </c>
      <c r="DB90">
        <v>0.5</v>
      </c>
      <c r="DC90" t="s">
        <v>419</v>
      </c>
      <c r="DD90">
        <v>2</v>
      </c>
      <c r="DE90">
        <v>1693340001.5999999</v>
      </c>
      <c r="DF90">
        <v>103.29300000000001</v>
      </c>
      <c r="DG90">
        <v>119.977</v>
      </c>
      <c r="DH90">
        <v>27.994800000000001</v>
      </c>
      <c r="DI90">
        <v>22.624099999999999</v>
      </c>
      <c r="DJ90">
        <v>104.3</v>
      </c>
      <c r="DK90">
        <v>27.619599999999998</v>
      </c>
      <c r="DL90">
        <v>499.85</v>
      </c>
      <c r="DM90">
        <v>98.799499999999995</v>
      </c>
      <c r="DN90">
        <v>9.8697099999999996E-2</v>
      </c>
      <c r="DO90">
        <v>29.9057</v>
      </c>
      <c r="DP90">
        <v>30.044499999999999</v>
      </c>
      <c r="DQ90">
        <v>999.9</v>
      </c>
      <c r="DR90">
        <v>0</v>
      </c>
      <c r="DS90">
        <v>0</v>
      </c>
      <c r="DT90">
        <v>10005</v>
      </c>
      <c r="DU90">
        <v>0</v>
      </c>
      <c r="DV90">
        <v>1523.64</v>
      </c>
      <c r="DW90">
        <v>-16.683399999999999</v>
      </c>
      <c r="DX90">
        <v>106.268</v>
      </c>
      <c r="DY90">
        <v>122.754</v>
      </c>
      <c r="DZ90">
        <v>5.3707000000000003</v>
      </c>
      <c r="EA90">
        <v>119.977</v>
      </c>
      <c r="EB90">
        <v>22.624099999999999</v>
      </c>
      <c r="EC90">
        <v>2.7658700000000001</v>
      </c>
      <c r="ED90">
        <v>2.2352500000000002</v>
      </c>
      <c r="EE90">
        <v>22.681799999999999</v>
      </c>
      <c r="EF90">
        <v>19.217199999999998</v>
      </c>
      <c r="EG90">
        <v>1800.03</v>
      </c>
      <c r="EH90">
        <v>0.97800699999999996</v>
      </c>
      <c r="EI90">
        <v>2.1993200000000001E-2</v>
      </c>
      <c r="EJ90">
        <v>0</v>
      </c>
      <c r="EK90">
        <v>733.33399999999995</v>
      </c>
      <c r="EL90">
        <v>4.9995000000000003</v>
      </c>
      <c r="EM90">
        <v>14365.8</v>
      </c>
      <c r="EN90">
        <v>16660.099999999999</v>
      </c>
      <c r="EO90">
        <v>47.436999999999998</v>
      </c>
      <c r="EP90">
        <v>49.061999999999998</v>
      </c>
      <c r="EQ90">
        <v>48.375</v>
      </c>
      <c r="ER90">
        <v>47.811999999999998</v>
      </c>
      <c r="ES90">
        <v>48.686999999999998</v>
      </c>
      <c r="ET90">
        <v>1755.55</v>
      </c>
      <c r="EU90">
        <v>39.479999999999997</v>
      </c>
      <c r="EV90">
        <v>0</v>
      </c>
      <c r="EW90">
        <v>106.7999999523163</v>
      </c>
      <c r="EX90">
        <v>0</v>
      </c>
      <c r="EY90">
        <v>733.61487999999997</v>
      </c>
      <c r="EZ90">
        <v>-3.5483846270729948</v>
      </c>
      <c r="FA90">
        <v>-83.830769315730151</v>
      </c>
      <c r="FB90">
        <v>14375.108</v>
      </c>
      <c r="FC90">
        <v>15</v>
      </c>
      <c r="FD90">
        <v>1693339969.0999999</v>
      </c>
      <c r="FE90" t="s">
        <v>797</v>
      </c>
      <c r="FF90">
        <v>1693339959.0999999</v>
      </c>
      <c r="FG90">
        <v>1693339969.0999999</v>
      </c>
      <c r="FH90">
        <v>82</v>
      </c>
      <c r="FI90">
        <v>-1.0999999999999999E-2</v>
      </c>
      <c r="FJ90">
        <v>0</v>
      </c>
      <c r="FK90">
        <v>-1.044</v>
      </c>
      <c r="FL90">
        <v>0.128</v>
      </c>
      <c r="FM90">
        <v>120</v>
      </c>
      <c r="FN90">
        <v>22</v>
      </c>
      <c r="FO90">
        <v>0.32</v>
      </c>
      <c r="FP90">
        <v>0.04</v>
      </c>
      <c r="FQ90">
        <v>13.427983699163329</v>
      </c>
      <c r="FR90">
        <v>0.64015405787800728</v>
      </c>
      <c r="FS90">
        <v>7.2152557185023863E-2</v>
      </c>
      <c r="FT90">
        <v>1</v>
      </c>
      <c r="FU90">
        <v>0.30676356460710319</v>
      </c>
      <c r="FV90">
        <v>4.870276283121297E-2</v>
      </c>
      <c r="FW90">
        <v>3.7333624787394852E-3</v>
      </c>
      <c r="FX90">
        <v>1</v>
      </c>
      <c r="FY90">
        <v>2</v>
      </c>
      <c r="FZ90">
        <v>2</v>
      </c>
      <c r="GA90" t="s">
        <v>421</v>
      </c>
      <c r="GB90">
        <v>2.9674</v>
      </c>
      <c r="GC90">
        <v>2.8104300000000002</v>
      </c>
      <c r="GD90">
        <v>2.93748E-2</v>
      </c>
      <c r="GE90">
        <v>3.3192699999999999E-2</v>
      </c>
      <c r="GF90">
        <v>0.131465</v>
      </c>
      <c r="GG90">
        <v>0.11274000000000001</v>
      </c>
      <c r="GH90">
        <v>28598.1</v>
      </c>
      <c r="GI90">
        <v>26224.5</v>
      </c>
      <c r="GJ90">
        <v>26489.8</v>
      </c>
      <c r="GK90">
        <v>25601.4</v>
      </c>
      <c r="GL90">
        <v>31306.7</v>
      </c>
      <c r="GM90">
        <v>32021.1</v>
      </c>
      <c r="GN90">
        <v>37495.699999999997</v>
      </c>
      <c r="GO90">
        <v>37906.5</v>
      </c>
      <c r="GP90">
        <v>1.9357</v>
      </c>
      <c r="GQ90">
        <v>1.9319999999999999</v>
      </c>
      <c r="GR90">
        <v>-6.7800300000000003E-3</v>
      </c>
      <c r="GS90">
        <v>0</v>
      </c>
      <c r="GT90">
        <v>30.154800000000002</v>
      </c>
      <c r="GU90">
        <v>999.9</v>
      </c>
      <c r="GV90">
        <v>40.200000000000003</v>
      </c>
      <c r="GW90">
        <v>38.1</v>
      </c>
      <c r="GX90">
        <v>27.235700000000001</v>
      </c>
      <c r="GY90">
        <v>61.770400000000002</v>
      </c>
      <c r="GZ90">
        <v>12.115399999999999</v>
      </c>
      <c r="HA90">
        <v>1</v>
      </c>
      <c r="HB90">
        <v>0.52833300000000005</v>
      </c>
      <c r="HC90">
        <v>4.6459400000000004</v>
      </c>
      <c r="HD90">
        <v>20.189599999999999</v>
      </c>
      <c r="HE90">
        <v>5.1987199999999998</v>
      </c>
      <c r="HF90">
        <v>11.9381</v>
      </c>
      <c r="HG90">
        <v>4.9836</v>
      </c>
      <c r="HH90">
        <v>3.2886000000000002</v>
      </c>
      <c r="HI90">
        <v>9999</v>
      </c>
      <c r="HJ90">
        <v>9999</v>
      </c>
      <c r="HK90">
        <v>9999</v>
      </c>
      <c r="HL90">
        <v>999.9</v>
      </c>
      <c r="HM90">
        <v>1.8708800000000001</v>
      </c>
      <c r="HN90">
        <v>1.8769800000000001</v>
      </c>
      <c r="HO90">
        <v>1.8748199999999999</v>
      </c>
      <c r="HP90">
        <v>1.8730199999999999</v>
      </c>
      <c r="HQ90">
        <v>1.8734999999999999</v>
      </c>
      <c r="HR90">
        <v>1.8708800000000001</v>
      </c>
      <c r="HS90">
        <v>1.8768</v>
      </c>
      <c r="HT90">
        <v>1.87592</v>
      </c>
      <c r="HU90">
        <v>5</v>
      </c>
      <c r="HV90">
        <v>0</v>
      </c>
      <c r="HW90">
        <v>0</v>
      </c>
      <c r="HX90">
        <v>0</v>
      </c>
      <c r="HY90" t="s">
        <v>422</v>
      </c>
      <c r="HZ90" t="s">
        <v>423</v>
      </c>
      <c r="IA90" t="s">
        <v>424</v>
      </c>
      <c r="IB90" t="s">
        <v>424</v>
      </c>
      <c r="IC90" t="s">
        <v>424</v>
      </c>
      <c r="ID90" t="s">
        <v>424</v>
      </c>
      <c r="IE90">
        <v>0</v>
      </c>
      <c r="IF90">
        <v>100</v>
      </c>
      <c r="IG90">
        <v>100</v>
      </c>
      <c r="IH90">
        <v>-1.0069999999999999</v>
      </c>
      <c r="II90">
        <v>0.37519999999999998</v>
      </c>
      <c r="IJ90">
        <v>-0.74733279794490182</v>
      </c>
      <c r="IK90">
        <v>-2.677719669153116E-3</v>
      </c>
      <c r="IL90">
        <v>1.9353498771248068E-6</v>
      </c>
      <c r="IM90">
        <v>-6.1862177325538213E-10</v>
      </c>
      <c r="IN90">
        <v>-0.22089527038753559</v>
      </c>
      <c r="IO90">
        <v>-1.5299015507423901E-2</v>
      </c>
      <c r="IP90">
        <v>1.742162107778985E-3</v>
      </c>
      <c r="IQ90">
        <v>-1.472690239905804E-5</v>
      </c>
      <c r="IR90">
        <v>3</v>
      </c>
      <c r="IS90">
        <v>2255</v>
      </c>
      <c r="IT90">
        <v>2</v>
      </c>
      <c r="IU90">
        <v>41</v>
      </c>
      <c r="IV90">
        <v>0.7</v>
      </c>
      <c r="IW90">
        <v>0.5</v>
      </c>
      <c r="IX90">
        <v>0.397949</v>
      </c>
      <c r="IY90">
        <v>2.5427200000000001</v>
      </c>
      <c r="IZ90">
        <v>1.6003400000000001</v>
      </c>
      <c r="JA90">
        <v>2.2680699999999998</v>
      </c>
      <c r="JB90">
        <v>1.5502899999999999</v>
      </c>
      <c r="JC90">
        <v>2.2729499999999998</v>
      </c>
      <c r="JD90">
        <v>41.664999999999999</v>
      </c>
      <c r="JE90">
        <v>23.763500000000001</v>
      </c>
      <c r="JF90">
        <v>18</v>
      </c>
      <c r="JG90">
        <v>502.73399999999998</v>
      </c>
      <c r="JH90">
        <v>468.84699999999998</v>
      </c>
      <c r="JI90">
        <v>23.882200000000001</v>
      </c>
      <c r="JJ90">
        <v>33.844799999999999</v>
      </c>
      <c r="JK90">
        <v>30.0002</v>
      </c>
      <c r="JL90">
        <v>33.8108</v>
      </c>
      <c r="JM90">
        <v>33.777099999999997</v>
      </c>
      <c r="JN90">
        <v>8.0146099999999993</v>
      </c>
      <c r="JO90">
        <v>26.500299999999999</v>
      </c>
      <c r="JP90">
        <v>34.814599999999999</v>
      </c>
      <c r="JQ90">
        <v>23.8721</v>
      </c>
      <c r="JR90">
        <v>120</v>
      </c>
      <c r="JS90">
        <v>22.5213</v>
      </c>
      <c r="JT90">
        <v>98.895799999999994</v>
      </c>
      <c r="JU90">
        <v>98.439300000000003</v>
      </c>
    </row>
    <row r="91" spans="1:281" x14ac:dyDescent="0.25">
      <c r="A91">
        <v>75</v>
      </c>
      <c r="B91">
        <v>1693340112.5999999</v>
      </c>
      <c r="C91">
        <v>17815.5</v>
      </c>
      <c r="D91" t="s">
        <v>798</v>
      </c>
      <c r="E91" t="s">
        <v>799</v>
      </c>
      <c r="F91" t="s">
        <v>413</v>
      </c>
      <c r="G91" t="s">
        <v>414</v>
      </c>
      <c r="H91" t="s">
        <v>779</v>
      </c>
      <c r="I91" t="s">
        <v>415</v>
      </c>
      <c r="J91">
        <v>1693340112.5999999</v>
      </c>
      <c r="K91">
        <f t="shared" si="92"/>
        <v>5.1557990479150651E-3</v>
      </c>
      <c r="L91">
        <f t="shared" si="93"/>
        <v>5.1557990479150648</v>
      </c>
      <c r="M91">
        <f t="shared" si="94"/>
        <v>8.3135332688195778</v>
      </c>
      <c r="N91">
        <f t="shared" si="95"/>
        <v>59.658099999999997</v>
      </c>
      <c r="O91">
        <f t="shared" si="96"/>
        <v>19.103412764733225</v>
      </c>
      <c r="P91">
        <f t="shared" si="97"/>
        <v>1.8893017633903442</v>
      </c>
      <c r="Q91">
        <f t="shared" si="98"/>
        <v>5.90010564701796</v>
      </c>
      <c r="R91">
        <f t="shared" si="99"/>
        <v>0.35535329835930501</v>
      </c>
      <c r="S91">
        <f t="shared" si="100"/>
        <v>2.9223366312146695</v>
      </c>
      <c r="T91">
        <f t="shared" si="101"/>
        <v>0.33297453238818969</v>
      </c>
      <c r="U91">
        <f t="shared" si="102"/>
        <v>0.21000217522762349</v>
      </c>
      <c r="V91">
        <f t="shared" si="103"/>
        <v>344.34030065805501</v>
      </c>
      <c r="W91">
        <f t="shared" si="104"/>
        <v>30.582889467957525</v>
      </c>
      <c r="X91">
        <f t="shared" si="105"/>
        <v>29.961200000000002</v>
      </c>
      <c r="Y91">
        <f t="shared" si="106"/>
        <v>4.2509639786608444</v>
      </c>
      <c r="Z91">
        <f t="shared" si="107"/>
        <v>65.512394950950764</v>
      </c>
      <c r="AA91">
        <f t="shared" si="108"/>
        <v>2.77399838886324</v>
      </c>
      <c r="AB91">
        <f t="shared" si="109"/>
        <v>4.234310760490648</v>
      </c>
      <c r="AC91">
        <f t="shared" si="110"/>
        <v>1.4769655897976044</v>
      </c>
      <c r="AD91">
        <f t="shared" si="111"/>
        <v>-227.37073801305436</v>
      </c>
      <c r="AE91">
        <f t="shared" si="112"/>
        <v>-10.760597551157801</v>
      </c>
      <c r="AF91">
        <f t="shared" si="113"/>
        <v>-0.8181473482408681</v>
      </c>
      <c r="AG91">
        <f t="shared" si="114"/>
        <v>105.39081774560198</v>
      </c>
      <c r="AH91">
        <v>0</v>
      </c>
      <c r="AI91">
        <v>0</v>
      </c>
      <c r="AJ91">
        <f t="shared" si="115"/>
        <v>1</v>
      </c>
      <c r="AK91">
        <f t="shared" si="116"/>
        <v>0</v>
      </c>
      <c r="AL91">
        <f t="shared" si="117"/>
        <v>52139.720456009498</v>
      </c>
      <c r="AM91" t="s">
        <v>416</v>
      </c>
      <c r="AN91">
        <v>10238.9</v>
      </c>
      <c r="AO91">
        <v>302.21199999999999</v>
      </c>
      <c r="AP91">
        <v>4052.3</v>
      </c>
      <c r="AQ91">
        <f t="shared" si="118"/>
        <v>0.92542210596451402</v>
      </c>
      <c r="AR91">
        <v>-0.32343011824092421</v>
      </c>
      <c r="AS91" t="s">
        <v>800</v>
      </c>
      <c r="AT91">
        <v>10456.4</v>
      </c>
      <c r="AU91">
        <v>736.94792000000007</v>
      </c>
      <c r="AV91">
        <v>828.32897886485091</v>
      </c>
      <c r="AW91">
        <f t="shared" si="119"/>
        <v>0.11031976569270852</v>
      </c>
      <c r="AX91">
        <v>0.5</v>
      </c>
      <c r="AY91">
        <f t="shared" si="120"/>
        <v>1513.0584003290273</v>
      </c>
      <c r="AZ91">
        <f t="shared" si="121"/>
        <v>8.3135332688195778</v>
      </c>
      <c r="BA91">
        <f t="shared" si="122"/>
        <v>83.46012410184133</v>
      </c>
      <c r="BB91">
        <f t="shared" si="123"/>
        <v>5.7082815740504937E-3</v>
      </c>
      <c r="BC91">
        <f t="shared" si="124"/>
        <v>3.8921383935562739</v>
      </c>
      <c r="BD91">
        <f t="shared" si="125"/>
        <v>234.22430122969902</v>
      </c>
      <c r="BE91" t="s">
        <v>801</v>
      </c>
      <c r="BF91">
        <v>577.79</v>
      </c>
      <c r="BG91">
        <f t="shared" si="126"/>
        <v>577.79</v>
      </c>
      <c r="BH91">
        <f t="shared" si="127"/>
        <v>0.30246313392076629</v>
      </c>
      <c r="BI91">
        <f t="shared" si="128"/>
        <v>0.36473789140070229</v>
      </c>
      <c r="BJ91">
        <f t="shared" si="129"/>
        <v>0.92789228441856531</v>
      </c>
      <c r="BK91">
        <f t="shared" si="130"/>
        <v>0.17368962138803135</v>
      </c>
      <c r="BL91">
        <f t="shared" si="131"/>
        <v>0.85970543121525389</v>
      </c>
      <c r="BM91">
        <f t="shared" si="132"/>
        <v>0.28596580647437303</v>
      </c>
      <c r="BN91">
        <f t="shared" si="133"/>
        <v>0.71403419352562691</v>
      </c>
      <c r="BO91">
        <v>5612</v>
      </c>
      <c r="BP91">
        <v>290.00000000000011</v>
      </c>
      <c r="BQ91">
        <v>802.27</v>
      </c>
      <c r="BR91">
        <v>215</v>
      </c>
      <c r="BS91">
        <v>10456.4</v>
      </c>
      <c r="BT91">
        <v>802.66</v>
      </c>
      <c r="BU91">
        <v>-0.39</v>
      </c>
      <c r="BV91">
        <v>300.00000000000011</v>
      </c>
      <c r="BW91">
        <v>38.299999999999997</v>
      </c>
      <c r="BX91">
        <v>828.32897886485091</v>
      </c>
      <c r="BY91">
        <v>0.98375501251794273</v>
      </c>
      <c r="BZ91">
        <v>-26.842106012509209</v>
      </c>
      <c r="CA91">
        <v>0.84216793786748334</v>
      </c>
      <c r="CB91">
        <v>0.97317659426725212</v>
      </c>
      <c r="CC91">
        <v>-1.135174927697442E-2</v>
      </c>
      <c r="CD91">
        <v>289.99999999999989</v>
      </c>
      <c r="CE91">
        <v>800.87</v>
      </c>
      <c r="CF91">
        <v>685</v>
      </c>
      <c r="CG91">
        <v>10429.1</v>
      </c>
      <c r="CH91">
        <v>802.59</v>
      </c>
      <c r="CI91">
        <v>-1.72</v>
      </c>
      <c r="CW91">
        <f t="shared" si="134"/>
        <v>1799.85</v>
      </c>
      <c r="CX91">
        <f t="shared" si="135"/>
        <v>1513.0584003290273</v>
      </c>
      <c r="CY91">
        <f t="shared" si="136"/>
        <v>0.84065805502071145</v>
      </c>
      <c r="CZ91">
        <f t="shared" si="137"/>
        <v>0.1913161100414229</v>
      </c>
      <c r="DA91">
        <v>6</v>
      </c>
      <c r="DB91">
        <v>0.5</v>
      </c>
      <c r="DC91" t="s">
        <v>419</v>
      </c>
      <c r="DD91">
        <v>2</v>
      </c>
      <c r="DE91">
        <v>1693340112.5999999</v>
      </c>
      <c r="DF91">
        <v>59.658099999999997</v>
      </c>
      <c r="DG91">
        <v>69.997900000000001</v>
      </c>
      <c r="DH91">
        <v>28.0489</v>
      </c>
      <c r="DI91">
        <v>22.038699999999999</v>
      </c>
      <c r="DJ91">
        <v>60.657600000000002</v>
      </c>
      <c r="DK91">
        <v>27.670500000000001</v>
      </c>
      <c r="DL91">
        <v>500.26799999999997</v>
      </c>
      <c r="DM91">
        <v>98.799000000000007</v>
      </c>
      <c r="DN91">
        <v>9.9651600000000007E-2</v>
      </c>
      <c r="DO91">
        <v>29.892900000000001</v>
      </c>
      <c r="DP91">
        <v>29.961200000000002</v>
      </c>
      <c r="DQ91">
        <v>999.9</v>
      </c>
      <c r="DR91">
        <v>0</v>
      </c>
      <c r="DS91">
        <v>0</v>
      </c>
      <c r="DT91">
        <v>10080</v>
      </c>
      <c r="DU91">
        <v>0</v>
      </c>
      <c r="DV91">
        <v>1499.98</v>
      </c>
      <c r="DW91">
        <v>-10.339700000000001</v>
      </c>
      <c r="DX91">
        <v>61.379800000000003</v>
      </c>
      <c r="DY91">
        <v>71.575299999999999</v>
      </c>
      <c r="DZ91">
        <v>6.0102399999999996</v>
      </c>
      <c r="EA91">
        <v>69.997900000000001</v>
      </c>
      <c r="EB91">
        <v>22.038699999999999</v>
      </c>
      <c r="EC91">
        <v>2.77121</v>
      </c>
      <c r="ED91">
        <v>2.1774</v>
      </c>
      <c r="EE91">
        <v>22.7136</v>
      </c>
      <c r="EF91">
        <v>18.797000000000001</v>
      </c>
      <c r="EG91">
        <v>1799.85</v>
      </c>
      <c r="EH91">
        <v>0.97800299999999996</v>
      </c>
      <c r="EI91">
        <v>2.19968E-2</v>
      </c>
      <c r="EJ91">
        <v>0</v>
      </c>
      <c r="EK91">
        <v>736.48299999999995</v>
      </c>
      <c r="EL91">
        <v>4.9995000000000003</v>
      </c>
      <c r="EM91">
        <v>14414.1</v>
      </c>
      <c r="EN91">
        <v>16658.400000000001</v>
      </c>
      <c r="EO91">
        <v>47.375</v>
      </c>
      <c r="EP91">
        <v>49.061999999999998</v>
      </c>
      <c r="EQ91">
        <v>48.311999999999998</v>
      </c>
      <c r="ER91">
        <v>47.75</v>
      </c>
      <c r="ES91">
        <v>48.686999999999998</v>
      </c>
      <c r="ET91">
        <v>1755.37</v>
      </c>
      <c r="EU91">
        <v>39.479999999999997</v>
      </c>
      <c r="EV91">
        <v>0</v>
      </c>
      <c r="EW91">
        <v>109.19999980926509</v>
      </c>
      <c r="EX91">
        <v>0</v>
      </c>
      <c r="EY91">
        <v>736.94792000000007</v>
      </c>
      <c r="EZ91">
        <v>-2.929615381797146</v>
      </c>
      <c r="FA91">
        <v>-42.915384578429297</v>
      </c>
      <c r="FB91">
        <v>14421.284</v>
      </c>
      <c r="FC91">
        <v>15</v>
      </c>
      <c r="FD91">
        <v>1693340075.5999999</v>
      </c>
      <c r="FE91" t="s">
        <v>802</v>
      </c>
      <c r="FF91">
        <v>1693340070.5999999</v>
      </c>
      <c r="FG91">
        <v>1693340075.5999999</v>
      </c>
      <c r="FH91">
        <v>83</v>
      </c>
      <c r="FI91">
        <v>-9.7000000000000003E-2</v>
      </c>
      <c r="FJ91">
        <v>1E-3</v>
      </c>
      <c r="FK91">
        <v>-1.024</v>
      </c>
      <c r="FL91">
        <v>0.128</v>
      </c>
      <c r="FM91">
        <v>70</v>
      </c>
      <c r="FN91">
        <v>22</v>
      </c>
      <c r="FO91">
        <v>0.5</v>
      </c>
      <c r="FP91">
        <v>0.04</v>
      </c>
      <c r="FQ91">
        <v>8.3184905378397627</v>
      </c>
      <c r="FR91">
        <v>0.50789825930436738</v>
      </c>
      <c r="FS91">
        <v>5.9540590670930482E-2</v>
      </c>
      <c r="FT91">
        <v>1</v>
      </c>
      <c r="FU91">
        <v>0.35229649555171139</v>
      </c>
      <c r="FV91">
        <v>4.248341442833091E-2</v>
      </c>
      <c r="FW91">
        <v>3.8014118188760089E-3</v>
      </c>
      <c r="FX91">
        <v>1</v>
      </c>
      <c r="FY91">
        <v>2</v>
      </c>
      <c r="FZ91">
        <v>2</v>
      </c>
      <c r="GA91" t="s">
        <v>421</v>
      </c>
      <c r="GB91">
        <v>2.9685100000000002</v>
      </c>
      <c r="GC91">
        <v>2.8120500000000002</v>
      </c>
      <c r="GD91">
        <v>1.7307199999999998E-2</v>
      </c>
      <c r="GE91">
        <v>1.9688199999999999E-2</v>
      </c>
      <c r="GF91">
        <v>0.13163</v>
      </c>
      <c r="GG91">
        <v>0.110676</v>
      </c>
      <c r="GH91">
        <v>28954.9</v>
      </c>
      <c r="GI91">
        <v>26591.7</v>
      </c>
      <c r="GJ91">
        <v>26491.3</v>
      </c>
      <c r="GK91">
        <v>25602.6</v>
      </c>
      <c r="GL91">
        <v>31301.200000000001</v>
      </c>
      <c r="GM91">
        <v>32096.1</v>
      </c>
      <c r="GN91">
        <v>37497.300000000003</v>
      </c>
      <c r="GO91">
        <v>37908.199999999997</v>
      </c>
      <c r="GP91">
        <v>1.9374</v>
      </c>
      <c r="GQ91">
        <v>1.9307000000000001</v>
      </c>
      <c r="GR91">
        <v>-1.4632900000000001E-2</v>
      </c>
      <c r="GS91">
        <v>0</v>
      </c>
      <c r="GT91">
        <v>30.199300000000001</v>
      </c>
      <c r="GU91">
        <v>999.9</v>
      </c>
      <c r="GV91">
        <v>40.299999999999997</v>
      </c>
      <c r="GW91">
        <v>38</v>
      </c>
      <c r="GX91">
        <v>27.1557</v>
      </c>
      <c r="GY91">
        <v>61.380400000000002</v>
      </c>
      <c r="GZ91">
        <v>12.944699999999999</v>
      </c>
      <c r="HA91">
        <v>1</v>
      </c>
      <c r="HB91">
        <v>0.52632100000000004</v>
      </c>
      <c r="HC91">
        <v>4.2732799999999997</v>
      </c>
      <c r="HD91">
        <v>20.201000000000001</v>
      </c>
      <c r="HE91">
        <v>5.2095000000000002</v>
      </c>
      <c r="HF91">
        <v>11.9381</v>
      </c>
      <c r="HG91">
        <v>4.9874000000000001</v>
      </c>
      <c r="HH91">
        <v>3.2909999999999999</v>
      </c>
      <c r="HI91">
        <v>9999</v>
      </c>
      <c r="HJ91">
        <v>9999</v>
      </c>
      <c r="HK91">
        <v>9999</v>
      </c>
      <c r="HL91">
        <v>999.9</v>
      </c>
      <c r="HM91">
        <v>1.8708800000000001</v>
      </c>
      <c r="HN91">
        <v>1.8769800000000001</v>
      </c>
      <c r="HO91">
        <v>1.8748199999999999</v>
      </c>
      <c r="HP91">
        <v>1.8730199999999999</v>
      </c>
      <c r="HQ91">
        <v>1.8734900000000001</v>
      </c>
      <c r="HR91">
        <v>1.8709499999999999</v>
      </c>
      <c r="HS91">
        <v>1.87683</v>
      </c>
      <c r="HT91">
        <v>1.87592</v>
      </c>
      <c r="HU91">
        <v>5</v>
      </c>
      <c r="HV91">
        <v>0</v>
      </c>
      <c r="HW91">
        <v>0</v>
      </c>
      <c r="HX91">
        <v>0</v>
      </c>
      <c r="HY91" t="s">
        <v>422</v>
      </c>
      <c r="HZ91" t="s">
        <v>423</v>
      </c>
      <c r="IA91" t="s">
        <v>424</v>
      </c>
      <c r="IB91" t="s">
        <v>424</v>
      </c>
      <c r="IC91" t="s">
        <v>424</v>
      </c>
      <c r="ID91" t="s">
        <v>424</v>
      </c>
      <c r="IE91">
        <v>0</v>
      </c>
      <c r="IF91">
        <v>100</v>
      </c>
      <c r="IG91">
        <v>100</v>
      </c>
      <c r="IH91">
        <v>-1</v>
      </c>
      <c r="II91">
        <v>0.37840000000000001</v>
      </c>
      <c r="IJ91">
        <v>-0.84397579871619199</v>
      </c>
      <c r="IK91">
        <v>-2.677719669153116E-3</v>
      </c>
      <c r="IL91">
        <v>1.9353498771248068E-6</v>
      </c>
      <c r="IM91">
        <v>-6.1862177325538213E-10</v>
      </c>
      <c r="IN91">
        <v>-0.22016255774943119</v>
      </c>
      <c r="IO91">
        <v>-1.5299015507423901E-2</v>
      </c>
      <c r="IP91">
        <v>1.742162107778985E-3</v>
      </c>
      <c r="IQ91">
        <v>-1.472690239905804E-5</v>
      </c>
      <c r="IR91">
        <v>3</v>
      </c>
      <c r="IS91">
        <v>2255</v>
      </c>
      <c r="IT91">
        <v>2</v>
      </c>
      <c r="IU91">
        <v>41</v>
      </c>
      <c r="IV91">
        <v>0.7</v>
      </c>
      <c r="IW91">
        <v>0.6</v>
      </c>
      <c r="IX91">
        <v>0.29418899999999998</v>
      </c>
      <c r="IY91">
        <v>2.5500500000000001</v>
      </c>
      <c r="IZ91">
        <v>1.5991200000000001</v>
      </c>
      <c r="JA91">
        <v>2.2680699999999998</v>
      </c>
      <c r="JB91">
        <v>1.5502899999999999</v>
      </c>
      <c r="JC91">
        <v>2.4304199999999998</v>
      </c>
      <c r="JD91">
        <v>41.6389</v>
      </c>
      <c r="JE91">
        <v>23.780999999999999</v>
      </c>
      <c r="JF91">
        <v>18</v>
      </c>
      <c r="JG91">
        <v>503.935</v>
      </c>
      <c r="JH91">
        <v>468.10700000000003</v>
      </c>
      <c r="JI91">
        <v>23.973299999999998</v>
      </c>
      <c r="JJ91">
        <v>33.856900000000003</v>
      </c>
      <c r="JK91">
        <v>29.999600000000001</v>
      </c>
      <c r="JL91">
        <v>33.823</v>
      </c>
      <c r="JM91">
        <v>33.789099999999998</v>
      </c>
      <c r="JN91">
        <v>5.9430300000000003</v>
      </c>
      <c r="JO91">
        <v>27.9085</v>
      </c>
      <c r="JP91">
        <v>34.737000000000002</v>
      </c>
      <c r="JQ91">
        <v>23.980699999999999</v>
      </c>
      <c r="JR91">
        <v>70</v>
      </c>
      <c r="JS91">
        <v>21.992599999999999</v>
      </c>
      <c r="JT91">
        <v>98.900400000000005</v>
      </c>
      <c r="JU91">
        <v>98.443700000000007</v>
      </c>
    </row>
    <row r="92" spans="1:281" x14ac:dyDescent="0.25">
      <c r="A92">
        <v>76</v>
      </c>
      <c r="B92">
        <v>1693340214.5999999</v>
      </c>
      <c r="C92">
        <v>17917.5</v>
      </c>
      <c r="D92" t="s">
        <v>803</v>
      </c>
      <c r="E92" t="s">
        <v>804</v>
      </c>
      <c r="F92" t="s">
        <v>413</v>
      </c>
      <c r="G92" t="s">
        <v>414</v>
      </c>
      <c r="H92" t="s">
        <v>779</v>
      </c>
      <c r="I92" t="s">
        <v>415</v>
      </c>
      <c r="J92">
        <v>1693340214.5999999</v>
      </c>
      <c r="K92">
        <f t="shared" si="92"/>
        <v>5.3881869569771361E-3</v>
      </c>
      <c r="L92">
        <f t="shared" si="93"/>
        <v>5.3881869569771359</v>
      </c>
      <c r="M92">
        <f t="shared" si="94"/>
        <v>3.7679115933128289</v>
      </c>
      <c r="N92">
        <f t="shared" si="95"/>
        <v>25.2988</v>
      </c>
      <c r="O92">
        <f t="shared" si="96"/>
        <v>7.8684417676752272</v>
      </c>
      <c r="P92">
        <f t="shared" si="97"/>
        <v>0.7781338251070572</v>
      </c>
      <c r="Q92">
        <f t="shared" si="98"/>
        <v>2.50187427140796</v>
      </c>
      <c r="R92">
        <f t="shared" si="99"/>
        <v>0.37574533442291952</v>
      </c>
      <c r="S92">
        <f t="shared" si="100"/>
        <v>2.9065500773662096</v>
      </c>
      <c r="T92">
        <f t="shared" si="101"/>
        <v>0.35069536600045909</v>
      </c>
      <c r="U92">
        <f t="shared" si="102"/>
        <v>0.22129592471055676</v>
      </c>
      <c r="V92">
        <f t="shared" si="103"/>
        <v>344.35360065802939</v>
      </c>
      <c r="W92">
        <f t="shared" si="104"/>
        <v>30.526690836405947</v>
      </c>
      <c r="X92">
        <f t="shared" si="105"/>
        <v>29.925999999999998</v>
      </c>
      <c r="Y92">
        <f t="shared" si="106"/>
        <v>4.2423742393694459</v>
      </c>
      <c r="Z92">
        <f t="shared" si="107"/>
        <v>65.576582946727328</v>
      </c>
      <c r="AA92">
        <f t="shared" si="108"/>
        <v>2.7768759305353199</v>
      </c>
      <c r="AB92">
        <f t="shared" si="109"/>
        <v>4.2345541743020982</v>
      </c>
      <c r="AC92">
        <f t="shared" si="110"/>
        <v>1.465498308834126</v>
      </c>
      <c r="AD92">
        <f t="shared" si="111"/>
        <v>-237.61904480269169</v>
      </c>
      <c r="AE92">
        <f t="shared" si="112"/>
        <v>-5.0300034814480119</v>
      </c>
      <c r="AF92">
        <f t="shared" si="113"/>
        <v>-0.38445215769385865</v>
      </c>
      <c r="AG92">
        <f t="shared" si="114"/>
        <v>101.32010021619581</v>
      </c>
      <c r="AH92">
        <v>0</v>
      </c>
      <c r="AI92">
        <v>0</v>
      </c>
      <c r="AJ92">
        <f t="shared" si="115"/>
        <v>1</v>
      </c>
      <c r="AK92">
        <f t="shared" si="116"/>
        <v>0</v>
      </c>
      <c r="AL92">
        <f t="shared" si="117"/>
        <v>51690.473432767343</v>
      </c>
      <c r="AM92" t="s">
        <v>416</v>
      </c>
      <c r="AN92">
        <v>10238.9</v>
      </c>
      <c r="AO92">
        <v>302.21199999999999</v>
      </c>
      <c r="AP92">
        <v>4052.3</v>
      </c>
      <c r="AQ92">
        <f t="shared" si="118"/>
        <v>0.92542210596451402</v>
      </c>
      <c r="AR92">
        <v>-0.32343011824092421</v>
      </c>
      <c r="AS92" t="s">
        <v>805</v>
      </c>
      <c r="AT92">
        <v>10447.1</v>
      </c>
      <c r="AU92">
        <v>741.21699999999987</v>
      </c>
      <c r="AV92">
        <v>802.19458290973466</v>
      </c>
      <c r="AW92">
        <f t="shared" si="119"/>
        <v>7.6013456346907482E-2</v>
      </c>
      <c r="AX92">
        <v>0.5</v>
      </c>
      <c r="AY92">
        <f t="shared" si="120"/>
        <v>1513.1172003290146</v>
      </c>
      <c r="AZ92">
        <f t="shared" si="121"/>
        <v>3.7679115933128289</v>
      </c>
      <c r="BA92">
        <f t="shared" si="122"/>
        <v>57.50863412748221</v>
      </c>
      <c r="BB92">
        <f t="shared" si="123"/>
        <v>2.7039159363624475E-3</v>
      </c>
      <c r="BC92">
        <f t="shared" si="124"/>
        <v>4.0515175324438424</v>
      </c>
      <c r="BD92">
        <f t="shared" si="125"/>
        <v>232.08628345045929</v>
      </c>
      <c r="BE92" t="s">
        <v>806</v>
      </c>
      <c r="BF92">
        <v>586.37</v>
      </c>
      <c r="BG92">
        <f t="shared" si="126"/>
        <v>586.37</v>
      </c>
      <c r="BH92">
        <f t="shared" si="127"/>
        <v>0.26904268304442025</v>
      </c>
      <c r="BI92">
        <f t="shared" si="128"/>
        <v>0.28253307425705876</v>
      </c>
      <c r="BJ92">
        <f t="shared" si="129"/>
        <v>0.93772967633225857</v>
      </c>
      <c r="BK92">
        <f t="shared" si="130"/>
        <v>0.1219594141757204</v>
      </c>
      <c r="BL92">
        <f t="shared" si="131"/>
        <v>0.86667443993054705</v>
      </c>
      <c r="BM92">
        <f t="shared" si="132"/>
        <v>0.22350933498841982</v>
      </c>
      <c r="BN92">
        <f t="shared" si="133"/>
        <v>0.77649066501158015</v>
      </c>
      <c r="BO92">
        <v>5614</v>
      </c>
      <c r="BP92">
        <v>290.00000000000011</v>
      </c>
      <c r="BQ92">
        <v>785.68</v>
      </c>
      <c r="BR92">
        <v>275</v>
      </c>
      <c r="BS92">
        <v>10447.1</v>
      </c>
      <c r="BT92">
        <v>785.36</v>
      </c>
      <c r="BU92">
        <v>0.32</v>
      </c>
      <c r="BV92">
        <v>300.00000000000011</v>
      </c>
      <c r="BW92">
        <v>38.299999999999997</v>
      </c>
      <c r="BX92">
        <v>802.19458290973466</v>
      </c>
      <c r="BY92">
        <v>1.246963077675739</v>
      </c>
      <c r="BZ92">
        <v>-17.58916960386976</v>
      </c>
      <c r="CA92">
        <v>1.0675411348184931</v>
      </c>
      <c r="CB92">
        <v>0.90650140662979395</v>
      </c>
      <c r="CC92">
        <v>-1.135208520578421E-2</v>
      </c>
      <c r="CD92">
        <v>289.99999999999989</v>
      </c>
      <c r="CE92">
        <v>783.98</v>
      </c>
      <c r="CF92">
        <v>665</v>
      </c>
      <c r="CG92">
        <v>10431.5</v>
      </c>
      <c r="CH92">
        <v>785.33</v>
      </c>
      <c r="CI92">
        <v>-1.35</v>
      </c>
      <c r="CW92">
        <f t="shared" si="134"/>
        <v>1799.92</v>
      </c>
      <c r="CX92">
        <f t="shared" si="135"/>
        <v>1513.1172003290146</v>
      </c>
      <c r="CY92">
        <f t="shared" si="136"/>
        <v>0.84065802942853829</v>
      </c>
      <c r="CZ92">
        <f t="shared" si="137"/>
        <v>0.19131605885707664</v>
      </c>
      <c r="DA92">
        <v>6</v>
      </c>
      <c r="DB92">
        <v>0.5</v>
      </c>
      <c r="DC92" t="s">
        <v>419</v>
      </c>
      <c r="DD92">
        <v>2</v>
      </c>
      <c r="DE92">
        <v>1693340214.5999999</v>
      </c>
      <c r="DF92">
        <v>25.2988</v>
      </c>
      <c r="DG92">
        <v>29.9833</v>
      </c>
      <c r="DH92">
        <v>28.079599999999999</v>
      </c>
      <c r="DI92">
        <v>21.796099999999999</v>
      </c>
      <c r="DJ92">
        <v>26.3309</v>
      </c>
      <c r="DK92">
        <v>27.696400000000001</v>
      </c>
      <c r="DL92">
        <v>500.06099999999998</v>
      </c>
      <c r="DM92">
        <v>98.793499999999995</v>
      </c>
      <c r="DN92">
        <v>9.9501699999999998E-2</v>
      </c>
      <c r="DO92">
        <v>29.893899999999999</v>
      </c>
      <c r="DP92">
        <v>29.925999999999998</v>
      </c>
      <c r="DQ92">
        <v>999.9</v>
      </c>
      <c r="DR92">
        <v>0</v>
      </c>
      <c r="DS92">
        <v>0</v>
      </c>
      <c r="DT92">
        <v>9990</v>
      </c>
      <c r="DU92">
        <v>0</v>
      </c>
      <c r="DV92">
        <v>972.46600000000001</v>
      </c>
      <c r="DW92">
        <v>-4.68445</v>
      </c>
      <c r="DX92">
        <v>26.029699999999998</v>
      </c>
      <c r="DY92">
        <v>30.651399999999999</v>
      </c>
      <c r="DZ92">
        <v>6.2834500000000002</v>
      </c>
      <c r="EA92">
        <v>29.9833</v>
      </c>
      <c r="EB92">
        <v>21.796099999999999</v>
      </c>
      <c r="EC92">
        <v>2.7740800000000001</v>
      </c>
      <c r="ED92">
        <v>2.1533099999999998</v>
      </c>
      <c r="EE92">
        <v>22.730599999999999</v>
      </c>
      <c r="EF92">
        <v>18.6191</v>
      </c>
      <c r="EG92">
        <v>1799.92</v>
      </c>
      <c r="EH92">
        <v>0.97800299999999996</v>
      </c>
      <c r="EI92">
        <v>2.1996700000000001E-2</v>
      </c>
      <c r="EJ92">
        <v>0</v>
      </c>
      <c r="EK92">
        <v>741.38400000000001</v>
      </c>
      <c r="EL92">
        <v>4.9995000000000003</v>
      </c>
      <c r="EM92">
        <v>14138.2</v>
      </c>
      <c r="EN92">
        <v>16659</v>
      </c>
      <c r="EO92">
        <v>47.311999999999998</v>
      </c>
      <c r="EP92">
        <v>48.936999999999998</v>
      </c>
      <c r="EQ92">
        <v>48.186999999999998</v>
      </c>
      <c r="ER92">
        <v>47.686999999999998</v>
      </c>
      <c r="ES92">
        <v>48.625</v>
      </c>
      <c r="ET92">
        <v>1755.44</v>
      </c>
      <c r="EU92">
        <v>39.479999999999997</v>
      </c>
      <c r="EV92">
        <v>0</v>
      </c>
      <c r="EW92">
        <v>100.19999980926509</v>
      </c>
      <c r="EX92">
        <v>0</v>
      </c>
      <c r="EY92">
        <v>741.21699999999987</v>
      </c>
      <c r="EZ92">
        <v>-1.077538456359711</v>
      </c>
      <c r="FA92">
        <v>-833.33846270223944</v>
      </c>
      <c r="FB92">
        <v>14085.04</v>
      </c>
      <c r="FC92">
        <v>15</v>
      </c>
      <c r="FD92">
        <v>1693340183.0999999</v>
      </c>
      <c r="FE92" t="s">
        <v>807</v>
      </c>
      <c r="FF92">
        <v>1693340179.5999999</v>
      </c>
      <c r="FG92">
        <v>1693340183.0999999</v>
      </c>
      <c r="FH92">
        <v>84</v>
      </c>
      <c r="FI92">
        <v>-0.11899999999999999</v>
      </c>
      <c r="FJ92">
        <v>4.0000000000000001E-3</v>
      </c>
      <c r="FK92">
        <v>-1.044</v>
      </c>
      <c r="FL92">
        <v>0.113</v>
      </c>
      <c r="FM92">
        <v>30</v>
      </c>
      <c r="FN92">
        <v>22</v>
      </c>
      <c r="FO92">
        <v>1.1499999999999999</v>
      </c>
      <c r="FP92">
        <v>0.04</v>
      </c>
      <c r="FQ92">
        <v>3.7724463008647571</v>
      </c>
      <c r="FR92">
        <v>0.25378436899916812</v>
      </c>
      <c r="FS92">
        <v>5.4631399011654702E-2</v>
      </c>
      <c r="FT92">
        <v>1</v>
      </c>
      <c r="FU92">
        <v>0.3733462464602228</v>
      </c>
      <c r="FV92">
        <v>4.2935571501376293E-2</v>
      </c>
      <c r="FW92">
        <v>4.4334374270528802E-3</v>
      </c>
      <c r="FX92">
        <v>1</v>
      </c>
      <c r="FY92">
        <v>2</v>
      </c>
      <c r="FZ92">
        <v>2</v>
      </c>
      <c r="GA92" t="s">
        <v>421</v>
      </c>
      <c r="GB92">
        <v>2.9679700000000002</v>
      </c>
      <c r="GC92">
        <v>2.8111100000000002</v>
      </c>
      <c r="GD92">
        <v>7.5481999999999997E-3</v>
      </c>
      <c r="GE92">
        <v>8.4849399999999998E-3</v>
      </c>
      <c r="GF92">
        <v>0.13171099999999999</v>
      </c>
      <c r="GG92">
        <v>0.10981100000000001</v>
      </c>
      <c r="GH92">
        <v>29242.5</v>
      </c>
      <c r="GI92">
        <v>26897.599999999999</v>
      </c>
      <c r="GJ92">
        <v>26491.3</v>
      </c>
      <c r="GK92">
        <v>25604.5</v>
      </c>
      <c r="GL92">
        <v>31299</v>
      </c>
      <c r="GM92">
        <v>32128.5</v>
      </c>
      <c r="GN92">
        <v>37499.199999999997</v>
      </c>
      <c r="GO92">
        <v>37910.6</v>
      </c>
      <c r="GP92">
        <v>1.9371</v>
      </c>
      <c r="GQ92">
        <v>1.9306000000000001</v>
      </c>
      <c r="GR92">
        <v>-1.36793E-2</v>
      </c>
      <c r="GS92">
        <v>0</v>
      </c>
      <c r="GT92">
        <v>30.148599999999998</v>
      </c>
      <c r="GU92">
        <v>999.9</v>
      </c>
      <c r="GV92">
        <v>40.299999999999997</v>
      </c>
      <c r="GW92">
        <v>38</v>
      </c>
      <c r="GX92">
        <v>27.154499999999999</v>
      </c>
      <c r="GY92">
        <v>61.650399999999998</v>
      </c>
      <c r="GZ92">
        <v>12.055300000000001</v>
      </c>
      <c r="HA92">
        <v>1</v>
      </c>
      <c r="HB92">
        <v>0.52298800000000001</v>
      </c>
      <c r="HC92">
        <v>4.0002000000000004</v>
      </c>
      <c r="HD92">
        <v>20.206299999999999</v>
      </c>
      <c r="HE92">
        <v>5.20411</v>
      </c>
      <c r="HF92">
        <v>11.9381</v>
      </c>
      <c r="HG92">
        <v>4.9858000000000002</v>
      </c>
      <c r="HH92">
        <v>3.29</v>
      </c>
      <c r="HI92">
        <v>9999</v>
      </c>
      <c r="HJ92">
        <v>9999</v>
      </c>
      <c r="HK92">
        <v>9999</v>
      </c>
      <c r="HL92">
        <v>999.9</v>
      </c>
      <c r="HM92">
        <v>1.8708800000000001</v>
      </c>
      <c r="HN92">
        <v>1.8769800000000001</v>
      </c>
      <c r="HO92">
        <v>1.87479</v>
      </c>
      <c r="HP92">
        <v>1.8730199999999999</v>
      </c>
      <c r="HQ92">
        <v>1.87347</v>
      </c>
      <c r="HR92">
        <v>1.8709</v>
      </c>
      <c r="HS92">
        <v>1.87683</v>
      </c>
      <c r="HT92">
        <v>1.87592</v>
      </c>
      <c r="HU92">
        <v>5</v>
      </c>
      <c r="HV92">
        <v>0</v>
      </c>
      <c r="HW92">
        <v>0</v>
      </c>
      <c r="HX92">
        <v>0</v>
      </c>
      <c r="HY92" t="s">
        <v>422</v>
      </c>
      <c r="HZ92" t="s">
        <v>423</v>
      </c>
      <c r="IA92" t="s">
        <v>424</v>
      </c>
      <c r="IB92" t="s">
        <v>424</v>
      </c>
      <c r="IC92" t="s">
        <v>424</v>
      </c>
      <c r="ID92" t="s">
        <v>424</v>
      </c>
      <c r="IE92">
        <v>0</v>
      </c>
      <c r="IF92">
        <v>100</v>
      </c>
      <c r="IG92">
        <v>100</v>
      </c>
      <c r="IH92">
        <v>-1.032</v>
      </c>
      <c r="II92">
        <v>0.38319999999999999</v>
      </c>
      <c r="IJ92">
        <v>-0.96291802763452394</v>
      </c>
      <c r="IK92">
        <v>-2.677719669153116E-3</v>
      </c>
      <c r="IL92">
        <v>1.9353498771248068E-6</v>
      </c>
      <c r="IM92">
        <v>-6.1862177325538213E-10</v>
      </c>
      <c r="IN92">
        <v>-0.21665724980745629</v>
      </c>
      <c r="IO92">
        <v>-1.5299015507423901E-2</v>
      </c>
      <c r="IP92">
        <v>1.742162107778985E-3</v>
      </c>
      <c r="IQ92">
        <v>-1.472690239905804E-5</v>
      </c>
      <c r="IR92">
        <v>3</v>
      </c>
      <c r="IS92">
        <v>2255</v>
      </c>
      <c r="IT92">
        <v>2</v>
      </c>
      <c r="IU92">
        <v>41</v>
      </c>
      <c r="IV92">
        <v>0.6</v>
      </c>
      <c r="IW92">
        <v>0.5</v>
      </c>
      <c r="IX92">
        <v>0.21362300000000001</v>
      </c>
      <c r="IY92">
        <v>2.5781200000000002</v>
      </c>
      <c r="IZ92">
        <v>1.5991200000000001</v>
      </c>
      <c r="JA92">
        <v>2.2680699999999998</v>
      </c>
      <c r="JB92">
        <v>1.5502899999999999</v>
      </c>
      <c r="JC92">
        <v>2.2753899999999998</v>
      </c>
      <c r="JD92">
        <v>41.612699999999997</v>
      </c>
      <c r="JE92">
        <v>23.772300000000001</v>
      </c>
      <c r="JF92">
        <v>18</v>
      </c>
      <c r="JG92">
        <v>503.69099999999997</v>
      </c>
      <c r="JH92">
        <v>467.97699999999998</v>
      </c>
      <c r="JI92">
        <v>24.2758</v>
      </c>
      <c r="JJ92">
        <v>33.838700000000003</v>
      </c>
      <c r="JK92">
        <v>29.999700000000001</v>
      </c>
      <c r="JL92">
        <v>33.816899999999997</v>
      </c>
      <c r="JM92">
        <v>33.780099999999997</v>
      </c>
      <c r="JN92">
        <v>4.3152999999999997</v>
      </c>
      <c r="JO92">
        <v>28.559200000000001</v>
      </c>
      <c r="JP92">
        <v>34.508600000000001</v>
      </c>
      <c r="JQ92">
        <v>24.281099999999999</v>
      </c>
      <c r="JR92">
        <v>30</v>
      </c>
      <c r="JS92">
        <v>21.689299999999999</v>
      </c>
      <c r="JT92">
        <v>98.903400000000005</v>
      </c>
      <c r="JU92">
        <v>98.450599999999994</v>
      </c>
    </row>
    <row r="93" spans="1:281" x14ac:dyDescent="0.25">
      <c r="A93">
        <v>77</v>
      </c>
      <c r="B93">
        <v>1693340340.0999999</v>
      </c>
      <c r="C93">
        <v>18043</v>
      </c>
      <c r="D93" t="s">
        <v>808</v>
      </c>
      <c r="E93" t="s">
        <v>809</v>
      </c>
      <c r="F93" t="s">
        <v>413</v>
      </c>
      <c r="G93" t="s">
        <v>414</v>
      </c>
      <c r="H93" t="s">
        <v>779</v>
      </c>
      <c r="I93" t="s">
        <v>415</v>
      </c>
      <c r="J93">
        <v>1693340340.0999999</v>
      </c>
      <c r="K93">
        <f t="shared" si="92"/>
        <v>5.6004247842920017E-3</v>
      </c>
      <c r="L93">
        <f t="shared" si="93"/>
        <v>5.6004247842920014</v>
      </c>
      <c r="M93">
        <f t="shared" si="94"/>
        <v>1.3415432422222551</v>
      </c>
      <c r="N93">
        <f t="shared" si="95"/>
        <v>8.3284099999999999</v>
      </c>
      <c r="O93">
        <f t="shared" si="96"/>
        <v>2.2913674895602831</v>
      </c>
      <c r="P93">
        <f t="shared" si="97"/>
        <v>0.22657397631970558</v>
      </c>
      <c r="Q93">
        <f t="shared" si="98"/>
        <v>0.82352611648641194</v>
      </c>
      <c r="R93">
        <f t="shared" si="99"/>
        <v>0.38623395747719924</v>
      </c>
      <c r="S93">
        <f t="shared" si="100"/>
        <v>2.9142204666398124</v>
      </c>
      <c r="T93">
        <f t="shared" si="101"/>
        <v>0.35988312073442019</v>
      </c>
      <c r="U93">
        <f t="shared" si="102"/>
        <v>0.22714447883695218</v>
      </c>
      <c r="V93">
        <f t="shared" si="103"/>
        <v>344.38080065814489</v>
      </c>
      <c r="W93">
        <f t="shared" si="104"/>
        <v>30.606294462401671</v>
      </c>
      <c r="X93">
        <f t="shared" si="105"/>
        <v>30.03</v>
      </c>
      <c r="Y93">
        <f t="shared" si="106"/>
        <v>4.2677967895855726</v>
      </c>
      <c r="Z93">
        <f t="shared" si="107"/>
        <v>65.229054931308283</v>
      </c>
      <c r="AA93">
        <f t="shared" si="108"/>
        <v>2.7838914724821602</v>
      </c>
      <c r="AB93">
        <f t="shared" si="109"/>
        <v>4.2678703154810895</v>
      </c>
      <c r="AC93">
        <f t="shared" si="110"/>
        <v>1.4839053171034124</v>
      </c>
      <c r="AD93">
        <f t="shared" si="111"/>
        <v>-246.97873298727728</v>
      </c>
      <c r="AE93">
        <f t="shared" si="112"/>
        <v>4.7133436139135829E-2</v>
      </c>
      <c r="AF93">
        <f t="shared" si="113"/>
        <v>3.5972898173760219E-3</v>
      </c>
      <c r="AG93">
        <f t="shared" si="114"/>
        <v>97.452798396824122</v>
      </c>
      <c r="AH93">
        <v>0</v>
      </c>
      <c r="AI93">
        <v>0</v>
      </c>
      <c r="AJ93">
        <f t="shared" si="115"/>
        <v>1</v>
      </c>
      <c r="AK93">
        <f t="shared" si="116"/>
        <v>0</v>
      </c>
      <c r="AL93">
        <f t="shared" si="117"/>
        <v>51884.823634612432</v>
      </c>
      <c r="AM93" t="s">
        <v>416</v>
      </c>
      <c r="AN93">
        <v>10238.9</v>
      </c>
      <c r="AO93">
        <v>302.21199999999999</v>
      </c>
      <c r="AP93">
        <v>4052.3</v>
      </c>
      <c r="AQ93">
        <f t="shared" si="118"/>
        <v>0.92542210596451402</v>
      </c>
      <c r="AR93">
        <v>-0.32343011824092421</v>
      </c>
      <c r="AS93" t="s">
        <v>810</v>
      </c>
      <c r="AT93">
        <v>10458.799999999999</v>
      </c>
      <c r="AU93">
        <v>741.34611999999993</v>
      </c>
      <c r="AV93">
        <v>786.41925241475849</v>
      </c>
      <c r="AW93">
        <f t="shared" si="119"/>
        <v>5.7314380689890476E-2</v>
      </c>
      <c r="AX93">
        <v>0.5</v>
      </c>
      <c r="AY93">
        <f t="shared" si="120"/>
        <v>1513.2351003290723</v>
      </c>
      <c r="AZ93">
        <f t="shared" si="121"/>
        <v>1.3415432422222551</v>
      </c>
      <c r="BA93">
        <f t="shared" si="122"/>
        <v>43.365066306782531</v>
      </c>
      <c r="BB93">
        <f t="shared" si="123"/>
        <v>1.1002740817346291E-3</v>
      </c>
      <c r="BC93">
        <f t="shared" si="124"/>
        <v>4.1528494343915323</v>
      </c>
      <c r="BD93">
        <f t="shared" si="125"/>
        <v>230.74712987136158</v>
      </c>
      <c r="BE93" t="s">
        <v>811</v>
      </c>
      <c r="BF93">
        <v>595.42999999999995</v>
      </c>
      <c r="BG93">
        <f t="shared" si="126"/>
        <v>595.42999999999995</v>
      </c>
      <c r="BH93">
        <f t="shared" si="127"/>
        <v>0.24285932958572909</v>
      </c>
      <c r="BI93">
        <f t="shared" si="128"/>
        <v>0.23599826610597052</v>
      </c>
      <c r="BJ93">
        <f t="shared" si="129"/>
        <v>0.94475081434512764</v>
      </c>
      <c r="BK93">
        <f t="shared" si="130"/>
        <v>9.3086446330527414E-2</v>
      </c>
      <c r="BL93">
        <f t="shared" si="131"/>
        <v>0.87088109601301134</v>
      </c>
      <c r="BM93">
        <f t="shared" si="132"/>
        <v>0.18954769411550709</v>
      </c>
      <c r="BN93">
        <f t="shared" si="133"/>
        <v>0.81045230588449291</v>
      </c>
      <c r="BO93">
        <v>5616</v>
      </c>
      <c r="BP93">
        <v>290.00000000000011</v>
      </c>
      <c r="BQ93">
        <v>774.67</v>
      </c>
      <c r="BR93">
        <v>215</v>
      </c>
      <c r="BS93">
        <v>10458.799999999999</v>
      </c>
      <c r="BT93">
        <v>773.52</v>
      </c>
      <c r="BU93">
        <v>1.1499999999999999</v>
      </c>
      <c r="BV93">
        <v>300.00000000000011</v>
      </c>
      <c r="BW93">
        <v>38.299999999999997</v>
      </c>
      <c r="BX93">
        <v>786.41925241475849</v>
      </c>
      <c r="BY93">
        <v>1.1255519154008991</v>
      </c>
      <c r="BZ93">
        <v>-13.49389706098521</v>
      </c>
      <c r="CA93">
        <v>0.9637988104564067</v>
      </c>
      <c r="CB93">
        <v>0.87501156990540396</v>
      </c>
      <c r="CC93">
        <v>-1.135427897664072E-2</v>
      </c>
      <c r="CD93">
        <v>289.99999999999989</v>
      </c>
      <c r="CE93">
        <v>772.18</v>
      </c>
      <c r="CF93">
        <v>615</v>
      </c>
      <c r="CG93">
        <v>10439.299999999999</v>
      </c>
      <c r="CH93">
        <v>773.49</v>
      </c>
      <c r="CI93">
        <v>-1.31</v>
      </c>
      <c r="CW93">
        <f t="shared" si="134"/>
        <v>1800.06</v>
      </c>
      <c r="CX93">
        <f t="shared" si="135"/>
        <v>1513.2351003290723</v>
      </c>
      <c r="CY93">
        <f t="shared" si="136"/>
        <v>0.84065814491132096</v>
      </c>
      <c r="CZ93">
        <f t="shared" si="137"/>
        <v>0.19131628982264198</v>
      </c>
      <c r="DA93">
        <v>6</v>
      </c>
      <c r="DB93">
        <v>0.5</v>
      </c>
      <c r="DC93" t="s">
        <v>419</v>
      </c>
      <c r="DD93">
        <v>2</v>
      </c>
      <c r="DE93">
        <v>1693340340.0999999</v>
      </c>
      <c r="DF93">
        <v>8.3284099999999999</v>
      </c>
      <c r="DG93">
        <v>9.9938500000000001</v>
      </c>
      <c r="DH93">
        <v>28.1538</v>
      </c>
      <c r="DI93">
        <v>21.623999999999999</v>
      </c>
      <c r="DJ93">
        <v>9.3877299999999995</v>
      </c>
      <c r="DK93">
        <v>27.761299999999999</v>
      </c>
      <c r="DL93">
        <v>500.11500000000001</v>
      </c>
      <c r="DM93">
        <v>98.783000000000001</v>
      </c>
      <c r="DN93">
        <v>9.8553199999999994E-2</v>
      </c>
      <c r="DO93">
        <v>30.0303</v>
      </c>
      <c r="DP93">
        <v>30.03</v>
      </c>
      <c r="DQ93">
        <v>999.9</v>
      </c>
      <c r="DR93">
        <v>0</v>
      </c>
      <c r="DS93">
        <v>0</v>
      </c>
      <c r="DT93">
        <v>10035</v>
      </c>
      <c r="DU93">
        <v>0</v>
      </c>
      <c r="DV93">
        <v>1497.04</v>
      </c>
      <c r="DW93">
        <v>-1.66544</v>
      </c>
      <c r="DX93">
        <v>8.56968</v>
      </c>
      <c r="DY93">
        <v>10.214700000000001</v>
      </c>
      <c r="DZ93">
        <v>6.5297700000000001</v>
      </c>
      <c r="EA93">
        <v>9.9938500000000001</v>
      </c>
      <c r="EB93">
        <v>21.623999999999999</v>
      </c>
      <c r="EC93">
        <v>2.78111</v>
      </c>
      <c r="ED93">
        <v>2.1360800000000002</v>
      </c>
      <c r="EE93">
        <v>22.772400000000001</v>
      </c>
      <c r="EF93">
        <v>18.4908</v>
      </c>
      <c r="EG93">
        <v>1800.06</v>
      </c>
      <c r="EH93">
        <v>0.97799999999999998</v>
      </c>
      <c r="EI93">
        <v>2.20003E-2</v>
      </c>
      <c r="EJ93">
        <v>0</v>
      </c>
      <c r="EK93">
        <v>741.27700000000004</v>
      </c>
      <c r="EL93">
        <v>4.9995000000000003</v>
      </c>
      <c r="EM93">
        <v>14490.6</v>
      </c>
      <c r="EN93">
        <v>16660.400000000001</v>
      </c>
      <c r="EO93">
        <v>47.125</v>
      </c>
      <c r="EP93">
        <v>48.625</v>
      </c>
      <c r="EQ93">
        <v>48.061999999999998</v>
      </c>
      <c r="ER93">
        <v>47.375</v>
      </c>
      <c r="ES93">
        <v>48.375</v>
      </c>
      <c r="ET93">
        <v>1755.57</v>
      </c>
      <c r="EU93">
        <v>39.49</v>
      </c>
      <c r="EV93">
        <v>0</v>
      </c>
      <c r="EW93">
        <v>123.5999999046326</v>
      </c>
      <c r="EX93">
        <v>0</v>
      </c>
      <c r="EY93">
        <v>741.34611999999993</v>
      </c>
      <c r="EZ93">
        <v>-1.066615398237404</v>
      </c>
      <c r="FA93">
        <v>-43.176923138216488</v>
      </c>
      <c r="FB93">
        <v>14486.487999999999</v>
      </c>
      <c r="FC93">
        <v>15</v>
      </c>
      <c r="FD93">
        <v>1693340308.0999999</v>
      </c>
      <c r="FE93" t="s">
        <v>812</v>
      </c>
      <c r="FF93">
        <v>1693340298.0999999</v>
      </c>
      <c r="FG93">
        <v>1693340308.0999999</v>
      </c>
      <c r="FH93">
        <v>85</v>
      </c>
      <c r="FI93">
        <v>-7.0999999999999994E-2</v>
      </c>
      <c r="FJ93">
        <v>6.0000000000000001E-3</v>
      </c>
      <c r="FK93">
        <v>-1.0640000000000001</v>
      </c>
      <c r="FL93">
        <v>0.106</v>
      </c>
      <c r="FM93">
        <v>10</v>
      </c>
      <c r="FN93">
        <v>21</v>
      </c>
      <c r="FO93">
        <v>0.46</v>
      </c>
      <c r="FP93">
        <v>0.03</v>
      </c>
      <c r="FQ93">
        <v>1.339629787885231</v>
      </c>
      <c r="FR93">
        <v>0.2413507869512595</v>
      </c>
      <c r="FS93">
        <v>6.2831800816440117E-2</v>
      </c>
      <c r="FT93">
        <v>1</v>
      </c>
      <c r="FU93">
        <v>0.38454032682950701</v>
      </c>
      <c r="FV93">
        <v>4.418265686409581E-2</v>
      </c>
      <c r="FW93">
        <v>3.8319445440013989E-3</v>
      </c>
      <c r="FX93">
        <v>1</v>
      </c>
      <c r="FY93">
        <v>2</v>
      </c>
      <c r="FZ93">
        <v>2</v>
      </c>
      <c r="GA93" t="s">
        <v>421</v>
      </c>
      <c r="GB93">
        <v>2.9681899999999999</v>
      </c>
      <c r="GC93">
        <v>2.8105600000000002</v>
      </c>
      <c r="GD93">
        <v>2.6919000000000001E-3</v>
      </c>
      <c r="GE93">
        <v>2.8286600000000002E-3</v>
      </c>
      <c r="GF93">
        <v>0.13193199999999999</v>
      </c>
      <c r="GG93">
        <v>0.10920100000000001</v>
      </c>
      <c r="GH93">
        <v>29390.3</v>
      </c>
      <c r="GI93">
        <v>27056</v>
      </c>
      <c r="GJ93">
        <v>26495.4</v>
      </c>
      <c r="GK93">
        <v>25608.9</v>
      </c>
      <c r="GL93">
        <v>31293.5</v>
      </c>
      <c r="GM93">
        <v>32155.3</v>
      </c>
      <c r="GN93">
        <v>37503.4</v>
      </c>
      <c r="GO93">
        <v>37916.800000000003</v>
      </c>
      <c r="GP93">
        <v>1.9386000000000001</v>
      </c>
      <c r="GQ93">
        <v>1.9319</v>
      </c>
      <c r="GR93">
        <v>-1.74344E-3</v>
      </c>
      <c r="GS93">
        <v>0</v>
      </c>
      <c r="GT93">
        <v>30.058299999999999</v>
      </c>
      <c r="GU93">
        <v>999.9</v>
      </c>
      <c r="GV93">
        <v>40.200000000000003</v>
      </c>
      <c r="GW93">
        <v>37.9</v>
      </c>
      <c r="GX93">
        <v>26.945799999999998</v>
      </c>
      <c r="GY93">
        <v>61.620399999999997</v>
      </c>
      <c r="GZ93">
        <v>12.948700000000001</v>
      </c>
      <c r="HA93">
        <v>1</v>
      </c>
      <c r="HB93">
        <v>0.51461400000000002</v>
      </c>
      <c r="HC93">
        <v>3.86632</v>
      </c>
      <c r="HD93">
        <v>20.208500000000001</v>
      </c>
      <c r="HE93">
        <v>5.1957300000000002</v>
      </c>
      <c r="HF93">
        <v>11.9381</v>
      </c>
      <c r="HG93">
        <v>4.9837999999999996</v>
      </c>
      <c r="HH93">
        <v>3.2884000000000002</v>
      </c>
      <c r="HI93">
        <v>9999</v>
      </c>
      <c r="HJ93">
        <v>9999</v>
      </c>
      <c r="HK93">
        <v>9999</v>
      </c>
      <c r="HL93">
        <v>999.9</v>
      </c>
      <c r="HM93">
        <v>1.8708499999999999</v>
      </c>
      <c r="HN93">
        <v>1.8769800000000001</v>
      </c>
      <c r="HO93">
        <v>1.87483</v>
      </c>
      <c r="HP93">
        <v>1.8730199999999999</v>
      </c>
      <c r="HQ93">
        <v>1.87347</v>
      </c>
      <c r="HR93">
        <v>1.8709</v>
      </c>
      <c r="HS93">
        <v>1.87683</v>
      </c>
      <c r="HT93">
        <v>1.87592</v>
      </c>
      <c r="HU93">
        <v>5</v>
      </c>
      <c r="HV93">
        <v>0</v>
      </c>
      <c r="HW93">
        <v>0</v>
      </c>
      <c r="HX93">
        <v>0</v>
      </c>
      <c r="HY93" t="s">
        <v>422</v>
      </c>
      <c r="HZ93" t="s">
        <v>423</v>
      </c>
      <c r="IA93" t="s">
        <v>424</v>
      </c>
      <c r="IB93" t="s">
        <v>424</v>
      </c>
      <c r="IC93" t="s">
        <v>424</v>
      </c>
      <c r="ID93" t="s">
        <v>424</v>
      </c>
      <c r="IE93">
        <v>0</v>
      </c>
      <c r="IF93">
        <v>100</v>
      </c>
      <c r="IG93">
        <v>100</v>
      </c>
      <c r="IH93">
        <v>-1.0589999999999999</v>
      </c>
      <c r="II93">
        <v>0.39250000000000002</v>
      </c>
      <c r="IJ93">
        <v>-1.034348438250472</v>
      </c>
      <c r="IK93">
        <v>-2.677719669153116E-3</v>
      </c>
      <c r="IL93">
        <v>1.9353498771248068E-6</v>
      </c>
      <c r="IM93">
        <v>-6.1862177325538213E-10</v>
      </c>
      <c r="IN93">
        <v>-0.21036929117322331</v>
      </c>
      <c r="IO93">
        <v>-1.5299015507423901E-2</v>
      </c>
      <c r="IP93">
        <v>1.742162107778985E-3</v>
      </c>
      <c r="IQ93">
        <v>-1.472690239905804E-5</v>
      </c>
      <c r="IR93">
        <v>3</v>
      </c>
      <c r="IS93">
        <v>2255</v>
      </c>
      <c r="IT93">
        <v>2</v>
      </c>
      <c r="IU93">
        <v>41</v>
      </c>
      <c r="IV93">
        <v>0.7</v>
      </c>
      <c r="IW93">
        <v>0.5</v>
      </c>
      <c r="IX93">
        <v>0.17333999999999999</v>
      </c>
      <c r="IY93">
        <v>2.5781200000000002</v>
      </c>
      <c r="IZ93">
        <v>1.5991200000000001</v>
      </c>
      <c r="JA93">
        <v>2.2668499999999998</v>
      </c>
      <c r="JB93">
        <v>1.5502899999999999</v>
      </c>
      <c r="JC93">
        <v>2.4243199999999998</v>
      </c>
      <c r="JD93">
        <v>41.508299999999998</v>
      </c>
      <c r="JE93">
        <v>23.7898</v>
      </c>
      <c r="JF93">
        <v>18</v>
      </c>
      <c r="JG93">
        <v>504.19799999999998</v>
      </c>
      <c r="JH93">
        <v>468.399</v>
      </c>
      <c r="JI93">
        <v>24.6404</v>
      </c>
      <c r="JJ93">
        <v>33.7502</v>
      </c>
      <c r="JK93">
        <v>29.9999</v>
      </c>
      <c r="JL93">
        <v>33.756300000000003</v>
      </c>
      <c r="JM93">
        <v>33.725900000000003</v>
      </c>
      <c r="JN93">
        <v>3.52969</v>
      </c>
      <c r="JO93">
        <v>28.496400000000001</v>
      </c>
      <c r="JP93">
        <v>34.021000000000001</v>
      </c>
      <c r="JQ93">
        <v>24.6417</v>
      </c>
      <c r="JR93">
        <v>10</v>
      </c>
      <c r="JS93">
        <v>21.5885</v>
      </c>
      <c r="JT93">
        <v>98.916300000000007</v>
      </c>
      <c r="JU93">
        <v>98.466899999999995</v>
      </c>
    </row>
    <row r="94" spans="1:281" x14ac:dyDescent="0.25">
      <c r="A94">
        <v>78</v>
      </c>
      <c r="B94">
        <v>1693340530</v>
      </c>
      <c r="C94">
        <v>18232.900000095371</v>
      </c>
      <c r="D94" t="s">
        <v>813</v>
      </c>
      <c r="E94" t="s">
        <v>814</v>
      </c>
      <c r="F94" t="s">
        <v>413</v>
      </c>
      <c r="G94" t="s">
        <v>414</v>
      </c>
      <c r="H94" t="s">
        <v>779</v>
      </c>
      <c r="I94" t="s">
        <v>415</v>
      </c>
      <c r="J94">
        <v>1693340530</v>
      </c>
      <c r="K94">
        <f t="shared" si="92"/>
        <v>5.4378583903819883E-3</v>
      </c>
      <c r="L94">
        <f t="shared" si="93"/>
        <v>5.4378583903819884</v>
      </c>
      <c r="M94">
        <f t="shared" si="94"/>
        <v>37.766613565353516</v>
      </c>
      <c r="N94">
        <f t="shared" si="95"/>
        <v>352.41500000000002</v>
      </c>
      <c r="O94">
        <f t="shared" si="96"/>
        <v>174.22055823748232</v>
      </c>
      <c r="P94">
        <f t="shared" si="97"/>
        <v>17.2262857504418</v>
      </c>
      <c r="Q94">
        <f t="shared" si="98"/>
        <v>34.845494436235008</v>
      </c>
      <c r="R94">
        <f t="shared" si="99"/>
        <v>0.37341180271291641</v>
      </c>
      <c r="S94">
        <f t="shared" si="100"/>
        <v>2.9009938316847426</v>
      </c>
      <c r="T94">
        <f t="shared" si="101"/>
        <v>0.34861699072161123</v>
      </c>
      <c r="U94">
        <f t="shared" si="102"/>
        <v>0.21997598787122388</v>
      </c>
      <c r="V94">
        <f t="shared" si="103"/>
        <v>344.3871006583006</v>
      </c>
      <c r="W94">
        <f t="shared" si="104"/>
        <v>30.668638455671505</v>
      </c>
      <c r="X94">
        <f t="shared" si="105"/>
        <v>29.9969</v>
      </c>
      <c r="Y94">
        <f t="shared" si="106"/>
        <v>4.259691209377328</v>
      </c>
      <c r="Z94">
        <f t="shared" si="107"/>
        <v>64.891197228575564</v>
      </c>
      <c r="AA94">
        <f t="shared" si="108"/>
        <v>2.7722247383257002</v>
      </c>
      <c r="AB94">
        <f t="shared" si="109"/>
        <v>4.2721121765725716</v>
      </c>
      <c r="AC94">
        <f t="shared" si="110"/>
        <v>1.4874664710516279</v>
      </c>
      <c r="AD94">
        <f t="shared" si="111"/>
        <v>-239.80955501584569</v>
      </c>
      <c r="AE94">
        <f t="shared" si="112"/>
        <v>7.929397838306901</v>
      </c>
      <c r="AF94">
        <f t="shared" si="113"/>
        <v>0.60789443736992643</v>
      </c>
      <c r="AG94">
        <f t="shared" si="114"/>
        <v>113.11483791813171</v>
      </c>
      <c r="AH94">
        <v>0</v>
      </c>
      <c r="AI94">
        <v>0</v>
      </c>
      <c r="AJ94">
        <f t="shared" si="115"/>
        <v>1</v>
      </c>
      <c r="AK94">
        <f t="shared" si="116"/>
        <v>0</v>
      </c>
      <c r="AL94">
        <f t="shared" si="117"/>
        <v>51506.32681778894</v>
      </c>
      <c r="AM94" t="s">
        <v>416</v>
      </c>
      <c r="AN94">
        <v>10238.9</v>
      </c>
      <c r="AO94">
        <v>302.21199999999999</v>
      </c>
      <c r="AP94">
        <v>4052.3</v>
      </c>
      <c r="AQ94">
        <f t="shared" si="118"/>
        <v>0.92542210596451402</v>
      </c>
      <c r="AR94">
        <v>-0.32343011824092421</v>
      </c>
      <c r="AS94" t="s">
        <v>815</v>
      </c>
      <c r="AT94">
        <v>10464.299999999999</v>
      </c>
      <c r="AU94">
        <v>760.97760000000005</v>
      </c>
      <c r="AV94">
        <v>1074.9848360295721</v>
      </c>
      <c r="AW94">
        <f t="shared" si="119"/>
        <v>0.2921038748689232</v>
      </c>
      <c r="AX94">
        <v>0.5</v>
      </c>
      <c r="AY94">
        <f t="shared" si="120"/>
        <v>1513.2606003291501</v>
      </c>
      <c r="AZ94">
        <f t="shared" si="121"/>
        <v>37.766613565353516</v>
      </c>
      <c r="BA94">
        <f t="shared" si="122"/>
        <v>221.01464252130882</v>
      </c>
      <c r="BB94">
        <f t="shared" si="123"/>
        <v>2.5170842137375051E-2</v>
      </c>
      <c r="BC94">
        <f t="shared" si="124"/>
        <v>2.7696345698857137</v>
      </c>
      <c r="BD94">
        <f t="shared" si="125"/>
        <v>250.47542162540424</v>
      </c>
      <c r="BE94" t="s">
        <v>816</v>
      </c>
      <c r="BF94">
        <v>596.19000000000005</v>
      </c>
      <c r="BG94">
        <f t="shared" si="126"/>
        <v>596.19000000000005</v>
      </c>
      <c r="BH94">
        <f t="shared" si="127"/>
        <v>0.44539682791990631</v>
      </c>
      <c r="BI94">
        <f t="shared" si="128"/>
        <v>0.65582836822863699</v>
      </c>
      <c r="BJ94">
        <f t="shared" si="129"/>
        <v>0.8614642369514941</v>
      </c>
      <c r="BK94">
        <f t="shared" si="130"/>
        <v>0.40633834600464108</v>
      </c>
      <c r="BL94">
        <f t="shared" si="131"/>
        <v>0.79393207945264965</v>
      </c>
      <c r="BM94">
        <f t="shared" si="132"/>
        <v>0.51381054429753403</v>
      </c>
      <c r="BN94">
        <f t="shared" si="133"/>
        <v>0.48618945570246597</v>
      </c>
      <c r="BO94">
        <v>5618</v>
      </c>
      <c r="BP94">
        <v>290.00000000000011</v>
      </c>
      <c r="BQ94">
        <v>977.51</v>
      </c>
      <c r="BR94">
        <v>205</v>
      </c>
      <c r="BS94">
        <v>10464.299999999999</v>
      </c>
      <c r="BT94">
        <v>977.8</v>
      </c>
      <c r="BU94">
        <v>-0.28999999999999998</v>
      </c>
      <c r="BV94">
        <v>300.00000000000011</v>
      </c>
      <c r="BW94">
        <v>38.299999999999997</v>
      </c>
      <c r="BX94">
        <v>1074.9848360295721</v>
      </c>
      <c r="BY94">
        <v>1.223512558397003</v>
      </c>
      <c r="BZ94">
        <v>-101.6975606327954</v>
      </c>
      <c r="CA94">
        <v>1.0480388390916771</v>
      </c>
      <c r="CB94">
        <v>0.9970351536907921</v>
      </c>
      <c r="CC94">
        <v>-1.1358776418242501E-2</v>
      </c>
      <c r="CD94">
        <v>289.99999999999989</v>
      </c>
      <c r="CE94">
        <v>958.14</v>
      </c>
      <c r="CF94">
        <v>635</v>
      </c>
      <c r="CG94">
        <v>10440.4</v>
      </c>
      <c r="CH94">
        <v>977.58</v>
      </c>
      <c r="CI94">
        <v>-19.440000000000001</v>
      </c>
      <c r="CW94">
        <f t="shared" si="134"/>
        <v>1800.09</v>
      </c>
      <c r="CX94">
        <f t="shared" si="135"/>
        <v>1513.2606003291501</v>
      </c>
      <c r="CY94">
        <f t="shared" si="136"/>
        <v>0.84065830060116442</v>
      </c>
      <c r="CZ94">
        <f t="shared" si="137"/>
        <v>0.1913166012023291</v>
      </c>
      <c r="DA94">
        <v>6</v>
      </c>
      <c r="DB94">
        <v>0.5</v>
      </c>
      <c r="DC94" t="s">
        <v>419</v>
      </c>
      <c r="DD94">
        <v>2</v>
      </c>
      <c r="DE94">
        <v>1693340530</v>
      </c>
      <c r="DF94">
        <v>352.41500000000002</v>
      </c>
      <c r="DG94">
        <v>400.00099999999998</v>
      </c>
      <c r="DH94">
        <v>28.037299999999998</v>
      </c>
      <c r="DI94">
        <v>21.699300000000001</v>
      </c>
      <c r="DJ94">
        <v>353.86799999999999</v>
      </c>
      <c r="DK94">
        <v>27.651900000000001</v>
      </c>
      <c r="DL94">
        <v>500.35300000000001</v>
      </c>
      <c r="DM94">
        <v>98.776200000000003</v>
      </c>
      <c r="DN94">
        <v>0.100109</v>
      </c>
      <c r="DO94">
        <v>30.047599999999999</v>
      </c>
      <c r="DP94">
        <v>29.9969</v>
      </c>
      <c r="DQ94">
        <v>999.9</v>
      </c>
      <c r="DR94">
        <v>0</v>
      </c>
      <c r="DS94">
        <v>0</v>
      </c>
      <c r="DT94">
        <v>9960</v>
      </c>
      <c r="DU94">
        <v>0</v>
      </c>
      <c r="DV94">
        <v>1472.76</v>
      </c>
      <c r="DW94">
        <v>-47.585900000000002</v>
      </c>
      <c r="DX94">
        <v>362.58100000000002</v>
      </c>
      <c r="DY94">
        <v>408.87299999999999</v>
      </c>
      <c r="DZ94">
        <v>6.3379300000000001</v>
      </c>
      <c r="EA94">
        <v>400.00099999999998</v>
      </c>
      <c r="EB94">
        <v>21.699300000000001</v>
      </c>
      <c r="EC94">
        <v>2.7694100000000001</v>
      </c>
      <c r="ED94">
        <v>2.1433800000000001</v>
      </c>
      <c r="EE94">
        <v>22.7029</v>
      </c>
      <c r="EF94">
        <v>18.545300000000001</v>
      </c>
      <c r="EG94">
        <v>1800.09</v>
      </c>
      <c r="EH94">
        <v>0.97799599999999998</v>
      </c>
      <c r="EI94">
        <v>2.20039E-2</v>
      </c>
      <c r="EJ94">
        <v>0</v>
      </c>
      <c r="EK94">
        <v>760.18399999999997</v>
      </c>
      <c r="EL94">
        <v>4.9995000000000003</v>
      </c>
      <c r="EM94">
        <v>14828.7</v>
      </c>
      <c r="EN94">
        <v>16660.599999999999</v>
      </c>
      <c r="EO94">
        <v>46.936999999999998</v>
      </c>
      <c r="EP94">
        <v>48.561999999999998</v>
      </c>
      <c r="EQ94">
        <v>47.875</v>
      </c>
      <c r="ER94">
        <v>47.25</v>
      </c>
      <c r="ES94">
        <v>48.311999999999998</v>
      </c>
      <c r="ET94">
        <v>1755.59</v>
      </c>
      <c r="EU94">
        <v>39.5</v>
      </c>
      <c r="EV94">
        <v>0</v>
      </c>
      <c r="EW94">
        <v>188</v>
      </c>
      <c r="EX94">
        <v>0</v>
      </c>
      <c r="EY94">
        <v>760.97760000000005</v>
      </c>
      <c r="EZ94">
        <v>-5.8982307630949462</v>
      </c>
      <c r="FA94">
        <v>-55.261538321909782</v>
      </c>
      <c r="FB94">
        <v>14829.156000000001</v>
      </c>
      <c r="FC94">
        <v>15</v>
      </c>
      <c r="FD94">
        <v>1693340415.0999999</v>
      </c>
      <c r="FE94" t="s">
        <v>817</v>
      </c>
      <c r="FF94">
        <v>1693340415.0999999</v>
      </c>
      <c r="FG94">
        <v>1693340413.5999999</v>
      </c>
      <c r="FH94">
        <v>86</v>
      </c>
      <c r="FI94">
        <v>0.313</v>
      </c>
      <c r="FJ94">
        <v>-2E-3</v>
      </c>
      <c r="FK94">
        <v>-1.5249999999999999</v>
      </c>
      <c r="FL94">
        <v>0.109</v>
      </c>
      <c r="FM94">
        <v>400</v>
      </c>
      <c r="FN94">
        <v>21</v>
      </c>
      <c r="FO94">
        <v>0.19</v>
      </c>
      <c r="FP94">
        <v>0.04</v>
      </c>
      <c r="FQ94">
        <v>37.528954918544407</v>
      </c>
      <c r="FR94">
        <v>2.212806918166534</v>
      </c>
      <c r="FS94">
        <v>0.18005880380001749</v>
      </c>
      <c r="FT94">
        <v>0</v>
      </c>
      <c r="FU94">
        <v>0.37430115213574983</v>
      </c>
      <c r="FV94">
        <v>-1.6067123489146139E-2</v>
      </c>
      <c r="FW94">
        <v>1.3107778611981041E-3</v>
      </c>
      <c r="FX94">
        <v>1</v>
      </c>
      <c r="FY94">
        <v>1</v>
      </c>
      <c r="FZ94">
        <v>2</v>
      </c>
      <c r="GA94" t="s">
        <v>460</v>
      </c>
      <c r="GB94">
        <v>2.9689100000000002</v>
      </c>
      <c r="GC94">
        <v>2.8114599999999998</v>
      </c>
      <c r="GD94">
        <v>8.7084599999999998E-2</v>
      </c>
      <c r="GE94">
        <v>9.4808299999999998E-2</v>
      </c>
      <c r="GF94">
        <v>0.13158400000000001</v>
      </c>
      <c r="GG94">
        <v>0.10948099999999999</v>
      </c>
      <c r="GH94">
        <v>26908</v>
      </c>
      <c r="GI94">
        <v>24563.8</v>
      </c>
      <c r="GJ94">
        <v>26499.5</v>
      </c>
      <c r="GK94">
        <v>25612.400000000001</v>
      </c>
      <c r="GL94">
        <v>31316.3</v>
      </c>
      <c r="GM94">
        <v>32156.7</v>
      </c>
      <c r="GN94">
        <v>37509.1</v>
      </c>
      <c r="GO94">
        <v>37922.800000000003</v>
      </c>
      <c r="GP94">
        <v>1.9402999999999999</v>
      </c>
      <c r="GQ94">
        <v>1.9359</v>
      </c>
      <c r="GR94">
        <v>-7.9423199999999992E-3</v>
      </c>
      <c r="GS94">
        <v>0</v>
      </c>
      <c r="GT94">
        <v>30.126100000000001</v>
      </c>
      <c r="GU94">
        <v>999.9</v>
      </c>
      <c r="GV94">
        <v>40.200000000000003</v>
      </c>
      <c r="GW94">
        <v>37.700000000000003</v>
      </c>
      <c r="GX94">
        <v>26.656199999999998</v>
      </c>
      <c r="GY94">
        <v>61.670400000000001</v>
      </c>
      <c r="GZ94">
        <v>12.728400000000001</v>
      </c>
      <c r="HA94">
        <v>1</v>
      </c>
      <c r="HB94">
        <v>0.50622</v>
      </c>
      <c r="HC94">
        <v>3.9054500000000001</v>
      </c>
      <c r="HD94">
        <v>20.209800000000001</v>
      </c>
      <c r="HE94">
        <v>5.2112999999999996</v>
      </c>
      <c r="HF94">
        <v>11.9381</v>
      </c>
      <c r="HG94">
        <v>4.9875999999999996</v>
      </c>
      <c r="HH94">
        <v>3.2909999999999999</v>
      </c>
      <c r="HI94">
        <v>9999</v>
      </c>
      <c r="HJ94">
        <v>9999</v>
      </c>
      <c r="HK94">
        <v>9999</v>
      </c>
      <c r="HL94">
        <v>999.9</v>
      </c>
      <c r="HM94">
        <v>1.87076</v>
      </c>
      <c r="HN94">
        <v>1.8769800000000001</v>
      </c>
      <c r="HO94">
        <v>1.8747499999999999</v>
      </c>
      <c r="HP94">
        <v>1.873</v>
      </c>
      <c r="HQ94">
        <v>1.87347</v>
      </c>
      <c r="HR94">
        <v>1.8708800000000001</v>
      </c>
      <c r="HS94">
        <v>1.87683</v>
      </c>
      <c r="HT94">
        <v>1.87592</v>
      </c>
      <c r="HU94">
        <v>5</v>
      </c>
      <c r="HV94">
        <v>0</v>
      </c>
      <c r="HW94">
        <v>0</v>
      </c>
      <c r="HX94">
        <v>0</v>
      </c>
      <c r="HY94" t="s">
        <v>422</v>
      </c>
      <c r="HZ94" t="s">
        <v>423</v>
      </c>
      <c r="IA94" t="s">
        <v>424</v>
      </c>
      <c r="IB94" t="s">
        <v>424</v>
      </c>
      <c r="IC94" t="s">
        <v>424</v>
      </c>
      <c r="ID94" t="s">
        <v>424</v>
      </c>
      <c r="IE94">
        <v>0</v>
      </c>
      <c r="IF94">
        <v>100</v>
      </c>
      <c r="IG94">
        <v>100</v>
      </c>
      <c r="IH94">
        <v>-1.4530000000000001</v>
      </c>
      <c r="II94">
        <v>0.38540000000000002</v>
      </c>
      <c r="IJ94">
        <v>-0.72084565555164959</v>
      </c>
      <c r="IK94">
        <v>-2.677719669153116E-3</v>
      </c>
      <c r="IL94">
        <v>1.9353498771248068E-6</v>
      </c>
      <c r="IM94">
        <v>-6.1862177325538213E-10</v>
      </c>
      <c r="IN94">
        <v>-0.21235581221508901</v>
      </c>
      <c r="IO94">
        <v>-1.5299015507423901E-2</v>
      </c>
      <c r="IP94">
        <v>1.742162107778985E-3</v>
      </c>
      <c r="IQ94">
        <v>-1.472690239905804E-5</v>
      </c>
      <c r="IR94">
        <v>3</v>
      </c>
      <c r="IS94">
        <v>2255</v>
      </c>
      <c r="IT94">
        <v>2</v>
      </c>
      <c r="IU94">
        <v>41</v>
      </c>
      <c r="IV94">
        <v>1.9</v>
      </c>
      <c r="IW94">
        <v>1.9</v>
      </c>
      <c r="IX94">
        <v>0.95703099999999997</v>
      </c>
      <c r="IY94">
        <v>2.52441</v>
      </c>
      <c r="IZ94">
        <v>1.5991200000000001</v>
      </c>
      <c r="JA94">
        <v>2.2680699999999998</v>
      </c>
      <c r="JB94">
        <v>1.5502899999999999</v>
      </c>
      <c r="JC94">
        <v>2.3925800000000002</v>
      </c>
      <c r="JD94">
        <v>41.274099999999997</v>
      </c>
      <c r="JE94">
        <v>23.7898</v>
      </c>
      <c r="JF94">
        <v>18</v>
      </c>
      <c r="JG94">
        <v>504.64600000000002</v>
      </c>
      <c r="JH94">
        <v>470.36700000000002</v>
      </c>
      <c r="JI94">
        <v>24.5259</v>
      </c>
      <c r="JJ94">
        <v>33.659599999999998</v>
      </c>
      <c r="JK94">
        <v>30</v>
      </c>
      <c r="JL94">
        <v>33.671700000000001</v>
      </c>
      <c r="JM94">
        <v>33.647599999999997</v>
      </c>
      <c r="JN94">
        <v>19.195799999999998</v>
      </c>
      <c r="JO94">
        <v>27.702300000000001</v>
      </c>
      <c r="JP94">
        <v>33.597999999999999</v>
      </c>
      <c r="JQ94">
        <v>24.523700000000002</v>
      </c>
      <c r="JR94">
        <v>400</v>
      </c>
      <c r="JS94">
        <v>21.760400000000001</v>
      </c>
      <c r="JT94">
        <v>98.931399999999996</v>
      </c>
      <c r="JU94">
        <v>98.481700000000004</v>
      </c>
    </row>
    <row r="95" spans="1:281" x14ac:dyDescent="0.25">
      <c r="A95">
        <v>79</v>
      </c>
      <c r="B95">
        <v>1693340699.5</v>
      </c>
      <c r="C95">
        <v>18402.400000095371</v>
      </c>
      <c r="D95" t="s">
        <v>818</v>
      </c>
      <c r="E95" t="s">
        <v>819</v>
      </c>
      <c r="F95" t="s">
        <v>413</v>
      </c>
      <c r="G95" t="s">
        <v>414</v>
      </c>
      <c r="H95" t="s">
        <v>779</v>
      </c>
      <c r="I95" t="s">
        <v>415</v>
      </c>
      <c r="J95">
        <v>1693340699.5</v>
      </c>
      <c r="K95">
        <f t="shared" si="92"/>
        <v>4.997737834173779E-3</v>
      </c>
      <c r="L95">
        <f t="shared" si="93"/>
        <v>4.9977378341737788</v>
      </c>
      <c r="M95">
        <f t="shared" si="94"/>
        <v>41.211352161195514</v>
      </c>
      <c r="N95">
        <f t="shared" si="95"/>
        <v>348.41</v>
      </c>
      <c r="O95">
        <f t="shared" si="96"/>
        <v>134.6300695425646</v>
      </c>
      <c r="P95">
        <f t="shared" si="97"/>
        <v>13.310321942273696</v>
      </c>
      <c r="Q95">
        <f t="shared" si="98"/>
        <v>34.445865501402004</v>
      </c>
      <c r="R95">
        <f t="shared" si="99"/>
        <v>0.33479897846286238</v>
      </c>
      <c r="S95">
        <f t="shared" si="100"/>
        <v>2.9060620487501128</v>
      </c>
      <c r="T95">
        <f t="shared" si="101"/>
        <v>0.31475175121536531</v>
      </c>
      <c r="U95">
        <f t="shared" si="102"/>
        <v>0.19842089893994341</v>
      </c>
      <c r="V95">
        <f t="shared" si="103"/>
        <v>344.39850065827869</v>
      </c>
      <c r="W95">
        <f t="shared" si="104"/>
        <v>30.711313325400475</v>
      </c>
      <c r="X95">
        <f t="shared" si="105"/>
        <v>30.0228</v>
      </c>
      <c r="Y95">
        <f t="shared" si="106"/>
        <v>4.2660324992320993</v>
      </c>
      <c r="Z95">
        <f t="shared" si="107"/>
        <v>64.681034325749053</v>
      </c>
      <c r="AA95">
        <f t="shared" si="108"/>
        <v>2.7519222227977802</v>
      </c>
      <c r="AB95">
        <f t="shared" si="109"/>
        <v>4.2546045397765999</v>
      </c>
      <c r="AC95">
        <f t="shared" si="110"/>
        <v>1.5141102764343191</v>
      </c>
      <c r="AD95">
        <f t="shared" si="111"/>
        <v>-220.40023848706366</v>
      </c>
      <c r="AE95">
        <f t="shared" si="112"/>
        <v>-7.316564521942694</v>
      </c>
      <c r="AF95">
        <f t="shared" si="113"/>
        <v>-0.55980794115026411</v>
      </c>
      <c r="AG95">
        <f t="shared" si="114"/>
        <v>116.12188970812207</v>
      </c>
      <c r="AH95">
        <v>0</v>
      </c>
      <c r="AI95">
        <v>0</v>
      </c>
      <c r="AJ95">
        <f t="shared" si="115"/>
        <v>1</v>
      </c>
      <c r="AK95">
        <f t="shared" si="116"/>
        <v>0</v>
      </c>
      <c r="AL95">
        <f t="shared" si="117"/>
        <v>51662.012485464897</v>
      </c>
      <c r="AM95" t="s">
        <v>416</v>
      </c>
      <c r="AN95">
        <v>10238.9</v>
      </c>
      <c r="AO95">
        <v>302.21199999999999</v>
      </c>
      <c r="AP95">
        <v>4052.3</v>
      </c>
      <c r="AQ95">
        <f t="shared" si="118"/>
        <v>0.92542210596451402</v>
      </c>
      <c r="AR95">
        <v>-0.32343011824092421</v>
      </c>
      <c r="AS95" t="s">
        <v>820</v>
      </c>
      <c r="AT95">
        <v>10477.4</v>
      </c>
      <c r="AU95">
        <v>806.14199999999994</v>
      </c>
      <c r="AV95">
        <v>1149.2839005238729</v>
      </c>
      <c r="AW95">
        <f t="shared" si="119"/>
        <v>0.29857017954176523</v>
      </c>
      <c r="AX95">
        <v>0.5</v>
      </c>
      <c r="AY95">
        <f t="shared" si="120"/>
        <v>1513.3110003291392</v>
      </c>
      <c r="AZ95">
        <f t="shared" si="121"/>
        <v>41.211352161195514</v>
      </c>
      <c r="BA95">
        <f t="shared" si="122"/>
        <v>225.91476853539973</v>
      </c>
      <c r="BB95">
        <f t="shared" si="123"/>
        <v>2.7446296412570043E-2</v>
      </c>
      <c r="BC95">
        <f t="shared" si="124"/>
        <v>2.5259347130442342</v>
      </c>
      <c r="BD95">
        <f t="shared" si="125"/>
        <v>254.30609900147974</v>
      </c>
      <c r="BE95" t="s">
        <v>821</v>
      </c>
      <c r="BF95">
        <v>617.41</v>
      </c>
      <c r="BG95">
        <f t="shared" si="126"/>
        <v>617.41</v>
      </c>
      <c r="BH95">
        <f t="shared" si="127"/>
        <v>0.46278721931233113</v>
      </c>
      <c r="BI95">
        <f t="shared" si="128"/>
        <v>0.64515649327010205</v>
      </c>
      <c r="BJ95">
        <f t="shared" si="129"/>
        <v>0.84515547789772805</v>
      </c>
      <c r="BK95">
        <f t="shared" si="130"/>
        <v>0.40509182315179665</v>
      </c>
      <c r="BL95">
        <f t="shared" si="131"/>
        <v>0.7741194605236269</v>
      </c>
      <c r="BM95">
        <f t="shared" si="132"/>
        <v>0.49411402768977886</v>
      </c>
      <c r="BN95">
        <f t="shared" si="133"/>
        <v>0.50588597231022114</v>
      </c>
      <c r="BO95">
        <v>5620</v>
      </c>
      <c r="BP95">
        <v>290.00000000000011</v>
      </c>
      <c r="BQ95">
        <v>1053.33</v>
      </c>
      <c r="BR95">
        <v>145</v>
      </c>
      <c r="BS95">
        <v>10477.4</v>
      </c>
      <c r="BT95">
        <v>1048.99</v>
      </c>
      <c r="BU95">
        <v>4.34</v>
      </c>
      <c r="BV95">
        <v>300.00000000000011</v>
      </c>
      <c r="BW95">
        <v>38.299999999999997</v>
      </c>
      <c r="BX95">
        <v>1149.2839005238729</v>
      </c>
      <c r="BY95">
        <v>1.390958685241243</v>
      </c>
      <c r="BZ95">
        <v>-105.086385980966</v>
      </c>
      <c r="CA95">
        <v>1.191585962259138</v>
      </c>
      <c r="CB95">
        <v>0.99641280344144711</v>
      </c>
      <c r="CC95">
        <v>-1.136005450500557E-2</v>
      </c>
      <c r="CD95">
        <v>289.99999999999989</v>
      </c>
      <c r="CE95">
        <v>1035.47</v>
      </c>
      <c r="CF95">
        <v>665</v>
      </c>
      <c r="CG95">
        <v>10438.299999999999</v>
      </c>
      <c r="CH95">
        <v>1048.6099999999999</v>
      </c>
      <c r="CI95">
        <v>-13.14</v>
      </c>
      <c r="CW95">
        <f t="shared" si="134"/>
        <v>1800.15</v>
      </c>
      <c r="CX95">
        <f t="shared" si="135"/>
        <v>1513.3110003291392</v>
      </c>
      <c r="CY95">
        <f t="shared" si="136"/>
        <v>0.8406582786596335</v>
      </c>
      <c r="CZ95">
        <f t="shared" si="137"/>
        <v>0.19131655731926711</v>
      </c>
      <c r="DA95">
        <v>6</v>
      </c>
      <c r="DB95">
        <v>0.5</v>
      </c>
      <c r="DC95" t="s">
        <v>419</v>
      </c>
      <c r="DD95">
        <v>2</v>
      </c>
      <c r="DE95">
        <v>1693340699.5</v>
      </c>
      <c r="DF95">
        <v>348.41</v>
      </c>
      <c r="DG95">
        <v>399.935</v>
      </c>
      <c r="DH95">
        <v>27.834900000000001</v>
      </c>
      <c r="DI95">
        <v>22.006599999999999</v>
      </c>
      <c r="DJ95">
        <v>349.947</v>
      </c>
      <c r="DK95">
        <v>27.46</v>
      </c>
      <c r="DL95">
        <v>500.17599999999999</v>
      </c>
      <c r="DM95">
        <v>98.765900000000002</v>
      </c>
      <c r="DN95">
        <v>9.9992200000000003E-2</v>
      </c>
      <c r="DO95">
        <v>29.976099999999999</v>
      </c>
      <c r="DP95">
        <v>30.0228</v>
      </c>
      <c r="DQ95">
        <v>999.9</v>
      </c>
      <c r="DR95">
        <v>0</v>
      </c>
      <c r="DS95">
        <v>0</v>
      </c>
      <c r="DT95">
        <v>9990</v>
      </c>
      <c r="DU95">
        <v>0</v>
      </c>
      <c r="DV95">
        <v>1481.5</v>
      </c>
      <c r="DW95">
        <v>-51.524999999999999</v>
      </c>
      <c r="DX95">
        <v>358.38600000000002</v>
      </c>
      <c r="DY95">
        <v>408.93400000000003</v>
      </c>
      <c r="DZ95">
        <v>5.8283699999999996</v>
      </c>
      <c r="EA95">
        <v>399.935</v>
      </c>
      <c r="EB95">
        <v>22.006599999999999</v>
      </c>
      <c r="EC95">
        <v>2.7491400000000001</v>
      </c>
      <c r="ED95">
        <v>2.1735000000000002</v>
      </c>
      <c r="EE95">
        <v>22.581900000000001</v>
      </c>
      <c r="EF95">
        <v>18.7683</v>
      </c>
      <c r="EG95">
        <v>1800.15</v>
      </c>
      <c r="EH95">
        <v>0.97799599999999998</v>
      </c>
      <c r="EI95">
        <v>2.20039E-2</v>
      </c>
      <c r="EJ95">
        <v>0</v>
      </c>
      <c r="EK95">
        <v>808.17100000000005</v>
      </c>
      <c r="EL95">
        <v>4.9995000000000003</v>
      </c>
      <c r="EM95">
        <v>15713.3</v>
      </c>
      <c r="EN95">
        <v>16661.2</v>
      </c>
      <c r="EO95">
        <v>46.875</v>
      </c>
      <c r="EP95">
        <v>48.561999999999998</v>
      </c>
      <c r="EQ95">
        <v>47.875</v>
      </c>
      <c r="ER95">
        <v>47.25</v>
      </c>
      <c r="ES95">
        <v>48.186999999999998</v>
      </c>
      <c r="ET95">
        <v>1755.65</v>
      </c>
      <c r="EU95">
        <v>39.5</v>
      </c>
      <c r="EV95">
        <v>0</v>
      </c>
      <c r="EW95">
        <v>167.5999999046326</v>
      </c>
      <c r="EX95">
        <v>0</v>
      </c>
      <c r="EY95">
        <v>806.14199999999994</v>
      </c>
      <c r="EZ95">
        <v>17.056999964599221</v>
      </c>
      <c r="FA95">
        <v>308.85384555510012</v>
      </c>
      <c r="FB95">
        <v>15678.332</v>
      </c>
      <c r="FC95">
        <v>15</v>
      </c>
      <c r="FD95">
        <v>1693340595.5</v>
      </c>
      <c r="FE95" t="s">
        <v>822</v>
      </c>
      <c r="FF95">
        <v>1693340595.5</v>
      </c>
      <c r="FG95">
        <v>1693340594.5</v>
      </c>
      <c r="FH95">
        <v>87</v>
      </c>
      <c r="FI95">
        <v>-8.8999999999999996E-2</v>
      </c>
      <c r="FJ95">
        <v>-1E-3</v>
      </c>
      <c r="FK95">
        <v>-1.6140000000000001</v>
      </c>
      <c r="FL95">
        <v>0.125</v>
      </c>
      <c r="FM95">
        <v>400</v>
      </c>
      <c r="FN95">
        <v>22</v>
      </c>
      <c r="FO95">
        <v>0.11</v>
      </c>
      <c r="FP95">
        <v>0.03</v>
      </c>
      <c r="FQ95">
        <v>41.143261046340079</v>
      </c>
      <c r="FR95">
        <v>0.63620067785742973</v>
      </c>
      <c r="FS95">
        <v>7.9315698996742401E-2</v>
      </c>
      <c r="FT95">
        <v>1</v>
      </c>
      <c r="FU95">
        <v>0.34304341382906473</v>
      </c>
      <c r="FV95">
        <v>-3.3217701828802501E-2</v>
      </c>
      <c r="FW95">
        <v>2.46260388071975E-3</v>
      </c>
      <c r="FX95">
        <v>1</v>
      </c>
      <c r="FY95">
        <v>2</v>
      </c>
      <c r="FZ95">
        <v>2</v>
      </c>
      <c r="GA95" t="s">
        <v>421</v>
      </c>
      <c r="GB95">
        <v>2.9684699999999999</v>
      </c>
      <c r="GC95">
        <v>2.8115999999999999</v>
      </c>
      <c r="GD95">
        <v>8.6312899999999998E-2</v>
      </c>
      <c r="GE95">
        <v>9.4797300000000001E-2</v>
      </c>
      <c r="GF95">
        <v>0.13094</v>
      </c>
      <c r="GG95">
        <v>0.11057</v>
      </c>
      <c r="GH95">
        <v>26930.9</v>
      </c>
      <c r="GI95">
        <v>24564.799999999999</v>
      </c>
      <c r="GJ95">
        <v>26499.599999999999</v>
      </c>
      <c r="GK95">
        <v>25613</v>
      </c>
      <c r="GL95">
        <v>31340</v>
      </c>
      <c r="GM95">
        <v>32117.9</v>
      </c>
      <c r="GN95">
        <v>37509.800000000003</v>
      </c>
      <c r="GO95">
        <v>37923.5</v>
      </c>
      <c r="GP95">
        <v>1.9395</v>
      </c>
      <c r="GQ95">
        <v>1.9377</v>
      </c>
      <c r="GR95">
        <v>-8.7618799999999997E-3</v>
      </c>
      <c r="GS95">
        <v>0</v>
      </c>
      <c r="GT95">
        <v>30.165299999999998</v>
      </c>
      <c r="GU95">
        <v>999.9</v>
      </c>
      <c r="GV95">
        <v>40.299999999999997</v>
      </c>
      <c r="GW95">
        <v>37.6</v>
      </c>
      <c r="GX95">
        <v>26.581499999999998</v>
      </c>
      <c r="GY95">
        <v>61.720500000000001</v>
      </c>
      <c r="GZ95">
        <v>11.979200000000001</v>
      </c>
      <c r="HA95">
        <v>1</v>
      </c>
      <c r="HB95">
        <v>0.50661599999999996</v>
      </c>
      <c r="HC95">
        <v>4.2807500000000003</v>
      </c>
      <c r="HD95">
        <v>20.2014</v>
      </c>
      <c r="HE95">
        <v>5.2107000000000001</v>
      </c>
      <c r="HF95">
        <v>11.9381</v>
      </c>
      <c r="HG95">
        <v>4.9875999999999996</v>
      </c>
      <c r="HH95">
        <v>3.2909999999999999</v>
      </c>
      <c r="HI95">
        <v>9999</v>
      </c>
      <c r="HJ95">
        <v>9999</v>
      </c>
      <c r="HK95">
        <v>9999</v>
      </c>
      <c r="HL95">
        <v>999.9</v>
      </c>
      <c r="HM95">
        <v>1.8708400000000001</v>
      </c>
      <c r="HN95">
        <v>1.8769800000000001</v>
      </c>
      <c r="HO95">
        <v>1.8748199999999999</v>
      </c>
      <c r="HP95">
        <v>1.873</v>
      </c>
      <c r="HQ95">
        <v>1.87347</v>
      </c>
      <c r="HR95">
        <v>1.8708800000000001</v>
      </c>
      <c r="HS95">
        <v>1.8767799999999999</v>
      </c>
      <c r="HT95">
        <v>1.87592</v>
      </c>
      <c r="HU95">
        <v>5</v>
      </c>
      <c r="HV95">
        <v>0</v>
      </c>
      <c r="HW95">
        <v>0</v>
      </c>
      <c r="HX95">
        <v>0</v>
      </c>
      <c r="HY95" t="s">
        <v>422</v>
      </c>
      <c r="HZ95" t="s">
        <v>423</v>
      </c>
      <c r="IA95" t="s">
        <v>424</v>
      </c>
      <c r="IB95" t="s">
        <v>424</v>
      </c>
      <c r="IC95" t="s">
        <v>424</v>
      </c>
      <c r="ID95" t="s">
        <v>424</v>
      </c>
      <c r="IE95">
        <v>0</v>
      </c>
      <c r="IF95">
        <v>100</v>
      </c>
      <c r="IG95">
        <v>100</v>
      </c>
      <c r="IH95">
        <v>-1.5369999999999999</v>
      </c>
      <c r="II95">
        <v>0.37490000000000001</v>
      </c>
      <c r="IJ95">
        <v>-0.81028486147857048</v>
      </c>
      <c r="IK95">
        <v>-2.677719669153116E-3</v>
      </c>
      <c r="IL95">
        <v>1.9353498771248068E-6</v>
      </c>
      <c r="IM95">
        <v>-6.1862177325538213E-10</v>
      </c>
      <c r="IN95">
        <v>-0.21369651186409069</v>
      </c>
      <c r="IO95">
        <v>-1.5299015507423901E-2</v>
      </c>
      <c r="IP95">
        <v>1.742162107778985E-3</v>
      </c>
      <c r="IQ95">
        <v>-1.472690239905804E-5</v>
      </c>
      <c r="IR95">
        <v>3</v>
      </c>
      <c r="IS95">
        <v>2255</v>
      </c>
      <c r="IT95">
        <v>2</v>
      </c>
      <c r="IU95">
        <v>41</v>
      </c>
      <c r="IV95">
        <v>1.7</v>
      </c>
      <c r="IW95">
        <v>1.8</v>
      </c>
      <c r="IX95">
        <v>0.95703099999999997</v>
      </c>
      <c r="IY95">
        <v>2.5341800000000001</v>
      </c>
      <c r="IZ95">
        <v>1.6003400000000001</v>
      </c>
      <c r="JA95">
        <v>2.2668499999999998</v>
      </c>
      <c r="JB95">
        <v>1.5502899999999999</v>
      </c>
      <c r="JC95">
        <v>2.2460900000000001</v>
      </c>
      <c r="JD95">
        <v>41.118699999999997</v>
      </c>
      <c r="JE95">
        <v>23.772300000000001</v>
      </c>
      <c r="JF95">
        <v>18</v>
      </c>
      <c r="JG95">
        <v>503.86799999999999</v>
      </c>
      <c r="JH95">
        <v>471.27</v>
      </c>
      <c r="JI95">
        <v>24.183599999999998</v>
      </c>
      <c r="JJ95">
        <v>33.641500000000001</v>
      </c>
      <c r="JK95">
        <v>30.000499999999999</v>
      </c>
      <c r="JL95">
        <v>33.638500000000001</v>
      </c>
      <c r="JM95">
        <v>33.614600000000003</v>
      </c>
      <c r="JN95">
        <v>19.200199999999999</v>
      </c>
      <c r="JO95">
        <v>26.1479</v>
      </c>
      <c r="JP95">
        <v>33.7316</v>
      </c>
      <c r="JQ95">
        <v>24.176100000000002</v>
      </c>
      <c r="JR95">
        <v>400</v>
      </c>
      <c r="JS95">
        <v>22.119800000000001</v>
      </c>
      <c r="JT95">
        <v>98.932599999999994</v>
      </c>
      <c r="JU95">
        <v>98.483599999999996</v>
      </c>
    </row>
    <row r="96" spans="1:281" x14ac:dyDescent="0.25">
      <c r="A96">
        <v>80</v>
      </c>
      <c r="B96">
        <v>1693340799</v>
      </c>
      <c r="C96">
        <v>18501.900000095371</v>
      </c>
      <c r="D96" t="s">
        <v>823</v>
      </c>
      <c r="E96" t="s">
        <v>824</v>
      </c>
      <c r="F96" t="s">
        <v>413</v>
      </c>
      <c r="G96" t="s">
        <v>414</v>
      </c>
      <c r="H96" t="s">
        <v>779</v>
      </c>
      <c r="I96" t="s">
        <v>415</v>
      </c>
      <c r="J96">
        <v>1693340799</v>
      </c>
      <c r="K96">
        <f t="shared" si="92"/>
        <v>4.729821102376958E-3</v>
      </c>
      <c r="L96">
        <f t="shared" si="93"/>
        <v>4.7298211023769579</v>
      </c>
      <c r="M96">
        <f t="shared" si="94"/>
        <v>44.316585248478276</v>
      </c>
      <c r="N96">
        <f t="shared" si="95"/>
        <v>444.41699999999997</v>
      </c>
      <c r="O96">
        <f t="shared" si="96"/>
        <v>202.48187170239112</v>
      </c>
      <c r="P96">
        <f t="shared" si="97"/>
        <v>20.018312133559718</v>
      </c>
      <c r="Q96">
        <f t="shared" si="98"/>
        <v>43.937159157320998</v>
      </c>
      <c r="R96">
        <f t="shared" si="99"/>
        <v>0.3189356363756487</v>
      </c>
      <c r="S96">
        <f t="shared" si="100"/>
        <v>2.9112787192316585</v>
      </c>
      <c r="T96">
        <f t="shared" si="101"/>
        <v>0.30071827413850788</v>
      </c>
      <c r="U96">
        <f t="shared" si="102"/>
        <v>0.18949891046546424</v>
      </c>
      <c r="V96">
        <f t="shared" si="103"/>
        <v>344.38140065831158</v>
      </c>
      <c r="W96">
        <f t="shared" si="104"/>
        <v>30.745245639473865</v>
      </c>
      <c r="X96">
        <f t="shared" si="105"/>
        <v>30.0321</v>
      </c>
      <c r="Y96">
        <f t="shared" si="106"/>
        <v>4.2683114940369471</v>
      </c>
      <c r="Z96">
        <f t="shared" si="107"/>
        <v>65.204468286190519</v>
      </c>
      <c r="AA96">
        <f t="shared" si="108"/>
        <v>2.7686667416797999</v>
      </c>
      <c r="AB96">
        <f t="shared" si="109"/>
        <v>4.2461303871504281</v>
      </c>
      <c r="AC96">
        <f t="shared" si="110"/>
        <v>1.4996447523571472</v>
      </c>
      <c r="AD96">
        <f t="shared" si="111"/>
        <v>-208.58511061482383</v>
      </c>
      <c r="AE96">
        <f t="shared" si="112"/>
        <v>-14.235624248827119</v>
      </c>
      <c r="AF96">
        <f t="shared" si="113"/>
        <v>-1.0871134224355459</v>
      </c>
      <c r="AG96">
        <f t="shared" si="114"/>
        <v>120.47355237222507</v>
      </c>
      <c r="AH96">
        <v>0</v>
      </c>
      <c r="AI96">
        <v>0</v>
      </c>
      <c r="AJ96">
        <f t="shared" si="115"/>
        <v>1</v>
      </c>
      <c r="AK96">
        <f t="shared" si="116"/>
        <v>0</v>
      </c>
      <c r="AL96">
        <f t="shared" si="117"/>
        <v>51816.037407343465</v>
      </c>
      <c r="AM96" t="s">
        <v>416</v>
      </c>
      <c r="AN96">
        <v>10238.9</v>
      </c>
      <c r="AO96">
        <v>302.21199999999999</v>
      </c>
      <c r="AP96">
        <v>4052.3</v>
      </c>
      <c r="AQ96">
        <f t="shared" si="118"/>
        <v>0.92542210596451402</v>
      </c>
      <c r="AR96">
        <v>-0.32343011824092421</v>
      </c>
      <c r="AS96" t="s">
        <v>825</v>
      </c>
      <c r="AT96">
        <v>10475.200000000001</v>
      </c>
      <c r="AU96">
        <v>840.90132000000017</v>
      </c>
      <c r="AV96">
        <v>1227.111793445712</v>
      </c>
      <c r="AW96">
        <f t="shared" si="119"/>
        <v>0.31473128651240367</v>
      </c>
      <c r="AX96">
        <v>0.5</v>
      </c>
      <c r="AY96">
        <f t="shared" si="120"/>
        <v>1513.2354003291557</v>
      </c>
      <c r="AZ96">
        <f t="shared" si="121"/>
        <v>44.316585248478276</v>
      </c>
      <c r="BA96">
        <f t="shared" si="122"/>
        <v>238.13126217085369</v>
      </c>
      <c r="BB96">
        <f t="shared" si="123"/>
        <v>2.9499716539151278E-2</v>
      </c>
      <c r="BC96">
        <f t="shared" si="124"/>
        <v>2.3023071097876104</v>
      </c>
      <c r="BD96">
        <f t="shared" si="125"/>
        <v>257.92582269103565</v>
      </c>
      <c r="BE96" t="s">
        <v>826</v>
      </c>
      <c r="BF96">
        <v>630.64</v>
      </c>
      <c r="BG96">
        <f t="shared" si="126"/>
        <v>630.64</v>
      </c>
      <c r="BH96">
        <f t="shared" si="127"/>
        <v>0.48607779391544104</v>
      </c>
      <c r="BI96">
        <f t="shared" si="128"/>
        <v>0.64749159589700334</v>
      </c>
      <c r="BJ96">
        <f t="shared" si="129"/>
        <v>0.82567765545211624</v>
      </c>
      <c r="BK96">
        <f t="shared" si="130"/>
        <v>0.41757007211222918</v>
      </c>
      <c r="BL96">
        <f t="shared" si="131"/>
        <v>0.75336584276270002</v>
      </c>
      <c r="BM96">
        <f t="shared" si="132"/>
        <v>0.48559098472634826</v>
      </c>
      <c r="BN96">
        <f t="shared" si="133"/>
        <v>0.51440901527365179</v>
      </c>
      <c r="BO96">
        <v>5622</v>
      </c>
      <c r="BP96">
        <v>290.00000000000011</v>
      </c>
      <c r="BQ96">
        <v>1121.26</v>
      </c>
      <c r="BR96">
        <v>155</v>
      </c>
      <c r="BS96">
        <v>10475.200000000001</v>
      </c>
      <c r="BT96">
        <v>1116.97</v>
      </c>
      <c r="BU96">
        <v>4.29</v>
      </c>
      <c r="BV96">
        <v>300.00000000000011</v>
      </c>
      <c r="BW96">
        <v>38.299999999999997</v>
      </c>
      <c r="BX96">
        <v>1227.111793445712</v>
      </c>
      <c r="BY96">
        <v>1.414860809477227</v>
      </c>
      <c r="BZ96">
        <v>-115.3708498376933</v>
      </c>
      <c r="CA96">
        <v>1.2120445453873221</v>
      </c>
      <c r="CB96">
        <v>0.99691920378023469</v>
      </c>
      <c r="CC96">
        <v>-1.1360129032258061E-2</v>
      </c>
      <c r="CD96">
        <v>289.99999999999989</v>
      </c>
      <c r="CE96">
        <v>1102.82</v>
      </c>
      <c r="CF96">
        <v>665</v>
      </c>
      <c r="CG96">
        <v>10438.200000000001</v>
      </c>
      <c r="CH96">
        <v>1116.58</v>
      </c>
      <c r="CI96">
        <v>-13.76</v>
      </c>
      <c r="CW96">
        <f t="shared" si="134"/>
        <v>1800.06</v>
      </c>
      <c r="CX96">
        <f t="shared" si="135"/>
        <v>1513.2354003291557</v>
      </c>
      <c r="CY96">
        <f t="shared" si="136"/>
        <v>0.84065831157247861</v>
      </c>
      <c r="CZ96">
        <f t="shared" si="137"/>
        <v>0.19131662314495715</v>
      </c>
      <c r="DA96">
        <v>6</v>
      </c>
      <c r="DB96">
        <v>0.5</v>
      </c>
      <c r="DC96" t="s">
        <v>419</v>
      </c>
      <c r="DD96">
        <v>2</v>
      </c>
      <c r="DE96">
        <v>1693340799</v>
      </c>
      <c r="DF96">
        <v>444.41699999999997</v>
      </c>
      <c r="DG96">
        <v>500.125</v>
      </c>
      <c r="DH96">
        <v>28.0046</v>
      </c>
      <c r="DI96">
        <v>22.487200000000001</v>
      </c>
      <c r="DJ96">
        <v>446.01</v>
      </c>
      <c r="DK96">
        <v>27.623999999999999</v>
      </c>
      <c r="DL96">
        <v>499.94900000000001</v>
      </c>
      <c r="DM96">
        <v>98.764600000000002</v>
      </c>
      <c r="DN96">
        <v>0.10011299999999999</v>
      </c>
      <c r="DO96">
        <v>29.941400000000002</v>
      </c>
      <c r="DP96">
        <v>30.0321</v>
      </c>
      <c r="DQ96">
        <v>999.9</v>
      </c>
      <c r="DR96">
        <v>0</v>
      </c>
      <c r="DS96">
        <v>0</v>
      </c>
      <c r="DT96">
        <v>10020</v>
      </c>
      <c r="DU96">
        <v>0</v>
      </c>
      <c r="DV96">
        <v>1487.57</v>
      </c>
      <c r="DW96">
        <v>-55.707799999999999</v>
      </c>
      <c r="DX96">
        <v>457.221</v>
      </c>
      <c r="DY96">
        <v>511.63</v>
      </c>
      <c r="DZ96">
        <v>5.5173699999999997</v>
      </c>
      <c r="EA96">
        <v>500.125</v>
      </c>
      <c r="EB96">
        <v>22.487200000000001</v>
      </c>
      <c r="EC96">
        <v>2.7658700000000001</v>
      </c>
      <c r="ED96">
        <v>2.2209400000000001</v>
      </c>
      <c r="EE96">
        <v>22.681799999999999</v>
      </c>
      <c r="EF96">
        <v>19.1142</v>
      </c>
      <c r="EG96">
        <v>1800.06</v>
      </c>
      <c r="EH96">
        <v>0.97799599999999998</v>
      </c>
      <c r="EI96">
        <v>2.20039E-2</v>
      </c>
      <c r="EJ96">
        <v>0</v>
      </c>
      <c r="EK96">
        <v>841.49099999999999</v>
      </c>
      <c r="EL96">
        <v>4.9995000000000003</v>
      </c>
      <c r="EM96">
        <v>16351.8</v>
      </c>
      <c r="EN96">
        <v>16660.3</v>
      </c>
      <c r="EO96">
        <v>46.936999999999998</v>
      </c>
      <c r="EP96">
        <v>48.625</v>
      </c>
      <c r="EQ96">
        <v>47.875</v>
      </c>
      <c r="ER96">
        <v>47.375</v>
      </c>
      <c r="ES96">
        <v>48.25</v>
      </c>
      <c r="ET96">
        <v>1755.56</v>
      </c>
      <c r="EU96">
        <v>39.5</v>
      </c>
      <c r="EV96">
        <v>0</v>
      </c>
      <c r="EW96">
        <v>97.399999856948853</v>
      </c>
      <c r="EX96">
        <v>0</v>
      </c>
      <c r="EY96">
        <v>840.90132000000017</v>
      </c>
      <c r="EZ96">
        <v>5.527692306363897</v>
      </c>
      <c r="FA96">
        <v>87.846154014373269</v>
      </c>
      <c r="FB96">
        <v>16340.487999999999</v>
      </c>
      <c r="FC96">
        <v>15</v>
      </c>
      <c r="FD96">
        <v>1693340770.5</v>
      </c>
      <c r="FE96" t="s">
        <v>827</v>
      </c>
      <c r="FF96">
        <v>1693340770.5</v>
      </c>
      <c r="FG96">
        <v>1693340770</v>
      </c>
      <c r="FH96">
        <v>88</v>
      </c>
      <c r="FI96">
        <v>8.1000000000000003E-2</v>
      </c>
      <c r="FJ96">
        <v>-2E-3</v>
      </c>
      <c r="FK96">
        <v>-1.6639999999999999</v>
      </c>
      <c r="FL96">
        <v>0.13400000000000001</v>
      </c>
      <c r="FM96">
        <v>500</v>
      </c>
      <c r="FN96">
        <v>22</v>
      </c>
      <c r="FO96">
        <v>0.13</v>
      </c>
      <c r="FP96">
        <v>0.03</v>
      </c>
      <c r="FQ96">
        <v>44.260213339390397</v>
      </c>
      <c r="FR96">
        <v>-3.705270184842259E-2</v>
      </c>
      <c r="FS96">
        <v>8.138066684506523E-2</v>
      </c>
      <c r="FT96">
        <v>1</v>
      </c>
      <c r="FU96">
        <v>0.31383621374147358</v>
      </c>
      <c r="FV96">
        <v>2.552752404637311E-2</v>
      </c>
      <c r="FW96">
        <v>2.6264027836467381E-3</v>
      </c>
      <c r="FX96">
        <v>1</v>
      </c>
      <c r="FY96">
        <v>2</v>
      </c>
      <c r="FZ96">
        <v>2</v>
      </c>
      <c r="GA96" t="s">
        <v>421</v>
      </c>
      <c r="GB96">
        <v>2.9678399999999998</v>
      </c>
      <c r="GC96">
        <v>2.8119800000000001</v>
      </c>
      <c r="GD96">
        <v>0.104188</v>
      </c>
      <c r="GE96">
        <v>0.112236</v>
      </c>
      <c r="GF96">
        <v>0.13148000000000001</v>
      </c>
      <c r="GG96">
        <v>0.11226</v>
      </c>
      <c r="GH96">
        <v>26402.3</v>
      </c>
      <c r="GI96">
        <v>24088.6</v>
      </c>
      <c r="GJ96">
        <v>26498.400000000001</v>
      </c>
      <c r="GK96">
        <v>25610.5</v>
      </c>
      <c r="GL96">
        <v>31321.1</v>
      </c>
      <c r="GM96">
        <v>32054.6</v>
      </c>
      <c r="GN96">
        <v>37508.6</v>
      </c>
      <c r="GO96">
        <v>37919.199999999997</v>
      </c>
      <c r="GP96">
        <v>1.9389000000000001</v>
      </c>
      <c r="GQ96">
        <v>1.9383999999999999</v>
      </c>
      <c r="GR96">
        <v>-1.26958E-2</v>
      </c>
      <c r="GS96">
        <v>0</v>
      </c>
      <c r="GT96">
        <v>30.238600000000002</v>
      </c>
      <c r="GU96">
        <v>999.9</v>
      </c>
      <c r="GV96">
        <v>40.5</v>
      </c>
      <c r="GW96">
        <v>37.5</v>
      </c>
      <c r="GX96">
        <v>26.567699999999999</v>
      </c>
      <c r="GY96">
        <v>61.890500000000003</v>
      </c>
      <c r="GZ96">
        <v>12.147399999999999</v>
      </c>
      <c r="HA96">
        <v>1</v>
      </c>
      <c r="HB96">
        <v>0.51392300000000002</v>
      </c>
      <c r="HC96">
        <v>5.0085899999999999</v>
      </c>
      <c r="HD96">
        <v>20.181899999999999</v>
      </c>
      <c r="HE96">
        <v>5.2071100000000001</v>
      </c>
      <c r="HF96">
        <v>11.9381</v>
      </c>
      <c r="HG96">
        <v>4.9875999999999996</v>
      </c>
      <c r="HH96">
        <v>3.2909999999999999</v>
      </c>
      <c r="HI96">
        <v>9999</v>
      </c>
      <c r="HJ96">
        <v>9999</v>
      </c>
      <c r="HK96">
        <v>9999</v>
      </c>
      <c r="HL96">
        <v>999.9</v>
      </c>
      <c r="HM96">
        <v>1.8708100000000001</v>
      </c>
      <c r="HN96">
        <v>1.8769800000000001</v>
      </c>
      <c r="HO96">
        <v>1.8747400000000001</v>
      </c>
      <c r="HP96">
        <v>1.8730199999999999</v>
      </c>
      <c r="HQ96">
        <v>1.87347</v>
      </c>
      <c r="HR96">
        <v>1.8708800000000001</v>
      </c>
      <c r="HS96">
        <v>1.8767799999999999</v>
      </c>
      <c r="HT96">
        <v>1.8758999999999999</v>
      </c>
      <c r="HU96">
        <v>5</v>
      </c>
      <c r="HV96">
        <v>0</v>
      </c>
      <c r="HW96">
        <v>0</v>
      </c>
      <c r="HX96">
        <v>0</v>
      </c>
      <c r="HY96" t="s">
        <v>422</v>
      </c>
      <c r="HZ96" t="s">
        <v>423</v>
      </c>
      <c r="IA96" t="s">
        <v>424</v>
      </c>
      <c r="IB96" t="s">
        <v>424</v>
      </c>
      <c r="IC96" t="s">
        <v>424</v>
      </c>
      <c r="ID96" t="s">
        <v>424</v>
      </c>
      <c r="IE96">
        <v>0</v>
      </c>
      <c r="IF96">
        <v>100</v>
      </c>
      <c r="IG96">
        <v>100</v>
      </c>
      <c r="IH96">
        <v>-1.593</v>
      </c>
      <c r="II96">
        <v>0.38059999999999999</v>
      </c>
      <c r="IJ96">
        <v>-0.72925439641417578</v>
      </c>
      <c r="IK96">
        <v>-2.677719669153116E-3</v>
      </c>
      <c r="IL96">
        <v>1.9353498771248068E-6</v>
      </c>
      <c r="IM96">
        <v>-6.1862177325538213E-10</v>
      </c>
      <c r="IN96">
        <v>-0.21570345204666039</v>
      </c>
      <c r="IO96">
        <v>-1.5299015507423901E-2</v>
      </c>
      <c r="IP96">
        <v>1.742162107778985E-3</v>
      </c>
      <c r="IQ96">
        <v>-1.472690239905804E-5</v>
      </c>
      <c r="IR96">
        <v>3</v>
      </c>
      <c r="IS96">
        <v>2255</v>
      </c>
      <c r="IT96">
        <v>2</v>
      </c>
      <c r="IU96">
        <v>41</v>
      </c>
      <c r="IV96">
        <v>0.5</v>
      </c>
      <c r="IW96">
        <v>0.5</v>
      </c>
      <c r="IX96">
        <v>1.1437999999999999</v>
      </c>
      <c r="IY96">
        <v>2.52563</v>
      </c>
      <c r="IZ96">
        <v>1.6003400000000001</v>
      </c>
      <c r="JA96">
        <v>2.2680699999999998</v>
      </c>
      <c r="JB96">
        <v>1.5502899999999999</v>
      </c>
      <c r="JC96">
        <v>2.33521</v>
      </c>
      <c r="JD96">
        <v>41.092799999999997</v>
      </c>
      <c r="JE96">
        <v>23.754799999999999</v>
      </c>
      <c r="JF96">
        <v>18</v>
      </c>
      <c r="JG96">
        <v>503.61900000000003</v>
      </c>
      <c r="JH96">
        <v>471.80799999999999</v>
      </c>
      <c r="JI96">
        <v>23.673300000000001</v>
      </c>
      <c r="JJ96">
        <v>33.671700000000001</v>
      </c>
      <c r="JK96">
        <v>30.000900000000001</v>
      </c>
      <c r="JL96">
        <v>33.656599999999997</v>
      </c>
      <c r="JM96">
        <v>33.626600000000003</v>
      </c>
      <c r="JN96">
        <v>22.929300000000001</v>
      </c>
      <c r="JO96">
        <v>24.902999999999999</v>
      </c>
      <c r="JP96">
        <v>34.4831</v>
      </c>
      <c r="JQ96">
        <v>23.6511</v>
      </c>
      <c r="JR96">
        <v>500</v>
      </c>
      <c r="JS96">
        <v>22.526800000000001</v>
      </c>
      <c r="JT96">
        <v>98.928899999999999</v>
      </c>
      <c r="JU96">
        <v>98.473100000000002</v>
      </c>
    </row>
    <row r="97" spans="1:281" x14ac:dyDescent="0.25">
      <c r="A97">
        <v>81</v>
      </c>
      <c r="B97">
        <v>1693340908</v>
      </c>
      <c r="C97">
        <v>18610.900000095371</v>
      </c>
      <c r="D97" t="s">
        <v>828</v>
      </c>
      <c r="E97" t="s">
        <v>829</v>
      </c>
      <c r="F97" t="s">
        <v>413</v>
      </c>
      <c r="G97" t="s">
        <v>414</v>
      </c>
      <c r="H97" t="s">
        <v>779</v>
      </c>
      <c r="I97" t="s">
        <v>415</v>
      </c>
      <c r="J97">
        <v>1693340908</v>
      </c>
      <c r="K97">
        <f t="shared" si="92"/>
        <v>4.3766825482307835E-3</v>
      </c>
      <c r="L97">
        <f t="shared" si="93"/>
        <v>4.3766825482307832</v>
      </c>
      <c r="M97">
        <f t="shared" si="94"/>
        <v>45.514298701320996</v>
      </c>
      <c r="N97">
        <f t="shared" si="95"/>
        <v>642.06600000000003</v>
      </c>
      <c r="O97">
        <f t="shared" si="96"/>
        <v>365.8876519581774</v>
      </c>
      <c r="P97">
        <f t="shared" si="97"/>
        <v>36.174555054375574</v>
      </c>
      <c r="Q97">
        <f t="shared" si="98"/>
        <v>63.479736857032812</v>
      </c>
      <c r="R97">
        <f t="shared" si="99"/>
        <v>0.28948829317017349</v>
      </c>
      <c r="S97">
        <f t="shared" si="100"/>
        <v>2.9113406742177292</v>
      </c>
      <c r="T97">
        <f t="shared" si="101"/>
        <v>0.2743944827774345</v>
      </c>
      <c r="U97">
        <f t="shared" si="102"/>
        <v>0.17278706176151792</v>
      </c>
      <c r="V97">
        <f t="shared" si="103"/>
        <v>344.36430065834452</v>
      </c>
      <c r="W97">
        <f t="shared" si="104"/>
        <v>30.740374462304889</v>
      </c>
      <c r="X97">
        <f t="shared" si="105"/>
        <v>30.013500000000001</v>
      </c>
      <c r="Y97">
        <f t="shared" si="106"/>
        <v>4.2637545649567459</v>
      </c>
      <c r="Z97">
        <f t="shared" si="107"/>
        <v>64.953057380237979</v>
      </c>
      <c r="AA97">
        <f t="shared" si="108"/>
        <v>2.7426557211504807</v>
      </c>
      <c r="AB97">
        <f t="shared" si="109"/>
        <v>4.2225198193440789</v>
      </c>
      <c r="AC97">
        <f t="shared" si="110"/>
        <v>1.5210988438062651</v>
      </c>
      <c r="AD97">
        <f t="shared" si="111"/>
        <v>-193.01170037697756</v>
      </c>
      <c r="AE97">
        <f t="shared" si="112"/>
        <v>-26.541293154246915</v>
      </c>
      <c r="AF97">
        <f t="shared" si="113"/>
        <v>-2.0256417108296341</v>
      </c>
      <c r="AG97">
        <f t="shared" si="114"/>
        <v>122.78566541629041</v>
      </c>
      <c r="AH97">
        <v>0</v>
      </c>
      <c r="AI97">
        <v>0</v>
      </c>
      <c r="AJ97">
        <f t="shared" si="115"/>
        <v>1</v>
      </c>
      <c r="AK97">
        <f t="shared" si="116"/>
        <v>0</v>
      </c>
      <c r="AL97">
        <f t="shared" si="117"/>
        <v>51834.470736974676</v>
      </c>
      <c r="AM97" t="s">
        <v>416</v>
      </c>
      <c r="AN97">
        <v>10238.9</v>
      </c>
      <c r="AO97">
        <v>302.21199999999999</v>
      </c>
      <c r="AP97">
        <v>4052.3</v>
      </c>
      <c r="AQ97">
        <f t="shared" si="118"/>
        <v>0.92542210596451402</v>
      </c>
      <c r="AR97">
        <v>-0.32343011824092421</v>
      </c>
      <c r="AS97" t="s">
        <v>830</v>
      </c>
      <c r="AT97">
        <v>10472.6</v>
      </c>
      <c r="AU97">
        <v>853.34276923076914</v>
      </c>
      <c r="AV97">
        <v>1262.242400875364</v>
      </c>
      <c r="AW97">
        <f t="shared" si="119"/>
        <v>0.32394699414393247</v>
      </c>
      <c r="AX97">
        <v>0.5</v>
      </c>
      <c r="AY97">
        <f t="shared" si="120"/>
        <v>1513.1598003291724</v>
      </c>
      <c r="AZ97">
        <f t="shared" si="121"/>
        <v>45.514298701320996</v>
      </c>
      <c r="BA97">
        <f t="shared" si="122"/>
        <v>245.09178448803422</v>
      </c>
      <c r="BB97">
        <f t="shared" si="123"/>
        <v>3.0292721766458763E-2</v>
      </c>
      <c r="BC97">
        <f t="shared" si="124"/>
        <v>2.2103976202904718</v>
      </c>
      <c r="BD97">
        <f t="shared" si="125"/>
        <v>259.44355955574724</v>
      </c>
      <c r="BE97" t="s">
        <v>831</v>
      </c>
      <c r="BF97">
        <v>633.6</v>
      </c>
      <c r="BG97">
        <f t="shared" si="126"/>
        <v>633.6</v>
      </c>
      <c r="BH97">
        <f t="shared" si="127"/>
        <v>0.4980361937131893</v>
      </c>
      <c r="BI97">
        <f t="shared" si="128"/>
        <v>0.65044869877567202</v>
      </c>
      <c r="BJ97">
        <f t="shared" si="129"/>
        <v>0.81611653526914785</v>
      </c>
      <c r="BK97">
        <f t="shared" si="130"/>
        <v>0.42592362832651615</v>
      </c>
      <c r="BL97">
        <f t="shared" si="131"/>
        <v>0.74399790061583515</v>
      </c>
      <c r="BM97">
        <f t="shared" si="132"/>
        <v>0.48295281849727045</v>
      </c>
      <c r="BN97">
        <f t="shared" si="133"/>
        <v>0.51704718150272955</v>
      </c>
      <c r="BO97">
        <v>5624</v>
      </c>
      <c r="BP97">
        <v>290.00000000000011</v>
      </c>
      <c r="BQ97">
        <v>1150.1500000000001</v>
      </c>
      <c r="BR97">
        <v>165</v>
      </c>
      <c r="BS97">
        <v>10472.6</v>
      </c>
      <c r="BT97">
        <v>1145.44</v>
      </c>
      <c r="BU97">
        <v>4.71</v>
      </c>
      <c r="BV97">
        <v>300.00000000000011</v>
      </c>
      <c r="BW97">
        <v>38.299999999999997</v>
      </c>
      <c r="BX97">
        <v>1262.242400875364</v>
      </c>
      <c r="BY97">
        <v>1.329587453175644</v>
      </c>
      <c r="BZ97">
        <v>-122.3250311184153</v>
      </c>
      <c r="CA97">
        <v>1.1389334083564231</v>
      </c>
      <c r="CB97">
        <v>0.99757857434710095</v>
      </c>
      <c r="CC97">
        <v>-1.135952880978865E-2</v>
      </c>
      <c r="CD97">
        <v>289.99999999999989</v>
      </c>
      <c r="CE97">
        <v>1131.53</v>
      </c>
      <c r="CF97">
        <v>645</v>
      </c>
      <c r="CG97">
        <v>10439.700000000001</v>
      </c>
      <c r="CH97">
        <v>1145.07</v>
      </c>
      <c r="CI97">
        <v>-13.54</v>
      </c>
      <c r="CW97">
        <f t="shared" si="134"/>
        <v>1799.97</v>
      </c>
      <c r="CX97">
        <f t="shared" si="135"/>
        <v>1513.1598003291724</v>
      </c>
      <c r="CY97">
        <f t="shared" si="136"/>
        <v>0.84065834448861498</v>
      </c>
      <c r="CZ97">
        <f t="shared" si="137"/>
        <v>0.19131668897722989</v>
      </c>
      <c r="DA97">
        <v>6</v>
      </c>
      <c r="DB97">
        <v>0.5</v>
      </c>
      <c r="DC97" t="s">
        <v>419</v>
      </c>
      <c r="DD97">
        <v>2</v>
      </c>
      <c r="DE97">
        <v>1693340908</v>
      </c>
      <c r="DF97">
        <v>642.06600000000003</v>
      </c>
      <c r="DG97">
        <v>700.01300000000003</v>
      </c>
      <c r="DH97">
        <v>27.740600000000001</v>
      </c>
      <c r="DI97">
        <v>22.638000000000002</v>
      </c>
      <c r="DJ97">
        <v>643.66899999999998</v>
      </c>
      <c r="DK97">
        <v>27.3751</v>
      </c>
      <c r="DL97">
        <v>500.36500000000001</v>
      </c>
      <c r="DM97">
        <v>98.768100000000004</v>
      </c>
      <c r="DN97">
        <v>9.9830799999999997E-2</v>
      </c>
      <c r="DO97">
        <v>29.8444</v>
      </c>
      <c r="DP97">
        <v>30.013500000000001</v>
      </c>
      <c r="DQ97">
        <v>999.9</v>
      </c>
      <c r="DR97">
        <v>0</v>
      </c>
      <c r="DS97">
        <v>0</v>
      </c>
      <c r="DT97">
        <v>10020</v>
      </c>
      <c r="DU97">
        <v>0</v>
      </c>
      <c r="DV97">
        <v>1500.75</v>
      </c>
      <c r="DW97">
        <v>-57.9465</v>
      </c>
      <c r="DX97">
        <v>660.38599999999997</v>
      </c>
      <c r="DY97">
        <v>716.22699999999998</v>
      </c>
      <c r="DZ97">
        <v>5.1025799999999997</v>
      </c>
      <c r="EA97">
        <v>700.01300000000003</v>
      </c>
      <c r="EB97">
        <v>22.638000000000002</v>
      </c>
      <c r="EC97">
        <v>2.7398799999999999</v>
      </c>
      <c r="ED97">
        <v>2.2359100000000001</v>
      </c>
      <c r="EE97">
        <v>22.526299999999999</v>
      </c>
      <c r="EF97">
        <v>19.222000000000001</v>
      </c>
      <c r="EG97">
        <v>1799.97</v>
      </c>
      <c r="EH97">
        <v>0.97799599999999998</v>
      </c>
      <c r="EI97">
        <v>2.20039E-2</v>
      </c>
      <c r="EJ97">
        <v>0</v>
      </c>
      <c r="EK97">
        <v>852.97299999999996</v>
      </c>
      <c r="EL97">
        <v>4.9995000000000003</v>
      </c>
      <c r="EM97">
        <v>16579.400000000001</v>
      </c>
      <c r="EN97">
        <v>16659.599999999999</v>
      </c>
      <c r="EO97">
        <v>47.061999999999998</v>
      </c>
      <c r="EP97">
        <v>48.625</v>
      </c>
      <c r="EQ97">
        <v>47.936999999999998</v>
      </c>
      <c r="ER97">
        <v>47.5</v>
      </c>
      <c r="ES97">
        <v>48.375</v>
      </c>
      <c r="ET97">
        <v>1755.47</v>
      </c>
      <c r="EU97">
        <v>39.5</v>
      </c>
      <c r="EV97">
        <v>0</v>
      </c>
      <c r="EW97">
        <v>107</v>
      </c>
      <c r="EX97">
        <v>0</v>
      </c>
      <c r="EY97">
        <v>853.34276923076914</v>
      </c>
      <c r="EZ97">
        <v>-0.63555555310107481</v>
      </c>
      <c r="FA97">
        <v>33.750427396995242</v>
      </c>
      <c r="FB97">
        <v>16583.146153846152</v>
      </c>
      <c r="FC97">
        <v>15</v>
      </c>
      <c r="FD97">
        <v>1693340881.5</v>
      </c>
      <c r="FE97" t="s">
        <v>832</v>
      </c>
      <c r="FF97">
        <v>1693340869.5</v>
      </c>
      <c r="FG97">
        <v>1693340881.5</v>
      </c>
      <c r="FH97">
        <v>89</v>
      </c>
      <c r="FI97">
        <v>0.21299999999999999</v>
      </c>
      <c r="FJ97">
        <v>-3.0000000000000001E-3</v>
      </c>
      <c r="FK97">
        <v>-1.6559999999999999</v>
      </c>
      <c r="FL97">
        <v>0.13</v>
      </c>
      <c r="FM97">
        <v>700</v>
      </c>
      <c r="FN97">
        <v>22</v>
      </c>
      <c r="FO97">
        <v>0.14000000000000001</v>
      </c>
      <c r="FP97">
        <v>0.03</v>
      </c>
      <c r="FQ97">
        <v>45.552999502089733</v>
      </c>
      <c r="FR97">
        <v>-0.69533871417844884</v>
      </c>
      <c r="FS97">
        <v>0.1044329862635099</v>
      </c>
      <c r="FT97">
        <v>1</v>
      </c>
      <c r="FU97">
        <v>0.29308278335956101</v>
      </c>
      <c r="FV97">
        <v>-1.6407310163384231E-2</v>
      </c>
      <c r="FW97">
        <v>1.7071212117908149E-3</v>
      </c>
      <c r="FX97">
        <v>1</v>
      </c>
      <c r="FY97">
        <v>2</v>
      </c>
      <c r="FZ97">
        <v>2</v>
      </c>
      <c r="GA97" t="s">
        <v>421</v>
      </c>
      <c r="GB97">
        <v>2.96889</v>
      </c>
      <c r="GC97">
        <v>2.8117000000000001</v>
      </c>
      <c r="GD97">
        <v>0.13603899999999999</v>
      </c>
      <c r="GE97">
        <v>0.142627</v>
      </c>
      <c r="GF97">
        <v>0.13064300000000001</v>
      </c>
      <c r="GG97">
        <v>0.112785</v>
      </c>
      <c r="GH97">
        <v>25460.799999999999</v>
      </c>
      <c r="GI97">
        <v>23258.6</v>
      </c>
      <c r="GJ97">
        <v>26496.9</v>
      </c>
      <c r="GK97">
        <v>25606.1</v>
      </c>
      <c r="GL97">
        <v>31351.599999999999</v>
      </c>
      <c r="GM97">
        <v>32033.9</v>
      </c>
      <c r="GN97">
        <v>37505.599999999999</v>
      </c>
      <c r="GO97">
        <v>37914.400000000001</v>
      </c>
      <c r="GP97">
        <v>1.9380999999999999</v>
      </c>
      <c r="GQ97">
        <v>1.9386000000000001</v>
      </c>
      <c r="GR97">
        <v>-5.9604599999999999E-3</v>
      </c>
      <c r="GS97">
        <v>0</v>
      </c>
      <c r="GT97">
        <v>30.110399999999998</v>
      </c>
      <c r="GU97">
        <v>999.9</v>
      </c>
      <c r="GV97">
        <v>40.799999999999997</v>
      </c>
      <c r="GW97">
        <v>37.5</v>
      </c>
      <c r="GX97">
        <v>26.764299999999999</v>
      </c>
      <c r="GY97">
        <v>61.730499999999999</v>
      </c>
      <c r="GZ97">
        <v>12.7003</v>
      </c>
      <c r="HA97">
        <v>1</v>
      </c>
      <c r="HB97">
        <v>0.51706300000000005</v>
      </c>
      <c r="HC97">
        <v>4.5413199999999998</v>
      </c>
      <c r="HD97">
        <v>20.194900000000001</v>
      </c>
      <c r="HE97">
        <v>5.2107000000000001</v>
      </c>
      <c r="HF97">
        <v>11.9381</v>
      </c>
      <c r="HG97">
        <v>4.9871999999999996</v>
      </c>
      <c r="HH97">
        <v>3.2909999999999999</v>
      </c>
      <c r="HI97">
        <v>9999</v>
      </c>
      <c r="HJ97">
        <v>9999</v>
      </c>
      <c r="HK97">
        <v>9999</v>
      </c>
      <c r="HL97">
        <v>999.9</v>
      </c>
      <c r="HM97">
        <v>1.8708499999999999</v>
      </c>
      <c r="HN97">
        <v>1.87696</v>
      </c>
      <c r="HO97">
        <v>1.8747100000000001</v>
      </c>
      <c r="HP97">
        <v>1.8729899999999999</v>
      </c>
      <c r="HQ97">
        <v>1.87347</v>
      </c>
      <c r="HR97">
        <v>1.8708800000000001</v>
      </c>
      <c r="HS97">
        <v>1.8767799999999999</v>
      </c>
      <c r="HT97">
        <v>1.87592</v>
      </c>
      <c r="HU97">
        <v>5</v>
      </c>
      <c r="HV97">
        <v>0</v>
      </c>
      <c r="HW97">
        <v>0</v>
      </c>
      <c r="HX97">
        <v>0</v>
      </c>
      <c r="HY97" t="s">
        <v>422</v>
      </c>
      <c r="HZ97" t="s">
        <v>423</v>
      </c>
      <c r="IA97" t="s">
        <v>424</v>
      </c>
      <c r="IB97" t="s">
        <v>424</v>
      </c>
      <c r="IC97" t="s">
        <v>424</v>
      </c>
      <c r="ID97" t="s">
        <v>424</v>
      </c>
      <c r="IE97">
        <v>0</v>
      </c>
      <c r="IF97">
        <v>100</v>
      </c>
      <c r="IG97">
        <v>100</v>
      </c>
      <c r="IH97">
        <v>-1.603</v>
      </c>
      <c r="II97">
        <v>0.36549999999999999</v>
      </c>
      <c r="IJ97">
        <v>-0.51623025818768742</v>
      </c>
      <c r="IK97">
        <v>-2.677719669153116E-3</v>
      </c>
      <c r="IL97">
        <v>1.9353498771248068E-6</v>
      </c>
      <c r="IM97">
        <v>-6.1862177325538213E-10</v>
      </c>
      <c r="IN97">
        <v>-0.21917353966861799</v>
      </c>
      <c r="IO97">
        <v>-1.5299015507423901E-2</v>
      </c>
      <c r="IP97">
        <v>1.742162107778985E-3</v>
      </c>
      <c r="IQ97">
        <v>-1.472690239905804E-5</v>
      </c>
      <c r="IR97">
        <v>3</v>
      </c>
      <c r="IS97">
        <v>2255</v>
      </c>
      <c r="IT97">
        <v>2</v>
      </c>
      <c r="IU97">
        <v>41</v>
      </c>
      <c r="IV97">
        <v>0.6</v>
      </c>
      <c r="IW97">
        <v>0.4</v>
      </c>
      <c r="IX97">
        <v>1.50146</v>
      </c>
      <c r="IY97">
        <v>2.50854</v>
      </c>
      <c r="IZ97">
        <v>1.5991200000000001</v>
      </c>
      <c r="JA97">
        <v>2.2668499999999998</v>
      </c>
      <c r="JB97">
        <v>1.5502899999999999</v>
      </c>
      <c r="JC97">
        <v>2.4072300000000002</v>
      </c>
      <c r="JD97">
        <v>41.170499999999997</v>
      </c>
      <c r="JE97">
        <v>23.772300000000001</v>
      </c>
      <c r="JF97">
        <v>18</v>
      </c>
      <c r="JG97">
        <v>503.35599999999999</v>
      </c>
      <c r="JH97">
        <v>472.14100000000002</v>
      </c>
      <c r="JI97">
        <v>23.8612</v>
      </c>
      <c r="JJ97">
        <v>33.723199999999999</v>
      </c>
      <c r="JK97">
        <v>29.999500000000001</v>
      </c>
      <c r="JL97">
        <v>33.689799999999998</v>
      </c>
      <c r="JM97">
        <v>33.653700000000001</v>
      </c>
      <c r="JN97">
        <v>30.070399999999999</v>
      </c>
      <c r="JO97">
        <v>24.69</v>
      </c>
      <c r="JP97">
        <v>34.898400000000002</v>
      </c>
      <c r="JQ97">
        <v>23.884699999999999</v>
      </c>
      <c r="JR97">
        <v>700</v>
      </c>
      <c r="JS97">
        <v>22.651199999999999</v>
      </c>
      <c r="JT97">
        <v>98.921999999999997</v>
      </c>
      <c r="JU97">
        <v>98.4589</v>
      </c>
    </row>
    <row r="98" spans="1:281" x14ac:dyDescent="0.25">
      <c r="A98">
        <v>82</v>
      </c>
      <c r="B98">
        <v>1693341014.5</v>
      </c>
      <c r="C98">
        <v>18717.400000095371</v>
      </c>
      <c r="D98" t="s">
        <v>833</v>
      </c>
      <c r="E98" t="s">
        <v>834</v>
      </c>
      <c r="F98" t="s">
        <v>413</v>
      </c>
      <c r="G98" t="s">
        <v>414</v>
      </c>
      <c r="H98" t="s">
        <v>779</v>
      </c>
      <c r="I98" t="s">
        <v>415</v>
      </c>
      <c r="J98">
        <v>1693341014.5</v>
      </c>
      <c r="K98">
        <f t="shared" si="92"/>
        <v>3.6370067962364092E-3</v>
      </c>
      <c r="L98">
        <f t="shared" si="93"/>
        <v>3.6370067962364092</v>
      </c>
      <c r="M98">
        <f t="shared" si="94"/>
        <v>45.69016962712363</v>
      </c>
      <c r="N98">
        <f t="shared" si="95"/>
        <v>841.52599999999995</v>
      </c>
      <c r="O98">
        <f t="shared" si="96"/>
        <v>506.54321537671939</v>
      </c>
      <c r="P98">
        <f t="shared" si="97"/>
        <v>50.077011702391019</v>
      </c>
      <c r="Q98">
        <f t="shared" si="98"/>
        <v>83.193508610169999</v>
      </c>
      <c r="R98">
        <f t="shared" si="99"/>
        <v>0.23892418521227221</v>
      </c>
      <c r="S98">
        <f t="shared" si="100"/>
        <v>2.9007076468359214</v>
      </c>
      <c r="T98">
        <f t="shared" si="101"/>
        <v>0.22850478953256734</v>
      </c>
      <c r="U98">
        <f t="shared" si="102"/>
        <v>0.14371376765025254</v>
      </c>
      <c r="V98">
        <f t="shared" si="103"/>
        <v>344.37380065832622</v>
      </c>
      <c r="W98">
        <f t="shared" si="104"/>
        <v>30.839915733646958</v>
      </c>
      <c r="X98">
        <f t="shared" si="105"/>
        <v>29.917300000000001</v>
      </c>
      <c r="Y98">
        <f t="shared" si="106"/>
        <v>4.240253540139725</v>
      </c>
      <c r="Z98">
        <f t="shared" si="107"/>
        <v>64.829605589163066</v>
      </c>
      <c r="AA98">
        <f t="shared" si="108"/>
        <v>2.7221478809135</v>
      </c>
      <c r="AB98">
        <f t="shared" si="109"/>
        <v>4.1989271046383401</v>
      </c>
      <c r="AC98">
        <f t="shared" si="110"/>
        <v>1.518105659226225</v>
      </c>
      <c r="AD98">
        <f t="shared" si="111"/>
        <v>-160.39199971402564</v>
      </c>
      <c r="AE98">
        <f t="shared" si="112"/>
        <v>-26.632016496754115</v>
      </c>
      <c r="AF98">
        <f t="shared" si="113"/>
        <v>-2.0380614443617242</v>
      </c>
      <c r="AG98">
        <f t="shared" si="114"/>
        <v>155.31172300318471</v>
      </c>
      <c r="AH98">
        <v>0</v>
      </c>
      <c r="AI98">
        <v>0</v>
      </c>
      <c r="AJ98">
        <f t="shared" si="115"/>
        <v>1</v>
      </c>
      <c r="AK98">
        <f t="shared" si="116"/>
        <v>0</v>
      </c>
      <c r="AL98">
        <f t="shared" si="117"/>
        <v>51549.012083865025</v>
      </c>
      <c r="AM98" t="s">
        <v>416</v>
      </c>
      <c r="AN98">
        <v>10238.9</v>
      </c>
      <c r="AO98">
        <v>302.21199999999999</v>
      </c>
      <c r="AP98">
        <v>4052.3</v>
      </c>
      <c r="AQ98">
        <f t="shared" si="118"/>
        <v>0.92542210596451402</v>
      </c>
      <c r="AR98">
        <v>-0.32343011824092421</v>
      </c>
      <c r="AS98" t="s">
        <v>835</v>
      </c>
      <c r="AT98">
        <v>10472.9</v>
      </c>
      <c r="AU98">
        <v>852.5057599999999</v>
      </c>
      <c r="AV98">
        <v>1266.1460397280839</v>
      </c>
      <c r="AW98">
        <f t="shared" si="119"/>
        <v>0.32669239309623155</v>
      </c>
      <c r="AX98">
        <v>0.5</v>
      </c>
      <c r="AY98">
        <f t="shared" si="120"/>
        <v>1513.2018003291632</v>
      </c>
      <c r="AZ98">
        <f t="shared" si="121"/>
        <v>45.69016962712363</v>
      </c>
      <c r="BA98">
        <f t="shared" si="122"/>
        <v>247.17575869353013</v>
      </c>
      <c r="BB98">
        <f t="shared" si="123"/>
        <v>3.0408105340183525E-2</v>
      </c>
      <c r="BC98">
        <f t="shared" si="124"/>
        <v>2.2004996839624185</v>
      </c>
      <c r="BD98">
        <f t="shared" si="125"/>
        <v>259.608074045813</v>
      </c>
      <c r="BE98" t="s">
        <v>836</v>
      </c>
      <c r="BF98">
        <v>635.26</v>
      </c>
      <c r="BG98">
        <f t="shared" si="126"/>
        <v>635.26</v>
      </c>
      <c r="BH98">
        <f t="shared" si="127"/>
        <v>0.49827272678874568</v>
      </c>
      <c r="BI98">
        <f t="shared" si="128"/>
        <v>0.65564975872087095</v>
      </c>
      <c r="BJ98">
        <f t="shared" si="129"/>
        <v>0.81537060153580765</v>
      </c>
      <c r="BK98">
        <f t="shared" si="130"/>
        <v>0.42911678878439419</v>
      </c>
      <c r="BL98">
        <f t="shared" si="131"/>
        <v>0.74295695468264111</v>
      </c>
      <c r="BM98">
        <f t="shared" si="132"/>
        <v>0.4885692100485286</v>
      </c>
      <c r="BN98">
        <f t="shared" si="133"/>
        <v>0.5114307899514714</v>
      </c>
      <c r="BO98">
        <v>5626</v>
      </c>
      <c r="BP98">
        <v>290.00000000000011</v>
      </c>
      <c r="BQ98">
        <v>1152.4100000000001</v>
      </c>
      <c r="BR98">
        <v>165</v>
      </c>
      <c r="BS98">
        <v>10472.9</v>
      </c>
      <c r="BT98">
        <v>1148.78</v>
      </c>
      <c r="BU98">
        <v>3.63</v>
      </c>
      <c r="BV98">
        <v>300.00000000000011</v>
      </c>
      <c r="BW98">
        <v>38.299999999999997</v>
      </c>
      <c r="BX98">
        <v>1266.1460397280839</v>
      </c>
      <c r="BY98">
        <v>1.650504666503803</v>
      </c>
      <c r="BZ98">
        <v>-122.91676479023739</v>
      </c>
      <c r="CA98">
        <v>1.4138933686758941</v>
      </c>
      <c r="CB98">
        <v>0.9963088381587123</v>
      </c>
      <c r="CC98">
        <v>-1.1359820467185771E-2</v>
      </c>
      <c r="CD98">
        <v>289.99999999999989</v>
      </c>
      <c r="CE98">
        <v>1134.21</v>
      </c>
      <c r="CF98">
        <v>665</v>
      </c>
      <c r="CG98">
        <v>10438.1</v>
      </c>
      <c r="CH98">
        <v>1148.3900000000001</v>
      </c>
      <c r="CI98">
        <v>-14.18</v>
      </c>
      <c r="CW98">
        <f t="shared" si="134"/>
        <v>1800.02</v>
      </c>
      <c r="CX98">
        <f t="shared" si="135"/>
        <v>1513.2018003291632</v>
      </c>
      <c r="CY98">
        <f t="shared" si="136"/>
        <v>0.84065832620146619</v>
      </c>
      <c r="CZ98">
        <f t="shared" si="137"/>
        <v>0.1913166524029323</v>
      </c>
      <c r="DA98">
        <v>6</v>
      </c>
      <c r="DB98">
        <v>0.5</v>
      </c>
      <c r="DC98" t="s">
        <v>419</v>
      </c>
      <c r="DD98">
        <v>2</v>
      </c>
      <c r="DE98">
        <v>1693341014.5</v>
      </c>
      <c r="DF98">
        <v>841.52599999999995</v>
      </c>
      <c r="DG98">
        <v>900.02099999999996</v>
      </c>
      <c r="DH98">
        <v>27.535299999999999</v>
      </c>
      <c r="DI98">
        <v>23.291499999999999</v>
      </c>
      <c r="DJ98">
        <v>843.25599999999997</v>
      </c>
      <c r="DK98">
        <v>27.184100000000001</v>
      </c>
      <c r="DL98">
        <v>500.05099999999999</v>
      </c>
      <c r="DM98">
        <v>98.76</v>
      </c>
      <c r="DN98">
        <v>0.100295</v>
      </c>
      <c r="DO98">
        <v>29.747</v>
      </c>
      <c r="DP98">
        <v>29.917300000000001</v>
      </c>
      <c r="DQ98">
        <v>999.9</v>
      </c>
      <c r="DR98">
        <v>0</v>
      </c>
      <c r="DS98">
        <v>0</v>
      </c>
      <c r="DT98">
        <v>9960</v>
      </c>
      <c r="DU98">
        <v>0</v>
      </c>
      <c r="DV98">
        <v>1108.21</v>
      </c>
      <c r="DW98">
        <v>-58.495699999999999</v>
      </c>
      <c r="DX98">
        <v>865.35400000000004</v>
      </c>
      <c r="DY98">
        <v>921.48400000000004</v>
      </c>
      <c r="DZ98">
        <v>4.24376</v>
      </c>
      <c r="EA98">
        <v>900.02099999999996</v>
      </c>
      <c r="EB98">
        <v>23.291499999999999</v>
      </c>
      <c r="EC98">
        <v>2.7193800000000001</v>
      </c>
      <c r="ED98">
        <v>2.3002699999999998</v>
      </c>
      <c r="EE98">
        <v>22.402699999999999</v>
      </c>
      <c r="EF98">
        <v>19.6783</v>
      </c>
      <c r="EG98">
        <v>1800.02</v>
      </c>
      <c r="EH98">
        <v>0.97799599999999998</v>
      </c>
      <c r="EI98">
        <v>2.20039E-2</v>
      </c>
      <c r="EJ98">
        <v>0</v>
      </c>
      <c r="EK98">
        <v>852.35699999999997</v>
      </c>
      <c r="EL98">
        <v>4.9995000000000003</v>
      </c>
      <c r="EM98">
        <v>16250.7</v>
      </c>
      <c r="EN98">
        <v>16660</v>
      </c>
      <c r="EO98">
        <v>46.936999999999998</v>
      </c>
      <c r="EP98">
        <v>48.311999999999998</v>
      </c>
      <c r="EQ98">
        <v>47.75</v>
      </c>
      <c r="ER98">
        <v>47.186999999999998</v>
      </c>
      <c r="ES98">
        <v>48.25</v>
      </c>
      <c r="ET98">
        <v>1755.52</v>
      </c>
      <c r="EU98">
        <v>39.5</v>
      </c>
      <c r="EV98">
        <v>0</v>
      </c>
      <c r="EW98">
        <v>104.5999999046326</v>
      </c>
      <c r="EX98">
        <v>0</v>
      </c>
      <c r="EY98">
        <v>852.5057599999999</v>
      </c>
      <c r="EZ98">
        <v>-3.9734615307763201</v>
      </c>
      <c r="FA98">
        <v>1303.5153816182531</v>
      </c>
      <c r="FB98">
        <v>15879.244000000001</v>
      </c>
      <c r="FC98">
        <v>15</v>
      </c>
      <c r="FD98">
        <v>1693340981.5</v>
      </c>
      <c r="FE98" t="s">
        <v>837</v>
      </c>
      <c r="FF98">
        <v>1693340981.5</v>
      </c>
      <c r="FG98">
        <v>1693340981.5</v>
      </c>
      <c r="FH98">
        <v>90</v>
      </c>
      <c r="FI98">
        <v>3.7999999999999999E-2</v>
      </c>
      <c r="FJ98">
        <v>-5.0000000000000001E-3</v>
      </c>
      <c r="FK98">
        <v>-1.772</v>
      </c>
      <c r="FL98">
        <v>0.14000000000000001</v>
      </c>
      <c r="FM98">
        <v>900</v>
      </c>
      <c r="FN98">
        <v>23</v>
      </c>
      <c r="FO98">
        <v>0.12</v>
      </c>
      <c r="FP98">
        <v>0.05</v>
      </c>
      <c r="FQ98">
        <v>45.516562875790179</v>
      </c>
      <c r="FR98">
        <v>-0.1129119047919379</v>
      </c>
      <c r="FS98">
        <v>0.1264392051721509</v>
      </c>
      <c r="FT98">
        <v>1</v>
      </c>
      <c r="FU98">
        <v>0.24643488263748911</v>
      </c>
      <c r="FV98">
        <v>-4.8018069287983717E-2</v>
      </c>
      <c r="FW98">
        <v>3.5079883114736859E-3</v>
      </c>
      <c r="FX98">
        <v>1</v>
      </c>
      <c r="FY98">
        <v>2</v>
      </c>
      <c r="FZ98">
        <v>2</v>
      </c>
      <c r="GA98" t="s">
        <v>421</v>
      </c>
      <c r="GB98">
        <v>2.96807</v>
      </c>
      <c r="GC98">
        <v>2.8116400000000001</v>
      </c>
      <c r="GD98">
        <v>0.16361300000000001</v>
      </c>
      <c r="GE98">
        <v>0.168992</v>
      </c>
      <c r="GF98">
        <v>0.13000100000000001</v>
      </c>
      <c r="GG98">
        <v>0.11505799999999999</v>
      </c>
      <c r="GH98">
        <v>24648.3</v>
      </c>
      <c r="GI98">
        <v>22544</v>
      </c>
      <c r="GJ98">
        <v>26498.3</v>
      </c>
      <c r="GK98">
        <v>25608.3</v>
      </c>
      <c r="GL98">
        <v>31378.5</v>
      </c>
      <c r="GM98">
        <v>31955.8</v>
      </c>
      <c r="GN98">
        <v>37508</v>
      </c>
      <c r="GO98">
        <v>37916.9</v>
      </c>
      <c r="GP98">
        <v>1.9376</v>
      </c>
      <c r="GQ98">
        <v>1.9419999999999999</v>
      </c>
      <c r="GR98">
        <v>7.2419600000000004E-3</v>
      </c>
      <c r="GS98">
        <v>0</v>
      </c>
      <c r="GT98">
        <v>29.799399999999999</v>
      </c>
      <c r="GU98">
        <v>999.9</v>
      </c>
      <c r="GV98">
        <v>41.2</v>
      </c>
      <c r="GW98">
        <v>37.4</v>
      </c>
      <c r="GX98">
        <v>26.881599999999999</v>
      </c>
      <c r="GY98">
        <v>61.750599999999999</v>
      </c>
      <c r="GZ98">
        <v>11.927099999999999</v>
      </c>
      <c r="HA98">
        <v>1</v>
      </c>
      <c r="HB98">
        <v>0.50836400000000004</v>
      </c>
      <c r="HC98">
        <v>3.7561</v>
      </c>
      <c r="HD98">
        <v>20.212599999999998</v>
      </c>
      <c r="HE98">
        <v>5.20052</v>
      </c>
      <c r="HF98">
        <v>11.9381</v>
      </c>
      <c r="HG98">
        <v>4.9854000000000003</v>
      </c>
      <c r="HH98">
        <v>3.2894999999999999</v>
      </c>
      <c r="HI98">
        <v>9999</v>
      </c>
      <c r="HJ98">
        <v>9999</v>
      </c>
      <c r="HK98">
        <v>9999</v>
      </c>
      <c r="HL98">
        <v>999.9</v>
      </c>
      <c r="HM98">
        <v>1.8708800000000001</v>
      </c>
      <c r="HN98">
        <v>1.8769800000000001</v>
      </c>
      <c r="HO98">
        <v>1.8747400000000001</v>
      </c>
      <c r="HP98">
        <v>1.8730199999999999</v>
      </c>
      <c r="HQ98">
        <v>1.87347</v>
      </c>
      <c r="HR98">
        <v>1.8708800000000001</v>
      </c>
      <c r="HS98">
        <v>1.8767799999999999</v>
      </c>
      <c r="HT98">
        <v>1.87592</v>
      </c>
      <c r="HU98">
        <v>5</v>
      </c>
      <c r="HV98">
        <v>0</v>
      </c>
      <c r="HW98">
        <v>0</v>
      </c>
      <c r="HX98">
        <v>0</v>
      </c>
      <c r="HY98" t="s">
        <v>422</v>
      </c>
      <c r="HZ98" t="s">
        <v>423</v>
      </c>
      <c r="IA98" t="s">
        <v>424</v>
      </c>
      <c r="IB98" t="s">
        <v>424</v>
      </c>
      <c r="IC98" t="s">
        <v>424</v>
      </c>
      <c r="ID98" t="s">
        <v>424</v>
      </c>
      <c r="IE98">
        <v>0</v>
      </c>
      <c r="IF98">
        <v>100</v>
      </c>
      <c r="IG98">
        <v>100</v>
      </c>
      <c r="IH98">
        <v>-1.73</v>
      </c>
      <c r="II98">
        <v>0.35120000000000001</v>
      </c>
      <c r="IJ98">
        <v>-0.47772404068971192</v>
      </c>
      <c r="IK98">
        <v>-2.677719669153116E-3</v>
      </c>
      <c r="IL98">
        <v>1.9353498771248068E-6</v>
      </c>
      <c r="IM98">
        <v>-6.1862177325538213E-10</v>
      </c>
      <c r="IN98">
        <v>-0.2245230791659065</v>
      </c>
      <c r="IO98">
        <v>-1.5299015507423901E-2</v>
      </c>
      <c r="IP98">
        <v>1.742162107778985E-3</v>
      </c>
      <c r="IQ98">
        <v>-1.472690239905804E-5</v>
      </c>
      <c r="IR98">
        <v>3</v>
      </c>
      <c r="IS98">
        <v>2255</v>
      </c>
      <c r="IT98">
        <v>2</v>
      </c>
      <c r="IU98">
        <v>41</v>
      </c>
      <c r="IV98">
        <v>0.6</v>
      </c>
      <c r="IW98">
        <v>0.6</v>
      </c>
      <c r="IX98">
        <v>1.8444799999999999</v>
      </c>
      <c r="IY98">
        <v>2.5158700000000001</v>
      </c>
      <c r="IZ98">
        <v>1.6003400000000001</v>
      </c>
      <c r="JA98">
        <v>2.2668499999999998</v>
      </c>
      <c r="JB98">
        <v>1.5502899999999999</v>
      </c>
      <c r="JC98">
        <v>2.2668499999999998</v>
      </c>
      <c r="JD98">
        <v>41.248199999999997</v>
      </c>
      <c r="JE98">
        <v>23.772300000000001</v>
      </c>
      <c r="JF98">
        <v>18</v>
      </c>
      <c r="JG98">
        <v>502.82100000000003</v>
      </c>
      <c r="JH98">
        <v>474.12</v>
      </c>
      <c r="JI98">
        <v>24.296199999999999</v>
      </c>
      <c r="JJ98">
        <v>33.686799999999998</v>
      </c>
      <c r="JK98">
        <v>29.997900000000001</v>
      </c>
      <c r="JL98">
        <v>33.662599999999998</v>
      </c>
      <c r="JM98">
        <v>33.626600000000003</v>
      </c>
      <c r="JN98">
        <v>36.942900000000002</v>
      </c>
      <c r="JO98">
        <v>23.231000000000002</v>
      </c>
      <c r="JP98">
        <v>37.254899999999999</v>
      </c>
      <c r="JQ98">
        <v>24.3278</v>
      </c>
      <c r="JR98">
        <v>900</v>
      </c>
      <c r="JS98">
        <v>23.377600000000001</v>
      </c>
      <c r="JT98">
        <v>98.927800000000005</v>
      </c>
      <c r="JU98">
        <v>98.466099999999997</v>
      </c>
    </row>
    <row r="99" spans="1:281" x14ac:dyDescent="0.25">
      <c r="A99">
        <v>83</v>
      </c>
      <c r="B99">
        <v>1693341114</v>
      </c>
      <c r="C99">
        <v>18816.900000095371</v>
      </c>
      <c r="D99" t="s">
        <v>838</v>
      </c>
      <c r="E99" t="s">
        <v>839</v>
      </c>
      <c r="F99" t="s">
        <v>413</v>
      </c>
      <c r="G99" t="s">
        <v>414</v>
      </c>
      <c r="H99" t="s">
        <v>779</v>
      </c>
      <c r="I99" t="s">
        <v>415</v>
      </c>
      <c r="J99">
        <v>1693341114</v>
      </c>
      <c r="K99">
        <f t="shared" si="92"/>
        <v>2.8495165567612654E-3</v>
      </c>
      <c r="L99">
        <f t="shared" si="93"/>
        <v>2.8495165567612655</v>
      </c>
      <c r="M99">
        <f t="shared" si="94"/>
        <v>45.150047833657723</v>
      </c>
      <c r="N99">
        <f t="shared" si="95"/>
        <v>1141.81</v>
      </c>
      <c r="O99">
        <f t="shared" si="96"/>
        <v>702.58426768150014</v>
      </c>
      <c r="P99">
        <f t="shared" si="97"/>
        <v>69.457391193757402</v>
      </c>
      <c r="Q99">
        <f t="shared" si="98"/>
        <v>112.879191133406</v>
      </c>
      <c r="R99">
        <f t="shared" si="99"/>
        <v>0.179131188421363</v>
      </c>
      <c r="S99">
        <f t="shared" si="100"/>
        <v>2.9085770427296498</v>
      </c>
      <c r="T99">
        <f t="shared" si="101"/>
        <v>0.17322022724844266</v>
      </c>
      <c r="U99">
        <f t="shared" si="102"/>
        <v>0.10877746980563772</v>
      </c>
      <c r="V99">
        <f t="shared" si="103"/>
        <v>344.39090065829322</v>
      </c>
      <c r="W99">
        <f t="shared" si="104"/>
        <v>31.069425226369301</v>
      </c>
      <c r="X99">
        <f t="shared" si="105"/>
        <v>30.1082</v>
      </c>
      <c r="Y99">
        <f t="shared" si="106"/>
        <v>4.2869999405366537</v>
      </c>
      <c r="Z99">
        <f t="shared" si="107"/>
        <v>64.640885351437291</v>
      </c>
      <c r="AA99">
        <f t="shared" si="108"/>
        <v>2.7183499168821998</v>
      </c>
      <c r="AB99">
        <f t="shared" si="109"/>
        <v>4.2053104658192266</v>
      </c>
      <c r="AC99">
        <f t="shared" si="110"/>
        <v>1.5686500236544538</v>
      </c>
      <c r="AD99">
        <f t="shared" si="111"/>
        <v>-125.66368015317181</v>
      </c>
      <c r="AE99">
        <f t="shared" si="112"/>
        <v>-52.499052410654379</v>
      </c>
      <c r="AF99">
        <f t="shared" si="113"/>
        <v>-4.0110265525874853</v>
      </c>
      <c r="AG99">
        <f t="shared" si="114"/>
        <v>162.21714154187953</v>
      </c>
      <c r="AH99">
        <v>1</v>
      </c>
      <c r="AI99">
        <v>0</v>
      </c>
      <c r="AJ99">
        <f t="shared" si="115"/>
        <v>1</v>
      </c>
      <c r="AK99">
        <f t="shared" si="116"/>
        <v>0</v>
      </c>
      <c r="AL99">
        <f t="shared" si="117"/>
        <v>51767.90624390672</v>
      </c>
      <c r="AM99" t="s">
        <v>416</v>
      </c>
      <c r="AN99">
        <v>10238.9</v>
      </c>
      <c r="AO99">
        <v>302.21199999999999</v>
      </c>
      <c r="AP99">
        <v>4052.3</v>
      </c>
      <c r="AQ99">
        <f t="shared" si="118"/>
        <v>0.92542210596451402</v>
      </c>
      <c r="AR99">
        <v>-0.32343011824092421</v>
      </c>
      <c r="AS99" t="s">
        <v>840</v>
      </c>
      <c r="AT99">
        <v>10482.5</v>
      </c>
      <c r="AU99">
        <v>847.21550000000002</v>
      </c>
      <c r="AV99">
        <v>1263.379758657582</v>
      </c>
      <c r="AW99">
        <f t="shared" si="119"/>
        <v>0.32940551390484674</v>
      </c>
      <c r="AX99">
        <v>0.5</v>
      </c>
      <c r="AY99">
        <f t="shared" si="120"/>
        <v>1513.2774003291465</v>
      </c>
      <c r="AZ99">
        <f t="shared" si="121"/>
        <v>45.150047833657723</v>
      </c>
      <c r="BA99">
        <f t="shared" si="122"/>
        <v>249.24095986800651</v>
      </c>
      <c r="BB99">
        <f t="shared" si="123"/>
        <v>3.0049664352357276E-2</v>
      </c>
      <c r="BC99">
        <f t="shared" si="124"/>
        <v>2.2075074594402366</v>
      </c>
      <c r="BD99">
        <f t="shared" si="125"/>
        <v>259.49157562246597</v>
      </c>
      <c r="BE99" t="s">
        <v>841</v>
      </c>
      <c r="BF99">
        <v>636.35</v>
      </c>
      <c r="BG99">
        <f t="shared" si="126"/>
        <v>636.35</v>
      </c>
      <c r="BH99">
        <f t="shared" si="127"/>
        <v>0.49631138567855426</v>
      </c>
      <c r="BI99">
        <f t="shared" si="128"/>
        <v>0.66370734867282011</v>
      </c>
      <c r="BJ99">
        <f t="shared" si="129"/>
        <v>0.81644059232202404</v>
      </c>
      <c r="BK99">
        <f t="shared" si="130"/>
        <v>0.43297775534920052</v>
      </c>
      <c r="BL99">
        <f t="shared" si="131"/>
        <v>0.74369461232440892</v>
      </c>
      <c r="BM99">
        <f t="shared" si="132"/>
        <v>0.49851563306850394</v>
      </c>
      <c r="BN99">
        <f t="shared" si="133"/>
        <v>0.50148436693149612</v>
      </c>
      <c r="BO99">
        <v>5628</v>
      </c>
      <c r="BP99">
        <v>290.00000000000011</v>
      </c>
      <c r="BQ99">
        <v>1150.69</v>
      </c>
      <c r="BR99">
        <v>125</v>
      </c>
      <c r="BS99">
        <v>10482.5</v>
      </c>
      <c r="BT99">
        <v>1146.4000000000001</v>
      </c>
      <c r="BU99">
        <v>4.29</v>
      </c>
      <c r="BV99">
        <v>300.00000000000011</v>
      </c>
      <c r="BW99">
        <v>38.299999999999997</v>
      </c>
      <c r="BX99">
        <v>1263.379758657582</v>
      </c>
      <c r="BY99">
        <v>1.3057265113080061</v>
      </c>
      <c r="BZ99">
        <v>-122.6195177164241</v>
      </c>
      <c r="CA99">
        <v>1.118634273873844</v>
      </c>
      <c r="CB99">
        <v>0.99767510041171692</v>
      </c>
      <c r="CC99">
        <v>-1.136117686318132E-2</v>
      </c>
      <c r="CD99">
        <v>289.99999999999989</v>
      </c>
      <c r="CE99">
        <v>1133.23</v>
      </c>
      <c r="CF99">
        <v>655</v>
      </c>
      <c r="CG99">
        <v>10439.9</v>
      </c>
      <c r="CH99">
        <v>1145.93</v>
      </c>
      <c r="CI99">
        <v>-12.7</v>
      </c>
      <c r="CW99">
        <f t="shared" si="134"/>
        <v>1800.11</v>
      </c>
      <c r="CX99">
        <f t="shared" si="135"/>
        <v>1513.2774003291465</v>
      </c>
      <c r="CY99">
        <f t="shared" si="136"/>
        <v>0.84065829328715835</v>
      </c>
      <c r="CZ99">
        <f t="shared" si="137"/>
        <v>0.19131658657431672</v>
      </c>
      <c r="DA99">
        <v>6</v>
      </c>
      <c r="DB99">
        <v>0.5</v>
      </c>
      <c r="DC99" t="s">
        <v>419</v>
      </c>
      <c r="DD99">
        <v>2</v>
      </c>
      <c r="DE99">
        <v>1693341114</v>
      </c>
      <c r="DF99">
        <v>1141.81</v>
      </c>
      <c r="DG99">
        <v>1199.8699999999999</v>
      </c>
      <c r="DH99">
        <v>27.497</v>
      </c>
      <c r="DI99">
        <v>24.172999999999998</v>
      </c>
      <c r="DJ99">
        <v>1143.77</v>
      </c>
      <c r="DK99">
        <v>27.1539</v>
      </c>
      <c r="DL99">
        <v>500.21</v>
      </c>
      <c r="DM99">
        <v>98.759900000000002</v>
      </c>
      <c r="DN99">
        <v>9.9972599999999995E-2</v>
      </c>
      <c r="DO99">
        <v>29.773399999999999</v>
      </c>
      <c r="DP99">
        <v>30.1082</v>
      </c>
      <c r="DQ99">
        <v>999.9</v>
      </c>
      <c r="DR99">
        <v>0</v>
      </c>
      <c r="DS99">
        <v>0</v>
      </c>
      <c r="DT99">
        <v>10005</v>
      </c>
      <c r="DU99">
        <v>0</v>
      </c>
      <c r="DV99">
        <v>1471.66</v>
      </c>
      <c r="DW99">
        <v>-58.053800000000003</v>
      </c>
      <c r="DX99">
        <v>1174.0999999999999</v>
      </c>
      <c r="DY99">
        <v>1229.5899999999999</v>
      </c>
      <c r="DZ99">
        <v>3.3239800000000002</v>
      </c>
      <c r="EA99">
        <v>1199.8699999999999</v>
      </c>
      <c r="EB99">
        <v>24.172999999999998</v>
      </c>
      <c r="EC99">
        <v>2.7155999999999998</v>
      </c>
      <c r="ED99">
        <v>2.3873199999999999</v>
      </c>
      <c r="EE99">
        <v>22.379799999999999</v>
      </c>
      <c r="EF99">
        <v>20.277999999999999</v>
      </c>
      <c r="EG99">
        <v>1800.11</v>
      </c>
      <c r="EH99">
        <v>0.97799599999999998</v>
      </c>
      <c r="EI99">
        <v>2.20039E-2</v>
      </c>
      <c r="EJ99">
        <v>0</v>
      </c>
      <c r="EK99">
        <v>846.52200000000005</v>
      </c>
      <c r="EL99">
        <v>4.9995000000000003</v>
      </c>
      <c r="EM99">
        <v>16409.7</v>
      </c>
      <c r="EN99">
        <v>16660.8</v>
      </c>
      <c r="EO99">
        <v>46.811999999999998</v>
      </c>
      <c r="EP99">
        <v>48.25</v>
      </c>
      <c r="EQ99">
        <v>47.686999999999998</v>
      </c>
      <c r="ER99">
        <v>47.125</v>
      </c>
      <c r="ES99">
        <v>48.125</v>
      </c>
      <c r="ET99">
        <v>1755.61</v>
      </c>
      <c r="EU99">
        <v>39.5</v>
      </c>
      <c r="EV99">
        <v>0</v>
      </c>
      <c r="EW99">
        <v>97.399999856948853</v>
      </c>
      <c r="EX99">
        <v>0</v>
      </c>
      <c r="EY99">
        <v>847.21550000000002</v>
      </c>
      <c r="EZ99">
        <v>-6.5504615519634424</v>
      </c>
      <c r="FA99">
        <v>-152.49914541888089</v>
      </c>
      <c r="FB99">
        <v>16425</v>
      </c>
      <c r="FC99">
        <v>15</v>
      </c>
      <c r="FD99">
        <v>1693341087</v>
      </c>
      <c r="FE99" t="s">
        <v>842</v>
      </c>
      <c r="FF99">
        <v>1693341087</v>
      </c>
      <c r="FG99">
        <v>1693341077</v>
      </c>
      <c r="FH99">
        <v>91</v>
      </c>
      <c r="FI99">
        <v>-2.5000000000000001E-2</v>
      </c>
      <c r="FJ99">
        <v>-7.0000000000000001E-3</v>
      </c>
      <c r="FK99">
        <v>-2</v>
      </c>
      <c r="FL99">
        <v>0.16900000000000001</v>
      </c>
      <c r="FM99">
        <v>1201</v>
      </c>
      <c r="FN99">
        <v>23</v>
      </c>
      <c r="FO99">
        <v>0.11</v>
      </c>
      <c r="FP99">
        <v>0.06</v>
      </c>
      <c r="FQ99">
        <v>45.14614740511044</v>
      </c>
      <c r="FR99">
        <v>-0.33331803214851952</v>
      </c>
      <c r="FS99">
        <v>0.10723963903898601</v>
      </c>
      <c r="FT99">
        <v>1</v>
      </c>
      <c r="FU99">
        <v>0.18532060973532971</v>
      </c>
      <c r="FV99">
        <v>-2.9046298721187681E-2</v>
      </c>
      <c r="FW99">
        <v>2.512568613285378E-3</v>
      </c>
      <c r="FX99">
        <v>1</v>
      </c>
      <c r="FY99">
        <v>2</v>
      </c>
      <c r="FZ99">
        <v>2</v>
      </c>
      <c r="GA99" t="s">
        <v>421</v>
      </c>
      <c r="GB99">
        <v>2.9685700000000002</v>
      </c>
      <c r="GC99">
        <v>2.8117100000000002</v>
      </c>
      <c r="GD99">
        <v>0.199547</v>
      </c>
      <c r="GE99">
        <v>0.203514</v>
      </c>
      <c r="GF99">
        <v>0.129916</v>
      </c>
      <c r="GG99">
        <v>0.11809699999999999</v>
      </c>
      <c r="GH99">
        <v>23589</v>
      </c>
      <c r="GI99">
        <v>21606.9</v>
      </c>
      <c r="GJ99">
        <v>26500.5</v>
      </c>
      <c r="GK99">
        <v>25610</v>
      </c>
      <c r="GL99">
        <v>31385.4</v>
      </c>
      <c r="GM99">
        <v>31850.1</v>
      </c>
      <c r="GN99">
        <v>37510</v>
      </c>
      <c r="GO99">
        <v>37918.9</v>
      </c>
      <c r="GP99">
        <v>1.9369000000000001</v>
      </c>
      <c r="GQ99">
        <v>1.9454</v>
      </c>
      <c r="GR99">
        <v>1.6421100000000001E-2</v>
      </c>
      <c r="GS99">
        <v>0</v>
      </c>
      <c r="GT99">
        <v>29.841000000000001</v>
      </c>
      <c r="GU99">
        <v>999.9</v>
      </c>
      <c r="GV99">
        <v>42</v>
      </c>
      <c r="GW99">
        <v>37.4</v>
      </c>
      <c r="GX99">
        <v>27.4038</v>
      </c>
      <c r="GY99">
        <v>61.9206</v>
      </c>
      <c r="GZ99">
        <v>11.806900000000001</v>
      </c>
      <c r="HA99">
        <v>1</v>
      </c>
      <c r="HB99">
        <v>0.51093500000000003</v>
      </c>
      <c r="HC99">
        <v>5.4152399999999998</v>
      </c>
      <c r="HD99">
        <v>20.1694</v>
      </c>
      <c r="HE99">
        <v>5.2107000000000001</v>
      </c>
      <c r="HF99">
        <v>11.9381</v>
      </c>
      <c r="HG99">
        <v>4.9875999999999996</v>
      </c>
      <c r="HH99">
        <v>3.2909999999999999</v>
      </c>
      <c r="HI99">
        <v>9999</v>
      </c>
      <c r="HJ99">
        <v>9999</v>
      </c>
      <c r="HK99">
        <v>9999</v>
      </c>
      <c r="HL99">
        <v>999.9</v>
      </c>
      <c r="HM99">
        <v>1.8708400000000001</v>
      </c>
      <c r="HN99">
        <v>1.8769800000000001</v>
      </c>
      <c r="HO99">
        <v>1.8747199999999999</v>
      </c>
      <c r="HP99">
        <v>1.8730199999999999</v>
      </c>
      <c r="HQ99">
        <v>1.87347</v>
      </c>
      <c r="HR99">
        <v>1.8708800000000001</v>
      </c>
      <c r="HS99">
        <v>1.87683</v>
      </c>
      <c r="HT99">
        <v>1.87592</v>
      </c>
      <c r="HU99">
        <v>5</v>
      </c>
      <c r="HV99">
        <v>0</v>
      </c>
      <c r="HW99">
        <v>0</v>
      </c>
      <c r="HX99">
        <v>0</v>
      </c>
      <c r="HY99" t="s">
        <v>422</v>
      </c>
      <c r="HZ99" t="s">
        <v>423</v>
      </c>
      <c r="IA99" t="s">
        <v>424</v>
      </c>
      <c r="IB99" t="s">
        <v>424</v>
      </c>
      <c r="IC99" t="s">
        <v>424</v>
      </c>
      <c r="ID99" t="s">
        <v>424</v>
      </c>
      <c r="IE99">
        <v>0</v>
      </c>
      <c r="IF99">
        <v>100</v>
      </c>
      <c r="IG99">
        <v>100</v>
      </c>
      <c r="IH99">
        <v>-1.96</v>
      </c>
      <c r="II99">
        <v>0.34310000000000002</v>
      </c>
      <c r="IJ99">
        <v>-0.50287862461810073</v>
      </c>
      <c r="IK99">
        <v>-2.677719669153116E-3</v>
      </c>
      <c r="IL99">
        <v>1.9353498771248068E-6</v>
      </c>
      <c r="IM99">
        <v>-6.1862177325538213E-10</v>
      </c>
      <c r="IN99">
        <v>-0.2311393385663508</v>
      </c>
      <c r="IO99">
        <v>-1.5299015507423901E-2</v>
      </c>
      <c r="IP99">
        <v>1.742162107778985E-3</v>
      </c>
      <c r="IQ99">
        <v>-1.472690239905804E-5</v>
      </c>
      <c r="IR99">
        <v>3</v>
      </c>
      <c r="IS99">
        <v>2255</v>
      </c>
      <c r="IT99">
        <v>2</v>
      </c>
      <c r="IU99">
        <v>41</v>
      </c>
      <c r="IV99">
        <v>0.5</v>
      </c>
      <c r="IW99">
        <v>0.6</v>
      </c>
      <c r="IX99">
        <v>2.34009</v>
      </c>
      <c r="IY99">
        <v>2.50854</v>
      </c>
      <c r="IZ99">
        <v>1.6003400000000001</v>
      </c>
      <c r="JA99">
        <v>2.2668499999999998</v>
      </c>
      <c r="JB99">
        <v>1.5502899999999999</v>
      </c>
      <c r="JC99">
        <v>2.2680699999999998</v>
      </c>
      <c r="JD99">
        <v>41.274099999999997</v>
      </c>
      <c r="JE99">
        <v>23.754799999999999</v>
      </c>
      <c r="JF99">
        <v>18</v>
      </c>
      <c r="JG99">
        <v>501.92500000000001</v>
      </c>
      <c r="JH99">
        <v>475.92200000000003</v>
      </c>
      <c r="JI99">
        <v>23.452200000000001</v>
      </c>
      <c r="JJ99">
        <v>33.608199999999997</v>
      </c>
      <c r="JK99">
        <v>30.000800000000002</v>
      </c>
      <c r="JL99">
        <v>33.605400000000003</v>
      </c>
      <c r="JM99">
        <v>33.575699999999998</v>
      </c>
      <c r="JN99">
        <v>46.844299999999997</v>
      </c>
      <c r="JO99">
        <v>22.235600000000002</v>
      </c>
      <c r="JP99">
        <v>40.679299999999998</v>
      </c>
      <c r="JQ99">
        <v>23.409600000000001</v>
      </c>
      <c r="JR99">
        <v>1200</v>
      </c>
      <c r="JS99">
        <v>24.173300000000001</v>
      </c>
      <c r="JT99">
        <v>98.934299999999993</v>
      </c>
      <c r="JU99">
        <v>98.471900000000005</v>
      </c>
    </row>
    <row r="100" spans="1:281" x14ac:dyDescent="0.25">
      <c r="A100">
        <v>84</v>
      </c>
      <c r="B100">
        <v>1693341258.5</v>
      </c>
      <c r="C100">
        <v>18961.400000095371</v>
      </c>
      <c r="D100" t="s">
        <v>843</v>
      </c>
      <c r="E100" t="s">
        <v>844</v>
      </c>
      <c r="F100" t="s">
        <v>413</v>
      </c>
      <c r="G100" t="s">
        <v>414</v>
      </c>
      <c r="H100" t="s">
        <v>779</v>
      </c>
      <c r="I100" t="s">
        <v>415</v>
      </c>
      <c r="J100">
        <v>1693341258.5</v>
      </c>
      <c r="K100">
        <f t="shared" si="92"/>
        <v>2.3755624146996417E-3</v>
      </c>
      <c r="L100">
        <f t="shared" si="93"/>
        <v>2.3755624146996417</v>
      </c>
      <c r="M100">
        <f t="shared" si="94"/>
        <v>44.397722387851729</v>
      </c>
      <c r="N100">
        <f t="shared" si="95"/>
        <v>1442.67</v>
      </c>
      <c r="O100">
        <f t="shared" si="96"/>
        <v>913.72794684001246</v>
      </c>
      <c r="P100">
        <f t="shared" si="97"/>
        <v>90.325096859323509</v>
      </c>
      <c r="Q100">
        <f t="shared" si="98"/>
        <v>142.61280716727001</v>
      </c>
      <c r="R100">
        <f t="shared" si="99"/>
        <v>0.14617516175666756</v>
      </c>
      <c r="S100">
        <f t="shared" si="100"/>
        <v>2.9058374543476866</v>
      </c>
      <c r="T100">
        <f t="shared" si="101"/>
        <v>0.14220957170295589</v>
      </c>
      <c r="U100">
        <f t="shared" si="102"/>
        <v>8.9228313960263941E-2</v>
      </c>
      <c r="V100">
        <f t="shared" si="103"/>
        <v>344.3681006583372</v>
      </c>
      <c r="W100">
        <f t="shared" si="104"/>
        <v>30.938236603986809</v>
      </c>
      <c r="X100">
        <f t="shared" si="105"/>
        <v>30.014800000000001</v>
      </c>
      <c r="Y100">
        <f t="shared" si="106"/>
        <v>4.2640729221306986</v>
      </c>
      <c r="Z100">
        <f t="shared" si="107"/>
        <v>64.452085052769249</v>
      </c>
      <c r="AA100">
        <f t="shared" si="108"/>
        <v>2.6706822531246002</v>
      </c>
      <c r="AB100">
        <f t="shared" si="109"/>
        <v>4.1436708384810457</v>
      </c>
      <c r="AC100">
        <f t="shared" si="110"/>
        <v>1.5933906690060984</v>
      </c>
      <c r="AD100">
        <f t="shared" si="111"/>
        <v>-104.76230248825419</v>
      </c>
      <c r="AE100">
        <f t="shared" si="112"/>
        <v>-77.985103499951151</v>
      </c>
      <c r="AF100">
        <f t="shared" si="113"/>
        <v>-5.9535049107501452</v>
      </c>
      <c r="AG100">
        <f t="shared" si="114"/>
        <v>155.6671897593817</v>
      </c>
      <c r="AH100">
        <v>1</v>
      </c>
      <c r="AI100">
        <v>0</v>
      </c>
      <c r="AJ100">
        <f t="shared" si="115"/>
        <v>1</v>
      </c>
      <c r="AK100">
        <f t="shared" si="116"/>
        <v>0</v>
      </c>
      <c r="AL100">
        <f t="shared" si="117"/>
        <v>51733.761650836685</v>
      </c>
      <c r="AM100" t="s">
        <v>416</v>
      </c>
      <c r="AN100">
        <v>10238.9</v>
      </c>
      <c r="AO100">
        <v>302.21199999999999</v>
      </c>
      <c r="AP100">
        <v>4052.3</v>
      </c>
      <c r="AQ100">
        <f t="shared" si="118"/>
        <v>0.92542210596451402</v>
      </c>
      <c r="AR100">
        <v>-0.32343011824092421</v>
      </c>
      <c r="AS100" t="s">
        <v>845</v>
      </c>
      <c r="AT100">
        <v>10472.9</v>
      </c>
      <c r="AU100">
        <v>833.41069230769233</v>
      </c>
      <c r="AV100">
        <v>1247.5251212189171</v>
      </c>
      <c r="AW100">
        <f t="shared" si="119"/>
        <v>0.33194876950181706</v>
      </c>
      <c r="AX100">
        <v>0.5</v>
      </c>
      <c r="AY100">
        <f t="shared" si="120"/>
        <v>1513.1766003291684</v>
      </c>
      <c r="AZ100">
        <f t="shared" si="121"/>
        <v>44.397722387851729</v>
      </c>
      <c r="BA100">
        <f t="shared" si="122"/>
        <v>251.14855525910514</v>
      </c>
      <c r="BB100">
        <f t="shared" si="123"/>
        <v>2.955448326148068E-2</v>
      </c>
      <c r="BC100">
        <f t="shared" si="124"/>
        <v>2.2482712620974135</v>
      </c>
      <c r="BD100">
        <f t="shared" si="125"/>
        <v>258.81597903121644</v>
      </c>
      <c r="BE100" t="s">
        <v>846</v>
      </c>
      <c r="BF100">
        <v>628.98</v>
      </c>
      <c r="BG100">
        <f t="shared" si="126"/>
        <v>628.98</v>
      </c>
      <c r="BH100">
        <f t="shared" si="127"/>
        <v>0.49581776807392575</v>
      </c>
      <c r="BI100">
        <f t="shared" si="128"/>
        <v>0.66949752686620956</v>
      </c>
      <c r="BJ100">
        <f t="shared" si="129"/>
        <v>0.81931425597989183</v>
      </c>
      <c r="BK100">
        <f t="shared" si="130"/>
        <v>0.43807117410710678</v>
      </c>
      <c r="BL100">
        <f t="shared" si="131"/>
        <v>0.74792241642891666</v>
      </c>
      <c r="BM100">
        <f t="shared" si="132"/>
        <v>0.50527376038612148</v>
      </c>
      <c r="BN100">
        <f t="shared" si="133"/>
        <v>0.49472623961387852</v>
      </c>
      <c r="BO100">
        <v>5630</v>
      </c>
      <c r="BP100">
        <v>290.00000000000011</v>
      </c>
      <c r="BQ100">
        <v>1134</v>
      </c>
      <c r="BR100">
        <v>165</v>
      </c>
      <c r="BS100">
        <v>10472.9</v>
      </c>
      <c r="BT100">
        <v>1130.55</v>
      </c>
      <c r="BU100">
        <v>3.45</v>
      </c>
      <c r="BV100">
        <v>300.00000000000011</v>
      </c>
      <c r="BW100">
        <v>38.299999999999997</v>
      </c>
      <c r="BX100">
        <v>1247.5251212189171</v>
      </c>
      <c r="BY100">
        <v>1.6326469573258751</v>
      </c>
      <c r="BZ100">
        <v>-122.5086410992926</v>
      </c>
      <c r="CA100">
        <v>1.3986043897003171</v>
      </c>
      <c r="CB100">
        <v>0.99636392898485004</v>
      </c>
      <c r="CC100">
        <v>-1.1359958620689651E-2</v>
      </c>
      <c r="CD100">
        <v>289.99999999999989</v>
      </c>
      <c r="CE100">
        <v>1117.06</v>
      </c>
      <c r="CF100">
        <v>655</v>
      </c>
      <c r="CG100">
        <v>10439.200000000001</v>
      </c>
      <c r="CH100">
        <v>1130.17</v>
      </c>
      <c r="CI100">
        <v>-13.11</v>
      </c>
      <c r="CW100">
        <f t="shared" si="134"/>
        <v>1799.99</v>
      </c>
      <c r="CX100">
        <f t="shared" si="135"/>
        <v>1513.1766003291684</v>
      </c>
      <c r="CY100">
        <f t="shared" si="136"/>
        <v>0.84065833717363347</v>
      </c>
      <c r="CZ100">
        <f t="shared" si="137"/>
        <v>0.19131667434726704</v>
      </c>
      <c r="DA100">
        <v>6</v>
      </c>
      <c r="DB100">
        <v>0.5</v>
      </c>
      <c r="DC100" t="s">
        <v>419</v>
      </c>
      <c r="DD100">
        <v>2</v>
      </c>
      <c r="DE100">
        <v>1693341258.5</v>
      </c>
      <c r="DF100">
        <v>1442.67</v>
      </c>
      <c r="DG100">
        <v>1500.04</v>
      </c>
      <c r="DH100">
        <v>27.0166</v>
      </c>
      <c r="DI100">
        <v>24.2439</v>
      </c>
      <c r="DJ100">
        <v>1444.73</v>
      </c>
      <c r="DK100">
        <v>26.697099999999999</v>
      </c>
      <c r="DL100">
        <v>500.173</v>
      </c>
      <c r="DM100">
        <v>98.753200000000007</v>
      </c>
      <c r="DN100">
        <v>0.10018100000000001</v>
      </c>
      <c r="DO100">
        <v>29.516999999999999</v>
      </c>
      <c r="DP100">
        <v>30.014800000000001</v>
      </c>
      <c r="DQ100">
        <v>999.9</v>
      </c>
      <c r="DR100">
        <v>0</v>
      </c>
      <c r="DS100">
        <v>0</v>
      </c>
      <c r="DT100">
        <v>9990</v>
      </c>
      <c r="DU100">
        <v>0</v>
      </c>
      <c r="DV100">
        <v>1439.74</v>
      </c>
      <c r="DW100">
        <v>-57.373399999999997</v>
      </c>
      <c r="DX100">
        <v>1482.73</v>
      </c>
      <c r="DY100">
        <v>1537.32</v>
      </c>
      <c r="DZ100">
        <v>2.7726600000000001</v>
      </c>
      <c r="EA100">
        <v>1500.04</v>
      </c>
      <c r="EB100">
        <v>24.2439</v>
      </c>
      <c r="EC100">
        <v>2.66797</v>
      </c>
      <c r="ED100">
        <v>2.3941699999999999</v>
      </c>
      <c r="EE100">
        <v>22.089200000000002</v>
      </c>
      <c r="EF100">
        <v>20.324400000000001</v>
      </c>
      <c r="EG100">
        <v>1799.99</v>
      </c>
      <c r="EH100">
        <v>0.97799599999999998</v>
      </c>
      <c r="EI100">
        <v>2.20039E-2</v>
      </c>
      <c r="EJ100">
        <v>0</v>
      </c>
      <c r="EK100">
        <v>832.86199999999997</v>
      </c>
      <c r="EL100">
        <v>4.9995000000000003</v>
      </c>
      <c r="EM100">
        <v>16128.9</v>
      </c>
      <c r="EN100">
        <v>16659.7</v>
      </c>
      <c r="EO100">
        <v>46.875</v>
      </c>
      <c r="EP100">
        <v>48.436999999999998</v>
      </c>
      <c r="EQ100">
        <v>47.75</v>
      </c>
      <c r="ER100">
        <v>47.186999999999998</v>
      </c>
      <c r="ES100">
        <v>48.186999999999998</v>
      </c>
      <c r="ET100">
        <v>1755.49</v>
      </c>
      <c r="EU100">
        <v>39.5</v>
      </c>
      <c r="EV100">
        <v>0</v>
      </c>
      <c r="EW100">
        <v>142.39999985694891</v>
      </c>
      <c r="EX100">
        <v>0</v>
      </c>
      <c r="EY100">
        <v>833.41069230769233</v>
      </c>
      <c r="EZ100">
        <v>-7.3169914578543969</v>
      </c>
      <c r="FA100">
        <v>-159.75384632727159</v>
      </c>
      <c r="FB100">
        <v>16146.030769230771</v>
      </c>
      <c r="FC100">
        <v>15</v>
      </c>
      <c r="FD100">
        <v>1693341178</v>
      </c>
      <c r="FE100" t="s">
        <v>847</v>
      </c>
      <c r="FF100">
        <v>1693341178</v>
      </c>
      <c r="FG100">
        <v>1693341173</v>
      </c>
      <c r="FH100">
        <v>92</v>
      </c>
      <c r="FI100">
        <v>0.13600000000000001</v>
      </c>
      <c r="FJ100">
        <v>-2E-3</v>
      </c>
      <c r="FK100">
        <v>-2.1190000000000002</v>
      </c>
      <c r="FL100">
        <v>0.19500000000000001</v>
      </c>
      <c r="FM100">
        <v>1500</v>
      </c>
      <c r="FN100">
        <v>24</v>
      </c>
      <c r="FO100">
        <v>0.13</v>
      </c>
      <c r="FP100">
        <v>0.08</v>
      </c>
      <c r="FQ100">
        <v>44.134063368577657</v>
      </c>
      <c r="FR100">
        <v>-0.29062842583106729</v>
      </c>
      <c r="FS100">
        <v>0.1593338469954218</v>
      </c>
      <c r="FT100">
        <v>1</v>
      </c>
      <c r="FU100">
        <v>0.15532763808094729</v>
      </c>
      <c r="FV100">
        <v>-4.3274212533300743E-2</v>
      </c>
      <c r="FW100">
        <v>3.2027432504699192E-3</v>
      </c>
      <c r="FX100">
        <v>1</v>
      </c>
      <c r="FY100">
        <v>2</v>
      </c>
      <c r="FZ100">
        <v>2</v>
      </c>
      <c r="GA100" t="s">
        <v>421</v>
      </c>
      <c r="GB100">
        <v>2.9684200000000001</v>
      </c>
      <c r="GC100">
        <v>2.8117899999999998</v>
      </c>
      <c r="GD100">
        <v>0.23078499999999999</v>
      </c>
      <c r="GE100">
        <v>0.23369999999999999</v>
      </c>
      <c r="GF100">
        <v>0.12836400000000001</v>
      </c>
      <c r="GG100">
        <v>0.118327</v>
      </c>
      <c r="GH100">
        <v>22664.400000000001</v>
      </c>
      <c r="GI100">
        <v>20783.2</v>
      </c>
      <c r="GJ100">
        <v>26499.3</v>
      </c>
      <c r="GK100">
        <v>25607.599999999999</v>
      </c>
      <c r="GL100">
        <v>31443.4</v>
      </c>
      <c r="GM100">
        <v>31840</v>
      </c>
      <c r="GN100">
        <v>37509</v>
      </c>
      <c r="GO100">
        <v>37914.1</v>
      </c>
      <c r="GP100">
        <v>1.9366000000000001</v>
      </c>
      <c r="GQ100">
        <v>1.9466000000000001</v>
      </c>
      <c r="GR100">
        <v>6.2584900000000002E-3</v>
      </c>
      <c r="GS100">
        <v>0</v>
      </c>
      <c r="GT100">
        <v>29.913</v>
      </c>
      <c r="GU100">
        <v>999.9</v>
      </c>
      <c r="GV100">
        <v>43.3</v>
      </c>
      <c r="GW100">
        <v>37.299999999999997</v>
      </c>
      <c r="GX100">
        <v>28.099299999999999</v>
      </c>
      <c r="GY100">
        <v>61.9206</v>
      </c>
      <c r="GZ100">
        <v>12.8566</v>
      </c>
      <c r="HA100">
        <v>1</v>
      </c>
      <c r="HB100">
        <v>0.51400400000000002</v>
      </c>
      <c r="HC100">
        <v>5.1153199999999996</v>
      </c>
      <c r="HD100">
        <v>20.18</v>
      </c>
      <c r="HE100">
        <v>5.2065099999999997</v>
      </c>
      <c r="HF100">
        <v>11.9381</v>
      </c>
      <c r="HG100">
        <v>4.9871999999999996</v>
      </c>
      <c r="HH100">
        <v>3.2909999999999999</v>
      </c>
      <c r="HI100">
        <v>9999</v>
      </c>
      <c r="HJ100">
        <v>9999</v>
      </c>
      <c r="HK100">
        <v>9999</v>
      </c>
      <c r="HL100">
        <v>999.9</v>
      </c>
      <c r="HM100">
        <v>1.8708199999999999</v>
      </c>
      <c r="HN100">
        <v>1.8769800000000001</v>
      </c>
      <c r="HO100">
        <v>1.8747400000000001</v>
      </c>
      <c r="HP100">
        <v>1.8730199999999999</v>
      </c>
      <c r="HQ100">
        <v>1.87347</v>
      </c>
      <c r="HR100">
        <v>1.8708800000000001</v>
      </c>
      <c r="HS100">
        <v>1.87683</v>
      </c>
      <c r="HT100">
        <v>1.87592</v>
      </c>
      <c r="HU100">
        <v>5</v>
      </c>
      <c r="HV100">
        <v>0</v>
      </c>
      <c r="HW100">
        <v>0</v>
      </c>
      <c r="HX100">
        <v>0</v>
      </c>
      <c r="HY100" t="s">
        <v>422</v>
      </c>
      <c r="HZ100" t="s">
        <v>423</v>
      </c>
      <c r="IA100" t="s">
        <v>424</v>
      </c>
      <c r="IB100" t="s">
        <v>424</v>
      </c>
      <c r="IC100" t="s">
        <v>424</v>
      </c>
      <c r="ID100" t="s">
        <v>424</v>
      </c>
      <c r="IE100">
        <v>0</v>
      </c>
      <c r="IF100">
        <v>100</v>
      </c>
      <c r="IG100">
        <v>100</v>
      </c>
      <c r="IH100">
        <v>-2.06</v>
      </c>
      <c r="II100">
        <v>0.31950000000000001</v>
      </c>
      <c r="IJ100">
        <v>-0.36611902638353427</v>
      </c>
      <c r="IK100">
        <v>-2.677719669153116E-3</v>
      </c>
      <c r="IL100">
        <v>1.9353498771248068E-6</v>
      </c>
      <c r="IM100">
        <v>-6.1862177325538213E-10</v>
      </c>
      <c r="IN100">
        <v>-0.2335202461426516</v>
      </c>
      <c r="IO100">
        <v>-1.5299015507423901E-2</v>
      </c>
      <c r="IP100">
        <v>1.742162107778985E-3</v>
      </c>
      <c r="IQ100">
        <v>-1.472690239905804E-5</v>
      </c>
      <c r="IR100">
        <v>3</v>
      </c>
      <c r="IS100">
        <v>2255</v>
      </c>
      <c r="IT100">
        <v>2</v>
      </c>
      <c r="IU100">
        <v>41</v>
      </c>
      <c r="IV100">
        <v>1.3</v>
      </c>
      <c r="IW100">
        <v>1.4</v>
      </c>
      <c r="IX100">
        <v>2.81128</v>
      </c>
      <c r="IY100">
        <v>2.49878</v>
      </c>
      <c r="IZ100">
        <v>1.5991200000000001</v>
      </c>
      <c r="JA100">
        <v>2.2680699999999998</v>
      </c>
      <c r="JB100">
        <v>1.5502899999999999</v>
      </c>
      <c r="JC100">
        <v>2.4279799999999998</v>
      </c>
      <c r="JD100">
        <v>41.3521</v>
      </c>
      <c r="JE100">
        <v>23.772300000000001</v>
      </c>
      <c r="JF100">
        <v>18</v>
      </c>
      <c r="JG100">
        <v>501.846</v>
      </c>
      <c r="JH100">
        <v>476.81099999999998</v>
      </c>
      <c r="JI100">
        <v>23.070699999999999</v>
      </c>
      <c r="JJ100">
        <v>33.661999999999999</v>
      </c>
      <c r="JK100">
        <v>30.000800000000002</v>
      </c>
      <c r="JL100">
        <v>33.620399999999997</v>
      </c>
      <c r="JM100">
        <v>33.590699999999998</v>
      </c>
      <c r="JN100">
        <v>56.279299999999999</v>
      </c>
      <c r="JO100">
        <v>24.7455</v>
      </c>
      <c r="JP100">
        <v>44.089100000000002</v>
      </c>
      <c r="JQ100">
        <v>23.062000000000001</v>
      </c>
      <c r="JR100">
        <v>1500</v>
      </c>
      <c r="JS100">
        <v>24.33</v>
      </c>
      <c r="JT100">
        <v>98.930899999999994</v>
      </c>
      <c r="JU100">
        <v>98.460599999999999</v>
      </c>
    </row>
    <row r="101" spans="1:281" x14ac:dyDescent="0.25">
      <c r="A101">
        <v>85</v>
      </c>
      <c r="B101">
        <v>1693343540.0999999</v>
      </c>
      <c r="C101">
        <v>21243</v>
      </c>
      <c r="D101" t="s">
        <v>848</v>
      </c>
      <c r="E101" t="s">
        <v>849</v>
      </c>
      <c r="F101" t="s">
        <v>413</v>
      </c>
      <c r="G101" t="s">
        <v>636</v>
      </c>
      <c r="H101" t="s">
        <v>31</v>
      </c>
      <c r="I101" t="s">
        <v>31</v>
      </c>
      <c r="J101">
        <v>1693343540.0999999</v>
      </c>
      <c r="K101">
        <f t="shared" si="92"/>
        <v>4.3180813865087864E-3</v>
      </c>
      <c r="L101">
        <f t="shared" si="93"/>
        <v>4.3180813865087861</v>
      </c>
      <c r="M101">
        <f t="shared" si="94"/>
        <v>39.502941476879471</v>
      </c>
      <c r="N101">
        <f t="shared" si="95"/>
        <v>350.72300000000001</v>
      </c>
      <c r="O101">
        <f t="shared" si="96"/>
        <v>125.94939091397858</v>
      </c>
      <c r="P101">
        <f t="shared" si="97"/>
        <v>12.446643092016147</v>
      </c>
      <c r="Q101">
        <f t="shared" si="98"/>
        <v>34.659349866508101</v>
      </c>
      <c r="R101">
        <f t="shared" si="99"/>
        <v>0.3027532857505566</v>
      </c>
      <c r="S101">
        <f t="shared" si="100"/>
        <v>2.9079223049233329</v>
      </c>
      <c r="T101">
        <f t="shared" si="101"/>
        <v>0.28626854158168163</v>
      </c>
      <c r="U101">
        <f t="shared" si="102"/>
        <v>0.1803240902302809</v>
      </c>
      <c r="V101">
        <f t="shared" si="103"/>
        <v>344.36880065800011</v>
      </c>
      <c r="W101">
        <f t="shared" si="104"/>
        <v>31.221296571247734</v>
      </c>
      <c r="X101">
        <f t="shared" si="105"/>
        <v>30.013200000000001</v>
      </c>
      <c r="Y101">
        <f t="shared" si="106"/>
        <v>4.2636811008583395</v>
      </c>
      <c r="Z101">
        <f t="shared" si="107"/>
        <v>65.176156618417991</v>
      </c>
      <c r="AA101">
        <f t="shared" si="108"/>
        <v>2.8265133993119296</v>
      </c>
      <c r="AB101">
        <f t="shared" si="109"/>
        <v>4.3367291751492925</v>
      </c>
      <c r="AC101">
        <f t="shared" si="110"/>
        <v>1.4371677015464099</v>
      </c>
      <c r="AD101">
        <f t="shared" si="111"/>
        <v>-190.42738914503749</v>
      </c>
      <c r="AE101">
        <f t="shared" si="112"/>
        <v>46.42016175242609</v>
      </c>
      <c r="AF101">
        <f t="shared" si="113"/>
        <v>3.5551360842760165</v>
      </c>
      <c r="AG101">
        <f t="shared" si="114"/>
        <v>203.9167093496647</v>
      </c>
      <c r="AH101">
        <v>0</v>
      </c>
      <c r="AI101">
        <v>0</v>
      </c>
      <c r="AJ101">
        <f t="shared" si="115"/>
        <v>1</v>
      </c>
      <c r="AK101">
        <f t="shared" si="116"/>
        <v>0</v>
      </c>
      <c r="AL101">
        <f t="shared" si="117"/>
        <v>51657.080095445766</v>
      </c>
      <c r="AM101" t="s">
        <v>416</v>
      </c>
      <c r="AN101">
        <v>10238.9</v>
      </c>
      <c r="AO101">
        <v>302.21199999999999</v>
      </c>
      <c r="AP101">
        <v>4052.3</v>
      </c>
      <c r="AQ101">
        <f t="shared" si="118"/>
        <v>0.92542210596451402</v>
      </c>
      <c r="AR101">
        <v>-0.32343011824092421</v>
      </c>
      <c r="AS101" t="s">
        <v>850</v>
      </c>
      <c r="AT101">
        <v>10437</v>
      </c>
      <c r="AU101">
        <v>746.79236000000003</v>
      </c>
      <c r="AV101">
        <v>1068.7305063223141</v>
      </c>
      <c r="AW101">
        <f t="shared" si="119"/>
        <v>0.30123416934186598</v>
      </c>
      <c r="AX101">
        <v>0.5</v>
      </c>
      <c r="AY101">
        <f t="shared" si="120"/>
        <v>1513.184400329</v>
      </c>
      <c r="AZ101">
        <f t="shared" si="121"/>
        <v>39.502941476879471</v>
      </c>
      <c r="BA101">
        <f t="shared" si="122"/>
        <v>227.91142294708794</v>
      </c>
      <c r="BB101">
        <f t="shared" si="123"/>
        <v>2.6319575847108423E-2</v>
      </c>
      <c r="BC101">
        <f t="shared" si="124"/>
        <v>2.7916948903654517</v>
      </c>
      <c r="BD101">
        <f t="shared" si="125"/>
        <v>250.13434757732722</v>
      </c>
      <c r="BE101" t="s">
        <v>851</v>
      </c>
      <c r="BF101">
        <v>580.05999999999995</v>
      </c>
      <c r="BG101">
        <f t="shared" si="126"/>
        <v>580.05999999999995</v>
      </c>
      <c r="BH101">
        <f t="shared" si="127"/>
        <v>0.45724390146203797</v>
      </c>
      <c r="BI101">
        <f t="shared" si="128"/>
        <v>0.65880412702863667</v>
      </c>
      <c r="BJ101">
        <f t="shared" si="129"/>
        <v>0.85926361474946611</v>
      </c>
      <c r="BK101">
        <f t="shared" si="130"/>
        <v>0.4200004874858716</v>
      </c>
      <c r="BL101">
        <f t="shared" si="131"/>
        <v>0.79559986157063145</v>
      </c>
      <c r="BM101">
        <f t="shared" si="132"/>
        <v>0.51171643202701078</v>
      </c>
      <c r="BN101">
        <f t="shared" si="133"/>
        <v>0.48828356797298922</v>
      </c>
      <c r="BO101">
        <v>5632</v>
      </c>
      <c r="BP101">
        <v>290.00000000000011</v>
      </c>
      <c r="BQ101">
        <v>987.33</v>
      </c>
      <c r="BR101">
        <v>235</v>
      </c>
      <c r="BS101">
        <v>10437</v>
      </c>
      <c r="BT101">
        <v>987.26</v>
      </c>
      <c r="BU101">
        <v>7.0000000000000007E-2</v>
      </c>
      <c r="BV101">
        <v>300.00000000000011</v>
      </c>
      <c r="BW101">
        <v>38.299999999999997</v>
      </c>
      <c r="BX101">
        <v>1068.7305063223141</v>
      </c>
      <c r="BY101">
        <v>1.104872613377349</v>
      </c>
      <c r="BZ101">
        <v>-85.035672924292115</v>
      </c>
      <c r="CA101">
        <v>0.94424155461520565</v>
      </c>
      <c r="CB101">
        <v>0.99655947145744095</v>
      </c>
      <c r="CC101">
        <v>-1.1336046051167959E-2</v>
      </c>
      <c r="CD101">
        <v>289.99999999999989</v>
      </c>
      <c r="CE101">
        <v>982.58</v>
      </c>
      <c r="CF101">
        <v>645</v>
      </c>
      <c r="CG101">
        <v>10414.9</v>
      </c>
      <c r="CH101">
        <v>987.08</v>
      </c>
      <c r="CI101">
        <v>-4.5</v>
      </c>
      <c r="CW101">
        <f t="shared" si="134"/>
        <v>1800</v>
      </c>
      <c r="CX101">
        <f t="shared" si="135"/>
        <v>1513.184400329</v>
      </c>
      <c r="CY101">
        <f t="shared" si="136"/>
        <v>0.84065800018277781</v>
      </c>
      <c r="CZ101">
        <f t="shared" si="137"/>
        <v>0.19131600036555563</v>
      </c>
      <c r="DA101">
        <v>6</v>
      </c>
      <c r="DB101">
        <v>0.5</v>
      </c>
      <c r="DC101" t="s">
        <v>419</v>
      </c>
      <c r="DD101">
        <v>2</v>
      </c>
      <c r="DE101">
        <v>1693343540.0999999</v>
      </c>
      <c r="DF101">
        <v>350.72300000000001</v>
      </c>
      <c r="DG101">
        <v>399.94200000000001</v>
      </c>
      <c r="DH101">
        <v>28.601900000000001</v>
      </c>
      <c r="DI101">
        <v>23.5686</v>
      </c>
      <c r="DJ101">
        <v>352.471</v>
      </c>
      <c r="DK101">
        <v>28.1799</v>
      </c>
      <c r="DL101">
        <v>500.01900000000001</v>
      </c>
      <c r="DM101">
        <v>98.722899999999996</v>
      </c>
      <c r="DN101">
        <v>9.9674700000000005E-2</v>
      </c>
      <c r="DO101">
        <v>30.3093</v>
      </c>
      <c r="DP101">
        <v>30.013200000000001</v>
      </c>
      <c r="DQ101">
        <v>999.9</v>
      </c>
      <c r="DR101">
        <v>0</v>
      </c>
      <c r="DS101">
        <v>0</v>
      </c>
      <c r="DT101">
        <v>10005</v>
      </c>
      <c r="DU101">
        <v>0</v>
      </c>
      <c r="DV101">
        <v>118.568</v>
      </c>
      <c r="DW101">
        <v>-49.218899999999998</v>
      </c>
      <c r="DX101">
        <v>361.05</v>
      </c>
      <c r="DY101">
        <v>409.596</v>
      </c>
      <c r="DZ101">
        <v>5.0332400000000002</v>
      </c>
      <c r="EA101">
        <v>399.94200000000001</v>
      </c>
      <c r="EB101">
        <v>23.5686</v>
      </c>
      <c r="EC101">
        <v>2.8236599999999998</v>
      </c>
      <c r="ED101">
        <v>2.3267600000000002</v>
      </c>
      <c r="EE101">
        <v>23.023</v>
      </c>
      <c r="EF101">
        <v>19.8629</v>
      </c>
      <c r="EG101">
        <v>1800</v>
      </c>
      <c r="EH101">
        <v>0.97800399999999998</v>
      </c>
      <c r="EI101">
        <v>2.1996100000000001E-2</v>
      </c>
      <c r="EJ101">
        <v>0</v>
      </c>
      <c r="EK101">
        <v>746.85799999999995</v>
      </c>
      <c r="EL101">
        <v>4.9995000000000003</v>
      </c>
      <c r="EM101">
        <v>14229.8</v>
      </c>
      <c r="EN101">
        <v>16659.900000000001</v>
      </c>
      <c r="EO101">
        <v>50.061999999999998</v>
      </c>
      <c r="EP101">
        <v>50.686999999999998</v>
      </c>
      <c r="EQ101">
        <v>50.875</v>
      </c>
      <c r="ER101">
        <v>49.875</v>
      </c>
      <c r="ES101">
        <v>51.061999999999998</v>
      </c>
      <c r="ET101">
        <v>1755.52</v>
      </c>
      <c r="EU101">
        <v>39.479999999999997</v>
      </c>
      <c r="EV101">
        <v>0</v>
      </c>
      <c r="EW101">
        <v>2279.6000001430511</v>
      </c>
      <c r="EX101">
        <v>0</v>
      </c>
      <c r="EY101">
        <v>746.79236000000003</v>
      </c>
      <c r="EZ101">
        <v>0.48553845079559971</v>
      </c>
      <c r="FA101">
        <v>11.33846153561994</v>
      </c>
      <c r="FB101">
        <v>14227.88</v>
      </c>
      <c r="FC101">
        <v>15</v>
      </c>
      <c r="FD101">
        <v>1693343510.5999999</v>
      </c>
      <c r="FE101" t="s">
        <v>852</v>
      </c>
      <c r="FF101">
        <v>1693343500.5999999</v>
      </c>
      <c r="FG101">
        <v>1693343510.5999999</v>
      </c>
      <c r="FH101">
        <v>95</v>
      </c>
      <c r="FI101">
        <v>0.02</v>
      </c>
      <c r="FJ101">
        <v>2.1000000000000001E-2</v>
      </c>
      <c r="FK101">
        <v>-1.821</v>
      </c>
      <c r="FL101">
        <v>0.20300000000000001</v>
      </c>
      <c r="FM101">
        <v>400</v>
      </c>
      <c r="FN101">
        <v>24</v>
      </c>
      <c r="FO101">
        <v>0.16</v>
      </c>
      <c r="FP101">
        <v>0.03</v>
      </c>
      <c r="FQ101">
        <v>39.556140386696867</v>
      </c>
      <c r="FR101">
        <v>-0.17942430362839309</v>
      </c>
      <c r="FS101">
        <v>7.4178910065809955E-2</v>
      </c>
      <c r="FT101">
        <v>1</v>
      </c>
      <c r="FU101">
        <v>0.30506557985978378</v>
      </c>
      <c r="FV101">
        <v>3.8231778595225779E-2</v>
      </c>
      <c r="FW101">
        <v>4.8532022495464851E-3</v>
      </c>
      <c r="FX101">
        <v>1</v>
      </c>
      <c r="FY101">
        <v>2</v>
      </c>
      <c r="FZ101">
        <v>2</v>
      </c>
      <c r="GA101" t="s">
        <v>421</v>
      </c>
      <c r="GB101">
        <v>2.9687899999999998</v>
      </c>
      <c r="GC101">
        <v>2.81141</v>
      </c>
      <c r="GD101">
        <v>8.6945300000000003E-2</v>
      </c>
      <c r="GE101">
        <v>9.4952400000000006E-2</v>
      </c>
      <c r="GF101">
        <v>0.13350400000000001</v>
      </c>
      <c r="GG101">
        <v>0.116174</v>
      </c>
      <c r="GH101">
        <v>26940.400000000001</v>
      </c>
      <c r="GI101">
        <v>24585.599999999999</v>
      </c>
      <c r="GJ101">
        <v>26524.5</v>
      </c>
      <c r="GK101">
        <v>25635.3</v>
      </c>
      <c r="GL101">
        <v>31269.3</v>
      </c>
      <c r="GM101">
        <v>31937</v>
      </c>
      <c r="GN101">
        <v>37544.199999999997</v>
      </c>
      <c r="GO101">
        <v>37950.199999999997</v>
      </c>
      <c r="GP101">
        <v>1.9505999999999999</v>
      </c>
      <c r="GQ101">
        <v>1.9613</v>
      </c>
      <c r="GR101">
        <v>4.3332599999999999E-2</v>
      </c>
      <c r="GS101">
        <v>0</v>
      </c>
      <c r="GT101">
        <v>29.307700000000001</v>
      </c>
      <c r="GU101">
        <v>999.9</v>
      </c>
      <c r="GV101">
        <v>48.7</v>
      </c>
      <c r="GW101">
        <v>35.9</v>
      </c>
      <c r="GX101">
        <v>29.284300000000002</v>
      </c>
      <c r="GY101">
        <v>61.718200000000003</v>
      </c>
      <c r="GZ101">
        <v>12.2356</v>
      </c>
      <c r="HA101">
        <v>1</v>
      </c>
      <c r="HB101">
        <v>0.43576199999999998</v>
      </c>
      <c r="HC101">
        <v>2.83691</v>
      </c>
      <c r="HD101">
        <v>20.283300000000001</v>
      </c>
      <c r="HE101">
        <v>5.2088999999999999</v>
      </c>
      <c r="HF101">
        <v>11.9381</v>
      </c>
      <c r="HG101">
        <v>4.9871999999999996</v>
      </c>
      <c r="HH101">
        <v>3.2909999999999999</v>
      </c>
      <c r="HI101">
        <v>9999</v>
      </c>
      <c r="HJ101">
        <v>9999</v>
      </c>
      <c r="HK101">
        <v>9999</v>
      </c>
      <c r="HL101">
        <v>999.9</v>
      </c>
      <c r="HM101">
        <v>1.87009</v>
      </c>
      <c r="HN101">
        <v>1.87625</v>
      </c>
      <c r="HO101">
        <v>1.87405</v>
      </c>
      <c r="HP101">
        <v>1.87225</v>
      </c>
      <c r="HQ101">
        <v>1.8727100000000001</v>
      </c>
      <c r="HR101">
        <v>1.87012</v>
      </c>
      <c r="HS101">
        <v>1.8760699999999999</v>
      </c>
      <c r="HT101">
        <v>1.8751500000000001</v>
      </c>
      <c r="HU101">
        <v>5</v>
      </c>
      <c r="HV101">
        <v>0</v>
      </c>
      <c r="HW101">
        <v>0</v>
      </c>
      <c r="HX101">
        <v>0</v>
      </c>
      <c r="HY101" t="s">
        <v>422</v>
      </c>
      <c r="HZ101" t="s">
        <v>423</v>
      </c>
      <c r="IA101" t="s">
        <v>424</v>
      </c>
      <c r="IB101" t="s">
        <v>424</v>
      </c>
      <c r="IC101" t="s">
        <v>424</v>
      </c>
      <c r="ID101" t="s">
        <v>424</v>
      </c>
      <c r="IE101">
        <v>0</v>
      </c>
      <c r="IF101">
        <v>100</v>
      </c>
      <c r="IG101">
        <v>100</v>
      </c>
      <c r="IH101">
        <v>-1.748</v>
      </c>
      <c r="II101">
        <v>0.42199999999999999</v>
      </c>
      <c r="IJ101">
        <v>-1.017384133312295</v>
      </c>
      <c r="IK101">
        <v>-2.677719669153116E-3</v>
      </c>
      <c r="IL101">
        <v>1.9353498771248068E-6</v>
      </c>
      <c r="IM101">
        <v>-6.1862177325538213E-10</v>
      </c>
      <c r="IN101">
        <v>-0.20082849115090409</v>
      </c>
      <c r="IO101">
        <v>-1.5299015507423901E-2</v>
      </c>
      <c r="IP101">
        <v>1.742162107778985E-3</v>
      </c>
      <c r="IQ101">
        <v>-1.472690239905804E-5</v>
      </c>
      <c r="IR101">
        <v>3</v>
      </c>
      <c r="IS101">
        <v>2255</v>
      </c>
      <c r="IT101">
        <v>2</v>
      </c>
      <c r="IU101">
        <v>41</v>
      </c>
      <c r="IV101">
        <v>0.7</v>
      </c>
      <c r="IW101">
        <v>0.5</v>
      </c>
      <c r="IX101">
        <v>0.95581099999999997</v>
      </c>
      <c r="IY101">
        <v>2.5134300000000001</v>
      </c>
      <c r="IZ101">
        <v>1.5991200000000001</v>
      </c>
      <c r="JA101">
        <v>2.2680699999999998</v>
      </c>
      <c r="JB101">
        <v>1.5502899999999999</v>
      </c>
      <c r="JC101">
        <v>2.2473100000000001</v>
      </c>
      <c r="JD101">
        <v>38.697899999999997</v>
      </c>
      <c r="JE101">
        <v>15.7957</v>
      </c>
      <c r="JF101">
        <v>18</v>
      </c>
      <c r="JG101">
        <v>505.221</v>
      </c>
      <c r="JH101">
        <v>480.68599999999998</v>
      </c>
      <c r="JI101">
        <v>25.742899999999999</v>
      </c>
      <c r="JJ101">
        <v>32.853999999999999</v>
      </c>
      <c r="JK101">
        <v>30.0002</v>
      </c>
      <c r="JL101">
        <v>32.891199999999998</v>
      </c>
      <c r="JM101">
        <v>32.862200000000001</v>
      </c>
      <c r="JN101">
        <v>19.177600000000002</v>
      </c>
      <c r="JO101">
        <v>29.770800000000001</v>
      </c>
      <c r="JP101">
        <v>48.630499999999998</v>
      </c>
      <c r="JQ101">
        <v>25.739799999999999</v>
      </c>
      <c r="JR101">
        <v>400</v>
      </c>
      <c r="JS101">
        <v>23.647200000000002</v>
      </c>
      <c r="JT101">
        <v>99.024199999999993</v>
      </c>
      <c r="JU101">
        <v>98.5595</v>
      </c>
    </row>
    <row r="102" spans="1:281" x14ac:dyDescent="0.25">
      <c r="A102">
        <v>86</v>
      </c>
      <c r="B102">
        <v>1693343640.0999999</v>
      </c>
      <c r="C102">
        <v>21343</v>
      </c>
      <c r="D102" t="s">
        <v>853</v>
      </c>
      <c r="E102" t="s">
        <v>854</v>
      </c>
      <c r="F102" t="s">
        <v>413</v>
      </c>
      <c r="G102" t="s">
        <v>636</v>
      </c>
      <c r="H102" t="s">
        <v>31</v>
      </c>
      <c r="I102" t="s">
        <v>31</v>
      </c>
      <c r="J102">
        <v>1693343640.0999999</v>
      </c>
      <c r="K102">
        <f t="shared" si="92"/>
        <v>4.2665836642041622E-3</v>
      </c>
      <c r="L102">
        <f t="shared" si="93"/>
        <v>4.2665836642041626</v>
      </c>
      <c r="M102">
        <f t="shared" si="94"/>
        <v>31.673852297828944</v>
      </c>
      <c r="N102">
        <f t="shared" si="95"/>
        <v>260.68900000000002</v>
      </c>
      <c r="O102">
        <f t="shared" si="96"/>
        <v>80.974300208292576</v>
      </c>
      <c r="P102">
        <f t="shared" si="97"/>
        <v>8.0017561320069532</v>
      </c>
      <c r="Q102">
        <f t="shared" si="98"/>
        <v>25.760887083074003</v>
      </c>
      <c r="R102">
        <f t="shared" si="99"/>
        <v>0.30273971872651839</v>
      </c>
      <c r="S102">
        <f t="shared" si="100"/>
        <v>2.9025950444723776</v>
      </c>
      <c r="T102">
        <f t="shared" si="101"/>
        <v>0.28622792788795459</v>
      </c>
      <c r="U102">
        <f t="shared" si="102"/>
        <v>0.18030088725656651</v>
      </c>
      <c r="V102">
        <f t="shared" si="103"/>
        <v>344.3821006579746</v>
      </c>
      <c r="W102">
        <f t="shared" si="104"/>
        <v>31.169351118326606</v>
      </c>
      <c r="X102">
        <f t="shared" si="105"/>
        <v>29.982600000000001</v>
      </c>
      <c r="Y102">
        <f t="shared" si="106"/>
        <v>4.2561935550582763</v>
      </c>
      <c r="Z102">
        <f t="shared" si="107"/>
        <v>65.647860921507743</v>
      </c>
      <c r="AA102">
        <f t="shared" si="108"/>
        <v>2.836040564967</v>
      </c>
      <c r="AB102">
        <f t="shared" si="109"/>
        <v>4.3200806928925362</v>
      </c>
      <c r="AC102">
        <f t="shared" si="110"/>
        <v>1.4201529900912764</v>
      </c>
      <c r="AD102">
        <f t="shared" si="111"/>
        <v>-188.15633959140357</v>
      </c>
      <c r="AE102">
        <f t="shared" si="112"/>
        <v>40.623429168159454</v>
      </c>
      <c r="AF102">
        <f t="shared" si="113"/>
        <v>3.1153907686020865</v>
      </c>
      <c r="AG102">
        <f t="shared" si="114"/>
        <v>199.96458100333257</v>
      </c>
      <c r="AH102">
        <v>0</v>
      </c>
      <c r="AI102">
        <v>0</v>
      </c>
      <c r="AJ102">
        <f t="shared" si="115"/>
        <v>1</v>
      </c>
      <c r="AK102">
        <f t="shared" si="116"/>
        <v>0</v>
      </c>
      <c r="AL102">
        <f t="shared" si="117"/>
        <v>51517.415600690132</v>
      </c>
      <c r="AM102" t="s">
        <v>416</v>
      </c>
      <c r="AN102">
        <v>10238.9</v>
      </c>
      <c r="AO102">
        <v>302.21199999999999</v>
      </c>
      <c r="AP102">
        <v>4052.3</v>
      </c>
      <c r="AQ102">
        <f t="shared" si="118"/>
        <v>0.92542210596451402</v>
      </c>
      <c r="AR102">
        <v>-0.32343011824092421</v>
      </c>
      <c r="AS102" t="s">
        <v>855</v>
      </c>
      <c r="AT102">
        <v>10435.5</v>
      </c>
      <c r="AU102">
        <v>731.50624000000016</v>
      </c>
      <c r="AV102">
        <v>989.31967253858795</v>
      </c>
      <c r="AW102">
        <f t="shared" si="119"/>
        <v>0.26059669052879553</v>
      </c>
      <c r="AX102">
        <v>0.5</v>
      </c>
      <c r="AY102">
        <f t="shared" si="120"/>
        <v>1513.2432003289873</v>
      </c>
      <c r="AZ102">
        <f t="shared" si="121"/>
        <v>31.673852297828944</v>
      </c>
      <c r="BA102">
        <f t="shared" si="122"/>
        <v>197.17308498546862</v>
      </c>
      <c r="BB102">
        <f t="shared" si="123"/>
        <v>2.1144838059813178E-2</v>
      </c>
      <c r="BC102">
        <f t="shared" si="124"/>
        <v>3.096047124587975</v>
      </c>
      <c r="BD102">
        <f t="shared" si="125"/>
        <v>245.52182672087716</v>
      </c>
      <c r="BE102" t="s">
        <v>856</v>
      </c>
      <c r="BF102">
        <v>565.80999999999995</v>
      </c>
      <c r="BG102">
        <f t="shared" si="126"/>
        <v>565.80999999999995</v>
      </c>
      <c r="BH102">
        <f t="shared" si="127"/>
        <v>0.42808172554768353</v>
      </c>
      <c r="BI102">
        <f t="shared" si="128"/>
        <v>0.60875453208237451</v>
      </c>
      <c r="BJ102">
        <f t="shared" si="129"/>
        <v>0.87852835587120914</v>
      </c>
      <c r="BK102">
        <f t="shared" si="130"/>
        <v>0.37521547618013096</v>
      </c>
      <c r="BL102">
        <f t="shared" si="131"/>
        <v>0.81677558698926855</v>
      </c>
      <c r="BM102">
        <f t="shared" si="132"/>
        <v>0.47086324485424513</v>
      </c>
      <c r="BN102">
        <f t="shared" si="133"/>
        <v>0.52913675514575487</v>
      </c>
      <c r="BO102">
        <v>5634</v>
      </c>
      <c r="BP102">
        <v>290.00000000000011</v>
      </c>
      <c r="BQ102">
        <v>927.03</v>
      </c>
      <c r="BR102">
        <v>235</v>
      </c>
      <c r="BS102">
        <v>10435.5</v>
      </c>
      <c r="BT102">
        <v>925.69</v>
      </c>
      <c r="BU102">
        <v>1.34</v>
      </c>
      <c r="BV102">
        <v>300.00000000000011</v>
      </c>
      <c r="BW102">
        <v>38.299999999999997</v>
      </c>
      <c r="BX102">
        <v>989.31967253858795</v>
      </c>
      <c r="BY102">
        <v>1.3299671979743719</v>
      </c>
      <c r="BZ102">
        <v>-66.405912658234769</v>
      </c>
      <c r="CA102">
        <v>1.1364446068052201</v>
      </c>
      <c r="CB102">
        <v>0.99186618742201793</v>
      </c>
      <c r="CC102">
        <v>-1.133429588431592E-2</v>
      </c>
      <c r="CD102">
        <v>289.99999999999989</v>
      </c>
      <c r="CE102">
        <v>923.27</v>
      </c>
      <c r="CF102">
        <v>635</v>
      </c>
      <c r="CG102">
        <v>10414.6</v>
      </c>
      <c r="CH102">
        <v>925.56</v>
      </c>
      <c r="CI102">
        <v>-2.29</v>
      </c>
      <c r="CW102">
        <f t="shared" si="134"/>
        <v>1800.07</v>
      </c>
      <c r="CX102">
        <f t="shared" si="135"/>
        <v>1513.2432003289873</v>
      </c>
      <c r="CY102">
        <f t="shared" si="136"/>
        <v>0.84065797459486979</v>
      </c>
      <c r="CZ102">
        <f t="shared" si="137"/>
        <v>0.19131594918973963</v>
      </c>
      <c r="DA102">
        <v>6</v>
      </c>
      <c r="DB102">
        <v>0.5</v>
      </c>
      <c r="DC102" t="s">
        <v>419</v>
      </c>
      <c r="DD102">
        <v>2</v>
      </c>
      <c r="DE102">
        <v>1693343640.0999999</v>
      </c>
      <c r="DF102">
        <v>260.68900000000002</v>
      </c>
      <c r="DG102">
        <v>300.03500000000003</v>
      </c>
      <c r="DH102">
        <v>28.6995</v>
      </c>
      <c r="DI102">
        <v>23.726199999999999</v>
      </c>
      <c r="DJ102">
        <v>262.14299999999997</v>
      </c>
      <c r="DK102">
        <v>28.271599999999999</v>
      </c>
      <c r="DL102">
        <v>499.96600000000001</v>
      </c>
      <c r="DM102">
        <v>98.718199999999996</v>
      </c>
      <c r="DN102">
        <v>0.10026599999999999</v>
      </c>
      <c r="DO102">
        <v>30.2422</v>
      </c>
      <c r="DP102">
        <v>29.982600000000001</v>
      </c>
      <c r="DQ102">
        <v>999.9</v>
      </c>
      <c r="DR102">
        <v>0</v>
      </c>
      <c r="DS102">
        <v>0</v>
      </c>
      <c r="DT102">
        <v>9975</v>
      </c>
      <c r="DU102">
        <v>0</v>
      </c>
      <c r="DV102">
        <v>104.786</v>
      </c>
      <c r="DW102">
        <v>-39.345999999999997</v>
      </c>
      <c r="DX102">
        <v>268.392</v>
      </c>
      <c r="DY102">
        <v>307.327</v>
      </c>
      <c r="DZ102">
        <v>4.9733099999999997</v>
      </c>
      <c r="EA102">
        <v>300.03500000000003</v>
      </c>
      <c r="EB102">
        <v>23.726199999999999</v>
      </c>
      <c r="EC102">
        <v>2.83317</v>
      </c>
      <c r="ED102">
        <v>2.3422100000000001</v>
      </c>
      <c r="EE102">
        <v>23.078600000000002</v>
      </c>
      <c r="EF102">
        <v>19.9697</v>
      </c>
      <c r="EG102">
        <v>1800.07</v>
      </c>
      <c r="EH102">
        <v>0.97800699999999996</v>
      </c>
      <c r="EI102">
        <v>2.1992500000000002E-2</v>
      </c>
      <c r="EJ102">
        <v>0</v>
      </c>
      <c r="EK102">
        <v>731.63400000000001</v>
      </c>
      <c r="EL102">
        <v>4.9995000000000003</v>
      </c>
      <c r="EM102">
        <v>13952.1</v>
      </c>
      <c r="EN102">
        <v>16660.5</v>
      </c>
      <c r="EO102">
        <v>50.125</v>
      </c>
      <c r="EP102">
        <v>50.75</v>
      </c>
      <c r="EQ102">
        <v>50.936999999999998</v>
      </c>
      <c r="ER102">
        <v>49.936999999999998</v>
      </c>
      <c r="ES102">
        <v>51.125</v>
      </c>
      <c r="ET102">
        <v>1755.59</v>
      </c>
      <c r="EU102">
        <v>39.479999999999997</v>
      </c>
      <c r="EV102">
        <v>0</v>
      </c>
      <c r="EW102">
        <v>98</v>
      </c>
      <c r="EX102">
        <v>0</v>
      </c>
      <c r="EY102">
        <v>731.50624000000016</v>
      </c>
      <c r="EZ102">
        <v>-3.536461530789782</v>
      </c>
      <c r="FA102">
        <v>-54.92307660489962</v>
      </c>
      <c r="FB102">
        <v>13952.596</v>
      </c>
      <c r="FC102">
        <v>15</v>
      </c>
      <c r="FD102">
        <v>1693343612.0999999</v>
      </c>
      <c r="FE102" t="s">
        <v>857</v>
      </c>
      <c r="FF102">
        <v>1693343603.5999999</v>
      </c>
      <c r="FG102">
        <v>1693343612.0999999</v>
      </c>
      <c r="FH102">
        <v>96</v>
      </c>
      <c r="FI102">
        <v>0.14399999999999999</v>
      </c>
      <c r="FJ102">
        <v>2E-3</v>
      </c>
      <c r="FK102">
        <v>-1.522</v>
      </c>
      <c r="FL102">
        <v>0.20699999999999999</v>
      </c>
      <c r="FM102">
        <v>300</v>
      </c>
      <c r="FN102">
        <v>24</v>
      </c>
      <c r="FO102">
        <v>0.14000000000000001</v>
      </c>
      <c r="FP102">
        <v>0.06</v>
      </c>
      <c r="FQ102">
        <v>31.570460254843741</v>
      </c>
      <c r="FR102">
        <v>-3.1884132757763412E-4</v>
      </c>
      <c r="FS102">
        <v>6.690200535280616E-2</v>
      </c>
      <c r="FT102">
        <v>1</v>
      </c>
      <c r="FU102">
        <v>0.30245103417972757</v>
      </c>
      <c r="FV102">
        <v>4.3437290977017692E-2</v>
      </c>
      <c r="FW102">
        <v>5.100502843942277E-3</v>
      </c>
      <c r="FX102">
        <v>1</v>
      </c>
      <c r="FY102">
        <v>2</v>
      </c>
      <c r="FZ102">
        <v>2</v>
      </c>
      <c r="GA102" t="s">
        <v>421</v>
      </c>
      <c r="GB102">
        <v>2.9686599999999999</v>
      </c>
      <c r="GC102">
        <v>2.8117399999999999</v>
      </c>
      <c r="GD102">
        <v>6.8187499999999998E-2</v>
      </c>
      <c r="GE102">
        <v>7.5485999999999998E-2</v>
      </c>
      <c r="GF102">
        <v>0.13381000000000001</v>
      </c>
      <c r="GG102">
        <v>0.116719</v>
      </c>
      <c r="GH102">
        <v>27495.1</v>
      </c>
      <c r="GI102">
        <v>25115.1</v>
      </c>
      <c r="GJ102">
        <v>26525.3</v>
      </c>
      <c r="GK102">
        <v>25635.599999999999</v>
      </c>
      <c r="GL102">
        <v>31257.599999999999</v>
      </c>
      <c r="GM102">
        <v>31915.9</v>
      </c>
      <c r="GN102">
        <v>37545.4</v>
      </c>
      <c r="GO102">
        <v>37950.199999999997</v>
      </c>
      <c r="GP102">
        <v>1.9505999999999999</v>
      </c>
      <c r="GQ102">
        <v>1.9619</v>
      </c>
      <c r="GR102">
        <v>3.9905299999999998E-2</v>
      </c>
      <c r="GS102">
        <v>0</v>
      </c>
      <c r="GT102">
        <v>29.332899999999999</v>
      </c>
      <c r="GU102">
        <v>999.9</v>
      </c>
      <c r="GV102">
        <v>48.7</v>
      </c>
      <c r="GW102">
        <v>35.9</v>
      </c>
      <c r="GX102">
        <v>29.284199999999998</v>
      </c>
      <c r="GY102">
        <v>61.498199999999997</v>
      </c>
      <c r="GZ102">
        <v>12.0793</v>
      </c>
      <c r="HA102">
        <v>1</v>
      </c>
      <c r="HB102">
        <v>0.43193100000000001</v>
      </c>
      <c r="HC102">
        <v>2.0202300000000002</v>
      </c>
      <c r="HD102">
        <v>20.294599999999999</v>
      </c>
      <c r="HE102">
        <v>5.2088999999999999</v>
      </c>
      <c r="HF102">
        <v>11.9381</v>
      </c>
      <c r="HG102">
        <v>4.9871999999999996</v>
      </c>
      <c r="HH102">
        <v>3.2909999999999999</v>
      </c>
      <c r="HI102">
        <v>9999</v>
      </c>
      <c r="HJ102">
        <v>9999</v>
      </c>
      <c r="HK102">
        <v>9999</v>
      </c>
      <c r="HL102">
        <v>999.9</v>
      </c>
      <c r="HM102">
        <v>1.87001</v>
      </c>
      <c r="HN102">
        <v>1.87625</v>
      </c>
      <c r="HO102">
        <v>1.87408</v>
      </c>
      <c r="HP102">
        <v>1.87225</v>
      </c>
      <c r="HQ102">
        <v>1.8727199999999999</v>
      </c>
      <c r="HR102">
        <v>1.87012</v>
      </c>
      <c r="HS102">
        <v>1.8760699999999999</v>
      </c>
      <c r="HT102">
        <v>1.87517</v>
      </c>
      <c r="HU102">
        <v>5</v>
      </c>
      <c r="HV102">
        <v>0</v>
      </c>
      <c r="HW102">
        <v>0</v>
      </c>
      <c r="HX102">
        <v>0</v>
      </c>
      <c r="HY102" t="s">
        <v>422</v>
      </c>
      <c r="HZ102" t="s">
        <v>423</v>
      </c>
      <c r="IA102" t="s">
        <v>424</v>
      </c>
      <c r="IB102" t="s">
        <v>424</v>
      </c>
      <c r="IC102" t="s">
        <v>424</v>
      </c>
      <c r="ID102" t="s">
        <v>424</v>
      </c>
      <c r="IE102">
        <v>0</v>
      </c>
      <c r="IF102">
        <v>100</v>
      </c>
      <c r="IG102">
        <v>100</v>
      </c>
      <c r="IH102">
        <v>-1.454</v>
      </c>
      <c r="II102">
        <v>0.4279</v>
      </c>
      <c r="IJ102">
        <v>-0.87355348931058407</v>
      </c>
      <c r="IK102">
        <v>-2.677719669153116E-3</v>
      </c>
      <c r="IL102">
        <v>1.9353498771248068E-6</v>
      </c>
      <c r="IM102">
        <v>-6.1862177325538213E-10</v>
      </c>
      <c r="IN102">
        <v>-0.1992372401182653</v>
      </c>
      <c r="IO102">
        <v>-1.5299015507423901E-2</v>
      </c>
      <c r="IP102">
        <v>1.742162107778985E-3</v>
      </c>
      <c r="IQ102">
        <v>-1.472690239905804E-5</v>
      </c>
      <c r="IR102">
        <v>3</v>
      </c>
      <c r="IS102">
        <v>2255</v>
      </c>
      <c r="IT102">
        <v>2</v>
      </c>
      <c r="IU102">
        <v>41</v>
      </c>
      <c r="IV102">
        <v>0.6</v>
      </c>
      <c r="IW102">
        <v>0.5</v>
      </c>
      <c r="IX102">
        <v>0.76415999999999995</v>
      </c>
      <c r="IY102">
        <v>2.50244</v>
      </c>
      <c r="IZ102">
        <v>1.6003400000000001</v>
      </c>
      <c r="JA102">
        <v>2.2680699999999998</v>
      </c>
      <c r="JB102">
        <v>1.5502899999999999</v>
      </c>
      <c r="JC102">
        <v>2.3095699999999999</v>
      </c>
      <c r="JD102">
        <v>38.673299999999998</v>
      </c>
      <c r="JE102">
        <v>15.786899999999999</v>
      </c>
      <c r="JF102">
        <v>18</v>
      </c>
      <c r="JG102">
        <v>505.012</v>
      </c>
      <c r="JH102">
        <v>480.84699999999998</v>
      </c>
      <c r="JI102">
        <v>25.5473</v>
      </c>
      <c r="JJ102">
        <v>32.8307</v>
      </c>
      <c r="JK102">
        <v>29.997199999999999</v>
      </c>
      <c r="JL102">
        <v>32.864899999999999</v>
      </c>
      <c r="JM102">
        <v>32.833199999999998</v>
      </c>
      <c r="JN102">
        <v>15.3249</v>
      </c>
      <c r="JO102">
        <v>29.5838</v>
      </c>
      <c r="JP102">
        <v>48.229700000000001</v>
      </c>
      <c r="JQ102">
        <v>25.666599999999999</v>
      </c>
      <c r="JR102">
        <v>300</v>
      </c>
      <c r="JS102">
        <v>23.6129</v>
      </c>
      <c r="JT102">
        <v>99.027500000000003</v>
      </c>
      <c r="JU102">
        <v>98.560100000000006</v>
      </c>
    </row>
    <row r="103" spans="1:281" x14ac:dyDescent="0.25">
      <c r="A103">
        <v>87</v>
      </c>
      <c r="B103">
        <v>1693343757.5999999</v>
      </c>
      <c r="C103">
        <v>21460.5</v>
      </c>
      <c r="D103" t="s">
        <v>858</v>
      </c>
      <c r="E103" t="s">
        <v>859</v>
      </c>
      <c r="F103" t="s">
        <v>413</v>
      </c>
      <c r="G103" t="s">
        <v>636</v>
      </c>
      <c r="H103" t="s">
        <v>31</v>
      </c>
      <c r="I103" t="s">
        <v>31</v>
      </c>
      <c r="J103">
        <v>1693343757.5999999</v>
      </c>
      <c r="K103">
        <f t="shared" si="92"/>
        <v>4.6570929962208617E-3</v>
      </c>
      <c r="L103">
        <f t="shared" si="93"/>
        <v>4.6570929962208618</v>
      </c>
      <c r="M103">
        <f t="shared" si="94"/>
        <v>22.123765290360868</v>
      </c>
      <c r="N103">
        <f t="shared" si="95"/>
        <v>172.48699999999999</v>
      </c>
      <c r="O103">
        <f t="shared" si="96"/>
        <v>56.631712944321208</v>
      </c>
      <c r="P103">
        <f t="shared" si="97"/>
        <v>5.5960536535190295</v>
      </c>
      <c r="Q103">
        <f t="shared" si="98"/>
        <v>17.044275307079999</v>
      </c>
      <c r="R103">
        <f t="shared" si="99"/>
        <v>0.32974434483833648</v>
      </c>
      <c r="S103">
        <f t="shared" si="100"/>
        <v>2.9025313934940868</v>
      </c>
      <c r="T103">
        <f t="shared" si="101"/>
        <v>0.31025681458097182</v>
      </c>
      <c r="U103">
        <f t="shared" si="102"/>
        <v>0.19556534227177821</v>
      </c>
      <c r="V103">
        <f t="shared" si="103"/>
        <v>344.3821006579746</v>
      </c>
      <c r="W103">
        <f t="shared" si="104"/>
        <v>31.134724569618758</v>
      </c>
      <c r="X103">
        <f t="shared" si="105"/>
        <v>30.013000000000002</v>
      </c>
      <c r="Y103">
        <f t="shared" si="106"/>
        <v>4.2636321254055831</v>
      </c>
      <c r="Z103">
        <f t="shared" si="107"/>
        <v>65.338707757352012</v>
      </c>
      <c r="AA103">
        <f t="shared" si="108"/>
        <v>2.8336439962920004</v>
      </c>
      <c r="AB103">
        <f t="shared" si="109"/>
        <v>4.3368534419371869</v>
      </c>
      <c r="AC103">
        <f t="shared" si="110"/>
        <v>1.4299881291135828</v>
      </c>
      <c r="AD103">
        <f t="shared" si="111"/>
        <v>-205.37780113334</v>
      </c>
      <c r="AE103">
        <f t="shared" si="112"/>
        <v>46.443641673860199</v>
      </c>
      <c r="AF103">
        <f t="shared" si="113"/>
        <v>3.5635459549041326</v>
      </c>
      <c r="AG103">
        <f t="shared" si="114"/>
        <v>189.01148715339895</v>
      </c>
      <c r="AH103">
        <v>0</v>
      </c>
      <c r="AI103">
        <v>0</v>
      </c>
      <c r="AJ103">
        <f t="shared" si="115"/>
        <v>1</v>
      </c>
      <c r="AK103">
        <f t="shared" si="116"/>
        <v>0</v>
      </c>
      <c r="AL103">
        <f t="shared" si="117"/>
        <v>51504.055396319425</v>
      </c>
      <c r="AM103" t="s">
        <v>416</v>
      </c>
      <c r="AN103">
        <v>10238.9</v>
      </c>
      <c r="AO103">
        <v>302.21199999999999</v>
      </c>
      <c r="AP103">
        <v>4052.3</v>
      </c>
      <c r="AQ103">
        <f t="shared" si="118"/>
        <v>0.92542210596451402</v>
      </c>
      <c r="AR103">
        <v>-0.32343011824092421</v>
      </c>
      <c r="AS103" t="s">
        <v>860</v>
      </c>
      <c r="AT103">
        <v>10444.6</v>
      </c>
      <c r="AU103">
        <v>732.79560000000015</v>
      </c>
      <c r="AV103">
        <v>916.55406402425444</v>
      </c>
      <c r="AW103">
        <f t="shared" si="119"/>
        <v>0.20048840678032454</v>
      </c>
      <c r="AX103">
        <v>0.5</v>
      </c>
      <c r="AY103">
        <f t="shared" si="120"/>
        <v>1513.2432003289873</v>
      </c>
      <c r="AZ103">
        <f t="shared" si="121"/>
        <v>22.123765290360868</v>
      </c>
      <c r="BA103">
        <f t="shared" si="122"/>
        <v>151.69385915255907</v>
      </c>
      <c r="BB103">
        <f t="shared" si="123"/>
        <v>1.4833831999854122E-2</v>
      </c>
      <c r="BC103">
        <f t="shared" si="124"/>
        <v>3.4212340101442895</v>
      </c>
      <c r="BD103">
        <f t="shared" si="125"/>
        <v>240.77789796300581</v>
      </c>
      <c r="BE103" t="s">
        <v>861</v>
      </c>
      <c r="BF103">
        <v>559.34</v>
      </c>
      <c r="BG103">
        <f t="shared" si="126"/>
        <v>559.34</v>
      </c>
      <c r="BH103">
        <f t="shared" si="127"/>
        <v>0.38973594471433337</v>
      </c>
      <c r="BI103">
        <f t="shared" si="128"/>
        <v>0.51442113435874492</v>
      </c>
      <c r="BJ103">
        <f t="shared" si="129"/>
        <v>0.89773313635877472</v>
      </c>
      <c r="BK103">
        <f t="shared" si="130"/>
        <v>0.29911424723311708</v>
      </c>
      <c r="BL103">
        <f t="shared" si="131"/>
        <v>0.83617929391943491</v>
      </c>
      <c r="BM103">
        <f t="shared" si="132"/>
        <v>0.39265562906248391</v>
      </c>
      <c r="BN103">
        <f t="shared" si="133"/>
        <v>0.60734437093751614</v>
      </c>
      <c r="BO103">
        <v>5636</v>
      </c>
      <c r="BP103">
        <v>290.00000000000011</v>
      </c>
      <c r="BQ103">
        <v>873.43</v>
      </c>
      <c r="BR103">
        <v>185</v>
      </c>
      <c r="BS103">
        <v>10444.6</v>
      </c>
      <c r="BT103">
        <v>872.42</v>
      </c>
      <c r="BU103">
        <v>1.01</v>
      </c>
      <c r="BV103">
        <v>300.00000000000011</v>
      </c>
      <c r="BW103">
        <v>38.299999999999997</v>
      </c>
      <c r="BX103">
        <v>916.55406402425444</v>
      </c>
      <c r="BY103">
        <v>1.0592858083316721</v>
      </c>
      <c r="BZ103">
        <v>-46.097276430106831</v>
      </c>
      <c r="CA103">
        <v>0.90508826781074048</v>
      </c>
      <c r="CB103">
        <v>0.98932109706152416</v>
      </c>
      <c r="CC103">
        <v>-1.133276351501668E-2</v>
      </c>
      <c r="CD103">
        <v>289.99999999999989</v>
      </c>
      <c r="CE103">
        <v>870.89</v>
      </c>
      <c r="CF103">
        <v>675</v>
      </c>
      <c r="CG103">
        <v>10409.5</v>
      </c>
      <c r="CH103">
        <v>872.27</v>
      </c>
      <c r="CI103">
        <v>-1.38</v>
      </c>
      <c r="CW103">
        <f t="shared" si="134"/>
        <v>1800.07</v>
      </c>
      <c r="CX103">
        <f t="shared" si="135"/>
        <v>1513.2432003289873</v>
      </c>
      <c r="CY103">
        <f t="shared" si="136"/>
        <v>0.84065797459486979</v>
      </c>
      <c r="CZ103">
        <f t="shared" si="137"/>
        <v>0.19131594918973963</v>
      </c>
      <c r="DA103">
        <v>6</v>
      </c>
      <c r="DB103">
        <v>0.5</v>
      </c>
      <c r="DC103" t="s">
        <v>419</v>
      </c>
      <c r="DD103">
        <v>2</v>
      </c>
      <c r="DE103">
        <v>1693343757.5999999</v>
      </c>
      <c r="DF103">
        <v>172.48699999999999</v>
      </c>
      <c r="DG103">
        <v>199.98500000000001</v>
      </c>
      <c r="DH103">
        <v>28.676300000000001</v>
      </c>
      <c r="DI103">
        <v>23.250900000000001</v>
      </c>
      <c r="DJ103">
        <v>173.68600000000001</v>
      </c>
      <c r="DK103">
        <v>28.248899999999999</v>
      </c>
      <c r="DL103">
        <v>500.26299999999998</v>
      </c>
      <c r="DM103">
        <v>98.714600000000004</v>
      </c>
      <c r="DN103">
        <v>0.10024</v>
      </c>
      <c r="DO103">
        <v>30.309799999999999</v>
      </c>
      <c r="DP103">
        <v>30.013000000000002</v>
      </c>
      <c r="DQ103">
        <v>999.9</v>
      </c>
      <c r="DR103">
        <v>0</v>
      </c>
      <c r="DS103">
        <v>0</v>
      </c>
      <c r="DT103">
        <v>9975</v>
      </c>
      <c r="DU103">
        <v>0</v>
      </c>
      <c r="DV103">
        <v>115.254</v>
      </c>
      <c r="DW103">
        <v>-27.498100000000001</v>
      </c>
      <c r="DX103">
        <v>177.57900000000001</v>
      </c>
      <c r="DY103">
        <v>204.74600000000001</v>
      </c>
      <c r="DZ103">
        <v>5.4254100000000003</v>
      </c>
      <c r="EA103">
        <v>199.98500000000001</v>
      </c>
      <c r="EB103">
        <v>23.250900000000001</v>
      </c>
      <c r="EC103">
        <v>2.8307699999999998</v>
      </c>
      <c r="ED103">
        <v>2.2951999999999999</v>
      </c>
      <c r="EE103">
        <v>23.064599999999999</v>
      </c>
      <c r="EF103">
        <v>19.642800000000001</v>
      </c>
      <c r="EG103">
        <v>1800.07</v>
      </c>
      <c r="EH103">
        <v>0.97800699999999996</v>
      </c>
      <c r="EI103">
        <v>2.1992500000000002E-2</v>
      </c>
      <c r="EJ103">
        <v>0</v>
      </c>
      <c r="EK103">
        <v>732.61400000000003</v>
      </c>
      <c r="EL103">
        <v>4.9995000000000003</v>
      </c>
      <c r="EM103">
        <v>13970.7</v>
      </c>
      <c r="EN103">
        <v>16660.5</v>
      </c>
      <c r="EO103">
        <v>50.186999999999998</v>
      </c>
      <c r="EP103">
        <v>50.75</v>
      </c>
      <c r="EQ103">
        <v>50.936999999999998</v>
      </c>
      <c r="ER103">
        <v>49.875</v>
      </c>
      <c r="ES103">
        <v>51.186999999999998</v>
      </c>
      <c r="ET103">
        <v>1755.59</v>
      </c>
      <c r="EU103">
        <v>39.479999999999997</v>
      </c>
      <c r="EV103">
        <v>0</v>
      </c>
      <c r="EW103">
        <v>115.4000000953674</v>
      </c>
      <c r="EX103">
        <v>0</v>
      </c>
      <c r="EY103">
        <v>732.79560000000015</v>
      </c>
      <c r="EZ103">
        <v>-1.8980000005648421</v>
      </c>
      <c r="FA103">
        <v>-94.261538400771059</v>
      </c>
      <c r="FB103">
        <v>13978.64</v>
      </c>
      <c r="FC103">
        <v>15</v>
      </c>
      <c r="FD103">
        <v>1693343722.5999999</v>
      </c>
      <c r="FE103" t="s">
        <v>862</v>
      </c>
      <c r="FF103">
        <v>1693343713.5999999</v>
      </c>
      <c r="FG103">
        <v>1693343722.5999999</v>
      </c>
      <c r="FH103">
        <v>97</v>
      </c>
      <c r="FI103">
        <v>8.5000000000000006E-2</v>
      </c>
      <c r="FJ103">
        <v>1E-3</v>
      </c>
      <c r="FK103">
        <v>-1.2549999999999999</v>
      </c>
      <c r="FL103">
        <v>0.19900000000000001</v>
      </c>
      <c r="FM103">
        <v>200</v>
      </c>
      <c r="FN103">
        <v>23</v>
      </c>
      <c r="FO103">
        <v>0.12</v>
      </c>
      <c r="FP103">
        <v>0.04</v>
      </c>
      <c r="FQ103">
        <v>22.02527209846178</v>
      </c>
      <c r="FR103">
        <v>0.64178218898621975</v>
      </c>
      <c r="FS103">
        <v>6.6063689173932988E-2</v>
      </c>
      <c r="FT103">
        <v>1</v>
      </c>
      <c r="FU103">
        <v>0.33399470926453872</v>
      </c>
      <c r="FV103">
        <v>-9.6589107425609864E-3</v>
      </c>
      <c r="FW103">
        <v>2.1554567937112148E-3</v>
      </c>
      <c r="FX103">
        <v>1</v>
      </c>
      <c r="FY103">
        <v>2</v>
      </c>
      <c r="FZ103">
        <v>2</v>
      </c>
      <c r="GA103" t="s">
        <v>421</v>
      </c>
      <c r="GB103">
        <v>2.96949</v>
      </c>
      <c r="GC103">
        <v>2.8117200000000002</v>
      </c>
      <c r="GD103">
        <v>4.7490600000000001E-2</v>
      </c>
      <c r="GE103">
        <v>5.3309599999999999E-2</v>
      </c>
      <c r="GF103">
        <v>0.133742</v>
      </c>
      <c r="GG103">
        <v>0.11508400000000001</v>
      </c>
      <c r="GH103">
        <v>28107.599999999999</v>
      </c>
      <c r="GI103">
        <v>25719.200000000001</v>
      </c>
      <c r="GJ103">
        <v>26526.9</v>
      </c>
      <c r="GK103">
        <v>25636.9</v>
      </c>
      <c r="GL103">
        <v>31259.4</v>
      </c>
      <c r="GM103">
        <v>31975.4</v>
      </c>
      <c r="GN103">
        <v>37546.800000000003</v>
      </c>
      <c r="GO103">
        <v>37952.699999999997</v>
      </c>
      <c r="GP103">
        <v>1.9518</v>
      </c>
      <c r="GQ103">
        <v>1.9612000000000001</v>
      </c>
      <c r="GR103">
        <v>4.3630599999999999E-2</v>
      </c>
      <c r="GS103">
        <v>0</v>
      </c>
      <c r="GT103">
        <v>29.302600000000002</v>
      </c>
      <c r="GU103">
        <v>999.9</v>
      </c>
      <c r="GV103">
        <v>48.6</v>
      </c>
      <c r="GW103">
        <v>35.799999999999997</v>
      </c>
      <c r="GX103">
        <v>29.063300000000002</v>
      </c>
      <c r="GY103">
        <v>61.408200000000001</v>
      </c>
      <c r="GZ103">
        <v>12.880599999999999</v>
      </c>
      <c r="HA103">
        <v>1</v>
      </c>
      <c r="HB103">
        <v>0.43105700000000002</v>
      </c>
      <c r="HC103">
        <v>2.6553900000000001</v>
      </c>
      <c r="HD103">
        <v>20.286000000000001</v>
      </c>
      <c r="HE103">
        <v>5.2088999999999999</v>
      </c>
      <c r="HF103">
        <v>11.9381</v>
      </c>
      <c r="HG103">
        <v>4.9870000000000001</v>
      </c>
      <c r="HH103">
        <v>3.2909999999999999</v>
      </c>
      <c r="HI103">
        <v>9999</v>
      </c>
      <c r="HJ103">
        <v>9999</v>
      </c>
      <c r="HK103">
        <v>9999</v>
      </c>
      <c r="HL103">
        <v>999.9</v>
      </c>
      <c r="HM103">
        <v>1.8700600000000001</v>
      </c>
      <c r="HN103">
        <v>1.87625</v>
      </c>
      <c r="HO103">
        <v>1.87408</v>
      </c>
      <c r="HP103">
        <v>1.8722700000000001</v>
      </c>
      <c r="HQ103">
        <v>1.8727100000000001</v>
      </c>
      <c r="HR103">
        <v>1.87012</v>
      </c>
      <c r="HS103">
        <v>1.8761000000000001</v>
      </c>
      <c r="HT103">
        <v>1.8751500000000001</v>
      </c>
      <c r="HU103">
        <v>5</v>
      </c>
      <c r="HV103">
        <v>0</v>
      </c>
      <c r="HW103">
        <v>0</v>
      </c>
      <c r="HX103">
        <v>0</v>
      </c>
      <c r="HY103" t="s">
        <v>422</v>
      </c>
      <c r="HZ103" t="s">
        <v>423</v>
      </c>
      <c r="IA103" t="s">
        <v>424</v>
      </c>
      <c r="IB103" t="s">
        <v>424</v>
      </c>
      <c r="IC103" t="s">
        <v>424</v>
      </c>
      <c r="ID103" t="s">
        <v>424</v>
      </c>
      <c r="IE103">
        <v>0</v>
      </c>
      <c r="IF103">
        <v>100</v>
      </c>
      <c r="IG103">
        <v>100</v>
      </c>
      <c r="IH103">
        <v>-1.1990000000000001</v>
      </c>
      <c r="II103">
        <v>0.4274</v>
      </c>
      <c r="IJ103">
        <v>-0.78909974406919337</v>
      </c>
      <c r="IK103">
        <v>-2.677719669153116E-3</v>
      </c>
      <c r="IL103">
        <v>1.9353498771248068E-6</v>
      </c>
      <c r="IM103">
        <v>-6.1862177325538213E-10</v>
      </c>
      <c r="IN103">
        <v>-0.19868191652919359</v>
      </c>
      <c r="IO103">
        <v>-1.5299015507423901E-2</v>
      </c>
      <c r="IP103">
        <v>1.742162107778985E-3</v>
      </c>
      <c r="IQ103">
        <v>-1.472690239905804E-5</v>
      </c>
      <c r="IR103">
        <v>3</v>
      </c>
      <c r="IS103">
        <v>2255</v>
      </c>
      <c r="IT103">
        <v>2</v>
      </c>
      <c r="IU103">
        <v>41</v>
      </c>
      <c r="IV103">
        <v>0.7</v>
      </c>
      <c r="IW103">
        <v>0.6</v>
      </c>
      <c r="IX103">
        <v>0.56274400000000002</v>
      </c>
      <c r="IY103">
        <v>2.51709</v>
      </c>
      <c r="IZ103">
        <v>1.6003400000000001</v>
      </c>
      <c r="JA103">
        <v>2.2680699999999998</v>
      </c>
      <c r="JB103">
        <v>1.5502899999999999</v>
      </c>
      <c r="JC103">
        <v>2.33765</v>
      </c>
      <c r="JD103">
        <v>38.673299999999998</v>
      </c>
      <c r="JE103">
        <v>15.7606</v>
      </c>
      <c r="JF103">
        <v>18</v>
      </c>
      <c r="JG103">
        <v>505.46800000000002</v>
      </c>
      <c r="JH103">
        <v>480.08100000000002</v>
      </c>
      <c r="JI103">
        <v>25.835000000000001</v>
      </c>
      <c r="JJ103">
        <v>32.795699999999997</v>
      </c>
      <c r="JK103">
        <v>29.9999</v>
      </c>
      <c r="JL103">
        <v>32.824100000000001</v>
      </c>
      <c r="JM103">
        <v>32.792900000000003</v>
      </c>
      <c r="JN103">
        <v>11.3089</v>
      </c>
      <c r="JO103">
        <v>30.4056</v>
      </c>
      <c r="JP103">
        <v>47.596699999999998</v>
      </c>
      <c r="JQ103">
        <v>25.836300000000001</v>
      </c>
      <c r="JR103">
        <v>200</v>
      </c>
      <c r="JS103">
        <v>23.2013</v>
      </c>
      <c r="JT103">
        <v>99.031999999999996</v>
      </c>
      <c r="JU103">
        <v>98.566000000000003</v>
      </c>
    </row>
    <row r="104" spans="1:281" x14ac:dyDescent="0.25">
      <c r="A104">
        <v>88</v>
      </c>
      <c r="B104">
        <v>1693343868.5999999</v>
      </c>
      <c r="C104">
        <v>21571.5</v>
      </c>
      <c r="D104" t="s">
        <v>863</v>
      </c>
      <c r="E104" t="s">
        <v>864</v>
      </c>
      <c r="F104" t="s">
        <v>413</v>
      </c>
      <c r="G104" t="s">
        <v>636</v>
      </c>
      <c r="H104" t="s">
        <v>31</v>
      </c>
      <c r="I104" t="s">
        <v>31</v>
      </c>
      <c r="J104">
        <v>1693343868.5999999</v>
      </c>
      <c r="K104">
        <f t="shared" si="92"/>
        <v>4.951350565622961E-3</v>
      </c>
      <c r="L104">
        <f t="shared" si="93"/>
        <v>4.9513505656229606</v>
      </c>
      <c r="M104">
        <f t="shared" si="94"/>
        <v>14.071418696851321</v>
      </c>
      <c r="N104">
        <f t="shared" si="95"/>
        <v>102.51</v>
      </c>
      <c r="O104">
        <f t="shared" si="96"/>
        <v>34.411772751781406</v>
      </c>
      <c r="P104">
        <f t="shared" si="97"/>
        <v>3.4005423982948502</v>
      </c>
      <c r="Q104">
        <f t="shared" si="98"/>
        <v>10.129951855827001</v>
      </c>
      <c r="R104">
        <f t="shared" si="99"/>
        <v>0.35833764466784407</v>
      </c>
      <c r="S104">
        <f t="shared" si="100"/>
        <v>2.9078568221386871</v>
      </c>
      <c r="T104">
        <f t="shared" si="101"/>
        <v>0.33548881342834558</v>
      </c>
      <c r="U104">
        <f t="shared" si="102"/>
        <v>0.21161186021488687</v>
      </c>
      <c r="V104">
        <f t="shared" si="103"/>
        <v>344.38780065796362</v>
      </c>
      <c r="W104">
        <f t="shared" si="104"/>
        <v>31.080662549977152</v>
      </c>
      <c r="X104">
        <f t="shared" si="105"/>
        <v>29.979500000000002</v>
      </c>
      <c r="Y104">
        <f t="shared" si="106"/>
        <v>4.2554356524988393</v>
      </c>
      <c r="Z104">
        <f t="shared" si="107"/>
        <v>65.61167053265099</v>
      </c>
      <c r="AA104">
        <f t="shared" si="108"/>
        <v>2.8494306484479601</v>
      </c>
      <c r="AB104">
        <f t="shared" si="109"/>
        <v>4.3428716649273085</v>
      </c>
      <c r="AC104">
        <f t="shared" si="110"/>
        <v>1.4060050040508791</v>
      </c>
      <c r="AD104">
        <f t="shared" si="111"/>
        <v>-218.35455994397259</v>
      </c>
      <c r="AE104">
        <f t="shared" si="112"/>
        <v>55.574389644777142</v>
      </c>
      <c r="AF104">
        <f t="shared" si="113"/>
        <v>4.2561288451411272</v>
      </c>
      <c r="AG104">
        <f t="shared" si="114"/>
        <v>185.8637592039093</v>
      </c>
      <c r="AH104">
        <v>0</v>
      </c>
      <c r="AI104">
        <v>0</v>
      </c>
      <c r="AJ104">
        <f t="shared" si="115"/>
        <v>1</v>
      </c>
      <c r="AK104">
        <f t="shared" si="116"/>
        <v>0</v>
      </c>
      <c r="AL104">
        <f t="shared" si="117"/>
        <v>51650.937863009305</v>
      </c>
      <c r="AM104" t="s">
        <v>416</v>
      </c>
      <c r="AN104">
        <v>10238.9</v>
      </c>
      <c r="AO104">
        <v>302.21199999999999</v>
      </c>
      <c r="AP104">
        <v>4052.3</v>
      </c>
      <c r="AQ104">
        <f t="shared" si="118"/>
        <v>0.92542210596451402</v>
      </c>
      <c r="AR104">
        <v>-0.32343011824092421</v>
      </c>
      <c r="AS104" t="s">
        <v>865</v>
      </c>
      <c r="AT104">
        <v>10444.6</v>
      </c>
      <c r="AU104">
        <v>740.81176923076919</v>
      </c>
      <c r="AV104">
        <v>855.83015749930701</v>
      </c>
      <c r="AW104">
        <f t="shared" si="119"/>
        <v>0.13439394167251106</v>
      </c>
      <c r="AX104">
        <v>0.5</v>
      </c>
      <c r="AY104">
        <f t="shared" si="120"/>
        <v>1513.2684003289817</v>
      </c>
      <c r="AZ104">
        <f t="shared" si="121"/>
        <v>14.071418696851321</v>
      </c>
      <c r="BA104">
        <f t="shared" si="122"/>
        <v>101.68705256433364</v>
      </c>
      <c r="BB104">
        <f t="shared" si="123"/>
        <v>9.512422787631614E-3</v>
      </c>
      <c r="BC104">
        <f t="shared" si="124"/>
        <v>3.7349348051027067</v>
      </c>
      <c r="BD104">
        <f t="shared" si="125"/>
        <v>236.37207725181517</v>
      </c>
      <c r="BE104" t="s">
        <v>866</v>
      </c>
      <c r="BF104">
        <v>560.87</v>
      </c>
      <c r="BG104">
        <f t="shared" si="126"/>
        <v>560.87</v>
      </c>
      <c r="BH104">
        <f t="shared" si="127"/>
        <v>0.34464800628335635</v>
      </c>
      <c r="BI104">
        <f t="shared" si="128"/>
        <v>0.38994550736503469</v>
      </c>
      <c r="BJ104">
        <f t="shared" si="129"/>
        <v>0.9155188110604231</v>
      </c>
      <c r="BK104">
        <f t="shared" si="130"/>
        <v>0.20775761544396562</v>
      </c>
      <c r="BL104">
        <f t="shared" si="131"/>
        <v>0.85237195567162505</v>
      </c>
      <c r="BM104">
        <f t="shared" si="132"/>
        <v>0.29522848556108366</v>
      </c>
      <c r="BN104">
        <f t="shared" si="133"/>
        <v>0.70477151443891639</v>
      </c>
      <c r="BO104">
        <v>5638</v>
      </c>
      <c r="BP104">
        <v>290.00000000000011</v>
      </c>
      <c r="BQ104">
        <v>829.16</v>
      </c>
      <c r="BR104">
        <v>185</v>
      </c>
      <c r="BS104">
        <v>10444.6</v>
      </c>
      <c r="BT104">
        <v>828.16</v>
      </c>
      <c r="BU104">
        <v>1</v>
      </c>
      <c r="BV104">
        <v>300.00000000000011</v>
      </c>
      <c r="BW104">
        <v>38.299999999999997</v>
      </c>
      <c r="BX104">
        <v>855.83015749930701</v>
      </c>
      <c r="BY104">
        <v>1.141169006961547</v>
      </c>
      <c r="BZ104">
        <v>-28.904240235808011</v>
      </c>
      <c r="CA104">
        <v>0.97505615339598706</v>
      </c>
      <c r="CB104">
        <v>0.96912038351111485</v>
      </c>
      <c r="CC104">
        <v>-1.1332746162402671E-2</v>
      </c>
      <c r="CD104">
        <v>289.99999999999989</v>
      </c>
      <c r="CE104">
        <v>825.94</v>
      </c>
      <c r="CF104">
        <v>675</v>
      </c>
      <c r="CG104">
        <v>10409.5</v>
      </c>
      <c r="CH104">
        <v>828.06</v>
      </c>
      <c r="CI104">
        <v>-2.12</v>
      </c>
      <c r="CW104">
        <f t="shared" si="134"/>
        <v>1800.1</v>
      </c>
      <c r="CX104">
        <f t="shared" si="135"/>
        <v>1513.2684003289817</v>
      </c>
      <c r="CY104">
        <f t="shared" si="136"/>
        <v>0.84065796362923273</v>
      </c>
      <c r="CZ104">
        <f t="shared" si="137"/>
        <v>0.19131592725846544</v>
      </c>
      <c r="DA104">
        <v>6</v>
      </c>
      <c r="DB104">
        <v>0.5</v>
      </c>
      <c r="DC104" t="s">
        <v>419</v>
      </c>
      <c r="DD104">
        <v>2</v>
      </c>
      <c r="DE104">
        <v>1693343868.5999999</v>
      </c>
      <c r="DF104">
        <v>102.51</v>
      </c>
      <c r="DG104">
        <v>119.996</v>
      </c>
      <c r="DH104">
        <v>28.834800000000001</v>
      </c>
      <c r="DI104">
        <v>23.067399999999999</v>
      </c>
      <c r="DJ104">
        <v>103.667</v>
      </c>
      <c r="DK104">
        <v>28.396699999999999</v>
      </c>
      <c r="DL104">
        <v>500.25099999999998</v>
      </c>
      <c r="DM104">
        <v>98.719200000000001</v>
      </c>
      <c r="DN104">
        <v>9.9957699999999997E-2</v>
      </c>
      <c r="DO104">
        <v>30.334</v>
      </c>
      <c r="DP104">
        <v>29.979500000000002</v>
      </c>
      <c r="DQ104">
        <v>999.9</v>
      </c>
      <c r="DR104">
        <v>0</v>
      </c>
      <c r="DS104">
        <v>0</v>
      </c>
      <c r="DT104">
        <v>10005</v>
      </c>
      <c r="DU104">
        <v>0</v>
      </c>
      <c r="DV104">
        <v>116.55500000000001</v>
      </c>
      <c r="DW104">
        <v>-17.485499999999998</v>
      </c>
      <c r="DX104">
        <v>105.554</v>
      </c>
      <c r="DY104">
        <v>122.82899999999999</v>
      </c>
      <c r="DZ104">
        <v>5.7674399999999997</v>
      </c>
      <c r="EA104">
        <v>119.996</v>
      </c>
      <c r="EB104">
        <v>23.067399999999999</v>
      </c>
      <c r="EC104">
        <v>2.8465500000000001</v>
      </c>
      <c r="ED104">
        <v>2.27719</v>
      </c>
      <c r="EE104">
        <v>23.156500000000001</v>
      </c>
      <c r="EF104">
        <v>19.515999999999998</v>
      </c>
      <c r="EG104">
        <v>1800.1</v>
      </c>
      <c r="EH104">
        <v>0.97800699999999996</v>
      </c>
      <c r="EI104">
        <v>2.19927E-2</v>
      </c>
      <c r="EJ104">
        <v>0</v>
      </c>
      <c r="EK104">
        <v>740.25099999999998</v>
      </c>
      <c r="EL104">
        <v>4.9995000000000003</v>
      </c>
      <c r="EM104">
        <v>14102.2</v>
      </c>
      <c r="EN104">
        <v>16660.8</v>
      </c>
      <c r="EO104">
        <v>50.125</v>
      </c>
      <c r="EP104">
        <v>50.686999999999998</v>
      </c>
      <c r="EQ104">
        <v>50.936999999999998</v>
      </c>
      <c r="ER104">
        <v>49.875</v>
      </c>
      <c r="ES104">
        <v>51.186999999999998</v>
      </c>
      <c r="ET104">
        <v>1755.62</v>
      </c>
      <c r="EU104">
        <v>39.479999999999997</v>
      </c>
      <c r="EV104">
        <v>0</v>
      </c>
      <c r="EW104">
        <v>109.3999998569489</v>
      </c>
      <c r="EX104">
        <v>0</v>
      </c>
      <c r="EY104">
        <v>740.81176923076919</v>
      </c>
      <c r="EZ104">
        <v>-3.8030769220737199</v>
      </c>
      <c r="FA104">
        <v>-70.205128235641254</v>
      </c>
      <c r="FB104">
        <v>14113.44230769231</v>
      </c>
      <c r="FC104">
        <v>15</v>
      </c>
      <c r="FD104">
        <v>1693343840.0999999</v>
      </c>
      <c r="FE104" t="s">
        <v>867</v>
      </c>
      <c r="FF104">
        <v>1693343828.5999999</v>
      </c>
      <c r="FG104">
        <v>1693343840.0999999</v>
      </c>
      <c r="FH104">
        <v>98</v>
      </c>
      <c r="FI104">
        <v>-0.11</v>
      </c>
      <c r="FJ104">
        <v>4.0000000000000001E-3</v>
      </c>
      <c r="FK104">
        <v>-1.196</v>
      </c>
      <c r="FL104">
        <v>0.188</v>
      </c>
      <c r="FM104">
        <v>120</v>
      </c>
      <c r="FN104">
        <v>23</v>
      </c>
      <c r="FO104">
        <v>0.3</v>
      </c>
      <c r="FP104">
        <v>0.04</v>
      </c>
      <c r="FQ104">
        <v>13.993326690152671</v>
      </c>
      <c r="FR104">
        <v>0.1956702922365037</v>
      </c>
      <c r="FS104">
        <v>5.6283324698845047E-2</v>
      </c>
      <c r="FT104">
        <v>1</v>
      </c>
      <c r="FU104">
        <v>0.35548984557304242</v>
      </c>
      <c r="FV104">
        <v>3.681612681067746E-2</v>
      </c>
      <c r="FW104">
        <v>4.2036834988874736E-3</v>
      </c>
      <c r="FX104">
        <v>1</v>
      </c>
      <c r="FY104">
        <v>2</v>
      </c>
      <c r="FZ104">
        <v>2</v>
      </c>
      <c r="GA104" t="s">
        <v>421</v>
      </c>
      <c r="GB104">
        <v>2.96949</v>
      </c>
      <c r="GC104">
        <v>2.8117000000000001</v>
      </c>
      <c r="GD104">
        <v>2.9274399999999999E-2</v>
      </c>
      <c r="GE104">
        <v>3.3276899999999998E-2</v>
      </c>
      <c r="GF104">
        <v>0.13424800000000001</v>
      </c>
      <c r="GG104">
        <v>0.11446199999999999</v>
      </c>
      <c r="GH104">
        <v>28646.3</v>
      </c>
      <c r="GI104">
        <v>26265</v>
      </c>
      <c r="GJ104">
        <v>26527.9</v>
      </c>
      <c r="GK104">
        <v>25638.3</v>
      </c>
      <c r="GL104">
        <v>31240.6</v>
      </c>
      <c r="GM104">
        <v>31997.4</v>
      </c>
      <c r="GN104">
        <v>37548.300000000003</v>
      </c>
      <c r="GO104">
        <v>37953.9</v>
      </c>
      <c r="GP104">
        <v>1.9528000000000001</v>
      </c>
      <c r="GQ104">
        <v>1.9613</v>
      </c>
      <c r="GR104">
        <v>4.0173500000000001E-2</v>
      </c>
      <c r="GS104">
        <v>0</v>
      </c>
      <c r="GT104">
        <v>29.325299999999999</v>
      </c>
      <c r="GU104">
        <v>999.9</v>
      </c>
      <c r="GV104">
        <v>48.5</v>
      </c>
      <c r="GW104">
        <v>35.799999999999997</v>
      </c>
      <c r="GX104">
        <v>29.005400000000002</v>
      </c>
      <c r="GY104">
        <v>61.8583</v>
      </c>
      <c r="GZ104">
        <v>12.7163</v>
      </c>
      <c r="HA104">
        <v>1</v>
      </c>
      <c r="HB104">
        <v>0.42865900000000001</v>
      </c>
      <c r="HC104">
        <v>2.8376700000000001</v>
      </c>
      <c r="HD104">
        <v>20.283200000000001</v>
      </c>
      <c r="HE104">
        <v>5.2088999999999999</v>
      </c>
      <c r="HF104">
        <v>11.9381</v>
      </c>
      <c r="HG104">
        <v>4.9871999999999996</v>
      </c>
      <c r="HH104">
        <v>3.2909999999999999</v>
      </c>
      <c r="HI104">
        <v>9999</v>
      </c>
      <c r="HJ104">
        <v>9999</v>
      </c>
      <c r="HK104">
        <v>9999</v>
      </c>
      <c r="HL104">
        <v>999.9</v>
      </c>
      <c r="HM104">
        <v>1.8700699999999999</v>
      </c>
      <c r="HN104">
        <v>1.87625</v>
      </c>
      <c r="HO104">
        <v>1.8740699999999999</v>
      </c>
      <c r="HP104">
        <v>1.87225</v>
      </c>
      <c r="HQ104">
        <v>1.8727100000000001</v>
      </c>
      <c r="HR104">
        <v>1.8701399999999999</v>
      </c>
      <c r="HS104">
        <v>1.8760699999999999</v>
      </c>
      <c r="HT104">
        <v>1.8751500000000001</v>
      </c>
      <c r="HU104">
        <v>5</v>
      </c>
      <c r="HV104">
        <v>0</v>
      </c>
      <c r="HW104">
        <v>0</v>
      </c>
      <c r="HX104">
        <v>0</v>
      </c>
      <c r="HY104" t="s">
        <v>422</v>
      </c>
      <c r="HZ104" t="s">
        <v>423</v>
      </c>
      <c r="IA104" t="s">
        <v>424</v>
      </c>
      <c r="IB104" t="s">
        <v>424</v>
      </c>
      <c r="IC104" t="s">
        <v>424</v>
      </c>
      <c r="ID104" t="s">
        <v>424</v>
      </c>
      <c r="IE104">
        <v>0</v>
      </c>
      <c r="IF104">
        <v>100</v>
      </c>
      <c r="IG104">
        <v>100</v>
      </c>
      <c r="IH104">
        <v>-1.157</v>
      </c>
      <c r="II104">
        <v>0.43809999999999999</v>
      </c>
      <c r="IJ104">
        <v>-0.89883950661299616</v>
      </c>
      <c r="IK104">
        <v>-2.677719669153116E-3</v>
      </c>
      <c r="IL104">
        <v>1.9353498771248068E-6</v>
      </c>
      <c r="IM104">
        <v>-6.1862177325538213E-10</v>
      </c>
      <c r="IN104">
        <v>-0.19506226079994071</v>
      </c>
      <c r="IO104">
        <v>-1.5299015507423901E-2</v>
      </c>
      <c r="IP104">
        <v>1.742162107778985E-3</v>
      </c>
      <c r="IQ104">
        <v>-1.472690239905804E-5</v>
      </c>
      <c r="IR104">
        <v>3</v>
      </c>
      <c r="IS104">
        <v>2255</v>
      </c>
      <c r="IT104">
        <v>2</v>
      </c>
      <c r="IU104">
        <v>41</v>
      </c>
      <c r="IV104">
        <v>0.7</v>
      </c>
      <c r="IW104">
        <v>0.5</v>
      </c>
      <c r="IX104">
        <v>0.397949</v>
      </c>
      <c r="IY104">
        <v>2.52319</v>
      </c>
      <c r="IZ104">
        <v>1.5991200000000001</v>
      </c>
      <c r="JA104">
        <v>2.2680699999999998</v>
      </c>
      <c r="JB104">
        <v>1.5502899999999999</v>
      </c>
      <c r="JC104">
        <v>2.4194300000000002</v>
      </c>
      <c r="JD104">
        <v>38.673299999999998</v>
      </c>
      <c r="JE104">
        <v>15.734400000000001</v>
      </c>
      <c r="JF104">
        <v>18</v>
      </c>
      <c r="JG104">
        <v>505.84199999999998</v>
      </c>
      <c r="JH104">
        <v>479.87</v>
      </c>
      <c r="JI104">
        <v>25.684699999999999</v>
      </c>
      <c r="JJ104">
        <v>32.757800000000003</v>
      </c>
      <c r="JK104">
        <v>29.9999</v>
      </c>
      <c r="JL104">
        <v>32.789200000000001</v>
      </c>
      <c r="JM104">
        <v>32.757899999999999</v>
      </c>
      <c r="JN104">
        <v>8.0108300000000003</v>
      </c>
      <c r="JO104">
        <v>31.047699999999999</v>
      </c>
      <c r="JP104">
        <v>46.988399999999999</v>
      </c>
      <c r="JQ104">
        <v>25.694299999999998</v>
      </c>
      <c r="JR104">
        <v>120</v>
      </c>
      <c r="JS104">
        <v>22.938600000000001</v>
      </c>
      <c r="JT104">
        <v>99.035899999999998</v>
      </c>
      <c r="JU104">
        <v>98.569900000000004</v>
      </c>
    </row>
    <row r="105" spans="1:281" x14ac:dyDescent="0.25">
      <c r="A105">
        <v>89</v>
      </c>
      <c r="B105">
        <v>1693343973.5999999</v>
      </c>
      <c r="C105">
        <v>21676.5</v>
      </c>
      <c r="D105" t="s">
        <v>868</v>
      </c>
      <c r="E105" t="s">
        <v>869</v>
      </c>
      <c r="F105" t="s">
        <v>413</v>
      </c>
      <c r="G105" t="s">
        <v>636</v>
      </c>
      <c r="H105" t="s">
        <v>31</v>
      </c>
      <c r="I105" t="s">
        <v>31</v>
      </c>
      <c r="J105">
        <v>1693343973.5999999</v>
      </c>
      <c r="K105">
        <f t="shared" si="92"/>
        <v>5.3651892731253672E-3</v>
      </c>
      <c r="L105">
        <f t="shared" si="93"/>
        <v>5.3651892731253668</v>
      </c>
      <c r="M105">
        <f t="shared" si="94"/>
        <v>8.5957064478692633</v>
      </c>
      <c r="N105">
        <f t="shared" si="95"/>
        <v>59.366399999999999</v>
      </c>
      <c r="O105">
        <f t="shared" si="96"/>
        <v>20.873626085875969</v>
      </c>
      <c r="P105">
        <f t="shared" si="97"/>
        <v>2.0627581975641403</v>
      </c>
      <c r="Q105">
        <f t="shared" si="98"/>
        <v>5.8666629245952002</v>
      </c>
      <c r="R105">
        <f t="shared" si="99"/>
        <v>0.3895029006290045</v>
      </c>
      <c r="S105">
        <f t="shared" si="100"/>
        <v>2.9026463177512336</v>
      </c>
      <c r="T105">
        <f t="shared" si="101"/>
        <v>0.36262181752039407</v>
      </c>
      <c r="U105">
        <f t="shared" si="102"/>
        <v>0.2288990118286047</v>
      </c>
      <c r="V105">
        <f t="shared" si="103"/>
        <v>344.40110065793806</v>
      </c>
      <c r="W105">
        <f t="shared" si="104"/>
        <v>30.990977364495436</v>
      </c>
      <c r="X105">
        <f t="shared" si="105"/>
        <v>29.9969</v>
      </c>
      <c r="Y105">
        <f t="shared" si="106"/>
        <v>4.259691209377328</v>
      </c>
      <c r="Z105">
        <f t="shared" si="107"/>
        <v>65.563754188319407</v>
      </c>
      <c r="AA105">
        <f t="shared" si="108"/>
        <v>2.8501733652756003</v>
      </c>
      <c r="AB105">
        <f t="shared" si="109"/>
        <v>4.3471784075832813</v>
      </c>
      <c r="AC105">
        <f t="shared" si="110"/>
        <v>1.4095178441017278</v>
      </c>
      <c r="AD105">
        <f t="shared" si="111"/>
        <v>-236.60484694482869</v>
      </c>
      <c r="AE105">
        <f t="shared" si="112"/>
        <v>55.459158759354771</v>
      </c>
      <c r="AF105">
        <f t="shared" si="113"/>
        <v>4.2556588283571877</v>
      </c>
      <c r="AG105">
        <f t="shared" si="114"/>
        <v>167.51107130082133</v>
      </c>
      <c r="AH105">
        <v>0</v>
      </c>
      <c r="AI105">
        <v>0</v>
      </c>
      <c r="AJ105">
        <f t="shared" si="115"/>
        <v>1</v>
      </c>
      <c r="AK105">
        <f t="shared" si="116"/>
        <v>0</v>
      </c>
      <c r="AL105">
        <f t="shared" si="117"/>
        <v>51500.400271845043</v>
      </c>
      <c r="AM105" t="s">
        <v>416</v>
      </c>
      <c r="AN105">
        <v>10238.9</v>
      </c>
      <c r="AO105">
        <v>302.21199999999999</v>
      </c>
      <c r="AP105">
        <v>4052.3</v>
      </c>
      <c r="AQ105">
        <f t="shared" si="118"/>
        <v>0.92542210596451402</v>
      </c>
      <c r="AR105">
        <v>-0.32343011824092421</v>
      </c>
      <c r="AS105" t="s">
        <v>870</v>
      </c>
      <c r="AT105">
        <v>10446.6</v>
      </c>
      <c r="AU105">
        <v>748.46273076923092</v>
      </c>
      <c r="AV105">
        <v>826.01060870640333</v>
      </c>
      <c r="AW105">
        <f t="shared" si="119"/>
        <v>9.3882423687776106E-2</v>
      </c>
      <c r="AX105">
        <v>0.5</v>
      </c>
      <c r="AY105">
        <f t="shared" si="120"/>
        <v>1513.327200328969</v>
      </c>
      <c r="AZ105">
        <f t="shared" si="121"/>
        <v>8.5957064478692633</v>
      </c>
      <c r="BA105">
        <f t="shared" si="122"/>
        <v>71.037412699760139</v>
      </c>
      <c r="BB105">
        <f t="shared" si="123"/>
        <v>5.8937264619120938E-3</v>
      </c>
      <c r="BC105">
        <f t="shared" si="124"/>
        <v>3.9058691950049123</v>
      </c>
      <c r="BD105">
        <f t="shared" si="125"/>
        <v>234.03855771351331</v>
      </c>
      <c r="BE105" t="s">
        <v>871</v>
      </c>
      <c r="BF105">
        <v>569.96</v>
      </c>
      <c r="BG105">
        <f t="shared" si="126"/>
        <v>569.96</v>
      </c>
      <c r="BH105">
        <f t="shared" si="127"/>
        <v>0.30998464911655121</v>
      </c>
      <c r="BI105">
        <f t="shared" si="128"/>
        <v>0.30286152541856115</v>
      </c>
      <c r="BJ105">
        <f t="shared" si="129"/>
        <v>0.92647168033379768</v>
      </c>
      <c r="BK105">
        <f t="shared" si="130"/>
        <v>0.14804903382368301</v>
      </c>
      <c r="BL105">
        <f t="shared" si="131"/>
        <v>0.86032364875000178</v>
      </c>
      <c r="BM105">
        <f t="shared" si="132"/>
        <v>0.23063132996636235</v>
      </c>
      <c r="BN105">
        <f t="shared" si="133"/>
        <v>0.76936867003363762</v>
      </c>
      <c r="BO105">
        <v>5640</v>
      </c>
      <c r="BP105">
        <v>290.00000000000011</v>
      </c>
      <c r="BQ105">
        <v>808.02</v>
      </c>
      <c r="BR105">
        <v>175</v>
      </c>
      <c r="BS105">
        <v>10446.6</v>
      </c>
      <c r="BT105">
        <v>805.69</v>
      </c>
      <c r="BU105">
        <v>2.33</v>
      </c>
      <c r="BV105">
        <v>300.00000000000011</v>
      </c>
      <c r="BW105">
        <v>38.299999999999997</v>
      </c>
      <c r="BX105">
        <v>826.01060870640333</v>
      </c>
      <c r="BY105">
        <v>0.95254335808939516</v>
      </c>
      <c r="BZ105">
        <v>-21.228698357172519</v>
      </c>
      <c r="CA105">
        <v>0.81386815338200647</v>
      </c>
      <c r="CB105">
        <v>0.96047206322938228</v>
      </c>
      <c r="CC105">
        <v>-1.133315506117911E-2</v>
      </c>
      <c r="CD105">
        <v>289.99999999999989</v>
      </c>
      <c r="CE105">
        <v>803.43</v>
      </c>
      <c r="CF105">
        <v>695</v>
      </c>
      <c r="CG105">
        <v>10407.1</v>
      </c>
      <c r="CH105">
        <v>805.61</v>
      </c>
      <c r="CI105">
        <v>-2.1800000000000002</v>
      </c>
      <c r="CW105">
        <f t="shared" si="134"/>
        <v>1800.17</v>
      </c>
      <c r="CX105">
        <f t="shared" si="135"/>
        <v>1513.327200328969</v>
      </c>
      <c r="CY105">
        <f t="shared" si="136"/>
        <v>0.84065793804416744</v>
      </c>
      <c r="CZ105">
        <f t="shared" si="137"/>
        <v>0.191315876088335</v>
      </c>
      <c r="DA105">
        <v>6</v>
      </c>
      <c r="DB105">
        <v>0.5</v>
      </c>
      <c r="DC105" t="s">
        <v>419</v>
      </c>
      <c r="DD105">
        <v>2</v>
      </c>
      <c r="DE105">
        <v>1693343973.5999999</v>
      </c>
      <c r="DF105">
        <v>59.366399999999999</v>
      </c>
      <c r="DG105">
        <v>70.062200000000004</v>
      </c>
      <c r="DH105">
        <v>28.841699999999999</v>
      </c>
      <c r="DI105">
        <v>22.5899</v>
      </c>
      <c r="DJ105">
        <v>60.512099999999997</v>
      </c>
      <c r="DK105">
        <v>28.3995</v>
      </c>
      <c r="DL105">
        <v>500.05900000000003</v>
      </c>
      <c r="DM105">
        <v>98.721100000000007</v>
      </c>
      <c r="DN105">
        <v>0.10016799999999999</v>
      </c>
      <c r="DO105">
        <v>30.351299999999998</v>
      </c>
      <c r="DP105">
        <v>29.9969</v>
      </c>
      <c r="DQ105">
        <v>999.9</v>
      </c>
      <c r="DR105">
        <v>0</v>
      </c>
      <c r="DS105">
        <v>0</v>
      </c>
      <c r="DT105">
        <v>9975</v>
      </c>
      <c r="DU105">
        <v>0</v>
      </c>
      <c r="DV105">
        <v>116.26600000000001</v>
      </c>
      <c r="DW105">
        <v>-10.6958</v>
      </c>
      <c r="DX105">
        <v>61.1295</v>
      </c>
      <c r="DY105">
        <v>71.6815</v>
      </c>
      <c r="DZ105">
        <v>6.2517899999999997</v>
      </c>
      <c r="EA105">
        <v>70.062200000000004</v>
      </c>
      <c r="EB105">
        <v>22.5899</v>
      </c>
      <c r="EC105">
        <v>2.84728</v>
      </c>
      <c r="ED105">
        <v>2.2301000000000002</v>
      </c>
      <c r="EE105">
        <v>23.160799999999998</v>
      </c>
      <c r="EF105">
        <v>19.180199999999999</v>
      </c>
      <c r="EG105">
        <v>1800.17</v>
      </c>
      <c r="EH105">
        <v>0.97800699999999996</v>
      </c>
      <c r="EI105">
        <v>2.1992500000000002E-2</v>
      </c>
      <c r="EJ105">
        <v>0</v>
      </c>
      <c r="EK105">
        <v>748.67899999999997</v>
      </c>
      <c r="EL105">
        <v>4.9995000000000003</v>
      </c>
      <c r="EM105">
        <v>14239.5</v>
      </c>
      <c r="EN105">
        <v>16661.400000000001</v>
      </c>
      <c r="EO105">
        <v>50.186999999999998</v>
      </c>
      <c r="EP105">
        <v>50.686999999999998</v>
      </c>
      <c r="EQ105">
        <v>50.936999999999998</v>
      </c>
      <c r="ER105">
        <v>49.875</v>
      </c>
      <c r="ES105">
        <v>51.186999999999998</v>
      </c>
      <c r="ET105">
        <v>1755.69</v>
      </c>
      <c r="EU105">
        <v>39.479999999999997</v>
      </c>
      <c r="EV105">
        <v>0</v>
      </c>
      <c r="EW105">
        <v>103.2000000476837</v>
      </c>
      <c r="EX105">
        <v>0</v>
      </c>
      <c r="EY105">
        <v>748.46273076923092</v>
      </c>
      <c r="EZ105">
        <v>-0.54239316123996961</v>
      </c>
      <c r="FA105">
        <v>-74.68376104676156</v>
      </c>
      <c r="FB105">
        <v>14250.03461538462</v>
      </c>
      <c r="FC105">
        <v>15</v>
      </c>
      <c r="FD105">
        <v>1693343946.5999999</v>
      </c>
      <c r="FE105" t="s">
        <v>872</v>
      </c>
      <c r="FF105">
        <v>1693343938.0999999</v>
      </c>
      <c r="FG105">
        <v>1693343946.5999999</v>
      </c>
      <c r="FH105">
        <v>99</v>
      </c>
      <c r="FI105">
        <v>-9.1999999999999998E-2</v>
      </c>
      <c r="FJ105">
        <v>4.0000000000000001E-3</v>
      </c>
      <c r="FK105">
        <v>-1.171</v>
      </c>
      <c r="FL105">
        <v>0.17699999999999999</v>
      </c>
      <c r="FM105">
        <v>70</v>
      </c>
      <c r="FN105">
        <v>23</v>
      </c>
      <c r="FO105">
        <v>0.35</v>
      </c>
      <c r="FP105">
        <v>0.04</v>
      </c>
      <c r="FQ105">
        <v>8.5654579065101526</v>
      </c>
      <c r="FR105">
        <v>-0.1364084769025217</v>
      </c>
      <c r="FS105">
        <v>4.6814508160810751E-2</v>
      </c>
      <c r="FT105">
        <v>1</v>
      </c>
      <c r="FU105">
        <v>0.38069809323583109</v>
      </c>
      <c r="FV105">
        <v>4.6848627814499007E-2</v>
      </c>
      <c r="FW105">
        <v>3.8006384086947381E-3</v>
      </c>
      <c r="FX105">
        <v>1</v>
      </c>
      <c r="FY105">
        <v>2</v>
      </c>
      <c r="FZ105">
        <v>2</v>
      </c>
      <c r="GA105" t="s">
        <v>421</v>
      </c>
      <c r="GB105">
        <v>2.9690300000000001</v>
      </c>
      <c r="GC105">
        <v>2.8116500000000002</v>
      </c>
      <c r="GD105">
        <v>1.7312600000000001E-2</v>
      </c>
      <c r="GE105">
        <v>1.9758600000000001E-2</v>
      </c>
      <c r="GF105">
        <v>0.13427</v>
      </c>
      <c r="GG105">
        <v>0.112806</v>
      </c>
      <c r="GH105">
        <v>29002.400000000001</v>
      </c>
      <c r="GI105">
        <v>26636.400000000001</v>
      </c>
      <c r="GJ105">
        <v>26530.7</v>
      </c>
      <c r="GK105">
        <v>25642.2</v>
      </c>
      <c r="GL105">
        <v>31241.7</v>
      </c>
      <c r="GM105">
        <v>32060.5</v>
      </c>
      <c r="GN105">
        <v>37552.1</v>
      </c>
      <c r="GO105">
        <v>37958.9</v>
      </c>
      <c r="GP105">
        <v>1.954</v>
      </c>
      <c r="GQ105">
        <v>1.9609000000000001</v>
      </c>
      <c r="GR105">
        <v>4.2021299999999998E-2</v>
      </c>
      <c r="GS105">
        <v>0</v>
      </c>
      <c r="GT105">
        <v>29.3127</v>
      </c>
      <c r="GU105">
        <v>999.9</v>
      </c>
      <c r="GV105">
        <v>48.4</v>
      </c>
      <c r="GW105">
        <v>35.799999999999997</v>
      </c>
      <c r="GX105">
        <v>28.9419</v>
      </c>
      <c r="GY105">
        <v>61.528300000000002</v>
      </c>
      <c r="GZ105">
        <v>12.415900000000001</v>
      </c>
      <c r="HA105">
        <v>1</v>
      </c>
      <c r="HB105">
        <v>0.42469499999999999</v>
      </c>
      <c r="HC105">
        <v>2.69014</v>
      </c>
      <c r="HD105">
        <v>20.285799999999998</v>
      </c>
      <c r="HE105">
        <v>5.2100999999999997</v>
      </c>
      <c r="HF105">
        <v>11.9375</v>
      </c>
      <c r="HG105">
        <v>4.9874000000000001</v>
      </c>
      <c r="HH105">
        <v>3.2909999999999999</v>
      </c>
      <c r="HI105">
        <v>9999</v>
      </c>
      <c r="HJ105">
        <v>9999</v>
      </c>
      <c r="HK105">
        <v>9999</v>
      </c>
      <c r="HL105">
        <v>999.9</v>
      </c>
      <c r="HM105">
        <v>1.87002</v>
      </c>
      <c r="HN105">
        <v>1.87626</v>
      </c>
      <c r="HO105">
        <v>1.87408</v>
      </c>
      <c r="HP105">
        <v>1.87225</v>
      </c>
      <c r="HQ105">
        <v>1.8727199999999999</v>
      </c>
      <c r="HR105">
        <v>1.87012</v>
      </c>
      <c r="HS105">
        <v>1.8760699999999999</v>
      </c>
      <c r="HT105">
        <v>1.8751500000000001</v>
      </c>
      <c r="HU105">
        <v>5</v>
      </c>
      <c r="HV105">
        <v>0</v>
      </c>
      <c r="HW105">
        <v>0</v>
      </c>
      <c r="HX105">
        <v>0</v>
      </c>
      <c r="HY105" t="s">
        <v>422</v>
      </c>
      <c r="HZ105" t="s">
        <v>423</v>
      </c>
      <c r="IA105" t="s">
        <v>424</v>
      </c>
      <c r="IB105" t="s">
        <v>424</v>
      </c>
      <c r="IC105" t="s">
        <v>424</v>
      </c>
      <c r="ID105" t="s">
        <v>424</v>
      </c>
      <c r="IE105">
        <v>0</v>
      </c>
      <c r="IF105">
        <v>100</v>
      </c>
      <c r="IG105">
        <v>100</v>
      </c>
      <c r="IH105">
        <v>-1.1459999999999999</v>
      </c>
      <c r="II105">
        <v>0.44219999999999998</v>
      </c>
      <c r="IJ105">
        <v>-0.99056283957572577</v>
      </c>
      <c r="IK105">
        <v>-2.677719669153116E-3</v>
      </c>
      <c r="IL105">
        <v>1.9353498771248068E-6</v>
      </c>
      <c r="IM105">
        <v>-6.1862177325538213E-10</v>
      </c>
      <c r="IN105">
        <v>-0.19112391107070739</v>
      </c>
      <c r="IO105">
        <v>-1.5299015507423901E-2</v>
      </c>
      <c r="IP105">
        <v>1.742162107778985E-3</v>
      </c>
      <c r="IQ105">
        <v>-1.472690239905804E-5</v>
      </c>
      <c r="IR105">
        <v>3</v>
      </c>
      <c r="IS105">
        <v>2255</v>
      </c>
      <c r="IT105">
        <v>2</v>
      </c>
      <c r="IU105">
        <v>41</v>
      </c>
      <c r="IV105">
        <v>0.6</v>
      </c>
      <c r="IW105">
        <v>0.5</v>
      </c>
      <c r="IX105">
        <v>0.29418899999999998</v>
      </c>
      <c r="IY105">
        <v>2.5488300000000002</v>
      </c>
      <c r="IZ105">
        <v>1.5991200000000001</v>
      </c>
      <c r="JA105">
        <v>2.2680699999999998</v>
      </c>
      <c r="JB105">
        <v>1.5502899999999999</v>
      </c>
      <c r="JC105">
        <v>2.2692899999999998</v>
      </c>
      <c r="JD105">
        <v>38.599499999999999</v>
      </c>
      <c r="JE105">
        <v>15.7081</v>
      </c>
      <c r="JF105">
        <v>18</v>
      </c>
      <c r="JG105">
        <v>506.34300000000002</v>
      </c>
      <c r="JH105">
        <v>479.32299999999998</v>
      </c>
      <c r="JI105">
        <v>25.906500000000001</v>
      </c>
      <c r="JJ105">
        <v>32.722900000000003</v>
      </c>
      <c r="JK105">
        <v>30.0001</v>
      </c>
      <c r="JL105">
        <v>32.754399999999997</v>
      </c>
      <c r="JM105">
        <v>32.720599999999997</v>
      </c>
      <c r="JN105">
        <v>5.9480399999999998</v>
      </c>
      <c r="JO105">
        <v>32.1691</v>
      </c>
      <c r="JP105">
        <v>46.183100000000003</v>
      </c>
      <c r="JQ105">
        <v>25.9023</v>
      </c>
      <c r="JR105">
        <v>70</v>
      </c>
      <c r="JS105">
        <v>22.5349</v>
      </c>
      <c r="JT105">
        <v>99.046099999999996</v>
      </c>
      <c r="JU105">
        <v>98.583799999999997</v>
      </c>
    </row>
    <row r="106" spans="1:281" x14ac:dyDescent="0.25">
      <c r="A106">
        <v>90</v>
      </c>
      <c r="B106">
        <v>1693344091.5</v>
      </c>
      <c r="C106">
        <v>21794.400000095371</v>
      </c>
      <c r="D106" t="s">
        <v>873</v>
      </c>
      <c r="E106" t="s">
        <v>874</v>
      </c>
      <c r="F106" t="s">
        <v>413</v>
      </c>
      <c r="G106" t="s">
        <v>636</v>
      </c>
      <c r="H106" t="s">
        <v>31</v>
      </c>
      <c r="I106" t="s">
        <v>31</v>
      </c>
      <c r="J106">
        <v>1693344091.5</v>
      </c>
      <c r="K106">
        <f t="shared" si="92"/>
        <v>5.6190558601540326E-3</v>
      </c>
      <c r="L106">
        <f t="shared" si="93"/>
        <v>5.6190558601540328</v>
      </c>
      <c r="M106">
        <f t="shared" si="94"/>
        <v>3.8962711752367301</v>
      </c>
      <c r="N106">
        <f t="shared" si="95"/>
        <v>25.1586</v>
      </c>
      <c r="O106">
        <f t="shared" si="96"/>
        <v>8.5367080016297141</v>
      </c>
      <c r="P106">
        <f t="shared" si="97"/>
        <v>0.84361836038679561</v>
      </c>
      <c r="Q106">
        <f t="shared" si="98"/>
        <v>2.4862343748404401</v>
      </c>
      <c r="R106">
        <f t="shared" si="99"/>
        <v>0.40973429069595019</v>
      </c>
      <c r="S106">
        <f t="shared" si="100"/>
        <v>2.9131754757985835</v>
      </c>
      <c r="T106">
        <f t="shared" si="101"/>
        <v>0.38020087683659332</v>
      </c>
      <c r="U106">
        <f t="shared" si="102"/>
        <v>0.24010137260975786</v>
      </c>
      <c r="V106">
        <f t="shared" si="103"/>
        <v>344.35930065801847</v>
      </c>
      <c r="W106">
        <f t="shared" si="104"/>
        <v>30.956956076197763</v>
      </c>
      <c r="X106">
        <f t="shared" si="105"/>
        <v>29.971900000000002</v>
      </c>
      <c r="Y106">
        <f t="shared" si="106"/>
        <v>4.2535780664323468</v>
      </c>
      <c r="Z106">
        <f t="shared" si="107"/>
        <v>65.327176216619705</v>
      </c>
      <c r="AA106">
        <f t="shared" si="108"/>
        <v>2.8455231395812204</v>
      </c>
      <c r="AB106">
        <f t="shared" si="109"/>
        <v>4.3558030583561314</v>
      </c>
      <c r="AC106">
        <f t="shared" si="110"/>
        <v>1.4080549268511264</v>
      </c>
      <c r="AD106">
        <f t="shared" si="111"/>
        <v>-247.80036343279284</v>
      </c>
      <c r="AE106">
        <f t="shared" si="112"/>
        <v>65.020818128018504</v>
      </c>
      <c r="AF106">
        <f t="shared" si="113"/>
        <v>4.9715763509234279</v>
      </c>
      <c r="AG106">
        <f t="shared" si="114"/>
        <v>166.55133170416758</v>
      </c>
      <c r="AH106">
        <v>0</v>
      </c>
      <c r="AI106">
        <v>0</v>
      </c>
      <c r="AJ106">
        <f t="shared" si="115"/>
        <v>1</v>
      </c>
      <c r="AK106">
        <f t="shared" si="116"/>
        <v>0</v>
      </c>
      <c r="AL106">
        <f t="shared" si="117"/>
        <v>51793.056333940345</v>
      </c>
      <c r="AM106" t="s">
        <v>416</v>
      </c>
      <c r="AN106">
        <v>10238.9</v>
      </c>
      <c r="AO106">
        <v>302.21199999999999</v>
      </c>
      <c r="AP106">
        <v>4052.3</v>
      </c>
      <c r="AQ106">
        <f t="shared" si="118"/>
        <v>0.92542210596451402</v>
      </c>
      <c r="AR106">
        <v>-0.32343011824092421</v>
      </c>
      <c r="AS106" t="s">
        <v>875</v>
      </c>
      <c r="AT106">
        <v>10469.200000000001</v>
      </c>
      <c r="AU106">
        <v>759.138423076923</v>
      </c>
      <c r="AV106">
        <v>813.92090672611744</v>
      </c>
      <c r="AW106">
        <f t="shared" si="119"/>
        <v>6.7306888416897026E-2</v>
      </c>
      <c r="AX106">
        <v>0.5</v>
      </c>
      <c r="AY106">
        <f t="shared" si="120"/>
        <v>1513.1424003290092</v>
      </c>
      <c r="AZ106">
        <f t="shared" si="121"/>
        <v>3.8962711752367301</v>
      </c>
      <c r="BA106">
        <f t="shared" si="122"/>
        <v>50.922453348910174</v>
      </c>
      <c r="BB106">
        <f t="shared" si="123"/>
        <v>2.7887007148568082E-3</v>
      </c>
      <c r="BC106">
        <f t="shared" si="124"/>
        <v>3.9787392933544465</v>
      </c>
      <c r="BD106">
        <f t="shared" si="125"/>
        <v>233.05771658973794</v>
      </c>
      <c r="BE106" t="s">
        <v>876</v>
      </c>
      <c r="BF106">
        <v>588.47</v>
      </c>
      <c r="BG106">
        <f t="shared" si="126"/>
        <v>588.47</v>
      </c>
      <c r="BH106">
        <f t="shared" si="127"/>
        <v>0.27699363029383539</v>
      </c>
      <c r="BI106">
        <f t="shared" si="128"/>
        <v>0.24299074439183946</v>
      </c>
      <c r="BJ106">
        <f t="shared" si="129"/>
        <v>0.93491282576624224</v>
      </c>
      <c r="BK106">
        <f t="shared" si="130"/>
        <v>0.10705790524477958</v>
      </c>
      <c r="BL106">
        <f t="shared" si="131"/>
        <v>0.86354749362518501</v>
      </c>
      <c r="BM106">
        <f t="shared" si="132"/>
        <v>0.18836191003570954</v>
      </c>
      <c r="BN106">
        <f t="shared" si="133"/>
        <v>0.81163808996429043</v>
      </c>
      <c r="BO106">
        <v>5642</v>
      </c>
      <c r="BP106">
        <v>290.00000000000011</v>
      </c>
      <c r="BQ106">
        <v>801.28</v>
      </c>
      <c r="BR106">
        <v>85</v>
      </c>
      <c r="BS106">
        <v>10469.200000000001</v>
      </c>
      <c r="BT106">
        <v>798.37</v>
      </c>
      <c r="BU106">
        <v>2.91</v>
      </c>
      <c r="BV106">
        <v>300.00000000000011</v>
      </c>
      <c r="BW106">
        <v>38.299999999999997</v>
      </c>
      <c r="BX106">
        <v>813.92090672611744</v>
      </c>
      <c r="BY106">
        <v>1.05648878314171</v>
      </c>
      <c r="BZ106">
        <v>-16.282757265704539</v>
      </c>
      <c r="CA106">
        <v>0.90272807338769667</v>
      </c>
      <c r="CB106">
        <v>0.92075697456200034</v>
      </c>
      <c r="CC106">
        <v>-1.133314860956619E-2</v>
      </c>
      <c r="CD106">
        <v>289.99999999999989</v>
      </c>
      <c r="CE106">
        <v>796.81</v>
      </c>
      <c r="CF106">
        <v>655</v>
      </c>
      <c r="CG106">
        <v>10412</v>
      </c>
      <c r="CH106">
        <v>798.28</v>
      </c>
      <c r="CI106">
        <v>-1.47</v>
      </c>
      <c r="CW106">
        <f t="shared" si="134"/>
        <v>1799.95</v>
      </c>
      <c r="CX106">
        <f t="shared" si="135"/>
        <v>1513.1424003290092</v>
      </c>
      <c r="CY106">
        <f t="shared" si="136"/>
        <v>0.84065801846107346</v>
      </c>
      <c r="CZ106">
        <f t="shared" si="137"/>
        <v>0.19131603692214699</v>
      </c>
      <c r="DA106">
        <v>6</v>
      </c>
      <c r="DB106">
        <v>0.5</v>
      </c>
      <c r="DC106" t="s">
        <v>419</v>
      </c>
      <c r="DD106">
        <v>2</v>
      </c>
      <c r="DE106">
        <v>1693344091.5</v>
      </c>
      <c r="DF106">
        <v>25.1586</v>
      </c>
      <c r="DG106">
        <v>30.0062</v>
      </c>
      <c r="DH106">
        <v>28.7943</v>
      </c>
      <c r="DI106">
        <v>22.2423</v>
      </c>
      <c r="DJ106">
        <v>26.31</v>
      </c>
      <c r="DK106">
        <v>28.354700000000001</v>
      </c>
      <c r="DL106">
        <v>499.74900000000002</v>
      </c>
      <c r="DM106">
        <v>98.724000000000004</v>
      </c>
      <c r="DN106">
        <v>9.8445400000000002E-2</v>
      </c>
      <c r="DO106">
        <v>30.385899999999999</v>
      </c>
      <c r="DP106">
        <v>29.971900000000002</v>
      </c>
      <c r="DQ106">
        <v>999.9</v>
      </c>
      <c r="DR106">
        <v>0</v>
      </c>
      <c r="DS106">
        <v>0</v>
      </c>
      <c r="DT106">
        <v>10035</v>
      </c>
      <c r="DU106">
        <v>0</v>
      </c>
      <c r="DV106">
        <v>111.81399999999999</v>
      </c>
      <c r="DW106">
        <v>-4.8476600000000003</v>
      </c>
      <c r="DX106">
        <v>25.904499999999999</v>
      </c>
      <c r="DY106">
        <v>30.688800000000001</v>
      </c>
      <c r="DZ106">
        <v>6.5519299999999996</v>
      </c>
      <c r="EA106">
        <v>30.0062</v>
      </c>
      <c r="EB106">
        <v>22.2423</v>
      </c>
      <c r="EC106">
        <v>2.8426900000000002</v>
      </c>
      <c r="ED106">
        <v>2.1958500000000001</v>
      </c>
      <c r="EE106">
        <v>23.1341</v>
      </c>
      <c r="EF106">
        <v>18.932099999999998</v>
      </c>
      <c r="EG106">
        <v>1799.95</v>
      </c>
      <c r="EH106">
        <v>0.97800399999999998</v>
      </c>
      <c r="EI106">
        <v>2.1996100000000001E-2</v>
      </c>
      <c r="EJ106">
        <v>0</v>
      </c>
      <c r="EK106">
        <v>759.09199999999998</v>
      </c>
      <c r="EL106">
        <v>4.9995000000000003</v>
      </c>
      <c r="EM106">
        <v>14432.8</v>
      </c>
      <c r="EN106">
        <v>16659.3</v>
      </c>
      <c r="EO106">
        <v>50.186999999999998</v>
      </c>
      <c r="EP106">
        <v>50.561999999999998</v>
      </c>
      <c r="EQ106">
        <v>50.936999999999998</v>
      </c>
      <c r="ER106">
        <v>49.811999999999998</v>
      </c>
      <c r="ES106">
        <v>51.125</v>
      </c>
      <c r="ET106">
        <v>1755.47</v>
      </c>
      <c r="EU106">
        <v>39.479999999999997</v>
      </c>
      <c r="EV106">
        <v>0</v>
      </c>
      <c r="EW106">
        <v>115.7999999523163</v>
      </c>
      <c r="EX106">
        <v>0</v>
      </c>
      <c r="EY106">
        <v>759.138423076923</v>
      </c>
      <c r="EZ106">
        <v>-1.3381538402299149</v>
      </c>
      <c r="FA106">
        <v>-18.058119702935681</v>
      </c>
      <c r="FB106">
        <v>14436.47692307692</v>
      </c>
      <c r="FC106">
        <v>15</v>
      </c>
      <c r="FD106">
        <v>1693344059.5</v>
      </c>
      <c r="FE106" t="s">
        <v>877</v>
      </c>
      <c r="FF106">
        <v>1693344056</v>
      </c>
      <c r="FG106">
        <v>1693344059.5</v>
      </c>
      <c r="FH106">
        <v>100</v>
      </c>
      <c r="FI106">
        <v>-9.1999999999999998E-2</v>
      </c>
      <c r="FJ106">
        <v>0</v>
      </c>
      <c r="FK106">
        <v>-1.1639999999999999</v>
      </c>
      <c r="FL106">
        <v>0.16200000000000001</v>
      </c>
      <c r="FM106">
        <v>30</v>
      </c>
      <c r="FN106">
        <v>22</v>
      </c>
      <c r="FO106">
        <v>0.55000000000000004</v>
      </c>
      <c r="FP106">
        <v>0.04</v>
      </c>
      <c r="FQ106">
        <v>3.8771274618882479</v>
      </c>
      <c r="FR106">
        <v>3.8680160394145242E-2</v>
      </c>
      <c r="FS106">
        <v>4.6574986289636057E-2</v>
      </c>
      <c r="FT106">
        <v>1</v>
      </c>
      <c r="FU106">
        <v>0.41001768901455599</v>
      </c>
      <c r="FV106">
        <v>4.5829602859265878E-2</v>
      </c>
      <c r="FW106">
        <v>4.1808060256546308E-3</v>
      </c>
      <c r="FX106">
        <v>1</v>
      </c>
      <c r="FY106">
        <v>2</v>
      </c>
      <c r="FZ106">
        <v>2</v>
      </c>
      <c r="GA106" t="s">
        <v>421</v>
      </c>
      <c r="GB106">
        <v>2.96827</v>
      </c>
      <c r="GC106">
        <v>2.8104399999999998</v>
      </c>
      <c r="GD106">
        <v>7.5644600000000003E-3</v>
      </c>
      <c r="GE106">
        <v>8.5163600000000006E-3</v>
      </c>
      <c r="GF106">
        <v>0.13414100000000001</v>
      </c>
      <c r="GG106">
        <v>0.111599</v>
      </c>
      <c r="GH106">
        <v>29290.7</v>
      </c>
      <c r="GI106">
        <v>26944.3</v>
      </c>
      <c r="GJ106">
        <v>26531.3</v>
      </c>
      <c r="GK106">
        <v>25644.400000000001</v>
      </c>
      <c r="GL106">
        <v>31246.2</v>
      </c>
      <c r="GM106">
        <v>32105.7</v>
      </c>
      <c r="GN106">
        <v>37553.4</v>
      </c>
      <c r="GO106">
        <v>37961.800000000003</v>
      </c>
      <c r="GP106">
        <v>1.9547000000000001</v>
      </c>
      <c r="GQ106">
        <v>1.9621</v>
      </c>
      <c r="GR106">
        <v>4.3064400000000003E-2</v>
      </c>
      <c r="GS106">
        <v>0</v>
      </c>
      <c r="GT106">
        <v>29.270600000000002</v>
      </c>
      <c r="GU106">
        <v>999.9</v>
      </c>
      <c r="GV106">
        <v>48</v>
      </c>
      <c r="GW106">
        <v>35.700000000000003</v>
      </c>
      <c r="GX106">
        <v>28.5458</v>
      </c>
      <c r="GY106">
        <v>61.6083</v>
      </c>
      <c r="GZ106">
        <v>13.0128</v>
      </c>
      <c r="HA106">
        <v>1</v>
      </c>
      <c r="HB106">
        <v>0.419543</v>
      </c>
      <c r="HC106">
        <v>2.38001</v>
      </c>
      <c r="HD106">
        <v>20.2881</v>
      </c>
      <c r="HE106">
        <v>5.1969200000000004</v>
      </c>
      <c r="HF106">
        <v>11.9351</v>
      </c>
      <c r="HG106">
        <v>4.9843999999999999</v>
      </c>
      <c r="HH106">
        <v>3.2883</v>
      </c>
      <c r="HI106">
        <v>9999</v>
      </c>
      <c r="HJ106">
        <v>9999</v>
      </c>
      <c r="HK106">
        <v>9999</v>
      </c>
      <c r="HL106">
        <v>999.9</v>
      </c>
      <c r="HM106">
        <v>1.8700600000000001</v>
      </c>
      <c r="HN106">
        <v>1.8763099999999999</v>
      </c>
      <c r="HO106">
        <v>1.87408</v>
      </c>
      <c r="HP106">
        <v>1.87225</v>
      </c>
      <c r="HQ106">
        <v>1.8727100000000001</v>
      </c>
      <c r="HR106">
        <v>1.87015</v>
      </c>
      <c r="HS106">
        <v>1.8760699999999999</v>
      </c>
      <c r="HT106">
        <v>1.8751500000000001</v>
      </c>
      <c r="HU106">
        <v>5</v>
      </c>
      <c r="HV106">
        <v>0</v>
      </c>
      <c r="HW106">
        <v>0</v>
      </c>
      <c r="HX106">
        <v>0</v>
      </c>
      <c r="HY106" t="s">
        <v>422</v>
      </c>
      <c r="HZ106" t="s">
        <v>423</v>
      </c>
      <c r="IA106" t="s">
        <v>424</v>
      </c>
      <c r="IB106" t="s">
        <v>424</v>
      </c>
      <c r="IC106" t="s">
        <v>424</v>
      </c>
      <c r="ID106" t="s">
        <v>424</v>
      </c>
      <c r="IE106">
        <v>0</v>
      </c>
      <c r="IF106">
        <v>100</v>
      </c>
      <c r="IG106">
        <v>100</v>
      </c>
      <c r="IH106">
        <v>-1.151</v>
      </c>
      <c r="II106">
        <v>0.43959999999999999</v>
      </c>
      <c r="IJ106">
        <v>-1.0823638441893171</v>
      </c>
      <c r="IK106">
        <v>-2.677719669153116E-3</v>
      </c>
      <c r="IL106">
        <v>1.9353498771248068E-6</v>
      </c>
      <c r="IM106">
        <v>-6.1862177325538213E-10</v>
      </c>
      <c r="IN106">
        <v>-0.19156180168435841</v>
      </c>
      <c r="IO106">
        <v>-1.5299015507423901E-2</v>
      </c>
      <c r="IP106">
        <v>1.742162107778985E-3</v>
      </c>
      <c r="IQ106">
        <v>-1.472690239905804E-5</v>
      </c>
      <c r="IR106">
        <v>3</v>
      </c>
      <c r="IS106">
        <v>2255</v>
      </c>
      <c r="IT106">
        <v>2</v>
      </c>
      <c r="IU106">
        <v>41</v>
      </c>
      <c r="IV106">
        <v>0.6</v>
      </c>
      <c r="IW106">
        <v>0.5</v>
      </c>
      <c r="IX106">
        <v>0.21362300000000001</v>
      </c>
      <c r="IY106">
        <v>2.5671400000000002</v>
      </c>
      <c r="IZ106">
        <v>1.6003400000000001</v>
      </c>
      <c r="JA106">
        <v>2.2680699999999998</v>
      </c>
      <c r="JB106">
        <v>1.5502899999999999</v>
      </c>
      <c r="JC106">
        <v>2.32666</v>
      </c>
      <c r="JD106">
        <v>38.550400000000003</v>
      </c>
      <c r="JE106">
        <v>15.681800000000001</v>
      </c>
      <c r="JF106">
        <v>18</v>
      </c>
      <c r="JG106">
        <v>506.40499999999997</v>
      </c>
      <c r="JH106">
        <v>479.71</v>
      </c>
      <c r="JI106">
        <v>26.1905</v>
      </c>
      <c r="JJ106">
        <v>32.665100000000002</v>
      </c>
      <c r="JK106">
        <v>29.9999</v>
      </c>
      <c r="JL106">
        <v>32.705100000000002</v>
      </c>
      <c r="JM106">
        <v>32.671300000000002</v>
      </c>
      <c r="JN106">
        <v>4.3249700000000004</v>
      </c>
      <c r="JO106">
        <v>32.168399999999998</v>
      </c>
      <c r="JP106">
        <v>45.267899999999997</v>
      </c>
      <c r="JQ106">
        <v>26.201699999999999</v>
      </c>
      <c r="JR106">
        <v>30</v>
      </c>
      <c r="JS106">
        <v>22.192499999999999</v>
      </c>
      <c r="JT106">
        <v>99.048900000000003</v>
      </c>
      <c r="JU106">
        <v>98.591700000000003</v>
      </c>
    </row>
    <row r="107" spans="1:281" x14ac:dyDescent="0.25">
      <c r="A107">
        <v>91</v>
      </c>
      <c r="B107">
        <v>1693344196</v>
      </c>
      <c r="C107">
        <v>21898.900000095371</v>
      </c>
      <c r="D107" t="s">
        <v>878</v>
      </c>
      <c r="E107" t="s">
        <v>879</v>
      </c>
      <c r="F107" t="s">
        <v>413</v>
      </c>
      <c r="G107" t="s">
        <v>636</v>
      </c>
      <c r="H107" t="s">
        <v>31</v>
      </c>
      <c r="I107" t="s">
        <v>31</v>
      </c>
      <c r="J107">
        <v>1693344196</v>
      </c>
      <c r="K107">
        <f t="shared" si="92"/>
        <v>5.7073302649588388E-3</v>
      </c>
      <c r="L107">
        <f t="shared" si="93"/>
        <v>5.7073302649588387</v>
      </c>
      <c r="M107">
        <f t="shared" si="94"/>
        <v>1.2879375687413162</v>
      </c>
      <c r="N107">
        <f t="shared" si="95"/>
        <v>8.4087899999999998</v>
      </c>
      <c r="O107">
        <f t="shared" si="96"/>
        <v>3.0247815319454467</v>
      </c>
      <c r="P107">
        <f t="shared" si="97"/>
        <v>0.29892451885955384</v>
      </c>
      <c r="Q107">
        <f t="shared" si="98"/>
        <v>0.83100001715639993</v>
      </c>
      <c r="R107">
        <f t="shared" si="99"/>
        <v>0.41926432665248964</v>
      </c>
      <c r="S107">
        <f t="shared" si="100"/>
        <v>2.9027152698948964</v>
      </c>
      <c r="T107">
        <f t="shared" si="101"/>
        <v>0.38829412192058516</v>
      </c>
      <c r="U107">
        <f t="shared" si="102"/>
        <v>0.24527545991006006</v>
      </c>
      <c r="V107">
        <f t="shared" si="103"/>
        <v>344.37640065798558</v>
      </c>
      <c r="W107">
        <f t="shared" si="104"/>
        <v>31.012038943570801</v>
      </c>
      <c r="X107">
        <f t="shared" si="105"/>
        <v>30.0306</v>
      </c>
      <c r="Y107">
        <f t="shared" si="106"/>
        <v>4.2679438424805225</v>
      </c>
      <c r="Z107">
        <f t="shared" si="107"/>
        <v>65.552131725612881</v>
      </c>
      <c r="AA107">
        <f t="shared" si="108"/>
        <v>2.8678073180399997</v>
      </c>
      <c r="AB107">
        <f t="shared" si="109"/>
        <v>4.3748498218853111</v>
      </c>
      <c r="AC107">
        <f t="shared" si="110"/>
        <v>1.4001365244405228</v>
      </c>
      <c r="AD107">
        <f t="shared" si="111"/>
        <v>-251.69326468468478</v>
      </c>
      <c r="AE107">
        <f t="shared" si="112"/>
        <v>67.525946599592501</v>
      </c>
      <c r="AF107">
        <f t="shared" si="113"/>
        <v>5.1851869307070633</v>
      </c>
      <c r="AG107">
        <f t="shared" si="114"/>
        <v>165.39426950360036</v>
      </c>
      <c r="AH107">
        <v>0</v>
      </c>
      <c r="AI107">
        <v>0</v>
      </c>
      <c r="AJ107">
        <f t="shared" si="115"/>
        <v>1</v>
      </c>
      <c r="AK107">
        <f t="shared" si="116"/>
        <v>0</v>
      </c>
      <c r="AL107">
        <f t="shared" si="117"/>
        <v>51483.630252039176</v>
      </c>
      <c r="AM107" t="s">
        <v>416</v>
      </c>
      <c r="AN107">
        <v>10238.9</v>
      </c>
      <c r="AO107">
        <v>302.21199999999999</v>
      </c>
      <c r="AP107">
        <v>4052.3</v>
      </c>
      <c r="AQ107">
        <f t="shared" si="118"/>
        <v>0.92542210596451402</v>
      </c>
      <c r="AR107">
        <v>-0.32343011824092421</v>
      </c>
      <c r="AS107" t="s">
        <v>880</v>
      </c>
      <c r="AT107">
        <v>10469.700000000001</v>
      </c>
      <c r="AU107">
        <v>763.65353846153857</v>
      </c>
      <c r="AV107">
        <v>809.18949102443321</v>
      </c>
      <c r="AW107">
        <f t="shared" si="119"/>
        <v>5.6273534280884108E-2</v>
      </c>
      <c r="AX107">
        <v>0.5</v>
      </c>
      <c r="AY107">
        <f t="shared" si="120"/>
        <v>1513.2180003289927</v>
      </c>
      <c r="AZ107">
        <f t="shared" si="121"/>
        <v>1.2879375687413162</v>
      </c>
      <c r="BA107">
        <f t="shared" si="122"/>
        <v>42.577062507982234</v>
      </c>
      <c r="BB107">
        <f t="shared" si="123"/>
        <v>1.0648615643165152E-3</v>
      </c>
      <c r="BC107">
        <f t="shared" si="124"/>
        <v>4.0078505034337404</v>
      </c>
      <c r="BD107">
        <f t="shared" si="125"/>
        <v>232.66817024790481</v>
      </c>
      <c r="BE107" t="s">
        <v>881</v>
      </c>
      <c r="BF107">
        <v>602.04999999999995</v>
      </c>
      <c r="BG107">
        <f t="shared" si="126"/>
        <v>602.04999999999995</v>
      </c>
      <c r="BH107">
        <f t="shared" si="127"/>
        <v>0.25598391145959498</v>
      </c>
      <c r="BI107">
        <f t="shared" si="128"/>
        <v>0.21983230883541863</v>
      </c>
      <c r="BJ107">
        <f t="shared" si="129"/>
        <v>0.93996391825971071</v>
      </c>
      <c r="BK107">
        <f t="shared" si="130"/>
        <v>8.9818489714171709E-2</v>
      </c>
      <c r="BL107">
        <f t="shared" si="131"/>
        <v>0.86480917487151421</v>
      </c>
      <c r="BM107">
        <f t="shared" si="132"/>
        <v>0.17331163265608254</v>
      </c>
      <c r="BN107">
        <f t="shared" si="133"/>
        <v>0.82668836734391749</v>
      </c>
      <c r="BO107">
        <v>5644</v>
      </c>
      <c r="BP107">
        <v>290.00000000000011</v>
      </c>
      <c r="BQ107">
        <v>798.81</v>
      </c>
      <c r="BR107">
        <v>85</v>
      </c>
      <c r="BS107">
        <v>10469.700000000001</v>
      </c>
      <c r="BT107">
        <v>795.04</v>
      </c>
      <c r="BU107">
        <v>3.77</v>
      </c>
      <c r="BV107">
        <v>300.00000000000011</v>
      </c>
      <c r="BW107">
        <v>38.299999999999997</v>
      </c>
      <c r="BX107">
        <v>809.18949102443321</v>
      </c>
      <c r="BY107">
        <v>0.78658131199656989</v>
      </c>
      <c r="BZ107">
        <v>-14.817780656142441</v>
      </c>
      <c r="CA107">
        <v>0.67213199648094946</v>
      </c>
      <c r="CB107">
        <v>0.94552777213699146</v>
      </c>
      <c r="CC107">
        <v>-1.133341201334816E-2</v>
      </c>
      <c r="CD107">
        <v>289.99999999999989</v>
      </c>
      <c r="CE107">
        <v>793.28</v>
      </c>
      <c r="CF107">
        <v>805</v>
      </c>
      <c r="CG107">
        <v>10398.6</v>
      </c>
      <c r="CH107">
        <v>794.94</v>
      </c>
      <c r="CI107">
        <v>-1.66</v>
      </c>
      <c r="CW107">
        <f t="shared" si="134"/>
        <v>1800.04</v>
      </c>
      <c r="CX107">
        <f t="shared" si="135"/>
        <v>1513.2180003289927</v>
      </c>
      <c r="CY107">
        <f t="shared" si="136"/>
        <v>0.84065798556087235</v>
      </c>
      <c r="CZ107">
        <f t="shared" si="137"/>
        <v>0.19131597112174484</v>
      </c>
      <c r="DA107">
        <v>6</v>
      </c>
      <c r="DB107">
        <v>0.5</v>
      </c>
      <c r="DC107" t="s">
        <v>419</v>
      </c>
      <c r="DD107">
        <v>2</v>
      </c>
      <c r="DE107">
        <v>1693344196</v>
      </c>
      <c r="DF107">
        <v>8.4087899999999998</v>
      </c>
      <c r="DG107">
        <v>10.011699999999999</v>
      </c>
      <c r="DH107">
        <v>29.018999999999998</v>
      </c>
      <c r="DI107">
        <v>22.369800000000001</v>
      </c>
      <c r="DJ107">
        <v>9.5812899999999992</v>
      </c>
      <c r="DK107">
        <v>28.566299999999998</v>
      </c>
      <c r="DL107">
        <v>500.06400000000002</v>
      </c>
      <c r="DM107">
        <v>98.724999999999994</v>
      </c>
      <c r="DN107">
        <v>0.10016</v>
      </c>
      <c r="DO107">
        <v>30.4621</v>
      </c>
      <c r="DP107">
        <v>30.0306</v>
      </c>
      <c r="DQ107">
        <v>999.9</v>
      </c>
      <c r="DR107">
        <v>0</v>
      </c>
      <c r="DS107">
        <v>0</v>
      </c>
      <c r="DT107">
        <v>9975</v>
      </c>
      <c r="DU107">
        <v>0</v>
      </c>
      <c r="DV107">
        <v>113.16500000000001</v>
      </c>
      <c r="DW107">
        <v>-1.6029199999999999</v>
      </c>
      <c r="DX107">
        <v>8.6600999999999999</v>
      </c>
      <c r="DY107">
        <v>10.2408</v>
      </c>
      <c r="DZ107">
        <v>6.6492399999999998</v>
      </c>
      <c r="EA107">
        <v>10.011699999999999</v>
      </c>
      <c r="EB107">
        <v>22.369800000000001</v>
      </c>
      <c r="EC107">
        <v>2.8649</v>
      </c>
      <c r="ED107">
        <v>2.2084600000000001</v>
      </c>
      <c r="EE107">
        <v>23.262899999999998</v>
      </c>
      <c r="EF107">
        <v>19.023800000000001</v>
      </c>
      <c r="EG107">
        <v>1800.04</v>
      </c>
      <c r="EH107">
        <v>0.97800399999999998</v>
      </c>
      <c r="EI107">
        <v>2.1996100000000001E-2</v>
      </c>
      <c r="EJ107">
        <v>0</v>
      </c>
      <c r="EK107">
        <v>763.57299999999998</v>
      </c>
      <c r="EL107">
        <v>4.9995000000000003</v>
      </c>
      <c r="EM107">
        <v>14495</v>
      </c>
      <c r="EN107">
        <v>16660.2</v>
      </c>
      <c r="EO107">
        <v>50.125</v>
      </c>
      <c r="EP107">
        <v>50.5</v>
      </c>
      <c r="EQ107">
        <v>50.811999999999998</v>
      </c>
      <c r="ER107">
        <v>49.75</v>
      </c>
      <c r="ES107">
        <v>51.125</v>
      </c>
      <c r="ET107">
        <v>1755.56</v>
      </c>
      <c r="EU107">
        <v>39.479999999999997</v>
      </c>
      <c r="EV107">
        <v>0</v>
      </c>
      <c r="EW107">
        <v>102.5999999046326</v>
      </c>
      <c r="EX107">
        <v>0</v>
      </c>
      <c r="EY107">
        <v>763.65353846153857</v>
      </c>
      <c r="EZ107">
        <v>-0.99692306715527346</v>
      </c>
      <c r="FA107">
        <v>-30.988034076435149</v>
      </c>
      <c r="FB107">
        <v>14498.876923076919</v>
      </c>
      <c r="FC107">
        <v>15</v>
      </c>
      <c r="FD107">
        <v>1693344169.5</v>
      </c>
      <c r="FE107" t="s">
        <v>882</v>
      </c>
      <c r="FF107">
        <v>1693344162.5</v>
      </c>
      <c r="FG107">
        <v>1693344169.5</v>
      </c>
      <c r="FH107">
        <v>101</v>
      </c>
      <c r="FI107">
        <v>-6.5000000000000002E-2</v>
      </c>
      <c r="FJ107">
        <v>3.0000000000000001E-3</v>
      </c>
      <c r="FK107">
        <v>-1.177</v>
      </c>
      <c r="FL107">
        <v>0.158</v>
      </c>
      <c r="FM107">
        <v>10</v>
      </c>
      <c r="FN107">
        <v>22</v>
      </c>
      <c r="FO107">
        <v>0.55000000000000004</v>
      </c>
      <c r="FP107">
        <v>0.05</v>
      </c>
      <c r="FQ107">
        <v>1.332168870758077</v>
      </c>
      <c r="FR107">
        <v>-5.7302453426233191E-2</v>
      </c>
      <c r="FS107">
        <v>4.0672330545483658E-2</v>
      </c>
      <c r="FT107">
        <v>1</v>
      </c>
      <c r="FU107">
        <v>0.4137637872844252</v>
      </c>
      <c r="FV107">
        <v>4.2421713292822717E-2</v>
      </c>
      <c r="FW107">
        <v>4.8235028848417046E-3</v>
      </c>
      <c r="FX107">
        <v>1</v>
      </c>
      <c r="FY107">
        <v>2</v>
      </c>
      <c r="FZ107">
        <v>2</v>
      </c>
      <c r="GA107" t="s">
        <v>421</v>
      </c>
      <c r="GB107">
        <v>2.9691000000000001</v>
      </c>
      <c r="GC107">
        <v>2.8116400000000001</v>
      </c>
      <c r="GD107">
        <v>2.75567E-3</v>
      </c>
      <c r="GE107">
        <v>2.8422500000000002E-3</v>
      </c>
      <c r="GF107">
        <v>0.134853</v>
      </c>
      <c r="GG107">
        <v>0.11206000000000001</v>
      </c>
      <c r="GH107">
        <v>29434.2</v>
      </c>
      <c r="GI107">
        <v>27100.799999999999</v>
      </c>
      <c r="GJ107">
        <v>26532.6</v>
      </c>
      <c r="GK107">
        <v>25646.5</v>
      </c>
      <c r="GL107">
        <v>31220.7</v>
      </c>
      <c r="GM107">
        <v>32091</v>
      </c>
      <c r="GN107">
        <v>37554.699999999997</v>
      </c>
      <c r="GO107">
        <v>37964.6</v>
      </c>
      <c r="GP107">
        <v>1.9551000000000001</v>
      </c>
      <c r="GQ107">
        <v>1.9631000000000001</v>
      </c>
      <c r="GR107">
        <v>4.3004800000000003E-2</v>
      </c>
      <c r="GS107">
        <v>0</v>
      </c>
      <c r="GT107">
        <v>29.330400000000001</v>
      </c>
      <c r="GU107">
        <v>999.9</v>
      </c>
      <c r="GV107">
        <v>47.9</v>
      </c>
      <c r="GW107">
        <v>35.700000000000003</v>
      </c>
      <c r="GX107">
        <v>28.4863</v>
      </c>
      <c r="GY107">
        <v>61.578299999999999</v>
      </c>
      <c r="GZ107">
        <v>13.1691</v>
      </c>
      <c r="HA107">
        <v>1</v>
      </c>
      <c r="HB107">
        <v>0.418354</v>
      </c>
      <c r="HC107">
        <v>2.9494799999999999</v>
      </c>
      <c r="HD107">
        <v>20.280799999999999</v>
      </c>
      <c r="HE107">
        <v>5.2077099999999996</v>
      </c>
      <c r="HF107">
        <v>11.9381</v>
      </c>
      <c r="HG107">
        <v>4.9875999999999996</v>
      </c>
      <c r="HH107">
        <v>3.2909999999999999</v>
      </c>
      <c r="HI107">
        <v>9999</v>
      </c>
      <c r="HJ107">
        <v>9999</v>
      </c>
      <c r="HK107">
        <v>9999</v>
      </c>
      <c r="HL107">
        <v>999.9</v>
      </c>
      <c r="HM107">
        <v>1.87002</v>
      </c>
      <c r="HN107">
        <v>1.87625</v>
      </c>
      <c r="HO107">
        <v>1.87408</v>
      </c>
      <c r="HP107">
        <v>1.8722700000000001</v>
      </c>
      <c r="HQ107">
        <v>1.8727100000000001</v>
      </c>
      <c r="HR107">
        <v>1.87012</v>
      </c>
      <c r="HS107">
        <v>1.8760699999999999</v>
      </c>
      <c r="HT107">
        <v>1.8751500000000001</v>
      </c>
      <c r="HU107">
        <v>5</v>
      </c>
      <c r="HV107">
        <v>0</v>
      </c>
      <c r="HW107">
        <v>0</v>
      </c>
      <c r="HX107">
        <v>0</v>
      </c>
      <c r="HY107" t="s">
        <v>422</v>
      </c>
      <c r="HZ107" t="s">
        <v>423</v>
      </c>
      <c r="IA107" t="s">
        <v>424</v>
      </c>
      <c r="IB107" t="s">
        <v>424</v>
      </c>
      <c r="IC107" t="s">
        <v>424</v>
      </c>
      <c r="ID107" t="s">
        <v>424</v>
      </c>
      <c r="IE107">
        <v>0</v>
      </c>
      <c r="IF107">
        <v>100</v>
      </c>
      <c r="IG107">
        <v>100</v>
      </c>
      <c r="IH107">
        <v>-1.1719999999999999</v>
      </c>
      <c r="II107">
        <v>0.45269999999999999</v>
      </c>
      <c r="IJ107">
        <v>-1.1470190906038551</v>
      </c>
      <c r="IK107">
        <v>-2.677719669153116E-3</v>
      </c>
      <c r="IL107">
        <v>1.9353498771248068E-6</v>
      </c>
      <c r="IM107">
        <v>-6.1862177325538213E-10</v>
      </c>
      <c r="IN107">
        <v>-0.18857585072701491</v>
      </c>
      <c r="IO107">
        <v>-1.5299015507423901E-2</v>
      </c>
      <c r="IP107">
        <v>1.742162107778985E-3</v>
      </c>
      <c r="IQ107">
        <v>-1.472690239905804E-5</v>
      </c>
      <c r="IR107">
        <v>3</v>
      </c>
      <c r="IS107">
        <v>2255</v>
      </c>
      <c r="IT107">
        <v>2</v>
      </c>
      <c r="IU107">
        <v>41</v>
      </c>
      <c r="IV107">
        <v>0.6</v>
      </c>
      <c r="IW107">
        <v>0.4</v>
      </c>
      <c r="IX107">
        <v>0.17456099999999999</v>
      </c>
      <c r="IY107">
        <v>2.5793499999999998</v>
      </c>
      <c r="IZ107">
        <v>1.5991200000000001</v>
      </c>
      <c r="JA107">
        <v>2.2680699999999998</v>
      </c>
      <c r="JB107">
        <v>1.5502899999999999</v>
      </c>
      <c r="JC107">
        <v>2.3718300000000001</v>
      </c>
      <c r="JD107">
        <v>38.550400000000003</v>
      </c>
      <c r="JE107">
        <v>15.664300000000001</v>
      </c>
      <c r="JF107">
        <v>18</v>
      </c>
      <c r="JG107">
        <v>506.34300000000002</v>
      </c>
      <c r="JH107">
        <v>480.041</v>
      </c>
      <c r="JI107">
        <v>25.920100000000001</v>
      </c>
      <c r="JJ107">
        <v>32.621400000000001</v>
      </c>
      <c r="JK107">
        <v>30.000399999999999</v>
      </c>
      <c r="JL107">
        <v>32.6646</v>
      </c>
      <c r="JM107">
        <v>32.631</v>
      </c>
      <c r="JN107">
        <v>3.5403899999999999</v>
      </c>
      <c r="JO107">
        <v>31.297999999999998</v>
      </c>
      <c r="JP107">
        <v>44.440399999999997</v>
      </c>
      <c r="JQ107">
        <v>25.9023</v>
      </c>
      <c r="JR107">
        <v>10</v>
      </c>
      <c r="JS107">
        <v>22.2683</v>
      </c>
      <c r="JT107">
        <v>99.052899999999994</v>
      </c>
      <c r="JU107">
        <v>98.599299999999999</v>
      </c>
    </row>
    <row r="108" spans="1:281" x14ac:dyDescent="0.25">
      <c r="A108">
        <v>92</v>
      </c>
      <c r="B108">
        <v>1693344385.5</v>
      </c>
      <c r="C108">
        <v>22088.400000095371</v>
      </c>
      <c r="D108" t="s">
        <v>883</v>
      </c>
      <c r="E108" t="s">
        <v>884</v>
      </c>
      <c r="F108" t="s">
        <v>413</v>
      </c>
      <c r="G108" t="s">
        <v>636</v>
      </c>
      <c r="H108" t="s">
        <v>31</v>
      </c>
      <c r="I108" t="s">
        <v>31</v>
      </c>
      <c r="J108">
        <v>1693344385.5</v>
      </c>
      <c r="K108">
        <f t="shared" si="92"/>
        <v>5.6743813149890262E-3</v>
      </c>
      <c r="L108">
        <f t="shared" si="93"/>
        <v>5.6743813149890263</v>
      </c>
      <c r="M108">
        <f t="shared" si="94"/>
        <v>33.525687163288204</v>
      </c>
      <c r="N108">
        <f t="shared" si="95"/>
        <v>357.32499999999999</v>
      </c>
      <c r="O108">
        <f t="shared" si="96"/>
        <v>210.53997202995595</v>
      </c>
      <c r="P108">
        <f t="shared" si="97"/>
        <v>20.806439629895394</v>
      </c>
      <c r="Q108">
        <f t="shared" si="98"/>
        <v>35.312349332384997</v>
      </c>
      <c r="R108">
        <f t="shared" si="99"/>
        <v>0.40839066396657242</v>
      </c>
      <c r="S108">
        <f t="shared" si="100"/>
        <v>2.9157990321592226</v>
      </c>
      <c r="T108">
        <f t="shared" si="101"/>
        <v>0.37906756798822572</v>
      </c>
      <c r="U108">
        <f t="shared" si="102"/>
        <v>0.23937610560540767</v>
      </c>
      <c r="V108">
        <f t="shared" si="103"/>
        <v>344.35550065802579</v>
      </c>
      <c r="W108">
        <f t="shared" si="104"/>
        <v>31.013211096996113</v>
      </c>
      <c r="X108">
        <f t="shared" si="105"/>
        <v>30.0304</v>
      </c>
      <c r="Y108">
        <f t="shared" si="106"/>
        <v>4.2678948243582431</v>
      </c>
      <c r="Z108">
        <f t="shared" si="107"/>
        <v>64.975754415356974</v>
      </c>
      <c r="AA108">
        <f t="shared" si="108"/>
        <v>2.8417781743990198</v>
      </c>
      <c r="AB108">
        <f t="shared" si="109"/>
        <v>4.3735978134751248</v>
      </c>
      <c r="AC108">
        <f t="shared" si="110"/>
        <v>1.4261166499592233</v>
      </c>
      <c r="AD108">
        <f t="shared" si="111"/>
        <v>-250.24021599101604</v>
      </c>
      <c r="AE108">
        <f t="shared" si="112"/>
        <v>67.075771051868472</v>
      </c>
      <c r="AF108">
        <f t="shared" si="113"/>
        <v>5.127375039143522</v>
      </c>
      <c r="AG108">
        <f t="shared" si="114"/>
        <v>166.31843075802175</v>
      </c>
      <c r="AH108">
        <v>0</v>
      </c>
      <c r="AI108">
        <v>0</v>
      </c>
      <c r="AJ108">
        <f t="shared" si="115"/>
        <v>1</v>
      </c>
      <c r="AK108">
        <f t="shared" si="116"/>
        <v>0</v>
      </c>
      <c r="AL108">
        <f t="shared" si="117"/>
        <v>51855.374876437658</v>
      </c>
      <c r="AM108" t="s">
        <v>416</v>
      </c>
      <c r="AN108">
        <v>10238.9</v>
      </c>
      <c r="AO108">
        <v>302.21199999999999</v>
      </c>
      <c r="AP108">
        <v>4052.3</v>
      </c>
      <c r="AQ108">
        <f t="shared" si="118"/>
        <v>0.92542210596451402</v>
      </c>
      <c r="AR108">
        <v>-0.32343011824092421</v>
      </c>
      <c r="AS108" t="s">
        <v>885</v>
      </c>
      <c r="AT108">
        <v>10446.1</v>
      </c>
      <c r="AU108">
        <v>722.11573076923082</v>
      </c>
      <c r="AV108">
        <v>956.80928535689213</v>
      </c>
      <c r="AW108">
        <f t="shared" si="119"/>
        <v>0.24528770589858984</v>
      </c>
      <c r="AX108">
        <v>0.5</v>
      </c>
      <c r="AY108">
        <f t="shared" si="120"/>
        <v>1513.125600329013</v>
      </c>
      <c r="AZ108">
        <f t="shared" si="121"/>
        <v>33.525687163288204</v>
      </c>
      <c r="BA108">
        <f t="shared" si="122"/>
        <v>185.57555362056507</v>
      </c>
      <c r="BB108">
        <f t="shared" si="123"/>
        <v>2.2370328857147747E-2</v>
      </c>
      <c r="BC108">
        <f t="shared" si="124"/>
        <v>3.2352222768077366</v>
      </c>
      <c r="BD108">
        <f t="shared" si="125"/>
        <v>243.46880499072296</v>
      </c>
      <c r="BE108" t="s">
        <v>886</v>
      </c>
      <c r="BF108">
        <v>567</v>
      </c>
      <c r="BG108">
        <f t="shared" si="126"/>
        <v>567</v>
      </c>
      <c r="BH108">
        <f t="shared" si="127"/>
        <v>0.40740541644251738</v>
      </c>
      <c r="BI108">
        <f t="shared" si="128"/>
        <v>0.60207276584698666</v>
      </c>
      <c r="BJ108">
        <f t="shared" si="129"/>
        <v>0.8881561744019475</v>
      </c>
      <c r="BK108">
        <f t="shared" si="130"/>
        <v>0.35853120664822852</v>
      </c>
      <c r="BL108">
        <f t="shared" si="131"/>
        <v>0.82544482013304954</v>
      </c>
      <c r="BM108">
        <f t="shared" si="132"/>
        <v>0.47274314031573977</v>
      </c>
      <c r="BN108">
        <f t="shared" si="133"/>
        <v>0.52725685968426017</v>
      </c>
      <c r="BO108">
        <v>5646</v>
      </c>
      <c r="BP108">
        <v>290.00000000000011</v>
      </c>
      <c r="BQ108">
        <v>891.75</v>
      </c>
      <c r="BR108">
        <v>185</v>
      </c>
      <c r="BS108">
        <v>10446.1</v>
      </c>
      <c r="BT108">
        <v>891.13</v>
      </c>
      <c r="BU108">
        <v>0.62</v>
      </c>
      <c r="BV108">
        <v>300.00000000000011</v>
      </c>
      <c r="BW108">
        <v>38.299999999999997</v>
      </c>
      <c r="BX108">
        <v>956.80928535689213</v>
      </c>
      <c r="BY108">
        <v>1.3147686070442031</v>
      </c>
      <c r="BZ108">
        <v>-68.60887641888209</v>
      </c>
      <c r="CA108">
        <v>1.1235201697366759</v>
      </c>
      <c r="CB108">
        <v>0.99254735558280416</v>
      </c>
      <c r="CC108">
        <v>-1.133470878754173E-2</v>
      </c>
      <c r="CD108">
        <v>289.99999999999989</v>
      </c>
      <c r="CE108">
        <v>882.86</v>
      </c>
      <c r="CF108">
        <v>635</v>
      </c>
      <c r="CG108">
        <v>10414.9</v>
      </c>
      <c r="CH108">
        <v>890.93</v>
      </c>
      <c r="CI108">
        <v>-8.07</v>
      </c>
      <c r="CW108">
        <f t="shared" si="134"/>
        <v>1799.93</v>
      </c>
      <c r="CX108">
        <f t="shared" si="135"/>
        <v>1513.125600329013</v>
      </c>
      <c r="CY108">
        <f t="shared" si="136"/>
        <v>0.84065802577267612</v>
      </c>
      <c r="CZ108">
        <f t="shared" si="137"/>
        <v>0.19131605154535219</v>
      </c>
      <c r="DA108">
        <v>6</v>
      </c>
      <c r="DB108">
        <v>0.5</v>
      </c>
      <c r="DC108" t="s">
        <v>419</v>
      </c>
      <c r="DD108">
        <v>2</v>
      </c>
      <c r="DE108">
        <v>1693344385.5</v>
      </c>
      <c r="DF108">
        <v>357.32499999999999</v>
      </c>
      <c r="DG108">
        <v>399.97699999999998</v>
      </c>
      <c r="DH108">
        <v>28.7559</v>
      </c>
      <c r="DI108">
        <v>22.144300000000001</v>
      </c>
      <c r="DJ108">
        <v>359.024</v>
      </c>
      <c r="DK108">
        <v>28.319500000000001</v>
      </c>
      <c r="DL108">
        <v>500.14</v>
      </c>
      <c r="DM108">
        <v>98.724599999999995</v>
      </c>
      <c r="DN108">
        <v>9.9577799999999994E-2</v>
      </c>
      <c r="DO108">
        <v>30.457100000000001</v>
      </c>
      <c r="DP108">
        <v>30.0304</v>
      </c>
      <c r="DQ108">
        <v>999.9</v>
      </c>
      <c r="DR108">
        <v>0</v>
      </c>
      <c r="DS108">
        <v>0</v>
      </c>
      <c r="DT108">
        <v>10050</v>
      </c>
      <c r="DU108">
        <v>0</v>
      </c>
      <c r="DV108">
        <v>110.206</v>
      </c>
      <c r="DW108">
        <v>-42.651899999999998</v>
      </c>
      <c r="DX108">
        <v>367.904</v>
      </c>
      <c r="DY108">
        <v>409.03500000000003</v>
      </c>
      <c r="DZ108">
        <v>6.61158</v>
      </c>
      <c r="EA108">
        <v>399.97699999999998</v>
      </c>
      <c r="EB108">
        <v>22.144300000000001</v>
      </c>
      <c r="EC108">
        <v>2.8389099999999998</v>
      </c>
      <c r="ED108">
        <v>2.1861899999999999</v>
      </c>
      <c r="EE108">
        <v>23.112100000000002</v>
      </c>
      <c r="EF108">
        <v>18.861499999999999</v>
      </c>
      <c r="EG108">
        <v>1799.93</v>
      </c>
      <c r="EH108">
        <v>0.97800399999999998</v>
      </c>
      <c r="EI108">
        <v>2.1996100000000001E-2</v>
      </c>
      <c r="EJ108">
        <v>0</v>
      </c>
      <c r="EK108">
        <v>721.50199999999995</v>
      </c>
      <c r="EL108">
        <v>4.9995000000000003</v>
      </c>
      <c r="EM108">
        <v>13738.2</v>
      </c>
      <c r="EN108">
        <v>16659.2</v>
      </c>
      <c r="EO108">
        <v>50.186999999999998</v>
      </c>
      <c r="EP108">
        <v>50.561999999999998</v>
      </c>
      <c r="EQ108">
        <v>50.936999999999998</v>
      </c>
      <c r="ER108">
        <v>49.811999999999998</v>
      </c>
      <c r="ES108">
        <v>51.186999999999998</v>
      </c>
      <c r="ET108">
        <v>1755.45</v>
      </c>
      <c r="EU108">
        <v>39.479999999999997</v>
      </c>
      <c r="EV108">
        <v>0</v>
      </c>
      <c r="EW108">
        <v>187.4000000953674</v>
      </c>
      <c r="EX108">
        <v>0</v>
      </c>
      <c r="EY108">
        <v>722.11573076923082</v>
      </c>
      <c r="EZ108">
        <v>-6.8854358864821874</v>
      </c>
      <c r="FA108">
        <v>-105.0461542966117</v>
      </c>
      <c r="FB108">
        <v>13768.6</v>
      </c>
      <c r="FC108">
        <v>15</v>
      </c>
      <c r="FD108">
        <v>1693344268.5</v>
      </c>
      <c r="FE108" t="s">
        <v>887</v>
      </c>
      <c r="FF108">
        <v>1693344268.5</v>
      </c>
      <c r="FG108">
        <v>1693344267.5</v>
      </c>
      <c r="FH108">
        <v>102</v>
      </c>
      <c r="FI108">
        <v>0.188</v>
      </c>
      <c r="FJ108">
        <v>-4.0000000000000001E-3</v>
      </c>
      <c r="FK108">
        <v>-1.7629999999999999</v>
      </c>
      <c r="FL108">
        <v>0.153</v>
      </c>
      <c r="FM108">
        <v>400</v>
      </c>
      <c r="FN108">
        <v>22</v>
      </c>
      <c r="FO108">
        <v>0.34</v>
      </c>
      <c r="FP108">
        <v>0.03</v>
      </c>
      <c r="FQ108">
        <v>33.126944681795628</v>
      </c>
      <c r="FR108">
        <v>3.4441280437802302</v>
      </c>
      <c r="FS108">
        <v>0.26393090823014342</v>
      </c>
      <c r="FT108">
        <v>0</v>
      </c>
      <c r="FU108">
        <v>0.4108890866723145</v>
      </c>
      <c r="FV108">
        <v>1.3209101134351879E-2</v>
      </c>
      <c r="FW108">
        <v>1.4078269725921739E-3</v>
      </c>
      <c r="FX108">
        <v>1</v>
      </c>
      <c r="FY108">
        <v>1</v>
      </c>
      <c r="FZ108">
        <v>2</v>
      </c>
      <c r="GA108" t="s">
        <v>460</v>
      </c>
      <c r="GB108">
        <v>2.9693000000000001</v>
      </c>
      <c r="GC108">
        <v>2.8117100000000002</v>
      </c>
      <c r="GD108">
        <v>8.8280800000000006E-2</v>
      </c>
      <c r="GE108">
        <v>9.5003400000000002E-2</v>
      </c>
      <c r="GF108">
        <v>0.13403899999999999</v>
      </c>
      <c r="GG108">
        <v>0.111263</v>
      </c>
      <c r="GH108">
        <v>26908.2</v>
      </c>
      <c r="GI108">
        <v>24593.8</v>
      </c>
      <c r="GJ108">
        <v>26530.799999999999</v>
      </c>
      <c r="GK108">
        <v>25644.400000000001</v>
      </c>
      <c r="GL108">
        <v>31255.599999999999</v>
      </c>
      <c r="GM108">
        <v>32125</v>
      </c>
      <c r="GN108">
        <v>37553.1</v>
      </c>
      <c r="GO108">
        <v>37962.9</v>
      </c>
      <c r="GP108">
        <v>1.9558</v>
      </c>
      <c r="GQ108">
        <v>1.9633</v>
      </c>
      <c r="GR108">
        <v>3.4600499999999999E-2</v>
      </c>
      <c r="GS108">
        <v>0</v>
      </c>
      <c r="GT108">
        <v>29.467099999999999</v>
      </c>
      <c r="GU108">
        <v>999.9</v>
      </c>
      <c r="GV108">
        <v>47.6</v>
      </c>
      <c r="GW108">
        <v>35.700000000000003</v>
      </c>
      <c r="GX108">
        <v>28.3064</v>
      </c>
      <c r="GY108">
        <v>61.488399999999999</v>
      </c>
      <c r="GZ108">
        <v>12.8446</v>
      </c>
      <c r="HA108">
        <v>1</v>
      </c>
      <c r="HB108">
        <v>0.42067100000000002</v>
      </c>
      <c r="HC108">
        <v>2.6811199999999999</v>
      </c>
      <c r="HD108">
        <v>20.285399999999999</v>
      </c>
      <c r="HE108">
        <v>5.2065099999999997</v>
      </c>
      <c r="HF108">
        <v>11.9381</v>
      </c>
      <c r="HG108">
        <v>4.9878</v>
      </c>
      <c r="HH108">
        <v>3.2909999999999999</v>
      </c>
      <c r="HI108">
        <v>9999</v>
      </c>
      <c r="HJ108">
        <v>9999</v>
      </c>
      <c r="HK108">
        <v>9999</v>
      </c>
      <c r="HL108">
        <v>999.9</v>
      </c>
      <c r="HM108">
        <v>1.8700600000000001</v>
      </c>
      <c r="HN108">
        <v>1.8762399999999999</v>
      </c>
      <c r="HO108">
        <v>1.87408</v>
      </c>
      <c r="HP108">
        <v>1.87225</v>
      </c>
      <c r="HQ108">
        <v>1.8727100000000001</v>
      </c>
      <c r="HR108">
        <v>1.87015</v>
      </c>
      <c r="HS108">
        <v>1.8760699999999999</v>
      </c>
      <c r="HT108">
        <v>1.8751500000000001</v>
      </c>
      <c r="HU108">
        <v>5</v>
      </c>
      <c r="HV108">
        <v>0</v>
      </c>
      <c r="HW108">
        <v>0</v>
      </c>
      <c r="HX108">
        <v>0</v>
      </c>
      <c r="HY108" t="s">
        <v>422</v>
      </c>
      <c r="HZ108" t="s">
        <v>423</v>
      </c>
      <c r="IA108" t="s">
        <v>424</v>
      </c>
      <c r="IB108" t="s">
        <v>424</v>
      </c>
      <c r="IC108" t="s">
        <v>424</v>
      </c>
      <c r="ID108" t="s">
        <v>424</v>
      </c>
      <c r="IE108">
        <v>0</v>
      </c>
      <c r="IF108">
        <v>100</v>
      </c>
      <c r="IG108">
        <v>100</v>
      </c>
      <c r="IH108">
        <v>-1.6990000000000001</v>
      </c>
      <c r="II108">
        <v>0.43640000000000001</v>
      </c>
      <c r="IJ108">
        <v>-0.9588758043688852</v>
      </c>
      <c r="IK108">
        <v>-2.677719669153116E-3</v>
      </c>
      <c r="IL108">
        <v>1.9353498771248068E-6</v>
      </c>
      <c r="IM108">
        <v>-6.1862177325538213E-10</v>
      </c>
      <c r="IN108">
        <v>-0.19303906061935819</v>
      </c>
      <c r="IO108">
        <v>-1.5299015507423901E-2</v>
      </c>
      <c r="IP108">
        <v>1.742162107778985E-3</v>
      </c>
      <c r="IQ108">
        <v>-1.472690239905804E-5</v>
      </c>
      <c r="IR108">
        <v>3</v>
      </c>
      <c r="IS108">
        <v>2255</v>
      </c>
      <c r="IT108">
        <v>2</v>
      </c>
      <c r="IU108">
        <v>41</v>
      </c>
      <c r="IV108">
        <v>1.9</v>
      </c>
      <c r="IW108">
        <v>2</v>
      </c>
      <c r="IX108">
        <v>0.95459000000000005</v>
      </c>
      <c r="IY108">
        <v>2.51831</v>
      </c>
      <c r="IZ108">
        <v>1.6003400000000001</v>
      </c>
      <c r="JA108">
        <v>2.2692899999999998</v>
      </c>
      <c r="JB108">
        <v>1.5502899999999999</v>
      </c>
      <c r="JC108">
        <v>2.3596200000000001</v>
      </c>
      <c r="JD108">
        <v>38.599499999999999</v>
      </c>
      <c r="JE108">
        <v>15.6205</v>
      </c>
      <c r="JF108">
        <v>18</v>
      </c>
      <c r="JG108">
        <v>506.77600000000001</v>
      </c>
      <c r="JH108">
        <v>480.17</v>
      </c>
      <c r="JI108">
        <v>25.9527</v>
      </c>
      <c r="JJ108">
        <v>32.650399999999998</v>
      </c>
      <c r="JK108">
        <v>30.000299999999999</v>
      </c>
      <c r="JL108">
        <v>32.661700000000003</v>
      </c>
      <c r="JM108">
        <v>32.631</v>
      </c>
      <c r="JN108">
        <v>19.1448</v>
      </c>
      <c r="JO108">
        <v>30.918800000000001</v>
      </c>
      <c r="JP108">
        <v>42.785699999999999</v>
      </c>
      <c r="JQ108">
        <v>25.952100000000002</v>
      </c>
      <c r="JR108">
        <v>400</v>
      </c>
      <c r="JS108">
        <v>22.185400000000001</v>
      </c>
      <c r="JT108">
        <v>99.047700000000006</v>
      </c>
      <c r="JU108">
        <v>98.593400000000003</v>
      </c>
    </row>
    <row r="109" spans="1:281" x14ac:dyDescent="0.25">
      <c r="A109">
        <v>93</v>
      </c>
      <c r="B109">
        <v>1693344571</v>
      </c>
      <c r="C109">
        <v>22273.900000095371</v>
      </c>
      <c r="D109" t="s">
        <v>888</v>
      </c>
      <c r="E109" t="s">
        <v>889</v>
      </c>
      <c r="F109" t="s">
        <v>413</v>
      </c>
      <c r="G109" t="s">
        <v>636</v>
      </c>
      <c r="H109" t="s">
        <v>31</v>
      </c>
      <c r="I109" t="s">
        <v>31</v>
      </c>
      <c r="J109">
        <v>1693344571</v>
      </c>
      <c r="K109">
        <f t="shared" si="92"/>
        <v>5.4592775406234091E-3</v>
      </c>
      <c r="L109">
        <f t="shared" si="93"/>
        <v>5.4592775406234093</v>
      </c>
      <c r="M109">
        <f t="shared" si="94"/>
        <v>40.010913552391628</v>
      </c>
      <c r="N109">
        <f t="shared" si="95"/>
        <v>349.76</v>
      </c>
      <c r="O109">
        <f t="shared" si="96"/>
        <v>170.84641225806303</v>
      </c>
      <c r="P109">
        <f t="shared" si="97"/>
        <v>16.885504954104867</v>
      </c>
      <c r="Q109">
        <f t="shared" si="98"/>
        <v>34.56832446576</v>
      </c>
      <c r="R109">
        <f t="shared" si="99"/>
        <v>0.39426319863874715</v>
      </c>
      <c r="S109">
        <f t="shared" si="100"/>
        <v>2.9124969770560938</v>
      </c>
      <c r="T109">
        <f t="shared" si="101"/>
        <v>0.36683205615401082</v>
      </c>
      <c r="U109">
        <f t="shared" si="102"/>
        <v>0.23157537402427572</v>
      </c>
      <c r="V109">
        <f t="shared" si="103"/>
        <v>344.35930065801847</v>
      </c>
      <c r="W109">
        <f t="shared" si="104"/>
        <v>31.043341260167868</v>
      </c>
      <c r="X109">
        <f t="shared" si="105"/>
        <v>30.001000000000001</v>
      </c>
      <c r="Y109">
        <f t="shared" si="106"/>
        <v>4.2606944952902355</v>
      </c>
      <c r="Z109">
        <f t="shared" si="107"/>
        <v>65.095326583958283</v>
      </c>
      <c r="AA109">
        <f t="shared" si="108"/>
        <v>2.8426754010869999</v>
      </c>
      <c r="AB109">
        <f t="shared" si="109"/>
        <v>4.366942375533811</v>
      </c>
      <c r="AC109">
        <f t="shared" si="110"/>
        <v>1.4180190942032356</v>
      </c>
      <c r="AD109">
        <f t="shared" si="111"/>
        <v>-240.75413954149235</v>
      </c>
      <c r="AE109">
        <f t="shared" si="112"/>
        <v>67.439461653116751</v>
      </c>
      <c r="AF109">
        <f t="shared" si="113"/>
        <v>5.1595913473942687</v>
      </c>
      <c r="AG109">
        <f t="shared" si="114"/>
        <v>176.20421411703714</v>
      </c>
      <c r="AH109">
        <v>0</v>
      </c>
      <c r="AI109">
        <v>0</v>
      </c>
      <c r="AJ109">
        <f t="shared" si="115"/>
        <v>1</v>
      </c>
      <c r="AK109">
        <f t="shared" si="116"/>
        <v>0</v>
      </c>
      <c r="AL109">
        <f t="shared" si="117"/>
        <v>51766.430421181154</v>
      </c>
      <c r="AM109" t="s">
        <v>416</v>
      </c>
      <c r="AN109">
        <v>10238.9</v>
      </c>
      <c r="AO109">
        <v>302.21199999999999</v>
      </c>
      <c r="AP109">
        <v>4052.3</v>
      </c>
      <c r="AQ109">
        <f t="shared" si="118"/>
        <v>0.92542210596451402</v>
      </c>
      <c r="AR109">
        <v>-0.32343011824092421</v>
      </c>
      <c r="AS109" t="s">
        <v>890</v>
      </c>
      <c r="AT109">
        <v>10450.700000000001</v>
      </c>
      <c r="AU109">
        <v>727.91408000000001</v>
      </c>
      <c r="AV109">
        <v>1027.9815303853679</v>
      </c>
      <c r="AW109">
        <f t="shared" si="119"/>
        <v>0.29189965141968954</v>
      </c>
      <c r="AX109">
        <v>0.5</v>
      </c>
      <c r="AY109">
        <f t="shared" si="120"/>
        <v>1513.1424003290092</v>
      </c>
      <c r="AZ109">
        <f t="shared" si="121"/>
        <v>40.010913552391628</v>
      </c>
      <c r="BA109">
        <f t="shared" si="122"/>
        <v>220.84286960219507</v>
      </c>
      <c r="BB109">
        <f t="shared" si="123"/>
        <v>2.6656013116718211E-2</v>
      </c>
      <c r="BC109">
        <f t="shared" si="124"/>
        <v>2.9419968941279335</v>
      </c>
      <c r="BD109">
        <f t="shared" si="125"/>
        <v>247.8350287175254</v>
      </c>
      <c r="BE109" t="s">
        <v>891</v>
      </c>
      <c r="BF109">
        <v>573.19000000000005</v>
      </c>
      <c r="BG109">
        <f t="shared" si="126"/>
        <v>573.19000000000005</v>
      </c>
      <c r="BH109">
        <f t="shared" si="127"/>
        <v>0.44241216105787073</v>
      </c>
      <c r="BI109">
        <f t="shared" si="128"/>
        <v>0.65979120176469774</v>
      </c>
      <c r="BJ109">
        <f t="shared" si="129"/>
        <v>0.86927934719357314</v>
      </c>
      <c r="BK109">
        <f t="shared" si="130"/>
        <v>0.41344729672798275</v>
      </c>
      <c r="BL109">
        <f t="shared" si="131"/>
        <v>0.80646600016176473</v>
      </c>
      <c r="BM109">
        <f t="shared" si="132"/>
        <v>0.51954719565186469</v>
      </c>
      <c r="BN109">
        <f t="shared" si="133"/>
        <v>0.48045280434813531</v>
      </c>
      <c r="BO109">
        <v>5648</v>
      </c>
      <c r="BP109">
        <v>290.00000000000011</v>
      </c>
      <c r="BQ109">
        <v>950.15</v>
      </c>
      <c r="BR109">
        <v>165</v>
      </c>
      <c r="BS109">
        <v>10450.700000000001</v>
      </c>
      <c r="BT109">
        <v>949.3</v>
      </c>
      <c r="BU109">
        <v>0.85</v>
      </c>
      <c r="BV109">
        <v>300.00000000000011</v>
      </c>
      <c r="BW109">
        <v>38.299999999999997</v>
      </c>
      <c r="BX109">
        <v>1027.9815303853679</v>
      </c>
      <c r="BY109">
        <v>1.1104264571330409</v>
      </c>
      <c r="BZ109">
        <v>-82.224498893938332</v>
      </c>
      <c r="CA109">
        <v>0.94893304748292495</v>
      </c>
      <c r="CB109">
        <v>0.99628456126791409</v>
      </c>
      <c r="CC109">
        <v>-1.133523670745272E-2</v>
      </c>
      <c r="CD109">
        <v>289.99999999999989</v>
      </c>
      <c r="CE109">
        <v>942.64</v>
      </c>
      <c r="CF109">
        <v>635</v>
      </c>
      <c r="CG109">
        <v>10415.5</v>
      </c>
      <c r="CH109">
        <v>949.04</v>
      </c>
      <c r="CI109">
        <v>-6.4</v>
      </c>
      <c r="CW109">
        <f t="shared" si="134"/>
        <v>1799.95</v>
      </c>
      <c r="CX109">
        <f t="shared" si="135"/>
        <v>1513.1424003290092</v>
      </c>
      <c r="CY109">
        <f t="shared" si="136"/>
        <v>0.84065801846107346</v>
      </c>
      <c r="CZ109">
        <f t="shared" si="137"/>
        <v>0.19131603692214699</v>
      </c>
      <c r="DA109">
        <v>6</v>
      </c>
      <c r="DB109">
        <v>0.5</v>
      </c>
      <c r="DC109" t="s">
        <v>419</v>
      </c>
      <c r="DD109">
        <v>2</v>
      </c>
      <c r="DE109">
        <v>1693344571</v>
      </c>
      <c r="DF109">
        <v>349.76</v>
      </c>
      <c r="DG109">
        <v>400.04300000000001</v>
      </c>
      <c r="DH109">
        <v>28.762</v>
      </c>
      <c r="DI109">
        <v>22.402000000000001</v>
      </c>
      <c r="DJ109">
        <v>351.43400000000003</v>
      </c>
      <c r="DK109">
        <v>28.321899999999999</v>
      </c>
      <c r="DL109">
        <v>500.21300000000002</v>
      </c>
      <c r="DM109">
        <v>98.734899999999996</v>
      </c>
      <c r="DN109">
        <v>9.9513500000000005E-2</v>
      </c>
      <c r="DO109">
        <v>30.430499999999999</v>
      </c>
      <c r="DP109">
        <v>30.001000000000001</v>
      </c>
      <c r="DQ109">
        <v>999.9</v>
      </c>
      <c r="DR109">
        <v>0</v>
      </c>
      <c r="DS109">
        <v>0</v>
      </c>
      <c r="DT109">
        <v>10030</v>
      </c>
      <c r="DU109">
        <v>0</v>
      </c>
      <c r="DV109">
        <v>121.729</v>
      </c>
      <c r="DW109">
        <v>-50.283099999999997</v>
      </c>
      <c r="DX109">
        <v>360.11799999999999</v>
      </c>
      <c r="DY109">
        <v>409.21</v>
      </c>
      <c r="DZ109">
        <v>6.3600099999999999</v>
      </c>
      <c r="EA109">
        <v>400.04300000000001</v>
      </c>
      <c r="EB109">
        <v>22.402000000000001</v>
      </c>
      <c r="EC109">
        <v>2.8398099999999999</v>
      </c>
      <c r="ED109">
        <v>2.2118600000000002</v>
      </c>
      <c r="EE109">
        <v>23.1173</v>
      </c>
      <c r="EF109">
        <v>19.048400000000001</v>
      </c>
      <c r="EG109">
        <v>1799.95</v>
      </c>
      <c r="EH109">
        <v>0.97800399999999998</v>
      </c>
      <c r="EI109">
        <v>2.1996100000000001E-2</v>
      </c>
      <c r="EJ109">
        <v>0</v>
      </c>
      <c r="EK109">
        <v>728.71900000000005</v>
      </c>
      <c r="EL109">
        <v>4.9995000000000003</v>
      </c>
      <c r="EM109">
        <v>13883.5</v>
      </c>
      <c r="EN109">
        <v>16659.400000000001</v>
      </c>
      <c r="EO109">
        <v>50.186999999999998</v>
      </c>
      <c r="EP109">
        <v>50.5</v>
      </c>
      <c r="EQ109">
        <v>50.875</v>
      </c>
      <c r="ER109">
        <v>49.875</v>
      </c>
      <c r="ES109">
        <v>51.186999999999998</v>
      </c>
      <c r="ET109">
        <v>1755.47</v>
      </c>
      <c r="EU109">
        <v>39.479999999999997</v>
      </c>
      <c r="EV109">
        <v>0</v>
      </c>
      <c r="EW109">
        <v>183.79999995231631</v>
      </c>
      <c r="EX109">
        <v>0</v>
      </c>
      <c r="EY109">
        <v>727.91408000000001</v>
      </c>
      <c r="EZ109">
        <v>5.8910769442794724</v>
      </c>
      <c r="FA109">
        <v>79.007692202548483</v>
      </c>
      <c r="FB109">
        <v>13873.74</v>
      </c>
      <c r="FC109">
        <v>15</v>
      </c>
      <c r="FD109">
        <v>1693344456.5</v>
      </c>
      <c r="FE109" t="s">
        <v>892</v>
      </c>
      <c r="FF109">
        <v>1693344456.5</v>
      </c>
      <c r="FG109">
        <v>1693344456</v>
      </c>
      <c r="FH109">
        <v>103</v>
      </c>
      <c r="FI109">
        <v>1.4E-2</v>
      </c>
      <c r="FJ109">
        <v>4.0000000000000001E-3</v>
      </c>
      <c r="FK109">
        <v>-1.7490000000000001</v>
      </c>
      <c r="FL109">
        <v>0.159</v>
      </c>
      <c r="FM109">
        <v>400</v>
      </c>
      <c r="FN109">
        <v>22</v>
      </c>
      <c r="FO109">
        <v>0.11</v>
      </c>
      <c r="FP109">
        <v>0.04</v>
      </c>
      <c r="FQ109">
        <v>39.759406201083749</v>
      </c>
      <c r="FR109">
        <v>0.68834037599839537</v>
      </c>
      <c r="FS109">
        <v>0.1061916046693685</v>
      </c>
      <c r="FT109">
        <v>1</v>
      </c>
      <c r="FU109">
        <v>0.39477394514382652</v>
      </c>
      <c r="FV109">
        <v>-4.7530334454630582E-3</v>
      </c>
      <c r="FW109">
        <v>5.7639078653344826E-4</v>
      </c>
      <c r="FX109">
        <v>1</v>
      </c>
      <c r="FY109">
        <v>2</v>
      </c>
      <c r="FZ109">
        <v>2</v>
      </c>
      <c r="GA109" t="s">
        <v>421</v>
      </c>
      <c r="GB109">
        <v>2.9694600000000002</v>
      </c>
      <c r="GC109">
        <v>2.8114699999999999</v>
      </c>
      <c r="GD109">
        <v>8.6796999999999999E-2</v>
      </c>
      <c r="GE109">
        <v>9.5020199999999999E-2</v>
      </c>
      <c r="GF109">
        <v>0.13405</v>
      </c>
      <c r="GG109">
        <v>0.112176</v>
      </c>
      <c r="GH109">
        <v>26950.3</v>
      </c>
      <c r="GI109">
        <v>24589.7</v>
      </c>
      <c r="GJ109">
        <v>26529.200000000001</v>
      </c>
      <c r="GK109">
        <v>25640.9</v>
      </c>
      <c r="GL109">
        <v>31253.1</v>
      </c>
      <c r="GM109">
        <v>32087.8</v>
      </c>
      <c r="GN109">
        <v>37550.199999999997</v>
      </c>
      <c r="GO109">
        <v>37957.9</v>
      </c>
      <c r="GP109">
        <v>1.9548000000000001</v>
      </c>
      <c r="GQ109">
        <v>1.9632000000000001</v>
      </c>
      <c r="GR109">
        <v>3.5598900000000003E-2</v>
      </c>
      <c r="GS109">
        <v>0</v>
      </c>
      <c r="GT109">
        <v>29.421399999999998</v>
      </c>
      <c r="GU109">
        <v>999.9</v>
      </c>
      <c r="GV109">
        <v>47.3</v>
      </c>
      <c r="GW109">
        <v>35.700000000000003</v>
      </c>
      <c r="GX109">
        <v>28.125499999999999</v>
      </c>
      <c r="GY109">
        <v>61.458399999999997</v>
      </c>
      <c r="GZ109">
        <v>12.648199999999999</v>
      </c>
      <c r="HA109">
        <v>1</v>
      </c>
      <c r="HB109">
        <v>0.42432900000000001</v>
      </c>
      <c r="HC109">
        <v>2.5468500000000001</v>
      </c>
      <c r="HD109">
        <v>20.287500000000001</v>
      </c>
      <c r="HE109">
        <v>5.2065099999999997</v>
      </c>
      <c r="HF109">
        <v>11.9381</v>
      </c>
      <c r="HG109">
        <v>4.9875999999999996</v>
      </c>
      <c r="HH109">
        <v>3.2909999999999999</v>
      </c>
      <c r="HI109">
        <v>9999</v>
      </c>
      <c r="HJ109">
        <v>9999</v>
      </c>
      <c r="HK109">
        <v>9999</v>
      </c>
      <c r="HL109">
        <v>999.9</v>
      </c>
      <c r="HM109">
        <v>1.8700600000000001</v>
      </c>
      <c r="HN109">
        <v>1.87625</v>
      </c>
      <c r="HO109">
        <v>1.8740699999999999</v>
      </c>
      <c r="HP109">
        <v>1.8722799999999999</v>
      </c>
      <c r="HQ109">
        <v>1.8727100000000001</v>
      </c>
      <c r="HR109">
        <v>1.8702399999999999</v>
      </c>
      <c r="HS109">
        <v>1.87609</v>
      </c>
      <c r="HT109">
        <v>1.8751500000000001</v>
      </c>
      <c r="HU109">
        <v>5</v>
      </c>
      <c r="HV109">
        <v>0</v>
      </c>
      <c r="HW109">
        <v>0</v>
      </c>
      <c r="HX109">
        <v>0</v>
      </c>
      <c r="HY109" t="s">
        <v>422</v>
      </c>
      <c r="HZ109" t="s">
        <v>423</v>
      </c>
      <c r="IA109" t="s">
        <v>424</v>
      </c>
      <c r="IB109" t="s">
        <v>424</v>
      </c>
      <c r="IC109" t="s">
        <v>424</v>
      </c>
      <c r="ID109" t="s">
        <v>424</v>
      </c>
      <c r="IE109">
        <v>0</v>
      </c>
      <c r="IF109">
        <v>100</v>
      </c>
      <c r="IG109">
        <v>100</v>
      </c>
      <c r="IH109">
        <v>-1.6739999999999999</v>
      </c>
      <c r="II109">
        <v>0.44009999999999999</v>
      </c>
      <c r="IJ109">
        <v>-0.9449920143555095</v>
      </c>
      <c r="IK109">
        <v>-2.677719669153116E-3</v>
      </c>
      <c r="IL109">
        <v>1.9353498771248068E-6</v>
      </c>
      <c r="IM109">
        <v>-6.1862177325538213E-10</v>
      </c>
      <c r="IN109">
        <v>-0.18946659330742249</v>
      </c>
      <c r="IO109">
        <v>-1.5299015507423901E-2</v>
      </c>
      <c r="IP109">
        <v>1.742162107778985E-3</v>
      </c>
      <c r="IQ109">
        <v>-1.472690239905804E-5</v>
      </c>
      <c r="IR109">
        <v>3</v>
      </c>
      <c r="IS109">
        <v>2255</v>
      </c>
      <c r="IT109">
        <v>2</v>
      </c>
      <c r="IU109">
        <v>41</v>
      </c>
      <c r="IV109">
        <v>1.9</v>
      </c>
      <c r="IW109">
        <v>1.9</v>
      </c>
      <c r="IX109">
        <v>0.95459000000000005</v>
      </c>
      <c r="IY109">
        <v>2.52319</v>
      </c>
      <c r="IZ109">
        <v>1.5991200000000001</v>
      </c>
      <c r="JA109">
        <v>2.2692899999999998</v>
      </c>
      <c r="JB109">
        <v>1.5502899999999999</v>
      </c>
      <c r="JC109">
        <v>2.3315399999999999</v>
      </c>
      <c r="JD109">
        <v>38.697899999999997</v>
      </c>
      <c r="JE109">
        <v>15.568</v>
      </c>
      <c r="JF109">
        <v>18</v>
      </c>
      <c r="JG109">
        <v>506.40100000000001</v>
      </c>
      <c r="JH109">
        <v>480.339</v>
      </c>
      <c r="JI109">
        <v>25.930800000000001</v>
      </c>
      <c r="JJ109">
        <v>32.6967</v>
      </c>
      <c r="JK109">
        <v>29.9998</v>
      </c>
      <c r="JL109">
        <v>32.696399999999997</v>
      </c>
      <c r="JM109">
        <v>32.661200000000001</v>
      </c>
      <c r="JN109">
        <v>19.141999999999999</v>
      </c>
      <c r="JO109">
        <v>29.4757</v>
      </c>
      <c r="JP109">
        <v>41.797899999999998</v>
      </c>
      <c r="JQ109">
        <v>25.950900000000001</v>
      </c>
      <c r="JR109">
        <v>400</v>
      </c>
      <c r="JS109">
        <v>22.416599999999999</v>
      </c>
      <c r="JT109">
        <v>99.040800000000004</v>
      </c>
      <c r="JU109">
        <v>98.580100000000002</v>
      </c>
    </row>
    <row r="110" spans="1:281" x14ac:dyDescent="0.25">
      <c r="A110">
        <v>94</v>
      </c>
      <c r="B110">
        <v>1693344671</v>
      </c>
      <c r="C110">
        <v>22373.900000095371</v>
      </c>
      <c r="D110" t="s">
        <v>893</v>
      </c>
      <c r="E110" t="s">
        <v>894</v>
      </c>
      <c r="F110" t="s">
        <v>413</v>
      </c>
      <c r="G110" t="s">
        <v>636</v>
      </c>
      <c r="H110" t="s">
        <v>31</v>
      </c>
      <c r="I110" t="s">
        <v>31</v>
      </c>
      <c r="J110">
        <v>1693344671</v>
      </c>
      <c r="K110">
        <f t="shared" si="92"/>
        <v>5.3244235447354842E-3</v>
      </c>
      <c r="L110">
        <f t="shared" si="93"/>
        <v>5.3244235447354837</v>
      </c>
      <c r="M110">
        <f t="shared" si="94"/>
        <v>42.011456782030436</v>
      </c>
      <c r="N110">
        <f t="shared" si="95"/>
        <v>446.887</v>
      </c>
      <c r="O110">
        <f t="shared" si="96"/>
        <v>253.81418829573232</v>
      </c>
      <c r="P110">
        <f t="shared" si="97"/>
        <v>25.083866542763555</v>
      </c>
      <c r="Q110">
        <f t="shared" si="98"/>
        <v>44.164803957432902</v>
      </c>
      <c r="R110">
        <f t="shared" si="99"/>
        <v>0.38650806745708532</v>
      </c>
      <c r="S110">
        <f t="shared" si="100"/>
        <v>2.9053864390145074</v>
      </c>
      <c r="T110">
        <f t="shared" si="101"/>
        <v>0.36004684278497479</v>
      </c>
      <c r="U110">
        <f t="shared" si="102"/>
        <v>0.22725556927005458</v>
      </c>
      <c r="V110">
        <f t="shared" si="103"/>
        <v>344.34790065804043</v>
      </c>
      <c r="W110">
        <f t="shared" si="104"/>
        <v>31.074626677616578</v>
      </c>
      <c r="X110">
        <f t="shared" si="105"/>
        <v>30.0001</v>
      </c>
      <c r="Y110">
        <f t="shared" si="106"/>
        <v>4.2604742441575079</v>
      </c>
      <c r="Z110">
        <f t="shared" si="107"/>
        <v>65.319139075263593</v>
      </c>
      <c r="AA110">
        <f t="shared" si="108"/>
        <v>2.8515836662694696</v>
      </c>
      <c r="AB110">
        <f t="shared" si="109"/>
        <v>4.365617346829616</v>
      </c>
      <c r="AC110">
        <f t="shared" si="110"/>
        <v>1.4088905778880383</v>
      </c>
      <c r="AD110">
        <f t="shared" si="111"/>
        <v>-234.80707832283485</v>
      </c>
      <c r="AE110">
        <f t="shared" si="112"/>
        <v>66.585620841933903</v>
      </c>
      <c r="AF110">
        <f t="shared" si="113"/>
        <v>5.1065773866266007</v>
      </c>
      <c r="AG110">
        <f t="shared" si="114"/>
        <v>181.2330205637661</v>
      </c>
      <c r="AH110">
        <v>0</v>
      </c>
      <c r="AI110">
        <v>0</v>
      </c>
      <c r="AJ110">
        <f t="shared" si="115"/>
        <v>1</v>
      </c>
      <c r="AK110">
        <f t="shared" si="116"/>
        <v>0</v>
      </c>
      <c r="AL110">
        <f t="shared" si="117"/>
        <v>51565.595573634433</v>
      </c>
      <c r="AM110" t="s">
        <v>416</v>
      </c>
      <c r="AN110">
        <v>10238.9</v>
      </c>
      <c r="AO110">
        <v>302.21199999999999</v>
      </c>
      <c r="AP110">
        <v>4052.3</v>
      </c>
      <c r="AQ110">
        <f t="shared" si="118"/>
        <v>0.92542210596451402</v>
      </c>
      <c r="AR110">
        <v>-0.32343011824092421</v>
      </c>
      <c r="AS110" t="s">
        <v>895</v>
      </c>
      <c r="AT110">
        <v>10448.200000000001</v>
      </c>
      <c r="AU110">
        <v>738.44415384615377</v>
      </c>
      <c r="AV110">
        <v>1066.53207714572</v>
      </c>
      <c r="AW110">
        <f t="shared" si="119"/>
        <v>0.30762124302684213</v>
      </c>
      <c r="AX110">
        <v>0.5</v>
      </c>
      <c r="AY110">
        <f t="shared" si="120"/>
        <v>1513.0920003290203</v>
      </c>
      <c r="AZ110">
        <f t="shared" si="121"/>
        <v>42.011456782030436</v>
      </c>
      <c r="BA110">
        <f t="shared" si="122"/>
        <v>232.72962097759211</v>
      </c>
      <c r="BB110">
        <f t="shared" si="123"/>
        <v>2.7979056720322148E-2</v>
      </c>
      <c r="BC110">
        <f t="shared" si="124"/>
        <v>2.7995106634250209</v>
      </c>
      <c r="BD110">
        <f t="shared" si="125"/>
        <v>250.01373084917651</v>
      </c>
      <c r="BE110" t="s">
        <v>896</v>
      </c>
      <c r="BF110">
        <v>578.49</v>
      </c>
      <c r="BG110">
        <f t="shared" si="126"/>
        <v>578.49</v>
      </c>
      <c r="BH110">
        <f t="shared" si="127"/>
        <v>0.45759718587351872</v>
      </c>
      <c r="BI110">
        <f t="shared" si="128"/>
        <v>0.67225335409267484</v>
      </c>
      <c r="BJ110">
        <f t="shared" si="129"/>
        <v>0.85950812590621817</v>
      </c>
      <c r="BK110">
        <f t="shared" si="130"/>
        <v>0.42925461872567722</v>
      </c>
      <c r="BL110">
        <f t="shared" si="131"/>
        <v>0.79618609559409803</v>
      </c>
      <c r="BM110">
        <f t="shared" si="132"/>
        <v>0.52663676837787321</v>
      </c>
      <c r="BN110">
        <f t="shared" si="133"/>
        <v>0.47336323162212679</v>
      </c>
      <c r="BO110">
        <v>5650</v>
      </c>
      <c r="BP110">
        <v>290.00000000000011</v>
      </c>
      <c r="BQ110">
        <v>979.8</v>
      </c>
      <c r="BR110">
        <v>175</v>
      </c>
      <c r="BS110">
        <v>10448.200000000001</v>
      </c>
      <c r="BT110">
        <v>979.33</v>
      </c>
      <c r="BU110">
        <v>0.47</v>
      </c>
      <c r="BV110">
        <v>300.00000000000011</v>
      </c>
      <c r="BW110">
        <v>38.299999999999997</v>
      </c>
      <c r="BX110">
        <v>1066.53207714572</v>
      </c>
      <c r="BY110">
        <v>1.223906802436622</v>
      </c>
      <c r="BZ110">
        <v>-91.111616107327492</v>
      </c>
      <c r="CA110">
        <v>1.0458825938556069</v>
      </c>
      <c r="CB110">
        <v>0.99632398742582884</v>
      </c>
      <c r="CC110">
        <v>-1.1335249610678539E-2</v>
      </c>
      <c r="CD110">
        <v>289.99999999999989</v>
      </c>
      <c r="CE110">
        <v>970.85</v>
      </c>
      <c r="CF110">
        <v>665</v>
      </c>
      <c r="CG110">
        <v>10411.9</v>
      </c>
      <c r="CH110">
        <v>979.02</v>
      </c>
      <c r="CI110">
        <v>-8.17</v>
      </c>
      <c r="CW110">
        <f t="shared" si="134"/>
        <v>1799.89</v>
      </c>
      <c r="CX110">
        <f t="shared" si="135"/>
        <v>1513.0920003290203</v>
      </c>
      <c r="CY110">
        <f t="shared" si="136"/>
        <v>0.84065804039636871</v>
      </c>
      <c r="CZ110">
        <f t="shared" si="137"/>
        <v>0.19131608079273757</v>
      </c>
      <c r="DA110">
        <v>6</v>
      </c>
      <c r="DB110">
        <v>0.5</v>
      </c>
      <c r="DC110" t="s">
        <v>419</v>
      </c>
      <c r="DD110">
        <v>2</v>
      </c>
      <c r="DE110">
        <v>1693344671</v>
      </c>
      <c r="DF110">
        <v>446.887</v>
      </c>
      <c r="DG110">
        <v>500.12900000000002</v>
      </c>
      <c r="DH110">
        <v>28.854099999999999</v>
      </c>
      <c r="DI110">
        <v>22.6523</v>
      </c>
      <c r="DJ110">
        <v>448.66399999999999</v>
      </c>
      <c r="DK110">
        <v>28.413399999999999</v>
      </c>
      <c r="DL110">
        <v>500.25400000000002</v>
      </c>
      <c r="DM110">
        <v>98.727699999999999</v>
      </c>
      <c r="DN110">
        <v>9.9976700000000002E-2</v>
      </c>
      <c r="DO110">
        <v>30.4252</v>
      </c>
      <c r="DP110">
        <v>30.0001</v>
      </c>
      <c r="DQ110">
        <v>999.9</v>
      </c>
      <c r="DR110">
        <v>0</v>
      </c>
      <c r="DS110">
        <v>0</v>
      </c>
      <c r="DT110">
        <v>9990</v>
      </c>
      <c r="DU110">
        <v>0</v>
      </c>
      <c r="DV110">
        <v>123.2</v>
      </c>
      <c r="DW110">
        <v>-53.241799999999998</v>
      </c>
      <c r="DX110">
        <v>460.16500000000002</v>
      </c>
      <c r="DY110">
        <v>511.721</v>
      </c>
      <c r="DZ110">
        <v>6.2018199999999997</v>
      </c>
      <c r="EA110">
        <v>500.12900000000002</v>
      </c>
      <c r="EB110">
        <v>22.6523</v>
      </c>
      <c r="EC110">
        <v>2.8487</v>
      </c>
      <c r="ED110">
        <v>2.2364099999999998</v>
      </c>
      <c r="EE110">
        <v>23.1691</v>
      </c>
      <c r="EF110">
        <v>19.2256</v>
      </c>
      <c r="EG110">
        <v>1799.89</v>
      </c>
      <c r="EH110">
        <v>0.97800399999999998</v>
      </c>
      <c r="EI110">
        <v>2.1996100000000001E-2</v>
      </c>
      <c r="EJ110">
        <v>0</v>
      </c>
      <c r="EK110">
        <v>738.72500000000002</v>
      </c>
      <c r="EL110">
        <v>4.9995000000000003</v>
      </c>
      <c r="EM110">
        <v>14073.7</v>
      </c>
      <c r="EN110">
        <v>16658.8</v>
      </c>
      <c r="EO110">
        <v>50.186999999999998</v>
      </c>
      <c r="EP110">
        <v>50.561999999999998</v>
      </c>
      <c r="EQ110">
        <v>50.936999999999998</v>
      </c>
      <c r="ER110">
        <v>49.875</v>
      </c>
      <c r="ES110">
        <v>51.25</v>
      </c>
      <c r="ET110">
        <v>1755.41</v>
      </c>
      <c r="EU110">
        <v>39.479999999999997</v>
      </c>
      <c r="EV110">
        <v>0</v>
      </c>
      <c r="EW110">
        <v>97.799999952316284</v>
      </c>
      <c r="EX110">
        <v>0</v>
      </c>
      <c r="EY110">
        <v>738.44415384615377</v>
      </c>
      <c r="EZ110">
        <v>1.5545299122445519</v>
      </c>
      <c r="FA110">
        <v>10.03760678714416</v>
      </c>
      <c r="FB110">
        <v>14074.607692307691</v>
      </c>
      <c r="FC110">
        <v>15</v>
      </c>
      <c r="FD110">
        <v>1693344643.5</v>
      </c>
      <c r="FE110" t="s">
        <v>897</v>
      </c>
      <c r="FF110">
        <v>1693344638.5</v>
      </c>
      <c r="FG110">
        <v>1693344643.5</v>
      </c>
      <c r="FH110">
        <v>104</v>
      </c>
      <c r="FI110">
        <v>3.5999999999999997E-2</v>
      </c>
      <c r="FJ110">
        <v>-4.0000000000000001E-3</v>
      </c>
      <c r="FK110">
        <v>-1.843</v>
      </c>
      <c r="FL110">
        <v>0.16500000000000001</v>
      </c>
      <c r="FM110">
        <v>500</v>
      </c>
      <c r="FN110">
        <v>22</v>
      </c>
      <c r="FO110">
        <v>0.12</v>
      </c>
      <c r="FP110">
        <v>0.03</v>
      </c>
      <c r="FQ110">
        <v>41.914893936920627</v>
      </c>
      <c r="FR110">
        <v>0.32163471797837417</v>
      </c>
      <c r="FS110">
        <v>9.6684324200374663E-2</v>
      </c>
      <c r="FT110">
        <v>1</v>
      </c>
      <c r="FU110">
        <v>0.38699579804253442</v>
      </c>
      <c r="FV110">
        <v>3.564516274176386E-2</v>
      </c>
      <c r="FW110">
        <v>4.0977151125715797E-3</v>
      </c>
      <c r="FX110">
        <v>1</v>
      </c>
      <c r="FY110">
        <v>2</v>
      </c>
      <c r="FZ110">
        <v>2</v>
      </c>
      <c r="GA110" t="s">
        <v>421</v>
      </c>
      <c r="GB110">
        <v>2.96956</v>
      </c>
      <c r="GC110">
        <v>2.8115800000000002</v>
      </c>
      <c r="GD110">
        <v>0.104869</v>
      </c>
      <c r="GE110">
        <v>0.112456</v>
      </c>
      <c r="GF110">
        <v>0.13433700000000001</v>
      </c>
      <c r="GG110">
        <v>0.11304400000000001</v>
      </c>
      <c r="GH110">
        <v>26415.8</v>
      </c>
      <c r="GI110">
        <v>24114.6</v>
      </c>
      <c r="GJ110">
        <v>26528.5</v>
      </c>
      <c r="GK110">
        <v>25639.9</v>
      </c>
      <c r="GL110">
        <v>31243.4</v>
      </c>
      <c r="GM110">
        <v>32056.5</v>
      </c>
      <c r="GN110">
        <v>37549.300000000003</v>
      </c>
      <c r="GO110">
        <v>37956.5</v>
      </c>
      <c r="GP110">
        <v>1.9534</v>
      </c>
      <c r="GQ110">
        <v>1.9635</v>
      </c>
      <c r="GR110">
        <v>3.5077299999999999E-2</v>
      </c>
      <c r="GS110">
        <v>0</v>
      </c>
      <c r="GT110">
        <v>29.428999999999998</v>
      </c>
      <c r="GU110">
        <v>999.9</v>
      </c>
      <c r="GV110">
        <v>47.2</v>
      </c>
      <c r="GW110">
        <v>35.700000000000003</v>
      </c>
      <c r="GX110">
        <v>28.068200000000001</v>
      </c>
      <c r="GY110">
        <v>61.568399999999997</v>
      </c>
      <c r="GZ110">
        <v>12.339700000000001</v>
      </c>
      <c r="HA110">
        <v>1</v>
      </c>
      <c r="HB110">
        <v>0.42817100000000002</v>
      </c>
      <c r="HC110">
        <v>3.1422699999999999</v>
      </c>
      <c r="HD110">
        <v>20.277899999999999</v>
      </c>
      <c r="HE110">
        <v>5.2100999999999997</v>
      </c>
      <c r="HF110">
        <v>11.9369</v>
      </c>
      <c r="HG110">
        <v>4.9867999999999997</v>
      </c>
      <c r="HH110">
        <v>3.2909999999999999</v>
      </c>
      <c r="HI110">
        <v>9999</v>
      </c>
      <c r="HJ110">
        <v>9999</v>
      </c>
      <c r="HK110">
        <v>9999</v>
      </c>
      <c r="HL110">
        <v>999.9</v>
      </c>
      <c r="HM110">
        <v>1.8700600000000001</v>
      </c>
      <c r="HN110">
        <v>1.87629</v>
      </c>
      <c r="HO110">
        <v>1.87408</v>
      </c>
      <c r="HP110">
        <v>1.87225</v>
      </c>
      <c r="HQ110">
        <v>1.8727100000000001</v>
      </c>
      <c r="HR110">
        <v>1.87012</v>
      </c>
      <c r="HS110">
        <v>1.8760699999999999</v>
      </c>
      <c r="HT110">
        <v>1.8751500000000001</v>
      </c>
      <c r="HU110">
        <v>5</v>
      </c>
      <c r="HV110">
        <v>0</v>
      </c>
      <c r="HW110">
        <v>0</v>
      </c>
      <c r="HX110">
        <v>0</v>
      </c>
      <c r="HY110" t="s">
        <v>422</v>
      </c>
      <c r="HZ110" t="s">
        <v>423</v>
      </c>
      <c r="IA110" t="s">
        <v>424</v>
      </c>
      <c r="IB110" t="s">
        <v>424</v>
      </c>
      <c r="IC110" t="s">
        <v>424</v>
      </c>
      <c r="ID110" t="s">
        <v>424</v>
      </c>
      <c r="IE110">
        <v>0</v>
      </c>
      <c r="IF110">
        <v>100</v>
      </c>
      <c r="IG110">
        <v>100</v>
      </c>
      <c r="IH110">
        <v>-1.7769999999999999</v>
      </c>
      <c r="II110">
        <v>0.44069999999999998</v>
      </c>
      <c r="IJ110">
        <v>-0.90876801750428227</v>
      </c>
      <c r="IK110">
        <v>-2.677719669153116E-3</v>
      </c>
      <c r="IL110">
        <v>1.9353498771248068E-6</v>
      </c>
      <c r="IM110">
        <v>-6.1862177325538213E-10</v>
      </c>
      <c r="IN110">
        <v>-0.19326890102934521</v>
      </c>
      <c r="IO110">
        <v>-1.5299015507423901E-2</v>
      </c>
      <c r="IP110">
        <v>1.742162107778985E-3</v>
      </c>
      <c r="IQ110">
        <v>-1.472690239905804E-5</v>
      </c>
      <c r="IR110">
        <v>3</v>
      </c>
      <c r="IS110">
        <v>2255</v>
      </c>
      <c r="IT110">
        <v>2</v>
      </c>
      <c r="IU110">
        <v>41</v>
      </c>
      <c r="IV110">
        <v>0.5</v>
      </c>
      <c r="IW110">
        <v>0.5</v>
      </c>
      <c r="IX110">
        <v>1.1401399999999999</v>
      </c>
      <c r="IY110">
        <v>2.5097700000000001</v>
      </c>
      <c r="IZ110">
        <v>1.5991200000000001</v>
      </c>
      <c r="JA110">
        <v>2.2680699999999998</v>
      </c>
      <c r="JB110">
        <v>1.5502899999999999</v>
      </c>
      <c r="JC110">
        <v>2.3339799999999999</v>
      </c>
      <c r="JD110">
        <v>38.747100000000003</v>
      </c>
      <c r="JE110">
        <v>15.541700000000001</v>
      </c>
      <c r="JF110">
        <v>18</v>
      </c>
      <c r="JG110">
        <v>505.63200000000001</v>
      </c>
      <c r="JH110">
        <v>480.637</v>
      </c>
      <c r="JI110">
        <v>25.6129</v>
      </c>
      <c r="JJ110">
        <v>32.711300000000001</v>
      </c>
      <c r="JK110">
        <v>30.000499999999999</v>
      </c>
      <c r="JL110">
        <v>32.713799999999999</v>
      </c>
      <c r="JM110">
        <v>32.674199999999999</v>
      </c>
      <c r="JN110">
        <v>22.8504</v>
      </c>
      <c r="JO110">
        <v>28.9681</v>
      </c>
      <c r="JP110">
        <v>41.491399999999999</v>
      </c>
      <c r="JQ110">
        <v>25.616900000000001</v>
      </c>
      <c r="JR110">
        <v>500</v>
      </c>
      <c r="JS110">
        <v>22.630299999999998</v>
      </c>
      <c r="JT110">
        <v>99.038399999999996</v>
      </c>
      <c r="JU110">
        <v>98.576499999999996</v>
      </c>
    </row>
    <row r="111" spans="1:281" x14ac:dyDescent="0.25">
      <c r="A111">
        <v>95</v>
      </c>
      <c r="B111">
        <v>1693344773.5</v>
      </c>
      <c r="C111">
        <v>22476.400000095371</v>
      </c>
      <c r="D111" t="s">
        <v>898</v>
      </c>
      <c r="E111" t="s">
        <v>899</v>
      </c>
      <c r="F111" t="s">
        <v>413</v>
      </c>
      <c r="G111" t="s">
        <v>636</v>
      </c>
      <c r="H111" t="s">
        <v>31</v>
      </c>
      <c r="I111" t="s">
        <v>31</v>
      </c>
      <c r="J111">
        <v>1693344773.5</v>
      </c>
      <c r="K111">
        <f t="shared" si="92"/>
        <v>5.1600986755767804E-3</v>
      </c>
      <c r="L111">
        <f t="shared" si="93"/>
        <v>5.1600986755767808</v>
      </c>
      <c r="M111">
        <f t="shared" si="94"/>
        <v>42.464480246281809</v>
      </c>
      <c r="N111">
        <f t="shared" si="95"/>
        <v>645.04700000000003</v>
      </c>
      <c r="O111">
        <f t="shared" si="96"/>
        <v>436.9342739189442</v>
      </c>
      <c r="P111">
        <f t="shared" si="97"/>
        <v>43.179646122827442</v>
      </c>
      <c r="Q111">
        <f t="shared" si="98"/>
        <v>63.746203617248099</v>
      </c>
      <c r="R111">
        <f t="shared" si="99"/>
        <v>0.36883082433861447</v>
      </c>
      <c r="S111">
        <f t="shared" si="100"/>
        <v>2.9079470817662871</v>
      </c>
      <c r="T111">
        <f t="shared" si="101"/>
        <v>0.34467331647528016</v>
      </c>
      <c r="U111">
        <f t="shared" si="102"/>
        <v>0.21745928837590389</v>
      </c>
      <c r="V111">
        <f t="shared" si="103"/>
        <v>344.33080065807326</v>
      </c>
      <c r="W111">
        <f t="shared" si="104"/>
        <v>31.053653168735707</v>
      </c>
      <c r="X111">
        <f t="shared" si="105"/>
        <v>30.008500000000002</v>
      </c>
      <c r="Y111">
        <f t="shared" si="106"/>
        <v>4.2625303073265304</v>
      </c>
      <c r="Z111">
        <f t="shared" si="107"/>
        <v>65.202097192970783</v>
      </c>
      <c r="AA111">
        <f t="shared" si="108"/>
        <v>2.83617325071216</v>
      </c>
      <c r="AB111">
        <f t="shared" si="109"/>
        <v>4.3498190592217911</v>
      </c>
      <c r="AC111">
        <f t="shared" si="110"/>
        <v>1.4263570566143704</v>
      </c>
      <c r="AD111">
        <f t="shared" si="111"/>
        <v>-227.560351592936</v>
      </c>
      <c r="AE111">
        <f t="shared" si="112"/>
        <v>55.403664101709396</v>
      </c>
      <c r="AF111">
        <f t="shared" si="113"/>
        <v>4.2441168840726462</v>
      </c>
      <c r="AG111">
        <f t="shared" si="114"/>
        <v>176.41823005091931</v>
      </c>
      <c r="AH111">
        <v>0</v>
      </c>
      <c r="AI111">
        <v>0</v>
      </c>
      <c r="AJ111">
        <f t="shared" si="115"/>
        <v>1</v>
      </c>
      <c r="AK111">
        <f t="shared" si="116"/>
        <v>0</v>
      </c>
      <c r="AL111">
        <f t="shared" si="117"/>
        <v>51648.855688236385</v>
      </c>
      <c r="AM111" t="s">
        <v>416</v>
      </c>
      <c r="AN111">
        <v>10238.9</v>
      </c>
      <c r="AO111">
        <v>302.21199999999999</v>
      </c>
      <c r="AP111">
        <v>4052.3</v>
      </c>
      <c r="AQ111">
        <f t="shared" si="118"/>
        <v>0.92542210596451402</v>
      </c>
      <c r="AR111">
        <v>-0.32343011824092421</v>
      </c>
      <c r="AS111" t="s">
        <v>900</v>
      </c>
      <c r="AT111">
        <v>10435.799999999999</v>
      </c>
      <c r="AU111">
        <v>742.17923999999982</v>
      </c>
      <c r="AV111">
        <v>1083.2393469871481</v>
      </c>
      <c r="AW111">
        <f t="shared" si="119"/>
        <v>0.31485202964215697</v>
      </c>
      <c r="AX111">
        <v>0.5</v>
      </c>
      <c r="AY111">
        <f t="shared" si="120"/>
        <v>1513.0164003290365</v>
      </c>
      <c r="AZ111">
        <f t="shared" si="121"/>
        <v>42.464480246281809</v>
      </c>
      <c r="BA111">
        <f t="shared" si="122"/>
        <v>238.18814226273372</v>
      </c>
      <c r="BB111">
        <f t="shared" si="123"/>
        <v>2.827987215156268E-2</v>
      </c>
      <c r="BC111">
        <f t="shared" si="124"/>
        <v>2.7409091640465291</v>
      </c>
      <c r="BD111">
        <f t="shared" si="125"/>
        <v>250.92094101261986</v>
      </c>
      <c r="BE111" t="s">
        <v>901</v>
      </c>
      <c r="BF111">
        <v>582.04999999999995</v>
      </c>
      <c r="BG111">
        <f t="shared" si="126"/>
        <v>582.04999999999995</v>
      </c>
      <c r="BH111">
        <f t="shared" si="127"/>
        <v>0.46267646054505296</v>
      </c>
      <c r="BI111">
        <f t="shared" si="128"/>
        <v>0.68050150913501761</v>
      </c>
      <c r="BJ111">
        <f t="shared" si="129"/>
        <v>0.85557543491473298</v>
      </c>
      <c r="BK111">
        <f t="shared" si="130"/>
        <v>0.43668138933009787</v>
      </c>
      <c r="BL111">
        <f t="shared" si="131"/>
        <v>0.79173092818431245</v>
      </c>
      <c r="BM111">
        <f t="shared" si="132"/>
        <v>0.53367957771499652</v>
      </c>
      <c r="BN111">
        <f t="shared" si="133"/>
        <v>0.46632042228500348</v>
      </c>
      <c r="BO111">
        <v>5652</v>
      </c>
      <c r="BP111">
        <v>290.00000000000011</v>
      </c>
      <c r="BQ111">
        <v>991.62</v>
      </c>
      <c r="BR111">
        <v>235</v>
      </c>
      <c r="BS111">
        <v>10435.799999999999</v>
      </c>
      <c r="BT111">
        <v>991.14</v>
      </c>
      <c r="BU111">
        <v>0.48</v>
      </c>
      <c r="BV111">
        <v>300.00000000000011</v>
      </c>
      <c r="BW111">
        <v>38.299999999999997</v>
      </c>
      <c r="BX111">
        <v>1083.2393469871481</v>
      </c>
      <c r="BY111">
        <v>1.1906758318213131</v>
      </c>
      <c r="BZ111">
        <v>-96.116575001780106</v>
      </c>
      <c r="CA111">
        <v>1.0174492814573111</v>
      </c>
      <c r="CB111">
        <v>0.9968722896989215</v>
      </c>
      <c r="CC111">
        <v>-1.1334527030033381E-2</v>
      </c>
      <c r="CD111">
        <v>289.99999999999989</v>
      </c>
      <c r="CE111">
        <v>982.89</v>
      </c>
      <c r="CF111">
        <v>655</v>
      </c>
      <c r="CG111">
        <v>10412.700000000001</v>
      </c>
      <c r="CH111">
        <v>990.93</v>
      </c>
      <c r="CI111">
        <v>-8.0399999999999991</v>
      </c>
      <c r="CW111">
        <f t="shared" si="134"/>
        <v>1799.8</v>
      </c>
      <c r="CX111">
        <f t="shared" si="135"/>
        <v>1513.0164003290365</v>
      </c>
      <c r="CY111">
        <f t="shared" si="136"/>
        <v>0.84065807330205389</v>
      </c>
      <c r="CZ111">
        <f t="shared" si="137"/>
        <v>0.19131614660410784</v>
      </c>
      <c r="DA111">
        <v>6</v>
      </c>
      <c r="DB111">
        <v>0.5</v>
      </c>
      <c r="DC111" t="s">
        <v>419</v>
      </c>
      <c r="DD111">
        <v>2</v>
      </c>
      <c r="DE111">
        <v>1693344773.5</v>
      </c>
      <c r="DF111">
        <v>645.04700000000003</v>
      </c>
      <c r="DG111">
        <v>699.97199999999998</v>
      </c>
      <c r="DH111">
        <v>28.699200000000001</v>
      </c>
      <c r="DI111">
        <v>22.6877</v>
      </c>
      <c r="DJ111">
        <v>646.81200000000001</v>
      </c>
      <c r="DK111">
        <v>28.2681</v>
      </c>
      <c r="DL111">
        <v>500.24200000000002</v>
      </c>
      <c r="DM111">
        <v>98.724299999999999</v>
      </c>
      <c r="DN111">
        <v>9.9822300000000003E-2</v>
      </c>
      <c r="DO111">
        <v>30.361899999999999</v>
      </c>
      <c r="DP111">
        <v>30.008500000000002</v>
      </c>
      <c r="DQ111">
        <v>999.9</v>
      </c>
      <c r="DR111">
        <v>0</v>
      </c>
      <c r="DS111">
        <v>0</v>
      </c>
      <c r="DT111">
        <v>10005</v>
      </c>
      <c r="DU111">
        <v>0</v>
      </c>
      <c r="DV111">
        <v>125.65600000000001</v>
      </c>
      <c r="DW111">
        <v>-54.924999999999997</v>
      </c>
      <c r="DX111">
        <v>664.10599999999999</v>
      </c>
      <c r="DY111">
        <v>716.221</v>
      </c>
      <c r="DZ111">
        <v>6.01145</v>
      </c>
      <c r="EA111">
        <v>699.97199999999998</v>
      </c>
      <c r="EB111">
        <v>22.6877</v>
      </c>
      <c r="EC111">
        <v>2.83331</v>
      </c>
      <c r="ED111">
        <v>2.23983</v>
      </c>
      <c r="EE111">
        <v>23.0794</v>
      </c>
      <c r="EF111">
        <v>19.2501</v>
      </c>
      <c r="EG111">
        <v>1799.8</v>
      </c>
      <c r="EH111">
        <v>0.97800399999999998</v>
      </c>
      <c r="EI111">
        <v>2.1996000000000002E-2</v>
      </c>
      <c r="EJ111">
        <v>0</v>
      </c>
      <c r="EK111">
        <v>742.423</v>
      </c>
      <c r="EL111">
        <v>4.9995000000000003</v>
      </c>
      <c r="EM111">
        <v>14156.9</v>
      </c>
      <c r="EN111">
        <v>16658</v>
      </c>
      <c r="EO111">
        <v>50.25</v>
      </c>
      <c r="EP111">
        <v>50.625</v>
      </c>
      <c r="EQ111">
        <v>50.936999999999998</v>
      </c>
      <c r="ER111">
        <v>49.875</v>
      </c>
      <c r="ES111">
        <v>51.25</v>
      </c>
      <c r="ET111">
        <v>1755.32</v>
      </c>
      <c r="EU111">
        <v>39.479999999999997</v>
      </c>
      <c r="EV111">
        <v>0</v>
      </c>
      <c r="EW111">
        <v>100.7999999523163</v>
      </c>
      <c r="EX111">
        <v>0</v>
      </c>
      <c r="EY111">
        <v>742.17923999999982</v>
      </c>
      <c r="EZ111">
        <v>0.5167692365467238</v>
      </c>
      <c r="FA111">
        <v>60.792307697733108</v>
      </c>
      <c r="FB111">
        <v>14153.368</v>
      </c>
      <c r="FC111">
        <v>15</v>
      </c>
      <c r="FD111">
        <v>1693344746.5</v>
      </c>
      <c r="FE111" t="s">
        <v>902</v>
      </c>
      <c r="FF111">
        <v>1693344738.5</v>
      </c>
      <c r="FG111">
        <v>1693344746.5</v>
      </c>
      <c r="FH111">
        <v>105</v>
      </c>
      <c r="FI111">
        <v>0.23300000000000001</v>
      </c>
      <c r="FJ111">
        <v>-3.0000000000000001E-3</v>
      </c>
      <c r="FK111">
        <v>-1.8160000000000001</v>
      </c>
      <c r="FL111">
        <v>0.16400000000000001</v>
      </c>
      <c r="FM111">
        <v>700</v>
      </c>
      <c r="FN111">
        <v>22</v>
      </c>
      <c r="FO111">
        <v>0.12</v>
      </c>
      <c r="FP111">
        <v>0.04</v>
      </c>
      <c r="FQ111">
        <v>42.510386979891628</v>
      </c>
      <c r="FR111">
        <v>-0.48751631950675361</v>
      </c>
      <c r="FS111">
        <v>0.10515331904999529</v>
      </c>
      <c r="FT111">
        <v>1</v>
      </c>
      <c r="FU111">
        <v>0.37173433272475581</v>
      </c>
      <c r="FV111">
        <v>4.6940519599381281E-2</v>
      </c>
      <c r="FW111">
        <v>6.0742274570787661E-3</v>
      </c>
      <c r="FX111">
        <v>1</v>
      </c>
      <c r="FY111">
        <v>2</v>
      </c>
      <c r="FZ111">
        <v>2</v>
      </c>
      <c r="GA111" t="s">
        <v>421</v>
      </c>
      <c r="GB111">
        <v>2.9695</v>
      </c>
      <c r="GC111">
        <v>2.8115600000000001</v>
      </c>
      <c r="GD111">
        <v>0.13675999999999999</v>
      </c>
      <c r="GE111">
        <v>0.142871</v>
      </c>
      <c r="GF111">
        <v>0.13384799999999999</v>
      </c>
      <c r="GG111">
        <v>0.113161</v>
      </c>
      <c r="GH111">
        <v>25473</v>
      </c>
      <c r="GI111">
        <v>23285.3</v>
      </c>
      <c r="GJ111">
        <v>26527.7</v>
      </c>
      <c r="GK111">
        <v>25637.9</v>
      </c>
      <c r="GL111">
        <v>31262.400000000001</v>
      </c>
      <c r="GM111">
        <v>32052.400000000001</v>
      </c>
      <c r="GN111">
        <v>37547.800000000003</v>
      </c>
      <c r="GO111">
        <v>37954.1</v>
      </c>
      <c r="GP111">
        <v>1.9532</v>
      </c>
      <c r="GQ111">
        <v>1.9644999999999999</v>
      </c>
      <c r="GR111">
        <v>3.7550899999999998E-2</v>
      </c>
      <c r="GS111">
        <v>0</v>
      </c>
      <c r="GT111">
        <v>29.397099999999998</v>
      </c>
      <c r="GU111">
        <v>999.9</v>
      </c>
      <c r="GV111">
        <v>47.2</v>
      </c>
      <c r="GW111">
        <v>35.700000000000003</v>
      </c>
      <c r="GX111">
        <v>28.069700000000001</v>
      </c>
      <c r="GY111">
        <v>61.598399999999998</v>
      </c>
      <c r="GZ111">
        <v>12.151400000000001</v>
      </c>
      <c r="HA111">
        <v>1</v>
      </c>
      <c r="HB111">
        <v>0.42867899999999998</v>
      </c>
      <c r="HC111">
        <v>3.01268</v>
      </c>
      <c r="HD111">
        <v>20.28</v>
      </c>
      <c r="HE111">
        <v>5.2107000000000001</v>
      </c>
      <c r="HF111">
        <v>11.936299999999999</v>
      </c>
      <c r="HG111">
        <v>4.9871999999999996</v>
      </c>
      <c r="HH111">
        <v>3.2909999999999999</v>
      </c>
      <c r="HI111">
        <v>9999</v>
      </c>
      <c r="HJ111">
        <v>9999</v>
      </c>
      <c r="HK111">
        <v>9999</v>
      </c>
      <c r="HL111">
        <v>999.9</v>
      </c>
      <c r="HM111">
        <v>1.87009</v>
      </c>
      <c r="HN111">
        <v>1.87622</v>
      </c>
      <c r="HO111">
        <v>1.87408</v>
      </c>
      <c r="HP111">
        <v>1.87225</v>
      </c>
      <c r="HQ111">
        <v>1.8727100000000001</v>
      </c>
      <c r="HR111">
        <v>1.87015</v>
      </c>
      <c r="HS111">
        <v>1.8760699999999999</v>
      </c>
      <c r="HT111">
        <v>1.8751500000000001</v>
      </c>
      <c r="HU111">
        <v>5</v>
      </c>
      <c r="HV111">
        <v>0</v>
      </c>
      <c r="HW111">
        <v>0</v>
      </c>
      <c r="HX111">
        <v>0</v>
      </c>
      <c r="HY111" t="s">
        <v>422</v>
      </c>
      <c r="HZ111" t="s">
        <v>423</v>
      </c>
      <c r="IA111" t="s">
        <v>424</v>
      </c>
      <c r="IB111" t="s">
        <v>424</v>
      </c>
      <c r="IC111" t="s">
        <v>424</v>
      </c>
      <c r="ID111" t="s">
        <v>424</v>
      </c>
      <c r="IE111">
        <v>0</v>
      </c>
      <c r="IF111">
        <v>100</v>
      </c>
      <c r="IG111">
        <v>100</v>
      </c>
      <c r="IH111">
        <v>-1.7649999999999999</v>
      </c>
      <c r="II111">
        <v>0.43109999999999998</v>
      </c>
      <c r="IJ111">
        <v>-0.67603376437451113</v>
      </c>
      <c r="IK111">
        <v>-2.677719669153116E-3</v>
      </c>
      <c r="IL111">
        <v>1.9353498771248068E-6</v>
      </c>
      <c r="IM111">
        <v>-6.1862177325538213E-10</v>
      </c>
      <c r="IN111">
        <v>-0.19588072922624131</v>
      </c>
      <c r="IO111">
        <v>-1.5299015507423901E-2</v>
      </c>
      <c r="IP111">
        <v>1.742162107778985E-3</v>
      </c>
      <c r="IQ111">
        <v>-1.472690239905804E-5</v>
      </c>
      <c r="IR111">
        <v>3</v>
      </c>
      <c r="IS111">
        <v>2255</v>
      </c>
      <c r="IT111">
        <v>2</v>
      </c>
      <c r="IU111">
        <v>41</v>
      </c>
      <c r="IV111">
        <v>0.6</v>
      </c>
      <c r="IW111">
        <v>0.5</v>
      </c>
      <c r="IX111">
        <v>1.49658</v>
      </c>
      <c r="IY111">
        <v>2.50122</v>
      </c>
      <c r="IZ111">
        <v>1.6003400000000001</v>
      </c>
      <c r="JA111">
        <v>2.2692899999999998</v>
      </c>
      <c r="JB111">
        <v>1.5502899999999999</v>
      </c>
      <c r="JC111">
        <v>2.2766099999999998</v>
      </c>
      <c r="JD111">
        <v>38.771700000000003</v>
      </c>
      <c r="JE111">
        <v>15.515499999999999</v>
      </c>
      <c r="JF111">
        <v>18</v>
      </c>
      <c r="JG111">
        <v>505.61700000000002</v>
      </c>
      <c r="JH111">
        <v>481.39800000000002</v>
      </c>
      <c r="JI111">
        <v>25.610199999999999</v>
      </c>
      <c r="JJ111">
        <v>32.7258</v>
      </c>
      <c r="JK111">
        <v>29.9999</v>
      </c>
      <c r="JL111">
        <v>32.728299999999997</v>
      </c>
      <c r="JM111">
        <v>32.688600000000001</v>
      </c>
      <c r="JN111">
        <v>29.96</v>
      </c>
      <c r="JO111">
        <v>28.617599999999999</v>
      </c>
      <c r="JP111">
        <v>41.256700000000002</v>
      </c>
      <c r="JQ111">
        <v>25.604900000000001</v>
      </c>
      <c r="JR111">
        <v>700</v>
      </c>
      <c r="JS111">
        <v>22.734000000000002</v>
      </c>
      <c r="JT111">
        <v>99.034800000000004</v>
      </c>
      <c r="JU111">
        <v>98.569599999999994</v>
      </c>
    </row>
    <row r="112" spans="1:281" x14ac:dyDescent="0.25">
      <c r="A112">
        <v>96</v>
      </c>
      <c r="B112">
        <v>1693344873</v>
      </c>
      <c r="C112">
        <v>22575.900000095371</v>
      </c>
      <c r="D112" t="s">
        <v>903</v>
      </c>
      <c r="E112" t="s">
        <v>904</v>
      </c>
      <c r="F112" t="s">
        <v>413</v>
      </c>
      <c r="G112" t="s">
        <v>636</v>
      </c>
      <c r="H112" t="s">
        <v>31</v>
      </c>
      <c r="I112" t="s">
        <v>31</v>
      </c>
      <c r="J112">
        <v>1693344873</v>
      </c>
      <c r="K112">
        <f t="shared" si="92"/>
        <v>4.7527070741134672E-3</v>
      </c>
      <c r="L112">
        <f t="shared" si="93"/>
        <v>4.7527070741134674</v>
      </c>
      <c r="M112">
        <f t="shared" si="94"/>
        <v>42.646889484417962</v>
      </c>
      <c r="N112">
        <f t="shared" si="95"/>
        <v>843.976</v>
      </c>
      <c r="O112">
        <f t="shared" si="96"/>
        <v>610.28040401283693</v>
      </c>
      <c r="P112">
        <f t="shared" si="97"/>
        <v>60.308290949801048</v>
      </c>
      <c r="Q112">
        <f t="shared" si="98"/>
        <v>83.402235804999989</v>
      </c>
      <c r="R112">
        <f t="shared" si="99"/>
        <v>0.33280177100003555</v>
      </c>
      <c r="S112">
        <f t="shared" si="100"/>
        <v>2.9000061857986745</v>
      </c>
      <c r="T112">
        <f t="shared" si="101"/>
        <v>0.31294668192556246</v>
      </c>
      <c r="U112">
        <f t="shared" si="102"/>
        <v>0.19727678923146541</v>
      </c>
      <c r="V112">
        <f t="shared" si="103"/>
        <v>344.38020065797821</v>
      </c>
      <c r="W112">
        <f t="shared" si="104"/>
        <v>31.106738692778979</v>
      </c>
      <c r="X112">
        <f t="shared" si="105"/>
        <v>30.038</v>
      </c>
      <c r="Y112">
        <f t="shared" si="106"/>
        <v>4.2697578579570044</v>
      </c>
      <c r="Z112">
        <f t="shared" si="107"/>
        <v>65.102807793207091</v>
      </c>
      <c r="AA112">
        <f t="shared" si="108"/>
        <v>2.8228309172499997</v>
      </c>
      <c r="AB112">
        <f t="shared" si="109"/>
        <v>4.3359587903127856</v>
      </c>
      <c r="AC112">
        <f t="shared" si="110"/>
        <v>1.4469269407070047</v>
      </c>
      <c r="AD112">
        <f t="shared" si="111"/>
        <v>-209.59438196840389</v>
      </c>
      <c r="AE112">
        <f t="shared" si="112"/>
        <v>41.931764801690335</v>
      </c>
      <c r="AF112">
        <f t="shared" si="113"/>
        <v>3.2204992746906522</v>
      </c>
      <c r="AG112">
        <f t="shared" si="114"/>
        <v>179.9380827659553</v>
      </c>
      <c r="AH112">
        <v>0</v>
      </c>
      <c r="AI112">
        <v>0</v>
      </c>
      <c r="AJ112">
        <f t="shared" si="115"/>
        <v>1</v>
      </c>
      <c r="AK112">
        <f t="shared" si="116"/>
        <v>0</v>
      </c>
      <c r="AL112">
        <f t="shared" si="117"/>
        <v>51433.288424127575</v>
      </c>
      <c r="AM112" t="s">
        <v>416</v>
      </c>
      <c r="AN112">
        <v>10238.9</v>
      </c>
      <c r="AO112">
        <v>302.21199999999999</v>
      </c>
      <c r="AP112">
        <v>4052.3</v>
      </c>
      <c r="AQ112">
        <f t="shared" si="118"/>
        <v>0.92542210596451402</v>
      </c>
      <c r="AR112">
        <v>-0.32343011824092421</v>
      </c>
      <c r="AS112" t="s">
        <v>905</v>
      </c>
      <c r="AT112">
        <v>10437.5</v>
      </c>
      <c r="AU112">
        <v>742.9272692307693</v>
      </c>
      <c r="AV112">
        <v>1085.5356903502959</v>
      </c>
      <c r="AW112">
        <f t="shared" si="119"/>
        <v>0.31561230474971202</v>
      </c>
      <c r="AX112">
        <v>0.5</v>
      </c>
      <c r="AY112">
        <f t="shared" si="120"/>
        <v>1513.234800328989</v>
      </c>
      <c r="AZ112">
        <f t="shared" si="121"/>
        <v>42.646889484417962</v>
      </c>
      <c r="BA112">
        <f t="shared" si="122"/>
        <v>238.79776147965126</v>
      </c>
      <c r="BB112">
        <f t="shared" si="123"/>
        <v>2.8396333201771994E-2</v>
      </c>
      <c r="BC112">
        <f t="shared" si="124"/>
        <v>2.7329956407903522</v>
      </c>
      <c r="BD112">
        <f t="shared" si="125"/>
        <v>251.04395513412558</v>
      </c>
      <c r="BE112" t="s">
        <v>906</v>
      </c>
      <c r="BF112">
        <v>586.71</v>
      </c>
      <c r="BG112">
        <f t="shared" si="126"/>
        <v>586.71</v>
      </c>
      <c r="BH112">
        <f t="shared" si="127"/>
        <v>0.45952030392416465</v>
      </c>
      <c r="BI112">
        <f t="shared" si="128"/>
        <v>0.68682994430165156</v>
      </c>
      <c r="BJ112">
        <f t="shared" si="129"/>
        <v>0.85606327051085207</v>
      </c>
      <c r="BK112">
        <f t="shared" si="130"/>
        <v>0.43737783669777042</v>
      </c>
      <c r="BL112">
        <f t="shared" si="131"/>
        <v>0.79111858432380888</v>
      </c>
      <c r="BM112">
        <f t="shared" si="132"/>
        <v>0.54240840700121185</v>
      </c>
      <c r="BN112">
        <f t="shared" si="133"/>
        <v>0.45759159299878815</v>
      </c>
      <c r="BO112">
        <v>5654</v>
      </c>
      <c r="BP112">
        <v>290.00000000000011</v>
      </c>
      <c r="BQ112">
        <v>996.85</v>
      </c>
      <c r="BR112">
        <v>225</v>
      </c>
      <c r="BS112">
        <v>10437.5</v>
      </c>
      <c r="BT112">
        <v>995.41</v>
      </c>
      <c r="BU112">
        <v>1.44</v>
      </c>
      <c r="BV112">
        <v>300.00000000000011</v>
      </c>
      <c r="BW112">
        <v>38.299999999999997</v>
      </c>
      <c r="BX112">
        <v>1085.5356903502959</v>
      </c>
      <c r="BY112">
        <v>1.238612908135156</v>
      </c>
      <c r="BZ112">
        <v>-94.063572606148185</v>
      </c>
      <c r="CA112">
        <v>1.058394109948894</v>
      </c>
      <c r="CB112">
        <v>0.99646757384549423</v>
      </c>
      <c r="CC112">
        <v>-1.133419110122358E-2</v>
      </c>
      <c r="CD112">
        <v>289.99999999999989</v>
      </c>
      <c r="CE112">
        <v>987.2</v>
      </c>
      <c r="CF112">
        <v>655</v>
      </c>
      <c r="CG112">
        <v>10412.4</v>
      </c>
      <c r="CH112">
        <v>995.2</v>
      </c>
      <c r="CI112">
        <v>-8</v>
      </c>
      <c r="CW112">
        <f t="shared" si="134"/>
        <v>1800.06</v>
      </c>
      <c r="CX112">
        <f t="shared" si="135"/>
        <v>1513.234800328989</v>
      </c>
      <c r="CY112">
        <f t="shared" si="136"/>
        <v>0.84065797825016331</v>
      </c>
      <c r="CZ112">
        <f t="shared" si="137"/>
        <v>0.19131595650032679</v>
      </c>
      <c r="DA112">
        <v>6</v>
      </c>
      <c r="DB112">
        <v>0.5</v>
      </c>
      <c r="DC112" t="s">
        <v>419</v>
      </c>
      <c r="DD112">
        <v>2</v>
      </c>
      <c r="DE112">
        <v>1693344873</v>
      </c>
      <c r="DF112">
        <v>843.976</v>
      </c>
      <c r="DG112">
        <v>899.93399999999997</v>
      </c>
      <c r="DH112">
        <v>28.565200000000001</v>
      </c>
      <c r="DI112">
        <v>23.027999999999999</v>
      </c>
      <c r="DJ112">
        <v>845.923</v>
      </c>
      <c r="DK112">
        <v>28.144600000000001</v>
      </c>
      <c r="DL112">
        <v>500.28300000000002</v>
      </c>
      <c r="DM112">
        <v>98.720299999999995</v>
      </c>
      <c r="DN112">
        <v>0.100325</v>
      </c>
      <c r="DO112">
        <v>30.3062</v>
      </c>
      <c r="DP112">
        <v>30.038</v>
      </c>
      <c r="DQ112">
        <v>999.9</v>
      </c>
      <c r="DR112">
        <v>0</v>
      </c>
      <c r="DS112">
        <v>0</v>
      </c>
      <c r="DT112">
        <v>9960</v>
      </c>
      <c r="DU112">
        <v>0</v>
      </c>
      <c r="DV112">
        <v>127.504</v>
      </c>
      <c r="DW112">
        <v>-55.958199999999998</v>
      </c>
      <c r="DX112">
        <v>868.79300000000001</v>
      </c>
      <c r="DY112">
        <v>921.14599999999996</v>
      </c>
      <c r="DZ112">
        <v>5.5371699999999997</v>
      </c>
      <c r="EA112">
        <v>899.93399999999997</v>
      </c>
      <c r="EB112">
        <v>23.027999999999999</v>
      </c>
      <c r="EC112">
        <v>2.81996</v>
      </c>
      <c r="ED112">
        <v>2.2733300000000001</v>
      </c>
      <c r="EE112">
        <v>23.0014</v>
      </c>
      <c r="EF112">
        <v>19.488700000000001</v>
      </c>
      <c r="EG112">
        <v>1800.06</v>
      </c>
      <c r="EH112">
        <v>0.97800699999999996</v>
      </c>
      <c r="EI112">
        <v>2.1992500000000002E-2</v>
      </c>
      <c r="EJ112">
        <v>0</v>
      </c>
      <c r="EK112">
        <v>743.39599999999996</v>
      </c>
      <c r="EL112">
        <v>4.9995000000000003</v>
      </c>
      <c r="EM112">
        <v>14175.6</v>
      </c>
      <c r="EN112">
        <v>16660.400000000001</v>
      </c>
      <c r="EO112">
        <v>50.25</v>
      </c>
      <c r="EP112">
        <v>50.625</v>
      </c>
      <c r="EQ112">
        <v>51</v>
      </c>
      <c r="ER112">
        <v>49.875</v>
      </c>
      <c r="ES112">
        <v>51.25</v>
      </c>
      <c r="ET112">
        <v>1755.58</v>
      </c>
      <c r="EU112">
        <v>39.479999999999997</v>
      </c>
      <c r="EV112">
        <v>0</v>
      </c>
      <c r="EW112">
        <v>97.799999952316284</v>
      </c>
      <c r="EX112">
        <v>0</v>
      </c>
      <c r="EY112">
        <v>742.9272692307693</v>
      </c>
      <c r="EZ112">
        <v>0.86704271712986769</v>
      </c>
      <c r="FA112">
        <v>24.8854705529452</v>
      </c>
      <c r="FB112">
        <v>14174.711538461541</v>
      </c>
      <c r="FC112">
        <v>15</v>
      </c>
      <c r="FD112">
        <v>1693344842.5</v>
      </c>
      <c r="FE112" t="s">
        <v>907</v>
      </c>
      <c r="FF112">
        <v>1693344841</v>
      </c>
      <c r="FG112">
        <v>1693344842.5</v>
      </c>
      <c r="FH112">
        <v>106</v>
      </c>
      <c r="FI112">
        <v>-1.7000000000000001E-2</v>
      </c>
      <c r="FJ112">
        <v>-5.0000000000000001E-3</v>
      </c>
      <c r="FK112">
        <v>-1.988</v>
      </c>
      <c r="FL112">
        <v>0.17100000000000001</v>
      </c>
      <c r="FM112">
        <v>900</v>
      </c>
      <c r="FN112">
        <v>23</v>
      </c>
      <c r="FO112">
        <v>0.13</v>
      </c>
      <c r="FP112">
        <v>0.04</v>
      </c>
      <c r="FQ112">
        <v>42.636372234052423</v>
      </c>
      <c r="FR112">
        <v>-0.57745156171411238</v>
      </c>
      <c r="FS112">
        <v>9.3881682989408799E-2</v>
      </c>
      <c r="FT112">
        <v>1</v>
      </c>
      <c r="FU112">
        <v>0.33994175937192839</v>
      </c>
      <c r="FV112">
        <v>4.3342704622113953E-3</v>
      </c>
      <c r="FW112">
        <v>3.559425210709156E-3</v>
      </c>
      <c r="FX112">
        <v>1</v>
      </c>
      <c r="FY112">
        <v>2</v>
      </c>
      <c r="FZ112">
        <v>2</v>
      </c>
      <c r="GA112" t="s">
        <v>421</v>
      </c>
      <c r="GB112">
        <v>2.9696199999999999</v>
      </c>
      <c r="GC112">
        <v>2.81168</v>
      </c>
      <c r="GD112">
        <v>0.16424800000000001</v>
      </c>
      <c r="GE112">
        <v>0.16924800000000001</v>
      </c>
      <c r="GF112">
        <v>0.133433</v>
      </c>
      <c r="GG112">
        <v>0.114343</v>
      </c>
      <c r="GH112">
        <v>24661.1</v>
      </c>
      <c r="GI112">
        <v>22567.599999999999</v>
      </c>
      <c r="GJ112">
        <v>26528.2</v>
      </c>
      <c r="GK112">
        <v>25638</v>
      </c>
      <c r="GL112">
        <v>31280.5</v>
      </c>
      <c r="GM112">
        <v>32011.1</v>
      </c>
      <c r="GN112">
        <v>37548.800000000003</v>
      </c>
      <c r="GO112">
        <v>37953.4</v>
      </c>
      <c r="GP112">
        <v>1.9525999999999999</v>
      </c>
      <c r="GQ112">
        <v>1.9650000000000001</v>
      </c>
      <c r="GR112">
        <v>4.1753100000000001E-2</v>
      </c>
      <c r="GS112">
        <v>0</v>
      </c>
      <c r="GT112">
        <v>29.3582</v>
      </c>
      <c r="GU112">
        <v>999.9</v>
      </c>
      <c r="GV112">
        <v>47.2</v>
      </c>
      <c r="GW112">
        <v>35.700000000000003</v>
      </c>
      <c r="GX112">
        <v>28.069299999999998</v>
      </c>
      <c r="GY112">
        <v>61.828400000000002</v>
      </c>
      <c r="GZ112">
        <v>12.5801</v>
      </c>
      <c r="HA112">
        <v>1</v>
      </c>
      <c r="HB112">
        <v>0.42932900000000002</v>
      </c>
      <c r="HC112">
        <v>3.10989</v>
      </c>
      <c r="HD112">
        <v>20.278400000000001</v>
      </c>
      <c r="HE112">
        <v>5.2107000000000001</v>
      </c>
      <c r="HF112">
        <v>11.9381</v>
      </c>
      <c r="HG112">
        <v>4.9874000000000001</v>
      </c>
      <c r="HH112">
        <v>3.2909999999999999</v>
      </c>
      <c r="HI112">
        <v>9999</v>
      </c>
      <c r="HJ112">
        <v>9999</v>
      </c>
      <c r="HK112">
        <v>9999</v>
      </c>
      <c r="HL112">
        <v>999.9</v>
      </c>
      <c r="HM112">
        <v>1.87012</v>
      </c>
      <c r="HN112">
        <v>1.8763300000000001</v>
      </c>
      <c r="HO112">
        <v>1.87408</v>
      </c>
      <c r="HP112">
        <v>1.87225</v>
      </c>
      <c r="HQ112">
        <v>1.8727199999999999</v>
      </c>
      <c r="HR112">
        <v>1.8701700000000001</v>
      </c>
      <c r="HS112">
        <v>1.8760699999999999</v>
      </c>
      <c r="HT112">
        <v>1.8751500000000001</v>
      </c>
      <c r="HU112">
        <v>5</v>
      </c>
      <c r="HV112">
        <v>0</v>
      </c>
      <c r="HW112">
        <v>0</v>
      </c>
      <c r="HX112">
        <v>0</v>
      </c>
      <c r="HY112" t="s">
        <v>422</v>
      </c>
      <c r="HZ112" t="s">
        <v>423</v>
      </c>
      <c r="IA112" t="s">
        <v>424</v>
      </c>
      <c r="IB112" t="s">
        <v>424</v>
      </c>
      <c r="IC112" t="s">
        <v>424</v>
      </c>
      <c r="ID112" t="s">
        <v>424</v>
      </c>
      <c r="IE112">
        <v>0</v>
      </c>
      <c r="IF112">
        <v>100</v>
      </c>
      <c r="IG112">
        <v>100</v>
      </c>
      <c r="IH112">
        <v>-1.9470000000000001</v>
      </c>
      <c r="II112">
        <v>0.42059999999999997</v>
      </c>
      <c r="IJ112">
        <v>-0.69292123866917521</v>
      </c>
      <c r="IK112">
        <v>-2.677719669153116E-3</v>
      </c>
      <c r="IL112">
        <v>1.9353498771248068E-6</v>
      </c>
      <c r="IM112">
        <v>-6.1862177325538213E-10</v>
      </c>
      <c r="IN112">
        <v>-0.2004934419258512</v>
      </c>
      <c r="IO112">
        <v>-1.5299015507423901E-2</v>
      </c>
      <c r="IP112">
        <v>1.742162107778985E-3</v>
      </c>
      <c r="IQ112">
        <v>-1.472690239905804E-5</v>
      </c>
      <c r="IR112">
        <v>3</v>
      </c>
      <c r="IS112">
        <v>2255</v>
      </c>
      <c r="IT112">
        <v>2</v>
      </c>
      <c r="IU112">
        <v>41</v>
      </c>
      <c r="IV112">
        <v>0.5</v>
      </c>
      <c r="IW112">
        <v>0.5</v>
      </c>
      <c r="IX112">
        <v>1.8383799999999999</v>
      </c>
      <c r="IY112">
        <v>2.49634</v>
      </c>
      <c r="IZ112">
        <v>1.5991200000000001</v>
      </c>
      <c r="JA112">
        <v>2.2692899999999998</v>
      </c>
      <c r="JB112">
        <v>1.5502899999999999</v>
      </c>
      <c r="JC112">
        <v>2.3901400000000002</v>
      </c>
      <c r="JD112">
        <v>38.796399999999998</v>
      </c>
      <c r="JE112">
        <v>15.5067</v>
      </c>
      <c r="JF112">
        <v>18</v>
      </c>
      <c r="JG112">
        <v>505.25099999999998</v>
      </c>
      <c r="JH112">
        <v>481.767</v>
      </c>
      <c r="JI112">
        <v>25.467400000000001</v>
      </c>
      <c r="JJ112">
        <v>32.7316</v>
      </c>
      <c r="JK112">
        <v>30</v>
      </c>
      <c r="JL112">
        <v>32.731200000000001</v>
      </c>
      <c r="JM112">
        <v>32.694299999999998</v>
      </c>
      <c r="JN112">
        <v>36.803899999999999</v>
      </c>
      <c r="JO112">
        <v>27.218299999999999</v>
      </c>
      <c r="JP112">
        <v>41.151200000000003</v>
      </c>
      <c r="JQ112">
        <v>25.474399999999999</v>
      </c>
      <c r="JR112">
        <v>900</v>
      </c>
      <c r="JS112">
        <v>23.119199999999999</v>
      </c>
      <c r="JT112">
        <v>99.037199999999999</v>
      </c>
      <c r="JU112">
        <v>98.568799999999996</v>
      </c>
    </row>
    <row r="113" spans="1:281" x14ac:dyDescent="0.25">
      <c r="A113">
        <v>97</v>
      </c>
      <c r="B113">
        <v>1693344978.5</v>
      </c>
      <c r="C113">
        <v>22681.400000095371</v>
      </c>
      <c r="D113" t="s">
        <v>908</v>
      </c>
      <c r="E113" t="s">
        <v>909</v>
      </c>
      <c r="F113" t="s">
        <v>413</v>
      </c>
      <c r="G113" t="s">
        <v>636</v>
      </c>
      <c r="H113" t="s">
        <v>31</v>
      </c>
      <c r="I113" t="s">
        <v>31</v>
      </c>
      <c r="J113">
        <v>1693344978.5</v>
      </c>
      <c r="K113">
        <f t="shared" ref="K113:K144" si="138">(L113)/1000</f>
        <v>4.1624864317167292E-3</v>
      </c>
      <c r="L113">
        <f t="shared" ref="L113:L128" si="139">1000*DL113*AJ113*(DH113-DI113)/(100*DA113*(1000-AJ113*DH113))</f>
        <v>4.1624864317167294</v>
      </c>
      <c r="M113">
        <f t="shared" ref="M113:M128" si="140">DL113*AJ113*(DG113-DF113*(1000-AJ113*DI113)/(1000-AJ113*DH113))/(100*DA113)</f>
        <v>42.099473946437826</v>
      </c>
      <c r="N113">
        <f t="shared" ref="N113:N144" si="141">DF113 - IF(AJ113&gt;1, M113*DA113*100/(AL113*DT113), 0)</f>
        <v>1143.95</v>
      </c>
      <c r="O113">
        <f t="shared" ref="O113:O144" si="142">((U113-K113/2)*N113-M113)/(U113+K113/2)</f>
        <v>875.36897108902804</v>
      </c>
      <c r="P113">
        <f t="shared" ref="P113:P144" si="143">O113*(DM113+DN113)/1000</f>
        <v>86.504503576410855</v>
      </c>
      <c r="Q113">
        <f t="shared" ref="Q113:Q128" si="144">(DF113 - IF(AJ113&gt;1, M113*DA113*100/(AL113*DT113), 0))*(DM113+DN113)/1000</f>
        <v>113.04584710505002</v>
      </c>
      <c r="R113">
        <f t="shared" ref="R113:R144" si="145">2/((1/T113-1/S113)+SIGN(T113)*SQRT((1/T113-1/S113)*(1/T113-1/S113) + 4*DB113/((DB113+1)*(DB113+1))*(2*1/T113*1/S113-1/S113*1/S113)))</f>
        <v>0.28878123717255566</v>
      </c>
      <c r="S113">
        <f t="shared" ref="S113:S128" si="146">IF(LEFT(DC113,1)&lt;&gt;"0",IF(LEFT(DC113,1)="1",3,DD113),$D$5+$E$5*(DT113*DM113/($K$5*1000))+$F$5*(DT113*DM113/($K$5*1000))*MAX(MIN(DA113,$J$5),$I$5)*MAX(MIN(DA113,$J$5),$I$5)+$G$5*MAX(MIN(DA113,$J$5),$I$5)*(DT113*DM113/($K$5*1000))+$H$5*(DT113*DM113/($K$5*1000))*(DT113*DM113/($K$5*1000)))</f>
        <v>2.9157263632103199</v>
      </c>
      <c r="T113">
        <f t="shared" ref="T113:T128" si="147">K113*(1000-(1000*0.61365*EXP(17.502*X113/(240.97+X113))/(DM113+DN113)+DH113)/2)/(1000*0.61365*EXP(17.502*X113/(240.97+X113))/(DM113+DN113)-DH113)</f>
        <v>0.27378034844351978</v>
      </c>
      <c r="U113">
        <f t="shared" ref="U113:U128" si="148">1/((DB113+1)/(R113/1.6)+1/(S113/1.37)) + DB113/((DB113+1)/(R113/1.6) + DB113/(S113/1.37))</f>
        <v>0.17239552638328376</v>
      </c>
      <c r="V113">
        <f t="shared" ref="V113:V128" si="149">(CW113*CZ113)</f>
        <v>344.37830065798187</v>
      </c>
      <c r="W113">
        <f t="shared" ref="W113:W144" si="150">(DO113+(V113+2*0.95*0.0000000567*(((DO113+$B$7)+273)^4-(DO113+273)^4)-44100*K113)/(1.84*29.3*S113+8*0.95*0.0000000567*(DO113+273)^3))</f>
        <v>31.20487174890868</v>
      </c>
      <c r="X113">
        <f t="shared" ref="X113:X144" si="151">($C$7*DP113+$D$7*DQ113+$E$7*W113)</f>
        <v>29.984500000000001</v>
      </c>
      <c r="Y113">
        <f t="shared" ref="Y113:Y144" si="152">0.61365*EXP(17.502*X113/(240.97+X113))</f>
        <v>4.256658134126158</v>
      </c>
      <c r="Z113">
        <f t="shared" ref="Z113:Z144" si="153">(AA113/AB113*100)</f>
        <v>64.95108409799424</v>
      </c>
      <c r="AA113">
        <f t="shared" ref="AA113:AA128" si="154">DH113*(DM113+DN113)/1000</f>
        <v>2.8079187144517004</v>
      </c>
      <c r="AB113">
        <f t="shared" ref="AB113:AB128" si="155">0.61365*EXP(17.502*DO113/(240.97+DO113))</f>
        <v>4.3231283256416226</v>
      </c>
      <c r="AC113">
        <f t="shared" ref="AC113:AC128" si="156">(Y113-DH113*(DM113+DN113)/1000)</f>
        <v>1.4487394196744576</v>
      </c>
      <c r="AD113">
        <f t="shared" ref="AD113:AD128" si="157">(-K113*44100)</f>
        <v>-183.56565163870775</v>
      </c>
      <c r="AE113">
        <f t="shared" ref="AE113:AE128" si="158">2*29.3*S113*0.92*(DO113-X113)</f>
        <v>42.442012717216528</v>
      </c>
      <c r="AF113">
        <f t="shared" ref="AF113:AF128" si="159">2*0.95*0.0000000567*(((DO113+$B$7)+273)^4-(X113+273)^4)</f>
        <v>3.2404261568304422</v>
      </c>
      <c r="AG113">
        <f t="shared" ref="AG113:AG144" si="160">V113+AF113+AD113+AE113</f>
        <v>206.49508789332108</v>
      </c>
      <c r="AH113">
        <v>0</v>
      </c>
      <c r="AI113">
        <v>0</v>
      </c>
      <c r="AJ113">
        <f t="shared" ref="AJ113:AJ128" si="161">IF(AH113*$H$13&gt;=AL113,1,(AL113/(AL113-AH113*$H$13)))</f>
        <v>1</v>
      </c>
      <c r="AK113">
        <f t="shared" ref="AK113:AK144" si="162">(AJ113-1)*100</f>
        <v>0</v>
      </c>
      <c r="AL113">
        <f t="shared" ref="AL113:AL128" si="163">MAX(0,($B$13+$C$13*DT113)/(1+$D$13*DT113)*DM113/(DO113+273)*$E$13)</f>
        <v>51887.863736408573</v>
      </c>
      <c r="AM113" t="s">
        <v>416</v>
      </c>
      <c r="AN113">
        <v>10238.9</v>
      </c>
      <c r="AO113">
        <v>302.21199999999999</v>
      </c>
      <c r="AP113">
        <v>4052.3</v>
      </c>
      <c r="AQ113">
        <f t="shared" ref="AQ113:AQ144" si="164">1-AO113/AP113</f>
        <v>0.92542210596451402</v>
      </c>
      <c r="AR113">
        <v>-0.32343011824092421</v>
      </c>
      <c r="AS113" t="s">
        <v>910</v>
      </c>
      <c r="AT113">
        <v>10439.4</v>
      </c>
      <c r="AU113">
        <v>743.6273846153847</v>
      </c>
      <c r="AV113">
        <v>1091.4188007929331</v>
      </c>
      <c r="AW113">
        <f t="shared" ref="AW113:AW144" si="165">1-AU113/AV113</f>
        <v>0.31865990939946465</v>
      </c>
      <c r="AX113">
        <v>0.5</v>
      </c>
      <c r="AY113">
        <f t="shared" ref="AY113:AY128" si="166">CX113</f>
        <v>1513.2264003289908</v>
      </c>
      <c r="AZ113">
        <f t="shared" ref="AZ113:AZ128" si="167">M113</f>
        <v>42.099473946437826</v>
      </c>
      <c r="BA113">
        <f t="shared" ref="BA113:BA128" si="168">AW113*AX113*AY113</f>
        <v>241.10229381485712</v>
      </c>
      <c r="BB113">
        <f t="shared" ref="BB113:BB128" si="169">(AZ113-AR113)/AY113</f>
        <v>2.8034736940523622E-2</v>
      </c>
      <c r="BC113">
        <f t="shared" ref="BC113:BC128" si="170">(AP113-AV113)/AV113</f>
        <v>2.7128735523485021</v>
      </c>
      <c r="BD113">
        <f t="shared" ref="BD113:BD128" si="171">AO113/(AQ113+AO113/AV113)</f>
        <v>251.35729288575388</v>
      </c>
      <c r="BE113" t="s">
        <v>911</v>
      </c>
      <c r="BF113">
        <v>584.78</v>
      </c>
      <c r="BG113">
        <f t="shared" ref="BG113:BG144" si="172">IF(BF113&lt;&gt;0, BF113, BD113)</f>
        <v>584.78</v>
      </c>
      <c r="BH113">
        <f t="shared" ref="BH113:BH144" si="173">1-BG113/AV113</f>
        <v>0.46420200973709813</v>
      </c>
      <c r="BI113">
        <f t="shared" ref="BI113:BI128" si="174">(AV113-AU113)/(AV113-BG113)</f>
        <v>0.68646818134186538</v>
      </c>
      <c r="BJ113">
        <f t="shared" ref="BJ113:BJ128" si="175">(AP113-AV113)/(AP113-BG113)</f>
        <v>0.8538901575786344</v>
      </c>
      <c r="BK113">
        <f t="shared" ref="BK113:BK128" si="176">(AV113-AU113)/(AV113-AO113)</f>
        <v>0.44068476833716441</v>
      </c>
      <c r="BL113">
        <f t="shared" ref="BL113:BL128" si="177">(AP113-AV113)/(AP113-AO113)</f>
        <v>0.78954979168677286</v>
      </c>
      <c r="BM113">
        <f t="shared" ref="BM113:BM128" si="178">(BI113*BG113/AU113)</f>
        <v>0.53983066168646165</v>
      </c>
      <c r="BN113">
        <f t="shared" ref="BN113:BN144" si="179">(1-BM113)</f>
        <v>0.46016933831353835</v>
      </c>
      <c r="BO113">
        <v>5656</v>
      </c>
      <c r="BP113">
        <v>290.00000000000011</v>
      </c>
      <c r="BQ113">
        <v>1000.12</v>
      </c>
      <c r="BR113">
        <v>215</v>
      </c>
      <c r="BS113">
        <v>10439.4</v>
      </c>
      <c r="BT113">
        <v>998.9</v>
      </c>
      <c r="BU113">
        <v>1.22</v>
      </c>
      <c r="BV113">
        <v>300.00000000000011</v>
      </c>
      <c r="BW113">
        <v>38.299999999999997</v>
      </c>
      <c r="BX113">
        <v>1091.4188007929331</v>
      </c>
      <c r="BY113">
        <v>1.0418530643763551</v>
      </c>
      <c r="BZ113">
        <v>-96.580036768680074</v>
      </c>
      <c r="CA113">
        <v>0.89025985494325177</v>
      </c>
      <c r="CB113">
        <v>0.99762652388554307</v>
      </c>
      <c r="CC113">
        <v>-1.133427675194662E-2</v>
      </c>
      <c r="CD113">
        <v>289.99999999999989</v>
      </c>
      <c r="CE113">
        <v>990.52</v>
      </c>
      <c r="CF113">
        <v>645</v>
      </c>
      <c r="CG113">
        <v>10413.5</v>
      </c>
      <c r="CH113">
        <v>998.67</v>
      </c>
      <c r="CI113">
        <v>-8.15</v>
      </c>
      <c r="CW113">
        <f t="shared" ref="CW113:CW128" si="180">$B$11*DU113+$C$11*DV113+$F$11*EG113*(1-EJ113)</f>
        <v>1800.05</v>
      </c>
      <c r="CX113">
        <f t="shared" ref="CX113:CX144" si="181">CW113*CY113</f>
        <v>1513.2264003289908</v>
      </c>
      <c r="CY113">
        <f t="shared" ref="CY113:CY128" si="182">($B$11*$D$9+$C$11*$D$9+$F$11*((ET113+EL113)/MAX(ET113+EL113+EU113, 0.1)*$I$9+EU113/MAX(ET113+EL113+EU113, 0.1)*$J$9))/($B$11+$C$11+$F$11)</f>
        <v>0.84065798190549756</v>
      </c>
      <c r="CZ113">
        <f t="shared" ref="CZ113:CZ128" si="183">($B$11*$K$9+$C$11*$K$9+$F$11*((ET113+EL113)/MAX(ET113+EL113+EU113, 0.1)*$P$9+EU113/MAX(ET113+EL113+EU113, 0.1)*$Q$9))/($B$11+$C$11+$F$11)</f>
        <v>0.19131596381099519</v>
      </c>
      <c r="DA113">
        <v>6</v>
      </c>
      <c r="DB113">
        <v>0.5</v>
      </c>
      <c r="DC113" t="s">
        <v>419</v>
      </c>
      <c r="DD113">
        <v>2</v>
      </c>
      <c r="DE113">
        <v>1693344978.5</v>
      </c>
      <c r="DF113">
        <v>1143.95</v>
      </c>
      <c r="DG113">
        <v>1200.17</v>
      </c>
      <c r="DH113">
        <v>28.414300000000001</v>
      </c>
      <c r="DI113">
        <v>23.5624</v>
      </c>
      <c r="DJ113">
        <v>1146.07</v>
      </c>
      <c r="DK113">
        <v>28.005400000000002</v>
      </c>
      <c r="DL113">
        <v>500.11900000000003</v>
      </c>
      <c r="DM113">
        <v>98.720500000000001</v>
      </c>
      <c r="DN113">
        <v>0.100119</v>
      </c>
      <c r="DO113">
        <v>30.2545</v>
      </c>
      <c r="DP113">
        <v>29.984500000000001</v>
      </c>
      <c r="DQ113">
        <v>999.9</v>
      </c>
      <c r="DR113">
        <v>0</v>
      </c>
      <c r="DS113">
        <v>0</v>
      </c>
      <c r="DT113">
        <v>10050</v>
      </c>
      <c r="DU113">
        <v>0</v>
      </c>
      <c r="DV113">
        <v>131.51900000000001</v>
      </c>
      <c r="DW113">
        <v>-56.216299999999997</v>
      </c>
      <c r="DX113">
        <v>1177.4100000000001</v>
      </c>
      <c r="DY113">
        <v>1229.1300000000001</v>
      </c>
      <c r="DZ113">
        <v>4.8519100000000002</v>
      </c>
      <c r="EA113">
        <v>1200.17</v>
      </c>
      <c r="EB113">
        <v>23.5624</v>
      </c>
      <c r="EC113">
        <v>2.8050799999999998</v>
      </c>
      <c r="ED113">
        <v>2.3260900000000002</v>
      </c>
      <c r="EE113">
        <v>22.914000000000001</v>
      </c>
      <c r="EF113">
        <v>19.8583</v>
      </c>
      <c r="EG113">
        <v>1800.05</v>
      </c>
      <c r="EH113">
        <v>0.97800699999999996</v>
      </c>
      <c r="EI113">
        <v>2.1992500000000002E-2</v>
      </c>
      <c r="EJ113">
        <v>0</v>
      </c>
      <c r="EK113">
        <v>743.38</v>
      </c>
      <c r="EL113">
        <v>4.9995000000000003</v>
      </c>
      <c r="EM113">
        <v>14137.8</v>
      </c>
      <c r="EN113">
        <v>16660.3</v>
      </c>
      <c r="EO113">
        <v>50.186999999999998</v>
      </c>
      <c r="EP113">
        <v>50.625</v>
      </c>
      <c r="EQ113">
        <v>51</v>
      </c>
      <c r="ER113">
        <v>49.875</v>
      </c>
      <c r="ES113">
        <v>51.186999999999998</v>
      </c>
      <c r="ET113">
        <v>1755.57</v>
      </c>
      <c r="EU113">
        <v>39.479999999999997</v>
      </c>
      <c r="EV113">
        <v>0</v>
      </c>
      <c r="EW113">
        <v>103.7999999523163</v>
      </c>
      <c r="EX113">
        <v>0</v>
      </c>
      <c r="EY113">
        <v>743.6273846153847</v>
      </c>
      <c r="EZ113">
        <v>-0.64321367454410328</v>
      </c>
      <c r="FA113">
        <v>256.05470098398371</v>
      </c>
      <c r="FB113">
        <v>14095.884615384621</v>
      </c>
      <c r="FC113">
        <v>15</v>
      </c>
      <c r="FD113">
        <v>1693344944.5</v>
      </c>
      <c r="FE113" t="s">
        <v>912</v>
      </c>
      <c r="FF113">
        <v>1693344944.5</v>
      </c>
      <c r="FG113">
        <v>1693344940.5</v>
      </c>
      <c r="FH113">
        <v>107</v>
      </c>
      <c r="FI113">
        <v>0.03</v>
      </c>
      <c r="FJ113">
        <v>-5.0000000000000001E-3</v>
      </c>
      <c r="FK113">
        <v>-2.1589999999999998</v>
      </c>
      <c r="FL113">
        <v>0.17499999999999999</v>
      </c>
      <c r="FM113">
        <v>1200</v>
      </c>
      <c r="FN113">
        <v>23</v>
      </c>
      <c r="FO113">
        <v>0.17</v>
      </c>
      <c r="FP113">
        <v>0.03</v>
      </c>
      <c r="FQ113">
        <v>41.857570244133733</v>
      </c>
      <c r="FR113">
        <v>-0.65087660564047878</v>
      </c>
      <c r="FS113">
        <v>0.14387065554224479</v>
      </c>
      <c r="FT113">
        <v>1</v>
      </c>
      <c r="FU113">
        <v>0.28974366004135488</v>
      </c>
      <c r="FV113">
        <v>-9.2767163871402963E-3</v>
      </c>
      <c r="FW113">
        <v>1.1198164779580419E-3</v>
      </c>
      <c r="FX113">
        <v>1</v>
      </c>
      <c r="FY113">
        <v>2</v>
      </c>
      <c r="FZ113">
        <v>2</v>
      </c>
      <c r="GA113" t="s">
        <v>421</v>
      </c>
      <c r="GB113">
        <v>2.9691700000000001</v>
      </c>
      <c r="GC113">
        <v>2.8122500000000001</v>
      </c>
      <c r="GD113">
        <v>0.20011499999999999</v>
      </c>
      <c r="GE113">
        <v>0.20382</v>
      </c>
      <c r="GF113">
        <v>0.13297300000000001</v>
      </c>
      <c r="GG113">
        <v>0.11619599999999999</v>
      </c>
      <c r="GH113">
        <v>23600.400000000001</v>
      </c>
      <c r="GI113">
        <v>21626.6</v>
      </c>
      <c r="GJ113">
        <v>26527.8</v>
      </c>
      <c r="GK113">
        <v>25638.1</v>
      </c>
      <c r="GL113">
        <v>31299.200000000001</v>
      </c>
      <c r="GM113">
        <v>31946.5</v>
      </c>
      <c r="GN113">
        <v>37548.1</v>
      </c>
      <c r="GO113">
        <v>37953.300000000003</v>
      </c>
      <c r="GP113">
        <v>1.9525999999999999</v>
      </c>
      <c r="GQ113">
        <v>1.9672000000000001</v>
      </c>
      <c r="GR113">
        <v>4.2959999999999998E-2</v>
      </c>
      <c r="GS113">
        <v>0</v>
      </c>
      <c r="GT113">
        <v>29.285</v>
      </c>
      <c r="GU113">
        <v>999.9</v>
      </c>
      <c r="GV113">
        <v>47.2</v>
      </c>
      <c r="GW113">
        <v>35.700000000000003</v>
      </c>
      <c r="GX113">
        <v>28.070399999999999</v>
      </c>
      <c r="GY113">
        <v>61.618499999999997</v>
      </c>
      <c r="GZ113">
        <v>12.2316</v>
      </c>
      <c r="HA113">
        <v>1</v>
      </c>
      <c r="HB113">
        <v>0.42557899999999999</v>
      </c>
      <c r="HC113">
        <v>2.54962</v>
      </c>
      <c r="HD113">
        <v>20.287600000000001</v>
      </c>
      <c r="HE113">
        <v>5.2107000000000001</v>
      </c>
      <c r="HF113">
        <v>11.936299999999999</v>
      </c>
      <c r="HG113">
        <v>4.9875999999999996</v>
      </c>
      <c r="HH113">
        <v>3.2909999999999999</v>
      </c>
      <c r="HI113">
        <v>9999</v>
      </c>
      <c r="HJ113">
        <v>9999</v>
      </c>
      <c r="HK113">
        <v>9999</v>
      </c>
      <c r="HL113">
        <v>999.9</v>
      </c>
      <c r="HM113">
        <v>1.8701000000000001</v>
      </c>
      <c r="HN113">
        <v>1.8763300000000001</v>
      </c>
      <c r="HO113">
        <v>1.87408</v>
      </c>
      <c r="HP113">
        <v>1.87225</v>
      </c>
      <c r="HQ113">
        <v>1.87276</v>
      </c>
      <c r="HR113">
        <v>1.8702000000000001</v>
      </c>
      <c r="HS113">
        <v>1.8760699999999999</v>
      </c>
      <c r="HT113">
        <v>1.87517</v>
      </c>
      <c r="HU113">
        <v>5</v>
      </c>
      <c r="HV113">
        <v>0</v>
      </c>
      <c r="HW113">
        <v>0</v>
      </c>
      <c r="HX113">
        <v>0</v>
      </c>
      <c r="HY113" t="s">
        <v>422</v>
      </c>
      <c r="HZ113" t="s">
        <v>423</v>
      </c>
      <c r="IA113" t="s">
        <v>424</v>
      </c>
      <c r="IB113" t="s">
        <v>424</v>
      </c>
      <c r="IC113" t="s">
        <v>424</v>
      </c>
      <c r="ID113" t="s">
        <v>424</v>
      </c>
      <c r="IE113">
        <v>0</v>
      </c>
      <c r="IF113">
        <v>100</v>
      </c>
      <c r="IG113">
        <v>100</v>
      </c>
      <c r="IH113">
        <v>-2.12</v>
      </c>
      <c r="II113">
        <v>0.40889999999999999</v>
      </c>
      <c r="IJ113">
        <v>-0.66246237758195203</v>
      </c>
      <c r="IK113">
        <v>-2.677719669153116E-3</v>
      </c>
      <c r="IL113">
        <v>1.9353498771248068E-6</v>
      </c>
      <c r="IM113">
        <v>-6.1862177325538213E-10</v>
      </c>
      <c r="IN113">
        <v>-0.2055271199419593</v>
      </c>
      <c r="IO113">
        <v>-1.5299015507423901E-2</v>
      </c>
      <c r="IP113">
        <v>1.742162107778985E-3</v>
      </c>
      <c r="IQ113">
        <v>-1.472690239905804E-5</v>
      </c>
      <c r="IR113">
        <v>3</v>
      </c>
      <c r="IS113">
        <v>2255</v>
      </c>
      <c r="IT113">
        <v>2</v>
      </c>
      <c r="IU113">
        <v>41</v>
      </c>
      <c r="IV113">
        <v>0.6</v>
      </c>
      <c r="IW113">
        <v>0.6</v>
      </c>
      <c r="IX113">
        <v>2.3303199999999999</v>
      </c>
      <c r="IY113">
        <v>2.50122</v>
      </c>
      <c r="IZ113">
        <v>1.6003400000000001</v>
      </c>
      <c r="JA113">
        <v>2.2680699999999998</v>
      </c>
      <c r="JB113">
        <v>1.5502899999999999</v>
      </c>
      <c r="JC113">
        <v>2.34009</v>
      </c>
      <c r="JD113">
        <v>38.796399999999998</v>
      </c>
      <c r="JE113">
        <v>15.4892</v>
      </c>
      <c r="JF113">
        <v>18</v>
      </c>
      <c r="JG113">
        <v>505.22800000000001</v>
      </c>
      <c r="JH113">
        <v>483.17200000000003</v>
      </c>
      <c r="JI113">
        <v>25.487100000000002</v>
      </c>
      <c r="JJ113">
        <v>32.722900000000003</v>
      </c>
      <c r="JK113">
        <v>29.9984</v>
      </c>
      <c r="JL113">
        <v>32.728299999999997</v>
      </c>
      <c r="JM113">
        <v>32.691499999999998</v>
      </c>
      <c r="JN113">
        <v>46.660899999999998</v>
      </c>
      <c r="JO113">
        <v>26.265999999999998</v>
      </c>
      <c r="JP113">
        <v>41.478400000000001</v>
      </c>
      <c r="JQ113">
        <v>25.533300000000001</v>
      </c>
      <c r="JR113">
        <v>1200</v>
      </c>
      <c r="JS113">
        <v>23.539300000000001</v>
      </c>
      <c r="JT113">
        <v>99.035399999999996</v>
      </c>
      <c r="JU113">
        <v>98.568700000000007</v>
      </c>
    </row>
    <row r="114" spans="1:281" x14ac:dyDescent="0.25">
      <c r="A114">
        <v>98</v>
      </c>
      <c r="B114">
        <v>1693345078</v>
      </c>
      <c r="C114">
        <v>22780.900000095371</v>
      </c>
      <c r="D114" t="s">
        <v>913</v>
      </c>
      <c r="E114" t="s">
        <v>914</v>
      </c>
      <c r="F114" t="s">
        <v>413</v>
      </c>
      <c r="G114" t="s">
        <v>636</v>
      </c>
      <c r="H114" t="s">
        <v>31</v>
      </c>
      <c r="I114" t="s">
        <v>31</v>
      </c>
      <c r="J114">
        <v>1693345078</v>
      </c>
      <c r="K114">
        <f t="shared" si="138"/>
        <v>3.2803370592823112E-3</v>
      </c>
      <c r="L114">
        <f t="shared" si="139"/>
        <v>3.2803370592823113</v>
      </c>
      <c r="M114">
        <f t="shared" si="140"/>
        <v>41.698699928456115</v>
      </c>
      <c r="N114">
        <f t="shared" si="141"/>
        <v>1443.9839999999999</v>
      </c>
      <c r="O114">
        <f t="shared" si="142"/>
        <v>1098.3667847215231</v>
      </c>
      <c r="P114">
        <f t="shared" si="143"/>
        <v>108.53376229192871</v>
      </c>
      <c r="Q114">
        <f t="shared" si="144"/>
        <v>142.68550213768799</v>
      </c>
      <c r="R114">
        <f t="shared" si="145"/>
        <v>0.2199413902790634</v>
      </c>
      <c r="S114">
        <f t="shared" si="146"/>
        <v>2.9160552333218814</v>
      </c>
      <c r="T114">
        <f t="shared" si="147"/>
        <v>0.21112350596681476</v>
      </c>
      <c r="U114">
        <f t="shared" si="148"/>
        <v>0.1327149853918787</v>
      </c>
      <c r="V114">
        <f t="shared" si="149"/>
        <v>344.36870065850383</v>
      </c>
      <c r="W114">
        <f t="shared" si="150"/>
        <v>31.373450064290651</v>
      </c>
      <c r="X114">
        <f t="shared" si="151"/>
        <v>30.010400000000001</v>
      </c>
      <c r="Y114">
        <f t="shared" si="152"/>
        <v>4.2629954891330444</v>
      </c>
      <c r="Z114">
        <f t="shared" si="153"/>
        <v>64.587255822424339</v>
      </c>
      <c r="AA114">
        <f t="shared" si="154"/>
        <v>2.7824080029579505</v>
      </c>
      <c r="AB114">
        <f t="shared" si="155"/>
        <v>4.3079830030368216</v>
      </c>
      <c r="AC114">
        <f t="shared" si="156"/>
        <v>1.4805874861750938</v>
      </c>
      <c r="AD114">
        <f t="shared" si="157"/>
        <v>-144.66286431434992</v>
      </c>
      <c r="AE114">
        <f t="shared" si="158"/>
        <v>28.753776625235545</v>
      </c>
      <c r="AF114">
        <f t="shared" si="159"/>
        <v>2.1947050226267519</v>
      </c>
      <c r="AG114">
        <f t="shared" si="160"/>
        <v>230.65431799201622</v>
      </c>
      <c r="AH114">
        <v>0</v>
      </c>
      <c r="AI114">
        <v>0</v>
      </c>
      <c r="AJ114">
        <f t="shared" si="161"/>
        <v>1</v>
      </c>
      <c r="AK114">
        <f t="shared" si="162"/>
        <v>0</v>
      </c>
      <c r="AL114">
        <f t="shared" si="163"/>
        <v>51907.548784929146</v>
      </c>
      <c r="AM114" t="s">
        <v>416</v>
      </c>
      <c r="AN114">
        <v>10238.9</v>
      </c>
      <c r="AO114">
        <v>302.21199999999999</v>
      </c>
      <c r="AP114">
        <v>4052.3</v>
      </c>
      <c r="AQ114">
        <f t="shared" si="164"/>
        <v>0.92542210596451402</v>
      </c>
      <c r="AR114">
        <v>-0.32343011824092421</v>
      </c>
      <c r="AS114" t="s">
        <v>915</v>
      </c>
      <c r="AT114">
        <v>10459.1</v>
      </c>
      <c r="AU114">
        <v>744.04357692307701</v>
      </c>
      <c r="AV114">
        <v>1094.411329722597</v>
      </c>
      <c r="AW114">
        <f t="shared" si="165"/>
        <v>0.32014265869152547</v>
      </c>
      <c r="AX114">
        <v>0.5</v>
      </c>
      <c r="AY114">
        <f t="shared" si="166"/>
        <v>1513.1769003292518</v>
      </c>
      <c r="AZ114">
        <f t="shared" si="167"/>
        <v>41.698699928456115</v>
      </c>
      <c r="BA114">
        <f t="shared" si="168"/>
        <v>242.21623797100406</v>
      </c>
      <c r="BB114">
        <f t="shared" si="169"/>
        <v>2.7770798006203672E-2</v>
      </c>
      <c r="BC114">
        <f t="shared" si="170"/>
        <v>2.7027211706837377</v>
      </c>
      <c r="BD114">
        <f t="shared" si="171"/>
        <v>251.51568111513114</v>
      </c>
      <c r="BE114" t="s">
        <v>916</v>
      </c>
      <c r="BF114">
        <v>581.13</v>
      </c>
      <c r="BG114">
        <f t="shared" si="172"/>
        <v>581.13</v>
      </c>
      <c r="BH114">
        <f t="shared" si="173"/>
        <v>0.46900220765505019</v>
      </c>
      <c r="BI114">
        <f t="shared" si="174"/>
        <v>0.68260373504891814</v>
      </c>
      <c r="BJ114">
        <f t="shared" si="175"/>
        <v>0.85213016656556817</v>
      </c>
      <c r="BK114">
        <f t="shared" si="176"/>
        <v>0.44227221565840963</v>
      </c>
      <c r="BL114">
        <f t="shared" si="177"/>
        <v>0.78875180269833756</v>
      </c>
      <c r="BM114">
        <f t="shared" si="178"/>
        <v>0.53314284384984179</v>
      </c>
      <c r="BN114">
        <f t="shared" si="179"/>
        <v>0.46685715615015821</v>
      </c>
      <c r="BO114">
        <v>5658</v>
      </c>
      <c r="BP114">
        <v>290.00000000000011</v>
      </c>
      <c r="BQ114">
        <v>1002.45</v>
      </c>
      <c r="BR114">
        <v>125</v>
      </c>
      <c r="BS114">
        <v>10459.1</v>
      </c>
      <c r="BT114">
        <v>1001.21</v>
      </c>
      <c r="BU114">
        <v>1.24</v>
      </c>
      <c r="BV114">
        <v>300.00000000000011</v>
      </c>
      <c r="BW114">
        <v>38.299999999999997</v>
      </c>
      <c r="BX114">
        <v>1094.411329722597</v>
      </c>
      <c r="BY114">
        <v>1.116893232034871</v>
      </c>
      <c r="BZ114">
        <v>-97.482603266009932</v>
      </c>
      <c r="CA114">
        <v>0.95434585043021347</v>
      </c>
      <c r="CB114">
        <v>0.99732359724524733</v>
      </c>
      <c r="CC114">
        <v>-1.133400511679644E-2</v>
      </c>
      <c r="CD114">
        <v>289.99999999999989</v>
      </c>
      <c r="CE114">
        <v>991.91</v>
      </c>
      <c r="CF114">
        <v>685</v>
      </c>
      <c r="CG114">
        <v>10408.799999999999</v>
      </c>
      <c r="CH114">
        <v>1000.76</v>
      </c>
      <c r="CI114">
        <v>-8.85</v>
      </c>
      <c r="CW114">
        <f t="shared" si="180"/>
        <v>1799.99</v>
      </c>
      <c r="CX114">
        <f t="shared" si="181"/>
        <v>1513.1769003292518</v>
      </c>
      <c r="CY114">
        <f t="shared" si="182"/>
        <v>0.84065850384127239</v>
      </c>
      <c r="CZ114">
        <f t="shared" si="183"/>
        <v>0.19131700768254481</v>
      </c>
      <c r="DA114">
        <v>6</v>
      </c>
      <c r="DB114">
        <v>0.5</v>
      </c>
      <c r="DC114" t="s">
        <v>419</v>
      </c>
      <c r="DD114">
        <v>2</v>
      </c>
      <c r="DE114">
        <v>1693345078</v>
      </c>
      <c r="DF114">
        <v>1443.9839999999999</v>
      </c>
      <c r="DG114">
        <v>1499.71</v>
      </c>
      <c r="DH114">
        <v>28.158100000000001</v>
      </c>
      <c r="DI114">
        <v>24.3323</v>
      </c>
      <c r="DJ114">
        <v>1446.36</v>
      </c>
      <c r="DK114">
        <v>27.928100000000001</v>
      </c>
      <c r="DL114">
        <v>499.96899999999999</v>
      </c>
      <c r="DM114">
        <v>98.714500000000001</v>
      </c>
      <c r="DN114">
        <v>9.9269499999999997E-2</v>
      </c>
      <c r="DO114">
        <v>30.193300000000001</v>
      </c>
      <c r="DP114">
        <v>30.010400000000001</v>
      </c>
      <c r="DQ114">
        <v>999.9</v>
      </c>
      <c r="DR114">
        <v>0</v>
      </c>
      <c r="DS114">
        <v>0</v>
      </c>
      <c r="DT114">
        <v>10052.5</v>
      </c>
      <c r="DU114">
        <v>0</v>
      </c>
      <c r="DV114">
        <v>134.691</v>
      </c>
      <c r="DW114">
        <v>-55.705399999999997</v>
      </c>
      <c r="DX114">
        <v>1486.11</v>
      </c>
      <c r="DY114">
        <v>1537.11</v>
      </c>
      <c r="DZ114">
        <v>4.0010399999999997</v>
      </c>
      <c r="EA114">
        <v>1499.71</v>
      </c>
      <c r="EB114">
        <v>24.3323</v>
      </c>
      <c r="EC114">
        <v>2.79691</v>
      </c>
      <c r="ED114">
        <v>2.4019499999999998</v>
      </c>
      <c r="EE114">
        <v>22.8659</v>
      </c>
      <c r="EF114">
        <v>20.376899999999999</v>
      </c>
      <c r="EG114">
        <v>1799.99</v>
      </c>
      <c r="EH114">
        <v>0.97799000000000003</v>
      </c>
      <c r="EI114">
        <v>2.2009899999999999E-2</v>
      </c>
      <c r="EJ114">
        <v>0</v>
      </c>
      <c r="EK114">
        <v>744.04</v>
      </c>
      <c r="EL114">
        <v>4.9995000000000003</v>
      </c>
      <c r="EM114">
        <v>14184.4</v>
      </c>
      <c r="EN114">
        <v>16659.7</v>
      </c>
      <c r="EO114">
        <v>50.25</v>
      </c>
      <c r="EP114">
        <v>50.75</v>
      </c>
      <c r="EQ114">
        <v>51.061999999999998</v>
      </c>
      <c r="ER114">
        <v>49.936999999999998</v>
      </c>
      <c r="ES114">
        <v>51.25</v>
      </c>
      <c r="ET114">
        <v>1755.48</v>
      </c>
      <c r="EU114">
        <v>39.51</v>
      </c>
      <c r="EV114">
        <v>0</v>
      </c>
      <c r="EW114">
        <v>97.799999952316284</v>
      </c>
      <c r="EX114">
        <v>0</v>
      </c>
      <c r="EY114">
        <v>744.04357692307701</v>
      </c>
      <c r="EZ114">
        <v>-0.962222226652376</v>
      </c>
      <c r="FA114">
        <v>9.1555554122923812</v>
      </c>
      <c r="FB114">
        <v>14190.45384615385</v>
      </c>
      <c r="FC114">
        <v>15</v>
      </c>
      <c r="FD114">
        <v>1693345105</v>
      </c>
      <c r="FE114" t="s">
        <v>917</v>
      </c>
      <c r="FF114">
        <v>1693345105</v>
      </c>
      <c r="FG114">
        <v>1693345101</v>
      </c>
      <c r="FH114">
        <v>108</v>
      </c>
      <c r="FI114">
        <v>4.1000000000000002E-2</v>
      </c>
      <c r="FJ114">
        <v>-2E-3</v>
      </c>
      <c r="FK114">
        <v>-2.3759999999999999</v>
      </c>
      <c r="FL114">
        <v>0.23</v>
      </c>
      <c r="FM114">
        <v>1500</v>
      </c>
      <c r="FN114">
        <v>24</v>
      </c>
      <c r="FO114">
        <v>0.13</v>
      </c>
      <c r="FP114">
        <v>7.0000000000000007E-2</v>
      </c>
      <c r="FQ114">
        <v>41.753914145343472</v>
      </c>
      <c r="FR114">
        <v>-1.4856297335673519E-2</v>
      </c>
      <c r="FS114">
        <v>0.1417207839503154</v>
      </c>
      <c r="FT114">
        <v>1</v>
      </c>
      <c r="FU114">
        <v>0.23489519795257949</v>
      </c>
      <c r="FV114">
        <v>-1.284533069831743E-2</v>
      </c>
      <c r="FW114">
        <v>1.2997728074210001E-3</v>
      </c>
      <c r="FX114">
        <v>1</v>
      </c>
      <c r="FY114">
        <v>2</v>
      </c>
      <c r="FZ114">
        <v>2</v>
      </c>
      <c r="GA114" t="s">
        <v>421</v>
      </c>
      <c r="GB114">
        <v>2.9687700000000001</v>
      </c>
      <c r="GC114">
        <v>2.8114300000000001</v>
      </c>
      <c r="GD114">
        <v>0.23131499999999999</v>
      </c>
      <c r="GE114">
        <v>0.23399900000000001</v>
      </c>
      <c r="GF114">
        <v>0.13270999999999999</v>
      </c>
      <c r="GG114">
        <v>0.118825</v>
      </c>
      <c r="GH114">
        <v>22678.5</v>
      </c>
      <c r="GI114">
        <v>20804.099999999999</v>
      </c>
      <c r="GJ114">
        <v>26529</v>
      </c>
      <c r="GK114">
        <v>25637.4</v>
      </c>
      <c r="GL114">
        <v>31311.5</v>
      </c>
      <c r="GM114">
        <v>31852.400000000001</v>
      </c>
      <c r="GN114">
        <v>37548.699999999997</v>
      </c>
      <c r="GO114">
        <v>37951.9</v>
      </c>
      <c r="GP114">
        <v>1.9517</v>
      </c>
      <c r="GQ114">
        <v>1.9706999999999999</v>
      </c>
      <c r="GR114">
        <v>4.47035E-2</v>
      </c>
      <c r="GS114">
        <v>0</v>
      </c>
      <c r="GT114">
        <v>29.282499999999999</v>
      </c>
      <c r="GU114">
        <v>999.9</v>
      </c>
      <c r="GV114">
        <v>47.5</v>
      </c>
      <c r="GW114">
        <v>35.700000000000003</v>
      </c>
      <c r="GX114">
        <v>28.248999999999999</v>
      </c>
      <c r="GY114">
        <v>61.338500000000003</v>
      </c>
      <c r="GZ114">
        <v>13.068899999999999</v>
      </c>
      <c r="HA114">
        <v>1</v>
      </c>
      <c r="HB114">
        <v>0.42945100000000003</v>
      </c>
      <c r="HC114">
        <v>3.6064799999999999</v>
      </c>
      <c r="HD114">
        <v>20.267800000000001</v>
      </c>
      <c r="HE114">
        <v>5.1969200000000004</v>
      </c>
      <c r="HF114">
        <v>11.9375</v>
      </c>
      <c r="HG114">
        <v>4.9846000000000004</v>
      </c>
      <c r="HH114">
        <v>3.2887</v>
      </c>
      <c r="HI114">
        <v>9999</v>
      </c>
      <c r="HJ114">
        <v>9999</v>
      </c>
      <c r="HK114">
        <v>9999</v>
      </c>
      <c r="HL114">
        <v>999.9</v>
      </c>
      <c r="HM114">
        <v>1.8701000000000001</v>
      </c>
      <c r="HN114">
        <v>1.8763300000000001</v>
      </c>
      <c r="HO114">
        <v>1.87408</v>
      </c>
      <c r="HP114">
        <v>1.87225</v>
      </c>
      <c r="HQ114">
        <v>1.8727100000000001</v>
      </c>
      <c r="HR114">
        <v>1.87012</v>
      </c>
      <c r="HS114">
        <v>1.8760699999999999</v>
      </c>
      <c r="HT114">
        <v>1.8751500000000001</v>
      </c>
      <c r="HU114">
        <v>5</v>
      </c>
      <c r="HV114">
        <v>0</v>
      </c>
      <c r="HW114">
        <v>0</v>
      </c>
      <c r="HX114">
        <v>0</v>
      </c>
      <c r="HY114" t="s">
        <v>422</v>
      </c>
      <c r="HZ114" t="s">
        <v>423</v>
      </c>
      <c r="IA114" t="s">
        <v>424</v>
      </c>
      <c r="IB114" t="s">
        <v>424</v>
      </c>
      <c r="IC114" t="s">
        <v>424</v>
      </c>
      <c r="ID114" t="s">
        <v>424</v>
      </c>
      <c r="IE114">
        <v>0</v>
      </c>
      <c r="IF114">
        <v>100</v>
      </c>
      <c r="IG114">
        <v>100</v>
      </c>
      <c r="IH114">
        <v>-2.3759999999999999</v>
      </c>
      <c r="II114">
        <v>0.23</v>
      </c>
      <c r="IJ114">
        <v>-0.66246237758195203</v>
      </c>
      <c r="IK114">
        <v>-2.677719669153116E-3</v>
      </c>
      <c r="IL114">
        <v>1.9353498771248068E-6</v>
      </c>
      <c r="IM114">
        <v>-6.1862177325538213E-10</v>
      </c>
      <c r="IN114">
        <v>-0.2055271199419593</v>
      </c>
      <c r="IO114">
        <v>-1.5299015507423901E-2</v>
      </c>
      <c r="IP114">
        <v>1.742162107778985E-3</v>
      </c>
      <c r="IQ114">
        <v>-1.472690239905804E-5</v>
      </c>
      <c r="IR114">
        <v>3</v>
      </c>
      <c r="IS114">
        <v>2255</v>
      </c>
      <c r="IT114">
        <v>2</v>
      </c>
      <c r="IU114">
        <v>41</v>
      </c>
      <c r="IV114">
        <v>2.2000000000000002</v>
      </c>
      <c r="IW114">
        <v>2.2999999999999998</v>
      </c>
      <c r="IX114">
        <v>2.8027299999999999</v>
      </c>
      <c r="IY114">
        <v>2.49634</v>
      </c>
      <c r="IZ114">
        <v>1.5991200000000001</v>
      </c>
      <c r="JA114">
        <v>2.2692899999999998</v>
      </c>
      <c r="JB114">
        <v>1.5502899999999999</v>
      </c>
      <c r="JC114">
        <v>2.4352999999999998</v>
      </c>
      <c r="JD114">
        <v>38.796399999999998</v>
      </c>
      <c r="JE114">
        <v>15.4542</v>
      </c>
      <c r="JF114">
        <v>18</v>
      </c>
      <c r="JG114">
        <v>504.577</v>
      </c>
      <c r="JH114">
        <v>485.42700000000002</v>
      </c>
      <c r="JI114">
        <v>24.898099999999999</v>
      </c>
      <c r="JJ114">
        <v>32.714199999999998</v>
      </c>
      <c r="JK114">
        <v>30.0001</v>
      </c>
      <c r="JL114">
        <v>32.7196</v>
      </c>
      <c r="JM114">
        <v>32.688600000000001</v>
      </c>
      <c r="JN114">
        <v>56.1021</v>
      </c>
      <c r="JO114">
        <v>24.407699999999998</v>
      </c>
      <c r="JP114">
        <v>43.380299999999998</v>
      </c>
      <c r="JQ114">
        <v>24.890999999999998</v>
      </c>
      <c r="JR114">
        <v>1500</v>
      </c>
      <c r="JS114">
        <v>24.3156</v>
      </c>
      <c r="JT114">
        <v>99.038200000000003</v>
      </c>
      <c r="JU114">
        <v>98.565399999999997</v>
      </c>
    </row>
    <row r="115" spans="1:281" x14ac:dyDescent="0.25">
      <c r="A115">
        <v>99</v>
      </c>
      <c r="B115">
        <v>1693345710</v>
      </c>
      <c r="C115">
        <v>23412.900000095371</v>
      </c>
      <c r="D115" t="s">
        <v>918</v>
      </c>
      <c r="E115" t="s">
        <v>919</v>
      </c>
      <c r="F115" t="s">
        <v>413</v>
      </c>
      <c r="G115" t="s">
        <v>493</v>
      </c>
      <c r="H115" t="s">
        <v>31</v>
      </c>
      <c r="I115" t="s">
        <v>31</v>
      </c>
      <c r="J115">
        <v>1693345710</v>
      </c>
      <c r="K115">
        <f t="shared" si="138"/>
        <v>3.0109207112091712E-3</v>
      </c>
      <c r="L115">
        <f t="shared" si="139"/>
        <v>3.0109207112091712</v>
      </c>
      <c r="M115">
        <f t="shared" si="140"/>
        <v>31.460778201889454</v>
      </c>
      <c r="N115">
        <f t="shared" si="141"/>
        <v>360.98700000000002</v>
      </c>
      <c r="O115">
        <f t="shared" si="142"/>
        <v>102.97946376110386</v>
      </c>
      <c r="P115">
        <f t="shared" si="143"/>
        <v>10.17536683101163</v>
      </c>
      <c r="Q115">
        <f t="shared" si="144"/>
        <v>35.669006344289997</v>
      </c>
      <c r="R115">
        <f t="shared" si="145"/>
        <v>0.20613944994966352</v>
      </c>
      <c r="S115">
        <f t="shared" si="146"/>
        <v>2.9076869132254184</v>
      </c>
      <c r="T115">
        <f t="shared" si="147"/>
        <v>0.19835107438289232</v>
      </c>
      <c r="U115">
        <f t="shared" si="148"/>
        <v>0.12464465878870576</v>
      </c>
      <c r="V115">
        <f t="shared" si="149"/>
        <v>344.36940065816685</v>
      </c>
      <c r="W115">
        <f t="shared" si="150"/>
        <v>31.539326697783828</v>
      </c>
      <c r="X115">
        <f t="shared" si="151"/>
        <v>30.057099999999998</v>
      </c>
      <c r="Y115">
        <f t="shared" si="152"/>
        <v>4.2744430846555197</v>
      </c>
      <c r="Z115">
        <f t="shared" si="153"/>
        <v>65.309010011496127</v>
      </c>
      <c r="AA115">
        <f t="shared" si="154"/>
        <v>2.8284465656839997</v>
      </c>
      <c r="AB115">
        <f t="shared" si="155"/>
        <v>4.3308673109362976</v>
      </c>
      <c r="AC115">
        <f t="shared" si="156"/>
        <v>1.44599651897152</v>
      </c>
      <c r="AD115">
        <f t="shared" si="157"/>
        <v>-132.78160336432444</v>
      </c>
      <c r="AE115">
        <f t="shared" si="158"/>
        <v>35.835156975523908</v>
      </c>
      <c r="AF115">
        <f t="shared" si="159"/>
        <v>2.7449701539520719</v>
      </c>
      <c r="AG115">
        <f t="shared" si="160"/>
        <v>250.1679244233184</v>
      </c>
      <c r="AH115">
        <v>0</v>
      </c>
      <c r="AI115">
        <v>0</v>
      </c>
      <c r="AJ115">
        <f t="shared" si="161"/>
        <v>1</v>
      </c>
      <c r="AK115">
        <f t="shared" si="162"/>
        <v>0</v>
      </c>
      <c r="AL115">
        <f t="shared" si="163"/>
        <v>51654.139951027501</v>
      </c>
      <c r="AM115" t="s">
        <v>416</v>
      </c>
      <c r="AN115">
        <v>10238.9</v>
      </c>
      <c r="AO115">
        <v>302.21199999999999</v>
      </c>
      <c r="AP115">
        <v>4052.3</v>
      </c>
      <c r="AQ115">
        <f t="shared" si="164"/>
        <v>0.92542210596451402</v>
      </c>
      <c r="AR115">
        <v>-0.32343011824092421</v>
      </c>
      <c r="AS115" t="s">
        <v>920</v>
      </c>
      <c r="AT115">
        <v>10431.1</v>
      </c>
      <c r="AU115">
        <v>860.76087999999993</v>
      </c>
      <c r="AV115">
        <v>1108.1832422117609</v>
      </c>
      <c r="AW115">
        <f t="shared" si="165"/>
        <v>0.22326845668406292</v>
      </c>
      <c r="AX115">
        <v>0.5</v>
      </c>
      <c r="AY115">
        <f t="shared" si="166"/>
        <v>1513.1847003290834</v>
      </c>
      <c r="AZ115">
        <f t="shared" si="167"/>
        <v>31.460778201889454</v>
      </c>
      <c r="BA115">
        <f t="shared" si="168"/>
        <v>168.92320636020534</v>
      </c>
      <c r="BB115">
        <f t="shared" si="169"/>
        <v>2.1004843832493174E-2</v>
      </c>
      <c r="BC115">
        <f t="shared" si="170"/>
        <v>2.6567057194550618</v>
      </c>
      <c r="BD115">
        <f t="shared" si="171"/>
        <v>252.23608222747905</v>
      </c>
      <c r="BE115" t="s">
        <v>921</v>
      </c>
      <c r="BF115">
        <v>599.16999999999996</v>
      </c>
      <c r="BG115">
        <f t="shared" si="172"/>
        <v>599.16999999999996</v>
      </c>
      <c r="BH115">
        <f t="shared" si="173"/>
        <v>0.45932226984036495</v>
      </c>
      <c r="BI115">
        <f t="shared" si="174"/>
        <v>0.48608236818488842</v>
      </c>
      <c r="BJ115">
        <f t="shared" si="175"/>
        <v>0.85259366365825762</v>
      </c>
      <c r="BK115">
        <f t="shared" si="176"/>
        <v>0.3069865886688215</v>
      </c>
      <c r="BL115">
        <f t="shared" si="177"/>
        <v>0.78507937888077273</v>
      </c>
      <c r="BM115">
        <f t="shared" si="178"/>
        <v>0.33835874667693955</v>
      </c>
      <c r="BN115">
        <f t="shared" si="179"/>
        <v>0.66164125332306045</v>
      </c>
      <c r="BO115">
        <v>5660</v>
      </c>
      <c r="BP115">
        <v>290.00000000000011</v>
      </c>
      <c r="BQ115">
        <v>1048.0899999999999</v>
      </c>
      <c r="BR115">
        <v>225</v>
      </c>
      <c r="BS115">
        <v>10431.1</v>
      </c>
      <c r="BT115">
        <v>1047.44</v>
      </c>
      <c r="BU115">
        <v>0.65</v>
      </c>
      <c r="BV115">
        <v>300.00000000000011</v>
      </c>
      <c r="BW115">
        <v>38.299999999999997</v>
      </c>
      <c r="BX115">
        <v>1108.1832422117609</v>
      </c>
      <c r="BY115">
        <v>1.174775322880214</v>
      </c>
      <c r="BZ115">
        <v>-63.359934126073263</v>
      </c>
      <c r="CA115">
        <v>1.0032567363842659</v>
      </c>
      <c r="CB115">
        <v>0.99302868733928884</v>
      </c>
      <c r="CC115">
        <v>-1.132700266963293E-2</v>
      </c>
      <c r="CD115">
        <v>289.99999999999989</v>
      </c>
      <c r="CE115">
        <v>1047</v>
      </c>
      <c r="CF115">
        <v>715</v>
      </c>
      <c r="CG115">
        <v>10400.299999999999</v>
      </c>
      <c r="CH115">
        <v>1047.26</v>
      </c>
      <c r="CI115">
        <v>-0.26</v>
      </c>
      <c r="CW115">
        <f t="shared" si="180"/>
        <v>1800</v>
      </c>
      <c r="CX115">
        <f t="shared" si="181"/>
        <v>1513.1847003290834</v>
      </c>
      <c r="CY115">
        <f t="shared" si="182"/>
        <v>0.8406581668494908</v>
      </c>
      <c r="CZ115">
        <f t="shared" si="183"/>
        <v>0.19131633369898157</v>
      </c>
      <c r="DA115">
        <v>6</v>
      </c>
      <c r="DB115">
        <v>0.5</v>
      </c>
      <c r="DC115" t="s">
        <v>419</v>
      </c>
      <c r="DD115">
        <v>2</v>
      </c>
      <c r="DE115">
        <v>1693345710</v>
      </c>
      <c r="DF115">
        <v>360.98700000000002</v>
      </c>
      <c r="DG115">
        <v>400.04</v>
      </c>
      <c r="DH115">
        <v>28.6252</v>
      </c>
      <c r="DI115">
        <v>25.1159</v>
      </c>
      <c r="DJ115">
        <v>362.84100000000001</v>
      </c>
      <c r="DK115">
        <v>28.206099999999999</v>
      </c>
      <c r="DL115">
        <v>500.05399999999997</v>
      </c>
      <c r="DM115">
        <v>98.709599999999995</v>
      </c>
      <c r="DN115">
        <v>0.10007000000000001</v>
      </c>
      <c r="DO115">
        <v>30.285699999999999</v>
      </c>
      <c r="DP115">
        <v>30.057099999999998</v>
      </c>
      <c r="DQ115">
        <v>999.9</v>
      </c>
      <c r="DR115">
        <v>0</v>
      </c>
      <c r="DS115">
        <v>0</v>
      </c>
      <c r="DT115">
        <v>10005</v>
      </c>
      <c r="DU115">
        <v>0</v>
      </c>
      <c r="DV115">
        <v>742.65800000000002</v>
      </c>
      <c r="DW115">
        <v>-39.052199999999999</v>
      </c>
      <c r="DX115">
        <v>371.625</v>
      </c>
      <c r="DY115">
        <v>410.346</v>
      </c>
      <c r="DZ115">
        <v>3.5093000000000001</v>
      </c>
      <c r="EA115">
        <v>400.04</v>
      </c>
      <c r="EB115">
        <v>25.1159</v>
      </c>
      <c r="EC115">
        <v>2.82559</v>
      </c>
      <c r="ED115">
        <v>2.4791799999999999</v>
      </c>
      <c r="EE115">
        <v>23.034300000000002</v>
      </c>
      <c r="EF115">
        <v>20.890499999999999</v>
      </c>
      <c r="EG115">
        <v>1800</v>
      </c>
      <c r="EH115">
        <v>0.97800100000000001</v>
      </c>
      <c r="EI115">
        <v>2.1999299999999999E-2</v>
      </c>
      <c r="EJ115">
        <v>0</v>
      </c>
      <c r="EK115">
        <v>860.38400000000001</v>
      </c>
      <c r="EL115">
        <v>4.9995000000000003</v>
      </c>
      <c r="EM115">
        <v>17018.599999999999</v>
      </c>
      <c r="EN115">
        <v>16659.8</v>
      </c>
      <c r="EO115">
        <v>50</v>
      </c>
      <c r="EP115">
        <v>50.811999999999998</v>
      </c>
      <c r="EQ115">
        <v>50.936999999999998</v>
      </c>
      <c r="ER115">
        <v>49.936999999999998</v>
      </c>
      <c r="ES115">
        <v>51</v>
      </c>
      <c r="ET115">
        <v>1755.51</v>
      </c>
      <c r="EU115">
        <v>39.49</v>
      </c>
      <c r="EV115">
        <v>0</v>
      </c>
      <c r="EW115">
        <v>630</v>
      </c>
      <c r="EX115">
        <v>0</v>
      </c>
      <c r="EY115">
        <v>860.76087999999993</v>
      </c>
      <c r="EZ115">
        <v>-3.705230768279427</v>
      </c>
      <c r="FA115">
        <v>231.29999957291079</v>
      </c>
      <c r="FB115">
        <v>16981.955999999998</v>
      </c>
      <c r="FC115">
        <v>15</v>
      </c>
      <c r="FD115">
        <v>1693345679</v>
      </c>
      <c r="FE115" t="s">
        <v>922</v>
      </c>
      <c r="FF115">
        <v>1693345679</v>
      </c>
      <c r="FG115">
        <v>1693345672</v>
      </c>
      <c r="FH115">
        <v>110</v>
      </c>
      <c r="FI115">
        <v>9.8000000000000004E-2</v>
      </c>
      <c r="FJ115">
        <v>-1E-3</v>
      </c>
      <c r="FK115">
        <v>-1.911</v>
      </c>
      <c r="FL115">
        <v>0.25900000000000001</v>
      </c>
      <c r="FM115">
        <v>400</v>
      </c>
      <c r="FN115">
        <v>25</v>
      </c>
      <c r="FO115">
        <v>0.2</v>
      </c>
      <c r="FP115">
        <v>0.06</v>
      </c>
      <c r="FQ115">
        <v>31.37471495785416</v>
      </c>
      <c r="FR115">
        <v>0.22908483702136481</v>
      </c>
      <c r="FS115">
        <v>7.1431236531730863E-2</v>
      </c>
      <c r="FT115">
        <v>1</v>
      </c>
      <c r="FU115">
        <v>0.20872801860503051</v>
      </c>
      <c r="FV115">
        <v>-8.0742296214312108E-3</v>
      </c>
      <c r="FW115">
        <v>2.0570281155651471E-3</v>
      </c>
      <c r="FX115">
        <v>1</v>
      </c>
      <c r="FY115">
        <v>2</v>
      </c>
      <c r="FZ115">
        <v>2</v>
      </c>
      <c r="GA115" t="s">
        <v>421</v>
      </c>
      <c r="GB115">
        <v>2.9689399999999999</v>
      </c>
      <c r="GC115">
        <v>2.8118099999999999</v>
      </c>
      <c r="GD115">
        <v>8.8987700000000003E-2</v>
      </c>
      <c r="GE115">
        <v>9.5006400000000005E-2</v>
      </c>
      <c r="GF115">
        <v>0.13361600000000001</v>
      </c>
      <c r="GG115">
        <v>0.121459</v>
      </c>
      <c r="GH115">
        <v>26885.5</v>
      </c>
      <c r="GI115">
        <v>24582.1</v>
      </c>
      <c r="GJ115">
        <v>26529.4</v>
      </c>
      <c r="GK115">
        <v>25632.799999999999</v>
      </c>
      <c r="GL115">
        <v>31269.4</v>
      </c>
      <c r="GM115">
        <v>31741.1</v>
      </c>
      <c r="GN115">
        <v>37549.800000000003</v>
      </c>
      <c r="GO115">
        <v>37944.400000000001</v>
      </c>
      <c r="GP115">
        <v>1.9511000000000001</v>
      </c>
      <c r="GQ115">
        <v>1.968</v>
      </c>
      <c r="GR115">
        <v>4.2930200000000002E-2</v>
      </c>
      <c r="GS115">
        <v>0</v>
      </c>
      <c r="GT115">
        <v>29.3582</v>
      </c>
      <c r="GU115">
        <v>999.9</v>
      </c>
      <c r="GV115">
        <v>50.9</v>
      </c>
      <c r="GW115">
        <v>35.5</v>
      </c>
      <c r="GX115">
        <v>29.944199999999999</v>
      </c>
      <c r="GY115">
        <v>61.618600000000001</v>
      </c>
      <c r="GZ115">
        <v>11.991199999999999</v>
      </c>
      <c r="HA115">
        <v>1</v>
      </c>
      <c r="HB115">
        <v>0.43275400000000003</v>
      </c>
      <c r="HC115">
        <v>3.50962</v>
      </c>
      <c r="HD115">
        <v>20.270800000000001</v>
      </c>
      <c r="HE115">
        <v>5.2095000000000002</v>
      </c>
      <c r="HF115">
        <v>11.9381</v>
      </c>
      <c r="HG115">
        <v>4.9874000000000001</v>
      </c>
      <c r="HH115">
        <v>3.2909999999999999</v>
      </c>
      <c r="HI115">
        <v>9999</v>
      </c>
      <c r="HJ115">
        <v>9999</v>
      </c>
      <c r="HK115">
        <v>9999</v>
      </c>
      <c r="HL115">
        <v>999.9</v>
      </c>
      <c r="HM115">
        <v>1.8699600000000001</v>
      </c>
      <c r="HN115">
        <v>1.87622</v>
      </c>
      <c r="HO115">
        <v>1.8739600000000001</v>
      </c>
      <c r="HP115">
        <v>1.87225</v>
      </c>
      <c r="HQ115">
        <v>1.8727100000000001</v>
      </c>
      <c r="HR115">
        <v>1.87012</v>
      </c>
      <c r="HS115">
        <v>1.8760699999999999</v>
      </c>
      <c r="HT115">
        <v>1.8751500000000001</v>
      </c>
      <c r="HU115">
        <v>5</v>
      </c>
      <c r="HV115">
        <v>0</v>
      </c>
      <c r="HW115">
        <v>0</v>
      </c>
      <c r="HX115">
        <v>0</v>
      </c>
      <c r="HY115" t="s">
        <v>422</v>
      </c>
      <c r="HZ115" t="s">
        <v>423</v>
      </c>
      <c r="IA115" t="s">
        <v>424</v>
      </c>
      <c r="IB115" t="s">
        <v>424</v>
      </c>
      <c r="IC115" t="s">
        <v>424</v>
      </c>
      <c r="ID115" t="s">
        <v>424</v>
      </c>
      <c r="IE115">
        <v>0</v>
      </c>
      <c r="IF115">
        <v>100</v>
      </c>
      <c r="IG115">
        <v>100</v>
      </c>
      <c r="IH115">
        <v>-1.8540000000000001</v>
      </c>
      <c r="II115">
        <v>0.41909999999999997</v>
      </c>
      <c r="IJ115">
        <v>-1.106951261728234</v>
      </c>
      <c r="IK115">
        <v>-2.677719669153116E-3</v>
      </c>
      <c r="IL115">
        <v>1.9353498771248068E-6</v>
      </c>
      <c r="IM115">
        <v>-6.1862177325538213E-10</v>
      </c>
      <c r="IN115">
        <v>-0.20491879565751589</v>
      </c>
      <c r="IO115">
        <v>-1.5299015507423901E-2</v>
      </c>
      <c r="IP115">
        <v>1.742162107778985E-3</v>
      </c>
      <c r="IQ115">
        <v>-1.472690239905804E-5</v>
      </c>
      <c r="IR115">
        <v>3</v>
      </c>
      <c r="IS115">
        <v>2255</v>
      </c>
      <c r="IT115">
        <v>2</v>
      </c>
      <c r="IU115">
        <v>41</v>
      </c>
      <c r="IV115">
        <v>0.5</v>
      </c>
      <c r="IW115">
        <v>0.6</v>
      </c>
      <c r="IX115">
        <v>0.95703099999999997</v>
      </c>
      <c r="IY115">
        <v>2.50122</v>
      </c>
      <c r="IZ115">
        <v>1.6003400000000001</v>
      </c>
      <c r="JA115">
        <v>2.2692899999999998</v>
      </c>
      <c r="JB115">
        <v>1.5502899999999999</v>
      </c>
      <c r="JC115">
        <v>2.2729499999999998</v>
      </c>
      <c r="JD115">
        <v>38.354500000000002</v>
      </c>
      <c r="JE115">
        <v>15.3141</v>
      </c>
      <c r="JF115">
        <v>18</v>
      </c>
      <c r="JG115">
        <v>504.44099999999997</v>
      </c>
      <c r="JH115">
        <v>483.89699999999999</v>
      </c>
      <c r="JI115">
        <v>25.1648</v>
      </c>
      <c r="JJ115">
        <v>32.778199999999998</v>
      </c>
      <c r="JK115">
        <v>30.001200000000001</v>
      </c>
      <c r="JL115">
        <v>32.7515</v>
      </c>
      <c r="JM115">
        <v>32.717500000000001</v>
      </c>
      <c r="JN115">
        <v>19.186699999999998</v>
      </c>
      <c r="JO115">
        <v>28.216000000000001</v>
      </c>
      <c r="JP115">
        <v>55.875799999999998</v>
      </c>
      <c r="JQ115">
        <v>25.160399999999999</v>
      </c>
      <c r="JR115">
        <v>400</v>
      </c>
      <c r="JS115">
        <v>25.058800000000002</v>
      </c>
      <c r="JT115">
        <v>99.040499999999994</v>
      </c>
      <c r="JU115">
        <v>98.546700000000001</v>
      </c>
    </row>
    <row r="116" spans="1:281" x14ac:dyDescent="0.25">
      <c r="A116">
        <v>100</v>
      </c>
      <c r="B116">
        <v>1693345814.5999999</v>
      </c>
      <c r="C116">
        <v>23517.5</v>
      </c>
      <c r="D116" t="s">
        <v>923</v>
      </c>
      <c r="E116" t="s">
        <v>924</v>
      </c>
      <c r="F116" t="s">
        <v>413</v>
      </c>
      <c r="G116" t="s">
        <v>493</v>
      </c>
      <c r="H116" t="s">
        <v>31</v>
      </c>
      <c r="I116" t="s">
        <v>31</v>
      </c>
      <c r="J116">
        <v>1693345814.5999999</v>
      </c>
      <c r="K116">
        <f t="shared" si="138"/>
        <v>3.1855567011717196E-3</v>
      </c>
      <c r="L116">
        <f t="shared" si="139"/>
        <v>3.1855567011717194</v>
      </c>
      <c r="M116">
        <f t="shared" si="140"/>
        <v>24.811523562092635</v>
      </c>
      <c r="N116">
        <f t="shared" si="141"/>
        <v>269.255</v>
      </c>
      <c r="O116">
        <f t="shared" si="142"/>
        <v>79.308911718343424</v>
      </c>
      <c r="P116">
        <f t="shared" si="143"/>
        <v>7.8360162207041286</v>
      </c>
      <c r="Q116">
        <f t="shared" si="144"/>
        <v>26.603398051895002</v>
      </c>
      <c r="R116">
        <f t="shared" si="145"/>
        <v>0.22142165383690857</v>
      </c>
      <c r="S116">
        <f t="shared" si="146"/>
        <v>2.8970737681844145</v>
      </c>
      <c r="T116">
        <f t="shared" si="147"/>
        <v>0.21243128746102333</v>
      </c>
      <c r="U116">
        <f t="shared" si="148"/>
        <v>0.13354688608727111</v>
      </c>
      <c r="V116">
        <f t="shared" si="149"/>
        <v>344.38020065797821</v>
      </c>
      <c r="W116">
        <f t="shared" si="150"/>
        <v>31.392960018895415</v>
      </c>
      <c r="X116">
        <f t="shared" si="151"/>
        <v>29.962</v>
      </c>
      <c r="Y116">
        <f t="shared" si="152"/>
        <v>4.2511593760365587</v>
      </c>
      <c r="Z116">
        <f t="shared" si="153"/>
        <v>65.566794307562191</v>
      </c>
      <c r="AA116">
        <f t="shared" si="154"/>
        <v>2.8225656478346002</v>
      </c>
      <c r="AB116">
        <f t="shared" si="155"/>
        <v>4.3048705943963732</v>
      </c>
      <c r="AC116">
        <f t="shared" si="156"/>
        <v>1.4285937282019585</v>
      </c>
      <c r="AD116">
        <f t="shared" si="157"/>
        <v>-140.48305052167282</v>
      </c>
      <c r="AE116">
        <f t="shared" si="158"/>
        <v>34.158105864591633</v>
      </c>
      <c r="AF116">
        <f t="shared" si="159"/>
        <v>2.6234943983774834</v>
      </c>
      <c r="AG116">
        <f t="shared" si="160"/>
        <v>240.67875039927452</v>
      </c>
      <c r="AH116">
        <v>0</v>
      </c>
      <c r="AI116">
        <v>0</v>
      </c>
      <c r="AJ116">
        <f t="shared" si="161"/>
        <v>1</v>
      </c>
      <c r="AK116">
        <f t="shared" si="162"/>
        <v>0</v>
      </c>
      <c r="AL116">
        <f t="shared" si="163"/>
        <v>51371.211356300322</v>
      </c>
      <c r="AM116" t="s">
        <v>416</v>
      </c>
      <c r="AN116">
        <v>10238.9</v>
      </c>
      <c r="AO116">
        <v>302.21199999999999</v>
      </c>
      <c r="AP116">
        <v>4052.3</v>
      </c>
      <c r="AQ116">
        <f t="shared" si="164"/>
        <v>0.92542210596451402</v>
      </c>
      <c r="AR116">
        <v>-0.32343011824092421</v>
      </c>
      <c r="AS116" t="s">
        <v>925</v>
      </c>
      <c r="AT116">
        <v>10422.1</v>
      </c>
      <c r="AU116">
        <v>855.51861538461537</v>
      </c>
      <c r="AV116">
        <v>1053.636924798956</v>
      </c>
      <c r="AW116">
        <f t="shared" si="165"/>
        <v>0.18803280784046505</v>
      </c>
      <c r="AX116">
        <v>0.5</v>
      </c>
      <c r="AY116">
        <f t="shared" si="166"/>
        <v>1513.234800328989</v>
      </c>
      <c r="AZ116">
        <f t="shared" si="167"/>
        <v>24.811523562092635</v>
      </c>
      <c r="BA116">
        <f t="shared" si="168"/>
        <v>142.26889421388265</v>
      </c>
      <c r="BB116">
        <f t="shared" si="169"/>
        <v>1.66100817102997E-2</v>
      </c>
      <c r="BC116">
        <f t="shared" si="170"/>
        <v>2.8460117566335459</v>
      </c>
      <c r="BD116">
        <f t="shared" si="171"/>
        <v>249.29850186933521</v>
      </c>
      <c r="BE116" t="s">
        <v>926</v>
      </c>
      <c r="BF116">
        <v>590.73</v>
      </c>
      <c r="BG116">
        <f t="shared" si="172"/>
        <v>590.73</v>
      </c>
      <c r="BH116">
        <f t="shared" si="173"/>
        <v>0.43934197246103823</v>
      </c>
      <c r="BI116">
        <f t="shared" si="174"/>
        <v>0.42798735296600915</v>
      </c>
      <c r="BJ116">
        <f t="shared" si="175"/>
        <v>0.86627255124150138</v>
      </c>
      <c r="BK116">
        <f t="shared" si="176"/>
        <v>0.26365682435586929</v>
      </c>
      <c r="BL116">
        <f t="shared" si="177"/>
        <v>0.79962472219346425</v>
      </c>
      <c r="BM116">
        <f t="shared" si="178"/>
        <v>0.29552246376772073</v>
      </c>
      <c r="BN116">
        <f t="shared" si="179"/>
        <v>0.70447753623227927</v>
      </c>
      <c r="BO116">
        <v>5662</v>
      </c>
      <c r="BP116">
        <v>290.00000000000011</v>
      </c>
      <c r="BQ116">
        <v>1005.93</v>
      </c>
      <c r="BR116">
        <v>265</v>
      </c>
      <c r="BS116">
        <v>10422.1</v>
      </c>
      <c r="BT116">
        <v>1005.13</v>
      </c>
      <c r="BU116">
        <v>0.8</v>
      </c>
      <c r="BV116">
        <v>300.00000000000011</v>
      </c>
      <c r="BW116">
        <v>38.299999999999997</v>
      </c>
      <c r="BX116">
        <v>1053.636924798956</v>
      </c>
      <c r="BY116">
        <v>0.98217819750689028</v>
      </c>
      <c r="BZ116">
        <v>-50.550552005844203</v>
      </c>
      <c r="CA116">
        <v>0.83864004985594243</v>
      </c>
      <c r="CB116">
        <v>0.99235243174066923</v>
      </c>
      <c r="CC116">
        <v>-1.132540912124584E-2</v>
      </c>
      <c r="CD116">
        <v>289.99999999999989</v>
      </c>
      <c r="CE116">
        <v>1005.14</v>
      </c>
      <c r="CF116">
        <v>645</v>
      </c>
      <c r="CG116">
        <v>10405.5</v>
      </c>
      <c r="CH116">
        <v>1005.06</v>
      </c>
      <c r="CI116">
        <v>0.08</v>
      </c>
      <c r="CW116">
        <f t="shared" si="180"/>
        <v>1800.06</v>
      </c>
      <c r="CX116">
        <f t="shared" si="181"/>
        <v>1513.234800328989</v>
      </c>
      <c r="CY116">
        <f t="shared" si="182"/>
        <v>0.84065797825016331</v>
      </c>
      <c r="CZ116">
        <f t="shared" si="183"/>
        <v>0.19131595650032679</v>
      </c>
      <c r="DA116">
        <v>6</v>
      </c>
      <c r="DB116">
        <v>0.5</v>
      </c>
      <c r="DC116" t="s">
        <v>419</v>
      </c>
      <c r="DD116">
        <v>2</v>
      </c>
      <c r="DE116">
        <v>1693345814.5999999</v>
      </c>
      <c r="DF116">
        <v>269.255</v>
      </c>
      <c r="DG116">
        <v>300.036</v>
      </c>
      <c r="DH116">
        <v>28.567399999999999</v>
      </c>
      <c r="DI116">
        <v>24.8566</v>
      </c>
      <c r="DJ116">
        <v>270.767</v>
      </c>
      <c r="DK116">
        <v>28.150400000000001</v>
      </c>
      <c r="DL116">
        <v>500.35899999999998</v>
      </c>
      <c r="DM116">
        <v>98.703100000000006</v>
      </c>
      <c r="DN116">
        <v>0.100629</v>
      </c>
      <c r="DO116">
        <v>30.180700000000002</v>
      </c>
      <c r="DP116">
        <v>29.962</v>
      </c>
      <c r="DQ116">
        <v>999.9</v>
      </c>
      <c r="DR116">
        <v>0</v>
      </c>
      <c r="DS116">
        <v>0</v>
      </c>
      <c r="DT116">
        <v>9945</v>
      </c>
      <c r="DU116">
        <v>0</v>
      </c>
      <c r="DV116">
        <v>830.34799999999996</v>
      </c>
      <c r="DW116">
        <v>-30.781300000000002</v>
      </c>
      <c r="DX116">
        <v>277.173</v>
      </c>
      <c r="DY116">
        <v>307.68400000000003</v>
      </c>
      <c r="DZ116">
        <v>3.7107800000000002</v>
      </c>
      <c r="EA116">
        <v>300.036</v>
      </c>
      <c r="EB116">
        <v>24.8566</v>
      </c>
      <c r="EC116">
        <v>2.81969</v>
      </c>
      <c r="ED116">
        <v>2.45343</v>
      </c>
      <c r="EE116">
        <v>22.9998</v>
      </c>
      <c r="EF116">
        <v>20.720800000000001</v>
      </c>
      <c r="EG116">
        <v>1800.06</v>
      </c>
      <c r="EH116">
        <v>0.97800399999999998</v>
      </c>
      <c r="EI116">
        <v>2.19957E-2</v>
      </c>
      <c r="EJ116">
        <v>0</v>
      </c>
      <c r="EK116">
        <v>854.94799999999998</v>
      </c>
      <c r="EL116">
        <v>4.9995000000000003</v>
      </c>
      <c r="EM116">
        <v>17083</v>
      </c>
      <c r="EN116">
        <v>16660.400000000001</v>
      </c>
      <c r="EO116">
        <v>50.186999999999998</v>
      </c>
      <c r="EP116">
        <v>51.125</v>
      </c>
      <c r="EQ116">
        <v>51.061999999999998</v>
      </c>
      <c r="ER116">
        <v>50.186999999999998</v>
      </c>
      <c r="ES116">
        <v>51.186999999999998</v>
      </c>
      <c r="ET116">
        <v>1755.58</v>
      </c>
      <c r="EU116">
        <v>39.479999999999997</v>
      </c>
      <c r="EV116">
        <v>0</v>
      </c>
      <c r="EW116">
        <v>102.7999999523163</v>
      </c>
      <c r="EX116">
        <v>0</v>
      </c>
      <c r="EY116">
        <v>855.51861538461537</v>
      </c>
      <c r="EZ116">
        <v>-4.488205129116265</v>
      </c>
      <c r="FA116">
        <v>-53.517948929607009</v>
      </c>
      <c r="FB116">
        <v>17097.33846153846</v>
      </c>
      <c r="FC116">
        <v>15</v>
      </c>
      <c r="FD116">
        <v>1693345779.0999999</v>
      </c>
      <c r="FE116" t="s">
        <v>927</v>
      </c>
      <c r="FF116">
        <v>1693345770.0999999</v>
      </c>
      <c r="FG116">
        <v>1693345779.0999999</v>
      </c>
      <c r="FH116">
        <v>111</v>
      </c>
      <c r="FI116">
        <v>0.19</v>
      </c>
      <c r="FJ116">
        <v>1E-3</v>
      </c>
      <c r="FK116">
        <v>-1.5649999999999999</v>
      </c>
      <c r="FL116">
        <v>0.25</v>
      </c>
      <c r="FM116">
        <v>300</v>
      </c>
      <c r="FN116">
        <v>25</v>
      </c>
      <c r="FO116">
        <v>0.15</v>
      </c>
      <c r="FP116">
        <v>0.06</v>
      </c>
      <c r="FQ116">
        <v>24.600207879902161</v>
      </c>
      <c r="FR116">
        <v>0.43041122241545549</v>
      </c>
      <c r="FS116">
        <v>7.9115126221933452E-2</v>
      </c>
      <c r="FT116">
        <v>1</v>
      </c>
      <c r="FU116">
        <v>0.21729293889969459</v>
      </c>
      <c r="FV116">
        <v>4.510768033980022E-2</v>
      </c>
      <c r="FW116">
        <v>3.6028974794586931E-3</v>
      </c>
      <c r="FX116">
        <v>1</v>
      </c>
      <c r="FY116">
        <v>2</v>
      </c>
      <c r="FZ116">
        <v>2</v>
      </c>
      <c r="GA116" t="s">
        <v>421</v>
      </c>
      <c r="GB116">
        <v>2.9696199999999999</v>
      </c>
      <c r="GC116">
        <v>2.8118500000000002</v>
      </c>
      <c r="GD116">
        <v>7.0065600000000006E-2</v>
      </c>
      <c r="GE116">
        <v>7.5483999999999996E-2</v>
      </c>
      <c r="GF116">
        <v>0.13339100000000001</v>
      </c>
      <c r="GG116">
        <v>0.12055100000000001</v>
      </c>
      <c r="GH116">
        <v>27438.3</v>
      </c>
      <c r="GI116">
        <v>25104.9</v>
      </c>
      <c r="GJ116">
        <v>26524.3</v>
      </c>
      <c r="GK116">
        <v>25625.4</v>
      </c>
      <c r="GL116">
        <v>31271.4</v>
      </c>
      <c r="GM116">
        <v>31763.8</v>
      </c>
      <c r="GN116">
        <v>37542.6</v>
      </c>
      <c r="GO116">
        <v>37933.800000000003</v>
      </c>
      <c r="GP116">
        <v>1.9499</v>
      </c>
      <c r="GQ116">
        <v>1.9653</v>
      </c>
      <c r="GR116">
        <v>2.97725E-2</v>
      </c>
      <c r="GS116">
        <v>0</v>
      </c>
      <c r="GT116">
        <v>29.4773</v>
      </c>
      <c r="GU116">
        <v>999.9</v>
      </c>
      <c r="GV116">
        <v>51</v>
      </c>
      <c r="GW116">
        <v>35.4</v>
      </c>
      <c r="GX116">
        <v>29.8367</v>
      </c>
      <c r="GY116">
        <v>61.615000000000002</v>
      </c>
      <c r="GZ116">
        <v>12.1114</v>
      </c>
      <c r="HA116">
        <v>1</v>
      </c>
      <c r="HB116">
        <v>0.44068099999999999</v>
      </c>
      <c r="HC116">
        <v>2.39235</v>
      </c>
      <c r="HD116">
        <v>20.290500000000002</v>
      </c>
      <c r="HE116">
        <v>5.2095000000000002</v>
      </c>
      <c r="HF116">
        <v>11.9381</v>
      </c>
      <c r="HG116">
        <v>4.9870000000000001</v>
      </c>
      <c r="HH116">
        <v>3.2909999999999999</v>
      </c>
      <c r="HI116">
        <v>9999</v>
      </c>
      <c r="HJ116">
        <v>9999</v>
      </c>
      <c r="HK116">
        <v>9999</v>
      </c>
      <c r="HL116">
        <v>999.9</v>
      </c>
      <c r="HM116">
        <v>1.86998</v>
      </c>
      <c r="HN116">
        <v>1.87622</v>
      </c>
      <c r="HO116">
        <v>1.8740300000000001</v>
      </c>
      <c r="HP116">
        <v>1.87225</v>
      </c>
      <c r="HQ116">
        <v>1.8727100000000001</v>
      </c>
      <c r="HR116">
        <v>1.8701399999999999</v>
      </c>
      <c r="HS116">
        <v>1.87609</v>
      </c>
      <c r="HT116">
        <v>1.8751500000000001</v>
      </c>
      <c r="HU116">
        <v>5</v>
      </c>
      <c r="HV116">
        <v>0</v>
      </c>
      <c r="HW116">
        <v>0</v>
      </c>
      <c r="HX116">
        <v>0</v>
      </c>
      <c r="HY116" t="s">
        <v>422</v>
      </c>
      <c r="HZ116" t="s">
        <v>423</v>
      </c>
      <c r="IA116" t="s">
        <v>424</v>
      </c>
      <c r="IB116" t="s">
        <v>424</v>
      </c>
      <c r="IC116" t="s">
        <v>424</v>
      </c>
      <c r="ID116" t="s">
        <v>424</v>
      </c>
      <c r="IE116">
        <v>0</v>
      </c>
      <c r="IF116">
        <v>100</v>
      </c>
      <c r="IG116">
        <v>100</v>
      </c>
      <c r="IH116">
        <v>-1.512</v>
      </c>
      <c r="II116">
        <v>0.41699999999999998</v>
      </c>
      <c r="IJ116">
        <v>-0.91671683030530726</v>
      </c>
      <c r="IK116">
        <v>-2.677719669153116E-3</v>
      </c>
      <c r="IL116">
        <v>1.9353498771248068E-6</v>
      </c>
      <c r="IM116">
        <v>-6.1862177325538213E-10</v>
      </c>
      <c r="IN116">
        <v>-0.20435199149148731</v>
      </c>
      <c r="IO116">
        <v>-1.5299015507423901E-2</v>
      </c>
      <c r="IP116">
        <v>1.742162107778985E-3</v>
      </c>
      <c r="IQ116">
        <v>-1.472690239905804E-5</v>
      </c>
      <c r="IR116">
        <v>3</v>
      </c>
      <c r="IS116">
        <v>2255</v>
      </c>
      <c r="IT116">
        <v>2</v>
      </c>
      <c r="IU116">
        <v>41</v>
      </c>
      <c r="IV116">
        <v>0.7</v>
      </c>
      <c r="IW116">
        <v>0.6</v>
      </c>
      <c r="IX116">
        <v>0.76415999999999995</v>
      </c>
      <c r="IY116">
        <v>2.50366</v>
      </c>
      <c r="IZ116">
        <v>1.6003400000000001</v>
      </c>
      <c r="JA116">
        <v>2.2705099999999998</v>
      </c>
      <c r="JB116">
        <v>1.5502899999999999</v>
      </c>
      <c r="JC116">
        <v>2.3913600000000002</v>
      </c>
      <c r="JD116">
        <v>38.281199999999998</v>
      </c>
      <c r="JE116">
        <v>15.3316</v>
      </c>
      <c r="JF116">
        <v>18</v>
      </c>
      <c r="JG116">
        <v>504.495</v>
      </c>
      <c r="JH116">
        <v>482.93900000000002</v>
      </c>
      <c r="JI116">
        <v>24.8383</v>
      </c>
      <c r="JJ116">
        <v>32.921100000000003</v>
      </c>
      <c r="JK116">
        <v>29.997800000000002</v>
      </c>
      <c r="JL116">
        <v>32.857100000000003</v>
      </c>
      <c r="JM116">
        <v>32.819000000000003</v>
      </c>
      <c r="JN116">
        <v>15.332000000000001</v>
      </c>
      <c r="JO116">
        <v>28.566800000000001</v>
      </c>
      <c r="JP116">
        <v>55.989400000000003</v>
      </c>
      <c r="JQ116">
        <v>24.9999</v>
      </c>
      <c r="JR116">
        <v>300</v>
      </c>
      <c r="JS116">
        <v>24.815000000000001</v>
      </c>
      <c r="JT116">
        <v>99.021600000000007</v>
      </c>
      <c r="JU116">
        <v>98.518900000000002</v>
      </c>
    </row>
    <row r="117" spans="1:281" x14ac:dyDescent="0.25">
      <c r="A117">
        <v>101</v>
      </c>
      <c r="B117">
        <v>1693345958.5999999</v>
      </c>
      <c r="C117">
        <v>23661.5</v>
      </c>
      <c r="D117" t="s">
        <v>928</v>
      </c>
      <c r="E117" t="s">
        <v>929</v>
      </c>
      <c r="F117" t="s">
        <v>413</v>
      </c>
      <c r="G117" t="s">
        <v>493</v>
      </c>
      <c r="H117" t="s">
        <v>31</v>
      </c>
      <c r="I117" t="s">
        <v>31</v>
      </c>
      <c r="J117">
        <v>1693345958.5999999</v>
      </c>
      <c r="K117">
        <f t="shared" si="138"/>
        <v>3.7866523096227495E-3</v>
      </c>
      <c r="L117">
        <f t="shared" si="139"/>
        <v>3.7866523096227493</v>
      </c>
      <c r="M117">
        <f t="shared" si="140"/>
        <v>18.227353481108139</v>
      </c>
      <c r="N117">
        <f t="shared" si="141"/>
        <v>177.226</v>
      </c>
      <c r="O117">
        <f t="shared" si="142"/>
        <v>58.694731602059804</v>
      </c>
      <c r="P117">
        <f t="shared" si="143"/>
        <v>5.7988139771246932</v>
      </c>
      <c r="Q117">
        <f t="shared" si="144"/>
        <v>17.509247897708001</v>
      </c>
      <c r="R117">
        <f t="shared" si="145"/>
        <v>0.262908345333835</v>
      </c>
      <c r="S117">
        <f t="shared" si="146"/>
        <v>2.8995749684538619</v>
      </c>
      <c r="T117">
        <f t="shared" si="147"/>
        <v>0.25034650001111192</v>
      </c>
      <c r="U117">
        <f t="shared" si="148"/>
        <v>0.15754516614146913</v>
      </c>
      <c r="V117">
        <f t="shared" si="149"/>
        <v>344.40680065792708</v>
      </c>
      <c r="W117">
        <f t="shared" si="150"/>
        <v>31.245960948630753</v>
      </c>
      <c r="X117">
        <f t="shared" si="151"/>
        <v>29.9712</v>
      </c>
      <c r="Y117">
        <f t="shared" si="152"/>
        <v>4.2534070085267306</v>
      </c>
      <c r="Z117">
        <f t="shared" si="153"/>
        <v>65.290397530212601</v>
      </c>
      <c r="AA117">
        <f t="shared" si="154"/>
        <v>2.8124895074807998</v>
      </c>
      <c r="AB117">
        <f t="shared" si="155"/>
        <v>4.3076617908159367</v>
      </c>
      <c r="AC117">
        <f t="shared" si="156"/>
        <v>1.4409175010459307</v>
      </c>
      <c r="AD117">
        <f t="shared" si="157"/>
        <v>-166.99136685436326</v>
      </c>
      <c r="AE117">
        <f t="shared" si="158"/>
        <v>34.515872362402128</v>
      </c>
      <c r="AF117">
        <f t="shared" si="159"/>
        <v>2.6489544573132915</v>
      </c>
      <c r="AG117">
        <f t="shared" si="160"/>
        <v>214.5802606232792</v>
      </c>
      <c r="AH117">
        <v>0</v>
      </c>
      <c r="AI117">
        <v>0</v>
      </c>
      <c r="AJ117">
        <f t="shared" si="161"/>
        <v>1</v>
      </c>
      <c r="AK117">
        <f t="shared" si="162"/>
        <v>0</v>
      </c>
      <c r="AL117">
        <f t="shared" si="163"/>
        <v>51439.944044632917</v>
      </c>
      <c r="AM117" t="s">
        <v>416</v>
      </c>
      <c r="AN117">
        <v>10238.9</v>
      </c>
      <c r="AO117">
        <v>302.21199999999999</v>
      </c>
      <c r="AP117">
        <v>4052.3</v>
      </c>
      <c r="AQ117">
        <f t="shared" si="164"/>
        <v>0.92542210596451402</v>
      </c>
      <c r="AR117">
        <v>-0.32343011824092421</v>
      </c>
      <c r="AS117" t="s">
        <v>930</v>
      </c>
      <c r="AT117">
        <v>10427.9</v>
      </c>
      <c r="AU117">
        <v>859.87484615384608</v>
      </c>
      <c r="AV117">
        <v>1010.297127548896</v>
      </c>
      <c r="AW117">
        <f t="shared" si="165"/>
        <v>0.1488891508184258</v>
      </c>
      <c r="AX117">
        <v>0.5</v>
      </c>
      <c r="AY117">
        <f t="shared" si="166"/>
        <v>1513.3524003289638</v>
      </c>
      <c r="AZ117">
        <f t="shared" si="167"/>
        <v>18.227353481108139</v>
      </c>
      <c r="BA117">
        <f t="shared" si="168"/>
        <v>112.66087688700289</v>
      </c>
      <c r="BB117">
        <f t="shared" si="169"/>
        <v>1.2258072604448641E-2</v>
      </c>
      <c r="BC117">
        <f t="shared" si="170"/>
        <v>3.0109982395291706</v>
      </c>
      <c r="BD117">
        <f t="shared" si="171"/>
        <v>246.79354507169074</v>
      </c>
      <c r="BE117" t="s">
        <v>931</v>
      </c>
      <c r="BF117">
        <v>590.9</v>
      </c>
      <c r="BG117">
        <f t="shared" si="172"/>
        <v>590.9</v>
      </c>
      <c r="BH117">
        <f t="shared" si="173"/>
        <v>0.41512255762461148</v>
      </c>
      <c r="BI117">
        <f t="shared" si="174"/>
        <v>0.35866311787629668</v>
      </c>
      <c r="BJ117">
        <f t="shared" si="175"/>
        <v>0.87883598325853818</v>
      </c>
      <c r="BK117">
        <f t="shared" si="176"/>
        <v>0.21243530691818222</v>
      </c>
      <c r="BL117">
        <f t="shared" si="177"/>
        <v>0.81118173025569096</v>
      </c>
      <c r="BM117">
        <f t="shared" si="178"/>
        <v>0.24647079432671895</v>
      </c>
      <c r="BN117">
        <f t="shared" si="179"/>
        <v>0.75352920567328108</v>
      </c>
      <c r="BO117">
        <v>5664</v>
      </c>
      <c r="BP117">
        <v>290.00000000000011</v>
      </c>
      <c r="BQ117">
        <v>973.02</v>
      </c>
      <c r="BR117">
        <v>225</v>
      </c>
      <c r="BS117">
        <v>10427.9</v>
      </c>
      <c r="BT117">
        <v>972.2</v>
      </c>
      <c r="BU117">
        <v>0.82</v>
      </c>
      <c r="BV117">
        <v>300.00000000000011</v>
      </c>
      <c r="BW117">
        <v>38.299999999999997</v>
      </c>
      <c r="BX117">
        <v>1010.297127548896</v>
      </c>
      <c r="BY117">
        <v>1.3653789432627601</v>
      </c>
      <c r="BZ117">
        <v>-39.724928021587907</v>
      </c>
      <c r="CA117">
        <v>1.165656039885103</v>
      </c>
      <c r="CB117">
        <v>0.97645890814756997</v>
      </c>
      <c r="CC117">
        <v>-1.132364760845384E-2</v>
      </c>
      <c r="CD117">
        <v>289.99999999999989</v>
      </c>
      <c r="CE117">
        <v>971.62</v>
      </c>
      <c r="CF117">
        <v>675</v>
      </c>
      <c r="CG117">
        <v>10400.700000000001</v>
      </c>
      <c r="CH117">
        <v>972.1</v>
      </c>
      <c r="CI117">
        <v>-0.48</v>
      </c>
      <c r="CW117">
        <f t="shared" si="180"/>
        <v>1800.2</v>
      </c>
      <c r="CX117">
        <f t="shared" si="181"/>
        <v>1513.3524003289638</v>
      </c>
      <c r="CY117">
        <f t="shared" si="182"/>
        <v>0.84065792707974873</v>
      </c>
      <c r="CZ117">
        <f t="shared" si="183"/>
        <v>0.19131585415949731</v>
      </c>
      <c r="DA117">
        <v>6</v>
      </c>
      <c r="DB117">
        <v>0.5</v>
      </c>
      <c r="DC117" t="s">
        <v>419</v>
      </c>
      <c r="DD117">
        <v>2</v>
      </c>
      <c r="DE117">
        <v>1693345958.5999999</v>
      </c>
      <c r="DF117">
        <v>177.226</v>
      </c>
      <c r="DG117">
        <v>199.904</v>
      </c>
      <c r="DH117">
        <v>28.467600000000001</v>
      </c>
      <c r="DI117">
        <v>24.053000000000001</v>
      </c>
      <c r="DJ117">
        <v>178.50399999999999</v>
      </c>
      <c r="DK117">
        <v>28.059200000000001</v>
      </c>
      <c r="DL117">
        <v>500.00299999999999</v>
      </c>
      <c r="DM117">
        <v>98.695899999999995</v>
      </c>
      <c r="DN117">
        <v>0.100258</v>
      </c>
      <c r="DO117">
        <v>30.192</v>
      </c>
      <c r="DP117">
        <v>29.9712</v>
      </c>
      <c r="DQ117">
        <v>999.9</v>
      </c>
      <c r="DR117">
        <v>0</v>
      </c>
      <c r="DS117">
        <v>0</v>
      </c>
      <c r="DT117">
        <v>9960</v>
      </c>
      <c r="DU117">
        <v>0</v>
      </c>
      <c r="DV117">
        <v>784.30499999999995</v>
      </c>
      <c r="DW117">
        <v>-22.677800000000001</v>
      </c>
      <c r="DX117">
        <v>182.41900000000001</v>
      </c>
      <c r="DY117">
        <v>204.83</v>
      </c>
      <c r="DZ117">
        <v>4.4145500000000002</v>
      </c>
      <c r="EA117">
        <v>199.904</v>
      </c>
      <c r="EB117">
        <v>24.053000000000001</v>
      </c>
      <c r="EC117">
        <v>2.8096299999999998</v>
      </c>
      <c r="ED117">
        <v>2.3739300000000001</v>
      </c>
      <c r="EE117">
        <v>22.940799999999999</v>
      </c>
      <c r="EF117">
        <v>20.187100000000001</v>
      </c>
      <c r="EG117">
        <v>1800.2</v>
      </c>
      <c r="EH117">
        <v>0.97800799999999999</v>
      </c>
      <c r="EI117">
        <v>2.19922E-2</v>
      </c>
      <c r="EJ117">
        <v>0</v>
      </c>
      <c r="EK117">
        <v>859.928</v>
      </c>
      <c r="EL117">
        <v>4.9995000000000003</v>
      </c>
      <c r="EM117">
        <v>17108</v>
      </c>
      <c r="EN117">
        <v>16661.7</v>
      </c>
      <c r="EO117">
        <v>50.311999999999998</v>
      </c>
      <c r="EP117">
        <v>51.375</v>
      </c>
      <c r="EQ117">
        <v>51.311999999999998</v>
      </c>
      <c r="ER117">
        <v>50.436999999999998</v>
      </c>
      <c r="ES117">
        <v>51.375</v>
      </c>
      <c r="ET117">
        <v>1755.72</v>
      </c>
      <c r="EU117">
        <v>39.479999999999997</v>
      </c>
      <c r="EV117">
        <v>0</v>
      </c>
      <c r="EW117">
        <v>142.20000004768369</v>
      </c>
      <c r="EX117">
        <v>0</v>
      </c>
      <c r="EY117">
        <v>859.87484615384608</v>
      </c>
      <c r="EZ117">
        <v>-1.7785299180840191</v>
      </c>
      <c r="FA117">
        <v>-189.11452928311439</v>
      </c>
      <c r="FB117">
        <v>17184.68461538462</v>
      </c>
      <c r="FC117">
        <v>15</v>
      </c>
      <c r="FD117">
        <v>1693345883.0999999</v>
      </c>
      <c r="FE117" t="s">
        <v>932</v>
      </c>
      <c r="FF117">
        <v>1693345875.0999999</v>
      </c>
      <c r="FG117">
        <v>1693345883.0999999</v>
      </c>
      <c r="FH117">
        <v>112</v>
      </c>
      <c r="FI117">
        <v>5.8000000000000003E-2</v>
      </c>
      <c r="FJ117">
        <v>-4.0000000000000001E-3</v>
      </c>
      <c r="FK117">
        <v>-1.3240000000000001</v>
      </c>
      <c r="FL117">
        <v>0.22800000000000001</v>
      </c>
      <c r="FM117">
        <v>200</v>
      </c>
      <c r="FN117">
        <v>24</v>
      </c>
      <c r="FO117">
        <v>0.15</v>
      </c>
      <c r="FP117">
        <v>0.06</v>
      </c>
      <c r="FQ117">
        <v>18.256999879986221</v>
      </c>
      <c r="FR117">
        <v>0.58818652423387741</v>
      </c>
      <c r="FS117">
        <v>7.7535730248392137E-2</v>
      </c>
      <c r="FT117">
        <v>1</v>
      </c>
      <c r="FU117">
        <v>0.25532889010773963</v>
      </c>
      <c r="FV117">
        <v>4.050934476431315E-2</v>
      </c>
      <c r="FW117">
        <v>3.4354264657480271E-3</v>
      </c>
      <c r="FX117">
        <v>1</v>
      </c>
      <c r="FY117">
        <v>2</v>
      </c>
      <c r="FZ117">
        <v>2</v>
      </c>
      <c r="GA117" t="s">
        <v>421</v>
      </c>
      <c r="GB117">
        <v>2.96848</v>
      </c>
      <c r="GC117">
        <v>2.8115999999999999</v>
      </c>
      <c r="GD117">
        <v>4.8645899999999999E-2</v>
      </c>
      <c r="GE117">
        <v>5.3253599999999998E-2</v>
      </c>
      <c r="GF117">
        <v>0.13302800000000001</v>
      </c>
      <c r="GG117">
        <v>0.117773</v>
      </c>
      <c r="GH117">
        <v>28061.8</v>
      </c>
      <c r="GI117">
        <v>25699.599999999999</v>
      </c>
      <c r="GJ117">
        <v>26517</v>
      </c>
      <c r="GK117">
        <v>25617.3</v>
      </c>
      <c r="GL117">
        <v>31275.5</v>
      </c>
      <c r="GM117">
        <v>31854.2</v>
      </c>
      <c r="GN117">
        <v>37531.599999999999</v>
      </c>
      <c r="GO117">
        <v>37923.599999999999</v>
      </c>
      <c r="GP117">
        <v>1.9480999999999999</v>
      </c>
      <c r="GQ117">
        <v>1.9612000000000001</v>
      </c>
      <c r="GR117">
        <v>2.8625100000000001E-2</v>
      </c>
      <c r="GS117">
        <v>0</v>
      </c>
      <c r="GT117">
        <v>29.505199999999999</v>
      </c>
      <c r="GU117">
        <v>999.9</v>
      </c>
      <c r="GV117">
        <v>51</v>
      </c>
      <c r="GW117">
        <v>35.4</v>
      </c>
      <c r="GX117">
        <v>29.84</v>
      </c>
      <c r="GY117">
        <v>61.645000000000003</v>
      </c>
      <c r="GZ117">
        <v>12.6242</v>
      </c>
      <c r="HA117">
        <v>1</v>
      </c>
      <c r="HB117">
        <v>0.45682899999999999</v>
      </c>
      <c r="HC117">
        <v>2.9521000000000002</v>
      </c>
      <c r="HD117">
        <v>20.281600000000001</v>
      </c>
      <c r="HE117">
        <v>5.2112999999999996</v>
      </c>
      <c r="HF117">
        <v>11.9381</v>
      </c>
      <c r="HG117">
        <v>4.9880000000000004</v>
      </c>
      <c r="HH117">
        <v>3.2909999999999999</v>
      </c>
      <c r="HI117">
        <v>9999</v>
      </c>
      <c r="HJ117">
        <v>9999</v>
      </c>
      <c r="HK117">
        <v>9999</v>
      </c>
      <c r="HL117">
        <v>999.9</v>
      </c>
      <c r="HM117">
        <v>1.86999</v>
      </c>
      <c r="HN117">
        <v>1.87622</v>
      </c>
      <c r="HO117">
        <v>1.8740300000000001</v>
      </c>
      <c r="HP117">
        <v>1.87225</v>
      </c>
      <c r="HQ117">
        <v>1.8727100000000001</v>
      </c>
      <c r="HR117">
        <v>1.87012</v>
      </c>
      <c r="HS117">
        <v>1.8760600000000001</v>
      </c>
      <c r="HT117">
        <v>1.8751500000000001</v>
      </c>
      <c r="HU117">
        <v>5</v>
      </c>
      <c r="HV117">
        <v>0</v>
      </c>
      <c r="HW117">
        <v>0</v>
      </c>
      <c r="HX117">
        <v>0</v>
      </c>
      <c r="HY117" t="s">
        <v>422</v>
      </c>
      <c r="HZ117" t="s">
        <v>423</v>
      </c>
      <c r="IA117" t="s">
        <v>424</v>
      </c>
      <c r="IB117" t="s">
        <v>424</v>
      </c>
      <c r="IC117" t="s">
        <v>424</v>
      </c>
      <c r="ID117" t="s">
        <v>424</v>
      </c>
      <c r="IE117">
        <v>0</v>
      </c>
      <c r="IF117">
        <v>100</v>
      </c>
      <c r="IG117">
        <v>100</v>
      </c>
      <c r="IH117">
        <v>-1.278</v>
      </c>
      <c r="II117">
        <v>0.40839999999999999</v>
      </c>
      <c r="IJ117">
        <v>-0.85827990728314463</v>
      </c>
      <c r="IK117">
        <v>-2.677719669153116E-3</v>
      </c>
      <c r="IL117">
        <v>1.9353498771248068E-6</v>
      </c>
      <c r="IM117">
        <v>-6.1862177325538213E-10</v>
      </c>
      <c r="IN117">
        <v>-0.20863822786730579</v>
      </c>
      <c r="IO117">
        <v>-1.5299015507423901E-2</v>
      </c>
      <c r="IP117">
        <v>1.742162107778985E-3</v>
      </c>
      <c r="IQ117">
        <v>-1.472690239905804E-5</v>
      </c>
      <c r="IR117">
        <v>3</v>
      </c>
      <c r="IS117">
        <v>2255</v>
      </c>
      <c r="IT117">
        <v>2</v>
      </c>
      <c r="IU117">
        <v>41</v>
      </c>
      <c r="IV117">
        <v>1.4</v>
      </c>
      <c r="IW117">
        <v>1.3</v>
      </c>
      <c r="IX117">
        <v>0.56274400000000002</v>
      </c>
      <c r="IY117">
        <v>2.51709</v>
      </c>
      <c r="IZ117">
        <v>1.6003400000000001</v>
      </c>
      <c r="JA117">
        <v>2.2692899999999998</v>
      </c>
      <c r="JB117">
        <v>1.5502899999999999</v>
      </c>
      <c r="JC117">
        <v>2.2448700000000001</v>
      </c>
      <c r="JD117">
        <v>38.207999999999998</v>
      </c>
      <c r="JE117">
        <v>15.287800000000001</v>
      </c>
      <c r="JF117">
        <v>18</v>
      </c>
      <c r="JG117">
        <v>504.661</v>
      </c>
      <c r="JH117">
        <v>481.53199999999998</v>
      </c>
      <c r="JI117">
        <v>25.285399999999999</v>
      </c>
      <c r="JJ117">
        <v>33.118299999999998</v>
      </c>
      <c r="JK117">
        <v>30.000499999999999</v>
      </c>
      <c r="JL117">
        <v>33.025799999999997</v>
      </c>
      <c r="JM117">
        <v>32.978999999999999</v>
      </c>
      <c r="JN117">
        <v>11.315300000000001</v>
      </c>
      <c r="JO117">
        <v>30.574999999999999</v>
      </c>
      <c r="JP117">
        <v>55.340600000000002</v>
      </c>
      <c r="JQ117">
        <v>25.295100000000001</v>
      </c>
      <c r="JR117">
        <v>200</v>
      </c>
      <c r="JS117">
        <v>24.053100000000001</v>
      </c>
      <c r="JT117">
        <v>98.993200000000002</v>
      </c>
      <c r="JU117">
        <v>98.490499999999997</v>
      </c>
    </row>
    <row r="118" spans="1:281" x14ac:dyDescent="0.25">
      <c r="A118">
        <v>102</v>
      </c>
      <c r="B118">
        <v>1693346070.0999999</v>
      </c>
      <c r="C118">
        <v>23773</v>
      </c>
      <c r="D118" t="s">
        <v>933</v>
      </c>
      <c r="E118" t="s">
        <v>934</v>
      </c>
      <c r="F118" t="s">
        <v>413</v>
      </c>
      <c r="G118" t="s">
        <v>493</v>
      </c>
      <c r="H118" t="s">
        <v>31</v>
      </c>
      <c r="I118" t="s">
        <v>31</v>
      </c>
      <c r="J118">
        <v>1693346070.0999999</v>
      </c>
      <c r="K118">
        <f t="shared" si="138"/>
        <v>4.0493841948185828E-3</v>
      </c>
      <c r="L118">
        <f t="shared" si="139"/>
        <v>4.0493841948185825</v>
      </c>
      <c r="M118">
        <f t="shared" si="140"/>
        <v>11.900378105582334</v>
      </c>
      <c r="N118">
        <f t="shared" si="141"/>
        <v>105.09099999999999</v>
      </c>
      <c r="O118">
        <f t="shared" si="142"/>
        <v>32.809429665233438</v>
      </c>
      <c r="P118">
        <f t="shared" si="143"/>
        <v>3.241343756626609</v>
      </c>
      <c r="Q118">
        <f t="shared" si="144"/>
        <v>10.382260837913998</v>
      </c>
      <c r="R118">
        <f t="shared" si="145"/>
        <v>0.28202341363425709</v>
      </c>
      <c r="S118">
        <f t="shared" si="146"/>
        <v>2.9017049404398767</v>
      </c>
      <c r="T118">
        <f t="shared" si="147"/>
        <v>0.26763225349949016</v>
      </c>
      <c r="U118">
        <f t="shared" si="148"/>
        <v>0.16850192876754155</v>
      </c>
      <c r="V118">
        <f t="shared" si="149"/>
        <v>344.39540065794904</v>
      </c>
      <c r="W118">
        <f t="shared" si="150"/>
        <v>31.223457924277252</v>
      </c>
      <c r="X118">
        <f t="shared" si="151"/>
        <v>30.053599999999999</v>
      </c>
      <c r="Y118">
        <f t="shared" si="152"/>
        <v>4.2735842001337296</v>
      </c>
      <c r="Z118">
        <f t="shared" si="153"/>
        <v>65.579060403362035</v>
      </c>
      <c r="AA118">
        <f t="shared" si="154"/>
        <v>2.8325648063718001</v>
      </c>
      <c r="AB118">
        <f t="shared" si="155"/>
        <v>4.3193128857738001</v>
      </c>
      <c r="AC118">
        <f t="shared" si="156"/>
        <v>1.4410193937619296</v>
      </c>
      <c r="AD118">
        <f t="shared" si="157"/>
        <v>-178.57784299149949</v>
      </c>
      <c r="AE118">
        <f t="shared" si="158"/>
        <v>29.019010956938683</v>
      </c>
      <c r="AF118">
        <f t="shared" si="159"/>
        <v>2.2268842125574504</v>
      </c>
      <c r="AG118">
        <f t="shared" si="160"/>
        <v>197.06345283594564</v>
      </c>
      <c r="AH118">
        <v>0</v>
      </c>
      <c r="AI118">
        <v>0</v>
      </c>
      <c r="AJ118">
        <f t="shared" si="161"/>
        <v>1</v>
      </c>
      <c r="AK118">
        <f t="shared" si="162"/>
        <v>0</v>
      </c>
      <c r="AL118">
        <f t="shared" si="163"/>
        <v>51492.193372494672</v>
      </c>
      <c r="AM118" t="s">
        <v>416</v>
      </c>
      <c r="AN118">
        <v>10238.9</v>
      </c>
      <c r="AO118">
        <v>302.21199999999999</v>
      </c>
      <c r="AP118">
        <v>4052.3</v>
      </c>
      <c r="AQ118">
        <f t="shared" si="164"/>
        <v>0.92542210596451402</v>
      </c>
      <c r="AR118">
        <v>-0.32343011824092421</v>
      </c>
      <c r="AS118" t="s">
        <v>935</v>
      </c>
      <c r="AT118">
        <v>10416.799999999999</v>
      </c>
      <c r="AU118">
        <v>867.478230769231</v>
      </c>
      <c r="AV118">
        <v>979.97829188760397</v>
      </c>
      <c r="AW118">
        <f t="shared" si="165"/>
        <v>0.11479852365064003</v>
      </c>
      <c r="AX118">
        <v>0.5</v>
      </c>
      <c r="AY118">
        <f t="shared" si="166"/>
        <v>1513.3020003289744</v>
      </c>
      <c r="AZ118">
        <f t="shared" si="167"/>
        <v>11.900378105582334</v>
      </c>
      <c r="BA118">
        <f t="shared" si="168"/>
        <v>86.862417737663307</v>
      </c>
      <c r="BB118">
        <f t="shared" si="169"/>
        <v>8.0775735584608654E-3</v>
      </c>
      <c r="BC118">
        <f t="shared" si="170"/>
        <v>3.1350915969726074</v>
      </c>
      <c r="BD118">
        <f t="shared" si="171"/>
        <v>244.94238199734977</v>
      </c>
      <c r="BE118" t="s">
        <v>936</v>
      </c>
      <c r="BF118">
        <v>598.66999999999996</v>
      </c>
      <c r="BG118">
        <f t="shared" si="172"/>
        <v>598.66999999999996</v>
      </c>
      <c r="BH118">
        <f t="shared" si="173"/>
        <v>0.3890987127410136</v>
      </c>
      <c r="BI118">
        <f t="shared" si="174"/>
        <v>0.29503701732123344</v>
      </c>
      <c r="BJ118">
        <f t="shared" si="175"/>
        <v>0.88959202581411334</v>
      </c>
      <c r="BK118">
        <f t="shared" si="176"/>
        <v>0.1659865096050383</v>
      </c>
      <c r="BL118">
        <f t="shared" si="177"/>
        <v>0.81926656337461845</v>
      </c>
      <c r="BM118">
        <f t="shared" si="178"/>
        <v>0.20361296098817075</v>
      </c>
      <c r="BN118">
        <f t="shared" si="179"/>
        <v>0.79638703901182928</v>
      </c>
      <c r="BO118">
        <v>5666</v>
      </c>
      <c r="BP118">
        <v>290.00000000000011</v>
      </c>
      <c r="BQ118">
        <v>951.51</v>
      </c>
      <c r="BR118">
        <v>285</v>
      </c>
      <c r="BS118">
        <v>10416.799999999999</v>
      </c>
      <c r="BT118">
        <v>950.93</v>
      </c>
      <c r="BU118">
        <v>0.57999999999999996</v>
      </c>
      <c r="BV118">
        <v>300.00000000000011</v>
      </c>
      <c r="BW118">
        <v>38.299999999999997</v>
      </c>
      <c r="BX118">
        <v>979.97829188760397</v>
      </c>
      <c r="BY118">
        <v>0.96258906538396116</v>
      </c>
      <c r="BZ118">
        <v>-30.255411672568009</v>
      </c>
      <c r="CA118">
        <v>0.82172075061093974</v>
      </c>
      <c r="CB118">
        <v>0.97976412719852257</v>
      </c>
      <c r="CC118">
        <v>-1.1322489210233599E-2</v>
      </c>
      <c r="CD118">
        <v>289.99999999999989</v>
      </c>
      <c r="CE118">
        <v>949.54</v>
      </c>
      <c r="CF118">
        <v>675</v>
      </c>
      <c r="CG118">
        <v>10399.9</v>
      </c>
      <c r="CH118">
        <v>950.89</v>
      </c>
      <c r="CI118">
        <v>-1.35</v>
      </c>
      <c r="CW118">
        <f t="shared" si="180"/>
        <v>1800.14</v>
      </c>
      <c r="CX118">
        <f t="shared" si="181"/>
        <v>1513.3020003289744</v>
      </c>
      <c r="CY118">
        <f t="shared" si="182"/>
        <v>0.84065794900895174</v>
      </c>
      <c r="CZ118">
        <f t="shared" si="183"/>
        <v>0.19131589801790361</v>
      </c>
      <c r="DA118">
        <v>6</v>
      </c>
      <c r="DB118">
        <v>0.5</v>
      </c>
      <c r="DC118" t="s">
        <v>419</v>
      </c>
      <c r="DD118">
        <v>2</v>
      </c>
      <c r="DE118">
        <v>1693346070.0999999</v>
      </c>
      <c r="DF118">
        <v>105.09099999999999</v>
      </c>
      <c r="DG118">
        <v>119.88200000000001</v>
      </c>
      <c r="DH118">
        <v>28.671700000000001</v>
      </c>
      <c r="DI118">
        <v>23.951799999999999</v>
      </c>
      <c r="DJ118">
        <v>106.273</v>
      </c>
      <c r="DK118">
        <v>28.2559</v>
      </c>
      <c r="DL118">
        <v>500.00400000000002</v>
      </c>
      <c r="DM118">
        <v>98.692599999999999</v>
      </c>
      <c r="DN118">
        <v>0.100454</v>
      </c>
      <c r="DO118">
        <v>30.239100000000001</v>
      </c>
      <c r="DP118">
        <v>30.053599999999999</v>
      </c>
      <c r="DQ118">
        <v>999.9</v>
      </c>
      <c r="DR118">
        <v>0</v>
      </c>
      <c r="DS118">
        <v>0</v>
      </c>
      <c r="DT118">
        <v>9972.5</v>
      </c>
      <c r="DU118">
        <v>0</v>
      </c>
      <c r="DV118">
        <v>825.64499999999998</v>
      </c>
      <c r="DW118">
        <v>-14.790900000000001</v>
      </c>
      <c r="DX118">
        <v>108.193</v>
      </c>
      <c r="DY118">
        <v>122.824</v>
      </c>
      <c r="DZ118">
        <v>4.7198399999999996</v>
      </c>
      <c r="EA118">
        <v>119.88200000000001</v>
      </c>
      <c r="EB118">
        <v>23.951799999999999</v>
      </c>
      <c r="EC118">
        <v>2.8296800000000002</v>
      </c>
      <c r="ED118">
        <v>2.3638699999999999</v>
      </c>
      <c r="EE118">
        <v>23.058299999999999</v>
      </c>
      <c r="EF118">
        <v>20.118300000000001</v>
      </c>
      <c r="EG118">
        <v>1800.14</v>
      </c>
      <c r="EH118">
        <v>0.97800799999999999</v>
      </c>
      <c r="EI118">
        <v>2.19922E-2</v>
      </c>
      <c r="EJ118">
        <v>0</v>
      </c>
      <c r="EK118">
        <v>867.12400000000002</v>
      </c>
      <c r="EL118">
        <v>4.9995000000000003</v>
      </c>
      <c r="EM118">
        <v>17362.400000000001</v>
      </c>
      <c r="EN118">
        <v>16661.099999999999</v>
      </c>
      <c r="EO118">
        <v>50.436999999999998</v>
      </c>
      <c r="EP118">
        <v>51.375</v>
      </c>
      <c r="EQ118">
        <v>51.375</v>
      </c>
      <c r="ER118">
        <v>50.5</v>
      </c>
      <c r="ES118">
        <v>51.436999999999998</v>
      </c>
      <c r="ET118">
        <v>1755.66</v>
      </c>
      <c r="EU118">
        <v>39.479999999999997</v>
      </c>
      <c r="EV118">
        <v>0</v>
      </c>
      <c r="EW118">
        <v>109.80000019073491</v>
      </c>
      <c r="EX118">
        <v>0</v>
      </c>
      <c r="EY118">
        <v>867.478230769231</v>
      </c>
      <c r="EZ118">
        <v>-2.297777772415682</v>
      </c>
      <c r="FA118">
        <v>-30.31111091363406</v>
      </c>
      <c r="FB118">
        <v>17370.484615384619</v>
      </c>
      <c r="FC118">
        <v>15</v>
      </c>
      <c r="FD118">
        <v>1693346039.5999999</v>
      </c>
      <c r="FE118" t="s">
        <v>937</v>
      </c>
      <c r="FF118">
        <v>1693346039.5999999</v>
      </c>
      <c r="FG118">
        <v>1693346039.0999999</v>
      </c>
      <c r="FH118">
        <v>113</v>
      </c>
      <c r="FI118">
        <v>-0.06</v>
      </c>
      <c r="FJ118">
        <v>-2E-3</v>
      </c>
      <c r="FK118">
        <v>-1.216</v>
      </c>
      <c r="FL118">
        <v>0.20699999999999999</v>
      </c>
      <c r="FM118">
        <v>120</v>
      </c>
      <c r="FN118">
        <v>24</v>
      </c>
      <c r="FO118">
        <v>0.3</v>
      </c>
      <c r="FP118">
        <v>0.06</v>
      </c>
      <c r="FQ118">
        <v>11.882293434398649</v>
      </c>
      <c r="FR118">
        <v>0.64925803645122471</v>
      </c>
      <c r="FS118">
        <v>6.6635940019902654E-2</v>
      </c>
      <c r="FT118">
        <v>1</v>
      </c>
      <c r="FU118">
        <v>0.27635563371651622</v>
      </c>
      <c r="FV118">
        <v>3.8558100253201763E-2</v>
      </c>
      <c r="FW118">
        <v>3.1253738254176091E-3</v>
      </c>
      <c r="FX118">
        <v>1</v>
      </c>
      <c r="FY118">
        <v>2</v>
      </c>
      <c r="FZ118">
        <v>2</v>
      </c>
      <c r="GA118" t="s">
        <v>421</v>
      </c>
      <c r="GB118">
        <v>2.96841</v>
      </c>
      <c r="GC118">
        <v>2.8119100000000001</v>
      </c>
      <c r="GD118">
        <v>2.9942300000000002E-2</v>
      </c>
      <c r="GE118">
        <v>3.3206699999999999E-2</v>
      </c>
      <c r="GF118">
        <v>0.13364699999999999</v>
      </c>
      <c r="GG118">
        <v>0.117399</v>
      </c>
      <c r="GH118">
        <v>28610.400000000001</v>
      </c>
      <c r="GI118">
        <v>26239.9</v>
      </c>
      <c r="GJ118">
        <v>26514.5</v>
      </c>
      <c r="GK118">
        <v>25613.9</v>
      </c>
      <c r="GL118">
        <v>31249.3</v>
      </c>
      <c r="GM118">
        <v>31862.6</v>
      </c>
      <c r="GN118">
        <v>37527.9</v>
      </c>
      <c r="GO118">
        <v>37919.1</v>
      </c>
      <c r="GP118">
        <v>1.9462999999999999</v>
      </c>
      <c r="GQ118">
        <v>1.9598</v>
      </c>
      <c r="GR118">
        <v>3.0249399999999999E-2</v>
      </c>
      <c r="GS118">
        <v>0</v>
      </c>
      <c r="GT118">
        <v>29.561199999999999</v>
      </c>
      <c r="GU118">
        <v>999.9</v>
      </c>
      <c r="GV118">
        <v>51</v>
      </c>
      <c r="GW118">
        <v>35.4</v>
      </c>
      <c r="GX118">
        <v>29.841100000000001</v>
      </c>
      <c r="GY118">
        <v>61.695</v>
      </c>
      <c r="GZ118">
        <v>12.3157</v>
      </c>
      <c r="HA118">
        <v>1</v>
      </c>
      <c r="HB118">
        <v>0.46630100000000002</v>
      </c>
      <c r="HC118">
        <v>3.4024000000000001</v>
      </c>
      <c r="HD118">
        <v>20.273199999999999</v>
      </c>
      <c r="HE118">
        <v>5.2107000000000001</v>
      </c>
      <c r="HF118">
        <v>11.9381</v>
      </c>
      <c r="HG118">
        <v>4.9878</v>
      </c>
      <c r="HH118">
        <v>3.2909999999999999</v>
      </c>
      <c r="HI118">
        <v>9999</v>
      </c>
      <c r="HJ118">
        <v>9999</v>
      </c>
      <c r="HK118">
        <v>9999</v>
      </c>
      <c r="HL118">
        <v>999.9</v>
      </c>
      <c r="HM118">
        <v>1.8699600000000001</v>
      </c>
      <c r="HN118">
        <v>1.87622</v>
      </c>
      <c r="HO118">
        <v>1.87398</v>
      </c>
      <c r="HP118">
        <v>1.87225</v>
      </c>
      <c r="HQ118">
        <v>1.8727100000000001</v>
      </c>
      <c r="HR118">
        <v>1.87012</v>
      </c>
      <c r="HS118">
        <v>1.8760699999999999</v>
      </c>
      <c r="HT118">
        <v>1.87514</v>
      </c>
      <c r="HU118">
        <v>5</v>
      </c>
      <c r="HV118">
        <v>0</v>
      </c>
      <c r="HW118">
        <v>0</v>
      </c>
      <c r="HX118">
        <v>0</v>
      </c>
      <c r="HY118" t="s">
        <v>422</v>
      </c>
      <c r="HZ118" t="s">
        <v>423</v>
      </c>
      <c r="IA118" t="s">
        <v>424</v>
      </c>
      <c r="IB118" t="s">
        <v>424</v>
      </c>
      <c r="IC118" t="s">
        <v>424</v>
      </c>
      <c r="ID118" t="s">
        <v>424</v>
      </c>
      <c r="IE118">
        <v>0</v>
      </c>
      <c r="IF118">
        <v>100</v>
      </c>
      <c r="IG118">
        <v>100</v>
      </c>
      <c r="IH118">
        <v>-1.1819999999999999</v>
      </c>
      <c r="II118">
        <v>0.4158</v>
      </c>
      <c r="IJ118">
        <v>-0.91858168814119789</v>
      </c>
      <c r="IK118">
        <v>-2.677719669153116E-3</v>
      </c>
      <c r="IL118">
        <v>1.9353498771248068E-6</v>
      </c>
      <c r="IM118">
        <v>-6.1862177325538213E-10</v>
      </c>
      <c r="IN118">
        <v>-0.2107082351407219</v>
      </c>
      <c r="IO118">
        <v>-1.5299015507423901E-2</v>
      </c>
      <c r="IP118">
        <v>1.742162107778985E-3</v>
      </c>
      <c r="IQ118">
        <v>-1.472690239905804E-5</v>
      </c>
      <c r="IR118">
        <v>3</v>
      </c>
      <c r="IS118">
        <v>2255</v>
      </c>
      <c r="IT118">
        <v>2</v>
      </c>
      <c r="IU118">
        <v>41</v>
      </c>
      <c r="IV118">
        <v>0.5</v>
      </c>
      <c r="IW118">
        <v>0.5</v>
      </c>
      <c r="IX118">
        <v>0.397949</v>
      </c>
      <c r="IY118">
        <v>2.52441</v>
      </c>
      <c r="IZ118">
        <v>1.5991200000000001</v>
      </c>
      <c r="JA118">
        <v>2.2692899999999998</v>
      </c>
      <c r="JB118">
        <v>1.5502899999999999</v>
      </c>
      <c r="JC118">
        <v>2.3059099999999999</v>
      </c>
      <c r="JD118">
        <v>38.159300000000002</v>
      </c>
      <c r="JE118">
        <v>15.2615</v>
      </c>
      <c r="JF118">
        <v>18</v>
      </c>
      <c r="JG118">
        <v>504.21</v>
      </c>
      <c r="JH118">
        <v>481.33100000000002</v>
      </c>
      <c r="JI118">
        <v>25.133199999999999</v>
      </c>
      <c r="JJ118">
        <v>33.202599999999997</v>
      </c>
      <c r="JK118">
        <v>30.000399999999999</v>
      </c>
      <c r="JL118">
        <v>33.117100000000001</v>
      </c>
      <c r="JM118">
        <v>33.069400000000002</v>
      </c>
      <c r="JN118">
        <v>8.0193999999999992</v>
      </c>
      <c r="JO118">
        <v>30.445799999999998</v>
      </c>
      <c r="JP118">
        <v>55.146500000000003</v>
      </c>
      <c r="JQ118">
        <v>25.140999999999998</v>
      </c>
      <c r="JR118">
        <v>120</v>
      </c>
      <c r="JS118">
        <v>23.914000000000001</v>
      </c>
      <c r="JT118">
        <v>98.983699999999999</v>
      </c>
      <c r="JU118">
        <v>98.478200000000001</v>
      </c>
    </row>
    <row r="119" spans="1:281" x14ac:dyDescent="0.25">
      <c r="A119">
        <v>103</v>
      </c>
      <c r="B119">
        <v>1693346185.5999999</v>
      </c>
      <c r="C119">
        <v>23888.5</v>
      </c>
      <c r="D119" t="s">
        <v>938</v>
      </c>
      <c r="E119" t="s">
        <v>939</v>
      </c>
      <c r="F119" t="s">
        <v>413</v>
      </c>
      <c r="G119" t="s">
        <v>493</v>
      </c>
      <c r="H119" t="s">
        <v>31</v>
      </c>
      <c r="I119" t="s">
        <v>31</v>
      </c>
      <c r="J119">
        <v>1693346185.5999999</v>
      </c>
      <c r="K119">
        <f t="shared" si="138"/>
        <v>4.6340557712265676E-3</v>
      </c>
      <c r="L119">
        <f t="shared" si="139"/>
        <v>4.634055771226568</v>
      </c>
      <c r="M119">
        <f t="shared" si="140"/>
        <v>7.7580077565168661</v>
      </c>
      <c r="N119">
        <f t="shared" si="141"/>
        <v>60.379100000000001</v>
      </c>
      <c r="O119">
        <f t="shared" si="142"/>
        <v>20.49926062659965</v>
      </c>
      <c r="P119">
        <f t="shared" si="143"/>
        <v>2.0251551046062128</v>
      </c>
      <c r="Q119">
        <f t="shared" si="144"/>
        <v>5.9649489220046998</v>
      </c>
      <c r="R119">
        <f t="shared" si="145"/>
        <v>0.33623693185066295</v>
      </c>
      <c r="S119">
        <f t="shared" si="146"/>
        <v>2.9073647639918678</v>
      </c>
      <c r="T119">
        <f t="shared" si="147"/>
        <v>0.31603118209652925</v>
      </c>
      <c r="U119">
        <f t="shared" si="148"/>
        <v>0.19923363028214525</v>
      </c>
      <c r="V119">
        <f t="shared" si="149"/>
        <v>344.37640065798558</v>
      </c>
      <c r="W119">
        <f t="shared" si="150"/>
        <v>31.021705775114299</v>
      </c>
      <c r="X119">
        <f t="shared" si="151"/>
        <v>29.869700000000002</v>
      </c>
      <c r="Y119">
        <f t="shared" si="152"/>
        <v>4.2286669823553389</v>
      </c>
      <c r="Z119">
        <f t="shared" si="153"/>
        <v>65.739195001235458</v>
      </c>
      <c r="AA119">
        <f t="shared" si="154"/>
        <v>2.8318221846582001</v>
      </c>
      <c r="AB119">
        <f t="shared" si="155"/>
        <v>4.3076617908159367</v>
      </c>
      <c r="AC119">
        <f t="shared" si="156"/>
        <v>1.3968447976971388</v>
      </c>
      <c r="AD119">
        <f t="shared" si="157"/>
        <v>-204.36185951109164</v>
      </c>
      <c r="AE119">
        <f t="shared" si="158"/>
        <v>50.517897983084787</v>
      </c>
      <c r="AF119">
        <f t="shared" si="159"/>
        <v>3.8647162351933262</v>
      </c>
      <c r="AG119">
        <f t="shared" si="160"/>
        <v>194.39715536517207</v>
      </c>
      <c r="AH119">
        <v>0</v>
      </c>
      <c r="AI119">
        <v>0</v>
      </c>
      <c r="AJ119">
        <f t="shared" si="161"/>
        <v>1</v>
      </c>
      <c r="AK119">
        <f t="shared" si="162"/>
        <v>0</v>
      </c>
      <c r="AL119">
        <f t="shared" si="163"/>
        <v>51660.576515681401</v>
      </c>
      <c r="AM119" t="s">
        <v>416</v>
      </c>
      <c r="AN119">
        <v>10238.9</v>
      </c>
      <c r="AO119">
        <v>302.21199999999999</v>
      </c>
      <c r="AP119">
        <v>4052.3</v>
      </c>
      <c r="AQ119">
        <f t="shared" si="164"/>
        <v>0.92542210596451402</v>
      </c>
      <c r="AR119">
        <v>-0.32343011824092421</v>
      </c>
      <c r="AS119" t="s">
        <v>940</v>
      </c>
      <c r="AT119">
        <v>10418.1</v>
      </c>
      <c r="AU119">
        <v>872.05124000000001</v>
      </c>
      <c r="AV119">
        <v>956.32173825604002</v>
      </c>
      <c r="AW119">
        <f t="shared" si="165"/>
        <v>8.8119400495608069E-2</v>
      </c>
      <c r="AX119">
        <v>0.5</v>
      </c>
      <c r="AY119">
        <f t="shared" si="166"/>
        <v>1513.2180003289927</v>
      </c>
      <c r="AZ119">
        <f t="shared" si="167"/>
        <v>7.7580077565168661</v>
      </c>
      <c r="BA119">
        <f t="shared" si="168"/>
        <v>66.671931504076852</v>
      </c>
      <c r="BB119">
        <f t="shared" si="169"/>
        <v>5.3405641969635469E-3</v>
      </c>
      <c r="BC119">
        <f t="shared" si="170"/>
        <v>3.2373814563598895</v>
      </c>
      <c r="BD119">
        <f t="shared" si="171"/>
        <v>243.43722460128313</v>
      </c>
      <c r="BE119" t="s">
        <v>941</v>
      </c>
      <c r="BF119">
        <v>606.24</v>
      </c>
      <c r="BG119">
        <f t="shared" si="172"/>
        <v>606.24</v>
      </c>
      <c r="BH119">
        <f t="shared" si="173"/>
        <v>0.36607108701142077</v>
      </c>
      <c r="BI119">
        <f t="shared" si="174"/>
        <v>0.24071663570867818</v>
      </c>
      <c r="BJ119">
        <f t="shared" si="175"/>
        <v>0.89841101482387409</v>
      </c>
      <c r="BK119">
        <f t="shared" si="176"/>
        <v>0.12883235537926477</v>
      </c>
      <c r="BL119">
        <f t="shared" si="177"/>
        <v>0.82557482964238704</v>
      </c>
      <c r="BM119">
        <f t="shared" si="178"/>
        <v>0.16734343870897891</v>
      </c>
      <c r="BN119">
        <f t="shared" si="179"/>
        <v>0.83265656129102106</v>
      </c>
      <c r="BO119">
        <v>5668</v>
      </c>
      <c r="BP119">
        <v>290.00000000000011</v>
      </c>
      <c r="BQ119">
        <v>934.96</v>
      </c>
      <c r="BR119">
        <v>275</v>
      </c>
      <c r="BS119">
        <v>10418.1</v>
      </c>
      <c r="BT119">
        <v>934.46</v>
      </c>
      <c r="BU119">
        <v>0.5</v>
      </c>
      <c r="BV119">
        <v>300.00000000000011</v>
      </c>
      <c r="BW119">
        <v>38.299999999999997</v>
      </c>
      <c r="BX119">
        <v>956.32173825604002</v>
      </c>
      <c r="BY119">
        <v>1.117524654645867</v>
      </c>
      <c r="BZ119">
        <v>-22.780266168552309</v>
      </c>
      <c r="CA119">
        <v>0.95395340193177036</v>
      </c>
      <c r="CB119">
        <v>0.95319661576072412</v>
      </c>
      <c r="CC119">
        <v>-1.1322333259176859E-2</v>
      </c>
      <c r="CD119">
        <v>289.99999999999989</v>
      </c>
      <c r="CE119">
        <v>932.24</v>
      </c>
      <c r="CF119">
        <v>685</v>
      </c>
      <c r="CG119">
        <v>10398.5</v>
      </c>
      <c r="CH119">
        <v>934.41</v>
      </c>
      <c r="CI119">
        <v>-2.17</v>
      </c>
      <c r="CW119">
        <f t="shared" si="180"/>
        <v>1800.04</v>
      </c>
      <c r="CX119">
        <f t="shared" si="181"/>
        <v>1513.2180003289927</v>
      </c>
      <c r="CY119">
        <f t="shared" si="182"/>
        <v>0.84065798556087235</v>
      </c>
      <c r="CZ119">
        <f t="shared" si="183"/>
        <v>0.19131597112174484</v>
      </c>
      <c r="DA119">
        <v>6</v>
      </c>
      <c r="DB119">
        <v>0.5</v>
      </c>
      <c r="DC119" t="s">
        <v>419</v>
      </c>
      <c r="DD119">
        <v>2</v>
      </c>
      <c r="DE119">
        <v>1693346185.5999999</v>
      </c>
      <c r="DF119">
        <v>60.379100000000001</v>
      </c>
      <c r="DG119">
        <v>70.023099999999999</v>
      </c>
      <c r="DH119">
        <v>28.6646</v>
      </c>
      <c r="DI119">
        <v>23.2639</v>
      </c>
      <c r="DJ119">
        <v>61.525700000000001</v>
      </c>
      <c r="DK119">
        <v>28.2483</v>
      </c>
      <c r="DL119">
        <v>500.07100000000003</v>
      </c>
      <c r="DM119">
        <v>98.691400000000002</v>
      </c>
      <c r="DN119">
        <v>0.100217</v>
      </c>
      <c r="DO119">
        <v>30.192</v>
      </c>
      <c r="DP119">
        <v>29.869700000000002</v>
      </c>
      <c r="DQ119">
        <v>999.9</v>
      </c>
      <c r="DR119">
        <v>0</v>
      </c>
      <c r="DS119">
        <v>0</v>
      </c>
      <c r="DT119">
        <v>10005</v>
      </c>
      <c r="DU119">
        <v>0</v>
      </c>
      <c r="DV119">
        <v>304.82600000000002</v>
      </c>
      <c r="DW119">
        <v>-9.6440599999999996</v>
      </c>
      <c r="DX119">
        <v>62.160899999999998</v>
      </c>
      <c r="DY119">
        <v>71.690899999999999</v>
      </c>
      <c r="DZ119">
        <v>5.4006800000000004</v>
      </c>
      <c r="EA119">
        <v>70.023099999999999</v>
      </c>
      <c r="EB119">
        <v>23.2639</v>
      </c>
      <c r="EC119">
        <v>2.8289499999999999</v>
      </c>
      <c r="ED119">
        <v>2.2959499999999999</v>
      </c>
      <c r="EE119">
        <v>23.053999999999998</v>
      </c>
      <c r="EF119">
        <v>19.648</v>
      </c>
      <c r="EG119">
        <v>1800.04</v>
      </c>
      <c r="EH119">
        <v>0.97800799999999999</v>
      </c>
      <c r="EI119">
        <v>2.19922E-2</v>
      </c>
      <c r="EJ119">
        <v>0</v>
      </c>
      <c r="EK119">
        <v>872.03</v>
      </c>
      <c r="EL119">
        <v>4.9995000000000003</v>
      </c>
      <c r="EM119">
        <v>16269.7</v>
      </c>
      <c r="EN119">
        <v>16660.2</v>
      </c>
      <c r="EO119">
        <v>50.436999999999998</v>
      </c>
      <c r="EP119">
        <v>51.25</v>
      </c>
      <c r="EQ119">
        <v>51.311999999999998</v>
      </c>
      <c r="ER119">
        <v>50.436999999999998</v>
      </c>
      <c r="ES119">
        <v>51.5</v>
      </c>
      <c r="ET119">
        <v>1755.56</v>
      </c>
      <c r="EU119">
        <v>39.479999999999997</v>
      </c>
      <c r="EV119">
        <v>0</v>
      </c>
      <c r="EW119">
        <v>113.4000000953674</v>
      </c>
      <c r="EX119">
        <v>0</v>
      </c>
      <c r="EY119">
        <v>872.05124000000001</v>
      </c>
      <c r="EZ119">
        <v>-1.5329999973951569</v>
      </c>
      <c r="FA119">
        <v>-45.323076887205573</v>
      </c>
      <c r="FB119">
        <v>16275.092000000001</v>
      </c>
      <c r="FC119">
        <v>15</v>
      </c>
      <c r="FD119">
        <v>1693346152.5999999</v>
      </c>
      <c r="FE119" t="s">
        <v>942</v>
      </c>
      <c r="FF119">
        <v>1693346150.5999999</v>
      </c>
      <c r="FG119">
        <v>1693346152.5999999</v>
      </c>
      <c r="FH119">
        <v>114</v>
      </c>
      <c r="FI119">
        <v>-7.0000000000000007E-2</v>
      </c>
      <c r="FJ119">
        <v>1E-3</v>
      </c>
      <c r="FK119">
        <v>-1.17</v>
      </c>
      <c r="FL119">
        <v>0.19500000000000001</v>
      </c>
      <c r="FM119">
        <v>70</v>
      </c>
      <c r="FN119">
        <v>24</v>
      </c>
      <c r="FO119">
        <v>0.42</v>
      </c>
      <c r="FP119">
        <v>0.04</v>
      </c>
      <c r="FQ119">
        <v>7.6205662885413501</v>
      </c>
      <c r="FR119">
        <v>0.106806069856512</v>
      </c>
      <c r="FS119">
        <v>4.1816508691390052E-2</v>
      </c>
      <c r="FT119">
        <v>1</v>
      </c>
      <c r="FU119">
        <v>0.33556479308963022</v>
      </c>
      <c r="FV119">
        <v>4.5920909878387151E-2</v>
      </c>
      <c r="FW119">
        <v>3.78572399828697E-3</v>
      </c>
      <c r="FX119">
        <v>1</v>
      </c>
      <c r="FY119">
        <v>2</v>
      </c>
      <c r="FZ119">
        <v>2</v>
      </c>
      <c r="GA119" t="s">
        <v>421</v>
      </c>
      <c r="GB119">
        <v>2.9685700000000002</v>
      </c>
      <c r="GC119">
        <v>2.81196</v>
      </c>
      <c r="GD119">
        <v>1.7569499999999998E-2</v>
      </c>
      <c r="GE119">
        <v>1.9716299999999999E-2</v>
      </c>
      <c r="GF119">
        <v>0.133602</v>
      </c>
      <c r="GG119">
        <v>0.11501500000000001</v>
      </c>
      <c r="GH119">
        <v>28973.200000000001</v>
      </c>
      <c r="GI119">
        <v>26605.4</v>
      </c>
      <c r="GJ119">
        <v>26512.799999999999</v>
      </c>
      <c r="GK119">
        <v>25613.7</v>
      </c>
      <c r="GL119">
        <v>31247.200000000001</v>
      </c>
      <c r="GM119">
        <v>31947.5</v>
      </c>
      <c r="GN119">
        <v>37524.1</v>
      </c>
      <c r="GO119">
        <v>37918.800000000003</v>
      </c>
      <c r="GP119">
        <v>1.9458</v>
      </c>
      <c r="GQ119">
        <v>1.9581999999999999</v>
      </c>
      <c r="GR119">
        <v>2.88337E-2</v>
      </c>
      <c r="GS119">
        <v>0</v>
      </c>
      <c r="GT119">
        <v>29.400200000000002</v>
      </c>
      <c r="GU119">
        <v>999.9</v>
      </c>
      <c r="GV119">
        <v>50.9</v>
      </c>
      <c r="GW119">
        <v>35.299999999999997</v>
      </c>
      <c r="GX119">
        <v>29.6189</v>
      </c>
      <c r="GY119">
        <v>61.384999999999998</v>
      </c>
      <c r="GZ119">
        <v>12.9567</v>
      </c>
      <c r="HA119">
        <v>1</v>
      </c>
      <c r="HB119">
        <v>0.463974</v>
      </c>
      <c r="HC119">
        <v>2.3282799999999999</v>
      </c>
      <c r="HD119">
        <v>20.290199999999999</v>
      </c>
      <c r="HE119">
        <v>5.2017199999999999</v>
      </c>
      <c r="HF119">
        <v>11.9381</v>
      </c>
      <c r="HG119">
        <v>4.9855999999999998</v>
      </c>
      <c r="HH119">
        <v>3.2896999999999998</v>
      </c>
      <c r="HI119">
        <v>9999</v>
      </c>
      <c r="HJ119">
        <v>9999</v>
      </c>
      <c r="HK119">
        <v>9999</v>
      </c>
      <c r="HL119">
        <v>999.9</v>
      </c>
      <c r="HM119">
        <v>1.86998</v>
      </c>
      <c r="HN119">
        <v>1.87622</v>
      </c>
      <c r="HO119">
        <v>1.8740699999999999</v>
      </c>
      <c r="HP119">
        <v>1.87225</v>
      </c>
      <c r="HQ119">
        <v>1.8727100000000001</v>
      </c>
      <c r="HR119">
        <v>1.87012</v>
      </c>
      <c r="HS119">
        <v>1.8760600000000001</v>
      </c>
      <c r="HT119">
        <v>1.8751500000000001</v>
      </c>
      <c r="HU119">
        <v>5</v>
      </c>
      <c r="HV119">
        <v>0</v>
      </c>
      <c r="HW119">
        <v>0</v>
      </c>
      <c r="HX119">
        <v>0</v>
      </c>
      <c r="HY119" t="s">
        <v>422</v>
      </c>
      <c r="HZ119" t="s">
        <v>423</v>
      </c>
      <c r="IA119" t="s">
        <v>424</v>
      </c>
      <c r="IB119" t="s">
        <v>424</v>
      </c>
      <c r="IC119" t="s">
        <v>424</v>
      </c>
      <c r="ID119" t="s">
        <v>424</v>
      </c>
      <c r="IE119">
        <v>0</v>
      </c>
      <c r="IF119">
        <v>100</v>
      </c>
      <c r="IG119">
        <v>100</v>
      </c>
      <c r="IH119">
        <v>-1.147</v>
      </c>
      <c r="II119">
        <v>0.4163</v>
      </c>
      <c r="IJ119">
        <v>-0.98904473807972471</v>
      </c>
      <c r="IK119">
        <v>-2.677719669153116E-3</v>
      </c>
      <c r="IL119">
        <v>1.9353498771248068E-6</v>
      </c>
      <c r="IM119">
        <v>-6.1862177325538213E-10</v>
      </c>
      <c r="IN119">
        <v>-0.20973869267607259</v>
      </c>
      <c r="IO119">
        <v>-1.5299015507423901E-2</v>
      </c>
      <c r="IP119">
        <v>1.742162107778985E-3</v>
      </c>
      <c r="IQ119">
        <v>-1.472690239905804E-5</v>
      </c>
      <c r="IR119">
        <v>3</v>
      </c>
      <c r="IS119">
        <v>2255</v>
      </c>
      <c r="IT119">
        <v>2</v>
      </c>
      <c r="IU119">
        <v>41</v>
      </c>
      <c r="IV119">
        <v>0.6</v>
      </c>
      <c r="IW119">
        <v>0.6</v>
      </c>
      <c r="IX119">
        <v>0.29541000000000001</v>
      </c>
      <c r="IY119">
        <v>2.5439500000000002</v>
      </c>
      <c r="IZ119">
        <v>1.6003400000000001</v>
      </c>
      <c r="JA119">
        <v>2.2692899999999998</v>
      </c>
      <c r="JB119">
        <v>1.5502899999999999</v>
      </c>
      <c r="JC119">
        <v>2.3010299999999999</v>
      </c>
      <c r="JD119">
        <v>38.110599999999998</v>
      </c>
      <c r="JE119">
        <v>15.2615</v>
      </c>
      <c r="JF119">
        <v>18</v>
      </c>
      <c r="JG119">
        <v>504.36799999999999</v>
      </c>
      <c r="JH119">
        <v>480.75</v>
      </c>
      <c r="JI119">
        <v>25.807099999999998</v>
      </c>
      <c r="JJ119">
        <v>33.243000000000002</v>
      </c>
      <c r="JK119">
        <v>29.998899999999999</v>
      </c>
      <c r="JL119">
        <v>33.178199999999997</v>
      </c>
      <c r="JM119">
        <v>33.128</v>
      </c>
      <c r="JN119">
        <v>5.9545000000000003</v>
      </c>
      <c r="JO119">
        <v>32.981000000000002</v>
      </c>
      <c r="JP119">
        <v>54.326700000000002</v>
      </c>
      <c r="JQ119">
        <v>25.815100000000001</v>
      </c>
      <c r="JR119">
        <v>70</v>
      </c>
      <c r="JS119">
        <v>23.158100000000001</v>
      </c>
      <c r="JT119">
        <v>98.975200000000001</v>
      </c>
      <c r="JU119">
        <v>98.4773</v>
      </c>
    </row>
    <row r="120" spans="1:281" x14ac:dyDescent="0.25">
      <c r="A120">
        <v>104</v>
      </c>
      <c r="B120">
        <v>1693346301.5999999</v>
      </c>
      <c r="C120">
        <v>24004.5</v>
      </c>
      <c r="D120" t="s">
        <v>943</v>
      </c>
      <c r="E120" t="s">
        <v>944</v>
      </c>
      <c r="F120" t="s">
        <v>413</v>
      </c>
      <c r="G120" t="s">
        <v>493</v>
      </c>
      <c r="H120" t="s">
        <v>31</v>
      </c>
      <c r="I120" t="s">
        <v>31</v>
      </c>
      <c r="J120">
        <v>1693346301.5999999</v>
      </c>
      <c r="K120">
        <f t="shared" si="138"/>
        <v>4.7924562321899743E-3</v>
      </c>
      <c r="L120">
        <f t="shared" si="139"/>
        <v>4.7924562321899744</v>
      </c>
      <c r="M120">
        <f t="shared" si="140"/>
        <v>3.560971950323558</v>
      </c>
      <c r="N120">
        <f t="shared" si="141"/>
        <v>25.513200000000001</v>
      </c>
      <c r="O120">
        <f t="shared" si="142"/>
        <v>7.8062497509619728</v>
      </c>
      <c r="P120">
        <f t="shared" si="143"/>
        <v>0.77123988401122912</v>
      </c>
      <c r="Q120">
        <f t="shared" si="144"/>
        <v>2.5206466660037998</v>
      </c>
      <c r="R120">
        <f t="shared" si="145"/>
        <v>0.34752509740368565</v>
      </c>
      <c r="S120">
        <f t="shared" si="146"/>
        <v>2.9205486191024894</v>
      </c>
      <c r="T120">
        <f t="shared" si="147"/>
        <v>0.32607729240397643</v>
      </c>
      <c r="U120">
        <f t="shared" si="148"/>
        <v>0.20561490835088458</v>
      </c>
      <c r="V120">
        <f t="shared" si="149"/>
        <v>344.3726006579929</v>
      </c>
      <c r="W120">
        <f t="shared" si="150"/>
        <v>31.188965343798635</v>
      </c>
      <c r="X120">
        <f t="shared" si="151"/>
        <v>29.943100000000001</v>
      </c>
      <c r="Y120">
        <f t="shared" si="152"/>
        <v>4.246545204422385</v>
      </c>
      <c r="Z120">
        <f t="shared" si="153"/>
        <v>65.284045428040542</v>
      </c>
      <c r="AA120">
        <f t="shared" si="154"/>
        <v>2.8466100710312499</v>
      </c>
      <c r="AB120">
        <f t="shared" si="155"/>
        <v>4.3603457052442183</v>
      </c>
      <c r="AC120">
        <f t="shared" si="156"/>
        <v>1.3999351333911352</v>
      </c>
      <c r="AD120">
        <f t="shared" si="157"/>
        <v>-211.34731983957786</v>
      </c>
      <c r="AE120">
        <f t="shared" si="158"/>
        <v>72.585656507557388</v>
      </c>
      <c r="AF120">
        <f t="shared" si="159"/>
        <v>5.535692655522876</v>
      </c>
      <c r="AG120">
        <f t="shared" si="160"/>
        <v>211.14662998149532</v>
      </c>
      <c r="AH120">
        <v>0</v>
      </c>
      <c r="AI120">
        <v>0</v>
      </c>
      <c r="AJ120">
        <f t="shared" si="161"/>
        <v>1</v>
      </c>
      <c r="AK120">
        <f t="shared" si="162"/>
        <v>0</v>
      </c>
      <c r="AL120">
        <f t="shared" si="163"/>
        <v>51998.76510757229</v>
      </c>
      <c r="AM120" t="s">
        <v>416</v>
      </c>
      <c r="AN120">
        <v>10238.9</v>
      </c>
      <c r="AO120">
        <v>302.21199999999999</v>
      </c>
      <c r="AP120">
        <v>4052.3</v>
      </c>
      <c r="AQ120">
        <f t="shared" si="164"/>
        <v>0.92542210596451402</v>
      </c>
      <c r="AR120">
        <v>-0.32343011824092421</v>
      </c>
      <c r="AS120" t="s">
        <v>945</v>
      </c>
      <c r="AT120">
        <v>10432.200000000001</v>
      </c>
      <c r="AU120">
        <v>875.85084615384596</v>
      </c>
      <c r="AV120">
        <v>938.10629971923004</v>
      </c>
      <c r="AW120">
        <f t="shared" si="165"/>
        <v>6.6362898942280646E-2</v>
      </c>
      <c r="AX120">
        <v>0.5</v>
      </c>
      <c r="AY120">
        <f t="shared" si="166"/>
        <v>1513.2012003289965</v>
      </c>
      <c r="AZ120">
        <f t="shared" si="167"/>
        <v>3.560971950323558</v>
      </c>
      <c r="BA120">
        <f t="shared" si="168"/>
        <v>50.210209168385482</v>
      </c>
      <c r="BB120">
        <f t="shared" si="169"/>
        <v>2.5670096400399003E-3</v>
      </c>
      <c r="BC120">
        <f t="shared" si="170"/>
        <v>3.3196597242901262</v>
      </c>
      <c r="BD120">
        <f t="shared" si="171"/>
        <v>242.23988817148995</v>
      </c>
      <c r="BE120" t="s">
        <v>946</v>
      </c>
      <c r="BF120">
        <v>619.41</v>
      </c>
      <c r="BG120">
        <f t="shared" si="172"/>
        <v>619.41</v>
      </c>
      <c r="BH120">
        <f t="shared" si="173"/>
        <v>0.33972301413455397</v>
      </c>
      <c r="BI120">
        <f t="shared" si="174"/>
        <v>0.195344136785494</v>
      </c>
      <c r="BJ120">
        <f t="shared" si="175"/>
        <v>0.90716384745237089</v>
      </c>
      <c r="BK120">
        <f t="shared" si="176"/>
        <v>9.7902204175870214E-2</v>
      </c>
      <c r="BL120">
        <f t="shared" si="177"/>
        <v>0.83043216593337799</v>
      </c>
      <c r="BM120">
        <f t="shared" si="178"/>
        <v>0.13814922060947479</v>
      </c>
      <c r="BN120">
        <f t="shared" si="179"/>
        <v>0.86185077939052523</v>
      </c>
      <c r="BO120">
        <v>5670</v>
      </c>
      <c r="BP120">
        <v>290.00000000000011</v>
      </c>
      <c r="BQ120">
        <v>919.98</v>
      </c>
      <c r="BR120">
        <v>205</v>
      </c>
      <c r="BS120">
        <v>10432.200000000001</v>
      </c>
      <c r="BT120">
        <v>920.32</v>
      </c>
      <c r="BU120">
        <v>-0.34</v>
      </c>
      <c r="BV120">
        <v>300.00000000000011</v>
      </c>
      <c r="BW120">
        <v>38.299999999999997</v>
      </c>
      <c r="BX120">
        <v>938.10629971923004</v>
      </c>
      <c r="BY120">
        <v>0.83151183550347874</v>
      </c>
      <c r="BZ120">
        <v>-18.559025860163221</v>
      </c>
      <c r="CA120">
        <v>0.70991459815653013</v>
      </c>
      <c r="CB120">
        <v>0.96064300637715616</v>
      </c>
      <c r="CC120">
        <v>-1.132372502780868E-2</v>
      </c>
      <c r="CD120">
        <v>289.99999999999989</v>
      </c>
      <c r="CE120">
        <v>917.49</v>
      </c>
      <c r="CF120">
        <v>685</v>
      </c>
      <c r="CG120">
        <v>10400.200000000001</v>
      </c>
      <c r="CH120">
        <v>920.26</v>
      </c>
      <c r="CI120">
        <v>-2.77</v>
      </c>
      <c r="CW120">
        <f t="shared" si="180"/>
        <v>1800.02</v>
      </c>
      <c r="CX120">
        <f t="shared" si="181"/>
        <v>1513.2012003289965</v>
      </c>
      <c r="CY120">
        <f t="shared" si="182"/>
        <v>0.84065799287174392</v>
      </c>
      <c r="CZ120">
        <f t="shared" si="183"/>
        <v>0.19131598574348779</v>
      </c>
      <c r="DA120">
        <v>6</v>
      </c>
      <c r="DB120">
        <v>0.5</v>
      </c>
      <c r="DC120" t="s">
        <v>419</v>
      </c>
      <c r="DD120">
        <v>2</v>
      </c>
      <c r="DE120">
        <v>1693346301.5999999</v>
      </c>
      <c r="DF120">
        <v>25.513200000000001</v>
      </c>
      <c r="DG120">
        <v>29.930599999999998</v>
      </c>
      <c r="DH120">
        <v>28.8125</v>
      </c>
      <c r="DI120">
        <v>23.230399999999999</v>
      </c>
      <c r="DJ120">
        <v>26.7041</v>
      </c>
      <c r="DK120">
        <v>28.383099999999999</v>
      </c>
      <c r="DL120">
        <v>500.28199999999998</v>
      </c>
      <c r="DM120">
        <v>98.6982</v>
      </c>
      <c r="DN120">
        <v>9.9546499999999996E-2</v>
      </c>
      <c r="DO120">
        <v>30.4041</v>
      </c>
      <c r="DP120">
        <v>29.943100000000001</v>
      </c>
      <c r="DQ120">
        <v>999.9</v>
      </c>
      <c r="DR120">
        <v>0</v>
      </c>
      <c r="DS120">
        <v>0</v>
      </c>
      <c r="DT120">
        <v>10080</v>
      </c>
      <c r="DU120">
        <v>0</v>
      </c>
      <c r="DV120">
        <v>325.85399999999998</v>
      </c>
      <c r="DW120">
        <v>-4.4174699999999998</v>
      </c>
      <c r="DX120">
        <v>26.270099999999999</v>
      </c>
      <c r="DY120">
        <v>30.642499999999998</v>
      </c>
      <c r="DZ120">
        <v>5.5821100000000001</v>
      </c>
      <c r="EA120">
        <v>29.930599999999998</v>
      </c>
      <c r="EB120">
        <v>23.230399999999999</v>
      </c>
      <c r="EC120">
        <v>2.8437399999999999</v>
      </c>
      <c r="ED120">
        <v>2.2928000000000002</v>
      </c>
      <c r="EE120">
        <v>23.1402</v>
      </c>
      <c r="EF120">
        <v>19.625900000000001</v>
      </c>
      <c r="EG120">
        <v>1800.02</v>
      </c>
      <c r="EH120">
        <v>0.97800399999999998</v>
      </c>
      <c r="EI120">
        <v>2.19957E-2</v>
      </c>
      <c r="EJ120">
        <v>0</v>
      </c>
      <c r="EK120">
        <v>875.76800000000003</v>
      </c>
      <c r="EL120">
        <v>4.9995000000000003</v>
      </c>
      <c r="EM120">
        <v>16385.5</v>
      </c>
      <c r="EN120">
        <v>16660.099999999999</v>
      </c>
      <c r="EO120">
        <v>50.186999999999998</v>
      </c>
      <c r="EP120">
        <v>50.875</v>
      </c>
      <c r="EQ120">
        <v>51.125</v>
      </c>
      <c r="ER120">
        <v>50.061999999999998</v>
      </c>
      <c r="ES120">
        <v>51.25</v>
      </c>
      <c r="ET120">
        <v>1755.54</v>
      </c>
      <c r="EU120">
        <v>39.479999999999997</v>
      </c>
      <c r="EV120">
        <v>0</v>
      </c>
      <c r="EW120">
        <v>114</v>
      </c>
      <c r="EX120">
        <v>0</v>
      </c>
      <c r="EY120">
        <v>875.85084615384596</v>
      </c>
      <c r="EZ120">
        <v>-2.2972991277738259</v>
      </c>
      <c r="FA120">
        <v>23.23076922579968</v>
      </c>
      <c r="FB120">
        <v>16381.688461538461</v>
      </c>
      <c r="FC120">
        <v>15</v>
      </c>
      <c r="FD120">
        <v>1693346261.5999999</v>
      </c>
      <c r="FE120" t="s">
        <v>947</v>
      </c>
      <c r="FF120">
        <v>1693346251.5999999</v>
      </c>
      <c r="FG120">
        <v>1693346261.5999999</v>
      </c>
      <c r="FH120">
        <v>115</v>
      </c>
      <c r="FI120">
        <v>-0.13200000000000001</v>
      </c>
      <c r="FJ120">
        <v>7.0000000000000001E-3</v>
      </c>
      <c r="FK120">
        <v>-1.202</v>
      </c>
      <c r="FL120">
        <v>0.17699999999999999</v>
      </c>
      <c r="FM120">
        <v>30</v>
      </c>
      <c r="FN120">
        <v>23</v>
      </c>
      <c r="FO120">
        <v>0.93</v>
      </c>
      <c r="FP120">
        <v>0.04</v>
      </c>
      <c r="FQ120">
        <v>3.561341798933539</v>
      </c>
      <c r="FR120">
        <v>-4.9784229449264417E-2</v>
      </c>
      <c r="FS120">
        <v>6.2067015408913517E-2</v>
      </c>
      <c r="FT120">
        <v>1</v>
      </c>
      <c r="FU120">
        <v>0.34518846715905221</v>
      </c>
      <c r="FV120">
        <v>3.9752423170865053E-2</v>
      </c>
      <c r="FW120">
        <v>3.7357352996913559E-3</v>
      </c>
      <c r="FX120">
        <v>1</v>
      </c>
      <c r="FY120">
        <v>2</v>
      </c>
      <c r="FZ120">
        <v>2</v>
      </c>
      <c r="GA120" t="s">
        <v>421</v>
      </c>
      <c r="GB120">
        <v>2.96929</v>
      </c>
      <c r="GC120">
        <v>2.8119499999999999</v>
      </c>
      <c r="GD120">
        <v>7.6668400000000003E-3</v>
      </c>
      <c r="GE120">
        <v>8.4832599999999994E-3</v>
      </c>
      <c r="GF120">
        <v>0.13409299999999999</v>
      </c>
      <c r="GG120">
        <v>0.114936</v>
      </c>
      <c r="GH120">
        <v>29274.799999999999</v>
      </c>
      <c r="GI120">
        <v>26923.200000000001</v>
      </c>
      <c r="GJ120">
        <v>26520.9</v>
      </c>
      <c r="GK120">
        <v>25625.1</v>
      </c>
      <c r="GL120">
        <v>31237.9</v>
      </c>
      <c r="GM120">
        <v>31962.5</v>
      </c>
      <c r="GN120">
        <v>37537.300000000003</v>
      </c>
      <c r="GO120">
        <v>37934.400000000001</v>
      </c>
      <c r="GP120">
        <v>1.9490000000000001</v>
      </c>
      <c r="GQ120">
        <v>1.9617</v>
      </c>
      <c r="GR120">
        <v>4.93228E-2</v>
      </c>
      <c r="GS120">
        <v>0</v>
      </c>
      <c r="GT120">
        <v>29.139800000000001</v>
      </c>
      <c r="GU120">
        <v>999.9</v>
      </c>
      <c r="GV120">
        <v>50.7</v>
      </c>
      <c r="GW120">
        <v>35.299999999999997</v>
      </c>
      <c r="GX120">
        <v>29.5017</v>
      </c>
      <c r="GY120">
        <v>61.545099999999998</v>
      </c>
      <c r="GZ120">
        <v>12.9087</v>
      </c>
      <c r="HA120">
        <v>1</v>
      </c>
      <c r="HB120">
        <v>0.44622000000000001</v>
      </c>
      <c r="HC120">
        <v>1.98804</v>
      </c>
      <c r="HD120">
        <v>20.2941</v>
      </c>
      <c r="HE120">
        <v>5.2095000000000002</v>
      </c>
      <c r="HF120">
        <v>11.9381</v>
      </c>
      <c r="HG120">
        <v>4.9870000000000001</v>
      </c>
      <c r="HH120">
        <v>3.2909999999999999</v>
      </c>
      <c r="HI120">
        <v>9999</v>
      </c>
      <c r="HJ120">
        <v>9999</v>
      </c>
      <c r="HK120">
        <v>9999</v>
      </c>
      <c r="HL120">
        <v>999.9</v>
      </c>
      <c r="HM120">
        <v>1.86998</v>
      </c>
      <c r="HN120">
        <v>1.87622</v>
      </c>
      <c r="HO120">
        <v>1.8740000000000001</v>
      </c>
      <c r="HP120">
        <v>1.87225</v>
      </c>
      <c r="HQ120">
        <v>1.8727100000000001</v>
      </c>
      <c r="HR120">
        <v>1.87012</v>
      </c>
      <c r="HS120">
        <v>1.8760699999999999</v>
      </c>
      <c r="HT120">
        <v>1.87514</v>
      </c>
      <c r="HU120">
        <v>5</v>
      </c>
      <c r="HV120">
        <v>0</v>
      </c>
      <c r="HW120">
        <v>0</v>
      </c>
      <c r="HX120">
        <v>0</v>
      </c>
      <c r="HY120" t="s">
        <v>422</v>
      </c>
      <c r="HZ120" t="s">
        <v>423</v>
      </c>
      <c r="IA120" t="s">
        <v>424</v>
      </c>
      <c r="IB120" t="s">
        <v>424</v>
      </c>
      <c r="IC120" t="s">
        <v>424</v>
      </c>
      <c r="ID120" t="s">
        <v>424</v>
      </c>
      <c r="IE120">
        <v>0</v>
      </c>
      <c r="IF120">
        <v>100</v>
      </c>
      <c r="IG120">
        <v>100</v>
      </c>
      <c r="IH120">
        <v>-1.1910000000000001</v>
      </c>
      <c r="II120">
        <v>0.4294</v>
      </c>
      <c r="IJ120">
        <v>-1.120825723980915</v>
      </c>
      <c r="IK120">
        <v>-2.677719669153116E-3</v>
      </c>
      <c r="IL120">
        <v>1.9353498771248068E-6</v>
      </c>
      <c r="IM120">
        <v>-6.1862177325538213E-10</v>
      </c>
      <c r="IN120">
        <v>-0.20304101383949469</v>
      </c>
      <c r="IO120">
        <v>-1.5299015507423901E-2</v>
      </c>
      <c r="IP120">
        <v>1.742162107778985E-3</v>
      </c>
      <c r="IQ120">
        <v>-1.472690239905804E-5</v>
      </c>
      <c r="IR120">
        <v>3</v>
      </c>
      <c r="IS120">
        <v>2255</v>
      </c>
      <c r="IT120">
        <v>2</v>
      </c>
      <c r="IU120">
        <v>41</v>
      </c>
      <c r="IV120">
        <v>0.8</v>
      </c>
      <c r="IW120">
        <v>0.7</v>
      </c>
      <c r="IX120">
        <v>0.21484400000000001</v>
      </c>
      <c r="IY120">
        <v>2.5659200000000002</v>
      </c>
      <c r="IZ120">
        <v>1.6003400000000001</v>
      </c>
      <c r="JA120">
        <v>2.2705099999999998</v>
      </c>
      <c r="JB120">
        <v>1.5502899999999999</v>
      </c>
      <c r="JC120">
        <v>2.2839399999999999</v>
      </c>
      <c r="JD120">
        <v>38.061999999999998</v>
      </c>
      <c r="JE120">
        <v>15.244</v>
      </c>
      <c r="JF120">
        <v>18</v>
      </c>
      <c r="JG120">
        <v>505.49200000000002</v>
      </c>
      <c r="JH120">
        <v>482.15</v>
      </c>
      <c r="JI120">
        <v>26.5807</v>
      </c>
      <c r="JJ120">
        <v>33.041899999999998</v>
      </c>
      <c r="JK120">
        <v>29.999099999999999</v>
      </c>
      <c r="JL120">
        <v>33.057000000000002</v>
      </c>
      <c r="JM120">
        <v>33.016100000000002</v>
      </c>
      <c r="JN120">
        <v>4.3315999999999999</v>
      </c>
      <c r="JO120">
        <v>31.791499999999999</v>
      </c>
      <c r="JP120">
        <v>53.279899999999998</v>
      </c>
      <c r="JQ120">
        <v>26.580400000000001</v>
      </c>
      <c r="JR120">
        <v>30</v>
      </c>
      <c r="JS120">
        <v>23.1831</v>
      </c>
      <c r="JT120">
        <v>99.007999999999996</v>
      </c>
      <c r="JU120">
        <v>98.519300000000001</v>
      </c>
    </row>
    <row r="121" spans="1:281" x14ac:dyDescent="0.25">
      <c r="A121">
        <v>105</v>
      </c>
      <c r="B121">
        <v>1693346401.0999999</v>
      </c>
      <c r="C121">
        <v>24104</v>
      </c>
      <c r="D121" t="s">
        <v>948</v>
      </c>
      <c r="E121" t="s">
        <v>949</v>
      </c>
      <c r="F121" t="s">
        <v>413</v>
      </c>
      <c r="G121" t="s">
        <v>493</v>
      </c>
      <c r="H121" t="s">
        <v>31</v>
      </c>
      <c r="I121" t="s">
        <v>31</v>
      </c>
      <c r="J121">
        <v>1693346401.0999999</v>
      </c>
      <c r="K121">
        <f t="shared" si="138"/>
        <v>5.0546296252810558E-3</v>
      </c>
      <c r="L121">
        <f t="shared" si="139"/>
        <v>5.0546296252810556</v>
      </c>
      <c r="M121">
        <f t="shared" si="140"/>
        <v>1.2549259570962672</v>
      </c>
      <c r="N121">
        <f t="shared" si="141"/>
        <v>8.5102899999999995</v>
      </c>
      <c r="O121">
        <f t="shared" si="142"/>
        <v>2.6355546196573454</v>
      </c>
      <c r="P121">
        <f t="shared" si="143"/>
        <v>0.26040267237241654</v>
      </c>
      <c r="Q121">
        <f t="shared" si="144"/>
        <v>0.84084854175868795</v>
      </c>
      <c r="R121">
        <f t="shared" si="145"/>
        <v>0.37052107812502211</v>
      </c>
      <c r="S121">
        <f t="shared" si="146"/>
        <v>2.9102040090555628</v>
      </c>
      <c r="T121">
        <f t="shared" si="147"/>
        <v>0.34616706169402861</v>
      </c>
      <c r="U121">
        <f t="shared" si="148"/>
        <v>0.21840898904080991</v>
      </c>
      <c r="V121">
        <f t="shared" si="149"/>
        <v>344.37700065815221</v>
      </c>
      <c r="W121">
        <f t="shared" si="150"/>
        <v>31.200901583176762</v>
      </c>
      <c r="X121">
        <f t="shared" si="151"/>
        <v>30.004300000000001</v>
      </c>
      <c r="Y121">
        <f t="shared" si="152"/>
        <v>4.2615021676765465</v>
      </c>
      <c r="Z121">
        <f t="shared" si="153"/>
        <v>65.547838092052089</v>
      </c>
      <c r="AA121">
        <f t="shared" si="154"/>
        <v>2.8708713197673599</v>
      </c>
      <c r="AB121">
        <f t="shared" si="155"/>
        <v>4.3798108424806514</v>
      </c>
      <c r="AC121">
        <f t="shared" si="156"/>
        <v>1.3906308479091867</v>
      </c>
      <c r="AD121">
        <f t="shared" si="157"/>
        <v>-222.90916647489456</v>
      </c>
      <c r="AE121">
        <f t="shared" si="158"/>
        <v>74.933013092890619</v>
      </c>
      <c r="AF121">
        <f t="shared" si="159"/>
        <v>5.7389708882498285</v>
      </c>
      <c r="AG121">
        <f t="shared" si="160"/>
        <v>202.13981816439809</v>
      </c>
      <c r="AH121">
        <v>0</v>
      </c>
      <c r="AI121">
        <v>0</v>
      </c>
      <c r="AJ121">
        <f t="shared" si="161"/>
        <v>1</v>
      </c>
      <c r="AK121">
        <f t="shared" si="162"/>
        <v>0</v>
      </c>
      <c r="AL121">
        <f t="shared" si="163"/>
        <v>51691.964220487695</v>
      </c>
      <c r="AM121" t="s">
        <v>416</v>
      </c>
      <c r="AN121">
        <v>10238.9</v>
      </c>
      <c r="AO121">
        <v>302.21199999999999</v>
      </c>
      <c r="AP121">
        <v>4052.3</v>
      </c>
      <c r="AQ121">
        <f t="shared" si="164"/>
        <v>0.92542210596451402</v>
      </c>
      <c r="AR121">
        <v>-0.32343011824092421</v>
      </c>
      <c r="AS121" t="s">
        <v>950</v>
      </c>
      <c r="AT121">
        <v>10431.700000000001</v>
      </c>
      <c r="AU121">
        <v>876.05265384615382</v>
      </c>
      <c r="AV121">
        <v>923.0965403897269</v>
      </c>
      <c r="AW121">
        <f t="shared" si="165"/>
        <v>5.0963127349292647E-2</v>
      </c>
      <c r="AX121">
        <v>0.5</v>
      </c>
      <c r="AY121">
        <f t="shared" si="166"/>
        <v>1513.2183003290761</v>
      </c>
      <c r="AZ121">
        <f t="shared" si="167"/>
        <v>1.2549259570962672</v>
      </c>
      <c r="BA121">
        <f t="shared" si="168"/>
        <v>38.559168473475438</v>
      </c>
      <c r="BB121">
        <f t="shared" si="169"/>
        <v>1.0430458546489623E-3</v>
      </c>
      <c r="BC121">
        <f t="shared" si="170"/>
        <v>3.3898983721563276</v>
      </c>
      <c r="BD121">
        <f t="shared" si="171"/>
        <v>241.22703570413594</v>
      </c>
      <c r="BE121" t="s">
        <v>951</v>
      </c>
      <c r="BF121">
        <v>631.30999999999995</v>
      </c>
      <c r="BG121">
        <f t="shared" si="172"/>
        <v>631.30999999999995</v>
      </c>
      <c r="BH121">
        <f t="shared" si="173"/>
        <v>0.3160953677353574</v>
      </c>
      <c r="BI121">
        <f t="shared" si="174"/>
        <v>0.16122706167576664</v>
      </c>
      <c r="BJ121">
        <f t="shared" si="175"/>
        <v>0.91470698821401786</v>
      </c>
      <c r="BK121">
        <f t="shared" si="176"/>
        <v>7.5769138194427918E-2</v>
      </c>
      <c r="BL121">
        <f t="shared" si="177"/>
        <v>0.83443467449571129</v>
      </c>
      <c r="BM121">
        <f t="shared" si="178"/>
        <v>0.1161850898569424</v>
      </c>
      <c r="BN121">
        <f t="shared" si="179"/>
        <v>0.88381491014305757</v>
      </c>
      <c r="BO121">
        <v>5672</v>
      </c>
      <c r="BP121">
        <v>290.00000000000011</v>
      </c>
      <c r="BQ121">
        <v>911.09</v>
      </c>
      <c r="BR121">
        <v>215</v>
      </c>
      <c r="BS121">
        <v>10431.700000000001</v>
      </c>
      <c r="BT121">
        <v>909.8</v>
      </c>
      <c r="BU121">
        <v>1.29</v>
      </c>
      <c r="BV121">
        <v>300.00000000000011</v>
      </c>
      <c r="BW121">
        <v>38.299999999999997</v>
      </c>
      <c r="BX121">
        <v>923.0965403897269</v>
      </c>
      <c r="BY121">
        <v>1.3344611526579691</v>
      </c>
      <c r="BZ121">
        <v>-13.87536076436599</v>
      </c>
      <c r="CA121">
        <v>1.1394931393350121</v>
      </c>
      <c r="CB121">
        <v>0.84115642287008352</v>
      </c>
      <c r="CC121">
        <v>-1.132520088987765E-2</v>
      </c>
      <c r="CD121">
        <v>289.99999999999989</v>
      </c>
      <c r="CE121">
        <v>907.98</v>
      </c>
      <c r="CF121">
        <v>635</v>
      </c>
      <c r="CG121">
        <v>10407.200000000001</v>
      </c>
      <c r="CH121">
        <v>909.76</v>
      </c>
      <c r="CI121">
        <v>-1.78</v>
      </c>
      <c r="CW121">
        <f t="shared" si="180"/>
        <v>1800.04</v>
      </c>
      <c r="CX121">
        <f t="shared" si="181"/>
        <v>1513.2183003290761</v>
      </c>
      <c r="CY121">
        <f t="shared" si="182"/>
        <v>0.84065815222388174</v>
      </c>
      <c r="CZ121">
        <f t="shared" si="183"/>
        <v>0.19131630444776351</v>
      </c>
      <c r="DA121">
        <v>6</v>
      </c>
      <c r="DB121">
        <v>0.5</v>
      </c>
      <c r="DC121" t="s">
        <v>419</v>
      </c>
      <c r="DD121">
        <v>2</v>
      </c>
      <c r="DE121">
        <v>1693346401.0999999</v>
      </c>
      <c r="DF121">
        <v>8.5102899999999995</v>
      </c>
      <c r="DG121">
        <v>10.067500000000001</v>
      </c>
      <c r="DH121">
        <v>29.0563</v>
      </c>
      <c r="DI121">
        <v>23.168199999999999</v>
      </c>
      <c r="DJ121">
        <v>9.6961999999999993</v>
      </c>
      <c r="DK121">
        <v>28.609400000000001</v>
      </c>
      <c r="DL121">
        <v>500.10300000000001</v>
      </c>
      <c r="DM121">
        <v>98.703900000000004</v>
      </c>
      <c r="DN121">
        <v>9.9847199999999997E-2</v>
      </c>
      <c r="DO121">
        <v>30.4819</v>
      </c>
      <c r="DP121">
        <v>30.004300000000001</v>
      </c>
      <c r="DQ121">
        <v>999.9</v>
      </c>
      <c r="DR121">
        <v>0</v>
      </c>
      <c r="DS121">
        <v>0</v>
      </c>
      <c r="DT121">
        <v>10020</v>
      </c>
      <c r="DU121">
        <v>0</v>
      </c>
      <c r="DV121">
        <v>667.90800000000002</v>
      </c>
      <c r="DW121">
        <v>-1.55725</v>
      </c>
      <c r="DX121">
        <v>8.7649699999999999</v>
      </c>
      <c r="DY121">
        <v>10.3063</v>
      </c>
      <c r="DZ121">
        <v>5.8881300000000003</v>
      </c>
      <c r="EA121">
        <v>10.067500000000001</v>
      </c>
      <c r="EB121">
        <v>23.168199999999999</v>
      </c>
      <c r="EC121">
        <v>2.8679700000000001</v>
      </c>
      <c r="ED121">
        <v>2.2867899999999999</v>
      </c>
      <c r="EE121">
        <v>23.2806</v>
      </c>
      <c r="EF121">
        <v>19.5837</v>
      </c>
      <c r="EG121">
        <v>1800.04</v>
      </c>
      <c r="EH121">
        <v>0.97800100000000001</v>
      </c>
      <c r="EI121">
        <v>2.1999299999999999E-2</v>
      </c>
      <c r="EJ121">
        <v>0</v>
      </c>
      <c r="EK121">
        <v>875.58500000000004</v>
      </c>
      <c r="EL121">
        <v>4.9995000000000003</v>
      </c>
      <c r="EM121">
        <v>17192.400000000001</v>
      </c>
      <c r="EN121">
        <v>16660.099999999999</v>
      </c>
      <c r="EO121">
        <v>50.061999999999998</v>
      </c>
      <c r="EP121">
        <v>50.625</v>
      </c>
      <c r="EQ121">
        <v>50.936999999999998</v>
      </c>
      <c r="ER121">
        <v>49.811999999999998</v>
      </c>
      <c r="ES121">
        <v>51.061999999999998</v>
      </c>
      <c r="ET121">
        <v>1755.55</v>
      </c>
      <c r="EU121">
        <v>39.49</v>
      </c>
      <c r="EV121">
        <v>0</v>
      </c>
      <c r="EW121">
        <v>97.800000190734863</v>
      </c>
      <c r="EX121">
        <v>0</v>
      </c>
      <c r="EY121">
        <v>876.05265384615382</v>
      </c>
      <c r="EZ121">
        <v>-3.1943589751856312</v>
      </c>
      <c r="FA121">
        <v>3420.6837626300298</v>
      </c>
      <c r="FB121">
        <v>16621.223076923081</v>
      </c>
      <c r="FC121">
        <v>15</v>
      </c>
      <c r="FD121">
        <v>1693346372.0999999</v>
      </c>
      <c r="FE121" t="s">
        <v>952</v>
      </c>
      <c r="FF121">
        <v>1693346371.0999999</v>
      </c>
      <c r="FG121">
        <v>1693346372.0999999</v>
      </c>
      <c r="FH121">
        <v>116</v>
      </c>
      <c r="FI121">
        <v>-3.9E-2</v>
      </c>
      <c r="FJ121">
        <v>7.0000000000000001E-3</v>
      </c>
      <c r="FK121">
        <v>-1.19</v>
      </c>
      <c r="FL121">
        <v>0.187</v>
      </c>
      <c r="FM121">
        <v>10</v>
      </c>
      <c r="FN121">
        <v>23</v>
      </c>
      <c r="FO121">
        <v>0.73</v>
      </c>
      <c r="FP121">
        <v>0.03</v>
      </c>
      <c r="FQ121">
        <v>1.2496462504946231</v>
      </c>
      <c r="FR121">
        <v>-8.2609681565115251E-2</v>
      </c>
      <c r="FS121">
        <v>3.4657722437961197E-2</v>
      </c>
      <c r="FT121">
        <v>1</v>
      </c>
      <c r="FU121">
        <v>0.3671085629706376</v>
      </c>
      <c r="FV121">
        <v>3.3137071936010502E-2</v>
      </c>
      <c r="FW121">
        <v>4.1256227034431707E-3</v>
      </c>
      <c r="FX121">
        <v>1</v>
      </c>
      <c r="FY121">
        <v>2</v>
      </c>
      <c r="FZ121">
        <v>2</v>
      </c>
      <c r="GA121" t="s">
        <v>421</v>
      </c>
      <c r="GB121">
        <v>2.9690099999999999</v>
      </c>
      <c r="GC121">
        <v>2.8117100000000002</v>
      </c>
      <c r="GD121">
        <v>2.7860900000000002E-3</v>
      </c>
      <c r="GE121">
        <v>2.8553799999999998E-3</v>
      </c>
      <c r="GF121">
        <v>0.13489699999999999</v>
      </c>
      <c r="GG121">
        <v>0.114768</v>
      </c>
      <c r="GH121">
        <v>29429.7</v>
      </c>
      <c r="GI121">
        <v>27088.3</v>
      </c>
      <c r="GJ121">
        <v>26530</v>
      </c>
      <c r="GK121">
        <v>25635.9</v>
      </c>
      <c r="GL121">
        <v>31216.6</v>
      </c>
      <c r="GM121">
        <v>31979.9</v>
      </c>
      <c r="GN121">
        <v>37549.599999999999</v>
      </c>
      <c r="GO121">
        <v>37948.699999999997</v>
      </c>
      <c r="GP121">
        <v>1.9516</v>
      </c>
      <c r="GQ121">
        <v>1.9655</v>
      </c>
      <c r="GR121">
        <v>5.68479E-2</v>
      </c>
      <c r="GS121">
        <v>0</v>
      </c>
      <c r="GT121">
        <v>29.078499999999998</v>
      </c>
      <c r="GU121">
        <v>999.9</v>
      </c>
      <c r="GV121">
        <v>50.5</v>
      </c>
      <c r="GW121">
        <v>35.200000000000003</v>
      </c>
      <c r="GX121">
        <v>29.220600000000001</v>
      </c>
      <c r="GY121">
        <v>61.595100000000002</v>
      </c>
      <c r="GZ121">
        <v>11.9391</v>
      </c>
      <c r="HA121">
        <v>1</v>
      </c>
      <c r="HB121">
        <v>0.42827199999999999</v>
      </c>
      <c r="HC121">
        <v>2.1184099999999999</v>
      </c>
      <c r="HD121">
        <v>20.292899999999999</v>
      </c>
      <c r="HE121">
        <v>5.2077099999999996</v>
      </c>
      <c r="HF121">
        <v>11.936299999999999</v>
      </c>
      <c r="HG121">
        <v>4.9870000000000001</v>
      </c>
      <c r="HH121">
        <v>3.2909999999999999</v>
      </c>
      <c r="HI121">
        <v>9999</v>
      </c>
      <c r="HJ121">
        <v>9999</v>
      </c>
      <c r="HK121">
        <v>9999</v>
      </c>
      <c r="HL121">
        <v>999.9</v>
      </c>
      <c r="HM121">
        <v>1.8699600000000001</v>
      </c>
      <c r="HN121">
        <v>1.87622</v>
      </c>
      <c r="HO121">
        <v>1.87398</v>
      </c>
      <c r="HP121">
        <v>1.87225</v>
      </c>
      <c r="HQ121">
        <v>1.8727100000000001</v>
      </c>
      <c r="HR121">
        <v>1.87012</v>
      </c>
      <c r="HS121">
        <v>1.8760699999999999</v>
      </c>
      <c r="HT121">
        <v>1.8751500000000001</v>
      </c>
      <c r="HU121">
        <v>5</v>
      </c>
      <c r="HV121">
        <v>0</v>
      </c>
      <c r="HW121">
        <v>0</v>
      </c>
      <c r="HX121">
        <v>0</v>
      </c>
      <c r="HY121" t="s">
        <v>422</v>
      </c>
      <c r="HZ121" t="s">
        <v>423</v>
      </c>
      <c r="IA121" t="s">
        <v>424</v>
      </c>
      <c r="IB121" t="s">
        <v>424</v>
      </c>
      <c r="IC121" t="s">
        <v>424</v>
      </c>
      <c r="ID121" t="s">
        <v>424</v>
      </c>
      <c r="IE121">
        <v>0</v>
      </c>
      <c r="IF121">
        <v>100</v>
      </c>
      <c r="IG121">
        <v>100</v>
      </c>
      <c r="IH121">
        <v>-1.1859999999999999</v>
      </c>
      <c r="II121">
        <v>0.44690000000000002</v>
      </c>
      <c r="IJ121">
        <v>-1.1601258097191449</v>
      </c>
      <c r="IK121">
        <v>-2.677719669153116E-3</v>
      </c>
      <c r="IL121">
        <v>1.9353498771248068E-6</v>
      </c>
      <c r="IM121">
        <v>-6.1862177325538213E-10</v>
      </c>
      <c r="IN121">
        <v>-0.19643565919856279</v>
      </c>
      <c r="IO121">
        <v>-1.5299015507423901E-2</v>
      </c>
      <c r="IP121">
        <v>1.742162107778985E-3</v>
      </c>
      <c r="IQ121">
        <v>-1.472690239905804E-5</v>
      </c>
      <c r="IR121">
        <v>3</v>
      </c>
      <c r="IS121">
        <v>2255</v>
      </c>
      <c r="IT121">
        <v>2</v>
      </c>
      <c r="IU121">
        <v>41</v>
      </c>
      <c r="IV121">
        <v>0.5</v>
      </c>
      <c r="IW121">
        <v>0.5</v>
      </c>
      <c r="IX121">
        <v>0.17456099999999999</v>
      </c>
      <c r="IY121">
        <v>2.5683600000000002</v>
      </c>
      <c r="IZ121">
        <v>1.5991200000000001</v>
      </c>
      <c r="JA121">
        <v>2.2692899999999998</v>
      </c>
      <c r="JB121">
        <v>1.5502899999999999</v>
      </c>
      <c r="JC121">
        <v>2.4047900000000002</v>
      </c>
      <c r="JD121">
        <v>38.013399999999997</v>
      </c>
      <c r="JE121">
        <v>15.235300000000001</v>
      </c>
      <c r="JF121">
        <v>18</v>
      </c>
      <c r="JG121">
        <v>505.86900000000003</v>
      </c>
      <c r="JH121">
        <v>483.39699999999999</v>
      </c>
      <c r="JI121">
        <v>26.626899999999999</v>
      </c>
      <c r="JJ121">
        <v>32.820500000000003</v>
      </c>
      <c r="JK121">
        <v>29.999099999999999</v>
      </c>
      <c r="JL121">
        <v>32.891199999999998</v>
      </c>
      <c r="JM121">
        <v>32.860199999999999</v>
      </c>
      <c r="JN121">
        <v>3.5447199999999999</v>
      </c>
      <c r="JO121">
        <v>31.516500000000001</v>
      </c>
      <c r="JP121">
        <v>52.661299999999997</v>
      </c>
      <c r="JQ121">
        <v>26.628299999999999</v>
      </c>
      <c r="JR121">
        <v>10</v>
      </c>
      <c r="JS121">
        <v>23.079799999999999</v>
      </c>
      <c r="JT121">
        <v>99.041200000000003</v>
      </c>
      <c r="JU121">
        <v>98.558099999999996</v>
      </c>
    </row>
    <row r="122" spans="1:281" x14ac:dyDescent="0.25">
      <c r="A122">
        <v>106</v>
      </c>
      <c r="B122">
        <v>1693346590.5999999</v>
      </c>
      <c r="C122">
        <v>24293.5</v>
      </c>
      <c r="D122" t="s">
        <v>953</v>
      </c>
      <c r="E122" t="s">
        <v>954</v>
      </c>
      <c r="F122" t="s">
        <v>413</v>
      </c>
      <c r="G122" t="s">
        <v>493</v>
      </c>
      <c r="H122" t="s">
        <v>31</v>
      </c>
      <c r="I122" t="s">
        <v>31</v>
      </c>
      <c r="J122">
        <v>1693346590.5999999</v>
      </c>
      <c r="K122">
        <f t="shared" si="138"/>
        <v>4.8469398538416803E-3</v>
      </c>
      <c r="L122">
        <f t="shared" si="139"/>
        <v>4.8469398538416799</v>
      </c>
      <c r="M122">
        <f t="shared" si="140"/>
        <v>32.711331926715914</v>
      </c>
      <c r="N122">
        <f t="shared" si="141"/>
        <v>358.53300000000002</v>
      </c>
      <c r="O122">
        <f t="shared" si="142"/>
        <v>195.24597095897377</v>
      </c>
      <c r="P122">
        <f t="shared" si="143"/>
        <v>19.292678933295452</v>
      </c>
      <c r="Q122">
        <f t="shared" si="144"/>
        <v>35.427425324155202</v>
      </c>
      <c r="R122">
        <f t="shared" si="145"/>
        <v>0.35281649926332248</v>
      </c>
      <c r="S122">
        <f t="shared" si="146"/>
        <v>2.9134056227726441</v>
      </c>
      <c r="T122">
        <f t="shared" si="147"/>
        <v>0.33068235863848455</v>
      </c>
      <c r="U122">
        <f t="shared" si="148"/>
        <v>0.20854931839344171</v>
      </c>
      <c r="V122">
        <f t="shared" si="149"/>
        <v>344.3871006583006</v>
      </c>
      <c r="W122">
        <f t="shared" si="150"/>
        <v>31.242593884642819</v>
      </c>
      <c r="X122">
        <f t="shared" si="151"/>
        <v>29.964200000000002</v>
      </c>
      <c r="Y122">
        <f t="shared" si="152"/>
        <v>4.2516967591812254</v>
      </c>
      <c r="Z122">
        <f t="shared" si="153"/>
        <v>65.239888261413242</v>
      </c>
      <c r="AA122">
        <f t="shared" si="154"/>
        <v>2.85545445337632</v>
      </c>
      <c r="AB122">
        <f t="shared" si="155"/>
        <v>4.3768536848724278</v>
      </c>
      <c r="AC122">
        <f t="shared" si="156"/>
        <v>1.3962423058049054</v>
      </c>
      <c r="AD122">
        <f t="shared" si="157"/>
        <v>-213.7500475544181</v>
      </c>
      <c r="AE122">
        <f t="shared" si="158"/>
        <v>79.460460358674936</v>
      </c>
      <c r="AF122">
        <f t="shared" si="159"/>
        <v>6.0774713057005458</v>
      </c>
      <c r="AG122">
        <f t="shared" si="160"/>
        <v>216.17498476825799</v>
      </c>
      <c r="AH122">
        <v>0</v>
      </c>
      <c r="AI122">
        <v>0</v>
      </c>
      <c r="AJ122">
        <f t="shared" si="161"/>
        <v>1</v>
      </c>
      <c r="AK122">
        <f t="shared" si="162"/>
        <v>0</v>
      </c>
      <c r="AL122">
        <f t="shared" si="163"/>
        <v>51784.961546234073</v>
      </c>
      <c r="AM122" t="s">
        <v>416</v>
      </c>
      <c r="AN122">
        <v>10238.9</v>
      </c>
      <c r="AO122">
        <v>302.21199999999999</v>
      </c>
      <c r="AP122">
        <v>4052.3</v>
      </c>
      <c r="AQ122">
        <f t="shared" si="164"/>
        <v>0.92542210596451402</v>
      </c>
      <c r="AR122">
        <v>-0.32343011824092421</v>
      </c>
      <c r="AS122" t="s">
        <v>955</v>
      </c>
      <c r="AT122">
        <v>10429.9</v>
      </c>
      <c r="AU122">
        <v>832.12803846153849</v>
      </c>
      <c r="AV122">
        <v>1070.975268054447</v>
      </c>
      <c r="AW122">
        <f t="shared" si="165"/>
        <v>0.22301843629573515</v>
      </c>
      <c r="AX122">
        <v>0.5</v>
      </c>
      <c r="AY122">
        <f t="shared" si="166"/>
        <v>1513.2606003291501</v>
      </c>
      <c r="AZ122">
        <f t="shared" si="167"/>
        <v>32.711331926715914</v>
      </c>
      <c r="BA122">
        <f t="shared" si="168"/>
        <v>168.74250639667625</v>
      </c>
      <c r="BB122">
        <f t="shared" si="169"/>
        <v>2.1830187105757876E-2</v>
      </c>
      <c r="BC122">
        <f t="shared" si="170"/>
        <v>2.7837475064774195</v>
      </c>
      <c r="BD122">
        <f t="shared" si="171"/>
        <v>250.25711478186244</v>
      </c>
      <c r="BE122" t="s">
        <v>956</v>
      </c>
      <c r="BF122">
        <v>604.85</v>
      </c>
      <c r="BG122">
        <f t="shared" si="172"/>
        <v>604.85</v>
      </c>
      <c r="BH122">
        <f t="shared" si="173"/>
        <v>0.43523439052072466</v>
      </c>
      <c r="BI122">
        <f t="shared" si="174"/>
        <v>0.51240995921510391</v>
      </c>
      <c r="BJ122">
        <f t="shared" si="175"/>
        <v>0.86479128977811215</v>
      </c>
      <c r="BK122">
        <f t="shared" si="176"/>
        <v>0.31069022092766324</v>
      </c>
      <c r="BL122">
        <f t="shared" si="177"/>
        <v>0.79500127248895303</v>
      </c>
      <c r="BM122">
        <f t="shared" si="178"/>
        <v>0.37245609991013523</v>
      </c>
      <c r="BN122">
        <f t="shared" si="179"/>
        <v>0.62754390008986483</v>
      </c>
      <c r="BO122">
        <v>5674</v>
      </c>
      <c r="BP122">
        <v>290.00000000000011</v>
      </c>
      <c r="BQ122">
        <v>1004.59</v>
      </c>
      <c r="BR122">
        <v>245</v>
      </c>
      <c r="BS122">
        <v>10429.9</v>
      </c>
      <c r="BT122">
        <v>1003.26</v>
      </c>
      <c r="BU122">
        <v>1.33</v>
      </c>
      <c r="BV122">
        <v>300.00000000000011</v>
      </c>
      <c r="BW122">
        <v>38.299999999999997</v>
      </c>
      <c r="BX122">
        <v>1070.975268054447</v>
      </c>
      <c r="BY122">
        <v>1.053396511743701</v>
      </c>
      <c r="BZ122">
        <v>-70.624761111254529</v>
      </c>
      <c r="CA122">
        <v>0.89982099684802075</v>
      </c>
      <c r="CB122">
        <v>0.99547533118933484</v>
      </c>
      <c r="CC122">
        <v>-1.1329612458286981E-2</v>
      </c>
      <c r="CD122">
        <v>289.99999999999989</v>
      </c>
      <c r="CE122">
        <v>994.03</v>
      </c>
      <c r="CF122">
        <v>625</v>
      </c>
      <c r="CG122">
        <v>10412.299999999999</v>
      </c>
      <c r="CH122">
        <v>1003.15</v>
      </c>
      <c r="CI122">
        <v>-9.1199999999999992</v>
      </c>
      <c r="CW122">
        <f t="shared" si="180"/>
        <v>1800.09</v>
      </c>
      <c r="CX122">
        <f t="shared" si="181"/>
        <v>1513.2606003291501</v>
      </c>
      <c r="CY122">
        <f t="shared" si="182"/>
        <v>0.84065830060116442</v>
      </c>
      <c r="CZ122">
        <f t="shared" si="183"/>
        <v>0.1913166012023291</v>
      </c>
      <c r="DA122">
        <v>6</v>
      </c>
      <c r="DB122">
        <v>0.5</v>
      </c>
      <c r="DC122" t="s">
        <v>419</v>
      </c>
      <c r="DD122">
        <v>2</v>
      </c>
      <c r="DE122">
        <v>1693346590.5999999</v>
      </c>
      <c r="DF122">
        <v>358.53300000000002</v>
      </c>
      <c r="DG122">
        <v>399.86500000000001</v>
      </c>
      <c r="DH122">
        <v>28.8978</v>
      </c>
      <c r="DI122">
        <v>23.250499999999999</v>
      </c>
      <c r="DJ122">
        <v>360.24700000000001</v>
      </c>
      <c r="DK122">
        <v>28.4575</v>
      </c>
      <c r="DL122">
        <v>500.084</v>
      </c>
      <c r="DM122">
        <v>98.712400000000002</v>
      </c>
      <c r="DN122">
        <v>9.9774399999999999E-2</v>
      </c>
      <c r="DO122">
        <v>30.470099999999999</v>
      </c>
      <c r="DP122">
        <v>29.964200000000002</v>
      </c>
      <c r="DQ122">
        <v>999.9</v>
      </c>
      <c r="DR122">
        <v>0</v>
      </c>
      <c r="DS122">
        <v>0</v>
      </c>
      <c r="DT122">
        <v>10037.5</v>
      </c>
      <c r="DU122">
        <v>0</v>
      </c>
      <c r="DV122">
        <v>275.02499999999998</v>
      </c>
      <c r="DW122">
        <v>-41.332299999999996</v>
      </c>
      <c r="DX122">
        <v>369.202</v>
      </c>
      <c r="DY122">
        <v>409.38400000000001</v>
      </c>
      <c r="DZ122">
        <v>5.6473300000000002</v>
      </c>
      <c r="EA122">
        <v>399.86500000000001</v>
      </c>
      <c r="EB122">
        <v>23.250499999999999</v>
      </c>
      <c r="EC122">
        <v>2.8525700000000001</v>
      </c>
      <c r="ED122">
        <v>2.2951100000000002</v>
      </c>
      <c r="EE122">
        <v>23.191500000000001</v>
      </c>
      <c r="EF122">
        <v>19.642099999999999</v>
      </c>
      <c r="EG122">
        <v>1800.09</v>
      </c>
      <c r="EH122">
        <v>0.97799700000000001</v>
      </c>
      <c r="EI122">
        <v>2.2002799999999999E-2</v>
      </c>
      <c r="EJ122">
        <v>0</v>
      </c>
      <c r="EK122">
        <v>830.61900000000003</v>
      </c>
      <c r="EL122">
        <v>4.9995000000000003</v>
      </c>
      <c r="EM122">
        <v>15496.7</v>
      </c>
      <c r="EN122">
        <v>16660.599999999999</v>
      </c>
      <c r="EO122">
        <v>49.686999999999998</v>
      </c>
      <c r="EP122">
        <v>50.186999999999998</v>
      </c>
      <c r="EQ122">
        <v>50.561999999999998</v>
      </c>
      <c r="ER122">
        <v>49.436999999999998</v>
      </c>
      <c r="ES122">
        <v>50.75</v>
      </c>
      <c r="ET122">
        <v>1755.59</v>
      </c>
      <c r="EU122">
        <v>39.5</v>
      </c>
      <c r="EV122">
        <v>0</v>
      </c>
      <c r="EW122">
        <v>187.80000019073489</v>
      </c>
      <c r="EX122">
        <v>0</v>
      </c>
      <c r="EY122">
        <v>832.12803846153849</v>
      </c>
      <c r="EZ122">
        <v>-13.293777770687299</v>
      </c>
      <c r="FA122">
        <v>-238.15042728177681</v>
      </c>
      <c r="FB122">
        <v>15519.234615384619</v>
      </c>
      <c r="FC122">
        <v>15</v>
      </c>
      <c r="FD122">
        <v>1693346474.0999999</v>
      </c>
      <c r="FE122" t="s">
        <v>957</v>
      </c>
      <c r="FF122">
        <v>1693346474.0999999</v>
      </c>
      <c r="FG122">
        <v>1693346474.0999999</v>
      </c>
      <c r="FH122">
        <v>117</v>
      </c>
      <c r="FI122">
        <v>0.188</v>
      </c>
      <c r="FJ122">
        <v>1E-3</v>
      </c>
      <c r="FK122">
        <v>-1.776</v>
      </c>
      <c r="FL122">
        <v>0.186</v>
      </c>
      <c r="FM122">
        <v>400</v>
      </c>
      <c r="FN122">
        <v>23</v>
      </c>
      <c r="FO122">
        <v>0.26</v>
      </c>
      <c r="FP122">
        <v>0.04</v>
      </c>
      <c r="FQ122">
        <v>32.585762109458038</v>
      </c>
      <c r="FR122">
        <v>2.2410594072856211</v>
      </c>
      <c r="FS122">
        <v>0.17345934953645639</v>
      </c>
      <c r="FT122">
        <v>0</v>
      </c>
      <c r="FU122">
        <v>0.35342635360681618</v>
      </c>
      <c r="FV122">
        <v>-3.5486122562820403E-2</v>
      </c>
      <c r="FW122">
        <v>2.8888316702633662E-3</v>
      </c>
      <c r="FX122">
        <v>1</v>
      </c>
      <c r="FY122">
        <v>1</v>
      </c>
      <c r="FZ122">
        <v>2</v>
      </c>
      <c r="GA122" t="s">
        <v>460</v>
      </c>
      <c r="GB122">
        <v>2.9692799999999999</v>
      </c>
      <c r="GC122">
        <v>2.8117899999999998</v>
      </c>
      <c r="GD122">
        <v>8.8526599999999997E-2</v>
      </c>
      <c r="GE122">
        <v>9.49966E-2</v>
      </c>
      <c r="GF122">
        <v>0.13450200000000001</v>
      </c>
      <c r="GG122">
        <v>0.11514000000000001</v>
      </c>
      <c r="GH122">
        <v>26911.8</v>
      </c>
      <c r="GI122">
        <v>24601.1</v>
      </c>
      <c r="GJ122">
        <v>26540.9</v>
      </c>
      <c r="GK122">
        <v>25651.1</v>
      </c>
      <c r="GL122">
        <v>31248</v>
      </c>
      <c r="GM122">
        <v>31991.599999999999</v>
      </c>
      <c r="GN122">
        <v>37565.9</v>
      </c>
      <c r="GO122">
        <v>37971.199999999997</v>
      </c>
      <c r="GP122">
        <v>1.9562999999999999</v>
      </c>
      <c r="GQ122">
        <v>1.9721</v>
      </c>
      <c r="GR122">
        <v>5.75185E-2</v>
      </c>
      <c r="GS122">
        <v>0</v>
      </c>
      <c r="GT122">
        <v>29.0274</v>
      </c>
      <c r="GU122">
        <v>999.9</v>
      </c>
      <c r="GV122">
        <v>50.2</v>
      </c>
      <c r="GW122">
        <v>35.200000000000003</v>
      </c>
      <c r="GX122">
        <v>29.045100000000001</v>
      </c>
      <c r="GY122">
        <v>61.595100000000002</v>
      </c>
      <c r="GZ122">
        <v>12.0032</v>
      </c>
      <c r="HA122">
        <v>1</v>
      </c>
      <c r="HB122">
        <v>0.39951199999999998</v>
      </c>
      <c r="HC122">
        <v>1.6657200000000001</v>
      </c>
      <c r="HD122">
        <v>20.2986</v>
      </c>
      <c r="HE122">
        <v>5.2053099999999999</v>
      </c>
      <c r="HF122">
        <v>11.9339</v>
      </c>
      <c r="HG122">
        <v>4.9875999999999996</v>
      </c>
      <c r="HH122">
        <v>3.2909999999999999</v>
      </c>
      <c r="HI122">
        <v>9999</v>
      </c>
      <c r="HJ122">
        <v>9999</v>
      </c>
      <c r="HK122">
        <v>9999</v>
      </c>
      <c r="HL122">
        <v>999.9</v>
      </c>
      <c r="HM122">
        <v>1.86998</v>
      </c>
      <c r="HN122">
        <v>1.87622</v>
      </c>
      <c r="HO122">
        <v>1.8739399999999999</v>
      </c>
      <c r="HP122">
        <v>1.87225</v>
      </c>
      <c r="HQ122">
        <v>1.8727100000000001</v>
      </c>
      <c r="HR122">
        <v>1.8701000000000001</v>
      </c>
      <c r="HS122">
        <v>1.8760699999999999</v>
      </c>
      <c r="HT122">
        <v>1.8751199999999999</v>
      </c>
      <c r="HU122">
        <v>5</v>
      </c>
      <c r="HV122">
        <v>0</v>
      </c>
      <c r="HW122">
        <v>0</v>
      </c>
      <c r="HX122">
        <v>0</v>
      </c>
      <c r="HY122" t="s">
        <v>422</v>
      </c>
      <c r="HZ122" t="s">
        <v>423</v>
      </c>
      <c r="IA122" t="s">
        <v>424</v>
      </c>
      <c r="IB122" t="s">
        <v>424</v>
      </c>
      <c r="IC122" t="s">
        <v>424</v>
      </c>
      <c r="ID122" t="s">
        <v>424</v>
      </c>
      <c r="IE122">
        <v>0</v>
      </c>
      <c r="IF122">
        <v>100</v>
      </c>
      <c r="IG122">
        <v>100</v>
      </c>
      <c r="IH122">
        <v>-1.714</v>
      </c>
      <c r="II122">
        <v>0.44030000000000002</v>
      </c>
      <c r="IJ122">
        <v>-0.971787346885153</v>
      </c>
      <c r="IK122">
        <v>-2.677719669153116E-3</v>
      </c>
      <c r="IL122">
        <v>1.9353498771248068E-6</v>
      </c>
      <c r="IM122">
        <v>-6.1862177325538213E-10</v>
      </c>
      <c r="IN122">
        <v>-0.19579260884300201</v>
      </c>
      <c r="IO122">
        <v>-1.5299015507423901E-2</v>
      </c>
      <c r="IP122">
        <v>1.742162107778985E-3</v>
      </c>
      <c r="IQ122">
        <v>-1.472690239905804E-5</v>
      </c>
      <c r="IR122">
        <v>3</v>
      </c>
      <c r="IS122">
        <v>2255</v>
      </c>
      <c r="IT122">
        <v>2</v>
      </c>
      <c r="IU122">
        <v>41</v>
      </c>
      <c r="IV122">
        <v>1.9</v>
      </c>
      <c r="IW122">
        <v>1.9</v>
      </c>
      <c r="IX122">
        <v>0.95581099999999997</v>
      </c>
      <c r="IY122">
        <v>2.5122100000000001</v>
      </c>
      <c r="IZ122">
        <v>1.5991200000000001</v>
      </c>
      <c r="JA122">
        <v>2.2705099999999998</v>
      </c>
      <c r="JB122">
        <v>1.5502899999999999</v>
      </c>
      <c r="JC122">
        <v>2.3559600000000001</v>
      </c>
      <c r="JD122">
        <v>37.916400000000003</v>
      </c>
      <c r="JE122">
        <v>15.2003</v>
      </c>
      <c r="JF122">
        <v>18</v>
      </c>
      <c r="JG122">
        <v>506.495</v>
      </c>
      <c r="JH122">
        <v>485.37799999999999</v>
      </c>
      <c r="JI122">
        <v>26.876999999999999</v>
      </c>
      <c r="JJ122">
        <v>32.479999999999997</v>
      </c>
      <c r="JK122">
        <v>29.998999999999999</v>
      </c>
      <c r="JL122">
        <v>32.5854</v>
      </c>
      <c r="JM122">
        <v>32.5672</v>
      </c>
      <c r="JN122">
        <v>19.165299999999998</v>
      </c>
      <c r="JO122">
        <v>29.8353</v>
      </c>
      <c r="JP122">
        <v>51.723999999999997</v>
      </c>
      <c r="JQ122">
        <v>26.884799999999998</v>
      </c>
      <c r="JR122">
        <v>400</v>
      </c>
      <c r="JS122">
        <v>23.226400000000002</v>
      </c>
      <c r="JT122">
        <v>99.083200000000005</v>
      </c>
      <c r="JU122">
        <v>98.616600000000005</v>
      </c>
    </row>
    <row r="123" spans="1:281" x14ac:dyDescent="0.25">
      <c r="A123">
        <v>107</v>
      </c>
      <c r="B123">
        <v>1693346690.0999999</v>
      </c>
      <c r="C123">
        <v>24393</v>
      </c>
      <c r="D123" t="s">
        <v>958</v>
      </c>
      <c r="E123" t="s">
        <v>959</v>
      </c>
      <c r="F123" t="s">
        <v>413</v>
      </c>
      <c r="G123" t="s">
        <v>493</v>
      </c>
      <c r="H123" t="s">
        <v>31</v>
      </c>
      <c r="I123" t="s">
        <v>31</v>
      </c>
      <c r="J123">
        <v>1693346690.0999999</v>
      </c>
      <c r="K123">
        <f t="shared" si="138"/>
        <v>4.8207017273570801E-3</v>
      </c>
      <c r="L123">
        <f t="shared" si="139"/>
        <v>4.82070172735708</v>
      </c>
      <c r="M123">
        <f t="shared" si="140"/>
        <v>35.275692227331042</v>
      </c>
      <c r="N123">
        <f t="shared" si="141"/>
        <v>355.61200000000002</v>
      </c>
      <c r="O123">
        <f t="shared" si="142"/>
        <v>179.35650903704871</v>
      </c>
      <c r="P123">
        <f t="shared" si="143"/>
        <v>17.721975782159149</v>
      </c>
      <c r="Q123">
        <f t="shared" si="144"/>
        <v>35.137544133084006</v>
      </c>
      <c r="R123">
        <f t="shared" si="145"/>
        <v>0.35090007863150874</v>
      </c>
      <c r="S123">
        <f t="shared" si="146"/>
        <v>2.9076692137464959</v>
      </c>
      <c r="T123">
        <f t="shared" si="147"/>
        <v>0.32895742213436219</v>
      </c>
      <c r="U123">
        <f t="shared" si="148"/>
        <v>0.20745540371740967</v>
      </c>
      <c r="V123">
        <f t="shared" si="149"/>
        <v>344.37190065832982</v>
      </c>
      <c r="W123">
        <f t="shared" si="150"/>
        <v>31.278458674948055</v>
      </c>
      <c r="X123">
        <f t="shared" si="151"/>
        <v>29.994800000000001</v>
      </c>
      <c r="Y123">
        <f t="shared" si="152"/>
        <v>4.2591774109668004</v>
      </c>
      <c r="Z123">
        <f t="shared" si="153"/>
        <v>65.317241222953669</v>
      </c>
      <c r="AA123">
        <f t="shared" si="154"/>
        <v>2.8633760712030001</v>
      </c>
      <c r="AB123">
        <f t="shared" si="155"/>
        <v>4.3837982400835962</v>
      </c>
      <c r="AC123">
        <f t="shared" si="156"/>
        <v>1.3958013397638003</v>
      </c>
      <c r="AD123">
        <f t="shared" si="157"/>
        <v>-212.59294617644724</v>
      </c>
      <c r="AE123">
        <f t="shared" si="158"/>
        <v>78.849406113705072</v>
      </c>
      <c r="AF123">
        <f t="shared" si="159"/>
        <v>6.0443759207432919</v>
      </c>
      <c r="AG123">
        <f t="shared" si="160"/>
        <v>216.67273651633093</v>
      </c>
      <c r="AH123">
        <v>0</v>
      </c>
      <c r="AI123">
        <v>0</v>
      </c>
      <c r="AJ123">
        <f t="shared" si="161"/>
        <v>1</v>
      </c>
      <c r="AK123">
        <f t="shared" si="162"/>
        <v>0</v>
      </c>
      <c r="AL123">
        <f t="shared" si="163"/>
        <v>51617.518431312419</v>
      </c>
      <c r="AM123" t="s">
        <v>416</v>
      </c>
      <c r="AN123">
        <v>10238.9</v>
      </c>
      <c r="AO123">
        <v>302.21199999999999</v>
      </c>
      <c r="AP123">
        <v>4052.3</v>
      </c>
      <c r="AQ123">
        <f t="shared" si="164"/>
        <v>0.92542210596451402</v>
      </c>
      <c r="AR123">
        <v>-0.32343011824092421</v>
      </c>
      <c r="AS123" t="s">
        <v>960</v>
      </c>
      <c r="AT123">
        <v>10440.799999999999</v>
      </c>
      <c r="AU123">
        <v>823.09353846153851</v>
      </c>
      <c r="AV123">
        <v>1073.4696236756811</v>
      </c>
      <c r="AW123">
        <f t="shared" si="165"/>
        <v>0.2332400281219198</v>
      </c>
      <c r="AX123">
        <v>0.5</v>
      </c>
      <c r="AY123">
        <f t="shared" si="166"/>
        <v>1513.1934003291651</v>
      </c>
      <c r="AZ123">
        <f t="shared" si="167"/>
        <v>35.275692227331042</v>
      </c>
      <c r="BA123">
        <f t="shared" si="168"/>
        <v>176.46863562333897</v>
      </c>
      <c r="BB123">
        <f t="shared" si="169"/>
        <v>2.3525824483392594E-2</v>
      </c>
      <c r="BC123">
        <f t="shared" si="170"/>
        <v>2.7749554441274902</v>
      </c>
      <c r="BD123">
        <f t="shared" si="171"/>
        <v>250.39307063486311</v>
      </c>
      <c r="BE123" t="s">
        <v>961</v>
      </c>
      <c r="BF123">
        <v>607.65</v>
      </c>
      <c r="BG123">
        <f t="shared" si="172"/>
        <v>607.65</v>
      </c>
      <c r="BH123">
        <f t="shared" si="173"/>
        <v>0.43393833733334919</v>
      </c>
      <c r="BI123">
        <f t="shared" si="174"/>
        <v>0.53749578697110156</v>
      </c>
      <c r="BJ123">
        <f t="shared" si="175"/>
        <v>0.86477011490988032</v>
      </c>
      <c r="BK123">
        <f t="shared" si="176"/>
        <v>0.32463353039013504</v>
      </c>
      <c r="BL123">
        <f t="shared" si="177"/>
        <v>0.79433612659871422</v>
      </c>
      <c r="BM123">
        <f t="shared" si="178"/>
        <v>0.3968070452399155</v>
      </c>
      <c r="BN123">
        <f t="shared" si="179"/>
        <v>0.6031929547600845</v>
      </c>
      <c r="BO123">
        <v>5676</v>
      </c>
      <c r="BP123">
        <v>290.00000000000011</v>
      </c>
      <c r="BQ123">
        <v>1011.68</v>
      </c>
      <c r="BR123">
        <v>195</v>
      </c>
      <c r="BS123">
        <v>10440.799999999999</v>
      </c>
      <c r="BT123">
        <v>1009.51</v>
      </c>
      <c r="BU123">
        <v>2.17</v>
      </c>
      <c r="BV123">
        <v>300.00000000000011</v>
      </c>
      <c r="BW123">
        <v>38.299999999999997</v>
      </c>
      <c r="BX123">
        <v>1073.4696236756811</v>
      </c>
      <c r="BY123">
        <v>1.223010462462943</v>
      </c>
      <c r="BZ123">
        <v>-66.780598453064272</v>
      </c>
      <c r="CA123">
        <v>1.044872644036362</v>
      </c>
      <c r="CB123">
        <v>0.99319203422625224</v>
      </c>
      <c r="CC123">
        <v>-1.133121201334817E-2</v>
      </c>
      <c r="CD123">
        <v>289.99999999999989</v>
      </c>
      <c r="CE123">
        <v>1006</v>
      </c>
      <c r="CF123">
        <v>715</v>
      </c>
      <c r="CG123">
        <v>10404.6</v>
      </c>
      <c r="CH123">
        <v>1009.29</v>
      </c>
      <c r="CI123">
        <v>-3.29</v>
      </c>
      <c r="CW123">
        <f t="shared" si="180"/>
        <v>1800.01</v>
      </c>
      <c r="CX123">
        <f t="shared" si="181"/>
        <v>1513.1934003291651</v>
      </c>
      <c r="CY123">
        <f t="shared" si="182"/>
        <v>0.84065832985881472</v>
      </c>
      <c r="CZ123">
        <f t="shared" si="183"/>
        <v>0.19131665971762926</v>
      </c>
      <c r="DA123">
        <v>6</v>
      </c>
      <c r="DB123">
        <v>0.5</v>
      </c>
      <c r="DC123" t="s">
        <v>419</v>
      </c>
      <c r="DD123">
        <v>2</v>
      </c>
      <c r="DE123">
        <v>1693346690.0999999</v>
      </c>
      <c r="DF123">
        <v>355.61200000000002</v>
      </c>
      <c r="DG123">
        <v>399.98099999999999</v>
      </c>
      <c r="DH123">
        <v>28.978999999999999</v>
      </c>
      <c r="DI123">
        <v>23.3642</v>
      </c>
      <c r="DJ123">
        <v>357.35199999999998</v>
      </c>
      <c r="DK123">
        <v>28.525400000000001</v>
      </c>
      <c r="DL123">
        <v>500.214</v>
      </c>
      <c r="DM123">
        <v>98.708600000000004</v>
      </c>
      <c r="DN123">
        <v>0.10005699999999999</v>
      </c>
      <c r="DO123">
        <v>30.497800000000002</v>
      </c>
      <c r="DP123">
        <v>29.994800000000001</v>
      </c>
      <c r="DQ123">
        <v>999.9</v>
      </c>
      <c r="DR123">
        <v>0</v>
      </c>
      <c r="DS123">
        <v>0</v>
      </c>
      <c r="DT123">
        <v>10005</v>
      </c>
      <c r="DU123">
        <v>0</v>
      </c>
      <c r="DV123">
        <v>265.548</v>
      </c>
      <c r="DW123">
        <v>-44.369399999999999</v>
      </c>
      <c r="DX123">
        <v>366.22500000000002</v>
      </c>
      <c r="DY123">
        <v>409.55</v>
      </c>
      <c r="DZ123">
        <v>5.6148199999999999</v>
      </c>
      <c r="EA123">
        <v>399.98099999999999</v>
      </c>
      <c r="EB123">
        <v>23.3642</v>
      </c>
      <c r="EC123">
        <v>2.8604799999999999</v>
      </c>
      <c r="ED123">
        <v>2.3062499999999999</v>
      </c>
      <c r="EE123">
        <v>23.237300000000001</v>
      </c>
      <c r="EF123">
        <v>19.720099999999999</v>
      </c>
      <c r="EG123">
        <v>1800.01</v>
      </c>
      <c r="EH123">
        <v>0.97799400000000003</v>
      </c>
      <c r="EI123">
        <v>2.2006399999999999E-2</v>
      </c>
      <c r="EJ123">
        <v>0</v>
      </c>
      <c r="EK123">
        <v>823.58</v>
      </c>
      <c r="EL123">
        <v>4.9995000000000003</v>
      </c>
      <c r="EM123">
        <v>15346.8</v>
      </c>
      <c r="EN123">
        <v>16659.8</v>
      </c>
      <c r="EO123">
        <v>49.436999999999998</v>
      </c>
      <c r="EP123">
        <v>49.936999999999998</v>
      </c>
      <c r="EQ123">
        <v>50.311999999999998</v>
      </c>
      <c r="ER123">
        <v>49.125</v>
      </c>
      <c r="ES123">
        <v>50.561999999999998</v>
      </c>
      <c r="ET123">
        <v>1755.51</v>
      </c>
      <c r="EU123">
        <v>39.5</v>
      </c>
      <c r="EV123">
        <v>0</v>
      </c>
      <c r="EW123">
        <v>97.800000190734863</v>
      </c>
      <c r="EX123">
        <v>0</v>
      </c>
      <c r="EY123">
        <v>823.09353846153851</v>
      </c>
      <c r="EZ123">
        <v>3.9119316410943799</v>
      </c>
      <c r="FA123">
        <v>111.35042732909361</v>
      </c>
      <c r="FB123">
        <v>15329.961538461541</v>
      </c>
      <c r="FC123">
        <v>15</v>
      </c>
      <c r="FD123">
        <v>1693346659.0999999</v>
      </c>
      <c r="FE123" t="s">
        <v>962</v>
      </c>
      <c r="FF123">
        <v>1693346658.0999999</v>
      </c>
      <c r="FG123">
        <v>1693346659.0999999</v>
      </c>
      <c r="FH123">
        <v>118</v>
      </c>
      <c r="FI123">
        <v>-0.03</v>
      </c>
      <c r="FJ123">
        <v>0.01</v>
      </c>
      <c r="FK123">
        <v>-1.8049999999999999</v>
      </c>
      <c r="FL123">
        <v>0.19800000000000001</v>
      </c>
      <c r="FM123">
        <v>400</v>
      </c>
      <c r="FN123">
        <v>23</v>
      </c>
      <c r="FO123">
        <v>0.14000000000000001</v>
      </c>
      <c r="FP123">
        <v>0.06</v>
      </c>
      <c r="FQ123">
        <v>35.113879502759133</v>
      </c>
      <c r="FR123">
        <v>0.6583998265577905</v>
      </c>
      <c r="FS123">
        <v>9.2205189083119546E-2</v>
      </c>
      <c r="FT123">
        <v>1</v>
      </c>
      <c r="FU123">
        <v>0.35697297611564532</v>
      </c>
      <c r="FV123">
        <v>-3.5090756962804742E-3</v>
      </c>
      <c r="FW123">
        <v>3.1457799033732339E-3</v>
      </c>
      <c r="FX123">
        <v>1</v>
      </c>
      <c r="FY123">
        <v>2</v>
      </c>
      <c r="FZ123">
        <v>2</v>
      </c>
      <c r="GA123" t="s">
        <v>421</v>
      </c>
      <c r="GB123">
        <v>2.9697900000000002</v>
      </c>
      <c r="GC123">
        <v>2.8117899999999998</v>
      </c>
      <c r="GD123">
        <v>8.8000800000000004E-2</v>
      </c>
      <c r="GE123">
        <v>9.5058299999999998E-2</v>
      </c>
      <c r="GF123">
        <v>0.13477600000000001</v>
      </c>
      <c r="GG123">
        <v>0.115577</v>
      </c>
      <c r="GH123">
        <v>26936.799999999999</v>
      </c>
      <c r="GI123">
        <v>24608.7</v>
      </c>
      <c r="GJ123">
        <v>26549.4</v>
      </c>
      <c r="GK123">
        <v>25659.8</v>
      </c>
      <c r="GL123">
        <v>31246.2</v>
      </c>
      <c r="GM123">
        <v>31985.9</v>
      </c>
      <c r="GN123">
        <v>37577.800000000003</v>
      </c>
      <c r="GO123">
        <v>37983.5</v>
      </c>
      <c r="GP123">
        <v>1.9590000000000001</v>
      </c>
      <c r="GQ123">
        <v>1.9753000000000001</v>
      </c>
      <c r="GR123">
        <v>6.3553499999999999E-2</v>
      </c>
      <c r="GS123">
        <v>0</v>
      </c>
      <c r="GT123">
        <v>28.959700000000002</v>
      </c>
      <c r="GU123">
        <v>999.9</v>
      </c>
      <c r="GV123">
        <v>50.2</v>
      </c>
      <c r="GW123">
        <v>35.1</v>
      </c>
      <c r="GX123">
        <v>28.884499999999999</v>
      </c>
      <c r="GY123">
        <v>61.555100000000003</v>
      </c>
      <c r="GZ123">
        <v>13.024800000000001</v>
      </c>
      <c r="HA123">
        <v>1</v>
      </c>
      <c r="HB123">
        <v>0.382988</v>
      </c>
      <c r="HC123">
        <v>1.21777</v>
      </c>
      <c r="HD123">
        <v>20.302499999999998</v>
      </c>
      <c r="HE123">
        <v>5.2107000000000001</v>
      </c>
      <c r="HF123">
        <v>11.932700000000001</v>
      </c>
      <c r="HG123">
        <v>4.9875999999999996</v>
      </c>
      <c r="HH123">
        <v>3.2909999999999999</v>
      </c>
      <c r="HI123">
        <v>9999</v>
      </c>
      <c r="HJ123">
        <v>9999</v>
      </c>
      <c r="HK123">
        <v>9999</v>
      </c>
      <c r="HL123">
        <v>999.9</v>
      </c>
      <c r="HM123">
        <v>1.8699600000000001</v>
      </c>
      <c r="HN123">
        <v>1.87622</v>
      </c>
      <c r="HO123">
        <v>1.8739300000000001</v>
      </c>
      <c r="HP123">
        <v>1.8722300000000001</v>
      </c>
      <c r="HQ123">
        <v>1.8727100000000001</v>
      </c>
      <c r="HR123">
        <v>1.87012</v>
      </c>
      <c r="HS123">
        <v>1.8760699999999999</v>
      </c>
      <c r="HT123">
        <v>1.87507</v>
      </c>
      <c r="HU123">
        <v>5</v>
      </c>
      <c r="HV123">
        <v>0</v>
      </c>
      <c r="HW123">
        <v>0</v>
      </c>
      <c r="HX123">
        <v>0</v>
      </c>
      <c r="HY123" t="s">
        <v>422</v>
      </c>
      <c r="HZ123" t="s">
        <v>423</v>
      </c>
      <c r="IA123" t="s">
        <v>424</v>
      </c>
      <c r="IB123" t="s">
        <v>424</v>
      </c>
      <c r="IC123" t="s">
        <v>424</v>
      </c>
      <c r="ID123" t="s">
        <v>424</v>
      </c>
      <c r="IE123">
        <v>0</v>
      </c>
      <c r="IF123">
        <v>100</v>
      </c>
      <c r="IG123">
        <v>100</v>
      </c>
      <c r="IH123">
        <v>-1.74</v>
      </c>
      <c r="II123">
        <v>0.4536</v>
      </c>
      <c r="IJ123">
        <v>-1.001710368841606</v>
      </c>
      <c r="IK123">
        <v>-2.677719669153116E-3</v>
      </c>
      <c r="IL123">
        <v>1.9353498771248068E-6</v>
      </c>
      <c r="IM123">
        <v>-6.1862177325538213E-10</v>
      </c>
      <c r="IN123">
        <v>-0.185729713911397</v>
      </c>
      <c r="IO123">
        <v>-1.5299015507423901E-2</v>
      </c>
      <c r="IP123">
        <v>1.742162107778985E-3</v>
      </c>
      <c r="IQ123">
        <v>-1.472690239905804E-5</v>
      </c>
      <c r="IR123">
        <v>3</v>
      </c>
      <c r="IS123">
        <v>2255</v>
      </c>
      <c r="IT123">
        <v>2</v>
      </c>
      <c r="IU123">
        <v>41</v>
      </c>
      <c r="IV123">
        <v>0.5</v>
      </c>
      <c r="IW123">
        <v>0.5</v>
      </c>
      <c r="IX123">
        <v>0.95581099999999997</v>
      </c>
      <c r="IY123">
        <v>2.51953</v>
      </c>
      <c r="IZ123">
        <v>1.6003400000000001</v>
      </c>
      <c r="JA123">
        <v>2.2680699999999998</v>
      </c>
      <c r="JB123">
        <v>1.5502899999999999</v>
      </c>
      <c r="JC123">
        <v>2.34741</v>
      </c>
      <c r="JD123">
        <v>37.843699999999998</v>
      </c>
      <c r="JE123">
        <v>15.182700000000001</v>
      </c>
      <c r="JF123">
        <v>18</v>
      </c>
      <c r="JG123">
        <v>506.81200000000001</v>
      </c>
      <c r="JH123">
        <v>486.04199999999997</v>
      </c>
      <c r="JI123">
        <v>26.883400000000002</v>
      </c>
      <c r="JJ123">
        <v>32.283700000000003</v>
      </c>
      <c r="JK123">
        <v>29.9985</v>
      </c>
      <c r="JL123">
        <v>32.405999999999999</v>
      </c>
      <c r="JM123">
        <v>32.388599999999997</v>
      </c>
      <c r="JN123">
        <v>19.164000000000001</v>
      </c>
      <c r="JO123">
        <v>29.583300000000001</v>
      </c>
      <c r="JP123">
        <v>51.511800000000001</v>
      </c>
      <c r="JQ123">
        <v>26.979600000000001</v>
      </c>
      <c r="JR123">
        <v>400</v>
      </c>
      <c r="JS123">
        <v>23.37</v>
      </c>
      <c r="JT123">
        <v>99.114800000000002</v>
      </c>
      <c r="JU123">
        <v>98.649100000000004</v>
      </c>
    </row>
    <row r="124" spans="1:281" x14ac:dyDescent="0.25">
      <c r="A124">
        <v>108</v>
      </c>
      <c r="B124">
        <v>1693346805.0999999</v>
      </c>
      <c r="C124">
        <v>24508</v>
      </c>
      <c r="D124" t="s">
        <v>963</v>
      </c>
      <c r="E124" t="s">
        <v>964</v>
      </c>
      <c r="F124" t="s">
        <v>413</v>
      </c>
      <c r="G124" t="s">
        <v>493</v>
      </c>
      <c r="H124" t="s">
        <v>31</v>
      </c>
      <c r="I124" t="s">
        <v>31</v>
      </c>
      <c r="J124">
        <v>1693346805.0999999</v>
      </c>
      <c r="K124">
        <f t="shared" si="138"/>
        <v>4.6148065921771796E-3</v>
      </c>
      <c r="L124">
        <f t="shared" si="139"/>
        <v>4.6148065921771799</v>
      </c>
      <c r="M124">
        <f t="shared" si="140"/>
        <v>37.400570808281103</v>
      </c>
      <c r="N124">
        <f t="shared" si="141"/>
        <v>452.69600000000003</v>
      </c>
      <c r="O124">
        <f t="shared" si="142"/>
        <v>255.29946573412028</v>
      </c>
      <c r="P124">
        <f t="shared" si="143"/>
        <v>25.226991479726966</v>
      </c>
      <c r="Q124">
        <f t="shared" si="144"/>
        <v>44.732401229542397</v>
      </c>
      <c r="R124">
        <f t="shared" si="145"/>
        <v>0.33360276285767027</v>
      </c>
      <c r="S124">
        <f t="shared" si="146"/>
        <v>2.9051334827625932</v>
      </c>
      <c r="T124">
        <f t="shared" si="147"/>
        <v>0.31368800810019343</v>
      </c>
      <c r="U124">
        <f t="shared" si="148"/>
        <v>0.19774512265223138</v>
      </c>
      <c r="V124">
        <f t="shared" si="149"/>
        <v>344.34920065787003</v>
      </c>
      <c r="W124">
        <f t="shared" si="150"/>
        <v>31.324595034234051</v>
      </c>
      <c r="X124">
        <f t="shared" si="151"/>
        <v>30.022200000000002</v>
      </c>
      <c r="Y124">
        <f t="shared" si="152"/>
        <v>4.2658855037314201</v>
      </c>
      <c r="Z124">
        <f t="shared" si="153"/>
        <v>65.376928387616644</v>
      </c>
      <c r="AA124">
        <f t="shared" si="154"/>
        <v>2.8646479709231998</v>
      </c>
      <c r="AB124">
        <f t="shared" si="155"/>
        <v>4.3817414515696438</v>
      </c>
      <c r="AC124">
        <f t="shared" si="156"/>
        <v>1.4012375328082203</v>
      </c>
      <c r="AD124">
        <f t="shared" si="157"/>
        <v>-203.51297071501361</v>
      </c>
      <c r="AE124">
        <f t="shared" si="158"/>
        <v>73.204915425228208</v>
      </c>
      <c r="AF124">
        <f t="shared" si="159"/>
        <v>5.6171160210077087</v>
      </c>
      <c r="AG124">
        <f t="shared" si="160"/>
        <v>219.65826138909233</v>
      </c>
      <c r="AH124">
        <v>0</v>
      </c>
      <c r="AI124">
        <v>0</v>
      </c>
      <c r="AJ124">
        <f t="shared" si="161"/>
        <v>1</v>
      </c>
      <c r="AK124">
        <f t="shared" si="162"/>
        <v>0</v>
      </c>
      <c r="AL124">
        <f t="shared" si="163"/>
        <v>51547.186115857439</v>
      </c>
      <c r="AM124" t="s">
        <v>416</v>
      </c>
      <c r="AN124">
        <v>10238.9</v>
      </c>
      <c r="AO124">
        <v>302.21199999999999</v>
      </c>
      <c r="AP124">
        <v>4052.3</v>
      </c>
      <c r="AQ124">
        <f t="shared" si="164"/>
        <v>0.92542210596451402</v>
      </c>
      <c r="AR124">
        <v>-0.32343011824092421</v>
      </c>
      <c r="AS124" t="s">
        <v>965</v>
      </c>
      <c r="AT124">
        <v>10440.5</v>
      </c>
      <c r="AU124">
        <v>831.22191999999995</v>
      </c>
      <c r="AV124">
        <v>1110.929332804501</v>
      </c>
      <c r="AW124">
        <f t="shared" si="165"/>
        <v>0.2517778625021897</v>
      </c>
      <c r="AX124">
        <v>0.5</v>
      </c>
      <c r="AY124">
        <f t="shared" si="166"/>
        <v>1513.100100328935</v>
      </c>
      <c r="AZ124">
        <f t="shared" si="167"/>
        <v>37.400570808281103</v>
      </c>
      <c r="BA124">
        <f t="shared" si="168"/>
        <v>190.48255450633403</v>
      </c>
      <c r="BB124">
        <f t="shared" si="169"/>
        <v>2.493159634205374E-2</v>
      </c>
      <c r="BC124">
        <f t="shared" si="170"/>
        <v>2.6476667600180428</v>
      </c>
      <c r="BD124">
        <f t="shared" si="171"/>
        <v>252.37807808962458</v>
      </c>
      <c r="BE124" t="s">
        <v>966</v>
      </c>
      <c r="BF124">
        <v>610.37</v>
      </c>
      <c r="BG124">
        <f t="shared" si="172"/>
        <v>610.37</v>
      </c>
      <c r="BH124">
        <f t="shared" si="173"/>
        <v>0.45057711415437829</v>
      </c>
      <c r="BI124">
        <f t="shared" si="174"/>
        <v>0.55878972675901317</v>
      </c>
      <c r="BJ124">
        <f t="shared" si="175"/>
        <v>0.85457015895021082</v>
      </c>
      <c r="BK124">
        <f t="shared" si="176"/>
        <v>0.34586548532912104</v>
      </c>
      <c r="BL124">
        <f t="shared" si="177"/>
        <v>0.78434710524006346</v>
      </c>
      <c r="BM124">
        <f t="shared" si="178"/>
        <v>0.41032181336351053</v>
      </c>
      <c r="BN124">
        <f t="shared" si="179"/>
        <v>0.58967818663648952</v>
      </c>
      <c r="BO124">
        <v>5678</v>
      </c>
      <c r="BP124">
        <v>290.00000000000011</v>
      </c>
      <c r="BQ124">
        <v>1042.6400000000001</v>
      </c>
      <c r="BR124">
        <v>205</v>
      </c>
      <c r="BS124">
        <v>10440.5</v>
      </c>
      <c r="BT124">
        <v>1039.07</v>
      </c>
      <c r="BU124">
        <v>3.57</v>
      </c>
      <c r="BV124">
        <v>300.00000000000011</v>
      </c>
      <c r="BW124">
        <v>38.299999999999997</v>
      </c>
      <c r="BX124">
        <v>1110.929332804501</v>
      </c>
      <c r="BY124">
        <v>1.446548852328948</v>
      </c>
      <c r="BZ124">
        <v>-75.025796659965764</v>
      </c>
      <c r="CA124">
        <v>1.2360775908355881</v>
      </c>
      <c r="CB124">
        <v>0.99245707140278128</v>
      </c>
      <c r="CC124">
        <v>-1.1333190433815371E-2</v>
      </c>
      <c r="CD124">
        <v>289.99999999999989</v>
      </c>
      <c r="CE124">
        <v>1034.49</v>
      </c>
      <c r="CF124">
        <v>695</v>
      </c>
      <c r="CG124">
        <v>10408.6</v>
      </c>
      <c r="CH124">
        <v>1038.8499999999999</v>
      </c>
      <c r="CI124">
        <v>-4.3600000000000003</v>
      </c>
      <c r="CW124">
        <f t="shared" si="180"/>
        <v>1799.9</v>
      </c>
      <c r="CX124">
        <f t="shared" si="181"/>
        <v>1513.100100328935</v>
      </c>
      <c r="CY124">
        <f t="shared" si="182"/>
        <v>0.84065787006441184</v>
      </c>
      <c r="CZ124">
        <f t="shared" si="183"/>
        <v>0.19131574012882382</v>
      </c>
      <c r="DA124">
        <v>6</v>
      </c>
      <c r="DB124">
        <v>0.5</v>
      </c>
      <c r="DC124" t="s">
        <v>419</v>
      </c>
      <c r="DD124">
        <v>2</v>
      </c>
      <c r="DE124">
        <v>1693346805.0999999</v>
      </c>
      <c r="DF124">
        <v>452.69600000000003</v>
      </c>
      <c r="DG124">
        <v>500.06400000000002</v>
      </c>
      <c r="DH124">
        <v>28.990500000000001</v>
      </c>
      <c r="DI124">
        <v>23.615500000000001</v>
      </c>
      <c r="DJ124">
        <v>454.47300000000001</v>
      </c>
      <c r="DK124">
        <v>28.529</v>
      </c>
      <c r="DL124">
        <v>500.20699999999999</v>
      </c>
      <c r="DM124">
        <v>98.713399999999993</v>
      </c>
      <c r="DN124">
        <v>9.9934400000000007E-2</v>
      </c>
      <c r="DO124">
        <v>30.489599999999999</v>
      </c>
      <c r="DP124">
        <v>30.022200000000002</v>
      </c>
      <c r="DQ124">
        <v>999.9</v>
      </c>
      <c r="DR124">
        <v>0</v>
      </c>
      <c r="DS124">
        <v>0</v>
      </c>
      <c r="DT124">
        <v>9990</v>
      </c>
      <c r="DU124">
        <v>0</v>
      </c>
      <c r="DV124">
        <v>237.946</v>
      </c>
      <c r="DW124">
        <v>-47.368099999999998</v>
      </c>
      <c r="DX124">
        <v>466.21199999999999</v>
      </c>
      <c r="DY124">
        <v>512.15899999999999</v>
      </c>
      <c r="DZ124">
        <v>5.375</v>
      </c>
      <c r="EA124">
        <v>500.06400000000002</v>
      </c>
      <c r="EB124">
        <v>23.615500000000001</v>
      </c>
      <c r="EC124">
        <v>2.8617499999999998</v>
      </c>
      <c r="ED124">
        <v>2.3311700000000002</v>
      </c>
      <c r="EE124">
        <v>23.244700000000002</v>
      </c>
      <c r="EF124">
        <v>19.8934</v>
      </c>
      <c r="EG124">
        <v>1799.9</v>
      </c>
      <c r="EH124">
        <v>0.97800699999999996</v>
      </c>
      <c r="EI124">
        <v>2.1992500000000002E-2</v>
      </c>
      <c r="EJ124">
        <v>0</v>
      </c>
      <c r="EK124">
        <v>831.42200000000003</v>
      </c>
      <c r="EL124">
        <v>4.9995000000000003</v>
      </c>
      <c r="EM124">
        <v>15423.4</v>
      </c>
      <c r="EN124">
        <v>16658.900000000001</v>
      </c>
      <c r="EO124">
        <v>49.25</v>
      </c>
      <c r="EP124">
        <v>49.75</v>
      </c>
      <c r="EQ124">
        <v>50.125</v>
      </c>
      <c r="ER124">
        <v>48.875</v>
      </c>
      <c r="ES124">
        <v>50.311999999999998</v>
      </c>
      <c r="ET124">
        <v>1755.43</v>
      </c>
      <c r="EU124">
        <v>39.47</v>
      </c>
      <c r="EV124">
        <v>0</v>
      </c>
      <c r="EW124">
        <v>112.80000019073491</v>
      </c>
      <c r="EX124">
        <v>0</v>
      </c>
      <c r="EY124">
        <v>831.22191999999995</v>
      </c>
      <c r="EZ124">
        <v>1.670000008826241</v>
      </c>
      <c r="FA124">
        <v>-22.030769188480811</v>
      </c>
      <c r="FB124">
        <v>15427.603999999999</v>
      </c>
      <c r="FC124">
        <v>15</v>
      </c>
      <c r="FD124">
        <v>1693346778.0999999</v>
      </c>
      <c r="FE124" t="s">
        <v>967</v>
      </c>
      <c r="FF124">
        <v>1693346766.5999999</v>
      </c>
      <c r="FG124">
        <v>1693346778.0999999</v>
      </c>
      <c r="FH124">
        <v>119</v>
      </c>
      <c r="FI124">
        <v>0.1</v>
      </c>
      <c r="FJ124">
        <v>8.0000000000000002E-3</v>
      </c>
      <c r="FK124">
        <v>-1.8360000000000001</v>
      </c>
      <c r="FL124">
        <v>0.219</v>
      </c>
      <c r="FM124">
        <v>500</v>
      </c>
      <c r="FN124">
        <v>23</v>
      </c>
      <c r="FO124">
        <v>0.13</v>
      </c>
      <c r="FP124">
        <v>0.05</v>
      </c>
      <c r="FQ124">
        <v>37.342324905316246</v>
      </c>
      <c r="FR124">
        <v>-0.54607759716428739</v>
      </c>
      <c r="FS124">
        <v>9.8048257408915276E-2</v>
      </c>
      <c r="FT124">
        <v>1</v>
      </c>
      <c r="FU124">
        <v>0.33691286016072602</v>
      </c>
      <c r="FV124">
        <v>1.22490361124991E-2</v>
      </c>
      <c r="FW124">
        <v>2.8082875393695339E-3</v>
      </c>
      <c r="FX124">
        <v>1</v>
      </c>
      <c r="FY124">
        <v>2</v>
      </c>
      <c r="FZ124">
        <v>2</v>
      </c>
      <c r="GA124" t="s">
        <v>421</v>
      </c>
      <c r="GB124">
        <v>2.9699800000000001</v>
      </c>
      <c r="GC124">
        <v>2.8115399999999999</v>
      </c>
      <c r="GD124">
        <v>0.10600800000000001</v>
      </c>
      <c r="GE124">
        <v>0.112571</v>
      </c>
      <c r="GF124">
        <v>0.134855</v>
      </c>
      <c r="GG124">
        <v>0.11650199999999999</v>
      </c>
      <c r="GH124">
        <v>26413.3</v>
      </c>
      <c r="GI124">
        <v>24142.799999999999</v>
      </c>
      <c r="GJ124">
        <v>26557.5</v>
      </c>
      <c r="GK124">
        <v>25670.1</v>
      </c>
      <c r="GL124">
        <v>31253.7</v>
      </c>
      <c r="GM124">
        <v>31964.3</v>
      </c>
      <c r="GN124">
        <v>37590.800000000003</v>
      </c>
      <c r="GO124">
        <v>37996.5</v>
      </c>
      <c r="GP124">
        <v>1.9614</v>
      </c>
      <c r="GQ124">
        <v>1.9797</v>
      </c>
      <c r="GR124">
        <v>6.3866400000000004E-2</v>
      </c>
      <c r="GS124">
        <v>0</v>
      </c>
      <c r="GT124">
        <v>28.982099999999999</v>
      </c>
      <c r="GU124">
        <v>999.9</v>
      </c>
      <c r="GV124">
        <v>50.1</v>
      </c>
      <c r="GW124">
        <v>35</v>
      </c>
      <c r="GX124">
        <v>28.666</v>
      </c>
      <c r="GY124">
        <v>61.635100000000001</v>
      </c>
      <c r="GZ124">
        <v>12.463900000000001</v>
      </c>
      <c r="HA124">
        <v>1</v>
      </c>
      <c r="HB124">
        <v>0.36807899999999999</v>
      </c>
      <c r="HC124">
        <v>2.05471</v>
      </c>
      <c r="HD124">
        <v>20.294499999999999</v>
      </c>
      <c r="HE124">
        <v>5.2065099999999997</v>
      </c>
      <c r="HF124">
        <v>11.933299999999999</v>
      </c>
      <c r="HG124">
        <v>4.9874000000000001</v>
      </c>
      <c r="HH124">
        <v>3.2909999999999999</v>
      </c>
      <c r="HI124">
        <v>9999</v>
      </c>
      <c r="HJ124">
        <v>9999</v>
      </c>
      <c r="HK124">
        <v>9999</v>
      </c>
      <c r="HL124">
        <v>999.9</v>
      </c>
      <c r="HM124">
        <v>1.8699600000000001</v>
      </c>
      <c r="HN124">
        <v>1.87622</v>
      </c>
      <c r="HO124">
        <v>1.8739399999999999</v>
      </c>
      <c r="HP124">
        <v>1.87225</v>
      </c>
      <c r="HQ124">
        <v>1.8727100000000001</v>
      </c>
      <c r="HR124">
        <v>1.87012</v>
      </c>
      <c r="HS124">
        <v>1.8760699999999999</v>
      </c>
      <c r="HT124">
        <v>1.87507</v>
      </c>
      <c r="HU124">
        <v>5</v>
      </c>
      <c r="HV124">
        <v>0</v>
      </c>
      <c r="HW124">
        <v>0</v>
      </c>
      <c r="HX124">
        <v>0</v>
      </c>
      <c r="HY124" t="s">
        <v>422</v>
      </c>
      <c r="HZ124" t="s">
        <v>423</v>
      </c>
      <c r="IA124" t="s">
        <v>424</v>
      </c>
      <c r="IB124" t="s">
        <v>424</v>
      </c>
      <c r="IC124" t="s">
        <v>424</v>
      </c>
      <c r="ID124" t="s">
        <v>424</v>
      </c>
      <c r="IE124">
        <v>0</v>
      </c>
      <c r="IF124">
        <v>100</v>
      </c>
      <c r="IG124">
        <v>100</v>
      </c>
      <c r="IH124">
        <v>-1.7769999999999999</v>
      </c>
      <c r="II124">
        <v>0.46150000000000002</v>
      </c>
      <c r="IJ124">
        <v>-0.9014608828620565</v>
      </c>
      <c r="IK124">
        <v>-2.677719669153116E-3</v>
      </c>
      <c r="IL124">
        <v>1.9353498771248068E-6</v>
      </c>
      <c r="IM124">
        <v>-6.1862177325538213E-10</v>
      </c>
      <c r="IN124">
        <v>-0.1779592486887904</v>
      </c>
      <c r="IO124">
        <v>-1.5299015507423901E-2</v>
      </c>
      <c r="IP124">
        <v>1.742162107778985E-3</v>
      </c>
      <c r="IQ124">
        <v>-1.472690239905804E-5</v>
      </c>
      <c r="IR124">
        <v>3</v>
      </c>
      <c r="IS124">
        <v>2255</v>
      </c>
      <c r="IT124">
        <v>2</v>
      </c>
      <c r="IU124">
        <v>41</v>
      </c>
      <c r="IV124">
        <v>0.6</v>
      </c>
      <c r="IW124">
        <v>0.5</v>
      </c>
      <c r="IX124">
        <v>1.1413599999999999</v>
      </c>
      <c r="IY124">
        <v>2.5097700000000001</v>
      </c>
      <c r="IZ124">
        <v>1.5991200000000001</v>
      </c>
      <c r="JA124">
        <v>2.2705099999999998</v>
      </c>
      <c r="JB124">
        <v>1.5502899999999999</v>
      </c>
      <c r="JC124">
        <v>2.4121100000000002</v>
      </c>
      <c r="JD124">
        <v>37.747</v>
      </c>
      <c r="JE124">
        <v>15.1652</v>
      </c>
      <c r="JF124">
        <v>18</v>
      </c>
      <c r="JG124">
        <v>506.78899999999999</v>
      </c>
      <c r="JH124">
        <v>487.346</v>
      </c>
      <c r="JI124">
        <v>26.591699999999999</v>
      </c>
      <c r="JJ124">
        <v>32.077800000000003</v>
      </c>
      <c r="JK124">
        <v>29.999700000000001</v>
      </c>
      <c r="JL124">
        <v>32.209200000000003</v>
      </c>
      <c r="JM124">
        <v>32.193199999999997</v>
      </c>
      <c r="JN124">
        <v>22.880299999999998</v>
      </c>
      <c r="JO124">
        <v>28.4634</v>
      </c>
      <c r="JP124">
        <v>51.265599999999999</v>
      </c>
      <c r="JQ124">
        <v>26.594100000000001</v>
      </c>
      <c r="JR124">
        <v>500</v>
      </c>
      <c r="JS124">
        <v>23.558800000000002</v>
      </c>
      <c r="JT124">
        <v>99.147300000000001</v>
      </c>
      <c r="JU124">
        <v>98.685299999999998</v>
      </c>
    </row>
    <row r="125" spans="1:281" x14ac:dyDescent="0.25">
      <c r="A125">
        <v>109</v>
      </c>
      <c r="B125">
        <v>1693346920.5999999</v>
      </c>
      <c r="C125">
        <v>24623.5</v>
      </c>
      <c r="D125" t="s">
        <v>968</v>
      </c>
      <c r="E125" t="s">
        <v>969</v>
      </c>
      <c r="F125" t="s">
        <v>413</v>
      </c>
      <c r="G125" t="s">
        <v>493</v>
      </c>
      <c r="H125" t="s">
        <v>31</v>
      </c>
      <c r="I125" t="s">
        <v>31</v>
      </c>
      <c r="J125">
        <v>1693346920.5999999</v>
      </c>
      <c r="K125">
        <f t="shared" si="138"/>
        <v>4.3239391741978451E-3</v>
      </c>
      <c r="L125">
        <f t="shared" si="139"/>
        <v>4.3239391741978448</v>
      </c>
      <c r="M125">
        <f t="shared" si="140"/>
        <v>37.393639186097332</v>
      </c>
      <c r="N125">
        <f t="shared" si="141"/>
        <v>651.75900000000001</v>
      </c>
      <c r="O125">
        <f t="shared" si="142"/>
        <v>434.14163734120677</v>
      </c>
      <c r="P125">
        <f t="shared" si="143"/>
        <v>42.899262201117985</v>
      </c>
      <c r="Q125">
        <f t="shared" si="144"/>
        <v>64.402899487301994</v>
      </c>
      <c r="R125">
        <f t="shared" si="145"/>
        <v>0.30682872185799337</v>
      </c>
      <c r="S125">
        <f t="shared" si="146"/>
        <v>2.902519016736079</v>
      </c>
      <c r="T125">
        <f t="shared" si="147"/>
        <v>0.28988086736112895</v>
      </c>
      <c r="U125">
        <f t="shared" si="148"/>
        <v>0.18262018642764086</v>
      </c>
      <c r="V125">
        <f t="shared" si="149"/>
        <v>344.32510065808424</v>
      </c>
      <c r="W125">
        <f t="shared" si="150"/>
        <v>31.315519951104033</v>
      </c>
      <c r="X125">
        <f t="shared" si="151"/>
        <v>30.005299999999998</v>
      </c>
      <c r="Y125">
        <f t="shared" si="152"/>
        <v>4.261746943226159</v>
      </c>
      <c r="Z125">
        <f t="shared" si="153"/>
        <v>65.151533599363788</v>
      </c>
      <c r="AA125">
        <f t="shared" si="154"/>
        <v>2.8407832907263995</v>
      </c>
      <c r="AB125">
        <f t="shared" si="155"/>
        <v>4.3602707930026989</v>
      </c>
      <c r="AC125">
        <f t="shared" si="156"/>
        <v>1.4209636524997595</v>
      </c>
      <c r="AD125">
        <f t="shared" si="157"/>
        <v>-190.68571758212497</v>
      </c>
      <c r="AE125">
        <f t="shared" si="158"/>
        <v>62.35752118426511</v>
      </c>
      <c r="AF125">
        <f t="shared" si="159"/>
        <v>4.7866569879109999</v>
      </c>
      <c r="AG125">
        <f t="shared" si="160"/>
        <v>220.78356124813536</v>
      </c>
      <c r="AH125">
        <v>0</v>
      </c>
      <c r="AI125">
        <v>0</v>
      </c>
      <c r="AJ125">
        <f t="shared" si="161"/>
        <v>1</v>
      </c>
      <c r="AK125">
        <f t="shared" si="162"/>
        <v>0</v>
      </c>
      <c r="AL125">
        <f t="shared" si="163"/>
        <v>51487.733396030213</v>
      </c>
      <c r="AM125" t="s">
        <v>416</v>
      </c>
      <c r="AN125">
        <v>10238.9</v>
      </c>
      <c r="AO125">
        <v>302.21199999999999</v>
      </c>
      <c r="AP125">
        <v>4052.3</v>
      </c>
      <c r="AQ125">
        <f t="shared" si="164"/>
        <v>0.92542210596451402</v>
      </c>
      <c r="AR125">
        <v>-0.32343011824092421</v>
      </c>
      <c r="AS125" t="s">
        <v>970</v>
      </c>
      <c r="AT125">
        <v>10454.4</v>
      </c>
      <c r="AU125">
        <v>834.40699999999993</v>
      </c>
      <c r="AV125">
        <v>1121.242073003777</v>
      </c>
      <c r="AW125">
        <f t="shared" si="165"/>
        <v>0.25581904203376327</v>
      </c>
      <c r="AX125">
        <v>0.5</v>
      </c>
      <c r="AY125">
        <f t="shared" si="166"/>
        <v>1512.9912003290419</v>
      </c>
      <c r="AZ125">
        <f t="shared" si="167"/>
        <v>37.393639186097332</v>
      </c>
      <c r="BA125">
        <f t="shared" si="168"/>
        <v>193.52597973684456</v>
      </c>
      <c r="BB125">
        <f t="shared" si="169"/>
        <v>2.4928809431367233E-2</v>
      </c>
      <c r="BC125">
        <f t="shared" si="170"/>
        <v>2.6141169668597954</v>
      </c>
      <c r="BD125">
        <f t="shared" si="171"/>
        <v>252.90652324099881</v>
      </c>
      <c r="BE125" t="s">
        <v>971</v>
      </c>
      <c r="BF125">
        <v>609.23</v>
      </c>
      <c r="BG125">
        <f t="shared" si="172"/>
        <v>609.23</v>
      </c>
      <c r="BH125">
        <f t="shared" si="173"/>
        <v>0.45664721769859262</v>
      </c>
      <c r="BI125">
        <f t="shared" si="174"/>
        <v>0.56021154212443969</v>
      </c>
      <c r="BJ125">
        <f t="shared" si="175"/>
        <v>0.85129199435277902</v>
      </c>
      <c r="BK125">
        <f t="shared" si="176"/>
        <v>0.35021311482716988</v>
      </c>
      <c r="BL125">
        <f t="shared" si="177"/>
        <v>0.78159710572024521</v>
      </c>
      <c r="BM125">
        <f t="shared" si="178"/>
        <v>0.40903021883621837</v>
      </c>
      <c r="BN125">
        <f t="shared" si="179"/>
        <v>0.59096978116378163</v>
      </c>
      <c r="BO125">
        <v>5680</v>
      </c>
      <c r="BP125">
        <v>290.00000000000011</v>
      </c>
      <c r="BQ125">
        <v>1050.19</v>
      </c>
      <c r="BR125">
        <v>145</v>
      </c>
      <c r="BS125">
        <v>10454.4</v>
      </c>
      <c r="BT125">
        <v>1048.0999999999999</v>
      </c>
      <c r="BU125">
        <v>2.09</v>
      </c>
      <c r="BV125">
        <v>300.00000000000011</v>
      </c>
      <c r="BW125">
        <v>38.299999999999997</v>
      </c>
      <c r="BX125">
        <v>1121.242073003777</v>
      </c>
      <c r="BY125">
        <v>1.191692450325549</v>
      </c>
      <c r="BZ125">
        <v>-76.464286731578554</v>
      </c>
      <c r="CA125">
        <v>1.018419236586642</v>
      </c>
      <c r="CB125">
        <v>0.99505755169195176</v>
      </c>
      <c r="CC125">
        <v>-1.133440355951057E-2</v>
      </c>
      <c r="CD125">
        <v>289.99999999999989</v>
      </c>
      <c r="CE125">
        <v>1043.45</v>
      </c>
      <c r="CF125">
        <v>685</v>
      </c>
      <c r="CG125">
        <v>10410.700000000001</v>
      </c>
      <c r="CH125">
        <v>1047.79</v>
      </c>
      <c r="CI125">
        <v>-4.34</v>
      </c>
      <c r="CW125">
        <f t="shared" si="180"/>
        <v>1799.77</v>
      </c>
      <c r="CX125">
        <f t="shared" si="181"/>
        <v>1512.9912003290419</v>
      </c>
      <c r="CY125">
        <f t="shared" si="182"/>
        <v>0.84065808427134692</v>
      </c>
      <c r="CZ125">
        <f t="shared" si="183"/>
        <v>0.19131616854269393</v>
      </c>
      <c r="DA125">
        <v>6</v>
      </c>
      <c r="DB125">
        <v>0.5</v>
      </c>
      <c r="DC125" t="s">
        <v>419</v>
      </c>
      <c r="DD125">
        <v>2</v>
      </c>
      <c r="DE125">
        <v>1693346920.5999999</v>
      </c>
      <c r="DF125">
        <v>651.75900000000001</v>
      </c>
      <c r="DG125">
        <v>700.00400000000002</v>
      </c>
      <c r="DH125">
        <v>28.748799999999999</v>
      </c>
      <c r="DI125">
        <v>23.7102</v>
      </c>
      <c r="DJ125">
        <v>653.72699999999998</v>
      </c>
      <c r="DK125">
        <v>28.2989</v>
      </c>
      <c r="DL125">
        <v>500.09500000000003</v>
      </c>
      <c r="DM125">
        <v>98.713899999999995</v>
      </c>
      <c r="DN125">
        <v>0.100078</v>
      </c>
      <c r="DO125">
        <v>30.4038</v>
      </c>
      <c r="DP125">
        <v>30.005299999999998</v>
      </c>
      <c r="DQ125">
        <v>999.9</v>
      </c>
      <c r="DR125">
        <v>0</v>
      </c>
      <c r="DS125">
        <v>0</v>
      </c>
      <c r="DT125">
        <v>9975</v>
      </c>
      <c r="DU125">
        <v>0</v>
      </c>
      <c r="DV125">
        <v>227.09</v>
      </c>
      <c r="DW125">
        <v>-48.245699999999999</v>
      </c>
      <c r="DX125">
        <v>671.05100000000004</v>
      </c>
      <c r="DY125">
        <v>717.005</v>
      </c>
      <c r="DZ125">
        <v>5.0385900000000001</v>
      </c>
      <c r="EA125">
        <v>700.00400000000002</v>
      </c>
      <c r="EB125">
        <v>23.7102</v>
      </c>
      <c r="EC125">
        <v>2.8379099999999999</v>
      </c>
      <c r="ED125">
        <v>2.3405300000000002</v>
      </c>
      <c r="EE125">
        <v>23.106300000000001</v>
      </c>
      <c r="EF125">
        <v>19.958100000000002</v>
      </c>
      <c r="EG125">
        <v>1799.77</v>
      </c>
      <c r="EH125">
        <v>0.97800399999999998</v>
      </c>
      <c r="EI125">
        <v>2.1996100000000001E-2</v>
      </c>
      <c r="EJ125">
        <v>0</v>
      </c>
      <c r="EK125">
        <v>834.28</v>
      </c>
      <c r="EL125">
        <v>4.9995000000000003</v>
      </c>
      <c r="EM125">
        <v>15466.6</v>
      </c>
      <c r="EN125">
        <v>16657.7</v>
      </c>
      <c r="EO125">
        <v>49.061999999999998</v>
      </c>
      <c r="EP125">
        <v>49.561999999999998</v>
      </c>
      <c r="EQ125">
        <v>49.875</v>
      </c>
      <c r="ER125">
        <v>48.686999999999998</v>
      </c>
      <c r="ES125">
        <v>50.125</v>
      </c>
      <c r="ET125">
        <v>1755.29</v>
      </c>
      <c r="EU125">
        <v>39.479999999999997</v>
      </c>
      <c r="EV125">
        <v>0</v>
      </c>
      <c r="EW125">
        <v>113.4000000953674</v>
      </c>
      <c r="EX125">
        <v>0</v>
      </c>
      <c r="EY125">
        <v>834.40699999999993</v>
      </c>
      <c r="EZ125">
        <v>1.1420170918751491</v>
      </c>
      <c r="FA125">
        <v>43.282051210699201</v>
      </c>
      <c r="FB125">
        <v>15462.82307692307</v>
      </c>
      <c r="FC125">
        <v>15</v>
      </c>
      <c r="FD125">
        <v>1693346891.5999999</v>
      </c>
      <c r="FE125" t="s">
        <v>972</v>
      </c>
      <c r="FF125">
        <v>1693346884.5999999</v>
      </c>
      <c r="FG125">
        <v>1693346891.5999999</v>
      </c>
      <c r="FH125">
        <v>120</v>
      </c>
      <c r="FI125">
        <v>2.9000000000000001E-2</v>
      </c>
      <c r="FJ125">
        <v>-1E-3</v>
      </c>
      <c r="FK125">
        <v>-2.0129999999999999</v>
      </c>
      <c r="FL125">
        <v>0.217</v>
      </c>
      <c r="FM125">
        <v>700</v>
      </c>
      <c r="FN125">
        <v>23</v>
      </c>
      <c r="FO125">
        <v>0.16</v>
      </c>
      <c r="FP125">
        <v>0.05</v>
      </c>
      <c r="FQ125">
        <v>37.57241776049441</v>
      </c>
      <c r="FR125">
        <v>-0.42167898932206582</v>
      </c>
      <c r="FS125">
        <v>7.7363290713857849E-2</v>
      </c>
      <c r="FT125">
        <v>1</v>
      </c>
      <c r="FU125">
        <v>0.31072449346866449</v>
      </c>
      <c r="FV125">
        <v>1.4312436557880059E-2</v>
      </c>
      <c r="FW125">
        <v>2.1423254988536381E-3</v>
      </c>
      <c r="FX125">
        <v>1</v>
      </c>
      <c r="FY125">
        <v>2</v>
      </c>
      <c r="FZ125">
        <v>2</v>
      </c>
      <c r="GA125" t="s">
        <v>421</v>
      </c>
      <c r="GB125">
        <v>2.96984</v>
      </c>
      <c r="GC125">
        <v>2.81155</v>
      </c>
      <c r="GD125">
        <v>0.137986</v>
      </c>
      <c r="GE125">
        <v>0.143096</v>
      </c>
      <c r="GF125">
        <v>0.13414999999999999</v>
      </c>
      <c r="GG125">
        <v>0.11687599999999999</v>
      </c>
      <c r="GH125">
        <v>25474.6</v>
      </c>
      <c r="GI125">
        <v>23318.400000000001</v>
      </c>
      <c r="GJ125">
        <v>26563.9</v>
      </c>
      <c r="GK125">
        <v>25676.9</v>
      </c>
      <c r="GL125">
        <v>31287.4</v>
      </c>
      <c r="GM125">
        <v>31961</v>
      </c>
      <c r="GN125">
        <v>37599.4</v>
      </c>
      <c r="GO125">
        <v>38006.300000000003</v>
      </c>
      <c r="GP125">
        <v>1.9633</v>
      </c>
      <c r="GQ125">
        <v>1.9833000000000001</v>
      </c>
      <c r="GR125">
        <v>6.6786999999999999E-2</v>
      </c>
      <c r="GS125">
        <v>0</v>
      </c>
      <c r="GT125">
        <v>28.917400000000001</v>
      </c>
      <c r="GU125">
        <v>999.9</v>
      </c>
      <c r="GV125">
        <v>50.2</v>
      </c>
      <c r="GW125">
        <v>35</v>
      </c>
      <c r="GX125">
        <v>28.723800000000001</v>
      </c>
      <c r="GY125">
        <v>61.3551</v>
      </c>
      <c r="GZ125">
        <v>12.692299999999999</v>
      </c>
      <c r="HA125">
        <v>1</v>
      </c>
      <c r="HB125">
        <v>0.35387200000000002</v>
      </c>
      <c r="HC125">
        <v>1.8520399999999999</v>
      </c>
      <c r="HD125">
        <v>20.2972</v>
      </c>
      <c r="HE125">
        <v>5.2083000000000004</v>
      </c>
      <c r="HF125">
        <v>11.932700000000001</v>
      </c>
      <c r="HG125">
        <v>4.9875999999999996</v>
      </c>
      <c r="HH125">
        <v>3.2909999999999999</v>
      </c>
      <c r="HI125">
        <v>9999</v>
      </c>
      <c r="HJ125">
        <v>9999</v>
      </c>
      <c r="HK125">
        <v>9999</v>
      </c>
      <c r="HL125">
        <v>999.9</v>
      </c>
      <c r="HM125">
        <v>1.8699600000000001</v>
      </c>
      <c r="HN125">
        <v>1.8762099999999999</v>
      </c>
      <c r="HO125">
        <v>1.8739300000000001</v>
      </c>
      <c r="HP125">
        <v>1.8722300000000001</v>
      </c>
      <c r="HQ125">
        <v>1.87269</v>
      </c>
      <c r="HR125">
        <v>1.87012</v>
      </c>
      <c r="HS125">
        <v>1.8760699999999999</v>
      </c>
      <c r="HT125">
        <v>1.8751</v>
      </c>
      <c r="HU125">
        <v>5</v>
      </c>
      <c r="HV125">
        <v>0</v>
      </c>
      <c r="HW125">
        <v>0</v>
      </c>
      <c r="HX125">
        <v>0</v>
      </c>
      <c r="HY125" t="s">
        <v>422</v>
      </c>
      <c r="HZ125" t="s">
        <v>423</v>
      </c>
      <c r="IA125" t="s">
        <v>424</v>
      </c>
      <c r="IB125" t="s">
        <v>424</v>
      </c>
      <c r="IC125" t="s">
        <v>424</v>
      </c>
      <c r="ID125" t="s">
        <v>424</v>
      </c>
      <c r="IE125">
        <v>0</v>
      </c>
      <c r="IF125">
        <v>100</v>
      </c>
      <c r="IG125">
        <v>100</v>
      </c>
      <c r="IH125">
        <v>-1.968</v>
      </c>
      <c r="II125">
        <v>0.44990000000000002</v>
      </c>
      <c r="IJ125">
        <v>-0.87237208045583792</v>
      </c>
      <c r="IK125">
        <v>-2.677719669153116E-3</v>
      </c>
      <c r="IL125">
        <v>1.9353498771248068E-6</v>
      </c>
      <c r="IM125">
        <v>-6.1862177325538213E-10</v>
      </c>
      <c r="IN125">
        <v>-0.1786136993112116</v>
      </c>
      <c r="IO125">
        <v>-1.5299015507423901E-2</v>
      </c>
      <c r="IP125">
        <v>1.742162107778985E-3</v>
      </c>
      <c r="IQ125">
        <v>-1.472690239905804E-5</v>
      </c>
      <c r="IR125">
        <v>3</v>
      </c>
      <c r="IS125">
        <v>2255</v>
      </c>
      <c r="IT125">
        <v>2</v>
      </c>
      <c r="IU125">
        <v>41</v>
      </c>
      <c r="IV125">
        <v>0.6</v>
      </c>
      <c r="IW125">
        <v>0.5</v>
      </c>
      <c r="IX125">
        <v>1.4978</v>
      </c>
      <c r="IY125">
        <v>2.5158700000000001</v>
      </c>
      <c r="IZ125">
        <v>1.5991200000000001</v>
      </c>
      <c r="JA125">
        <v>2.2692899999999998</v>
      </c>
      <c r="JB125">
        <v>1.5502899999999999</v>
      </c>
      <c r="JC125">
        <v>2.2595200000000002</v>
      </c>
      <c r="JD125">
        <v>37.650399999999998</v>
      </c>
      <c r="JE125">
        <v>15.1302</v>
      </c>
      <c r="JF125">
        <v>18</v>
      </c>
      <c r="JG125">
        <v>506.58699999999999</v>
      </c>
      <c r="JH125">
        <v>488.279</v>
      </c>
      <c r="JI125">
        <v>26.6968</v>
      </c>
      <c r="JJ125">
        <v>31.906099999999999</v>
      </c>
      <c r="JK125">
        <v>29.999600000000001</v>
      </c>
      <c r="JL125">
        <v>32.031100000000002</v>
      </c>
      <c r="JM125">
        <v>32.017400000000002</v>
      </c>
      <c r="JN125">
        <v>30.004899999999999</v>
      </c>
      <c r="JO125">
        <v>28.1264</v>
      </c>
      <c r="JP125">
        <v>51.426600000000001</v>
      </c>
      <c r="JQ125">
        <v>26.702400000000001</v>
      </c>
      <c r="JR125">
        <v>700</v>
      </c>
      <c r="JS125">
        <v>23.709199999999999</v>
      </c>
      <c r="JT125">
        <v>99.170500000000004</v>
      </c>
      <c r="JU125">
        <v>98.710999999999999</v>
      </c>
    </row>
    <row r="126" spans="1:281" x14ac:dyDescent="0.25">
      <c r="A126">
        <v>110</v>
      </c>
      <c r="B126">
        <v>1693347022.5999999</v>
      </c>
      <c r="C126">
        <v>24725.5</v>
      </c>
      <c r="D126" t="s">
        <v>973</v>
      </c>
      <c r="E126" t="s">
        <v>974</v>
      </c>
      <c r="F126" t="s">
        <v>413</v>
      </c>
      <c r="G126" t="s">
        <v>493</v>
      </c>
      <c r="H126" t="s">
        <v>31</v>
      </c>
      <c r="I126" t="s">
        <v>31</v>
      </c>
      <c r="J126">
        <v>1693347022.5999999</v>
      </c>
      <c r="K126">
        <f t="shared" si="138"/>
        <v>3.9043735158267056E-3</v>
      </c>
      <c r="L126">
        <f t="shared" si="139"/>
        <v>3.9043735158267054</v>
      </c>
      <c r="M126">
        <f t="shared" si="140"/>
        <v>37.051604210020521</v>
      </c>
      <c r="N126">
        <f t="shared" si="141"/>
        <v>851.49800000000005</v>
      </c>
      <c r="O126">
        <f t="shared" si="142"/>
        <v>607.26801543508941</v>
      </c>
      <c r="P126">
        <f t="shared" si="143"/>
        <v>60.006686127301585</v>
      </c>
      <c r="Q126">
        <f t="shared" si="144"/>
        <v>84.140069829655999</v>
      </c>
      <c r="R126">
        <f t="shared" si="145"/>
        <v>0.27302365540625895</v>
      </c>
      <c r="S126">
        <f t="shared" si="146"/>
        <v>2.9077665594007311</v>
      </c>
      <c r="T126">
        <f t="shared" si="147"/>
        <v>0.25953936115538978</v>
      </c>
      <c r="U126">
        <f t="shared" si="148"/>
        <v>0.16336809740755898</v>
      </c>
      <c r="V126">
        <f t="shared" si="149"/>
        <v>344.39790065811201</v>
      </c>
      <c r="W126">
        <f t="shared" si="150"/>
        <v>31.359084679337517</v>
      </c>
      <c r="X126">
        <f t="shared" si="151"/>
        <v>30.005600000000001</v>
      </c>
      <c r="Y126">
        <f t="shared" si="152"/>
        <v>4.2618203782803237</v>
      </c>
      <c r="Z126">
        <f t="shared" si="153"/>
        <v>65.115135423300956</v>
      </c>
      <c r="AA126">
        <f t="shared" si="154"/>
        <v>2.8286446062548003</v>
      </c>
      <c r="AB126">
        <f t="shared" si="155"/>
        <v>4.3440662264868628</v>
      </c>
      <c r="AC126">
        <f t="shared" si="156"/>
        <v>1.4331757720255234</v>
      </c>
      <c r="AD126">
        <f t="shared" si="157"/>
        <v>-172.18287204795772</v>
      </c>
      <c r="AE126">
        <f t="shared" si="158"/>
        <v>52.233601782037027</v>
      </c>
      <c r="AF126">
        <f t="shared" si="159"/>
        <v>4.001012432009154</v>
      </c>
      <c r="AG126">
        <f t="shared" si="160"/>
        <v>228.44964282420045</v>
      </c>
      <c r="AH126">
        <v>0</v>
      </c>
      <c r="AI126">
        <v>0</v>
      </c>
      <c r="AJ126">
        <f t="shared" si="161"/>
        <v>1</v>
      </c>
      <c r="AK126">
        <f t="shared" si="162"/>
        <v>0</v>
      </c>
      <c r="AL126">
        <f t="shared" si="163"/>
        <v>51647.452212070901</v>
      </c>
      <c r="AM126" t="s">
        <v>416</v>
      </c>
      <c r="AN126">
        <v>10238.9</v>
      </c>
      <c r="AO126">
        <v>302.21199999999999</v>
      </c>
      <c r="AP126">
        <v>4052.3</v>
      </c>
      <c r="AQ126">
        <f t="shared" si="164"/>
        <v>0.92542210596451402</v>
      </c>
      <c r="AR126">
        <v>-0.32343011824092421</v>
      </c>
      <c r="AS126" t="s">
        <v>975</v>
      </c>
      <c r="AT126">
        <v>10458.799999999999</v>
      </c>
      <c r="AU126">
        <v>834.38132000000007</v>
      </c>
      <c r="AV126">
        <v>1120.801207446666</v>
      </c>
      <c r="AW126">
        <f t="shared" si="165"/>
        <v>0.25554923169575139</v>
      </c>
      <c r="AX126">
        <v>0.5</v>
      </c>
      <c r="AY126">
        <f t="shared" si="166"/>
        <v>1513.3107003290561</v>
      </c>
      <c r="AZ126">
        <f t="shared" si="167"/>
        <v>37.051604210020521</v>
      </c>
      <c r="BA126">
        <f t="shared" si="168"/>
        <v>193.36269339302487</v>
      </c>
      <c r="BB126">
        <f t="shared" si="169"/>
        <v>2.4697528617312076E-2</v>
      </c>
      <c r="BC126">
        <f t="shared" si="170"/>
        <v>2.6155385746163478</v>
      </c>
      <c r="BD126">
        <f t="shared" si="171"/>
        <v>252.88408650246095</v>
      </c>
      <c r="BE126" t="s">
        <v>976</v>
      </c>
      <c r="BF126">
        <v>610.23</v>
      </c>
      <c r="BG126">
        <f t="shared" si="172"/>
        <v>610.23</v>
      </c>
      <c r="BH126">
        <f t="shared" si="173"/>
        <v>0.45554127177451476</v>
      </c>
      <c r="BI126">
        <f t="shared" si="174"/>
        <v>0.56097931741790441</v>
      </c>
      <c r="BJ126">
        <f t="shared" si="175"/>
        <v>0.85166739565242255</v>
      </c>
      <c r="BK126">
        <f t="shared" si="176"/>
        <v>0.34989453176406216</v>
      </c>
      <c r="BL126">
        <f t="shared" si="177"/>
        <v>0.78171466711003423</v>
      </c>
      <c r="BM126">
        <f t="shared" si="178"/>
        <v>0.41027573444229043</v>
      </c>
      <c r="BN126">
        <f t="shared" si="179"/>
        <v>0.58972426555770951</v>
      </c>
      <c r="BO126">
        <v>5682</v>
      </c>
      <c r="BP126">
        <v>290.00000000000011</v>
      </c>
      <c r="BQ126">
        <v>1050.3800000000001</v>
      </c>
      <c r="BR126">
        <v>135</v>
      </c>
      <c r="BS126">
        <v>10458.799999999999</v>
      </c>
      <c r="BT126">
        <v>1048.0999999999999</v>
      </c>
      <c r="BU126">
        <v>2.2799999999999998</v>
      </c>
      <c r="BV126">
        <v>300.00000000000011</v>
      </c>
      <c r="BW126">
        <v>38.299999999999997</v>
      </c>
      <c r="BX126">
        <v>1120.801207446666</v>
      </c>
      <c r="BY126">
        <v>1.289153728066923</v>
      </c>
      <c r="BZ126">
        <v>-76.036993560792098</v>
      </c>
      <c r="CA126">
        <v>1.101947836616048</v>
      </c>
      <c r="CB126">
        <v>0.99415366431062335</v>
      </c>
      <c r="CC126">
        <v>-1.133656195773082E-2</v>
      </c>
      <c r="CD126">
        <v>289.99999999999989</v>
      </c>
      <c r="CE126">
        <v>1043.92</v>
      </c>
      <c r="CF126">
        <v>665</v>
      </c>
      <c r="CG126">
        <v>10415.1</v>
      </c>
      <c r="CH126">
        <v>1047.79</v>
      </c>
      <c r="CI126">
        <v>-3.87</v>
      </c>
      <c r="CW126">
        <f t="shared" si="180"/>
        <v>1800.15</v>
      </c>
      <c r="CX126">
        <f t="shared" si="181"/>
        <v>1513.3107003290561</v>
      </c>
      <c r="CY126">
        <f t="shared" si="182"/>
        <v>0.84065811200680829</v>
      </c>
      <c r="CZ126">
        <f t="shared" si="183"/>
        <v>0.19131622401361664</v>
      </c>
      <c r="DA126">
        <v>6</v>
      </c>
      <c r="DB126">
        <v>0.5</v>
      </c>
      <c r="DC126" t="s">
        <v>419</v>
      </c>
      <c r="DD126">
        <v>2</v>
      </c>
      <c r="DE126">
        <v>1693347022.5999999</v>
      </c>
      <c r="DF126">
        <v>851.49800000000005</v>
      </c>
      <c r="DG126">
        <v>899.93100000000004</v>
      </c>
      <c r="DH126">
        <v>28.625900000000001</v>
      </c>
      <c r="DI126">
        <v>24.076499999999999</v>
      </c>
      <c r="DJ126">
        <v>853.59500000000003</v>
      </c>
      <c r="DK126">
        <v>28.182099999999998</v>
      </c>
      <c r="DL126">
        <v>500.19</v>
      </c>
      <c r="DM126">
        <v>98.714100000000002</v>
      </c>
      <c r="DN126">
        <v>0.10007199999999999</v>
      </c>
      <c r="DO126">
        <v>30.338799999999999</v>
      </c>
      <c r="DP126">
        <v>30.005600000000001</v>
      </c>
      <c r="DQ126">
        <v>999.9</v>
      </c>
      <c r="DR126">
        <v>0</v>
      </c>
      <c r="DS126">
        <v>0</v>
      </c>
      <c r="DT126">
        <v>10005</v>
      </c>
      <c r="DU126">
        <v>0</v>
      </c>
      <c r="DV126">
        <v>248.93299999999999</v>
      </c>
      <c r="DW126">
        <v>-48.433500000000002</v>
      </c>
      <c r="DX126">
        <v>876.59100000000001</v>
      </c>
      <c r="DY126">
        <v>922.13300000000004</v>
      </c>
      <c r="DZ126">
        <v>4.54941</v>
      </c>
      <c r="EA126">
        <v>899.93100000000004</v>
      </c>
      <c r="EB126">
        <v>24.076499999999999</v>
      </c>
      <c r="EC126">
        <v>2.82578</v>
      </c>
      <c r="ED126">
        <v>2.37669</v>
      </c>
      <c r="EE126">
        <v>23.035499999999999</v>
      </c>
      <c r="EF126">
        <v>20.2058</v>
      </c>
      <c r="EG126">
        <v>1800.15</v>
      </c>
      <c r="EH126">
        <v>0.97800399999999998</v>
      </c>
      <c r="EI126">
        <v>2.1996100000000001E-2</v>
      </c>
      <c r="EJ126">
        <v>0</v>
      </c>
      <c r="EK126">
        <v>834.36</v>
      </c>
      <c r="EL126">
        <v>4.9995000000000003</v>
      </c>
      <c r="EM126">
        <v>15492.1</v>
      </c>
      <c r="EN126">
        <v>16661.3</v>
      </c>
      <c r="EO126">
        <v>48.875</v>
      </c>
      <c r="EP126">
        <v>49.311999999999998</v>
      </c>
      <c r="EQ126">
        <v>49.686999999999998</v>
      </c>
      <c r="ER126">
        <v>48.5</v>
      </c>
      <c r="ES126">
        <v>50</v>
      </c>
      <c r="ET126">
        <v>1755.66</v>
      </c>
      <c r="EU126">
        <v>39.49</v>
      </c>
      <c r="EV126">
        <v>0</v>
      </c>
      <c r="EW126">
        <v>99.800000190734863</v>
      </c>
      <c r="EX126">
        <v>0</v>
      </c>
      <c r="EY126">
        <v>834.38132000000007</v>
      </c>
      <c r="EZ126">
        <v>-0.92923075276889133</v>
      </c>
      <c r="FA126">
        <v>-30.999999949819841</v>
      </c>
      <c r="FB126">
        <v>15493.368</v>
      </c>
      <c r="FC126">
        <v>15</v>
      </c>
      <c r="FD126">
        <v>1693346993.0999999</v>
      </c>
      <c r="FE126" t="s">
        <v>977</v>
      </c>
      <c r="FF126">
        <v>1693346993.0999999</v>
      </c>
      <c r="FG126">
        <v>1693346986.0999999</v>
      </c>
      <c r="FH126">
        <v>121</v>
      </c>
      <c r="FI126">
        <v>3.5000000000000003E-2</v>
      </c>
      <c r="FJ126">
        <v>0</v>
      </c>
      <c r="FK126">
        <v>-2.1320000000000001</v>
      </c>
      <c r="FL126">
        <v>0.23200000000000001</v>
      </c>
      <c r="FM126">
        <v>900</v>
      </c>
      <c r="FN126">
        <v>24</v>
      </c>
      <c r="FO126">
        <v>0.14000000000000001</v>
      </c>
      <c r="FP126">
        <v>0.04</v>
      </c>
      <c r="FQ126">
        <v>37.113337224144672</v>
      </c>
      <c r="FR126">
        <v>-6.3455706335370704E-2</v>
      </c>
      <c r="FS126">
        <v>0.1079586979049309</v>
      </c>
      <c r="FT126">
        <v>1</v>
      </c>
      <c r="FU126">
        <v>0.27745730421607662</v>
      </c>
      <c r="FV126">
        <v>-2.224679354342771E-2</v>
      </c>
      <c r="FW126">
        <v>2.2829227501333219E-3</v>
      </c>
      <c r="FX126">
        <v>1</v>
      </c>
      <c r="FY126">
        <v>2</v>
      </c>
      <c r="FZ126">
        <v>2</v>
      </c>
      <c r="GA126" t="s">
        <v>421</v>
      </c>
      <c r="GB126">
        <v>2.9702199999999999</v>
      </c>
      <c r="GC126">
        <v>2.8118099999999999</v>
      </c>
      <c r="GD126">
        <v>0.16553599999999999</v>
      </c>
      <c r="GE126">
        <v>0.16956599999999999</v>
      </c>
      <c r="GF126">
        <v>0.13380900000000001</v>
      </c>
      <c r="GG126">
        <v>0.118174</v>
      </c>
      <c r="GH126">
        <v>24664.799999999999</v>
      </c>
      <c r="GI126">
        <v>22603.9</v>
      </c>
      <c r="GJ126">
        <v>26569</v>
      </c>
      <c r="GK126">
        <v>25683.8</v>
      </c>
      <c r="GL126">
        <v>31306.9</v>
      </c>
      <c r="GM126">
        <v>31922.7</v>
      </c>
      <c r="GN126">
        <v>37607</v>
      </c>
      <c r="GO126">
        <v>38014.6</v>
      </c>
      <c r="GP126">
        <v>1.9646999999999999</v>
      </c>
      <c r="GQ126">
        <v>1.9866999999999999</v>
      </c>
      <c r="GR126">
        <v>7.1167900000000006E-2</v>
      </c>
      <c r="GS126">
        <v>0</v>
      </c>
      <c r="GT126">
        <v>28.846399999999999</v>
      </c>
      <c r="GU126">
        <v>999.9</v>
      </c>
      <c r="GV126">
        <v>50.2</v>
      </c>
      <c r="GW126">
        <v>34.9</v>
      </c>
      <c r="GX126">
        <v>28.564800000000002</v>
      </c>
      <c r="GY126">
        <v>61.565100000000001</v>
      </c>
      <c r="GZ126">
        <v>12.271599999999999</v>
      </c>
      <c r="HA126">
        <v>1</v>
      </c>
      <c r="HB126">
        <v>0.34189999999999998</v>
      </c>
      <c r="HC126">
        <v>1.7826299999999999</v>
      </c>
      <c r="HD126">
        <v>20.297699999999999</v>
      </c>
      <c r="HE126">
        <v>5.2083000000000004</v>
      </c>
      <c r="HF126">
        <v>11.9321</v>
      </c>
      <c r="HG126">
        <v>4.9875999999999996</v>
      </c>
      <c r="HH126">
        <v>3.2909999999999999</v>
      </c>
      <c r="HI126">
        <v>9999</v>
      </c>
      <c r="HJ126">
        <v>9999</v>
      </c>
      <c r="HK126">
        <v>9999</v>
      </c>
      <c r="HL126">
        <v>999.9</v>
      </c>
      <c r="HM126">
        <v>1.8699600000000001</v>
      </c>
      <c r="HN126">
        <v>1.87622</v>
      </c>
      <c r="HO126">
        <v>1.8739300000000001</v>
      </c>
      <c r="HP126">
        <v>1.8722099999999999</v>
      </c>
      <c r="HQ126">
        <v>1.8726700000000001</v>
      </c>
      <c r="HR126">
        <v>1.8701000000000001</v>
      </c>
      <c r="HS126">
        <v>1.87602</v>
      </c>
      <c r="HT126">
        <v>1.87507</v>
      </c>
      <c r="HU126">
        <v>5</v>
      </c>
      <c r="HV126">
        <v>0</v>
      </c>
      <c r="HW126">
        <v>0</v>
      </c>
      <c r="HX126">
        <v>0</v>
      </c>
      <c r="HY126" t="s">
        <v>422</v>
      </c>
      <c r="HZ126" t="s">
        <v>423</v>
      </c>
      <c r="IA126" t="s">
        <v>424</v>
      </c>
      <c r="IB126" t="s">
        <v>424</v>
      </c>
      <c r="IC126" t="s">
        <v>424</v>
      </c>
      <c r="ID126" t="s">
        <v>424</v>
      </c>
      <c r="IE126">
        <v>0</v>
      </c>
      <c r="IF126">
        <v>100</v>
      </c>
      <c r="IG126">
        <v>100</v>
      </c>
      <c r="IH126">
        <v>-2.097</v>
      </c>
      <c r="II126">
        <v>0.44379999999999997</v>
      </c>
      <c r="IJ126">
        <v>-0.83728507094027416</v>
      </c>
      <c r="IK126">
        <v>-2.677719669153116E-3</v>
      </c>
      <c r="IL126">
        <v>1.9353498771248068E-6</v>
      </c>
      <c r="IM126">
        <v>-6.1862177325538213E-10</v>
      </c>
      <c r="IN126">
        <v>-0.17904450188571411</v>
      </c>
      <c r="IO126">
        <v>-1.5299015507423901E-2</v>
      </c>
      <c r="IP126">
        <v>1.742162107778985E-3</v>
      </c>
      <c r="IQ126">
        <v>-1.472690239905804E-5</v>
      </c>
      <c r="IR126">
        <v>3</v>
      </c>
      <c r="IS126">
        <v>2255</v>
      </c>
      <c r="IT126">
        <v>2</v>
      </c>
      <c r="IU126">
        <v>41</v>
      </c>
      <c r="IV126">
        <v>0.5</v>
      </c>
      <c r="IW126">
        <v>0.6</v>
      </c>
      <c r="IX126">
        <v>1.8408199999999999</v>
      </c>
      <c r="IY126">
        <v>2.49634</v>
      </c>
      <c r="IZ126">
        <v>1.5991200000000001</v>
      </c>
      <c r="JA126">
        <v>2.2692899999999998</v>
      </c>
      <c r="JB126">
        <v>1.5502899999999999</v>
      </c>
      <c r="JC126">
        <v>2.4230999999999998</v>
      </c>
      <c r="JD126">
        <v>37.578099999999999</v>
      </c>
      <c r="JE126">
        <v>15.121499999999999</v>
      </c>
      <c r="JF126">
        <v>18</v>
      </c>
      <c r="JG126">
        <v>506.29</v>
      </c>
      <c r="JH126">
        <v>489.27800000000002</v>
      </c>
      <c r="JI126">
        <v>26.711099999999998</v>
      </c>
      <c r="JJ126">
        <v>31.7578</v>
      </c>
      <c r="JK126">
        <v>29.999500000000001</v>
      </c>
      <c r="JL126">
        <v>31.881499999999999</v>
      </c>
      <c r="JM126">
        <v>31.866499999999998</v>
      </c>
      <c r="JN126">
        <v>36.861199999999997</v>
      </c>
      <c r="JO126">
        <v>26.591100000000001</v>
      </c>
      <c r="JP126">
        <v>51.600700000000003</v>
      </c>
      <c r="JQ126">
        <v>26.719799999999999</v>
      </c>
      <c r="JR126">
        <v>900</v>
      </c>
      <c r="JS126">
        <v>24.087800000000001</v>
      </c>
      <c r="JT126">
        <v>99.190200000000004</v>
      </c>
      <c r="JU126">
        <v>98.734499999999997</v>
      </c>
    </row>
    <row r="127" spans="1:281" x14ac:dyDescent="0.25">
      <c r="A127">
        <v>111</v>
      </c>
      <c r="B127">
        <v>1693347130.0999999</v>
      </c>
      <c r="C127">
        <v>24833</v>
      </c>
      <c r="D127" t="s">
        <v>978</v>
      </c>
      <c r="E127" t="s">
        <v>979</v>
      </c>
      <c r="F127" t="s">
        <v>413</v>
      </c>
      <c r="G127" t="s">
        <v>493</v>
      </c>
      <c r="H127" t="s">
        <v>31</v>
      </c>
      <c r="I127" t="s">
        <v>31</v>
      </c>
      <c r="J127">
        <v>1693347130.0999999</v>
      </c>
      <c r="K127">
        <f t="shared" si="138"/>
        <v>3.5467751026016562E-3</v>
      </c>
      <c r="L127">
        <f t="shared" si="139"/>
        <v>3.5467751026016563</v>
      </c>
      <c r="M127">
        <f t="shared" si="140"/>
        <v>35.879280004292632</v>
      </c>
      <c r="N127">
        <f t="shared" si="141"/>
        <v>1152.0999999999999</v>
      </c>
      <c r="O127">
        <f t="shared" si="142"/>
        <v>881.66280612587434</v>
      </c>
      <c r="P127">
        <f t="shared" si="143"/>
        <v>87.117042184725662</v>
      </c>
      <c r="Q127">
        <f t="shared" si="144"/>
        <v>113.83892300283</v>
      </c>
      <c r="R127">
        <f t="shared" si="145"/>
        <v>0.24286582314579189</v>
      </c>
      <c r="S127">
        <f t="shared" si="146"/>
        <v>2.9076957629200377</v>
      </c>
      <c r="T127">
        <f t="shared" si="147"/>
        <v>0.23213275049766047</v>
      </c>
      <c r="U127">
        <f t="shared" si="148"/>
        <v>0.14600776276858413</v>
      </c>
      <c r="V127">
        <f t="shared" si="149"/>
        <v>344.36370065817783</v>
      </c>
      <c r="W127">
        <f t="shared" si="150"/>
        <v>31.428055910443319</v>
      </c>
      <c r="X127">
        <f t="shared" si="151"/>
        <v>30.0458</v>
      </c>
      <c r="Y127">
        <f t="shared" si="152"/>
        <v>4.2716706556776236</v>
      </c>
      <c r="Z127">
        <f t="shared" si="153"/>
        <v>64.916525213006167</v>
      </c>
      <c r="AA127">
        <f t="shared" si="154"/>
        <v>2.8160929515432298</v>
      </c>
      <c r="AB127">
        <f t="shared" si="155"/>
        <v>4.3380217014126616</v>
      </c>
      <c r="AC127">
        <f t="shared" si="156"/>
        <v>1.4555777041343938</v>
      </c>
      <c r="AD127">
        <f t="shared" si="157"/>
        <v>-156.41278202473305</v>
      </c>
      <c r="AE127">
        <f t="shared" si="158"/>
        <v>42.121329769885314</v>
      </c>
      <c r="AF127">
        <f t="shared" si="159"/>
        <v>3.2267602133807425</v>
      </c>
      <c r="AG127">
        <f t="shared" si="160"/>
        <v>233.29900861671081</v>
      </c>
      <c r="AH127">
        <v>0</v>
      </c>
      <c r="AI127">
        <v>0</v>
      </c>
      <c r="AJ127">
        <f t="shared" si="161"/>
        <v>1</v>
      </c>
      <c r="AK127">
        <f t="shared" si="162"/>
        <v>0</v>
      </c>
      <c r="AL127">
        <f t="shared" si="163"/>
        <v>51649.496963503661</v>
      </c>
      <c r="AM127" t="s">
        <v>416</v>
      </c>
      <c r="AN127">
        <v>10238.9</v>
      </c>
      <c r="AO127">
        <v>302.21199999999999</v>
      </c>
      <c r="AP127">
        <v>4052.3</v>
      </c>
      <c r="AQ127">
        <f t="shared" si="164"/>
        <v>0.92542210596451402</v>
      </c>
      <c r="AR127">
        <v>-0.32343011824092421</v>
      </c>
      <c r="AS127" t="s">
        <v>980</v>
      </c>
      <c r="AT127">
        <v>10442.700000000001</v>
      </c>
      <c r="AU127">
        <v>834.61075999999991</v>
      </c>
      <c r="AV127">
        <v>1119.7096559298609</v>
      </c>
      <c r="AW127">
        <f t="shared" si="165"/>
        <v>0.25461859190014857</v>
      </c>
      <c r="AX127">
        <v>0.5</v>
      </c>
      <c r="AY127">
        <f t="shared" si="166"/>
        <v>1513.159500329089</v>
      </c>
      <c r="AZ127">
        <f t="shared" si="167"/>
        <v>35.879280004292632</v>
      </c>
      <c r="BA127">
        <f t="shared" si="168"/>
        <v>192.63927064706252</v>
      </c>
      <c r="BB127">
        <f t="shared" si="169"/>
        <v>2.3925243911603514E-2</v>
      </c>
      <c r="BC127">
        <f t="shared" si="170"/>
        <v>2.6190631906579167</v>
      </c>
      <c r="BD127">
        <f t="shared" si="171"/>
        <v>252.82847588573591</v>
      </c>
      <c r="BE127" t="s">
        <v>981</v>
      </c>
      <c r="BF127">
        <v>608.5</v>
      </c>
      <c r="BG127">
        <f t="shared" si="172"/>
        <v>608.5</v>
      </c>
      <c r="BH127">
        <f t="shared" si="173"/>
        <v>0.45655554832679168</v>
      </c>
      <c r="BI127">
        <f t="shared" si="174"/>
        <v>0.55769466132497547</v>
      </c>
      <c r="BJ127">
        <f t="shared" si="175"/>
        <v>0.85155652014348671</v>
      </c>
      <c r="BK127">
        <f t="shared" si="176"/>
        <v>0.34874582680677646</v>
      </c>
      <c r="BL127">
        <f t="shared" si="177"/>
        <v>0.78200574068398909</v>
      </c>
      <c r="BM127">
        <f t="shared" si="178"/>
        <v>0.40660535147695387</v>
      </c>
      <c r="BN127">
        <f t="shared" si="179"/>
        <v>0.59339464852304613</v>
      </c>
      <c r="BO127">
        <v>5684</v>
      </c>
      <c r="BP127">
        <v>290.00000000000011</v>
      </c>
      <c r="BQ127">
        <v>1049.1400000000001</v>
      </c>
      <c r="BR127">
        <v>215</v>
      </c>
      <c r="BS127">
        <v>10442.700000000001</v>
      </c>
      <c r="BT127">
        <v>1047.3800000000001</v>
      </c>
      <c r="BU127">
        <v>1.76</v>
      </c>
      <c r="BV127">
        <v>300.00000000000011</v>
      </c>
      <c r="BW127">
        <v>38.299999999999997</v>
      </c>
      <c r="BX127">
        <v>1119.7096559298609</v>
      </c>
      <c r="BY127">
        <v>1.408549921017257</v>
      </c>
      <c r="BZ127">
        <v>-75.527864816547464</v>
      </c>
      <c r="CA127">
        <v>1.2041214994790499</v>
      </c>
      <c r="CB127">
        <v>0.99293349938133857</v>
      </c>
      <c r="CC127">
        <v>-1.1337531479421591E-2</v>
      </c>
      <c r="CD127">
        <v>289.99999999999989</v>
      </c>
      <c r="CE127">
        <v>1043.48</v>
      </c>
      <c r="CF127">
        <v>655</v>
      </c>
      <c r="CG127">
        <v>10417.1</v>
      </c>
      <c r="CH127">
        <v>1047.21</v>
      </c>
      <c r="CI127">
        <v>-3.73</v>
      </c>
      <c r="CW127">
        <f t="shared" si="180"/>
        <v>1799.97</v>
      </c>
      <c r="CX127">
        <f t="shared" si="181"/>
        <v>1513.159500329089</v>
      </c>
      <c r="CY127">
        <f t="shared" si="182"/>
        <v>0.84065817781912422</v>
      </c>
      <c r="CZ127">
        <f t="shared" si="183"/>
        <v>0.19131635563824831</v>
      </c>
      <c r="DA127">
        <v>6</v>
      </c>
      <c r="DB127">
        <v>0.5</v>
      </c>
      <c r="DC127" t="s">
        <v>419</v>
      </c>
      <c r="DD127">
        <v>2</v>
      </c>
      <c r="DE127">
        <v>1693347130.0999999</v>
      </c>
      <c r="DF127">
        <v>1152.0999999999999</v>
      </c>
      <c r="DG127">
        <v>1200.02</v>
      </c>
      <c r="DH127">
        <v>28.5001</v>
      </c>
      <c r="DI127">
        <v>24.368600000000001</v>
      </c>
      <c r="DJ127">
        <v>1154.4100000000001</v>
      </c>
      <c r="DK127">
        <v>28.056699999999999</v>
      </c>
      <c r="DL127">
        <v>500.40300000000002</v>
      </c>
      <c r="DM127">
        <v>98.710099999999997</v>
      </c>
      <c r="DN127">
        <v>9.9832299999999999E-2</v>
      </c>
      <c r="DO127">
        <v>30.314499999999999</v>
      </c>
      <c r="DP127">
        <v>30.0458</v>
      </c>
      <c r="DQ127">
        <v>999.9</v>
      </c>
      <c r="DR127">
        <v>0</v>
      </c>
      <c r="DS127">
        <v>0</v>
      </c>
      <c r="DT127">
        <v>10005</v>
      </c>
      <c r="DU127">
        <v>0</v>
      </c>
      <c r="DV127">
        <v>304.50299999999999</v>
      </c>
      <c r="DW127">
        <v>-47.92</v>
      </c>
      <c r="DX127">
        <v>1185.8900000000001</v>
      </c>
      <c r="DY127">
        <v>1229.99</v>
      </c>
      <c r="DZ127">
        <v>4.1314700000000002</v>
      </c>
      <c r="EA127">
        <v>1200.02</v>
      </c>
      <c r="EB127">
        <v>24.368600000000001</v>
      </c>
      <c r="EC127">
        <v>2.81325</v>
      </c>
      <c r="ED127">
        <v>2.40543</v>
      </c>
      <c r="EE127">
        <v>22.962</v>
      </c>
      <c r="EF127">
        <v>20.400400000000001</v>
      </c>
      <c r="EG127">
        <v>1799.97</v>
      </c>
      <c r="EH127">
        <v>0.97799999999999998</v>
      </c>
      <c r="EI127">
        <v>2.1999600000000001E-2</v>
      </c>
      <c r="EJ127">
        <v>0</v>
      </c>
      <c r="EK127">
        <v>834.83100000000002</v>
      </c>
      <c r="EL127">
        <v>4.9995000000000003</v>
      </c>
      <c r="EM127">
        <v>15602.9</v>
      </c>
      <c r="EN127">
        <v>16659.5</v>
      </c>
      <c r="EO127">
        <v>48.686999999999998</v>
      </c>
      <c r="EP127">
        <v>49.186999999999998</v>
      </c>
      <c r="EQ127">
        <v>49.561999999999998</v>
      </c>
      <c r="ER127">
        <v>48.311999999999998</v>
      </c>
      <c r="ES127">
        <v>49.811999999999998</v>
      </c>
      <c r="ET127">
        <v>1755.48</v>
      </c>
      <c r="EU127">
        <v>39.49</v>
      </c>
      <c r="EV127">
        <v>0</v>
      </c>
      <c r="EW127">
        <v>105.6000001430511</v>
      </c>
      <c r="EX127">
        <v>0</v>
      </c>
      <c r="EY127">
        <v>834.61075999999991</v>
      </c>
      <c r="EZ127">
        <v>1.472230776183775</v>
      </c>
      <c r="FA127">
        <v>-1756.561538448695</v>
      </c>
      <c r="FB127">
        <v>15895.136</v>
      </c>
      <c r="FC127">
        <v>15</v>
      </c>
      <c r="FD127">
        <v>1693347100.0999999</v>
      </c>
      <c r="FE127" t="s">
        <v>982</v>
      </c>
      <c r="FF127">
        <v>1693347100.0999999</v>
      </c>
      <c r="FG127">
        <v>1693347096.0999999</v>
      </c>
      <c r="FH127">
        <v>122</v>
      </c>
      <c r="FI127">
        <v>-8.9999999999999993E-3</v>
      </c>
      <c r="FJ127">
        <v>6.0000000000000001E-3</v>
      </c>
      <c r="FK127">
        <v>-2.3460000000000001</v>
      </c>
      <c r="FL127">
        <v>0.251</v>
      </c>
      <c r="FM127">
        <v>1201</v>
      </c>
      <c r="FN127">
        <v>24</v>
      </c>
      <c r="FO127">
        <v>0.13</v>
      </c>
      <c r="FP127">
        <v>0.04</v>
      </c>
      <c r="FQ127">
        <v>35.898116588701193</v>
      </c>
      <c r="FR127">
        <v>-0.68694071332453821</v>
      </c>
      <c r="FS127">
        <v>0.1201090690958775</v>
      </c>
      <c r="FT127">
        <v>1</v>
      </c>
      <c r="FU127">
        <v>0.24466901802807539</v>
      </c>
      <c r="FV127">
        <v>1.762562646760429E-2</v>
      </c>
      <c r="FW127">
        <v>2.3655443272559019E-3</v>
      </c>
      <c r="FX127">
        <v>1</v>
      </c>
      <c r="FY127">
        <v>2</v>
      </c>
      <c r="FZ127">
        <v>2</v>
      </c>
      <c r="GA127" t="s">
        <v>421</v>
      </c>
      <c r="GB127">
        <v>2.9709099999999999</v>
      </c>
      <c r="GC127">
        <v>2.8115800000000002</v>
      </c>
      <c r="GD127">
        <v>0.20143</v>
      </c>
      <c r="GE127">
        <v>0.20421400000000001</v>
      </c>
      <c r="GF127">
        <v>0.13343099999999999</v>
      </c>
      <c r="GG127">
        <v>0.11920600000000001</v>
      </c>
      <c r="GH127">
        <v>23606.9</v>
      </c>
      <c r="GI127">
        <v>21663.9</v>
      </c>
      <c r="GJ127">
        <v>26573.7</v>
      </c>
      <c r="GK127">
        <v>25688.6</v>
      </c>
      <c r="GL127">
        <v>31328.5</v>
      </c>
      <c r="GM127">
        <v>31893.1</v>
      </c>
      <c r="GN127">
        <v>37614.6</v>
      </c>
      <c r="GO127">
        <v>38021.1</v>
      </c>
      <c r="GP127">
        <v>1.9669000000000001</v>
      </c>
      <c r="GQ127">
        <v>1.9908999999999999</v>
      </c>
      <c r="GR127">
        <v>7.45952E-2</v>
      </c>
      <c r="GS127">
        <v>0</v>
      </c>
      <c r="GT127">
        <v>28.8308</v>
      </c>
      <c r="GU127">
        <v>999.9</v>
      </c>
      <c r="GV127">
        <v>50.4</v>
      </c>
      <c r="GW127">
        <v>34.9</v>
      </c>
      <c r="GX127">
        <v>28.680900000000001</v>
      </c>
      <c r="GY127">
        <v>61.625100000000003</v>
      </c>
      <c r="GZ127">
        <v>12.9527</v>
      </c>
      <c r="HA127">
        <v>1</v>
      </c>
      <c r="HB127">
        <v>0.33161600000000002</v>
      </c>
      <c r="HC127">
        <v>2.0623399999999998</v>
      </c>
      <c r="HD127">
        <v>20.294899999999998</v>
      </c>
      <c r="HE127">
        <v>5.2100999999999997</v>
      </c>
      <c r="HF127">
        <v>11.932700000000001</v>
      </c>
      <c r="HG127">
        <v>4.9878</v>
      </c>
      <c r="HH127">
        <v>3.2909999999999999</v>
      </c>
      <c r="HI127">
        <v>9999</v>
      </c>
      <c r="HJ127">
        <v>9999</v>
      </c>
      <c r="HK127">
        <v>9999</v>
      </c>
      <c r="HL127">
        <v>999.9</v>
      </c>
      <c r="HM127">
        <v>1.8699399999999999</v>
      </c>
      <c r="HN127">
        <v>1.87622</v>
      </c>
      <c r="HO127">
        <v>1.8739300000000001</v>
      </c>
      <c r="HP127">
        <v>1.87225</v>
      </c>
      <c r="HQ127">
        <v>1.8727100000000001</v>
      </c>
      <c r="HR127">
        <v>1.87012</v>
      </c>
      <c r="HS127">
        <v>1.8760600000000001</v>
      </c>
      <c r="HT127">
        <v>1.87507</v>
      </c>
      <c r="HU127">
        <v>5</v>
      </c>
      <c r="HV127">
        <v>0</v>
      </c>
      <c r="HW127">
        <v>0</v>
      </c>
      <c r="HX127">
        <v>0</v>
      </c>
      <c r="HY127" t="s">
        <v>422</v>
      </c>
      <c r="HZ127" t="s">
        <v>423</v>
      </c>
      <c r="IA127" t="s">
        <v>424</v>
      </c>
      <c r="IB127" t="s">
        <v>424</v>
      </c>
      <c r="IC127" t="s">
        <v>424</v>
      </c>
      <c r="ID127" t="s">
        <v>424</v>
      </c>
      <c r="IE127">
        <v>0</v>
      </c>
      <c r="IF127">
        <v>100</v>
      </c>
      <c r="IG127">
        <v>100</v>
      </c>
      <c r="IH127">
        <v>-2.31</v>
      </c>
      <c r="II127">
        <v>0.44340000000000002</v>
      </c>
      <c r="IJ127">
        <v>-0.84816160563470211</v>
      </c>
      <c r="IK127">
        <v>-2.677719669153116E-3</v>
      </c>
      <c r="IL127">
        <v>1.9353498771248068E-6</v>
      </c>
      <c r="IM127">
        <v>-6.1862177325538213E-10</v>
      </c>
      <c r="IN127">
        <v>-0.17352632410013721</v>
      </c>
      <c r="IO127">
        <v>-1.5299015507423901E-2</v>
      </c>
      <c r="IP127">
        <v>1.742162107778985E-3</v>
      </c>
      <c r="IQ127">
        <v>-1.472690239905804E-5</v>
      </c>
      <c r="IR127">
        <v>3</v>
      </c>
      <c r="IS127">
        <v>2255</v>
      </c>
      <c r="IT127">
        <v>2</v>
      </c>
      <c r="IU127">
        <v>41</v>
      </c>
      <c r="IV127">
        <v>0.5</v>
      </c>
      <c r="IW127">
        <v>0.6</v>
      </c>
      <c r="IX127">
        <v>2.3339799999999999</v>
      </c>
      <c r="IY127">
        <v>2.49512</v>
      </c>
      <c r="IZ127">
        <v>1.5991200000000001</v>
      </c>
      <c r="JA127">
        <v>2.2680699999999998</v>
      </c>
      <c r="JB127">
        <v>1.5502899999999999</v>
      </c>
      <c r="JC127">
        <v>2.36084</v>
      </c>
      <c r="JD127">
        <v>37.481900000000003</v>
      </c>
      <c r="JE127">
        <v>15.0952</v>
      </c>
      <c r="JF127">
        <v>18</v>
      </c>
      <c r="JG127">
        <v>506.553</v>
      </c>
      <c r="JH127">
        <v>490.85899999999998</v>
      </c>
      <c r="JI127">
        <v>26.4053</v>
      </c>
      <c r="JJ127">
        <v>31.621099999999998</v>
      </c>
      <c r="JK127">
        <v>29.9998</v>
      </c>
      <c r="JL127">
        <v>31.7379</v>
      </c>
      <c r="JM127">
        <v>31.723500000000001</v>
      </c>
      <c r="JN127">
        <v>46.726700000000001</v>
      </c>
      <c r="JO127">
        <v>25.974499999999999</v>
      </c>
      <c r="JP127">
        <v>52.948599999999999</v>
      </c>
      <c r="JQ127">
        <v>26.364100000000001</v>
      </c>
      <c r="JR127">
        <v>1200</v>
      </c>
      <c r="JS127">
        <v>24.4712</v>
      </c>
      <c r="JT127">
        <v>99.209000000000003</v>
      </c>
      <c r="JU127">
        <v>98.751999999999995</v>
      </c>
    </row>
    <row r="128" spans="1:281" x14ac:dyDescent="0.25">
      <c r="A128">
        <v>112</v>
      </c>
      <c r="B128">
        <v>1693347233.5999999</v>
      </c>
      <c r="C128">
        <v>24936.5</v>
      </c>
      <c r="D128" t="s">
        <v>983</v>
      </c>
      <c r="E128" t="s">
        <v>984</v>
      </c>
      <c r="F128" t="s">
        <v>413</v>
      </c>
      <c r="G128" t="s">
        <v>493</v>
      </c>
      <c r="H128" t="s">
        <v>31</v>
      </c>
      <c r="I128" t="s">
        <v>31</v>
      </c>
      <c r="J128">
        <v>1693347233.5999999</v>
      </c>
      <c r="K128">
        <f t="shared" si="138"/>
        <v>3.1394794263127509E-3</v>
      </c>
      <c r="L128">
        <f t="shared" si="139"/>
        <v>3.139479426312751</v>
      </c>
      <c r="M128">
        <f t="shared" si="140"/>
        <v>34.852587479124225</v>
      </c>
      <c r="N128">
        <f t="shared" si="141"/>
        <v>1452.46</v>
      </c>
      <c r="O128">
        <f t="shared" si="142"/>
        <v>1151.7505169909045</v>
      </c>
      <c r="P128">
        <f t="shared" si="143"/>
        <v>113.81196417623585</v>
      </c>
      <c r="Q128">
        <f t="shared" si="144"/>
        <v>143.52702520968</v>
      </c>
      <c r="R128">
        <f t="shared" si="145"/>
        <v>0.21443471530512187</v>
      </c>
      <c r="S128">
        <f t="shared" si="146"/>
        <v>2.9104271318631803</v>
      </c>
      <c r="T128">
        <f t="shared" si="147"/>
        <v>0.20602825036023084</v>
      </c>
      <c r="U128">
        <f t="shared" si="148"/>
        <v>0.12949548434389252</v>
      </c>
      <c r="V128">
        <f t="shared" si="149"/>
        <v>344.32570065825098</v>
      </c>
      <c r="W128">
        <f t="shared" si="150"/>
        <v>31.389908750614048</v>
      </c>
      <c r="X128">
        <f t="shared" si="151"/>
        <v>29.977399999999999</v>
      </c>
      <c r="Y128">
        <f t="shared" si="152"/>
        <v>4.2549223014647364</v>
      </c>
      <c r="Z128">
        <f t="shared" si="153"/>
        <v>65.146310492175644</v>
      </c>
      <c r="AA128">
        <f t="shared" si="154"/>
        <v>2.8029203677691998</v>
      </c>
      <c r="AB128">
        <f t="shared" si="155"/>
        <v>4.3025005508268084</v>
      </c>
      <c r="AC128">
        <f t="shared" si="156"/>
        <v>1.4520019336955365</v>
      </c>
      <c r="AD128">
        <f t="shared" si="157"/>
        <v>-138.45104270039232</v>
      </c>
      <c r="AE128">
        <f t="shared" si="158"/>
        <v>30.392875737143569</v>
      </c>
      <c r="AF128">
        <f t="shared" si="159"/>
        <v>2.3236645562575076</v>
      </c>
      <c r="AG128">
        <f t="shared" si="160"/>
        <v>238.5911982512597</v>
      </c>
      <c r="AH128">
        <v>0</v>
      </c>
      <c r="AI128">
        <v>0</v>
      </c>
      <c r="AJ128">
        <f t="shared" si="161"/>
        <v>1</v>
      </c>
      <c r="AK128">
        <f t="shared" si="162"/>
        <v>0</v>
      </c>
      <c r="AL128">
        <f t="shared" si="163"/>
        <v>51751.562422839037</v>
      </c>
      <c r="AM128" t="s">
        <v>416</v>
      </c>
      <c r="AN128">
        <v>10238.9</v>
      </c>
      <c r="AO128">
        <v>302.21199999999999</v>
      </c>
      <c r="AP128">
        <v>4052.3</v>
      </c>
      <c r="AQ128">
        <f t="shared" si="164"/>
        <v>0.92542210596451402</v>
      </c>
      <c r="AR128">
        <v>-0.32343011824092421</v>
      </c>
      <c r="AS128" t="s">
        <v>985</v>
      </c>
      <c r="AT128">
        <v>10447.200000000001</v>
      </c>
      <c r="AU128">
        <v>834.78123999999991</v>
      </c>
      <c r="AV128">
        <v>1116.171223231531</v>
      </c>
      <c r="AW128">
        <f t="shared" si="165"/>
        <v>0.25210288294017547</v>
      </c>
      <c r="AX128">
        <v>0.5</v>
      </c>
      <c r="AY128">
        <f t="shared" si="166"/>
        <v>1512.9915003291255</v>
      </c>
      <c r="AZ128">
        <f t="shared" si="167"/>
        <v>34.852587479124225</v>
      </c>
      <c r="BA128">
        <f t="shared" si="168"/>
        <v>190.71475954847699</v>
      </c>
      <c r="BB128">
        <f t="shared" si="169"/>
        <v>2.3249316066688546E-2</v>
      </c>
      <c r="BC128">
        <f t="shared" si="170"/>
        <v>2.6305361719215532</v>
      </c>
      <c r="BD128">
        <f t="shared" si="171"/>
        <v>252.6476269718782</v>
      </c>
      <c r="BE128" t="s">
        <v>986</v>
      </c>
      <c r="BF128">
        <v>605.79</v>
      </c>
      <c r="BG128">
        <f t="shared" si="172"/>
        <v>605.79</v>
      </c>
      <c r="BH128">
        <f t="shared" si="173"/>
        <v>0.45726068958656629</v>
      </c>
      <c r="BI128">
        <f t="shared" si="174"/>
        <v>0.55133294569475255</v>
      </c>
      <c r="BJ128">
        <f t="shared" si="175"/>
        <v>0.851913610222651</v>
      </c>
      <c r="BK128">
        <f t="shared" si="176"/>
        <v>0.34570525795429141</v>
      </c>
      <c r="BL128">
        <f t="shared" si="177"/>
        <v>0.78294930059467105</v>
      </c>
      <c r="BM128">
        <f t="shared" si="178"/>
        <v>0.40009522156059013</v>
      </c>
      <c r="BN128">
        <f t="shared" si="179"/>
        <v>0.59990477843940981</v>
      </c>
      <c r="BO128">
        <v>5686</v>
      </c>
      <c r="BP128">
        <v>290.00000000000011</v>
      </c>
      <c r="BQ128">
        <v>1047.5899999999999</v>
      </c>
      <c r="BR128">
        <v>195</v>
      </c>
      <c r="BS128">
        <v>10447.200000000001</v>
      </c>
      <c r="BT128">
        <v>1045.44</v>
      </c>
      <c r="BU128">
        <v>2.15</v>
      </c>
      <c r="BV128">
        <v>300.00000000000011</v>
      </c>
      <c r="BW128">
        <v>38.299999999999997</v>
      </c>
      <c r="BX128">
        <v>1116.171223231531</v>
      </c>
      <c r="BY128">
        <v>1.139018582599141</v>
      </c>
      <c r="BZ128">
        <v>-73.898328718687793</v>
      </c>
      <c r="CA128">
        <v>0.97377460747815736</v>
      </c>
      <c r="CB128">
        <v>0.99516162738959302</v>
      </c>
      <c r="CC128">
        <v>-1.1338240266963289E-2</v>
      </c>
      <c r="CD128">
        <v>289.99999999999989</v>
      </c>
      <c r="CE128">
        <v>1042.01</v>
      </c>
      <c r="CF128">
        <v>705</v>
      </c>
      <c r="CG128">
        <v>10412.9</v>
      </c>
      <c r="CH128">
        <v>1045.2</v>
      </c>
      <c r="CI128">
        <v>-3.19</v>
      </c>
      <c r="CW128">
        <f t="shared" si="180"/>
        <v>1799.77</v>
      </c>
      <c r="CX128">
        <f t="shared" si="181"/>
        <v>1512.9915003291255</v>
      </c>
      <c r="CY128">
        <f t="shared" si="182"/>
        <v>0.84065825095935898</v>
      </c>
      <c r="CZ128">
        <f t="shared" si="183"/>
        <v>0.19131650191871793</v>
      </c>
      <c r="DA128">
        <v>6</v>
      </c>
      <c r="DB128">
        <v>0.5</v>
      </c>
      <c r="DC128" t="s">
        <v>419</v>
      </c>
      <c r="DD128">
        <v>2</v>
      </c>
      <c r="DE128">
        <v>1693347233.5999999</v>
      </c>
      <c r="DF128">
        <v>1452.46</v>
      </c>
      <c r="DG128">
        <v>1499.72</v>
      </c>
      <c r="DH128">
        <v>28.364899999999999</v>
      </c>
      <c r="DI128">
        <v>24.707100000000001</v>
      </c>
      <c r="DJ128">
        <v>1454.83</v>
      </c>
      <c r="DK128">
        <v>27.9252</v>
      </c>
      <c r="DL128">
        <v>500.37099999999998</v>
      </c>
      <c r="DM128">
        <v>98.716499999999996</v>
      </c>
      <c r="DN128">
        <v>0.100008</v>
      </c>
      <c r="DO128">
        <v>30.171099999999999</v>
      </c>
      <c r="DP128">
        <v>29.977399999999999</v>
      </c>
      <c r="DQ128">
        <v>999.9</v>
      </c>
      <c r="DR128">
        <v>0</v>
      </c>
      <c r="DS128">
        <v>0</v>
      </c>
      <c r="DT128">
        <v>10020</v>
      </c>
      <c r="DU128">
        <v>0</v>
      </c>
      <c r="DV128">
        <v>216.934</v>
      </c>
      <c r="DW128">
        <v>-47.266500000000001</v>
      </c>
      <c r="DX128">
        <v>1494.86</v>
      </c>
      <c r="DY128">
        <v>1537.72</v>
      </c>
      <c r="DZ128">
        <v>3.65781</v>
      </c>
      <c r="EA128">
        <v>1499.72</v>
      </c>
      <c r="EB128">
        <v>24.707100000000001</v>
      </c>
      <c r="EC128">
        <v>2.80009</v>
      </c>
      <c r="ED128">
        <v>2.4390000000000001</v>
      </c>
      <c r="EE128">
        <v>22.884599999999999</v>
      </c>
      <c r="EF128">
        <v>20.6251</v>
      </c>
      <c r="EG128">
        <v>1799.77</v>
      </c>
      <c r="EH128">
        <v>0.97799700000000001</v>
      </c>
      <c r="EI128">
        <v>2.2003200000000001E-2</v>
      </c>
      <c r="EJ128">
        <v>0</v>
      </c>
      <c r="EK128">
        <v>834.94600000000003</v>
      </c>
      <c r="EL128">
        <v>4.9995000000000003</v>
      </c>
      <c r="EM128">
        <v>15450.8</v>
      </c>
      <c r="EN128">
        <v>16657.599999999999</v>
      </c>
      <c r="EO128">
        <v>48.561999999999998</v>
      </c>
      <c r="EP128">
        <v>49.061999999999998</v>
      </c>
      <c r="EQ128">
        <v>49.436999999999998</v>
      </c>
      <c r="ER128">
        <v>48.25</v>
      </c>
      <c r="ES128">
        <v>49.686999999999998</v>
      </c>
      <c r="ET128">
        <v>1755.28</v>
      </c>
      <c r="EU128">
        <v>39.49</v>
      </c>
      <c r="EV128">
        <v>0</v>
      </c>
      <c r="EW128">
        <v>101.6000001430511</v>
      </c>
      <c r="EX128">
        <v>0</v>
      </c>
      <c r="EY128">
        <v>834.78123999999991</v>
      </c>
      <c r="EZ128">
        <v>-0.67076921737813511</v>
      </c>
      <c r="FA128">
        <v>-25.23846151279697</v>
      </c>
      <c r="FB128">
        <v>15456.147999999999</v>
      </c>
      <c r="FC128">
        <v>15</v>
      </c>
      <c r="FD128">
        <v>1693347198.0999999</v>
      </c>
      <c r="FE128" t="s">
        <v>987</v>
      </c>
      <c r="FF128">
        <v>1693347198.0999999</v>
      </c>
      <c r="FG128">
        <v>1693347194.0999999</v>
      </c>
      <c r="FH128">
        <v>123</v>
      </c>
      <c r="FI128">
        <v>0.17699999999999999</v>
      </c>
      <c r="FJ128">
        <v>3.0000000000000001E-3</v>
      </c>
      <c r="FK128">
        <v>-2.4239999999999999</v>
      </c>
      <c r="FL128">
        <v>0.27100000000000002</v>
      </c>
      <c r="FM128">
        <v>1501</v>
      </c>
      <c r="FN128">
        <v>24</v>
      </c>
      <c r="FO128">
        <v>0.15</v>
      </c>
      <c r="FP128">
        <v>0.06</v>
      </c>
      <c r="FQ128">
        <v>34.98803337790055</v>
      </c>
      <c r="FR128">
        <v>-9.7280915515281743E-2</v>
      </c>
      <c r="FS128">
        <v>0.15164016545190639</v>
      </c>
      <c r="FT128">
        <v>1</v>
      </c>
      <c r="FU128">
        <v>0.21922526018896629</v>
      </c>
      <c r="FV128">
        <v>-3.7681662077595192E-2</v>
      </c>
      <c r="FW128">
        <v>2.796719867129982E-3</v>
      </c>
      <c r="FX128">
        <v>1</v>
      </c>
      <c r="FY128">
        <v>2</v>
      </c>
      <c r="FZ128">
        <v>2</v>
      </c>
      <c r="GA128" t="s">
        <v>421</v>
      </c>
      <c r="GB128">
        <v>2.9708899999999998</v>
      </c>
      <c r="GC128">
        <v>2.8118799999999999</v>
      </c>
      <c r="GD128">
        <v>0.23264399999999999</v>
      </c>
      <c r="GE128">
        <v>0.234514</v>
      </c>
      <c r="GF128">
        <v>0.13303000000000001</v>
      </c>
      <c r="GG128">
        <v>0.120389</v>
      </c>
      <c r="GH128">
        <v>22684.799999999999</v>
      </c>
      <c r="GI128">
        <v>20839.599999999999</v>
      </c>
      <c r="GJ128">
        <v>26576.2</v>
      </c>
      <c r="GK128">
        <v>25690.799999999999</v>
      </c>
      <c r="GL128">
        <v>31347.200000000001</v>
      </c>
      <c r="GM128">
        <v>31854.1</v>
      </c>
      <c r="GN128">
        <v>37617.4</v>
      </c>
      <c r="GO128">
        <v>38023.199999999997</v>
      </c>
      <c r="GP128">
        <v>1.9673</v>
      </c>
      <c r="GQ128">
        <v>1.9939</v>
      </c>
      <c r="GR128">
        <v>7.0646399999999998E-2</v>
      </c>
      <c r="GS128">
        <v>0</v>
      </c>
      <c r="GT128">
        <v>28.826599999999999</v>
      </c>
      <c r="GU128">
        <v>999.9</v>
      </c>
      <c r="GV128">
        <v>50.7</v>
      </c>
      <c r="GW128">
        <v>34.799999999999997</v>
      </c>
      <c r="GX128">
        <v>28.6877</v>
      </c>
      <c r="GY128">
        <v>61.405099999999997</v>
      </c>
      <c r="GZ128">
        <v>13.0329</v>
      </c>
      <c r="HA128">
        <v>1</v>
      </c>
      <c r="HB128">
        <v>0.32539600000000002</v>
      </c>
      <c r="HC128">
        <v>1.8614900000000001</v>
      </c>
      <c r="HD128">
        <v>20.296800000000001</v>
      </c>
      <c r="HE128">
        <v>5.2112999999999996</v>
      </c>
      <c r="HF128">
        <v>11.933299999999999</v>
      </c>
      <c r="HG128">
        <v>4.9878</v>
      </c>
      <c r="HH128">
        <v>3.2909999999999999</v>
      </c>
      <c r="HI128">
        <v>9999</v>
      </c>
      <c r="HJ128">
        <v>9999</v>
      </c>
      <c r="HK128">
        <v>9999</v>
      </c>
      <c r="HL128">
        <v>999.9</v>
      </c>
      <c r="HM128">
        <v>1.8699600000000001</v>
      </c>
      <c r="HN128">
        <v>1.87622</v>
      </c>
      <c r="HO128">
        <v>1.8739300000000001</v>
      </c>
      <c r="HP128">
        <v>1.87225</v>
      </c>
      <c r="HQ128">
        <v>1.8726799999999999</v>
      </c>
      <c r="HR128">
        <v>1.87012</v>
      </c>
      <c r="HS128">
        <v>1.87601</v>
      </c>
      <c r="HT128">
        <v>1.87503</v>
      </c>
      <c r="HU128">
        <v>5</v>
      </c>
      <c r="HV128">
        <v>0</v>
      </c>
      <c r="HW128">
        <v>0</v>
      </c>
      <c r="HX128">
        <v>0</v>
      </c>
      <c r="HY128" t="s">
        <v>422</v>
      </c>
      <c r="HZ128" t="s">
        <v>423</v>
      </c>
      <c r="IA128" t="s">
        <v>424</v>
      </c>
      <c r="IB128" t="s">
        <v>424</v>
      </c>
      <c r="IC128" t="s">
        <v>424</v>
      </c>
      <c r="ID128" t="s">
        <v>424</v>
      </c>
      <c r="IE128">
        <v>0</v>
      </c>
      <c r="IF128">
        <v>100</v>
      </c>
      <c r="IG128">
        <v>100</v>
      </c>
      <c r="IH128">
        <v>-2.37</v>
      </c>
      <c r="II128">
        <v>0.43969999999999998</v>
      </c>
      <c r="IJ128">
        <v>-0.67136847373205688</v>
      </c>
      <c r="IK128">
        <v>-2.677719669153116E-3</v>
      </c>
      <c r="IL128">
        <v>1.9353498771248068E-6</v>
      </c>
      <c r="IM128">
        <v>-6.1862177325538213E-10</v>
      </c>
      <c r="IN128">
        <v>-0.17087964357609331</v>
      </c>
      <c r="IO128">
        <v>-1.5299015507423901E-2</v>
      </c>
      <c r="IP128">
        <v>1.742162107778985E-3</v>
      </c>
      <c r="IQ128">
        <v>-1.472690239905804E-5</v>
      </c>
      <c r="IR128">
        <v>3</v>
      </c>
      <c r="IS128">
        <v>2255</v>
      </c>
      <c r="IT128">
        <v>2</v>
      </c>
      <c r="IU128">
        <v>41</v>
      </c>
      <c r="IV128">
        <v>0.6</v>
      </c>
      <c r="IW128">
        <v>0.7</v>
      </c>
      <c r="IX128">
        <v>2.8064</v>
      </c>
      <c r="IY128">
        <v>2.4939</v>
      </c>
      <c r="IZ128">
        <v>1.6003400000000001</v>
      </c>
      <c r="JA128">
        <v>2.2692899999999998</v>
      </c>
      <c r="JB128">
        <v>1.5502899999999999</v>
      </c>
      <c r="JC128">
        <v>2.3852500000000001</v>
      </c>
      <c r="JD128">
        <v>37.433799999999998</v>
      </c>
      <c r="JE128">
        <v>15.0777</v>
      </c>
      <c r="JF128">
        <v>18</v>
      </c>
      <c r="JG128">
        <v>506.05500000000001</v>
      </c>
      <c r="JH128">
        <v>492.04399999999998</v>
      </c>
      <c r="JI128">
        <v>26.3323</v>
      </c>
      <c r="JJ128">
        <v>31.546500000000002</v>
      </c>
      <c r="JK128">
        <v>30.0002</v>
      </c>
      <c r="JL128">
        <v>31.6449</v>
      </c>
      <c r="JM128">
        <v>31.628399999999999</v>
      </c>
      <c r="JN128">
        <v>56.172400000000003</v>
      </c>
      <c r="JO128">
        <v>25.658899999999999</v>
      </c>
      <c r="JP128">
        <v>55.321800000000003</v>
      </c>
      <c r="JQ128">
        <v>26.3355</v>
      </c>
      <c r="JR128">
        <v>1500</v>
      </c>
      <c r="JS128">
        <v>24.720099999999999</v>
      </c>
      <c r="JT128">
        <v>99.217200000000005</v>
      </c>
      <c r="JU128">
        <v>98.758799999999994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23</v>
      </c>
    </row>
    <row r="14" spans="1:2" x14ac:dyDescent="0.25">
      <c r="A14" t="s">
        <v>25</v>
      </c>
      <c r="B14" t="s">
        <v>21</v>
      </c>
    </row>
    <row r="15" spans="1:2" x14ac:dyDescent="0.25">
      <c r="A15" t="s">
        <v>26</v>
      </c>
      <c r="B15" t="s">
        <v>11</v>
      </c>
    </row>
    <row r="16" spans="1:2" x14ac:dyDescent="0.25">
      <c r="A16" t="s">
        <v>27</v>
      </c>
      <c r="B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2023-08-29T22:15:57Z</dcterms:created>
  <dcterms:modified xsi:type="dcterms:W3CDTF">2023-08-29T22:57:08Z</dcterms:modified>
</cp:coreProperties>
</file>