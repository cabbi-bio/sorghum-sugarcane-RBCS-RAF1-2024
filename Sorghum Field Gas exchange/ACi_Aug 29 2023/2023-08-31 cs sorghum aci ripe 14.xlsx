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Aug 29 2023 ACi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Z128" i="1" l="1"/>
  <c r="CY128" i="1"/>
  <c r="CW128" i="1"/>
  <c r="BL128" i="1"/>
  <c r="BK128" i="1"/>
  <c r="BG128" i="1"/>
  <c r="BC128" i="1"/>
  <c r="AW128" i="1"/>
  <c r="AQ128" i="1"/>
  <c r="BD128" i="1" s="1"/>
  <c r="AL128" i="1"/>
  <c r="AJ128" i="1" s="1"/>
  <c r="AB128" i="1"/>
  <c r="Z128" i="1" s="1"/>
  <c r="AA128" i="1"/>
  <c r="S128" i="1"/>
  <c r="M128" i="1"/>
  <c r="AZ128" i="1" s="1"/>
  <c r="CZ127" i="1"/>
  <c r="CY127" i="1"/>
  <c r="CX127" i="1"/>
  <c r="AY127" i="1" s="1"/>
  <c r="CW127" i="1"/>
  <c r="BL127" i="1"/>
  <c r="BK127" i="1"/>
  <c r="BH127" i="1"/>
  <c r="BG127" i="1"/>
  <c r="BJ127" i="1" s="1"/>
  <c r="BC127" i="1"/>
  <c r="AW127" i="1"/>
  <c r="BA127" i="1" s="1"/>
  <c r="AQ127" i="1"/>
  <c r="BD127" i="1" s="1"/>
  <c r="AL127" i="1"/>
  <c r="AK127" i="1"/>
  <c r="AJ127" i="1"/>
  <c r="AB127" i="1"/>
  <c r="AA127" i="1"/>
  <c r="Z127" i="1"/>
  <c r="V127" i="1"/>
  <c r="S127" i="1"/>
  <c r="N127" i="1"/>
  <c r="CZ126" i="1"/>
  <c r="V126" i="1" s="1"/>
  <c r="CY126" i="1"/>
  <c r="CX126" i="1" s="1"/>
  <c r="AY126" i="1" s="1"/>
  <c r="CW126" i="1"/>
  <c r="BN126" i="1"/>
  <c r="BM126" i="1"/>
  <c r="BL126" i="1"/>
  <c r="BK126" i="1"/>
  <c r="BJ126" i="1"/>
  <c r="BI126" i="1"/>
  <c r="BH126" i="1"/>
  <c r="BG126" i="1"/>
  <c r="BD126" i="1"/>
  <c r="BC126" i="1"/>
  <c r="BA126" i="1"/>
  <c r="AW126" i="1"/>
  <c r="AQ126" i="1"/>
  <c r="AL126" i="1"/>
  <c r="AJ126" i="1" s="1"/>
  <c r="AB126" i="1"/>
  <c r="AA126" i="1"/>
  <c r="Z126" i="1" s="1"/>
  <c r="S126" i="1"/>
  <c r="Q126" i="1"/>
  <c r="L126" i="1"/>
  <c r="K126" i="1" s="1"/>
  <c r="AD126" i="1" s="1"/>
  <c r="CZ125" i="1"/>
  <c r="CY125" i="1"/>
  <c r="CX125" i="1" s="1"/>
  <c r="AY125" i="1" s="1"/>
  <c r="CW125" i="1"/>
  <c r="BL125" i="1"/>
  <c r="BK125" i="1"/>
  <c r="BI125" i="1"/>
  <c r="BM125" i="1" s="1"/>
  <c r="BN125" i="1" s="1"/>
  <c r="BH125" i="1"/>
  <c r="BG125" i="1"/>
  <c r="BJ125" i="1" s="1"/>
  <c r="BC125" i="1"/>
  <c r="AW125" i="1"/>
  <c r="AQ125" i="1"/>
  <c r="BD125" i="1" s="1"/>
  <c r="AL125" i="1"/>
  <c r="AJ125" i="1"/>
  <c r="AB125" i="1"/>
  <c r="AA125" i="1"/>
  <c r="Z125" i="1"/>
  <c r="V125" i="1"/>
  <c r="S125" i="1"/>
  <c r="CZ124" i="1"/>
  <c r="CY124" i="1"/>
  <c r="CW124" i="1"/>
  <c r="BL124" i="1"/>
  <c r="BK124" i="1"/>
  <c r="BG124" i="1"/>
  <c r="BD124" i="1"/>
  <c r="BC124" i="1"/>
  <c r="AW124" i="1"/>
  <c r="AQ124" i="1"/>
  <c r="AL124" i="1"/>
  <c r="AJ124" i="1" s="1"/>
  <c r="AB124" i="1"/>
  <c r="AA124" i="1"/>
  <c r="S124" i="1"/>
  <c r="CZ123" i="1"/>
  <c r="CY123" i="1"/>
  <c r="CX123" i="1"/>
  <c r="AY123" i="1" s="1"/>
  <c r="CW123" i="1"/>
  <c r="BL123" i="1"/>
  <c r="BK123" i="1"/>
  <c r="BG123" i="1"/>
  <c r="BC123" i="1"/>
  <c r="BB123" i="1"/>
  <c r="AW123" i="1"/>
  <c r="AQ123" i="1"/>
  <c r="BD123" i="1" s="1"/>
  <c r="AL123" i="1"/>
  <c r="AK123" i="1"/>
  <c r="AJ123" i="1"/>
  <c r="L123" i="1" s="1"/>
  <c r="AB123" i="1"/>
  <c r="AA123" i="1"/>
  <c r="Z123" i="1"/>
  <c r="V123" i="1"/>
  <c r="S123" i="1"/>
  <c r="Q123" i="1"/>
  <c r="N123" i="1"/>
  <c r="M123" i="1"/>
  <c r="AZ123" i="1" s="1"/>
  <c r="K123" i="1"/>
  <c r="CZ122" i="1"/>
  <c r="CY122" i="1"/>
  <c r="CW122" i="1"/>
  <c r="CX122" i="1" s="1"/>
  <c r="BM122" i="1"/>
  <c r="BN122" i="1" s="1"/>
  <c r="BL122" i="1"/>
  <c r="BK122" i="1"/>
  <c r="BJ122" i="1"/>
  <c r="BI122" i="1"/>
  <c r="BG122" i="1"/>
  <c r="BH122" i="1" s="1"/>
  <c r="BD122" i="1"/>
  <c r="BC122" i="1"/>
  <c r="BA122" i="1"/>
  <c r="AY122" i="1"/>
  <c r="AW122" i="1"/>
  <c r="AQ122" i="1"/>
  <c r="AL122" i="1"/>
  <c r="AJ122" i="1" s="1"/>
  <c r="AK122" i="1"/>
  <c r="AB122" i="1"/>
  <c r="AA122" i="1"/>
  <c r="Z122" i="1" s="1"/>
  <c r="S122" i="1"/>
  <c r="Q122" i="1"/>
  <c r="L122" i="1"/>
  <c r="K122" i="1" s="1"/>
  <c r="CZ121" i="1"/>
  <c r="CY121" i="1"/>
  <c r="CX121" i="1"/>
  <c r="AY121" i="1" s="1"/>
  <c r="CW121" i="1"/>
  <c r="BL121" i="1"/>
  <c r="BK121" i="1"/>
  <c r="BG121" i="1"/>
  <c r="BJ121" i="1" s="1"/>
  <c r="BC121" i="1"/>
  <c r="BB121" i="1"/>
  <c r="AW121" i="1"/>
  <c r="BA121" i="1" s="1"/>
  <c r="AQ121" i="1"/>
  <c r="BD121" i="1" s="1"/>
  <c r="AL121" i="1"/>
  <c r="AJ121" i="1"/>
  <c r="AB121" i="1"/>
  <c r="AA121" i="1"/>
  <c r="Z121" i="1"/>
  <c r="V121" i="1"/>
  <c r="S121" i="1"/>
  <c r="N121" i="1"/>
  <c r="M121" i="1"/>
  <c r="AZ121" i="1" s="1"/>
  <c r="CZ120" i="1"/>
  <c r="CY120" i="1"/>
  <c r="CW120" i="1"/>
  <c r="BL120" i="1"/>
  <c r="BK120" i="1"/>
  <c r="BJ120" i="1"/>
  <c r="BI120" i="1"/>
  <c r="BM120" i="1" s="1"/>
  <c r="BN120" i="1" s="1"/>
  <c r="BG120" i="1"/>
  <c r="BH120" i="1" s="1"/>
  <c r="BD120" i="1"/>
  <c r="BC120" i="1"/>
  <c r="AW120" i="1"/>
  <c r="AQ120" i="1"/>
  <c r="AL120" i="1"/>
  <c r="AJ120" i="1" s="1"/>
  <c r="AB120" i="1"/>
  <c r="AA120" i="1"/>
  <c r="Z120" i="1" s="1"/>
  <c r="S120" i="1"/>
  <c r="CZ119" i="1"/>
  <c r="CY119" i="1"/>
  <c r="CX119" i="1"/>
  <c r="AY119" i="1" s="1"/>
  <c r="CW119" i="1"/>
  <c r="BL119" i="1"/>
  <c r="BK119" i="1"/>
  <c r="BH119" i="1"/>
  <c r="BG119" i="1"/>
  <c r="BC119" i="1"/>
  <c r="AW119" i="1"/>
  <c r="AQ119" i="1"/>
  <c r="BD119" i="1" s="1"/>
  <c r="AL119" i="1"/>
  <c r="AK119" i="1"/>
  <c r="AJ119" i="1"/>
  <c r="L119" i="1" s="1"/>
  <c r="AD119" i="1"/>
  <c r="AB119" i="1"/>
  <c r="AA119" i="1"/>
  <c r="Z119" i="1"/>
  <c r="V119" i="1"/>
  <c r="S119" i="1"/>
  <c r="N119" i="1"/>
  <c r="M119" i="1"/>
  <c r="AZ119" i="1" s="1"/>
  <c r="K119" i="1"/>
  <c r="CZ118" i="1"/>
  <c r="CY118" i="1"/>
  <c r="CW118" i="1"/>
  <c r="CX118" i="1" s="1"/>
  <c r="AY118" i="1" s="1"/>
  <c r="BA118" i="1" s="1"/>
  <c r="BL118" i="1"/>
  <c r="BK118" i="1"/>
  <c r="BJ118" i="1"/>
  <c r="BI118" i="1"/>
  <c r="BM118" i="1" s="1"/>
  <c r="BN118" i="1" s="1"/>
  <c r="BG118" i="1"/>
  <c r="BH118" i="1" s="1"/>
  <c r="BD118" i="1"/>
  <c r="BC118" i="1"/>
  <c r="AW118" i="1"/>
  <c r="AQ118" i="1"/>
  <c r="AL118" i="1"/>
  <c r="AJ118" i="1" s="1"/>
  <c r="AK118" i="1"/>
  <c r="AB118" i="1"/>
  <c r="AA118" i="1"/>
  <c r="Z118" i="1" s="1"/>
  <c r="S118" i="1"/>
  <c r="CZ117" i="1"/>
  <c r="CY117" i="1"/>
  <c r="CW117" i="1"/>
  <c r="CX117" i="1" s="1"/>
  <c r="AY117" i="1" s="1"/>
  <c r="BL117" i="1"/>
  <c r="BK117" i="1"/>
  <c r="BG117" i="1"/>
  <c r="BC117" i="1"/>
  <c r="AW117" i="1"/>
  <c r="AQ117" i="1"/>
  <c r="BD117" i="1" s="1"/>
  <c r="AL117" i="1"/>
  <c r="AJ117" i="1"/>
  <c r="AB117" i="1"/>
  <c r="AA117" i="1"/>
  <c r="Z117" i="1"/>
  <c r="S117" i="1"/>
  <c r="CZ116" i="1"/>
  <c r="CY116" i="1"/>
  <c r="CW116" i="1"/>
  <c r="BL116" i="1"/>
  <c r="BK116" i="1"/>
  <c r="BG116" i="1"/>
  <c r="BH116" i="1" s="1"/>
  <c r="BD116" i="1"/>
  <c r="BC116" i="1"/>
  <c r="AZ116" i="1"/>
  <c r="AW116" i="1"/>
  <c r="AQ116" i="1"/>
  <c r="AL116" i="1"/>
  <c r="AJ116" i="1" s="1"/>
  <c r="N116" i="1" s="1"/>
  <c r="AK116" i="1"/>
  <c r="AB116" i="1"/>
  <c r="AA116" i="1"/>
  <c r="Z116" i="1" s="1"/>
  <c r="S116" i="1"/>
  <c r="M116" i="1"/>
  <c r="CZ115" i="1"/>
  <c r="CY115" i="1"/>
  <c r="CW115" i="1"/>
  <c r="CX115" i="1" s="1"/>
  <c r="AY115" i="1" s="1"/>
  <c r="BA115" i="1" s="1"/>
  <c r="BL115" i="1"/>
  <c r="BK115" i="1"/>
  <c r="BI115" i="1"/>
  <c r="BM115" i="1" s="1"/>
  <c r="BN115" i="1" s="1"/>
  <c r="BH115" i="1"/>
  <c r="BG115" i="1"/>
  <c r="BJ115" i="1" s="1"/>
  <c r="BC115" i="1"/>
  <c r="AW115" i="1"/>
  <c r="AQ115" i="1"/>
  <c r="BD115" i="1" s="1"/>
  <c r="AL115" i="1"/>
  <c r="AK115" i="1"/>
  <c r="AJ115" i="1"/>
  <c r="L115" i="1" s="1"/>
  <c r="AD115" i="1"/>
  <c r="AB115" i="1"/>
  <c r="AA115" i="1"/>
  <c r="Z115" i="1" s="1"/>
  <c r="V115" i="1"/>
  <c r="S115" i="1"/>
  <c r="Q115" i="1"/>
  <c r="N115" i="1"/>
  <c r="M115" i="1"/>
  <c r="AZ115" i="1" s="1"/>
  <c r="K115" i="1"/>
  <c r="CZ114" i="1"/>
  <c r="CY114" i="1"/>
  <c r="CW114" i="1"/>
  <c r="BL114" i="1"/>
  <c r="BK114" i="1"/>
  <c r="BJ114" i="1"/>
  <c r="BI114" i="1"/>
  <c r="BM114" i="1" s="1"/>
  <c r="BN114" i="1" s="1"/>
  <c r="BG114" i="1"/>
  <c r="BH114" i="1" s="1"/>
  <c r="BC114" i="1"/>
  <c r="AW114" i="1"/>
  <c r="AQ114" i="1"/>
  <c r="BD114" i="1" s="1"/>
  <c r="AL114" i="1"/>
  <c r="AJ114" i="1" s="1"/>
  <c r="N114" i="1" s="1"/>
  <c r="AK114" i="1"/>
  <c r="AB114" i="1"/>
  <c r="AA114" i="1"/>
  <c r="Z114" i="1" s="1"/>
  <c r="S114" i="1"/>
  <c r="Q114" i="1"/>
  <c r="M114" i="1"/>
  <c r="AZ114" i="1" s="1"/>
  <c r="L114" i="1"/>
  <c r="K114" i="1" s="1"/>
  <c r="CZ113" i="1"/>
  <c r="CY113" i="1"/>
  <c r="CW113" i="1"/>
  <c r="BL113" i="1"/>
  <c r="BK113" i="1"/>
  <c r="BI113" i="1"/>
  <c r="BM113" i="1" s="1"/>
  <c r="BN113" i="1" s="1"/>
  <c r="BG113" i="1"/>
  <c r="BJ113" i="1" s="1"/>
  <c r="BC113" i="1"/>
  <c r="AW113" i="1"/>
  <c r="AQ113" i="1"/>
  <c r="BD113" i="1" s="1"/>
  <c r="AL113" i="1"/>
  <c r="AJ113" i="1"/>
  <c r="L113" i="1" s="1"/>
  <c r="K113" i="1" s="1"/>
  <c r="AB113" i="1"/>
  <c r="AA113" i="1"/>
  <c r="Z113" i="1"/>
  <c r="S113" i="1"/>
  <c r="N113" i="1"/>
  <c r="M113" i="1"/>
  <c r="AZ113" i="1" s="1"/>
  <c r="CZ112" i="1"/>
  <c r="CY112" i="1"/>
  <c r="CW112" i="1"/>
  <c r="BL112" i="1"/>
  <c r="BK112" i="1"/>
  <c r="BG112" i="1"/>
  <c r="BC112" i="1"/>
  <c r="AW112" i="1"/>
  <c r="AQ112" i="1"/>
  <c r="BD112" i="1" s="1"/>
  <c r="AL112" i="1"/>
  <c r="AJ112" i="1" s="1"/>
  <c r="AB112" i="1"/>
  <c r="AA112" i="1"/>
  <c r="Z112" i="1" s="1"/>
  <c r="S112" i="1"/>
  <c r="CZ111" i="1"/>
  <c r="CY111" i="1"/>
  <c r="CW111" i="1"/>
  <c r="CX111" i="1" s="1"/>
  <c r="AY111" i="1" s="1"/>
  <c r="BA111" i="1" s="1"/>
  <c r="BL111" i="1"/>
  <c r="BK111" i="1"/>
  <c r="BG111" i="1"/>
  <c r="BC111" i="1"/>
  <c r="AW111" i="1"/>
  <c r="AQ111" i="1"/>
  <c r="BD111" i="1" s="1"/>
  <c r="AL111" i="1"/>
  <c r="AK111" i="1"/>
  <c r="AJ111" i="1"/>
  <c r="L111" i="1" s="1"/>
  <c r="AB111" i="1"/>
  <c r="AA111" i="1"/>
  <c r="Z111" i="1"/>
  <c r="V111" i="1"/>
  <c r="S111" i="1"/>
  <c r="Q111" i="1"/>
  <c r="N111" i="1"/>
  <c r="M111" i="1"/>
  <c r="AZ111" i="1" s="1"/>
  <c r="K111" i="1"/>
  <c r="CZ110" i="1"/>
  <c r="CY110" i="1"/>
  <c r="CW110" i="1"/>
  <c r="BM110" i="1"/>
  <c r="BN110" i="1" s="1"/>
  <c r="BL110" i="1"/>
  <c r="BK110" i="1"/>
  <c r="BJ110" i="1"/>
  <c r="BI110" i="1"/>
  <c r="BG110" i="1"/>
  <c r="BH110" i="1" s="1"/>
  <c r="BC110" i="1"/>
  <c r="AW110" i="1"/>
  <c r="AQ110" i="1"/>
  <c r="BD110" i="1" s="1"/>
  <c r="AL110" i="1"/>
  <c r="AJ110" i="1" s="1"/>
  <c r="N110" i="1" s="1"/>
  <c r="AB110" i="1"/>
  <c r="AA110" i="1"/>
  <c r="S110" i="1"/>
  <c r="Q110" i="1"/>
  <c r="M110" i="1"/>
  <c r="AZ110" i="1" s="1"/>
  <c r="L110" i="1"/>
  <c r="K110" i="1"/>
  <c r="CZ109" i="1"/>
  <c r="CY109" i="1"/>
  <c r="CX109" i="1"/>
  <c r="AY109" i="1" s="1"/>
  <c r="CW109" i="1"/>
  <c r="BL109" i="1"/>
  <c r="BK109" i="1"/>
  <c r="BI109" i="1"/>
  <c r="BM109" i="1" s="1"/>
  <c r="BN109" i="1" s="1"/>
  <c r="BH109" i="1"/>
  <c r="BG109" i="1"/>
  <c r="BJ109" i="1" s="1"/>
  <c r="BC109" i="1"/>
  <c r="BA109" i="1"/>
  <c r="AW109" i="1"/>
  <c r="AQ109" i="1"/>
  <c r="BD109" i="1" s="1"/>
  <c r="AL109" i="1"/>
  <c r="AJ109" i="1"/>
  <c r="L109" i="1" s="1"/>
  <c r="K109" i="1" s="1"/>
  <c r="AD109" i="1" s="1"/>
  <c r="AB109" i="1"/>
  <c r="AA109" i="1"/>
  <c r="Z109" i="1"/>
  <c r="V109" i="1"/>
  <c r="S109" i="1"/>
  <c r="Q109" i="1"/>
  <c r="N109" i="1"/>
  <c r="M109" i="1"/>
  <c r="AZ109" i="1" s="1"/>
  <c r="CZ108" i="1"/>
  <c r="CY108" i="1"/>
  <c r="CW108" i="1"/>
  <c r="CX108" i="1" s="1"/>
  <c r="BN108" i="1"/>
  <c r="BL108" i="1"/>
  <c r="BK108" i="1"/>
  <c r="BI108" i="1"/>
  <c r="BM108" i="1" s="1"/>
  <c r="BG108" i="1"/>
  <c r="BJ108" i="1" s="1"/>
  <c r="BD108" i="1"/>
  <c r="BC108" i="1"/>
  <c r="AY108" i="1"/>
  <c r="BA108" i="1" s="1"/>
  <c r="AW108" i="1"/>
  <c r="AQ108" i="1"/>
  <c r="AL108" i="1"/>
  <c r="AJ108" i="1" s="1"/>
  <c r="AB108" i="1"/>
  <c r="AA108" i="1"/>
  <c r="S108" i="1"/>
  <c r="L108" i="1"/>
  <c r="K108" i="1" s="1"/>
  <c r="AD108" i="1" s="1"/>
  <c r="CZ107" i="1"/>
  <c r="CY107" i="1"/>
  <c r="CW107" i="1"/>
  <c r="BL107" i="1"/>
  <c r="BK107" i="1"/>
  <c r="BG107" i="1"/>
  <c r="BC107" i="1"/>
  <c r="AW107" i="1"/>
  <c r="AQ107" i="1"/>
  <c r="BD107" i="1" s="1"/>
  <c r="AL107" i="1"/>
  <c r="AJ107" i="1"/>
  <c r="AB107" i="1"/>
  <c r="AA107" i="1"/>
  <c r="Z107" i="1"/>
  <c r="S107" i="1"/>
  <c r="M107" i="1"/>
  <c r="AZ107" i="1" s="1"/>
  <c r="CZ106" i="1"/>
  <c r="CY106" i="1"/>
  <c r="CW106" i="1"/>
  <c r="CX106" i="1" s="1"/>
  <c r="AY106" i="1" s="1"/>
  <c r="BA106" i="1" s="1"/>
  <c r="BM106" i="1"/>
  <c r="BN106" i="1" s="1"/>
  <c r="BL106" i="1"/>
  <c r="BK106" i="1"/>
  <c r="BJ106" i="1"/>
  <c r="BI106" i="1"/>
  <c r="BG106" i="1"/>
  <c r="BH106" i="1" s="1"/>
  <c r="BD106" i="1"/>
  <c r="BC106" i="1"/>
  <c r="AW106" i="1"/>
  <c r="AQ106" i="1"/>
  <c r="AL106" i="1"/>
  <c r="AJ106" i="1" s="1"/>
  <c r="AK106" i="1" s="1"/>
  <c r="AB106" i="1"/>
  <c r="AA106" i="1"/>
  <c r="Z106" i="1" s="1"/>
  <c r="S106" i="1"/>
  <c r="CZ105" i="1"/>
  <c r="CY105" i="1"/>
  <c r="CX105" i="1"/>
  <c r="AY105" i="1" s="1"/>
  <c r="CW105" i="1"/>
  <c r="BL105" i="1"/>
  <c r="BK105" i="1"/>
  <c r="BI105" i="1"/>
  <c r="BM105" i="1" s="1"/>
  <c r="BN105" i="1" s="1"/>
  <c r="BH105" i="1"/>
  <c r="BG105" i="1"/>
  <c r="BJ105" i="1" s="1"/>
  <c r="BC105" i="1"/>
  <c r="BA105" i="1"/>
  <c r="AW105" i="1"/>
  <c r="AQ105" i="1"/>
  <c r="BD105" i="1" s="1"/>
  <c r="AL105" i="1"/>
  <c r="AJ105" i="1"/>
  <c r="L105" i="1" s="1"/>
  <c r="K105" i="1" s="1"/>
  <c r="AD105" i="1" s="1"/>
  <c r="AB105" i="1"/>
  <c r="AA105" i="1"/>
  <c r="Z105" i="1"/>
  <c r="V105" i="1"/>
  <c r="S105" i="1"/>
  <c r="Q105" i="1"/>
  <c r="N105" i="1"/>
  <c r="M105" i="1"/>
  <c r="AZ105" i="1" s="1"/>
  <c r="CZ104" i="1"/>
  <c r="CY104" i="1"/>
  <c r="CW104" i="1"/>
  <c r="BL104" i="1"/>
  <c r="BK104" i="1"/>
  <c r="BG104" i="1"/>
  <c r="BC104" i="1"/>
  <c r="AW104" i="1"/>
  <c r="AQ104" i="1"/>
  <c r="BD104" i="1" s="1"/>
  <c r="AL104" i="1"/>
  <c r="AJ104" i="1" s="1"/>
  <c r="AB104" i="1"/>
  <c r="AA104" i="1"/>
  <c r="S104" i="1"/>
  <c r="M104" i="1"/>
  <c r="AZ104" i="1" s="1"/>
  <c r="L104" i="1"/>
  <c r="K104" i="1" s="1"/>
  <c r="AD104" i="1" s="1"/>
  <c r="CZ103" i="1"/>
  <c r="CY103" i="1"/>
  <c r="CW103" i="1"/>
  <c r="BL103" i="1"/>
  <c r="BK103" i="1"/>
  <c r="BG103" i="1"/>
  <c r="BC103" i="1"/>
  <c r="AW103" i="1"/>
  <c r="AQ103" i="1"/>
  <c r="BD103" i="1" s="1"/>
  <c r="AL103" i="1"/>
  <c r="AJ103" i="1"/>
  <c r="AB103" i="1"/>
  <c r="AA103" i="1"/>
  <c r="Z103" i="1"/>
  <c r="S103" i="1"/>
  <c r="CZ102" i="1"/>
  <c r="V102" i="1" s="1"/>
  <c r="CY102" i="1"/>
  <c r="CW102" i="1"/>
  <c r="BM102" i="1"/>
  <c r="BN102" i="1" s="1"/>
  <c r="BL102" i="1"/>
  <c r="BK102" i="1"/>
  <c r="BJ102" i="1"/>
  <c r="BI102" i="1"/>
  <c r="BG102" i="1"/>
  <c r="BH102" i="1" s="1"/>
  <c r="BD102" i="1"/>
  <c r="BC102" i="1"/>
  <c r="AW102" i="1"/>
  <c r="AQ102" i="1"/>
  <c r="AL102" i="1"/>
  <c r="AJ102" i="1" s="1"/>
  <c r="AK102" i="1" s="1"/>
  <c r="AB102" i="1"/>
  <c r="AA102" i="1"/>
  <c r="Z102" i="1" s="1"/>
  <c r="S102" i="1"/>
  <c r="L102" i="1"/>
  <c r="K102" i="1" s="1"/>
  <c r="CZ101" i="1"/>
  <c r="CY101" i="1"/>
  <c r="CX101" i="1"/>
  <c r="AY101" i="1" s="1"/>
  <c r="BA101" i="1" s="1"/>
  <c r="CW101" i="1"/>
  <c r="BL101" i="1"/>
  <c r="BK101" i="1"/>
  <c r="BI101" i="1"/>
  <c r="BM101" i="1" s="1"/>
  <c r="BN101" i="1" s="1"/>
  <c r="BG101" i="1"/>
  <c r="BJ101" i="1" s="1"/>
  <c r="BC101" i="1"/>
  <c r="AW101" i="1"/>
  <c r="AQ101" i="1"/>
  <c r="BD101" i="1" s="1"/>
  <c r="AL101" i="1"/>
  <c r="AJ101" i="1"/>
  <c r="Q101" i="1" s="1"/>
  <c r="AB101" i="1"/>
  <c r="AA101" i="1"/>
  <c r="Z101" i="1"/>
  <c r="V101" i="1"/>
  <c r="S101" i="1"/>
  <c r="N101" i="1"/>
  <c r="CZ100" i="1"/>
  <c r="CY100" i="1"/>
  <c r="CW100" i="1"/>
  <c r="BL100" i="1"/>
  <c r="BK100" i="1"/>
  <c r="BJ100" i="1"/>
  <c r="BI100" i="1"/>
  <c r="BM100" i="1" s="1"/>
  <c r="BN100" i="1" s="1"/>
  <c r="BG100" i="1"/>
  <c r="BH100" i="1" s="1"/>
  <c r="BC100" i="1"/>
  <c r="AW100" i="1"/>
  <c r="AQ100" i="1"/>
  <c r="BD100" i="1" s="1"/>
  <c r="AL100" i="1"/>
  <c r="AJ100" i="1" s="1"/>
  <c r="N100" i="1" s="1"/>
  <c r="AB100" i="1"/>
  <c r="AA100" i="1"/>
  <c r="Z100" i="1" s="1"/>
  <c r="S100" i="1"/>
  <c r="Q100" i="1"/>
  <c r="L100" i="1"/>
  <c r="K100" i="1" s="1"/>
  <c r="AD100" i="1" s="1"/>
  <c r="CZ99" i="1"/>
  <c r="CY99" i="1"/>
  <c r="CX99" i="1"/>
  <c r="AY99" i="1" s="1"/>
  <c r="BA99" i="1" s="1"/>
  <c r="CW99" i="1"/>
  <c r="BL99" i="1"/>
  <c r="BK99" i="1"/>
  <c r="BJ99" i="1"/>
  <c r="BI99" i="1"/>
  <c r="BM99" i="1" s="1"/>
  <c r="BN99" i="1" s="1"/>
  <c r="BH99" i="1"/>
  <c r="BG99" i="1"/>
  <c r="BC99" i="1"/>
  <c r="AW99" i="1"/>
  <c r="AQ99" i="1"/>
  <c r="BD99" i="1" s="1"/>
  <c r="AL99" i="1"/>
  <c r="AJ99" i="1"/>
  <c r="AB99" i="1"/>
  <c r="AA99" i="1"/>
  <c r="Z99" i="1"/>
  <c r="V99" i="1"/>
  <c r="S99" i="1"/>
  <c r="CZ98" i="1"/>
  <c r="CY98" i="1"/>
  <c r="CX98" i="1" s="1"/>
  <c r="AY98" i="1" s="1"/>
  <c r="CW98" i="1"/>
  <c r="BL98" i="1"/>
  <c r="BK98" i="1"/>
  <c r="BH98" i="1"/>
  <c r="BG98" i="1"/>
  <c r="BJ98" i="1" s="1"/>
  <c r="BC98" i="1"/>
  <c r="AW98" i="1"/>
  <c r="AQ98" i="1"/>
  <c r="BD98" i="1" s="1"/>
  <c r="AL98" i="1"/>
  <c r="AJ98" i="1" s="1"/>
  <c r="AB98" i="1"/>
  <c r="AA98" i="1"/>
  <c r="V98" i="1"/>
  <c r="S98" i="1"/>
  <c r="M98" i="1"/>
  <c r="AZ98" i="1" s="1"/>
  <c r="CZ97" i="1"/>
  <c r="CY97" i="1"/>
  <c r="CX97" i="1"/>
  <c r="AY97" i="1" s="1"/>
  <c r="CW97" i="1"/>
  <c r="BL97" i="1"/>
  <c r="BK97" i="1"/>
  <c r="BG97" i="1"/>
  <c r="BD97" i="1"/>
  <c r="BC97" i="1"/>
  <c r="BA97" i="1"/>
  <c r="AW97" i="1"/>
  <c r="AQ97" i="1"/>
  <c r="AL97" i="1"/>
  <c r="AK97" i="1"/>
  <c r="AJ97" i="1"/>
  <c r="AB97" i="1"/>
  <c r="Z97" i="1" s="1"/>
  <c r="AA97" i="1"/>
  <c r="V97" i="1"/>
  <c r="S97" i="1"/>
  <c r="M97" i="1"/>
  <c r="AZ97" i="1" s="1"/>
  <c r="BB97" i="1" s="1"/>
  <c r="L97" i="1"/>
  <c r="K97" i="1" s="1"/>
  <c r="CZ96" i="1"/>
  <c r="CY96" i="1"/>
  <c r="CW96" i="1"/>
  <c r="BM96" i="1"/>
  <c r="BN96" i="1" s="1"/>
  <c r="BL96" i="1"/>
  <c r="BK96" i="1"/>
  <c r="BJ96" i="1"/>
  <c r="BI96" i="1"/>
  <c r="BG96" i="1"/>
  <c r="BH96" i="1" s="1"/>
  <c r="BD96" i="1"/>
  <c r="BC96" i="1"/>
  <c r="AW96" i="1"/>
  <c r="AQ96" i="1"/>
  <c r="AL96" i="1"/>
  <c r="AJ96" i="1" s="1"/>
  <c r="Q96" i="1" s="1"/>
  <c r="AB96" i="1"/>
  <c r="AA96" i="1"/>
  <c r="Z96" i="1" s="1"/>
  <c r="S96" i="1"/>
  <c r="CZ95" i="1"/>
  <c r="CY95" i="1"/>
  <c r="CW95" i="1"/>
  <c r="BL95" i="1"/>
  <c r="BK95" i="1"/>
  <c r="BI95" i="1"/>
  <c r="BM95" i="1" s="1"/>
  <c r="BN95" i="1" s="1"/>
  <c r="BH95" i="1"/>
  <c r="BG95" i="1"/>
  <c r="BJ95" i="1" s="1"/>
  <c r="BC95" i="1"/>
  <c r="AW95" i="1"/>
  <c r="AQ95" i="1"/>
  <c r="BD95" i="1" s="1"/>
  <c r="AL95" i="1"/>
  <c r="AJ95" i="1"/>
  <c r="AB95" i="1"/>
  <c r="AA95" i="1"/>
  <c r="Z95" i="1"/>
  <c r="S95" i="1"/>
  <c r="Q95" i="1"/>
  <c r="M95" i="1"/>
  <c r="AZ95" i="1" s="1"/>
  <c r="CZ94" i="1"/>
  <c r="CY94" i="1"/>
  <c r="CX94" i="1" s="1"/>
  <c r="AY94" i="1" s="1"/>
  <c r="CW94" i="1"/>
  <c r="BN94" i="1"/>
  <c r="BM94" i="1"/>
  <c r="BL94" i="1"/>
  <c r="BK94" i="1"/>
  <c r="BJ94" i="1"/>
  <c r="BI94" i="1"/>
  <c r="BH94" i="1"/>
  <c r="BG94" i="1"/>
  <c r="BC94" i="1"/>
  <c r="AW94" i="1"/>
  <c r="AQ94" i="1"/>
  <c r="BD94" i="1" s="1"/>
  <c r="AL94" i="1"/>
  <c r="AJ94" i="1" s="1"/>
  <c r="Q94" i="1" s="1"/>
  <c r="AB94" i="1"/>
  <c r="AA94" i="1"/>
  <c r="Z94" i="1" s="1"/>
  <c r="V94" i="1"/>
  <c r="S94" i="1"/>
  <c r="N94" i="1"/>
  <c r="L94" i="1"/>
  <c r="K94" i="1"/>
  <c r="CZ93" i="1"/>
  <c r="CY93" i="1"/>
  <c r="CX93" i="1"/>
  <c r="AY93" i="1" s="1"/>
  <c r="CW93" i="1"/>
  <c r="V93" i="1" s="1"/>
  <c r="BL93" i="1"/>
  <c r="BK93" i="1"/>
  <c r="BG93" i="1"/>
  <c r="BD93" i="1"/>
  <c r="BC93" i="1"/>
  <c r="AW93" i="1"/>
  <c r="AQ93" i="1"/>
  <c r="AL93" i="1"/>
  <c r="AJ93" i="1"/>
  <c r="AB93" i="1"/>
  <c r="AA93" i="1"/>
  <c r="Z93" i="1" s="1"/>
  <c r="S93" i="1"/>
  <c r="Q93" i="1"/>
  <c r="L93" i="1"/>
  <c r="K93" i="1"/>
  <c r="CZ92" i="1"/>
  <c r="CY92" i="1"/>
  <c r="CW92" i="1"/>
  <c r="CX92" i="1" s="1"/>
  <c r="BN92" i="1"/>
  <c r="BL92" i="1"/>
  <c r="BK92" i="1"/>
  <c r="BJ92" i="1"/>
  <c r="BI92" i="1"/>
  <c r="BM92" i="1" s="1"/>
  <c r="BG92" i="1"/>
  <c r="BH92" i="1" s="1"/>
  <c r="BD92" i="1"/>
  <c r="BC92" i="1"/>
  <c r="AY92" i="1"/>
  <c r="BA92" i="1" s="1"/>
  <c r="AW92" i="1"/>
  <c r="AQ92" i="1"/>
  <c r="AL92" i="1"/>
  <c r="AJ92" i="1" s="1"/>
  <c r="AK92" i="1"/>
  <c r="AB92" i="1"/>
  <c r="AA92" i="1"/>
  <c r="Z92" i="1"/>
  <c r="S92" i="1"/>
  <c r="CZ91" i="1"/>
  <c r="CY91" i="1"/>
  <c r="CX91" i="1" s="1"/>
  <c r="AY91" i="1" s="1"/>
  <c r="CW91" i="1"/>
  <c r="BL91" i="1"/>
  <c r="BK91" i="1"/>
  <c r="BH91" i="1"/>
  <c r="BG91" i="1"/>
  <c r="BC91" i="1"/>
  <c r="BA91" i="1"/>
  <c r="AW91" i="1"/>
  <c r="AQ91" i="1"/>
  <c r="BD91" i="1" s="1"/>
  <c r="AL91" i="1"/>
  <c r="AJ91" i="1"/>
  <c r="AB91" i="1"/>
  <c r="AA91" i="1"/>
  <c r="Z91" i="1"/>
  <c r="S91" i="1"/>
  <c r="Q91" i="1"/>
  <c r="N91" i="1"/>
  <c r="CZ90" i="1"/>
  <c r="V90" i="1" s="1"/>
  <c r="CY90" i="1"/>
  <c r="CX90" i="1" s="1"/>
  <c r="AY90" i="1" s="1"/>
  <c r="CW90" i="1"/>
  <c r="BN90" i="1"/>
  <c r="BL90" i="1"/>
  <c r="BK90" i="1"/>
  <c r="BJ90" i="1"/>
  <c r="BI90" i="1"/>
  <c r="BM90" i="1" s="1"/>
  <c r="BH90" i="1"/>
  <c r="BG90" i="1"/>
  <c r="BD90" i="1"/>
  <c r="BC90" i="1"/>
  <c r="AW90" i="1"/>
  <c r="BA90" i="1" s="1"/>
  <c r="AQ90" i="1"/>
  <c r="AL90" i="1"/>
  <c r="AJ90" i="1" s="1"/>
  <c r="N90" i="1" s="1"/>
  <c r="AK90" i="1"/>
  <c r="AD90" i="1"/>
  <c r="AB90" i="1"/>
  <c r="AA90" i="1"/>
  <c r="S90" i="1"/>
  <c r="Q90" i="1"/>
  <c r="M90" i="1"/>
  <c r="AZ90" i="1" s="1"/>
  <c r="L90" i="1"/>
  <c r="K90" i="1"/>
  <c r="CZ89" i="1"/>
  <c r="CY89" i="1"/>
  <c r="CW89" i="1"/>
  <c r="CX89" i="1" s="1"/>
  <c r="AY89" i="1" s="1"/>
  <c r="BA89" i="1" s="1"/>
  <c r="BL89" i="1"/>
  <c r="BK89" i="1"/>
  <c r="BG89" i="1"/>
  <c r="BD89" i="1"/>
  <c r="BC89" i="1"/>
  <c r="AW89" i="1"/>
  <c r="AQ89" i="1"/>
  <c r="AL89" i="1"/>
  <c r="AJ89" i="1" s="1"/>
  <c r="N89" i="1" s="1"/>
  <c r="AB89" i="1"/>
  <c r="AA89" i="1"/>
  <c r="Z89" i="1"/>
  <c r="V89" i="1"/>
  <c r="S89" i="1"/>
  <c r="M89" i="1"/>
  <c r="AZ89" i="1" s="1"/>
  <c r="CZ88" i="1"/>
  <c r="CY88" i="1"/>
  <c r="CW88" i="1"/>
  <c r="BL88" i="1"/>
  <c r="BK88" i="1"/>
  <c r="BG88" i="1"/>
  <c r="BD88" i="1"/>
  <c r="BC88" i="1"/>
  <c r="AZ88" i="1"/>
  <c r="AW88" i="1"/>
  <c r="AQ88" i="1"/>
  <c r="AL88" i="1"/>
  <c r="AJ88" i="1" s="1"/>
  <c r="AB88" i="1"/>
  <c r="AA88" i="1"/>
  <c r="Z88" i="1" s="1"/>
  <c r="S88" i="1"/>
  <c r="M88" i="1"/>
  <c r="CZ87" i="1"/>
  <c r="CY87" i="1"/>
  <c r="CW87" i="1"/>
  <c r="CX87" i="1" s="1"/>
  <c r="AY87" i="1" s="1"/>
  <c r="BL87" i="1"/>
  <c r="BK87" i="1"/>
  <c r="BJ87" i="1"/>
  <c r="BI87" i="1"/>
  <c r="BM87" i="1" s="1"/>
  <c r="BN87" i="1" s="1"/>
  <c r="BH87" i="1"/>
  <c r="BG87" i="1"/>
  <c r="BD87" i="1"/>
  <c r="BC87" i="1"/>
  <c r="AW87" i="1"/>
  <c r="AQ87" i="1"/>
  <c r="AL87" i="1"/>
  <c r="AJ87" i="1"/>
  <c r="AB87" i="1"/>
  <c r="AA87" i="1"/>
  <c r="Z87" i="1"/>
  <c r="V87" i="1"/>
  <c r="S87" i="1"/>
  <c r="CZ86" i="1"/>
  <c r="CY86" i="1"/>
  <c r="CW86" i="1"/>
  <c r="BL86" i="1"/>
  <c r="BK86" i="1"/>
  <c r="BG86" i="1"/>
  <c r="BD86" i="1"/>
  <c r="BC86" i="1"/>
  <c r="AW86" i="1"/>
  <c r="AQ86" i="1"/>
  <c r="AL86" i="1"/>
  <c r="AJ86" i="1" s="1"/>
  <c r="Q86" i="1" s="1"/>
  <c r="AB86" i="1"/>
  <c r="Z86" i="1" s="1"/>
  <c r="AA86" i="1"/>
  <c r="S86" i="1"/>
  <c r="M86" i="1"/>
  <c r="AZ86" i="1" s="1"/>
  <c r="L86" i="1"/>
  <c r="K86" i="1" s="1"/>
  <c r="AD86" i="1" s="1"/>
  <c r="CZ85" i="1"/>
  <c r="CY85" i="1"/>
  <c r="CX85" i="1"/>
  <c r="AY85" i="1" s="1"/>
  <c r="CW85" i="1"/>
  <c r="BL85" i="1"/>
  <c r="BK85" i="1"/>
  <c r="BI85" i="1"/>
  <c r="BM85" i="1" s="1"/>
  <c r="BN85" i="1" s="1"/>
  <c r="BH85" i="1"/>
  <c r="BG85" i="1"/>
  <c r="BJ85" i="1" s="1"/>
  <c r="BC85" i="1"/>
  <c r="BB85" i="1"/>
  <c r="AW85" i="1"/>
  <c r="AQ85" i="1"/>
  <c r="BD85" i="1" s="1"/>
  <c r="AL85" i="1"/>
  <c r="AJ85" i="1"/>
  <c r="AB85" i="1"/>
  <c r="AA85" i="1"/>
  <c r="Z85" i="1" s="1"/>
  <c r="V85" i="1"/>
  <c r="S85" i="1"/>
  <c r="N85" i="1"/>
  <c r="M85" i="1"/>
  <c r="AZ85" i="1" s="1"/>
  <c r="CZ84" i="1"/>
  <c r="CY84" i="1"/>
  <c r="CW84" i="1"/>
  <c r="BL84" i="1"/>
  <c r="BK84" i="1"/>
  <c r="BG84" i="1"/>
  <c r="BC84" i="1"/>
  <c r="AW84" i="1"/>
  <c r="AQ84" i="1"/>
  <c r="BD84" i="1" s="1"/>
  <c r="AL84" i="1"/>
  <c r="AJ84" i="1" s="1"/>
  <c r="N84" i="1" s="1"/>
  <c r="AK84" i="1"/>
  <c r="AB84" i="1"/>
  <c r="AA84" i="1"/>
  <c r="Z84" i="1" s="1"/>
  <c r="S84" i="1"/>
  <c r="M84" i="1"/>
  <c r="AZ84" i="1" s="1"/>
  <c r="L84" i="1"/>
  <c r="K84" i="1" s="1"/>
  <c r="CZ83" i="1"/>
  <c r="CY83" i="1"/>
  <c r="CX83" i="1"/>
  <c r="AY83" i="1" s="1"/>
  <c r="BA83" i="1" s="1"/>
  <c r="CW83" i="1"/>
  <c r="BL83" i="1"/>
  <c r="BK83" i="1"/>
  <c r="BJ83" i="1"/>
  <c r="BI83" i="1"/>
  <c r="BM83" i="1" s="1"/>
  <c r="BN83" i="1" s="1"/>
  <c r="BH83" i="1"/>
  <c r="BG83" i="1"/>
  <c r="BD83" i="1"/>
  <c r="BC83" i="1"/>
  <c r="AW83" i="1"/>
  <c r="AQ83" i="1"/>
  <c r="AL83" i="1"/>
  <c r="AJ83" i="1"/>
  <c r="AB83" i="1"/>
  <c r="AA83" i="1"/>
  <c r="Z83" i="1"/>
  <c r="V83" i="1"/>
  <c r="S83" i="1"/>
  <c r="Q83" i="1"/>
  <c r="N83" i="1"/>
  <c r="CZ82" i="1"/>
  <c r="CY82" i="1"/>
  <c r="CW82" i="1"/>
  <c r="BL82" i="1"/>
  <c r="BK82" i="1"/>
  <c r="BJ82" i="1"/>
  <c r="BG82" i="1"/>
  <c r="BH82" i="1" s="1"/>
  <c r="BD82" i="1"/>
  <c r="BC82" i="1"/>
  <c r="AZ82" i="1"/>
  <c r="AW82" i="1"/>
  <c r="AQ82" i="1"/>
  <c r="AL82" i="1"/>
  <c r="AJ82" i="1" s="1"/>
  <c r="AB82" i="1"/>
  <c r="Z82" i="1" s="1"/>
  <c r="AA82" i="1"/>
  <c r="S82" i="1"/>
  <c r="Q82" i="1"/>
  <c r="M82" i="1"/>
  <c r="L82" i="1"/>
  <c r="K82" i="1" s="1"/>
  <c r="CZ81" i="1"/>
  <c r="CY81" i="1"/>
  <c r="CW81" i="1"/>
  <c r="V81" i="1" s="1"/>
  <c r="BL81" i="1"/>
  <c r="BK81" i="1"/>
  <c r="BI81" i="1"/>
  <c r="BM81" i="1" s="1"/>
  <c r="BN81" i="1" s="1"/>
  <c r="BH81" i="1"/>
  <c r="BG81" i="1"/>
  <c r="BJ81" i="1" s="1"/>
  <c r="BC81" i="1"/>
  <c r="AW81" i="1"/>
  <c r="AQ81" i="1"/>
  <c r="BD81" i="1" s="1"/>
  <c r="AL81" i="1"/>
  <c r="AK81" i="1"/>
  <c r="AJ81" i="1"/>
  <c r="AB81" i="1"/>
  <c r="AA81" i="1"/>
  <c r="Z81" i="1"/>
  <c r="S81" i="1"/>
  <c r="N81" i="1"/>
  <c r="M81" i="1"/>
  <c r="AZ81" i="1" s="1"/>
  <c r="CZ80" i="1"/>
  <c r="CY80" i="1"/>
  <c r="CW80" i="1"/>
  <c r="BL80" i="1"/>
  <c r="BK80" i="1"/>
  <c r="BJ80" i="1"/>
  <c r="BG80" i="1"/>
  <c r="BC80" i="1"/>
  <c r="AW80" i="1"/>
  <c r="AQ80" i="1"/>
  <c r="BD80" i="1" s="1"/>
  <c r="AL80" i="1"/>
  <c r="AJ80" i="1" s="1"/>
  <c r="N80" i="1" s="1"/>
  <c r="AB80" i="1"/>
  <c r="AA80" i="1"/>
  <c r="Z80" i="1" s="1"/>
  <c r="S80" i="1"/>
  <c r="Q80" i="1"/>
  <c r="L80" i="1"/>
  <c r="K80" i="1" s="1"/>
  <c r="CZ79" i="1"/>
  <c r="CY79" i="1"/>
  <c r="CX79" i="1"/>
  <c r="CW79" i="1"/>
  <c r="BL79" i="1"/>
  <c r="BK79" i="1"/>
  <c r="BJ79" i="1"/>
  <c r="BI79" i="1"/>
  <c r="BM79" i="1" s="1"/>
  <c r="BN79" i="1" s="1"/>
  <c r="BH79" i="1"/>
  <c r="BG79" i="1"/>
  <c r="BD79" i="1"/>
  <c r="BC79" i="1"/>
  <c r="BA79" i="1"/>
  <c r="AY79" i="1"/>
  <c r="AW79" i="1"/>
  <c r="AQ79" i="1"/>
  <c r="AL79" i="1"/>
  <c r="AJ79" i="1" s="1"/>
  <c r="AK79" i="1" s="1"/>
  <c r="AB79" i="1"/>
  <c r="AA79" i="1"/>
  <c r="Z79" i="1"/>
  <c r="V79" i="1"/>
  <c r="S79" i="1"/>
  <c r="N79" i="1"/>
  <c r="CZ78" i="1"/>
  <c r="CY78" i="1"/>
  <c r="CW78" i="1"/>
  <c r="BL78" i="1"/>
  <c r="BK78" i="1"/>
  <c r="BG78" i="1"/>
  <c r="BC78" i="1"/>
  <c r="AW78" i="1"/>
  <c r="AQ78" i="1"/>
  <c r="BD78" i="1" s="1"/>
  <c r="AL78" i="1"/>
  <c r="AJ78" i="1" s="1"/>
  <c r="AB78" i="1"/>
  <c r="AA78" i="1"/>
  <c r="Z78" i="1"/>
  <c r="S78" i="1"/>
  <c r="CZ77" i="1"/>
  <c r="CY77" i="1"/>
  <c r="CX77" i="1" s="1"/>
  <c r="AY77" i="1" s="1"/>
  <c r="CW77" i="1"/>
  <c r="V77" i="1" s="1"/>
  <c r="BL77" i="1"/>
  <c r="BK77" i="1"/>
  <c r="BJ77" i="1"/>
  <c r="BI77" i="1"/>
  <c r="BM77" i="1" s="1"/>
  <c r="BN77" i="1" s="1"/>
  <c r="BH77" i="1"/>
  <c r="BG77" i="1"/>
  <c r="BC77" i="1"/>
  <c r="AW77" i="1"/>
  <c r="AQ77" i="1"/>
  <c r="BD77" i="1" s="1"/>
  <c r="AL77" i="1"/>
  <c r="AJ77" i="1"/>
  <c r="Q77" i="1" s="1"/>
  <c r="AB77" i="1"/>
  <c r="Z77" i="1" s="1"/>
  <c r="AA77" i="1"/>
  <c r="S77" i="1"/>
  <c r="N77" i="1"/>
  <c r="CZ76" i="1"/>
  <c r="CY76" i="1"/>
  <c r="CW76" i="1"/>
  <c r="CX76" i="1" s="1"/>
  <c r="AY76" i="1" s="1"/>
  <c r="BL76" i="1"/>
  <c r="BK76" i="1"/>
  <c r="BJ76" i="1"/>
  <c r="BG76" i="1"/>
  <c r="BI76" i="1" s="1"/>
  <c r="BM76" i="1" s="1"/>
  <c r="BN76" i="1" s="1"/>
  <c r="BD76" i="1"/>
  <c r="BC76" i="1"/>
  <c r="AW76" i="1"/>
  <c r="AQ76" i="1"/>
  <c r="AL76" i="1"/>
  <c r="AJ76" i="1"/>
  <c r="AB76" i="1"/>
  <c r="AA76" i="1"/>
  <c r="Z76" i="1"/>
  <c r="S76" i="1"/>
  <c r="CZ75" i="1"/>
  <c r="CY75" i="1"/>
  <c r="CX75" i="1"/>
  <c r="AY75" i="1" s="1"/>
  <c r="CW75" i="1"/>
  <c r="BL75" i="1"/>
  <c r="BK75" i="1"/>
  <c r="BJ75" i="1"/>
  <c r="BI75" i="1"/>
  <c r="BM75" i="1" s="1"/>
  <c r="BN75" i="1" s="1"/>
  <c r="BH75" i="1"/>
  <c r="BG75" i="1"/>
  <c r="BC75" i="1"/>
  <c r="BA75" i="1"/>
  <c r="AW75" i="1"/>
  <c r="AQ75" i="1"/>
  <c r="BD75" i="1" s="1"/>
  <c r="AL75" i="1"/>
  <c r="AJ75" i="1"/>
  <c r="AB75" i="1"/>
  <c r="AA75" i="1"/>
  <c r="Z75" i="1"/>
  <c r="V75" i="1"/>
  <c r="S75" i="1"/>
  <c r="Q75" i="1"/>
  <c r="M75" i="1"/>
  <c r="AZ75" i="1" s="1"/>
  <c r="BB75" i="1" s="1"/>
  <c r="CZ74" i="1"/>
  <c r="CY74" i="1"/>
  <c r="CW74" i="1"/>
  <c r="CX74" i="1" s="1"/>
  <c r="BL74" i="1"/>
  <c r="BK74" i="1"/>
  <c r="BJ74" i="1"/>
  <c r="BI74" i="1"/>
  <c r="BM74" i="1" s="1"/>
  <c r="BN74" i="1" s="1"/>
  <c r="BG74" i="1"/>
  <c r="BH74" i="1" s="1"/>
  <c r="BD74" i="1"/>
  <c r="BC74" i="1"/>
  <c r="AY74" i="1"/>
  <c r="BA74" i="1" s="1"/>
  <c r="AW74" i="1"/>
  <c r="AQ74" i="1"/>
  <c r="AL74" i="1"/>
  <c r="AJ74" i="1" s="1"/>
  <c r="AB74" i="1"/>
  <c r="AA74" i="1"/>
  <c r="Z74" i="1" s="1"/>
  <c r="S74" i="1"/>
  <c r="CZ73" i="1"/>
  <c r="CY73" i="1"/>
  <c r="CW73" i="1"/>
  <c r="CX73" i="1" s="1"/>
  <c r="AY73" i="1" s="1"/>
  <c r="BA73" i="1" s="1"/>
  <c r="BL73" i="1"/>
  <c r="BK73" i="1"/>
  <c r="BG73" i="1"/>
  <c r="BC73" i="1"/>
  <c r="AW73" i="1"/>
  <c r="AQ73" i="1"/>
  <c r="BD73" i="1" s="1"/>
  <c r="AL73" i="1"/>
  <c r="AJ73" i="1"/>
  <c r="L73" i="1" s="1"/>
  <c r="K73" i="1" s="1"/>
  <c r="AD73" i="1" s="1"/>
  <c r="AB73" i="1"/>
  <c r="AA73" i="1"/>
  <c r="Z73" i="1"/>
  <c r="Y73" i="1"/>
  <c r="AC73" i="1" s="1"/>
  <c r="V73" i="1"/>
  <c r="W73" i="1" s="1"/>
  <c r="X73" i="1" s="1"/>
  <c r="AF73" i="1" s="1"/>
  <c r="S73" i="1"/>
  <c r="Q73" i="1"/>
  <c r="N73" i="1"/>
  <c r="M73" i="1"/>
  <c r="AZ73" i="1" s="1"/>
  <c r="CZ72" i="1"/>
  <c r="CY72" i="1"/>
  <c r="CW72" i="1"/>
  <c r="BM72" i="1"/>
  <c r="BN72" i="1" s="1"/>
  <c r="BL72" i="1"/>
  <c r="BK72" i="1"/>
  <c r="BJ72" i="1"/>
  <c r="BI72" i="1"/>
  <c r="BG72" i="1"/>
  <c r="BH72" i="1" s="1"/>
  <c r="BD72" i="1"/>
  <c r="BC72" i="1"/>
  <c r="AW72" i="1"/>
  <c r="AQ72" i="1"/>
  <c r="AL72" i="1"/>
  <c r="AJ72" i="1" s="1"/>
  <c r="AK72" i="1"/>
  <c r="AB72" i="1"/>
  <c r="AA72" i="1"/>
  <c r="S72" i="1"/>
  <c r="L72" i="1"/>
  <c r="K72" i="1"/>
  <c r="CZ71" i="1"/>
  <c r="CY71" i="1"/>
  <c r="CW71" i="1"/>
  <c r="CX71" i="1" s="1"/>
  <c r="AY71" i="1" s="1"/>
  <c r="BL71" i="1"/>
  <c r="BK71" i="1"/>
  <c r="BG71" i="1"/>
  <c r="BC71" i="1"/>
  <c r="BA71" i="1"/>
  <c r="AW71" i="1"/>
  <c r="AQ71" i="1"/>
  <c r="BD71" i="1" s="1"/>
  <c r="AL71" i="1"/>
  <c r="AJ71" i="1"/>
  <c r="AB71" i="1"/>
  <c r="AA71" i="1"/>
  <c r="Z71" i="1"/>
  <c r="V71" i="1"/>
  <c r="S71" i="1"/>
  <c r="CZ70" i="1"/>
  <c r="CY70" i="1"/>
  <c r="CW70" i="1"/>
  <c r="BM70" i="1"/>
  <c r="BN70" i="1" s="1"/>
  <c r="BL70" i="1"/>
  <c r="BK70" i="1"/>
  <c r="BJ70" i="1"/>
  <c r="BI70" i="1"/>
  <c r="BG70" i="1"/>
  <c r="BH70" i="1" s="1"/>
  <c r="BD70" i="1"/>
  <c r="BC70" i="1"/>
  <c r="AW70" i="1"/>
  <c r="AQ70" i="1"/>
  <c r="AL70" i="1"/>
  <c r="AJ70" i="1" s="1"/>
  <c r="AK70" i="1"/>
  <c r="AB70" i="1"/>
  <c r="AA70" i="1"/>
  <c r="S70" i="1"/>
  <c r="L70" i="1"/>
  <c r="K70" i="1" s="1"/>
  <c r="CZ69" i="1"/>
  <c r="CY69" i="1"/>
  <c r="CW69" i="1"/>
  <c r="CX69" i="1" s="1"/>
  <c r="AY69" i="1" s="1"/>
  <c r="BL69" i="1"/>
  <c r="BK69" i="1"/>
  <c r="BH69" i="1"/>
  <c r="BG69" i="1"/>
  <c r="BC69" i="1"/>
  <c r="AW69" i="1"/>
  <c r="AQ69" i="1"/>
  <c r="BD69" i="1" s="1"/>
  <c r="AL69" i="1"/>
  <c r="AJ69" i="1"/>
  <c r="AB69" i="1"/>
  <c r="AA69" i="1"/>
  <c r="Z69" i="1"/>
  <c r="S69" i="1"/>
  <c r="CZ68" i="1"/>
  <c r="CY68" i="1"/>
  <c r="CW68" i="1"/>
  <c r="BM68" i="1"/>
  <c r="BN68" i="1" s="1"/>
  <c r="BL68" i="1"/>
  <c r="BK68" i="1"/>
  <c r="BJ68" i="1"/>
  <c r="BI68" i="1"/>
  <c r="BG68" i="1"/>
  <c r="BH68" i="1" s="1"/>
  <c r="BD68" i="1"/>
  <c r="BC68" i="1"/>
  <c r="AW68" i="1"/>
  <c r="AQ68" i="1"/>
  <c r="AL68" i="1"/>
  <c r="AJ68" i="1" s="1"/>
  <c r="AK68" i="1"/>
  <c r="AB68" i="1"/>
  <c r="AA68" i="1"/>
  <c r="S68" i="1"/>
  <c r="L68" i="1"/>
  <c r="K68" i="1" s="1"/>
  <c r="CZ67" i="1"/>
  <c r="CY67" i="1"/>
  <c r="CW67" i="1"/>
  <c r="BL67" i="1"/>
  <c r="BK67" i="1"/>
  <c r="BH67" i="1"/>
  <c r="BG67" i="1"/>
  <c r="BC67" i="1"/>
  <c r="AW67" i="1"/>
  <c r="AQ67" i="1"/>
  <c r="BD67" i="1" s="1"/>
  <c r="AL67" i="1"/>
  <c r="AJ67" i="1"/>
  <c r="Q67" i="1" s="1"/>
  <c r="AB67" i="1"/>
  <c r="AA67" i="1"/>
  <c r="Z67" i="1"/>
  <c r="S67" i="1"/>
  <c r="N67" i="1"/>
  <c r="M67" i="1"/>
  <c r="AZ67" i="1" s="1"/>
  <c r="CZ66" i="1"/>
  <c r="CY66" i="1"/>
  <c r="CW66" i="1"/>
  <c r="BN66" i="1"/>
  <c r="BL66" i="1"/>
  <c r="BK66" i="1"/>
  <c r="BJ66" i="1"/>
  <c r="BI66" i="1"/>
  <c r="BM66" i="1" s="1"/>
  <c r="BG66" i="1"/>
  <c r="BH66" i="1" s="1"/>
  <c r="BD66" i="1"/>
  <c r="BC66" i="1"/>
  <c r="AW66" i="1"/>
  <c r="AQ66" i="1"/>
  <c r="AL66" i="1"/>
  <c r="AJ66" i="1" s="1"/>
  <c r="M66" i="1" s="1"/>
  <c r="AZ66" i="1" s="1"/>
  <c r="AK66" i="1"/>
  <c r="AB66" i="1"/>
  <c r="AA66" i="1"/>
  <c r="Z66" i="1" s="1"/>
  <c r="S66" i="1"/>
  <c r="L66" i="1"/>
  <c r="K66" i="1"/>
  <c r="CZ65" i="1"/>
  <c r="CY65" i="1"/>
  <c r="CX65" i="1"/>
  <c r="AY65" i="1" s="1"/>
  <c r="CW65" i="1"/>
  <c r="BL65" i="1"/>
  <c r="BK65" i="1"/>
  <c r="BI65" i="1"/>
  <c r="BM65" i="1" s="1"/>
  <c r="BN65" i="1" s="1"/>
  <c r="BH65" i="1"/>
  <c r="BG65" i="1"/>
  <c r="BJ65" i="1" s="1"/>
  <c r="BC65" i="1"/>
  <c r="BA65" i="1"/>
  <c r="AW65" i="1"/>
  <c r="AQ65" i="1"/>
  <c r="BD65" i="1" s="1"/>
  <c r="AL65" i="1"/>
  <c r="AJ65" i="1"/>
  <c r="L65" i="1" s="1"/>
  <c r="AB65" i="1"/>
  <c r="AA65" i="1"/>
  <c r="Z65" i="1" s="1"/>
  <c r="V65" i="1"/>
  <c r="S65" i="1"/>
  <c r="Q65" i="1"/>
  <c r="N65" i="1"/>
  <c r="K65" i="1"/>
  <c r="CZ64" i="1"/>
  <c r="CY64" i="1"/>
  <c r="CW64" i="1"/>
  <c r="BL64" i="1"/>
  <c r="BK64" i="1"/>
  <c r="BJ64" i="1"/>
  <c r="BG64" i="1"/>
  <c r="BH64" i="1" s="1"/>
  <c r="BD64" i="1"/>
  <c r="BC64" i="1"/>
  <c r="AW64" i="1"/>
  <c r="AQ64" i="1"/>
  <c r="AL64" i="1"/>
  <c r="AJ64" i="1" s="1"/>
  <c r="N64" i="1" s="1"/>
  <c r="AK64" i="1"/>
  <c r="AB64" i="1"/>
  <c r="AA64" i="1"/>
  <c r="S64" i="1"/>
  <c r="Q64" i="1"/>
  <c r="M64" i="1"/>
  <c r="AZ64" i="1" s="1"/>
  <c r="L64" i="1"/>
  <c r="K64" i="1" s="1"/>
  <c r="CZ63" i="1"/>
  <c r="CY63" i="1"/>
  <c r="CX63" i="1"/>
  <c r="CW63" i="1"/>
  <c r="BL63" i="1"/>
  <c r="BK63" i="1"/>
  <c r="BH63" i="1"/>
  <c r="BG63" i="1"/>
  <c r="BJ63" i="1" s="1"/>
  <c r="BC63" i="1"/>
  <c r="AY63" i="1"/>
  <c r="AW63" i="1"/>
  <c r="AQ63" i="1"/>
  <c r="BD63" i="1" s="1"/>
  <c r="AL63" i="1"/>
  <c r="AJ63" i="1"/>
  <c r="AB63" i="1"/>
  <c r="AA63" i="1"/>
  <c r="Z63" i="1" s="1"/>
  <c r="V63" i="1"/>
  <c r="S63" i="1"/>
  <c r="N63" i="1"/>
  <c r="CZ62" i="1"/>
  <c r="CY62" i="1"/>
  <c r="CW62" i="1"/>
  <c r="BL62" i="1"/>
  <c r="BK62" i="1"/>
  <c r="BI62" i="1"/>
  <c r="BM62" i="1" s="1"/>
  <c r="BN62" i="1" s="1"/>
  <c r="BG62" i="1"/>
  <c r="BH62" i="1" s="1"/>
  <c r="BC62" i="1"/>
  <c r="AW62" i="1"/>
  <c r="AQ62" i="1"/>
  <c r="BD62" i="1" s="1"/>
  <c r="AL62" i="1"/>
  <c r="AJ62" i="1" s="1"/>
  <c r="N62" i="1" s="1"/>
  <c r="AB62" i="1"/>
  <c r="AA62" i="1"/>
  <c r="Z62" i="1" s="1"/>
  <c r="S62" i="1"/>
  <c r="CZ61" i="1"/>
  <c r="CY61" i="1"/>
  <c r="CW61" i="1"/>
  <c r="BM61" i="1"/>
  <c r="BN61" i="1" s="1"/>
  <c r="BL61" i="1"/>
  <c r="BK61" i="1"/>
  <c r="BI61" i="1"/>
  <c r="BH61" i="1"/>
  <c r="BG61" i="1"/>
  <c r="BJ61" i="1" s="1"/>
  <c r="BC61" i="1"/>
  <c r="AW61" i="1"/>
  <c r="AQ61" i="1"/>
  <c r="BD61" i="1" s="1"/>
  <c r="AL61" i="1"/>
  <c r="AJ61" i="1"/>
  <c r="L61" i="1" s="1"/>
  <c r="AB61" i="1"/>
  <c r="AA61" i="1"/>
  <c r="Z61" i="1" s="1"/>
  <c r="S61" i="1"/>
  <c r="Q61" i="1"/>
  <c r="N61" i="1"/>
  <c r="M61" i="1"/>
  <c r="AZ61" i="1" s="1"/>
  <c r="K61" i="1"/>
  <c r="AD61" i="1" s="1"/>
  <c r="CZ60" i="1"/>
  <c r="CY60" i="1"/>
  <c r="CW60" i="1"/>
  <c r="BL60" i="1"/>
  <c r="BK60" i="1"/>
  <c r="BJ60" i="1"/>
  <c r="BG60" i="1"/>
  <c r="BH60" i="1" s="1"/>
  <c r="BD60" i="1"/>
  <c r="BC60" i="1"/>
  <c r="AW60" i="1"/>
  <c r="AQ60" i="1"/>
  <c r="AL60" i="1"/>
  <c r="AJ60" i="1" s="1"/>
  <c r="N60" i="1" s="1"/>
  <c r="AB60" i="1"/>
  <c r="AA60" i="1"/>
  <c r="S60" i="1"/>
  <c r="Q60" i="1"/>
  <c r="L60" i="1"/>
  <c r="K60" i="1" s="1"/>
  <c r="CZ59" i="1"/>
  <c r="CY59" i="1"/>
  <c r="CX59" i="1" s="1"/>
  <c r="AY59" i="1" s="1"/>
  <c r="CW59" i="1"/>
  <c r="BL59" i="1"/>
  <c r="BK59" i="1"/>
  <c r="BG59" i="1"/>
  <c r="BC59" i="1"/>
  <c r="AW59" i="1"/>
  <c r="BA59" i="1" s="1"/>
  <c r="AQ59" i="1"/>
  <c r="BD59" i="1" s="1"/>
  <c r="AL59" i="1"/>
  <c r="AK59" i="1"/>
  <c r="AJ59" i="1"/>
  <c r="L59" i="1" s="1"/>
  <c r="K59" i="1" s="1"/>
  <c r="AB59" i="1"/>
  <c r="AA59" i="1"/>
  <c r="Z59" i="1"/>
  <c r="V59" i="1"/>
  <c r="S59" i="1"/>
  <c r="N59" i="1"/>
  <c r="CZ58" i="1"/>
  <c r="CY58" i="1"/>
  <c r="CW58" i="1"/>
  <c r="BL58" i="1"/>
  <c r="BK58" i="1"/>
  <c r="BG58" i="1"/>
  <c r="BC58" i="1"/>
  <c r="AW58" i="1"/>
  <c r="AQ58" i="1"/>
  <c r="BD58" i="1" s="1"/>
  <c r="AL58" i="1"/>
  <c r="AJ58" i="1" s="1"/>
  <c r="AB58" i="1"/>
  <c r="AA58" i="1"/>
  <c r="S58" i="1"/>
  <c r="CZ57" i="1"/>
  <c r="CY57" i="1"/>
  <c r="CX57" i="1"/>
  <c r="AY57" i="1" s="1"/>
  <c r="CW57" i="1"/>
  <c r="BL57" i="1"/>
  <c r="BK57" i="1"/>
  <c r="BI57" i="1"/>
  <c r="BM57" i="1" s="1"/>
  <c r="BN57" i="1" s="1"/>
  <c r="BH57" i="1"/>
  <c r="BG57" i="1"/>
  <c r="BJ57" i="1" s="1"/>
  <c r="BC57" i="1"/>
  <c r="BA57" i="1"/>
  <c r="AW57" i="1"/>
  <c r="AQ57" i="1"/>
  <c r="BD57" i="1" s="1"/>
  <c r="AL57" i="1"/>
  <c r="AJ57" i="1"/>
  <c r="L57" i="1" s="1"/>
  <c r="AB57" i="1"/>
  <c r="AA57" i="1"/>
  <c r="Z57" i="1" s="1"/>
  <c r="V57" i="1"/>
  <c r="S57" i="1"/>
  <c r="Q57" i="1"/>
  <c r="N57" i="1"/>
  <c r="K57" i="1"/>
  <c r="CZ56" i="1"/>
  <c r="CY56" i="1"/>
  <c r="CW56" i="1"/>
  <c r="BL56" i="1"/>
  <c r="BK56" i="1"/>
  <c r="BJ56" i="1"/>
  <c r="BG56" i="1"/>
  <c r="BH56" i="1" s="1"/>
  <c r="BD56" i="1"/>
  <c r="BC56" i="1"/>
  <c r="AW56" i="1"/>
  <c r="AQ56" i="1"/>
  <c r="AL56" i="1"/>
  <c r="AJ56" i="1" s="1"/>
  <c r="N56" i="1" s="1"/>
  <c r="AK56" i="1"/>
  <c r="AB56" i="1"/>
  <c r="AA56" i="1"/>
  <c r="S56" i="1"/>
  <c r="Q56" i="1"/>
  <c r="M56" i="1"/>
  <c r="AZ56" i="1" s="1"/>
  <c r="L56" i="1"/>
  <c r="K56" i="1" s="1"/>
  <c r="CZ55" i="1"/>
  <c r="CY55" i="1"/>
  <c r="CX55" i="1"/>
  <c r="AY55" i="1" s="1"/>
  <c r="CW55" i="1"/>
  <c r="BL55" i="1"/>
  <c r="BK55" i="1"/>
  <c r="BH55" i="1"/>
  <c r="BG55" i="1"/>
  <c r="BJ55" i="1" s="1"/>
  <c r="BC55" i="1"/>
  <c r="AW55" i="1"/>
  <c r="AQ55" i="1"/>
  <c r="BD55" i="1" s="1"/>
  <c r="AL55" i="1"/>
  <c r="AJ55" i="1"/>
  <c r="AB55" i="1"/>
  <c r="AA55" i="1"/>
  <c r="Z55" i="1" s="1"/>
  <c r="V55" i="1"/>
  <c r="S55" i="1"/>
  <c r="N55" i="1"/>
  <c r="CZ54" i="1"/>
  <c r="CY54" i="1"/>
  <c r="CW54" i="1"/>
  <c r="BL54" i="1"/>
  <c r="BK54" i="1"/>
  <c r="BI54" i="1"/>
  <c r="BM54" i="1" s="1"/>
  <c r="BN54" i="1" s="1"/>
  <c r="BG54" i="1"/>
  <c r="BC54" i="1"/>
  <c r="AW54" i="1"/>
  <c r="AQ54" i="1"/>
  <c r="BD54" i="1" s="1"/>
  <c r="AL54" i="1"/>
  <c r="AJ54" i="1" s="1"/>
  <c r="AB54" i="1"/>
  <c r="AA54" i="1"/>
  <c r="Z54" i="1" s="1"/>
  <c r="S54" i="1"/>
  <c r="CZ53" i="1"/>
  <c r="CY53" i="1"/>
  <c r="CW53" i="1"/>
  <c r="CX53" i="1" s="1"/>
  <c r="AY53" i="1" s="1"/>
  <c r="BM53" i="1"/>
  <c r="BN53" i="1" s="1"/>
  <c r="BL53" i="1"/>
  <c r="BK53" i="1"/>
  <c r="BI53" i="1"/>
  <c r="BH53" i="1"/>
  <c r="BG53" i="1"/>
  <c r="BJ53" i="1" s="1"/>
  <c r="BC53" i="1"/>
  <c r="BA53" i="1"/>
  <c r="AW53" i="1"/>
  <c r="AQ53" i="1"/>
  <c r="BD53" i="1" s="1"/>
  <c r="AL53" i="1"/>
  <c r="AJ53" i="1"/>
  <c r="L53" i="1" s="1"/>
  <c r="AB53" i="1"/>
  <c r="AA53" i="1"/>
  <c r="Z53" i="1" s="1"/>
  <c r="W53" i="1"/>
  <c r="X53" i="1" s="1"/>
  <c r="V53" i="1"/>
  <c r="S53" i="1"/>
  <c r="Q53" i="1"/>
  <c r="N53" i="1"/>
  <c r="M53" i="1"/>
  <c r="AZ53" i="1" s="1"/>
  <c r="BB53" i="1" s="1"/>
  <c r="K53" i="1"/>
  <c r="CZ52" i="1"/>
  <c r="CY52" i="1"/>
  <c r="CW52" i="1"/>
  <c r="BL52" i="1"/>
  <c r="BK52" i="1"/>
  <c r="BJ52" i="1"/>
  <c r="BG52" i="1"/>
  <c r="BH52" i="1" s="1"/>
  <c r="BD52" i="1"/>
  <c r="BC52" i="1"/>
  <c r="AW52" i="1"/>
  <c r="AQ52" i="1"/>
  <c r="AL52" i="1"/>
  <c r="AJ52" i="1" s="1"/>
  <c r="N52" i="1" s="1"/>
  <c r="AB52" i="1"/>
  <c r="AA52" i="1"/>
  <c r="S52" i="1"/>
  <c r="Q52" i="1"/>
  <c r="L52" i="1"/>
  <c r="K52" i="1" s="1"/>
  <c r="CZ51" i="1"/>
  <c r="CY51" i="1"/>
  <c r="CX51" i="1"/>
  <c r="AY51" i="1" s="1"/>
  <c r="CW51" i="1"/>
  <c r="BL51" i="1"/>
  <c r="BK51" i="1"/>
  <c r="BG51" i="1"/>
  <c r="BC51" i="1"/>
  <c r="AW51" i="1"/>
  <c r="BA51" i="1" s="1"/>
  <c r="AQ51" i="1"/>
  <c r="BD51" i="1" s="1"/>
  <c r="AL51" i="1"/>
  <c r="AJ51" i="1"/>
  <c r="L51" i="1" s="1"/>
  <c r="AB51" i="1"/>
  <c r="AA51" i="1"/>
  <c r="Z51" i="1"/>
  <c r="V51" i="1"/>
  <c r="S51" i="1"/>
  <c r="Q51" i="1"/>
  <c r="K51" i="1"/>
  <c r="CZ50" i="1"/>
  <c r="CY50" i="1"/>
  <c r="CX50" i="1"/>
  <c r="CW50" i="1"/>
  <c r="BL50" i="1"/>
  <c r="BK50" i="1"/>
  <c r="BJ50" i="1"/>
  <c r="BH50" i="1"/>
  <c r="BG50" i="1"/>
  <c r="BI50" i="1" s="1"/>
  <c r="BM50" i="1" s="1"/>
  <c r="BN50" i="1" s="1"/>
  <c r="BD50" i="1"/>
  <c r="BC50" i="1"/>
  <c r="AY50" i="1"/>
  <c r="BA50" i="1" s="1"/>
  <c r="AW50" i="1"/>
  <c r="AQ50" i="1"/>
  <c r="AL50" i="1"/>
  <c r="AJ50" i="1" s="1"/>
  <c r="AK50" i="1"/>
  <c r="AB50" i="1"/>
  <c r="AA50" i="1"/>
  <c r="Z50" i="1" s="1"/>
  <c r="S50" i="1"/>
  <c r="CZ49" i="1"/>
  <c r="CY49" i="1"/>
  <c r="CW49" i="1"/>
  <c r="BL49" i="1"/>
  <c r="BK49" i="1"/>
  <c r="BG49" i="1"/>
  <c r="BC49" i="1"/>
  <c r="AW49" i="1"/>
  <c r="AQ49" i="1"/>
  <c r="BD49" i="1" s="1"/>
  <c r="AL49" i="1"/>
  <c r="AJ49" i="1"/>
  <c r="AB49" i="1"/>
  <c r="AA49" i="1"/>
  <c r="Z49" i="1"/>
  <c r="S49" i="1"/>
  <c r="Q49" i="1"/>
  <c r="N49" i="1"/>
  <c r="M49" i="1"/>
  <c r="AZ49" i="1" s="1"/>
  <c r="CZ48" i="1"/>
  <c r="CY48" i="1"/>
  <c r="CW48" i="1"/>
  <c r="CX48" i="1" s="1"/>
  <c r="BN48" i="1"/>
  <c r="BL48" i="1"/>
  <c r="BK48" i="1"/>
  <c r="BJ48" i="1"/>
  <c r="BI48" i="1"/>
  <c r="BM48" i="1" s="1"/>
  <c r="BG48" i="1"/>
  <c r="BH48" i="1" s="1"/>
  <c r="BD48" i="1"/>
  <c r="BC48" i="1"/>
  <c r="AY48" i="1"/>
  <c r="BA48" i="1" s="1"/>
  <c r="AW48" i="1"/>
  <c r="AQ48" i="1"/>
  <c r="AL48" i="1"/>
  <c r="AJ48" i="1" s="1"/>
  <c r="AK48" i="1"/>
  <c r="AB48" i="1"/>
  <c r="AA48" i="1"/>
  <c r="S48" i="1"/>
  <c r="Q48" i="1"/>
  <c r="L48" i="1"/>
  <c r="K48" i="1" s="1"/>
  <c r="AD48" i="1" s="1"/>
  <c r="CZ47" i="1"/>
  <c r="CY47" i="1"/>
  <c r="CW47" i="1"/>
  <c r="BL47" i="1"/>
  <c r="BK47" i="1"/>
  <c r="BG47" i="1"/>
  <c r="BJ47" i="1" s="1"/>
  <c r="BC47" i="1"/>
  <c r="AW47" i="1"/>
  <c r="AQ47" i="1"/>
  <c r="BD47" i="1" s="1"/>
  <c r="AL47" i="1"/>
  <c r="AJ47" i="1"/>
  <c r="AB47" i="1"/>
  <c r="AA47" i="1"/>
  <c r="Z47" i="1"/>
  <c r="S47" i="1"/>
  <c r="N47" i="1"/>
  <c r="M47" i="1"/>
  <c r="AZ47" i="1" s="1"/>
  <c r="CZ46" i="1"/>
  <c r="CY46" i="1"/>
  <c r="CW46" i="1"/>
  <c r="BL46" i="1"/>
  <c r="BK46" i="1"/>
  <c r="BJ46" i="1"/>
  <c r="BG46" i="1"/>
  <c r="BH46" i="1" s="1"/>
  <c r="BD46" i="1"/>
  <c r="BC46" i="1"/>
  <c r="AW46" i="1"/>
  <c r="AQ46" i="1"/>
  <c r="AL46" i="1"/>
  <c r="AJ46" i="1" s="1"/>
  <c r="AK46" i="1"/>
  <c r="AB46" i="1"/>
  <c r="AA46" i="1"/>
  <c r="Z46" i="1" s="1"/>
  <c r="S46" i="1"/>
  <c r="M46" i="1"/>
  <c r="AZ46" i="1" s="1"/>
  <c r="L46" i="1"/>
  <c r="K46" i="1" s="1"/>
  <c r="AD46" i="1" s="1"/>
  <c r="CZ45" i="1"/>
  <c r="CY45" i="1"/>
  <c r="CX45" i="1"/>
  <c r="AY45" i="1" s="1"/>
  <c r="BA45" i="1" s="1"/>
  <c r="CW45" i="1"/>
  <c r="BL45" i="1"/>
  <c r="BK45" i="1"/>
  <c r="BG45" i="1"/>
  <c r="BC45" i="1"/>
  <c r="AW45" i="1"/>
  <c r="AQ45" i="1"/>
  <c r="BD45" i="1" s="1"/>
  <c r="AL45" i="1"/>
  <c r="AJ45" i="1"/>
  <c r="L45" i="1" s="1"/>
  <c r="K45" i="1" s="1"/>
  <c r="AB45" i="1"/>
  <c r="AA45" i="1"/>
  <c r="Z45" i="1"/>
  <c r="V45" i="1"/>
  <c r="S45" i="1"/>
  <c r="N45" i="1"/>
  <c r="M45" i="1"/>
  <c r="AZ45" i="1" s="1"/>
  <c r="BB45" i="1" s="1"/>
  <c r="CZ44" i="1"/>
  <c r="CY44" i="1"/>
  <c r="CW44" i="1"/>
  <c r="BL44" i="1"/>
  <c r="BK44" i="1"/>
  <c r="BJ44" i="1"/>
  <c r="BI44" i="1"/>
  <c r="BM44" i="1" s="1"/>
  <c r="BN44" i="1" s="1"/>
  <c r="BG44" i="1"/>
  <c r="BH44" i="1" s="1"/>
  <c r="BD44" i="1"/>
  <c r="BC44" i="1"/>
  <c r="AW44" i="1"/>
  <c r="AQ44" i="1"/>
  <c r="AL44" i="1"/>
  <c r="AJ44" i="1" s="1"/>
  <c r="AB44" i="1"/>
  <c r="AA44" i="1"/>
  <c r="S44" i="1"/>
  <c r="CZ43" i="1"/>
  <c r="CY43" i="1"/>
  <c r="CW43" i="1"/>
  <c r="CX43" i="1" s="1"/>
  <c r="AY43" i="1" s="1"/>
  <c r="BA43" i="1" s="1"/>
  <c r="BL43" i="1"/>
  <c r="BK43" i="1"/>
  <c r="BH43" i="1"/>
  <c r="BG43" i="1"/>
  <c r="BJ43" i="1" s="1"/>
  <c r="BC43" i="1"/>
  <c r="AW43" i="1"/>
  <c r="AQ43" i="1"/>
  <c r="BD43" i="1" s="1"/>
  <c r="AL43" i="1"/>
  <c r="AJ43" i="1"/>
  <c r="M43" i="1" s="1"/>
  <c r="AZ43" i="1" s="1"/>
  <c r="AB43" i="1"/>
  <c r="AA43" i="1"/>
  <c r="Z43" i="1"/>
  <c r="S43" i="1"/>
  <c r="N43" i="1"/>
  <c r="CZ42" i="1"/>
  <c r="CY42" i="1"/>
  <c r="CW42" i="1"/>
  <c r="BL42" i="1"/>
  <c r="BK42" i="1"/>
  <c r="BG42" i="1"/>
  <c r="BC42" i="1"/>
  <c r="AW42" i="1"/>
  <c r="AQ42" i="1"/>
  <c r="BD42" i="1" s="1"/>
  <c r="AL42" i="1"/>
  <c r="AJ42" i="1" s="1"/>
  <c r="AB42" i="1"/>
  <c r="AA42" i="1"/>
  <c r="Z42" i="1" s="1"/>
  <c r="S42" i="1"/>
  <c r="CZ41" i="1"/>
  <c r="CY41" i="1"/>
  <c r="CW41" i="1"/>
  <c r="CX41" i="1" s="1"/>
  <c r="AY41" i="1" s="1"/>
  <c r="BM41" i="1"/>
  <c r="BN41" i="1" s="1"/>
  <c r="BL41" i="1"/>
  <c r="BK41" i="1"/>
  <c r="BI41" i="1"/>
  <c r="BH41" i="1"/>
  <c r="BG41" i="1"/>
  <c r="BJ41" i="1" s="1"/>
  <c r="BC41" i="1"/>
  <c r="BA41" i="1"/>
  <c r="AW41" i="1"/>
  <c r="AQ41" i="1"/>
  <c r="BD41" i="1" s="1"/>
  <c r="AL41" i="1"/>
  <c r="AK41" i="1"/>
  <c r="AJ41" i="1"/>
  <c r="L41" i="1" s="1"/>
  <c r="AB41" i="1"/>
  <c r="AA41" i="1"/>
  <c r="Z41" i="1" s="1"/>
  <c r="V41" i="1"/>
  <c r="S41" i="1"/>
  <c r="Q41" i="1"/>
  <c r="N41" i="1"/>
  <c r="M41" i="1"/>
  <c r="AZ41" i="1" s="1"/>
  <c r="K41" i="1"/>
  <c r="CZ40" i="1"/>
  <c r="CY40" i="1"/>
  <c r="CW40" i="1"/>
  <c r="BL40" i="1"/>
  <c r="BK40" i="1"/>
  <c r="BJ40" i="1"/>
  <c r="BG40" i="1"/>
  <c r="BH40" i="1" s="1"/>
  <c r="BD40" i="1"/>
  <c r="BC40" i="1"/>
  <c r="AW40" i="1"/>
  <c r="AQ40" i="1"/>
  <c r="AL40" i="1"/>
  <c r="AJ40" i="1" s="1"/>
  <c r="N40" i="1" s="1"/>
  <c r="AK40" i="1"/>
  <c r="AB40" i="1"/>
  <c r="AA40" i="1"/>
  <c r="S40" i="1"/>
  <c r="Q40" i="1"/>
  <c r="M40" i="1"/>
  <c r="AZ40" i="1" s="1"/>
  <c r="L40" i="1"/>
  <c r="K40" i="1" s="1"/>
  <c r="CZ39" i="1"/>
  <c r="CY39" i="1"/>
  <c r="CX39" i="1"/>
  <c r="CW39" i="1"/>
  <c r="BL39" i="1"/>
  <c r="BK39" i="1"/>
  <c r="BG39" i="1"/>
  <c r="BJ39" i="1" s="1"/>
  <c r="BC39" i="1"/>
  <c r="AY39" i="1"/>
  <c r="AW39" i="1"/>
  <c r="AQ39" i="1"/>
  <c r="BD39" i="1" s="1"/>
  <c r="AL39" i="1"/>
  <c r="AJ39" i="1"/>
  <c r="AB39" i="1"/>
  <c r="AA39" i="1"/>
  <c r="Z39" i="1"/>
  <c r="V39" i="1"/>
  <c r="S39" i="1"/>
  <c r="N39" i="1"/>
  <c r="CZ38" i="1"/>
  <c r="CY38" i="1"/>
  <c r="CW38" i="1"/>
  <c r="BL38" i="1"/>
  <c r="BK38" i="1"/>
  <c r="BI38" i="1"/>
  <c r="BM38" i="1" s="1"/>
  <c r="BN38" i="1" s="1"/>
  <c r="BG38" i="1"/>
  <c r="BH38" i="1" s="1"/>
  <c r="BC38" i="1"/>
  <c r="AW38" i="1"/>
  <c r="AQ38" i="1"/>
  <c r="BD38" i="1" s="1"/>
  <c r="AL38" i="1"/>
  <c r="AJ38" i="1" s="1"/>
  <c r="N38" i="1" s="1"/>
  <c r="AB38" i="1"/>
  <c r="AA38" i="1"/>
  <c r="Z38" i="1" s="1"/>
  <c r="S38" i="1"/>
  <c r="CZ37" i="1"/>
  <c r="CY37" i="1"/>
  <c r="CW37" i="1"/>
  <c r="BM37" i="1"/>
  <c r="BN37" i="1" s="1"/>
  <c r="BL37" i="1"/>
  <c r="BK37" i="1"/>
  <c r="BI37" i="1"/>
  <c r="BH37" i="1"/>
  <c r="BG37" i="1"/>
  <c r="BJ37" i="1" s="1"/>
  <c r="BC37" i="1"/>
  <c r="AW37" i="1"/>
  <c r="AQ37" i="1"/>
  <c r="BD37" i="1" s="1"/>
  <c r="AL37" i="1"/>
  <c r="AJ37" i="1"/>
  <c r="L37" i="1" s="1"/>
  <c r="AB37" i="1"/>
  <c r="AA37" i="1"/>
  <c r="Z37" i="1" s="1"/>
  <c r="S37" i="1"/>
  <c r="Q37" i="1"/>
  <c r="N37" i="1"/>
  <c r="M37" i="1"/>
  <c r="AZ37" i="1" s="1"/>
  <c r="K37" i="1"/>
  <c r="AD37" i="1" s="1"/>
  <c r="CZ36" i="1"/>
  <c r="CY36" i="1"/>
  <c r="CW36" i="1"/>
  <c r="BN36" i="1"/>
  <c r="BL36" i="1"/>
  <c r="BK36" i="1"/>
  <c r="BJ36" i="1"/>
  <c r="BI36" i="1"/>
  <c r="BM36" i="1" s="1"/>
  <c r="BG36" i="1"/>
  <c r="BH36" i="1" s="1"/>
  <c r="BD36" i="1"/>
  <c r="BC36" i="1"/>
  <c r="AW36" i="1"/>
  <c r="AQ36" i="1"/>
  <c r="AL36" i="1"/>
  <c r="AJ36" i="1" s="1"/>
  <c r="N36" i="1" s="1"/>
  <c r="AK36" i="1"/>
  <c r="AB36" i="1"/>
  <c r="AA36" i="1"/>
  <c r="S36" i="1"/>
  <c r="Q36" i="1"/>
  <c r="M36" i="1"/>
  <c r="AZ36" i="1" s="1"/>
  <c r="L36" i="1"/>
  <c r="K36" i="1" s="1"/>
  <c r="CZ35" i="1"/>
  <c r="CY35" i="1"/>
  <c r="CX35" i="1" s="1"/>
  <c r="AY35" i="1" s="1"/>
  <c r="CW35" i="1"/>
  <c r="V35" i="1" s="1"/>
  <c r="BL35" i="1"/>
  <c r="BK35" i="1"/>
  <c r="BG35" i="1"/>
  <c r="BC35" i="1"/>
  <c r="AW35" i="1"/>
  <c r="BA35" i="1" s="1"/>
  <c r="AQ35" i="1"/>
  <c r="BD35" i="1" s="1"/>
  <c r="AL35" i="1"/>
  <c r="AK35" i="1"/>
  <c r="AJ35" i="1"/>
  <c r="L35" i="1" s="1"/>
  <c r="K35" i="1" s="1"/>
  <c r="AB35" i="1"/>
  <c r="AA35" i="1"/>
  <c r="Z35" i="1"/>
  <c r="S35" i="1"/>
  <c r="N35" i="1"/>
  <c r="CZ34" i="1"/>
  <c r="CY34" i="1"/>
  <c r="CW34" i="1"/>
  <c r="BL34" i="1"/>
  <c r="BK34" i="1"/>
  <c r="BG34" i="1"/>
  <c r="BC34" i="1"/>
  <c r="AW34" i="1"/>
  <c r="AQ34" i="1"/>
  <c r="BD34" i="1" s="1"/>
  <c r="AL34" i="1"/>
  <c r="AJ34" i="1" s="1"/>
  <c r="AB34" i="1"/>
  <c r="AA34" i="1"/>
  <c r="Z34" i="1" s="1"/>
  <c r="S34" i="1"/>
  <c r="CZ33" i="1"/>
  <c r="CY33" i="1"/>
  <c r="CW33" i="1"/>
  <c r="CX33" i="1" s="1"/>
  <c r="AY33" i="1" s="1"/>
  <c r="BL33" i="1"/>
  <c r="BK33" i="1"/>
  <c r="BI33" i="1"/>
  <c r="BM33" i="1" s="1"/>
  <c r="BN33" i="1" s="1"/>
  <c r="BH33" i="1"/>
  <c r="BG33" i="1"/>
  <c r="BJ33" i="1" s="1"/>
  <c r="BC33" i="1"/>
  <c r="BA33" i="1"/>
  <c r="AW33" i="1"/>
  <c r="AQ33" i="1"/>
  <c r="BD33" i="1" s="1"/>
  <c r="AL33" i="1"/>
  <c r="AK33" i="1"/>
  <c r="AJ33" i="1"/>
  <c r="L33" i="1" s="1"/>
  <c r="AB33" i="1"/>
  <c r="AA33" i="1"/>
  <c r="Z33" i="1" s="1"/>
  <c r="V33" i="1"/>
  <c r="S33" i="1"/>
  <c r="Q33" i="1"/>
  <c r="N33" i="1"/>
  <c r="M33" i="1"/>
  <c r="AZ33" i="1" s="1"/>
  <c r="BB33" i="1" s="1"/>
  <c r="K33" i="1"/>
  <c r="CZ32" i="1"/>
  <c r="CY32" i="1"/>
  <c r="CW32" i="1"/>
  <c r="BL32" i="1"/>
  <c r="BK32" i="1"/>
  <c r="BJ32" i="1"/>
  <c r="BG32" i="1"/>
  <c r="BH32" i="1" s="1"/>
  <c r="BD32" i="1"/>
  <c r="BC32" i="1"/>
  <c r="AW32" i="1"/>
  <c r="AQ32" i="1"/>
  <c r="AL32" i="1"/>
  <c r="AJ32" i="1" s="1"/>
  <c r="N32" i="1" s="1"/>
  <c r="AK32" i="1"/>
  <c r="AB32" i="1"/>
  <c r="AA32" i="1"/>
  <c r="S32" i="1"/>
  <c r="Q32" i="1"/>
  <c r="M32" i="1"/>
  <c r="AZ32" i="1" s="1"/>
  <c r="L32" i="1"/>
  <c r="K32" i="1" s="1"/>
  <c r="CZ31" i="1"/>
  <c r="CY31" i="1"/>
  <c r="CX31" i="1"/>
  <c r="CW31" i="1"/>
  <c r="BL31" i="1"/>
  <c r="BK31" i="1"/>
  <c r="BG31" i="1"/>
  <c r="BJ31" i="1" s="1"/>
  <c r="BC31" i="1"/>
  <c r="AY31" i="1"/>
  <c r="AW31" i="1"/>
  <c r="AQ31" i="1"/>
  <c r="BD31" i="1" s="1"/>
  <c r="AL31" i="1"/>
  <c r="AJ31" i="1"/>
  <c r="AB31" i="1"/>
  <c r="AA31" i="1"/>
  <c r="Z31" i="1"/>
  <c r="V31" i="1"/>
  <c r="S31" i="1"/>
  <c r="N31" i="1"/>
  <c r="CZ30" i="1"/>
  <c r="CY30" i="1"/>
  <c r="CW30" i="1"/>
  <c r="BL30" i="1"/>
  <c r="BK30" i="1"/>
  <c r="BI30" i="1"/>
  <c r="BM30" i="1" s="1"/>
  <c r="BN30" i="1" s="1"/>
  <c r="BG30" i="1"/>
  <c r="BH30" i="1" s="1"/>
  <c r="BC30" i="1"/>
  <c r="AW30" i="1"/>
  <c r="AQ30" i="1"/>
  <c r="BD30" i="1" s="1"/>
  <c r="AL30" i="1"/>
  <c r="AJ30" i="1" s="1"/>
  <c r="N30" i="1" s="1"/>
  <c r="AB30" i="1"/>
  <c r="AA30" i="1"/>
  <c r="Z30" i="1" s="1"/>
  <c r="S30" i="1"/>
  <c r="CZ29" i="1"/>
  <c r="CY29" i="1"/>
  <c r="CW29" i="1"/>
  <c r="CX29" i="1" s="1"/>
  <c r="AY29" i="1" s="1"/>
  <c r="BL29" i="1"/>
  <c r="BK29" i="1"/>
  <c r="BJ29" i="1"/>
  <c r="BI29" i="1"/>
  <c r="BM29" i="1" s="1"/>
  <c r="BN29" i="1" s="1"/>
  <c r="BG29" i="1"/>
  <c r="BH29" i="1" s="1"/>
  <c r="BC29" i="1"/>
  <c r="AW29" i="1"/>
  <c r="AQ29" i="1"/>
  <c r="BD29" i="1" s="1"/>
  <c r="AL29" i="1"/>
  <c r="AK29" i="1"/>
  <c r="AJ29" i="1"/>
  <c r="Q29" i="1" s="1"/>
  <c r="AB29" i="1"/>
  <c r="AA29" i="1"/>
  <c r="Z29" i="1" s="1"/>
  <c r="S29" i="1"/>
  <c r="N29" i="1"/>
  <c r="CZ28" i="1"/>
  <c r="CY28" i="1"/>
  <c r="CW28" i="1"/>
  <c r="CX28" i="1" s="1"/>
  <c r="AY28" i="1" s="1"/>
  <c r="BA28" i="1" s="1"/>
  <c r="BN28" i="1"/>
  <c r="BL28" i="1"/>
  <c r="BK28" i="1"/>
  <c r="BJ28" i="1"/>
  <c r="BG28" i="1"/>
  <c r="BI28" i="1" s="1"/>
  <c r="BM28" i="1" s="1"/>
  <c r="BD28" i="1"/>
  <c r="BC28" i="1"/>
  <c r="AW28" i="1"/>
  <c r="AQ28" i="1"/>
  <c r="AL28" i="1"/>
  <c r="AJ28" i="1" s="1"/>
  <c r="AB28" i="1"/>
  <c r="Z28" i="1" s="1"/>
  <c r="AA28" i="1"/>
  <c r="S28" i="1"/>
  <c r="L28" i="1"/>
  <c r="K28" i="1" s="1"/>
  <c r="AD28" i="1" s="1"/>
  <c r="CZ27" i="1"/>
  <c r="CY27" i="1"/>
  <c r="CX27" i="1" s="1"/>
  <c r="AY27" i="1" s="1"/>
  <c r="CW27" i="1"/>
  <c r="BL27" i="1"/>
  <c r="BK27" i="1"/>
  <c r="BI27" i="1"/>
  <c r="BM27" i="1" s="1"/>
  <c r="BN27" i="1" s="1"/>
  <c r="BH27" i="1"/>
  <c r="BG27" i="1"/>
  <c r="BJ27" i="1" s="1"/>
  <c r="BC27" i="1"/>
  <c r="AW27" i="1"/>
  <c r="AQ27" i="1"/>
  <c r="BD27" i="1" s="1"/>
  <c r="AL27" i="1"/>
  <c r="AJ27" i="1"/>
  <c r="AB27" i="1"/>
  <c r="AA27" i="1"/>
  <c r="Z27" i="1"/>
  <c r="V27" i="1"/>
  <c r="S27" i="1"/>
  <c r="CZ26" i="1"/>
  <c r="CY26" i="1"/>
  <c r="CW26" i="1"/>
  <c r="BL26" i="1"/>
  <c r="BK26" i="1"/>
  <c r="BJ26" i="1"/>
  <c r="BG26" i="1"/>
  <c r="BC26" i="1"/>
  <c r="AW26" i="1"/>
  <c r="AQ26" i="1"/>
  <c r="BD26" i="1" s="1"/>
  <c r="AL26" i="1"/>
  <c r="AJ26" i="1" s="1"/>
  <c r="AB26" i="1"/>
  <c r="AA26" i="1"/>
  <c r="Z26" i="1" s="1"/>
  <c r="S26" i="1"/>
  <c r="M26" i="1"/>
  <c r="AZ26" i="1" s="1"/>
  <c r="CZ25" i="1"/>
  <c r="CY25" i="1"/>
  <c r="CX25" i="1"/>
  <c r="AY25" i="1" s="1"/>
  <c r="CW25" i="1"/>
  <c r="BM25" i="1"/>
  <c r="BN25" i="1" s="1"/>
  <c r="BL25" i="1"/>
  <c r="BK25" i="1"/>
  <c r="BI25" i="1"/>
  <c r="BH25" i="1"/>
  <c r="BG25" i="1"/>
  <c r="BJ25" i="1" s="1"/>
  <c r="BD25" i="1"/>
  <c r="BC25" i="1"/>
  <c r="AW25" i="1"/>
  <c r="AQ25" i="1"/>
  <c r="AL25" i="1"/>
  <c r="AK25" i="1"/>
  <c r="AJ25" i="1"/>
  <c r="Q25" i="1" s="1"/>
  <c r="AB25" i="1"/>
  <c r="AA25" i="1"/>
  <c r="Z25" i="1" s="1"/>
  <c r="V25" i="1"/>
  <c r="S25" i="1"/>
  <c r="N25" i="1"/>
  <c r="CZ24" i="1"/>
  <c r="CY24" i="1"/>
  <c r="CW24" i="1"/>
  <c r="CX24" i="1" s="1"/>
  <c r="AY24" i="1" s="1"/>
  <c r="BA24" i="1" s="1"/>
  <c r="BL24" i="1"/>
  <c r="BK24" i="1"/>
  <c r="BJ24" i="1"/>
  <c r="BI24" i="1"/>
  <c r="BM24" i="1" s="1"/>
  <c r="BN24" i="1" s="1"/>
  <c r="BG24" i="1"/>
  <c r="BH24" i="1" s="1"/>
  <c r="BD24" i="1"/>
  <c r="BC24" i="1"/>
  <c r="AW24" i="1"/>
  <c r="AQ24" i="1"/>
  <c r="AL24" i="1"/>
  <c r="AJ24" i="1" s="1"/>
  <c r="Q24" i="1" s="1"/>
  <c r="AB24" i="1"/>
  <c r="Z24" i="1" s="1"/>
  <c r="AA24" i="1"/>
  <c r="S24" i="1"/>
  <c r="CZ23" i="1"/>
  <c r="CY23" i="1"/>
  <c r="CX23" i="1" s="1"/>
  <c r="AY23" i="1" s="1"/>
  <c r="CW23" i="1"/>
  <c r="BL23" i="1"/>
  <c r="BK23" i="1"/>
  <c r="BI23" i="1"/>
  <c r="BM23" i="1" s="1"/>
  <c r="BN23" i="1" s="1"/>
  <c r="BH23" i="1"/>
  <c r="BG23" i="1"/>
  <c r="BJ23" i="1" s="1"/>
  <c r="BC23" i="1"/>
  <c r="AW23" i="1"/>
  <c r="AQ23" i="1"/>
  <c r="BD23" i="1" s="1"/>
  <c r="AL23" i="1"/>
  <c r="AJ23" i="1"/>
  <c r="AB23" i="1"/>
  <c r="AA23" i="1"/>
  <c r="Z23" i="1"/>
  <c r="V23" i="1"/>
  <c r="S23" i="1"/>
  <c r="CZ22" i="1"/>
  <c r="CY22" i="1"/>
  <c r="CW22" i="1"/>
  <c r="BL22" i="1"/>
  <c r="BK22" i="1"/>
  <c r="BG22" i="1"/>
  <c r="BD22" i="1"/>
  <c r="BC22" i="1"/>
  <c r="AZ22" i="1"/>
  <c r="AW22" i="1"/>
  <c r="AQ22" i="1"/>
  <c r="AL22" i="1"/>
  <c r="AJ22" i="1" s="1"/>
  <c r="AB22" i="1"/>
  <c r="AA22" i="1"/>
  <c r="Z22" i="1" s="1"/>
  <c r="S22" i="1"/>
  <c r="M22" i="1"/>
  <c r="L22" i="1"/>
  <c r="K22" i="1" s="1"/>
  <c r="AD22" i="1" s="1"/>
  <c r="CZ21" i="1"/>
  <c r="CY21" i="1"/>
  <c r="CX21" i="1"/>
  <c r="AY21" i="1" s="1"/>
  <c r="CW21" i="1"/>
  <c r="BM21" i="1"/>
  <c r="BN21" i="1" s="1"/>
  <c r="BL21" i="1"/>
  <c r="BK21" i="1"/>
  <c r="BI21" i="1"/>
  <c r="BH21" i="1"/>
  <c r="BG21" i="1"/>
  <c r="BJ21" i="1" s="1"/>
  <c r="BD21" i="1"/>
  <c r="BC21" i="1"/>
  <c r="AW21" i="1"/>
  <c r="BA21" i="1" s="1"/>
  <c r="AQ21" i="1"/>
  <c r="AL21" i="1"/>
  <c r="AK21" i="1"/>
  <c r="AJ21" i="1"/>
  <c r="AB21" i="1"/>
  <c r="AA21" i="1"/>
  <c r="Z21" i="1"/>
  <c r="V21" i="1"/>
  <c r="S21" i="1"/>
  <c r="N21" i="1"/>
  <c r="CZ20" i="1"/>
  <c r="CY20" i="1"/>
  <c r="CW20" i="1"/>
  <c r="CX20" i="1" s="1"/>
  <c r="AY20" i="1" s="1"/>
  <c r="BN20" i="1"/>
  <c r="BL20" i="1"/>
  <c r="BK20" i="1"/>
  <c r="BJ20" i="1"/>
  <c r="BI20" i="1"/>
  <c r="BM20" i="1" s="1"/>
  <c r="BG20" i="1"/>
  <c r="BH20" i="1" s="1"/>
  <c r="BD20" i="1"/>
  <c r="BC20" i="1"/>
  <c r="BA20" i="1"/>
  <c r="AW20" i="1"/>
  <c r="AQ20" i="1"/>
  <c r="AL20" i="1"/>
  <c r="AJ20" i="1" s="1"/>
  <c r="AB20" i="1"/>
  <c r="Z20" i="1" s="1"/>
  <c r="AA20" i="1"/>
  <c r="S20" i="1"/>
  <c r="Q20" i="1"/>
  <c r="L20" i="1"/>
  <c r="K20" i="1" s="1"/>
  <c r="AD20" i="1" s="1"/>
  <c r="CZ19" i="1"/>
  <c r="CY19" i="1"/>
  <c r="CX19" i="1"/>
  <c r="AY19" i="1" s="1"/>
  <c r="BB19" i="1" s="1"/>
  <c r="CW19" i="1"/>
  <c r="BL19" i="1"/>
  <c r="BK19" i="1"/>
  <c r="BG19" i="1"/>
  <c r="BJ19" i="1" s="1"/>
  <c r="BC19" i="1"/>
  <c r="AW19" i="1"/>
  <c r="AQ19" i="1"/>
  <c r="BD19" i="1" s="1"/>
  <c r="AL19" i="1"/>
  <c r="AJ19" i="1"/>
  <c r="AB19" i="1"/>
  <c r="AA19" i="1"/>
  <c r="Z19" i="1"/>
  <c r="V19" i="1"/>
  <c r="S19" i="1"/>
  <c r="M19" i="1"/>
  <c r="AZ19" i="1" s="1"/>
  <c r="CZ18" i="1"/>
  <c r="CY18" i="1"/>
  <c r="CW18" i="1"/>
  <c r="BL18" i="1"/>
  <c r="BK18" i="1"/>
  <c r="BJ18" i="1"/>
  <c r="BG18" i="1"/>
  <c r="BC18" i="1"/>
  <c r="AZ18" i="1"/>
  <c r="AW18" i="1"/>
  <c r="AQ18" i="1"/>
  <c r="BD18" i="1" s="1"/>
  <c r="AL18" i="1"/>
  <c r="AJ18" i="1" s="1"/>
  <c r="AK18" i="1"/>
  <c r="AB18" i="1"/>
  <c r="AA18" i="1"/>
  <c r="Z18" i="1" s="1"/>
  <c r="S18" i="1"/>
  <c r="M18" i="1"/>
  <c r="L18" i="1"/>
  <c r="K18" i="1"/>
  <c r="AD18" i="1" s="1"/>
  <c r="CZ17" i="1"/>
  <c r="CY17" i="1"/>
  <c r="CX17" i="1"/>
  <c r="AY17" i="1" s="1"/>
  <c r="CW17" i="1"/>
  <c r="BM17" i="1"/>
  <c r="BN17" i="1" s="1"/>
  <c r="BL17" i="1"/>
  <c r="BK17" i="1"/>
  <c r="BI17" i="1"/>
  <c r="BH17" i="1"/>
  <c r="BG17" i="1"/>
  <c r="BJ17" i="1" s="1"/>
  <c r="BD17" i="1"/>
  <c r="BC17" i="1"/>
  <c r="AW17" i="1"/>
  <c r="BA17" i="1" s="1"/>
  <c r="AQ17" i="1"/>
  <c r="AL17" i="1"/>
  <c r="AJ17" i="1"/>
  <c r="Q17" i="1" s="1"/>
  <c r="AB17" i="1"/>
  <c r="AA17" i="1"/>
  <c r="Z17" i="1"/>
  <c r="V17" i="1"/>
  <c r="S17" i="1"/>
  <c r="AK17" i="1" l="1"/>
  <c r="Q21" i="1"/>
  <c r="M21" i="1"/>
  <c r="AZ21" i="1" s="1"/>
  <c r="BB21" i="1" s="1"/>
  <c r="L21" i="1"/>
  <c r="K21" i="1" s="1"/>
  <c r="BJ35" i="1"/>
  <c r="BI35" i="1"/>
  <c r="BM35" i="1" s="1"/>
  <c r="BN35" i="1" s="1"/>
  <c r="BH35" i="1"/>
  <c r="BB40" i="1"/>
  <c r="CX40" i="1"/>
  <c r="AY40" i="1" s="1"/>
  <c r="BA40" i="1" s="1"/>
  <c r="V40" i="1"/>
  <c r="BB43" i="1"/>
  <c r="CX46" i="1"/>
  <c r="AY46" i="1" s="1"/>
  <c r="BA46" i="1" s="1"/>
  <c r="V46" i="1"/>
  <c r="BB49" i="1"/>
  <c r="V49" i="1"/>
  <c r="CX49" i="1"/>
  <c r="AY49" i="1" s="1"/>
  <c r="AD32" i="1"/>
  <c r="BA27" i="1"/>
  <c r="CX32" i="1"/>
  <c r="AY32" i="1" s="1"/>
  <c r="BA32" i="1" s="1"/>
  <c r="V32" i="1"/>
  <c r="BH42" i="1"/>
  <c r="BJ42" i="1"/>
  <c r="BI42" i="1"/>
  <c r="BM42" i="1" s="1"/>
  <c r="BN42" i="1" s="1"/>
  <c r="BB61" i="1"/>
  <c r="CX64" i="1"/>
  <c r="AY64" i="1" s="1"/>
  <c r="BA64" i="1" s="1"/>
  <c r="V64" i="1"/>
  <c r="V18" i="1"/>
  <c r="CX18" i="1"/>
  <c r="AY18" i="1" s="1"/>
  <c r="BA18" i="1" s="1"/>
  <c r="BI22" i="1"/>
  <c r="BM22" i="1" s="1"/>
  <c r="BN22" i="1" s="1"/>
  <c r="BH22" i="1"/>
  <c r="N23" i="1"/>
  <c r="M23" i="1"/>
  <c r="AZ23" i="1" s="1"/>
  <c r="BB23" i="1" s="1"/>
  <c r="L23" i="1"/>
  <c r="K23" i="1" s="1"/>
  <c r="AK23" i="1"/>
  <c r="Q23" i="1"/>
  <c r="CX26" i="1"/>
  <c r="AY26" i="1" s="1"/>
  <c r="BA26" i="1" s="1"/>
  <c r="V26" i="1"/>
  <c r="W33" i="1"/>
  <c r="X33" i="1" s="1"/>
  <c r="W35" i="1"/>
  <c r="X35" i="1" s="1"/>
  <c r="T35" i="1" s="1"/>
  <c r="R35" i="1" s="1"/>
  <c r="U35" i="1" s="1"/>
  <c r="O35" i="1" s="1"/>
  <c r="P35" i="1" s="1"/>
  <c r="AD41" i="1"/>
  <c r="N44" i="1"/>
  <c r="M44" i="1"/>
  <c r="AZ44" i="1" s="1"/>
  <c r="AK44" i="1"/>
  <c r="Q44" i="1"/>
  <c r="L44" i="1"/>
  <c r="K44" i="1" s="1"/>
  <c r="BA49" i="1"/>
  <c r="W57" i="1"/>
  <c r="X57" i="1" s="1"/>
  <c r="AD59" i="1"/>
  <c r="N24" i="1"/>
  <c r="M24" i="1"/>
  <c r="AZ24" i="1" s="1"/>
  <c r="BB24" i="1" s="1"/>
  <c r="AK24" i="1"/>
  <c r="L26" i="1"/>
  <c r="K26" i="1" s="1"/>
  <c r="AK26" i="1"/>
  <c r="Q26" i="1"/>
  <c r="N26" i="1"/>
  <c r="BB32" i="1"/>
  <c r="T45" i="1"/>
  <c r="R45" i="1" s="1"/>
  <c r="U45" i="1" s="1"/>
  <c r="O45" i="1" s="1"/>
  <c r="P45" i="1" s="1"/>
  <c r="AD45" i="1"/>
  <c r="N17" i="1"/>
  <c r="BA25" i="1"/>
  <c r="AE31" i="1"/>
  <c r="L31" i="1"/>
  <c r="K31" i="1" s="1"/>
  <c r="Q31" i="1"/>
  <c r="AK31" i="1"/>
  <c r="M31" i="1"/>
  <c r="AZ31" i="1" s="1"/>
  <c r="BB31" i="1" s="1"/>
  <c r="BH34" i="1"/>
  <c r="BJ34" i="1"/>
  <c r="BI34" i="1"/>
  <c r="BM34" i="1" s="1"/>
  <c r="BN34" i="1" s="1"/>
  <c r="V37" i="1"/>
  <c r="CX37" i="1"/>
  <c r="AY37" i="1" s="1"/>
  <c r="BA37" i="1" s="1"/>
  <c r="BB41" i="1"/>
  <c r="AF53" i="1"/>
  <c r="AG53" i="1" s="1"/>
  <c r="Y53" i="1"/>
  <c r="AC53" i="1" s="1"/>
  <c r="CX56" i="1"/>
  <c r="AY56" i="1" s="1"/>
  <c r="BA56" i="1" s="1"/>
  <c r="V56" i="1"/>
  <c r="W41" i="1"/>
  <c r="X41" i="1" s="1"/>
  <c r="T41" i="1" s="1"/>
  <c r="R41" i="1" s="1"/>
  <c r="U41" i="1" s="1"/>
  <c r="O41" i="1" s="1"/>
  <c r="P41" i="1" s="1"/>
  <c r="L24" i="1"/>
  <c r="K24" i="1" s="1"/>
  <c r="AD35" i="1"/>
  <c r="L39" i="1"/>
  <c r="K39" i="1" s="1"/>
  <c r="Q39" i="1"/>
  <c r="AK39" i="1"/>
  <c r="M39" i="1"/>
  <c r="AZ39" i="1" s="1"/>
  <c r="BB39" i="1" s="1"/>
  <c r="L69" i="1"/>
  <c r="K69" i="1" s="1"/>
  <c r="AK69" i="1"/>
  <c r="Q69" i="1"/>
  <c r="M69" i="1"/>
  <c r="AZ69" i="1" s="1"/>
  <c r="BB69" i="1" s="1"/>
  <c r="N69" i="1"/>
  <c r="L19" i="1"/>
  <c r="K19" i="1" s="1"/>
  <c r="AK19" i="1"/>
  <c r="Q19" i="1"/>
  <c r="BH19" i="1"/>
  <c r="BJ22" i="1"/>
  <c r="BI18" i="1"/>
  <c r="BM18" i="1" s="1"/>
  <c r="BN18" i="1" s="1"/>
  <c r="BH18" i="1"/>
  <c r="W19" i="1"/>
  <c r="X19" i="1" s="1"/>
  <c r="BI19" i="1"/>
  <c r="BM19" i="1" s="1"/>
  <c r="BN19" i="1" s="1"/>
  <c r="AK22" i="1"/>
  <c r="Q22" i="1"/>
  <c r="N22" i="1"/>
  <c r="T33" i="1"/>
  <c r="R33" i="1" s="1"/>
  <c r="U33" i="1" s="1"/>
  <c r="O33" i="1" s="1"/>
  <c r="P33" i="1" s="1"/>
  <c r="AD33" i="1"/>
  <c r="BA39" i="1"/>
  <c r="N42" i="1"/>
  <c r="Q42" i="1"/>
  <c r="AK42" i="1"/>
  <c r="M42" i="1"/>
  <c r="AZ42" i="1" s="1"/>
  <c r="L42" i="1"/>
  <c r="K42" i="1" s="1"/>
  <c r="CX47" i="1"/>
  <c r="AY47" i="1" s="1"/>
  <c r="BB47" i="1" s="1"/>
  <c r="W65" i="1"/>
  <c r="X65" i="1" s="1"/>
  <c r="BB18" i="1"/>
  <c r="BA23" i="1"/>
  <c r="N28" i="1"/>
  <c r="M28" i="1"/>
  <c r="AZ28" i="1" s="1"/>
  <c r="BB28" i="1" s="1"/>
  <c r="AK28" i="1"/>
  <c r="AD36" i="1"/>
  <c r="N74" i="1"/>
  <c r="M74" i="1"/>
  <c r="AZ74" i="1" s="1"/>
  <c r="BB74" i="1" s="1"/>
  <c r="L74" i="1"/>
  <c r="K74" i="1" s="1"/>
  <c r="Q74" i="1"/>
  <c r="AK74" i="1"/>
  <c r="M17" i="1"/>
  <c r="AZ17" i="1" s="1"/>
  <c r="BB17" i="1" s="1"/>
  <c r="L17" i="1"/>
  <c r="K17" i="1" s="1"/>
  <c r="Q18" i="1"/>
  <c r="N18" i="1"/>
  <c r="N19" i="1"/>
  <c r="BA19" i="1"/>
  <c r="N20" i="1"/>
  <c r="M20" i="1"/>
  <c r="AZ20" i="1" s="1"/>
  <c r="BB20" i="1" s="1"/>
  <c r="AK20" i="1"/>
  <c r="V22" i="1"/>
  <c r="CX22" i="1"/>
  <c r="AY22" i="1" s="1"/>
  <c r="BA22" i="1" s="1"/>
  <c r="BI26" i="1"/>
  <c r="BM26" i="1" s="1"/>
  <c r="BN26" i="1" s="1"/>
  <c r="BH26" i="1"/>
  <c r="N27" i="1"/>
  <c r="M27" i="1"/>
  <c r="AZ27" i="1" s="1"/>
  <c r="BB27" i="1" s="1"/>
  <c r="L27" i="1"/>
  <c r="K27" i="1" s="1"/>
  <c r="AK27" i="1"/>
  <c r="Q27" i="1"/>
  <c r="Q28" i="1"/>
  <c r="V29" i="1"/>
  <c r="BA29" i="1"/>
  <c r="BA31" i="1"/>
  <c r="N34" i="1"/>
  <c r="Q34" i="1"/>
  <c r="AK34" i="1"/>
  <c r="M34" i="1"/>
  <c r="AZ34" i="1" s="1"/>
  <c r="L34" i="1"/>
  <c r="K34" i="1" s="1"/>
  <c r="AD40" i="1"/>
  <c r="BB46" i="1"/>
  <c r="BA47" i="1"/>
  <c r="AE53" i="1"/>
  <c r="T57" i="1"/>
  <c r="R57" i="1" s="1"/>
  <c r="U57" i="1" s="1"/>
  <c r="AD57" i="1"/>
  <c r="L29" i="1"/>
  <c r="K29" i="1" s="1"/>
  <c r="Q30" i="1"/>
  <c r="BJ30" i="1"/>
  <c r="Q35" i="1"/>
  <c r="Q38" i="1"/>
  <c r="BJ38" i="1"/>
  <c r="Q43" i="1"/>
  <c r="BI43" i="1"/>
  <c r="BM43" i="1" s="1"/>
  <c r="BN43" i="1" s="1"/>
  <c r="W45" i="1"/>
  <c r="X45" i="1" s="1"/>
  <c r="BJ45" i="1"/>
  <c r="BI45" i="1"/>
  <c r="BM45" i="1" s="1"/>
  <c r="BN45" i="1" s="1"/>
  <c r="N50" i="1"/>
  <c r="M50" i="1"/>
  <c r="AZ50" i="1" s="1"/>
  <c r="BB50" i="1" s="1"/>
  <c r="Q50" i="1"/>
  <c r="L55" i="1"/>
  <c r="K55" i="1" s="1"/>
  <c r="Q55" i="1"/>
  <c r="AK55" i="1"/>
  <c r="M55" i="1"/>
  <c r="AZ55" i="1" s="1"/>
  <c r="BB55" i="1" s="1"/>
  <c r="BH58" i="1"/>
  <c r="BJ58" i="1"/>
  <c r="BI58" i="1"/>
  <c r="BM58" i="1" s="1"/>
  <c r="BN58" i="1" s="1"/>
  <c r="AD68" i="1"/>
  <c r="N103" i="1"/>
  <c r="L103" i="1"/>
  <c r="K103" i="1" s="1"/>
  <c r="Q103" i="1"/>
  <c r="M103" i="1"/>
  <c r="AZ103" i="1" s="1"/>
  <c r="AK103" i="1"/>
  <c r="CX113" i="1"/>
  <c r="AY113" i="1" s="1"/>
  <c r="BB113" i="1" s="1"/>
  <c r="V113" i="1"/>
  <c r="AD94" i="1"/>
  <c r="T94" i="1"/>
  <c r="R94" i="1" s="1"/>
  <c r="U94" i="1" s="1"/>
  <c r="O94" i="1" s="1"/>
  <c r="P94" i="1" s="1"/>
  <c r="L25" i="1"/>
  <c r="K25" i="1" s="1"/>
  <c r="M25" i="1"/>
  <c r="AZ25" i="1" s="1"/>
  <c r="BB25" i="1" s="1"/>
  <c r="M29" i="1"/>
  <c r="AZ29" i="1" s="1"/>
  <c r="BB29" i="1" s="1"/>
  <c r="W31" i="1"/>
  <c r="X31" i="1" s="1"/>
  <c r="Z32" i="1"/>
  <c r="BI32" i="1"/>
  <c r="BM32" i="1" s="1"/>
  <c r="BN32" i="1" s="1"/>
  <c r="CX34" i="1"/>
  <c r="AY34" i="1" s="1"/>
  <c r="BA34" i="1" s="1"/>
  <c r="V34" i="1"/>
  <c r="AK37" i="1"/>
  <c r="Z40" i="1"/>
  <c r="BI40" i="1"/>
  <c r="BM40" i="1" s="1"/>
  <c r="BN40" i="1" s="1"/>
  <c r="CX42" i="1"/>
  <c r="AY42" i="1" s="1"/>
  <c r="BA42" i="1" s="1"/>
  <c r="V42" i="1"/>
  <c r="Z44" i="1"/>
  <c r="AK45" i="1"/>
  <c r="BH45" i="1"/>
  <c r="N46" i="1"/>
  <c r="Q46" i="1"/>
  <c r="BI46" i="1"/>
  <c r="BM46" i="1" s="1"/>
  <c r="BN46" i="1" s="1"/>
  <c r="V47" i="1"/>
  <c r="AD51" i="1"/>
  <c r="T53" i="1"/>
  <c r="R53" i="1" s="1"/>
  <c r="U53" i="1" s="1"/>
  <c r="O53" i="1" s="1"/>
  <c r="P53" i="1" s="1"/>
  <c r="AD53" i="1"/>
  <c r="BH54" i="1"/>
  <c r="BJ54" i="1"/>
  <c r="AE55" i="1"/>
  <c r="AD64" i="1"/>
  <c r="W77" i="1"/>
  <c r="X77" i="1" s="1"/>
  <c r="AK78" i="1"/>
  <c r="Q78" i="1"/>
  <c r="N78" i="1"/>
  <c r="L78" i="1"/>
  <c r="K78" i="1" s="1"/>
  <c r="CX36" i="1"/>
  <c r="AY36" i="1" s="1"/>
  <c r="BA36" i="1" s="1"/>
  <c r="V36" i="1"/>
  <c r="L47" i="1"/>
  <c r="K47" i="1" s="1"/>
  <c r="AK47" i="1"/>
  <c r="BJ49" i="1"/>
  <c r="BI49" i="1"/>
  <c r="BM49" i="1" s="1"/>
  <c r="BN49" i="1" s="1"/>
  <c r="BJ51" i="1"/>
  <c r="BI51" i="1"/>
  <c r="BM51" i="1" s="1"/>
  <c r="BN51" i="1" s="1"/>
  <c r="AD52" i="1"/>
  <c r="BA55" i="1"/>
  <c r="N58" i="1"/>
  <c r="Q58" i="1"/>
  <c r="AK58" i="1"/>
  <c r="M58" i="1"/>
  <c r="AZ58" i="1" s="1"/>
  <c r="L58" i="1"/>
  <c r="K58" i="1" s="1"/>
  <c r="AD60" i="1"/>
  <c r="L63" i="1"/>
  <c r="K63" i="1" s="1"/>
  <c r="W63" i="1" s="1"/>
  <c r="X63" i="1" s="1"/>
  <c r="Q63" i="1"/>
  <c r="AK63" i="1"/>
  <c r="M63" i="1"/>
  <c r="AZ63" i="1" s="1"/>
  <c r="BB63" i="1" s="1"/>
  <c r="V20" i="1"/>
  <c r="V24" i="1"/>
  <c r="V28" i="1"/>
  <c r="BH28" i="1"/>
  <c r="L30" i="1"/>
  <c r="K30" i="1" s="1"/>
  <c r="BH31" i="1"/>
  <c r="L38" i="1"/>
  <c r="K38" i="1" s="1"/>
  <c r="BH39" i="1"/>
  <c r="V43" i="1"/>
  <c r="Q45" i="1"/>
  <c r="BH47" i="1"/>
  <c r="N48" i="1"/>
  <c r="M48" i="1"/>
  <c r="AZ48" i="1" s="1"/>
  <c r="BB48" i="1" s="1"/>
  <c r="L49" i="1"/>
  <c r="K49" i="1" s="1"/>
  <c r="AK49" i="1"/>
  <c r="BH49" i="1"/>
  <c r="L50" i="1"/>
  <c r="K50" i="1" s="1"/>
  <c r="BH51" i="1"/>
  <c r="N54" i="1"/>
  <c r="AK54" i="1"/>
  <c r="M54" i="1"/>
  <c r="AZ54" i="1" s="1"/>
  <c r="L54" i="1"/>
  <c r="K54" i="1" s="1"/>
  <c r="Q54" i="1"/>
  <c r="M30" i="1"/>
  <c r="AZ30" i="1" s="1"/>
  <c r="AK30" i="1"/>
  <c r="CX30" i="1"/>
  <c r="AY30" i="1" s="1"/>
  <c r="BA30" i="1" s="1"/>
  <c r="V30" i="1"/>
  <c r="BI31" i="1"/>
  <c r="BM31" i="1" s="1"/>
  <c r="BN31" i="1" s="1"/>
  <c r="M35" i="1"/>
  <c r="AZ35" i="1" s="1"/>
  <c r="BB35" i="1" s="1"/>
  <c r="Z36" i="1"/>
  <c r="M38" i="1"/>
  <c r="AZ38" i="1" s="1"/>
  <c r="AK38" i="1"/>
  <c r="CX38" i="1"/>
  <c r="AY38" i="1" s="1"/>
  <c r="BA38" i="1" s="1"/>
  <c r="V38" i="1"/>
  <c r="BI39" i="1"/>
  <c r="BM39" i="1" s="1"/>
  <c r="BN39" i="1" s="1"/>
  <c r="Q47" i="1"/>
  <c r="BI47" i="1"/>
  <c r="BM47" i="1" s="1"/>
  <c r="BN47" i="1" s="1"/>
  <c r="V50" i="1"/>
  <c r="BJ59" i="1"/>
  <c r="BI59" i="1"/>
  <c r="BM59" i="1" s="1"/>
  <c r="BN59" i="1" s="1"/>
  <c r="BH59" i="1"/>
  <c r="AD65" i="1"/>
  <c r="BB67" i="1"/>
  <c r="V67" i="1"/>
  <c r="CX67" i="1"/>
  <c r="AY67" i="1" s="1"/>
  <c r="BA67" i="1" s="1"/>
  <c r="BA69" i="1"/>
  <c r="M78" i="1"/>
  <c r="AZ78" i="1" s="1"/>
  <c r="BB78" i="1" s="1"/>
  <c r="M87" i="1"/>
  <c r="AZ87" i="1" s="1"/>
  <c r="BB87" i="1" s="1"/>
  <c r="L87" i="1"/>
  <c r="K87" i="1" s="1"/>
  <c r="Q87" i="1"/>
  <c r="N87" i="1"/>
  <c r="AK87" i="1"/>
  <c r="L43" i="1"/>
  <c r="K43" i="1" s="1"/>
  <c r="AK43" i="1"/>
  <c r="CX44" i="1"/>
  <c r="AY44" i="1" s="1"/>
  <c r="BA44" i="1" s="1"/>
  <c r="AE45" i="1"/>
  <c r="Z48" i="1"/>
  <c r="AD56" i="1"/>
  <c r="V61" i="1"/>
  <c r="CX61" i="1"/>
  <c r="AY61" i="1" s="1"/>
  <c r="BA61" i="1" s="1"/>
  <c r="BA63" i="1"/>
  <c r="AD66" i="1"/>
  <c r="V69" i="1"/>
  <c r="AD70" i="1"/>
  <c r="AD72" i="1"/>
  <c r="M51" i="1"/>
  <c r="AZ51" i="1" s="1"/>
  <c r="BB51" i="1" s="1"/>
  <c r="Q59" i="1"/>
  <c r="Q62" i="1"/>
  <c r="BJ62" i="1"/>
  <c r="Q68" i="1"/>
  <c r="N68" i="1"/>
  <c r="M68" i="1"/>
  <c r="AZ68" i="1" s="1"/>
  <c r="AK76" i="1"/>
  <c r="Q76" i="1"/>
  <c r="N76" i="1"/>
  <c r="M76" i="1"/>
  <c r="AZ76" i="1" s="1"/>
  <c r="BB76" i="1" s="1"/>
  <c r="AD84" i="1"/>
  <c r="BB89" i="1"/>
  <c r="V44" i="1"/>
  <c r="V48" i="1"/>
  <c r="N51" i="1"/>
  <c r="W51" i="1"/>
  <c r="X51" i="1" s="1"/>
  <c r="AE51" i="1" s="1"/>
  <c r="AK53" i="1"/>
  <c r="W55" i="1"/>
  <c r="X55" i="1" s="1"/>
  <c r="Z56" i="1"/>
  <c r="BI56" i="1"/>
  <c r="BM56" i="1" s="1"/>
  <c r="BN56" i="1" s="1"/>
  <c r="CX58" i="1"/>
  <c r="AY58" i="1" s="1"/>
  <c r="BA58" i="1" s="1"/>
  <c r="V58" i="1"/>
  <c r="AK61" i="1"/>
  <c r="Z64" i="1"/>
  <c r="BI64" i="1"/>
  <c r="BM64" i="1" s="1"/>
  <c r="BN64" i="1" s="1"/>
  <c r="CX70" i="1"/>
  <c r="AY70" i="1" s="1"/>
  <c r="BA70" i="1" s="1"/>
  <c r="BJ71" i="1"/>
  <c r="BI71" i="1"/>
  <c r="BM71" i="1" s="1"/>
  <c r="BN71" i="1" s="1"/>
  <c r="BH71" i="1"/>
  <c r="Q72" i="1"/>
  <c r="N72" i="1"/>
  <c r="M72" i="1"/>
  <c r="AZ72" i="1" s="1"/>
  <c r="BB73" i="1"/>
  <c r="AE77" i="1"/>
  <c r="BB81" i="1"/>
  <c r="AD82" i="1"/>
  <c r="BB84" i="1"/>
  <c r="L71" i="1"/>
  <c r="K71" i="1" s="1"/>
  <c r="AK71" i="1"/>
  <c r="M52" i="1"/>
  <c r="AZ52" i="1" s="1"/>
  <c r="BB52" i="1" s="1"/>
  <c r="AK52" i="1"/>
  <c r="CX52" i="1"/>
  <c r="AY52" i="1" s="1"/>
  <c r="BA52" i="1" s="1"/>
  <c r="V52" i="1"/>
  <c r="M57" i="1"/>
  <c r="AZ57" i="1" s="1"/>
  <c r="BB57" i="1" s="1"/>
  <c r="Z58" i="1"/>
  <c r="M60" i="1"/>
  <c r="AZ60" i="1" s="1"/>
  <c r="AK60" i="1"/>
  <c r="CX60" i="1"/>
  <c r="AY60" i="1" s="1"/>
  <c r="BA60" i="1" s="1"/>
  <c r="V60" i="1"/>
  <c r="M65" i="1"/>
  <c r="AZ65" i="1" s="1"/>
  <c r="BB65" i="1" s="1"/>
  <c r="CX66" i="1"/>
  <c r="AY66" i="1" s="1"/>
  <c r="BA66" i="1" s="1"/>
  <c r="BJ67" i="1"/>
  <c r="BI67" i="1"/>
  <c r="BM67" i="1" s="1"/>
  <c r="BN67" i="1" s="1"/>
  <c r="Z68" i="1"/>
  <c r="N70" i="1"/>
  <c r="M70" i="1"/>
  <c r="AZ70" i="1" s="1"/>
  <c r="BB70" i="1" s="1"/>
  <c r="Q70" i="1"/>
  <c r="N75" i="1"/>
  <c r="L75" i="1"/>
  <c r="K75" i="1" s="1"/>
  <c r="AK75" i="1"/>
  <c r="BA76" i="1"/>
  <c r="BA77" i="1"/>
  <c r="W93" i="1"/>
  <c r="X93" i="1" s="1"/>
  <c r="T93" i="1" s="1"/>
  <c r="R93" i="1" s="1"/>
  <c r="U93" i="1" s="1"/>
  <c r="O93" i="1" s="1"/>
  <c r="P93" i="1" s="1"/>
  <c r="L62" i="1"/>
  <c r="K62" i="1" s="1"/>
  <c r="L67" i="1"/>
  <c r="K67" i="1" s="1"/>
  <c r="AK67" i="1"/>
  <c r="M71" i="1"/>
  <c r="AZ71" i="1" s="1"/>
  <c r="BB71" i="1" s="1"/>
  <c r="AE73" i="1"/>
  <c r="BJ73" i="1"/>
  <c r="BI73" i="1"/>
  <c r="BM73" i="1" s="1"/>
  <c r="BN73" i="1" s="1"/>
  <c r="BH78" i="1"/>
  <c r="BJ78" i="1"/>
  <c r="BI78" i="1"/>
  <c r="BM78" i="1" s="1"/>
  <c r="BN78" i="1" s="1"/>
  <c r="M79" i="1"/>
  <c r="AZ79" i="1" s="1"/>
  <c r="BB79" i="1" s="1"/>
  <c r="Q79" i="1"/>
  <c r="L79" i="1"/>
  <c r="K79" i="1" s="1"/>
  <c r="W79" i="1" s="1"/>
  <c r="X79" i="1" s="1"/>
  <c r="AK51" i="1"/>
  <c r="Z52" i="1"/>
  <c r="BI52" i="1"/>
  <c r="BM52" i="1" s="1"/>
  <c r="BN52" i="1" s="1"/>
  <c r="CX54" i="1"/>
  <c r="AY54" i="1" s="1"/>
  <c r="BA54" i="1" s="1"/>
  <c r="V54" i="1"/>
  <c r="BI55" i="1"/>
  <c r="BM55" i="1" s="1"/>
  <c r="BN55" i="1" s="1"/>
  <c r="AK57" i="1"/>
  <c r="M59" i="1"/>
  <c r="AZ59" i="1" s="1"/>
  <c r="BB59" i="1" s="1"/>
  <c r="W59" i="1"/>
  <c r="X59" i="1" s="1"/>
  <c r="T59" i="1" s="1"/>
  <c r="R59" i="1" s="1"/>
  <c r="U59" i="1" s="1"/>
  <c r="O59" i="1" s="1"/>
  <c r="P59" i="1" s="1"/>
  <c r="Z60" i="1"/>
  <c r="BI60" i="1"/>
  <c r="BM60" i="1" s="1"/>
  <c r="BN60" i="1" s="1"/>
  <c r="M62" i="1"/>
  <c r="AZ62" i="1" s="1"/>
  <c r="AK62" i="1"/>
  <c r="CX62" i="1"/>
  <c r="AY62" i="1" s="1"/>
  <c r="BA62" i="1" s="1"/>
  <c r="V62" i="1"/>
  <c r="BI63" i="1"/>
  <c r="BM63" i="1" s="1"/>
  <c r="BN63" i="1" s="1"/>
  <c r="AK65" i="1"/>
  <c r="N66" i="1"/>
  <c r="Q66" i="1"/>
  <c r="N71" i="1"/>
  <c r="Z72" i="1"/>
  <c r="AG73" i="1"/>
  <c r="BH73" i="1"/>
  <c r="L76" i="1"/>
  <c r="K76" i="1" s="1"/>
  <c r="AD80" i="1"/>
  <c r="CX68" i="1"/>
  <c r="AY68" i="1" s="1"/>
  <c r="BA68" i="1" s="1"/>
  <c r="BJ69" i="1"/>
  <c r="BI69" i="1"/>
  <c r="BM69" i="1" s="1"/>
  <c r="BN69" i="1" s="1"/>
  <c r="Z70" i="1"/>
  <c r="Q71" i="1"/>
  <c r="CX72" i="1"/>
  <c r="AY72" i="1" s="1"/>
  <c r="BA72" i="1" s="1"/>
  <c r="T73" i="1"/>
  <c r="R73" i="1" s="1"/>
  <c r="U73" i="1" s="1"/>
  <c r="O73" i="1" s="1"/>
  <c r="P73" i="1" s="1"/>
  <c r="W81" i="1"/>
  <c r="X81" i="1" s="1"/>
  <c r="CX84" i="1"/>
  <c r="AY84" i="1" s="1"/>
  <c r="BA84" i="1" s="1"/>
  <c r="V84" i="1"/>
  <c r="V76" i="1"/>
  <c r="L77" i="1"/>
  <c r="K77" i="1" s="1"/>
  <c r="M80" i="1"/>
  <c r="AZ80" i="1" s="1"/>
  <c r="BB80" i="1" s="1"/>
  <c r="AK82" i="1"/>
  <c r="N82" i="1"/>
  <c r="M83" i="1"/>
  <c r="AZ83" i="1" s="1"/>
  <c r="BB83" i="1" s="1"/>
  <c r="L83" i="1"/>
  <c r="K83" i="1" s="1"/>
  <c r="BA85" i="1"/>
  <c r="CX86" i="1"/>
  <c r="AY86" i="1" s="1"/>
  <c r="BA86" i="1" s="1"/>
  <c r="V86" i="1"/>
  <c r="BA93" i="1"/>
  <c r="BA94" i="1"/>
  <c r="V95" i="1"/>
  <c r="CX95" i="1"/>
  <c r="AY95" i="1" s="1"/>
  <c r="BB95" i="1" s="1"/>
  <c r="AE97" i="1"/>
  <c r="V68" i="1"/>
  <c r="V72" i="1"/>
  <c r="M77" i="1"/>
  <c r="AZ77" i="1" s="1"/>
  <c r="BB77" i="1" s="1"/>
  <c r="BA81" i="1"/>
  <c r="BI82" i="1"/>
  <c r="BM82" i="1" s="1"/>
  <c r="BN82" i="1" s="1"/>
  <c r="AK83" i="1"/>
  <c r="Q84" i="1"/>
  <c r="W87" i="1"/>
  <c r="X87" i="1" s="1"/>
  <c r="AE87" i="1" s="1"/>
  <c r="L89" i="1"/>
  <c r="K89" i="1" s="1"/>
  <c r="BJ91" i="1"/>
  <c r="BI91" i="1"/>
  <c r="BM91" i="1" s="1"/>
  <c r="BN91" i="1" s="1"/>
  <c r="W94" i="1"/>
  <c r="X94" i="1" s="1"/>
  <c r="W97" i="1"/>
  <c r="X97" i="1" s="1"/>
  <c r="M99" i="1"/>
  <c r="AZ99" i="1" s="1"/>
  <c r="BB99" i="1" s="1"/>
  <c r="L99" i="1"/>
  <c r="K99" i="1" s="1"/>
  <c r="AK99" i="1"/>
  <c r="Q99" i="1"/>
  <c r="N99" i="1"/>
  <c r="AD102" i="1"/>
  <c r="CX80" i="1"/>
  <c r="AY80" i="1" s="1"/>
  <c r="BA80" i="1" s="1"/>
  <c r="V80" i="1"/>
  <c r="BI86" i="1"/>
  <c r="BM86" i="1" s="1"/>
  <c r="BN86" i="1" s="1"/>
  <c r="BH86" i="1"/>
  <c r="BA87" i="1"/>
  <c r="BH88" i="1"/>
  <c r="BJ88" i="1"/>
  <c r="BI88" i="1"/>
  <c r="BM88" i="1" s="1"/>
  <c r="BN88" i="1" s="1"/>
  <c r="Q89" i="1"/>
  <c r="N92" i="1"/>
  <c r="M92" i="1"/>
  <c r="AZ92" i="1" s="1"/>
  <c r="BB92" i="1" s="1"/>
  <c r="L92" i="1"/>
  <c r="K92" i="1" s="1"/>
  <c r="Q92" i="1"/>
  <c r="AD93" i="1"/>
  <c r="W99" i="1"/>
  <c r="X99" i="1" s="1"/>
  <c r="AK73" i="1"/>
  <c r="AK77" i="1"/>
  <c r="CX81" i="1"/>
  <c r="AY81" i="1" s="1"/>
  <c r="BI84" i="1"/>
  <c r="BM84" i="1" s="1"/>
  <c r="BN84" i="1" s="1"/>
  <c r="BH84" i="1"/>
  <c r="Q85" i="1"/>
  <c r="L85" i="1"/>
  <c r="K85" i="1" s="1"/>
  <c r="AK86" i="1"/>
  <c r="N86" i="1"/>
  <c r="BJ86" i="1"/>
  <c r="N88" i="1"/>
  <c r="AK88" i="1"/>
  <c r="Q88" i="1"/>
  <c r="L88" i="1"/>
  <c r="K88" i="1" s="1"/>
  <c r="W102" i="1"/>
  <c r="X102" i="1" s="1"/>
  <c r="AE102" i="1" s="1"/>
  <c r="BB116" i="1"/>
  <c r="V66" i="1"/>
  <c r="V70" i="1"/>
  <c r="V74" i="1"/>
  <c r="BH76" i="1"/>
  <c r="CX78" i="1"/>
  <c r="AY78" i="1" s="1"/>
  <c r="BA78" i="1" s="1"/>
  <c r="V78" i="1"/>
  <c r="AK80" i="1"/>
  <c r="BI80" i="1"/>
  <c r="BM80" i="1" s="1"/>
  <c r="BN80" i="1" s="1"/>
  <c r="BH80" i="1"/>
  <c r="Q81" i="1"/>
  <c r="L81" i="1"/>
  <c r="K81" i="1" s="1"/>
  <c r="BJ84" i="1"/>
  <c r="AK85" i="1"/>
  <c r="AK89" i="1"/>
  <c r="BJ89" i="1"/>
  <c r="BI89" i="1"/>
  <c r="BM89" i="1" s="1"/>
  <c r="BN89" i="1" s="1"/>
  <c r="BH89" i="1"/>
  <c r="W90" i="1"/>
  <c r="X90" i="1" s="1"/>
  <c r="AE90" i="1" s="1"/>
  <c r="V91" i="1"/>
  <c r="N93" i="1"/>
  <c r="AK93" i="1"/>
  <c r="M93" i="1"/>
  <c r="AZ93" i="1" s="1"/>
  <c r="BB93" i="1" s="1"/>
  <c r="AK98" i="1"/>
  <c r="Q98" i="1"/>
  <c r="L98" i="1"/>
  <c r="K98" i="1" s="1"/>
  <c r="N98" i="1"/>
  <c r="CX82" i="1"/>
  <c r="AY82" i="1" s="1"/>
  <c r="BA82" i="1" s="1"/>
  <c r="V82" i="1"/>
  <c r="CX88" i="1"/>
  <c r="AY88" i="1" s="1"/>
  <c r="BA88" i="1" s="1"/>
  <c r="V88" i="1"/>
  <c r="BB90" i="1"/>
  <c r="N96" i="1"/>
  <c r="M96" i="1"/>
  <c r="AZ96" i="1" s="1"/>
  <c r="BB96" i="1" s="1"/>
  <c r="AK96" i="1"/>
  <c r="L96" i="1"/>
  <c r="K96" i="1" s="1"/>
  <c r="AD97" i="1"/>
  <c r="Q97" i="1"/>
  <c r="N97" i="1"/>
  <c r="BB98" i="1"/>
  <c r="BJ104" i="1"/>
  <c r="BH104" i="1"/>
  <c r="BI104" i="1"/>
  <c r="BM104" i="1" s="1"/>
  <c r="BN104" i="1" s="1"/>
  <c r="N112" i="1"/>
  <c r="AK112" i="1"/>
  <c r="M112" i="1"/>
  <c r="AZ112" i="1" s="1"/>
  <c r="BB112" i="1" s="1"/>
  <c r="L112" i="1"/>
  <c r="K112" i="1" s="1"/>
  <c r="Q112" i="1"/>
  <c r="Z90" i="1"/>
  <c r="AE93" i="1"/>
  <c r="M94" i="1"/>
  <c r="AZ94" i="1" s="1"/>
  <c r="BB94" i="1" s="1"/>
  <c r="AK94" i="1"/>
  <c r="L95" i="1"/>
  <c r="K95" i="1" s="1"/>
  <c r="AK95" i="1"/>
  <c r="BI98" i="1"/>
  <c r="BM98" i="1" s="1"/>
  <c r="BN98" i="1" s="1"/>
  <c r="AD113" i="1"/>
  <c r="L91" i="1"/>
  <c r="K91" i="1" s="1"/>
  <c r="AK91" i="1"/>
  <c r="Z98" i="1"/>
  <c r="BA98" i="1"/>
  <c r="M101" i="1"/>
  <c r="AZ101" i="1" s="1"/>
  <c r="BB101" i="1" s="1"/>
  <c r="N102" i="1"/>
  <c r="M102" i="1"/>
  <c r="AZ102" i="1" s="1"/>
  <c r="BB102" i="1" s="1"/>
  <c r="Q102" i="1"/>
  <c r="CX103" i="1"/>
  <c r="AY103" i="1" s="1"/>
  <c r="BA103" i="1" s="1"/>
  <c r="V103" i="1"/>
  <c r="BB105" i="1"/>
  <c r="N106" i="1"/>
  <c r="M106" i="1"/>
  <c r="AZ106" i="1" s="1"/>
  <c r="BB106" i="1" s="1"/>
  <c r="L106" i="1"/>
  <c r="K106" i="1" s="1"/>
  <c r="Q106" i="1"/>
  <c r="W109" i="1"/>
  <c r="X109" i="1" s="1"/>
  <c r="W111" i="1"/>
  <c r="X111" i="1" s="1"/>
  <c r="L117" i="1"/>
  <c r="K117" i="1" s="1"/>
  <c r="AK117" i="1"/>
  <c r="M117" i="1"/>
  <c r="AZ117" i="1" s="1"/>
  <c r="BB117" i="1" s="1"/>
  <c r="Q117" i="1"/>
  <c r="N117" i="1"/>
  <c r="BA119" i="1"/>
  <c r="BB119" i="1"/>
  <c r="BB128" i="1"/>
  <c r="BJ97" i="1"/>
  <c r="BI97" i="1"/>
  <c r="BM97" i="1" s="1"/>
  <c r="BN97" i="1" s="1"/>
  <c r="T105" i="1"/>
  <c r="R105" i="1" s="1"/>
  <c r="U105" i="1" s="1"/>
  <c r="O105" i="1" s="1"/>
  <c r="P105" i="1" s="1"/>
  <c r="BJ107" i="1"/>
  <c r="BI107" i="1"/>
  <c r="BM107" i="1" s="1"/>
  <c r="BN107" i="1" s="1"/>
  <c r="BH107" i="1"/>
  <c r="BH112" i="1"/>
  <c r="BJ112" i="1"/>
  <c r="BI112" i="1"/>
  <c r="BM112" i="1" s="1"/>
  <c r="BN112" i="1" s="1"/>
  <c r="BJ93" i="1"/>
  <c r="BI93" i="1"/>
  <c r="BM93" i="1" s="1"/>
  <c r="BN93" i="1" s="1"/>
  <c r="BH97" i="1"/>
  <c r="M91" i="1"/>
  <c r="AZ91" i="1" s="1"/>
  <c r="BB91" i="1" s="1"/>
  <c r="BH93" i="1"/>
  <c r="N95" i="1"/>
  <c r="BH101" i="1"/>
  <c r="CX102" i="1"/>
  <c r="AY102" i="1" s="1"/>
  <c r="BA102" i="1" s="1"/>
  <c r="BJ103" i="1"/>
  <c r="BI103" i="1"/>
  <c r="BM103" i="1" s="1"/>
  <c r="BN103" i="1" s="1"/>
  <c r="BH103" i="1"/>
  <c r="AK104" i="1"/>
  <c r="Q104" i="1"/>
  <c r="N104" i="1"/>
  <c r="Z108" i="1"/>
  <c r="BB109" i="1"/>
  <c r="CX96" i="1"/>
  <c r="AY96" i="1" s="1"/>
  <c r="BA96" i="1" s="1"/>
  <c r="L101" i="1"/>
  <c r="K101" i="1" s="1"/>
  <c r="AK101" i="1"/>
  <c r="Q107" i="1"/>
  <c r="N107" i="1"/>
  <c r="L107" i="1"/>
  <c r="K107" i="1" s="1"/>
  <c r="AK107" i="1"/>
  <c r="CX107" i="1"/>
  <c r="AY107" i="1" s="1"/>
  <c r="BA107" i="1" s="1"/>
  <c r="V107" i="1"/>
  <c r="M100" i="1"/>
  <c r="AZ100" i="1" s="1"/>
  <c r="BB100" i="1" s="1"/>
  <c r="W105" i="1"/>
  <c r="X105" i="1" s="1"/>
  <c r="T111" i="1"/>
  <c r="R111" i="1" s="1"/>
  <c r="U111" i="1" s="1"/>
  <c r="O111" i="1" s="1"/>
  <c r="P111" i="1" s="1"/>
  <c r="AD111" i="1"/>
  <c r="AD114" i="1"/>
  <c r="BB115" i="1"/>
  <c r="BJ117" i="1"/>
  <c r="BI117" i="1"/>
  <c r="BM117" i="1" s="1"/>
  <c r="BN117" i="1" s="1"/>
  <c r="BH117" i="1"/>
  <c r="N120" i="1"/>
  <c r="Q120" i="1"/>
  <c r="M120" i="1"/>
  <c r="AZ120" i="1" s="1"/>
  <c r="L120" i="1"/>
  <c r="K120" i="1" s="1"/>
  <c r="AK120" i="1"/>
  <c r="BH124" i="1"/>
  <c r="BJ124" i="1"/>
  <c r="BI124" i="1"/>
  <c r="BM124" i="1" s="1"/>
  <c r="BN124" i="1" s="1"/>
  <c r="V92" i="1"/>
  <c r="V96" i="1"/>
  <c r="AK100" i="1"/>
  <c r="CX100" i="1"/>
  <c r="AY100" i="1" s="1"/>
  <c r="BA100" i="1" s="1"/>
  <c r="V100" i="1"/>
  <c r="CX104" i="1"/>
  <c r="AY104" i="1" s="1"/>
  <c r="BA104" i="1" s="1"/>
  <c r="AK108" i="1"/>
  <c r="Q108" i="1"/>
  <c r="N108" i="1"/>
  <c r="M108" i="1"/>
  <c r="AZ108" i="1" s="1"/>
  <c r="BB108" i="1" s="1"/>
  <c r="AD110" i="1"/>
  <c r="BB111" i="1"/>
  <c r="BB114" i="1"/>
  <c r="CX116" i="1"/>
  <c r="AY116" i="1" s="1"/>
  <c r="BA116" i="1" s="1"/>
  <c r="V116" i="1"/>
  <c r="BI128" i="1"/>
  <c r="BM128" i="1" s="1"/>
  <c r="BN128" i="1" s="1"/>
  <c r="BH128" i="1"/>
  <c r="BJ128" i="1"/>
  <c r="Z104" i="1"/>
  <c r="T109" i="1"/>
  <c r="R109" i="1" s="1"/>
  <c r="U109" i="1" s="1"/>
  <c r="O109" i="1" s="1"/>
  <c r="P109" i="1" s="1"/>
  <c r="BJ111" i="1"/>
  <c r="BI111" i="1"/>
  <c r="BM111" i="1" s="1"/>
  <c r="BN111" i="1" s="1"/>
  <c r="BH111" i="1"/>
  <c r="AD122" i="1"/>
  <c r="AD123" i="1"/>
  <c r="BA117" i="1"/>
  <c r="CX114" i="1"/>
  <c r="AY114" i="1" s="1"/>
  <c r="BA114" i="1" s="1"/>
  <c r="V114" i="1"/>
  <c r="N118" i="1"/>
  <c r="M118" i="1"/>
  <c r="AZ118" i="1" s="1"/>
  <c r="BB118" i="1" s="1"/>
  <c r="CX120" i="1"/>
  <c r="AY120" i="1" s="1"/>
  <c r="BA120" i="1" s="1"/>
  <c r="V120" i="1"/>
  <c r="CX124" i="1"/>
  <c r="AY124" i="1" s="1"/>
  <c r="BA124" i="1" s="1"/>
  <c r="V124" i="1"/>
  <c r="M125" i="1"/>
  <c r="AZ125" i="1" s="1"/>
  <c r="BB125" i="1" s="1"/>
  <c r="L125" i="1"/>
  <c r="K125" i="1" s="1"/>
  <c r="AK125" i="1"/>
  <c r="V104" i="1"/>
  <c r="V108" i="1"/>
  <c r="BH108" i="1"/>
  <c r="L116" i="1"/>
  <c r="K116" i="1" s="1"/>
  <c r="L118" i="1"/>
  <c r="K118" i="1" s="1"/>
  <c r="W119" i="1"/>
  <c r="X119" i="1" s="1"/>
  <c r="BJ119" i="1"/>
  <c r="BI119" i="1"/>
  <c r="BM119" i="1" s="1"/>
  <c r="BN119" i="1" s="1"/>
  <c r="BA123" i="1"/>
  <c r="N128" i="1"/>
  <c r="AK128" i="1"/>
  <c r="Q128" i="1"/>
  <c r="T115" i="1"/>
  <c r="R115" i="1" s="1"/>
  <c r="U115" i="1" s="1"/>
  <c r="O115" i="1" s="1"/>
  <c r="P115" i="1" s="1"/>
  <c r="N124" i="1"/>
  <c r="AK124" i="1"/>
  <c r="Q124" i="1"/>
  <c r="N125" i="1"/>
  <c r="BA125" i="1"/>
  <c r="AE126" i="1"/>
  <c r="AK126" i="1"/>
  <c r="N126" i="1"/>
  <c r="M126" i="1"/>
  <c r="AZ126" i="1" s="1"/>
  <c r="BB126" i="1" s="1"/>
  <c r="AK105" i="1"/>
  <c r="AK109" i="1"/>
  <c r="AK110" i="1"/>
  <c r="CX110" i="1"/>
  <c r="AY110" i="1" s="1"/>
  <c r="BA110" i="1" s="1"/>
  <c r="V110" i="1"/>
  <c r="AK113" i="1"/>
  <c r="W115" i="1"/>
  <c r="X115" i="1" s="1"/>
  <c r="BI116" i="1"/>
  <c r="BM116" i="1" s="1"/>
  <c r="BN116" i="1" s="1"/>
  <c r="Q118" i="1"/>
  <c r="L121" i="1"/>
  <c r="K121" i="1" s="1"/>
  <c r="W121" i="1" s="1"/>
  <c r="X121" i="1" s="1"/>
  <c r="AK121" i="1"/>
  <c r="BJ123" i="1"/>
  <c r="BI123" i="1"/>
  <c r="BM123" i="1" s="1"/>
  <c r="BN123" i="1" s="1"/>
  <c r="T126" i="1"/>
  <c r="R126" i="1" s="1"/>
  <c r="U126" i="1" s="1"/>
  <c r="W126" i="1"/>
  <c r="X126" i="1" s="1"/>
  <c r="CX128" i="1"/>
  <c r="AY128" i="1" s="1"/>
  <c r="BA128" i="1" s="1"/>
  <c r="V128" i="1"/>
  <c r="V106" i="1"/>
  <c r="Q113" i="1"/>
  <c r="BH113" i="1"/>
  <c r="Q116" i="1"/>
  <c r="BJ116" i="1"/>
  <c r="V117" i="1"/>
  <c r="Q119" i="1"/>
  <c r="BH121" i="1"/>
  <c r="N122" i="1"/>
  <c r="M122" i="1"/>
  <c r="AZ122" i="1" s="1"/>
  <c r="BB122" i="1" s="1"/>
  <c r="BH123" i="1"/>
  <c r="L124" i="1"/>
  <c r="K124" i="1" s="1"/>
  <c r="Q125" i="1"/>
  <c r="Z110" i="1"/>
  <c r="CX112" i="1"/>
  <c r="AY112" i="1" s="1"/>
  <c r="BA112" i="1" s="1"/>
  <c r="V112" i="1"/>
  <c r="Q121" i="1"/>
  <c r="BI121" i="1"/>
  <c r="BM121" i="1" s="1"/>
  <c r="BN121" i="1" s="1"/>
  <c r="W123" i="1"/>
  <c r="X123" i="1" s="1"/>
  <c r="M124" i="1"/>
  <c r="AZ124" i="1" s="1"/>
  <c r="BB124" i="1" s="1"/>
  <c r="Z124" i="1"/>
  <c r="M127" i="1"/>
  <c r="AZ127" i="1" s="1"/>
  <c r="BB127" i="1" s="1"/>
  <c r="L127" i="1"/>
  <c r="K127" i="1" s="1"/>
  <c r="Q127" i="1"/>
  <c r="L128" i="1"/>
  <c r="K128" i="1" s="1"/>
  <c r="BI127" i="1"/>
  <c r="BM127" i="1" s="1"/>
  <c r="BN127" i="1" s="1"/>
  <c r="V118" i="1"/>
  <c r="V122" i="1"/>
  <c r="AF121" i="1" l="1"/>
  <c r="Y121" i="1"/>
  <c r="AC121" i="1" s="1"/>
  <c r="AE121" i="1"/>
  <c r="AF79" i="1"/>
  <c r="Y79" i="1"/>
  <c r="AC79" i="1" s="1"/>
  <c r="AE79" i="1"/>
  <c r="AF63" i="1"/>
  <c r="Y63" i="1"/>
  <c r="AC63" i="1" s="1"/>
  <c r="AE63" i="1"/>
  <c r="AD124" i="1"/>
  <c r="AD85" i="1"/>
  <c r="AD71" i="1"/>
  <c r="Y77" i="1"/>
  <c r="AC77" i="1" s="1"/>
  <c r="AF77" i="1"/>
  <c r="AD34" i="1"/>
  <c r="AD42" i="1"/>
  <c r="AD39" i="1"/>
  <c r="AD21" i="1"/>
  <c r="W110" i="1"/>
  <c r="X110" i="1" s="1"/>
  <c r="AF105" i="1"/>
  <c r="AE105" i="1"/>
  <c r="Y105" i="1"/>
  <c r="AC105" i="1" s="1"/>
  <c r="AD117" i="1"/>
  <c r="AD106" i="1"/>
  <c r="W91" i="1"/>
  <c r="X91" i="1" s="1"/>
  <c r="W85" i="1"/>
  <c r="X85" i="1" s="1"/>
  <c r="AD88" i="1"/>
  <c r="BB110" i="1"/>
  <c r="W72" i="1"/>
  <c r="X72" i="1" s="1"/>
  <c r="W86" i="1"/>
  <c r="X86" i="1" s="1"/>
  <c r="W54" i="1"/>
  <c r="X54" i="1" s="1"/>
  <c r="BB60" i="1"/>
  <c r="BB107" i="1"/>
  <c r="BB30" i="1"/>
  <c r="W28" i="1"/>
  <c r="X28" i="1" s="1"/>
  <c r="AD47" i="1"/>
  <c r="W39" i="1"/>
  <c r="X39" i="1" s="1"/>
  <c r="O57" i="1"/>
  <c r="P57" i="1" s="1"/>
  <c r="BB34" i="1"/>
  <c r="W22" i="1"/>
  <c r="X22" i="1" s="1"/>
  <c r="BB42" i="1"/>
  <c r="BB56" i="1"/>
  <c r="W40" i="1"/>
  <c r="X40" i="1" s="1"/>
  <c r="AF123" i="1"/>
  <c r="Y123" i="1"/>
  <c r="AC123" i="1" s="1"/>
  <c r="AF102" i="1"/>
  <c r="AG102" i="1" s="1"/>
  <c r="Y102" i="1"/>
  <c r="AC102" i="1" s="1"/>
  <c r="AE123" i="1"/>
  <c r="AF119" i="1"/>
  <c r="Y119" i="1"/>
  <c r="AC119" i="1" s="1"/>
  <c r="AD125" i="1"/>
  <c r="AE119" i="1"/>
  <c r="AD101" i="1"/>
  <c r="W101" i="1"/>
  <c r="X101" i="1" s="1"/>
  <c r="BB104" i="1"/>
  <c r="AF111" i="1"/>
  <c r="AG111" i="1" s="1"/>
  <c r="Y111" i="1"/>
  <c r="AC111" i="1" s="1"/>
  <c r="AE111" i="1"/>
  <c r="AF90" i="1"/>
  <c r="AG90" i="1" s="1"/>
  <c r="Y90" i="1"/>
  <c r="AC90" i="1" s="1"/>
  <c r="T90" i="1"/>
  <c r="R90" i="1" s="1"/>
  <c r="U90" i="1" s="1"/>
  <c r="O90" i="1" s="1"/>
  <c r="P90" i="1" s="1"/>
  <c r="AF99" i="1"/>
  <c r="Y99" i="1"/>
  <c r="AC99" i="1" s="1"/>
  <c r="AE99" i="1"/>
  <c r="W80" i="1"/>
  <c r="X80" i="1" s="1"/>
  <c r="T99" i="1"/>
  <c r="R99" i="1" s="1"/>
  <c r="U99" i="1" s="1"/>
  <c r="O99" i="1" s="1"/>
  <c r="P99" i="1" s="1"/>
  <c r="AD99" i="1"/>
  <c r="T89" i="1"/>
  <c r="R89" i="1" s="1"/>
  <c r="U89" i="1" s="1"/>
  <c r="O89" i="1" s="1"/>
  <c r="P89" i="1" s="1"/>
  <c r="AD89" i="1"/>
  <c r="W68" i="1"/>
  <c r="X68" i="1" s="1"/>
  <c r="AD77" i="1"/>
  <c r="T77" i="1"/>
  <c r="R77" i="1" s="1"/>
  <c r="U77" i="1" s="1"/>
  <c r="O77" i="1" s="1"/>
  <c r="P77" i="1" s="1"/>
  <c r="BB62" i="1"/>
  <c r="W89" i="1"/>
  <c r="X89" i="1" s="1"/>
  <c r="BA95" i="1"/>
  <c r="BB72" i="1"/>
  <c r="AF55" i="1"/>
  <c r="Y55" i="1"/>
  <c r="AC55" i="1" s="1"/>
  <c r="W69" i="1"/>
  <c r="X69" i="1" s="1"/>
  <c r="W67" i="1"/>
  <c r="X67" i="1" s="1"/>
  <c r="BB38" i="1"/>
  <c r="W71" i="1"/>
  <c r="X71" i="1" s="1"/>
  <c r="T71" i="1" s="1"/>
  <c r="R71" i="1" s="1"/>
  <c r="U71" i="1" s="1"/>
  <c r="O71" i="1" s="1"/>
  <c r="P71" i="1" s="1"/>
  <c r="W24" i="1"/>
  <c r="X24" i="1" s="1"/>
  <c r="W36" i="1"/>
  <c r="X36" i="1" s="1"/>
  <c r="BB86" i="1"/>
  <c r="AD25" i="1"/>
  <c r="BB103" i="1"/>
  <c r="AD17" i="1"/>
  <c r="W25" i="1"/>
  <c r="X25" i="1" s="1"/>
  <c r="BB64" i="1"/>
  <c r="W21" i="1"/>
  <c r="X21" i="1" s="1"/>
  <c r="W118" i="1"/>
  <c r="X118" i="1" s="1"/>
  <c r="T118" i="1" s="1"/>
  <c r="R118" i="1" s="1"/>
  <c r="U118" i="1" s="1"/>
  <c r="O118" i="1" s="1"/>
  <c r="P118" i="1" s="1"/>
  <c r="W116" i="1"/>
  <c r="X116" i="1" s="1"/>
  <c r="Y81" i="1"/>
  <c r="AC81" i="1" s="1"/>
  <c r="AF81" i="1"/>
  <c r="AD43" i="1"/>
  <c r="AD128" i="1"/>
  <c r="T128" i="1"/>
  <c r="R128" i="1" s="1"/>
  <c r="U128" i="1" s="1"/>
  <c r="O128" i="1" s="1"/>
  <c r="P128" i="1" s="1"/>
  <c r="AD118" i="1"/>
  <c r="AD98" i="1"/>
  <c r="W98" i="1"/>
  <c r="X98" i="1" s="1"/>
  <c r="AD24" i="1"/>
  <c r="AF35" i="1"/>
  <c r="Y35" i="1"/>
  <c r="AC35" i="1" s="1"/>
  <c r="W74" i="1"/>
  <c r="X74" i="1" s="1"/>
  <c r="AD83" i="1"/>
  <c r="T67" i="1"/>
  <c r="R67" i="1" s="1"/>
  <c r="U67" i="1" s="1"/>
  <c r="O67" i="1" s="1"/>
  <c r="P67" i="1" s="1"/>
  <c r="AD67" i="1"/>
  <c r="AD75" i="1"/>
  <c r="W52" i="1"/>
  <c r="X52" i="1" s="1"/>
  <c r="Y51" i="1"/>
  <c r="AC51" i="1" s="1"/>
  <c r="AF51" i="1"/>
  <c r="AG51" i="1" s="1"/>
  <c r="BB88" i="1"/>
  <c r="BB58" i="1"/>
  <c r="AD78" i="1"/>
  <c r="AD103" i="1"/>
  <c r="T103" i="1"/>
  <c r="R103" i="1" s="1"/>
  <c r="U103" i="1" s="1"/>
  <c r="O103" i="1" s="1"/>
  <c r="P103" i="1" s="1"/>
  <c r="AF65" i="1"/>
  <c r="Y65" i="1"/>
  <c r="AC65" i="1" s="1"/>
  <c r="AE65" i="1"/>
  <c r="AD69" i="1"/>
  <c r="AF41" i="1"/>
  <c r="Y41" i="1"/>
  <c r="AC41" i="1" s="1"/>
  <c r="AE41" i="1"/>
  <c r="W32" i="1"/>
  <c r="X32" i="1" s="1"/>
  <c r="W17" i="1"/>
  <c r="X17" i="1" s="1"/>
  <c r="W106" i="1"/>
  <c r="X106" i="1" s="1"/>
  <c r="T106" i="1" s="1"/>
  <c r="R106" i="1" s="1"/>
  <c r="U106" i="1" s="1"/>
  <c r="O106" i="1" s="1"/>
  <c r="P106" i="1" s="1"/>
  <c r="W100" i="1"/>
  <c r="X100" i="1" s="1"/>
  <c r="W107" i="1"/>
  <c r="X107" i="1" s="1"/>
  <c r="AD112" i="1"/>
  <c r="T112" i="1"/>
  <c r="R112" i="1" s="1"/>
  <c r="U112" i="1" s="1"/>
  <c r="O112" i="1" s="1"/>
  <c r="P112" i="1" s="1"/>
  <c r="Y87" i="1"/>
  <c r="AC87" i="1" s="1"/>
  <c r="AF87" i="1"/>
  <c r="W76" i="1"/>
  <c r="X76" i="1" s="1"/>
  <c r="AD27" i="1"/>
  <c r="W27" i="1"/>
  <c r="X27" i="1" s="1"/>
  <c r="AD44" i="1"/>
  <c r="W112" i="1"/>
  <c r="X112" i="1" s="1"/>
  <c r="W128" i="1"/>
  <c r="X128" i="1" s="1"/>
  <c r="AD116" i="1"/>
  <c r="T116" i="1"/>
  <c r="R116" i="1" s="1"/>
  <c r="U116" i="1" s="1"/>
  <c r="O116" i="1" s="1"/>
  <c r="P116" i="1" s="1"/>
  <c r="W124" i="1"/>
  <c r="X124" i="1" s="1"/>
  <c r="T124" i="1" s="1"/>
  <c r="R124" i="1" s="1"/>
  <c r="U124" i="1" s="1"/>
  <c r="O124" i="1" s="1"/>
  <c r="P124" i="1" s="1"/>
  <c r="BB120" i="1"/>
  <c r="W103" i="1"/>
  <c r="X103" i="1" s="1"/>
  <c r="AD95" i="1"/>
  <c r="W70" i="1"/>
  <c r="X70" i="1" s="1"/>
  <c r="BB82" i="1"/>
  <c r="T102" i="1"/>
  <c r="R102" i="1" s="1"/>
  <c r="U102" i="1" s="1"/>
  <c r="O102" i="1" s="1"/>
  <c r="P102" i="1" s="1"/>
  <c r="AF97" i="1"/>
  <c r="AG97" i="1" s="1"/>
  <c r="Y97" i="1"/>
  <c r="AC97" i="1" s="1"/>
  <c r="W95" i="1"/>
  <c r="X95" i="1" s="1"/>
  <c r="T95" i="1" s="1"/>
  <c r="R95" i="1" s="1"/>
  <c r="U95" i="1" s="1"/>
  <c r="O95" i="1" s="1"/>
  <c r="P95" i="1" s="1"/>
  <c r="W84" i="1"/>
  <c r="X84" i="1" s="1"/>
  <c r="AD76" i="1"/>
  <c r="AF59" i="1"/>
  <c r="Y59" i="1"/>
  <c r="AC59" i="1" s="1"/>
  <c r="AD62" i="1"/>
  <c r="T87" i="1"/>
  <c r="R87" i="1" s="1"/>
  <c r="U87" i="1" s="1"/>
  <c r="O87" i="1" s="1"/>
  <c r="P87" i="1" s="1"/>
  <c r="AD87" i="1"/>
  <c r="T65" i="1"/>
  <c r="R65" i="1" s="1"/>
  <c r="U65" i="1" s="1"/>
  <c r="O65" i="1" s="1"/>
  <c r="P65" i="1" s="1"/>
  <c r="AD54" i="1"/>
  <c r="T54" i="1"/>
  <c r="R54" i="1" s="1"/>
  <c r="U54" i="1" s="1"/>
  <c r="O54" i="1" s="1"/>
  <c r="P54" i="1" s="1"/>
  <c r="AD38" i="1"/>
  <c r="T51" i="1"/>
  <c r="R51" i="1" s="1"/>
  <c r="U51" i="1" s="1"/>
  <c r="O51" i="1" s="1"/>
  <c r="P51" i="1" s="1"/>
  <c r="W42" i="1"/>
  <c r="X42" i="1" s="1"/>
  <c r="AF45" i="1"/>
  <c r="AG45" i="1" s="1"/>
  <c r="Y45" i="1"/>
  <c r="AC45" i="1" s="1"/>
  <c r="AD29" i="1"/>
  <c r="BB66" i="1"/>
  <c r="AF57" i="1"/>
  <c r="Y57" i="1"/>
  <c r="AC57" i="1" s="1"/>
  <c r="AE57" i="1"/>
  <c r="AF33" i="1"/>
  <c r="Y33" i="1"/>
  <c r="AC33" i="1" s="1"/>
  <c r="AE33" i="1"/>
  <c r="AD23" i="1"/>
  <c r="T23" i="1"/>
  <c r="R23" i="1" s="1"/>
  <c r="U23" i="1" s="1"/>
  <c r="O23" i="1" s="1"/>
  <c r="P23" i="1" s="1"/>
  <c r="W23" i="1"/>
  <c r="X23" i="1" s="1"/>
  <c r="W18" i="1"/>
  <c r="X18" i="1" s="1"/>
  <c r="W46" i="1"/>
  <c r="X46" i="1" s="1"/>
  <c r="W82" i="1"/>
  <c r="X82" i="1" s="1"/>
  <c r="W78" i="1"/>
  <c r="X78" i="1" s="1"/>
  <c r="W61" i="1"/>
  <c r="X61" i="1" s="1"/>
  <c r="W114" i="1"/>
  <c r="X114" i="1" s="1"/>
  <c r="T81" i="1"/>
  <c r="R81" i="1" s="1"/>
  <c r="U81" i="1" s="1"/>
  <c r="O81" i="1" s="1"/>
  <c r="P81" i="1" s="1"/>
  <c r="AD81" i="1"/>
  <c r="W50" i="1"/>
  <c r="X50" i="1" s="1"/>
  <c r="AD50" i="1"/>
  <c r="T50" i="1"/>
  <c r="R50" i="1" s="1"/>
  <c r="U50" i="1" s="1"/>
  <c r="O50" i="1" s="1"/>
  <c r="P50" i="1" s="1"/>
  <c r="W43" i="1"/>
  <c r="X43" i="1" s="1"/>
  <c r="T43" i="1" s="1"/>
  <c r="R43" i="1" s="1"/>
  <c r="U43" i="1" s="1"/>
  <c r="O43" i="1" s="1"/>
  <c r="P43" i="1" s="1"/>
  <c r="W20" i="1"/>
  <c r="X20" i="1" s="1"/>
  <c r="AD58" i="1"/>
  <c r="W34" i="1"/>
  <c r="X34" i="1" s="1"/>
  <c r="T34" i="1" s="1"/>
  <c r="R34" i="1" s="1"/>
  <c r="U34" i="1" s="1"/>
  <c r="O34" i="1" s="1"/>
  <c r="P34" i="1" s="1"/>
  <c r="W49" i="1"/>
  <c r="X49" i="1" s="1"/>
  <c r="T127" i="1"/>
  <c r="R127" i="1" s="1"/>
  <c r="U127" i="1" s="1"/>
  <c r="O127" i="1" s="1"/>
  <c r="P127" i="1" s="1"/>
  <c r="AD127" i="1"/>
  <c r="T121" i="1"/>
  <c r="R121" i="1" s="1"/>
  <c r="U121" i="1" s="1"/>
  <c r="O121" i="1" s="1"/>
  <c r="P121" i="1" s="1"/>
  <c r="AD121" i="1"/>
  <c r="W127" i="1"/>
  <c r="X127" i="1" s="1"/>
  <c r="AD120" i="1"/>
  <c r="W117" i="1"/>
  <c r="X117" i="1" s="1"/>
  <c r="T117" i="1" s="1"/>
  <c r="R117" i="1" s="1"/>
  <c r="U117" i="1" s="1"/>
  <c r="O117" i="1" s="1"/>
  <c r="P117" i="1" s="1"/>
  <c r="Y126" i="1"/>
  <c r="AC126" i="1" s="1"/>
  <c r="AF126" i="1"/>
  <c r="AG126" i="1" s="1"/>
  <c r="W125" i="1"/>
  <c r="X125" i="1" s="1"/>
  <c r="W108" i="1"/>
  <c r="X108" i="1" s="1"/>
  <c r="W96" i="1"/>
  <c r="X96" i="1" s="1"/>
  <c r="AD107" i="1"/>
  <c r="T107" i="1"/>
  <c r="R107" i="1" s="1"/>
  <c r="U107" i="1" s="1"/>
  <c r="O107" i="1" s="1"/>
  <c r="P107" i="1" s="1"/>
  <c r="AF109" i="1"/>
  <c r="AG109" i="1" s="1"/>
  <c r="AE109" i="1"/>
  <c r="Y109" i="1"/>
  <c r="AC109" i="1" s="1"/>
  <c r="T97" i="1"/>
  <c r="R97" i="1" s="1"/>
  <c r="U97" i="1" s="1"/>
  <c r="O97" i="1" s="1"/>
  <c r="P97" i="1" s="1"/>
  <c r="W88" i="1"/>
  <c r="X88" i="1" s="1"/>
  <c r="T88" i="1" s="1"/>
  <c r="R88" i="1" s="1"/>
  <c r="U88" i="1" s="1"/>
  <c r="O88" i="1" s="1"/>
  <c r="P88" i="1" s="1"/>
  <c r="W66" i="1"/>
  <c r="X66" i="1" s="1"/>
  <c r="Y94" i="1"/>
  <c r="AC94" i="1" s="1"/>
  <c r="AF94" i="1"/>
  <c r="AE94" i="1"/>
  <c r="AE81" i="1"/>
  <c r="W75" i="1"/>
  <c r="X75" i="1" s="1"/>
  <c r="T75" i="1" s="1"/>
  <c r="R75" i="1" s="1"/>
  <c r="U75" i="1" s="1"/>
  <c r="O75" i="1" s="1"/>
  <c r="P75" i="1" s="1"/>
  <c r="W60" i="1"/>
  <c r="X60" i="1" s="1"/>
  <c r="W83" i="1"/>
  <c r="X83" i="1" s="1"/>
  <c r="T83" i="1" s="1"/>
  <c r="R83" i="1" s="1"/>
  <c r="U83" i="1" s="1"/>
  <c r="O83" i="1" s="1"/>
  <c r="P83" i="1" s="1"/>
  <c r="W58" i="1"/>
  <c r="X58" i="1" s="1"/>
  <c r="W48" i="1"/>
  <c r="X48" i="1" s="1"/>
  <c r="W30" i="1"/>
  <c r="X30" i="1" s="1"/>
  <c r="T30" i="1" s="1"/>
  <c r="R30" i="1" s="1"/>
  <c r="U30" i="1" s="1"/>
  <c r="O30" i="1" s="1"/>
  <c r="P30" i="1" s="1"/>
  <c r="BB54" i="1"/>
  <c r="T49" i="1"/>
  <c r="R49" i="1" s="1"/>
  <c r="U49" i="1" s="1"/>
  <c r="O49" i="1" s="1"/>
  <c r="P49" i="1" s="1"/>
  <c r="AD49" i="1"/>
  <c r="AE59" i="1"/>
  <c r="W47" i="1"/>
  <c r="X47" i="1" s="1"/>
  <c r="AD74" i="1"/>
  <c r="AE35" i="1"/>
  <c r="T19" i="1"/>
  <c r="R19" i="1" s="1"/>
  <c r="U19" i="1" s="1"/>
  <c r="O19" i="1" s="1"/>
  <c r="P19" i="1" s="1"/>
  <c r="AD19" i="1"/>
  <c r="AD26" i="1"/>
  <c r="BB44" i="1"/>
  <c r="W64" i="1"/>
  <c r="X64" i="1" s="1"/>
  <c r="BB37" i="1"/>
  <c r="AD96" i="1"/>
  <c r="T96" i="1"/>
  <c r="R96" i="1" s="1"/>
  <c r="U96" i="1" s="1"/>
  <c r="O96" i="1" s="1"/>
  <c r="P96" i="1" s="1"/>
  <c r="T63" i="1"/>
  <c r="R63" i="1" s="1"/>
  <c r="U63" i="1" s="1"/>
  <c r="O63" i="1" s="1"/>
  <c r="P63" i="1" s="1"/>
  <c r="AD63" i="1"/>
  <c r="W122" i="1"/>
  <c r="X122" i="1" s="1"/>
  <c r="O126" i="1"/>
  <c r="P126" i="1" s="1"/>
  <c r="AF115" i="1"/>
  <c r="Y115" i="1"/>
  <c r="AC115" i="1" s="1"/>
  <c r="AE115" i="1"/>
  <c r="W104" i="1"/>
  <c r="X104" i="1" s="1"/>
  <c r="W120" i="1"/>
  <c r="X120" i="1" s="1"/>
  <c r="T123" i="1"/>
  <c r="R123" i="1" s="1"/>
  <c r="U123" i="1" s="1"/>
  <c r="O123" i="1" s="1"/>
  <c r="P123" i="1" s="1"/>
  <c r="T119" i="1"/>
  <c r="R119" i="1" s="1"/>
  <c r="U119" i="1" s="1"/>
  <c r="O119" i="1" s="1"/>
  <c r="P119" i="1" s="1"/>
  <c r="W92" i="1"/>
  <c r="X92" i="1" s="1"/>
  <c r="BA113" i="1"/>
  <c r="T91" i="1"/>
  <c r="R91" i="1" s="1"/>
  <c r="U91" i="1" s="1"/>
  <c r="O91" i="1" s="1"/>
  <c r="P91" i="1" s="1"/>
  <c r="AD91" i="1"/>
  <c r="AD92" i="1"/>
  <c r="W62" i="1"/>
  <c r="X62" i="1" s="1"/>
  <c r="T62" i="1" s="1"/>
  <c r="R62" i="1" s="1"/>
  <c r="U62" i="1" s="1"/>
  <c r="O62" i="1" s="1"/>
  <c r="P62" i="1" s="1"/>
  <c r="AD79" i="1"/>
  <c r="T79" i="1"/>
  <c r="R79" i="1" s="1"/>
  <c r="U79" i="1" s="1"/>
  <c r="O79" i="1" s="1"/>
  <c r="P79" i="1" s="1"/>
  <c r="AF93" i="1"/>
  <c r="AG93" i="1" s="1"/>
  <c r="Y93" i="1"/>
  <c r="AC93" i="1" s="1"/>
  <c r="W44" i="1"/>
  <c r="X44" i="1" s="1"/>
  <c r="BB68" i="1"/>
  <c r="W38" i="1"/>
  <c r="X38" i="1" s="1"/>
  <c r="AD30" i="1"/>
  <c r="AF31" i="1"/>
  <c r="AG31" i="1" s="1"/>
  <c r="Y31" i="1"/>
  <c r="AC31" i="1" s="1"/>
  <c r="W113" i="1"/>
  <c r="X113" i="1" s="1"/>
  <c r="T55" i="1"/>
  <c r="R55" i="1" s="1"/>
  <c r="U55" i="1" s="1"/>
  <c r="O55" i="1" s="1"/>
  <c r="P55" i="1" s="1"/>
  <c r="AD55" i="1"/>
  <c r="BB36" i="1"/>
  <c r="W29" i="1"/>
  <c r="X29" i="1" s="1"/>
  <c r="Y19" i="1"/>
  <c r="AC19" i="1" s="1"/>
  <c r="AF19" i="1"/>
  <c r="AE19" i="1"/>
  <c r="W56" i="1"/>
  <c r="X56" i="1" s="1"/>
  <c r="W37" i="1"/>
  <c r="X37" i="1" s="1"/>
  <c r="T31" i="1"/>
  <c r="R31" i="1" s="1"/>
  <c r="U31" i="1" s="1"/>
  <c r="O31" i="1" s="1"/>
  <c r="P31" i="1" s="1"/>
  <c r="AD31" i="1"/>
  <c r="W26" i="1"/>
  <c r="X26" i="1" s="1"/>
  <c r="T26" i="1" s="1"/>
  <c r="R26" i="1" s="1"/>
  <c r="U26" i="1" s="1"/>
  <c r="O26" i="1" s="1"/>
  <c r="P26" i="1" s="1"/>
  <c r="BB22" i="1"/>
  <c r="BB26" i="1"/>
  <c r="AF17" i="1" l="1"/>
  <c r="AG17" i="1" s="1"/>
  <c r="Y17" i="1"/>
  <c r="AC17" i="1" s="1"/>
  <c r="AE17" i="1"/>
  <c r="Y21" i="1"/>
  <c r="AC21" i="1" s="1"/>
  <c r="AF21" i="1"/>
  <c r="AG21" i="1" s="1"/>
  <c r="AE21" i="1"/>
  <c r="AF67" i="1"/>
  <c r="AE67" i="1"/>
  <c r="Y67" i="1"/>
  <c r="AC67" i="1" s="1"/>
  <c r="AF47" i="1"/>
  <c r="AG47" i="1" s="1"/>
  <c r="Y47" i="1"/>
  <c r="AC47" i="1" s="1"/>
  <c r="AE47" i="1"/>
  <c r="Y48" i="1"/>
  <c r="AC48" i="1" s="1"/>
  <c r="AF48" i="1"/>
  <c r="AE48" i="1"/>
  <c r="T48" i="1"/>
  <c r="R48" i="1" s="1"/>
  <c r="U48" i="1" s="1"/>
  <c r="O48" i="1" s="1"/>
  <c r="P48" i="1" s="1"/>
  <c r="Y127" i="1"/>
  <c r="AC127" i="1" s="1"/>
  <c r="AF127" i="1"/>
  <c r="AG127" i="1" s="1"/>
  <c r="AE127" i="1"/>
  <c r="AF61" i="1"/>
  <c r="AE61" i="1"/>
  <c r="Y61" i="1"/>
  <c r="AC61" i="1" s="1"/>
  <c r="T61" i="1"/>
  <c r="R61" i="1" s="1"/>
  <c r="U61" i="1" s="1"/>
  <c r="O61" i="1" s="1"/>
  <c r="P61" i="1" s="1"/>
  <c r="Y84" i="1"/>
  <c r="AC84" i="1" s="1"/>
  <c r="AF84" i="1"/>
  <c r="AE84" i="1"/>
  <c r="T84" i="1"/>
  <c r="R84" i="1" s="1"/>
  <c r="U84" i="1" s="1"/>
  <c r="O84" i="1" s="1"/>
  <c r="P84" i="1" s="1"/>
  <c r="Y27" i="1"/>
  <c r="AC27" i="1" s="1"/>
  <c r="AF27" i="1"/>
  <c r="AG27" i="1" s="1"/>
  <c r="AE27" i="1"/>
  <c r="AF32" i="1"/>
  <c r="AG32" i="1" s="1"/>
  <c r="Y32" i="1"/>
  <c r="AC32" i="1" s="1"/>
  <c r="AE32" i="1"/>
  <c r="T32" i="1"/>
  <c r="R32" i="1" s="1"/>
  <c r="U32" i="1" s="1"/>
  <c r="O32" i="1" s="1"/>
  <c r="P32" i="1" s="1"/>
  <c r="Y98" i="1"/>
  <c r="AC98" i="1" s="1"/>
  <c r="AF98" i="1"/>
  <c r="AE98" i="1"/>
  <c r="Y36" i="1"/>
  <c r="AC36" i="1" s="1"/>
  <c r="AF36" i="1"/>
  <c r="AE36" i="1"/>
  <c r="T36" i="1"/>
  <c r="R36" i="1" s="1"/>
  <c r="U36" i="1" s="1"/>
  <c r="O36" i="1" s="1"/>
  <c r="P36" i="1" s="1"/>
  <c r="AG123" i="1"/>
  <c r="AG63" i="1"/>
  <c r="Y29" i="1"/>
  <c r="AC29" i="1" s="1"/>
  <c r="AF29" i="1"/>
  <c r="AG29" i="1" s="1"/>
  <c r="AE29" i="1"/>
  <c r="Y122" i="1"/>
  <c r="AC122" i="1" s="1"/>
  <c r="AF122" i="1"/>
  <c r="AG122" i="1" s="1"/>
  <c r="AE122" i="1"/>
  <c r="T122" i="1"/>
  <c r="R122" i="1" s="1"/>
  <c r="U122" i="1" s="1"/>
  <c r="O122" i="1" s="1"/>
  <c r="P122" i="1" s="1"/>
  <c r="Y18" i="1"/>
  <c r="AC18" i="1" s="1"/>
  <c r="AF18" i="1"/>
  <c r="AE18" i="1"/>
  <c r="T18" i="1"/>
  <c r="R18" i="1" s="1"/>
  <c r="U18" i="1" s="1"/>
  <c r="O18" i="1" s="1"/>
  <c r="P18" i="1" s="1"/>
  <c r="AE42" i="1"/>
  <c r="AF42" i="1"/>
  <c r="AG42" i="1" s="1"/>
  <c r="Y42" i="1"/>
  <c r="AC42" i="1" s="1"/>
  <c r="Y70" i="1"/>
  <c r="AC70" i="1" s="1"/>
  <c r="AF70" i="1"/>
  <c r="T70" i="1"/>
  <c r="R70" i="1" s="1"/>
  <c r="U70" i="1" s="1"/>
  <c r="O70" i="1" s="1"/>
  <c r="P70" i="1" s="1"/>
  <c r="AE70" i="1"/>
  <c r="T21" i="1"/>
  <c r="R21" i="1" s="1"/>
  <c r="U21" i="1" s="1"/>
  <c r="O21" i="1" s="1"/>
  <c r="P21" i="1" s="1"/>
  <c r="AF37" i="1"/>
  <c r="AE37" i="1"/>
  <c r="Y37" i="1"/>
  <c r="AC37" i="1" s="1"/>
  <c r="T37" i="1"/>
  <c r="R37" i="1" s="1"/>
  <c r="U37" i="1" s="1"/>
  <c r="O37" i="1" s="1"/>
  <c r="P37" i="1" s="1"/>
  <c r="Y104" i="1"/>
  <c r="AC104" i="1" s="1"/>
  <c r="AF104" i="1"/>
  <c r="AE104" i="1"/>
  <c r="T104" i="1"/>
  <c r="R104" i="1" s="1"/>
  <c r="U104" i="1" s="1"/>
  <c r="O104" i="1" s="1"/>
  <c r="P104" i="1" s="1"/>
  <c r="AE58" i="1"/>
  <c r="Y58" i="1"/>
  <c r="AC58" i="1" s="1"/>
  <c r="AF58" i="1"/>
  <c r="AG94" i="1"/>
  <c r="AF125" i="1"/>
  <c r="AE125" i="1"/>
  <c r="Y125" i="1"/>
  <c r="AC125" i="1" s="1"/>
  <c r="T58" i="1"/>
  <c r="R58" i="1" s="1"/>
  <c r="U58" i="1" s="1"/>
  <c r="O58" i="1" s="1"/>
  <c r="P58" i="1" s="1"/>
  <c r="Y50" i="1"/>
  <c r="AC50" i="1" s="1"/>
  <c r="AF50" i="1"/>
  <c r="AG50" i="1" s="1"/>
  <c r="AE50" i="1"/>
  <c r="Y78" i="1"/>
  <c r="AC78" i="1" s="1"/>
  <c r="AF78" i="1"/>
  <c r="AG78" i="1" s="1"/>
  <c r="AE78" i="1"/>
  <c r="Y23" i="1"/>
  <c r="AC23" i="1" s="1"/>
  <c r="AF23" i="1"/>
  <c r="AE23" i="1"/>
  <c r="AG57" i="1"/>
  <c r="T27" i="1"/>
  <c r="R27" i="1" s="1"/>
  <c r="U27" i="1" s="1"/>
  <c r="O27" i="1" s="1"/>
  <c r="P27" i="1" s="1"/>
  <c r="Y107" i="1"/>
  <c r="AC107" i="1" s="1"/>
  <c r="AF107" i="1"/>
  <c r="AG107" i="1" s="1"/>
  <c r="AE107" i="1"/>
  <c r="AG65" i="1"/>
  <c r="T98" i="1"/>
  <c r="R98" i="1" s="1"/>
  <c r="U98" i="1" s="1"/>
  <c r="O98" i="1" s="1"/>
  <c r="P98" i="1" s="1"/>
  <c r="AG81" i="1"/>
  <c r="Y25" i="1"/>
  <c r="AC25" i="1" s="1"/>
  <c r="AF25" i="1"/>
  <c r="AE25" i="1"/>
  <c r="AF69" i="1"/>
  <c r="Y69" i="1"/>
  <c r="AC69" i="1" s="1"/>
  <c r="AE69" i="1"/>
  <c r="AF80" i="1"/>
  <c r="Y80" i="1"/>
  <c r="AC80" i="1" s="1"/>
  <c r="AE80" i="1"/>
  <c r="T80" i="1"/>
  <c r="R80" i="1" s="1"/>
  <c r="U80" i="1" s="1"/>
  <c r="O80" i="1" s="1"/>
  <c r="P80" i="1" s="1"/>
  <c r="T125" i="1"/>
  <c r="R125" i="1" s="1"/>
  <c r="U125" i="1" s="1"/>
  <c r="O125" i="1" s="1"/>
  <c r="P125" i="1" s="1"/>
  <c r="AF40" i="1"/>
  <c r="Y40" i="1"/>
  <c r="AC40" i="1" s="1"/>
  <c r="T40" i="1"/>
  <c r="R40" i="1" s="1"/>
  <c r="U40" i="1" s="1"/>
  <c r="O40" i="1" s="1"/>
  <c r="P40" i="1" s="1"/>
  <c r="AE40" i="1"/>
  <c r="AF39" i="1"/>
  <c r="AG39" i="1" s="1"/>
  <c r="Y39" i="1"/>
  <c r="AC39" i="1" s="1"/>
  <c r="AE39" i="1"/>
  <c r="AF54" i="1"/>
  <c r="AG54" i="1" s="1"/>
  <c r="AE54" i="1"/>
  <c r="Y54" i="1"/>
  <c r="AC54" i="1" s="1"/>
  <c r="T39" i="1"/>
  <c r="R39" i="1" s="1"/>
  <c r="U39" i="1" s="1"/>
  <c r="O39" i="1" s="1"/>
  <c r="P39" i="1" s="1"/>
  <c r="Y108" i="1"/>
  <c r="AC108" i="1" s="1"/>
  <c r="AF108" i="1"/>
  <c r="AE108" i="1"/>
  <c r="T108" i="1"/>
  <c r="R108" i="1" s="1"/>
  <c r="U108" i="1" s="1"/>
  <c r="O108" i="1" s="1"/>
  <c r="P108" i="1" s="1"/>
  <c r="AF56" i="1"/>
  <c r="AG56" i="1" s="1"/>
  <c r="AE56" i="1"/>
  <c r="Y56" i="1"/>
  <c r="AC56" i="1" s="1"/>
  <c r="T56" i="1"/>
  <c r="R56" i="1" s="1"/>
  <c r="U56" i="1" s="1"/>
  <c r="O56" i="1" s="1"/>
  <c r="P56" i="1" s="1"/>
  <c r="Y92" i="1"/>
  <c r="AC92" i="1" s="1"/>
  <c r="AF92" i="1"/>
  <c r="AE92" i="1"/>
  <c r="Y74" i="1"/>
  <c r="AC74" i="1" s="1"/>
  <c r="AF74" i="1"/>
  <c r="AG74" i="1" s="1"/>
  <c r="AE74" i="1"/>
  <c r="Y68" i="1"/>
  <c r="AC68" i="1" s="1"/>
  <c r="AF68" i="1"/>
  <c r="AG68" i="1" s="1"/>
  <c r="T68" i="1"/>
  <c r="R68" i="1" s="1"/>
  <c r="U68" i="1" s="1"/>
  <c r="O68" i="1" s="1"/>
  <c r="P68" i="1" s="1"/>
  <c r="AE68" i="1"/>
  <c r="Y85" i="1"/>
  <c r="AC85" i="1" s="1"/>
  <c r="AF85" i="1"/>
  <c r="AE85" i="1"/>
  <c r="T42" i="1"/>
  <c r="R42" i="1" s="1"/>
  <c r="U42" i="1" s="1"/>
  <c r="O42" i="1" s="1"/>
  <c r="P42" i="1" s="1"/>
  <c r="Y62" i="1"/>
  <c r="AC62" i="1" s="1"/>
  <c r="AF62" i="1"/>
  <c r="AG62" i="1" s="1"/>
  <c r="AE62" i="1"/>
  <c r="AF83" i="1"/>
  <c r="AG83" i="1" s="1"/>
  <c r="Y83" i="1"/>
  <c r="AC83" i="1" s="1"/>
  <c r="AE83" i="1"/>
  <c r="Y66" i="1"/>
  <c r="AC66" i="1" s="1"/>
  <c r="AF66" i="1"/>
  <c r="AG66" i="1" s="1"/>
  <c r="AE66" i="1"/>
  <c r="T66" i="1"/>
  <c r="R66" i="1" s="1"/>
  <c r="U66" i="1" s="1"/>
  <c r="O66" i="1" s="1"/>
  <c r="P66" i="1" s="1"/>
  <c r="AE128" i="1"/>
  <c r="Y128" i="1"/>
  <c r="AC128" i="1" s="1"/>
  <c r="AF128" i="1"/>
  <c r="AG128" i="1" s="1"/>
  <c r="Y100" i="1"/>
  <c r="AC100" i="1" s="1"/>
  <c r="AF100" i="1"/>
  <c r="AG100" i="1" s="1"/>
  <c r="T100" i="1"/>
  <c r="R100" i="1" s="1"/>
  <c r="U100" i="1" s="1"/>
  <c r="O100" i="1" s="1"/>
  <c r="P100" i="1" s="1"/>
  <c r="AE100" i="1"/>
  <c r="Y52" i="1"/>
  <c r="AC52" i="1" s="1"/>
  <c r="AF52" i="1"/>
  <c r="T52" i="1"/>
  <c r="R52" i="1" s="1"/>
  <c r="U52" i="1" s="1"/>
  <c r="O52" i="1" s="1"/>
  <c r="P52" i="1" s="1"/>
  <c r="AE52" i="1"/>
  <c r="Y116" i="1"/>
  <c r="AC116" i="1" s="1"/>
  <c r="AF116" i="1"/>
  <c r="AG116" i="1" s="1"/>
  <c r="AE116" i="1"/>
  <c r="T17" i="1"/>
  <c r="R17" i="1" s="1"/>
  <c r="U17" i="1" s="1"/>
  <c r="O17" i="1" s="1"/>
  <c r="P17" i="1" s="1"/>
  <c r="AF24" i="1"/>
  <c r="AG24" i="1" s="1"/>
  <c r="AE24" i="1"/>
  <c r="Y24" i="1"/>
  <c r="AC24" i="1" s="1"/>
  <c r="AG55" i="1"/>
  <c r="AG119" i="1"/>
  <c r="T47" i="1"/>
  <c r="R47" i="1" s="1"/>
  <c r="U47" i="1" s="1"/>
  <c r="O47" i="1" s="1"/>
  <c r="P47" i="1" s="1"/>
  <c r="Y91" i="1"/>
  <c r="AC91" i="1" s="1"/>
  <c r="AF91" i="1"/>
  <c r="AE91" i="1"/>
  <c r="AG105" i="1"/>
  <c r="T85" i="1"/>
  <c r="R85" i="1" s="1"/>
  <c r="U85" i="1" s="1"/>
  <c r="O85" i="1" s="1"/>
  <c r="P85" i="1" s="1"/>
  <c r="AG79" i="1"/>
  <c r="Y38" i="1"/>
  <c r="AC38" i="1" s="1"/>
  <c r="AF38" i="1"/>
  <c r="AG38" i="1" s="1"/>
  <c r="AE38" i="1"/>
  <c r="T38" i="1"/>
  <c r="R38" i="1" s="1"/>
  <c r="U38" i="1" s="1"/>
  <c r="O38" i="1" s="1"/>
  <c r="P38" i="1" s="1"/>
  <c r="AF117" i="1"/>
  <c r="AG117" i="1" s="1"/>
  <c r="AE117" i="1"/>
  <c r="Y117" i="1"/>
  <c r="AC117" i="1" s="1"/>
  <c r="AE20" i="1"/>
  <c r="AF20" i="1"/>
  <c r="Y20" i="1"/>
  <c r="AC20" i="1" s="1"/>
  <c r="T20" i="1"/>
  <c r="R20" i="1" s="1"/>
  <c r="U20" i="1" s="1"/>
  <c r="O20" i="1" s="1"/>
  <c r="P20" i="1" s="1"/>
  <c r="AF82" i="1"/>
  <c r="AE82" i="1"/>
  <c r="Y82" i="1"/>
  <c r="AC82" i="1" s="1"/>
  <c r="T82" i="1"/>
  <c r="R82" i="1" s="1"/>
  <c r="U82" i="1" s="1"/>
  <c r="O82" i="1" s="1"/>
  <c r="P82" i="1" s="1"/>
  <c r="T29" i="1"/>
  <c r="R29" i="1" s="1"/>
  <c r="U29" i="1" s="1"/>
  <c r="O29" i="1" s="1"/>
  <c r="P29" i="1" s="1"/>
  <c r="AG59" i="1"/>
  <c r="AF103" i="1"/>
  <c r="AG103" i="1" s="1"/>
  <c r="Y103" i="1"/>
  <c r="AC103" i="1" s="1"/>
  <c r="AE103" i="1"/>
  <c r="AF112" i="1"/>
  <c r="AG112" i="1" s="1"/>
  <c r="Y112" i="1"/>
  <c r="AC112" i="1" s="1"/>
  <c r="AE112" i="1"/>
  <c r="AF76" i="1"/>
  <c r="AG76" i="1" s="1"/>
  <c r="Y76" i="1"/>
  <c r="AC76" i="1" s="1"/>
  <c r="AE76" i="1"/>
  <c r="AG41" i="1"/>
  <c r="T78" i="1"/>
  <c r="R78" i="1" s="1"/>
  <c r="U78" i="1" s="1"/>
  <c r="O78" i="1" s="1"/>
  <c r="P78" i="1" s="1"/>
  <c r="AF71" i="1"/>
  <c r="AG71" i="1" s="1"/>
  <c r="AE71" i="1"/>
  <c r="Y71" i="1"/>
  <c r="AC71" i="1" s="1"/>
  <c r="AG99" i="1"/>
  <c r="AF101" i="1"/>
  <c r="AE101" i="1"/>
  <c r="Y101" i="1"/>
  <c r="AC101" i="1" s="1"/>
  <c r="AE86" i="1"/>
  <c r="Y86" i="1"/>
  <c r="AC86" i="1" s="1"/>
  <c r="AF86" i="1"/>
  <c r="AG86" i="1" s="1"/>
  <c r="T86" i="1"/>
  <c r="R86" i="1" s="1"/>
  <c r="U86" i="1" s="1"/>
  <c r="O86" i="1" s="1"/>
  <c r="P86" i="1" s="1"/>
  <c r="Y110" i="1"/>
  <c r="AC110" i="1" s="1"/>
  <c r="AF110" i="1"/>
  <c r="AE110" i="1"/>
  <c r="T110" i="1"/>
  <c r="R110" i="1" s="1"/>
  <c r="U110" i="1" s="1"/>
  <c r="O110" i="1" s="1"/>
  <c r="P110" i="1" s="1"/>
  <c r="AE95" i="1"/>
  <c r="Y95" i="1"/>
  <c r="AC95" i="1" s="1"/>
  <c r="AF95" i="1"/>
  <c r="AG95" i="1" s="1"/>
  <c r="Y26" i="1"/>
  <c r="AC26" i="1" s="1"/>
  <c r="AF26" i="1"/>
  <c r="AG26" i="1" s="1"/>
  <c r="AE26" i="1"/>
  <c r="AF113" i="1"/>
  <c r="AG113" i="1" s="1"/>
  <c r="Y113" i="1"/>
  <c r="AC113" i="1" s="1"/>
  <c r="AE113" i="1"/>
  <c r="T113" i="1"/>
  <c r="R113" i="1" s="1"/>
  <c r="U113" i="1" s="1"/>
  <c r="O113" i="1" s="1"/>
  <c r="P113" i="1" s="1"/>
  <c r="AG115" i="1"/>
  <c r="AG19" i="1"/>
  <c r="T92" i="1"/>
  <c r="R92" i="1" s="1"/>
  <c r="U92" i="1" s="1"/>
  <c r="O92" i="1" s="1"/>
  <c r="P92" i="1" s="1"/>
  <c r="AF64" i="1"/>
  <c r="AE64" i="1"/>
  <c r="Y64" i="1"/>
  <c r="AC64" i="1" s="1"/>
  <c r="T64" i="1"/>
  <c r="R64" i="1" s="1"/>
  <c r="U64" i="1" s="1"/>
  <c r="O64" i="1" s="1"/>
  <c r="P64" i="1" s="1"/>
  <c r="T74" i="1"/>
  <c r="R74" i="1" s="1"/>
  <c r="U74" i="1" s="1"/>
  <c r="O74" i="1" s="1"/>
  <c r="P74" i="1" s="1"/>
  <c r="Y60" i="1"/>
  <c r="AC60" i="1" s="1"/>
  <c r="AF60" i="1"/>
  <c r="AE60" i="1"/>
  <c r="T60" i="1"/>
  <c r="R60" i="1" s="1"/>
  <c r="U60" i="1" s="1"/>
  <c r="O60" i="1" s="1"/>
  <c r="P60" i="1" s="1"/>
  <c r="AF43" i="1"/>
  <c r="AG43" i="1" s="1"/>
  <c r="Y43" i="1"/>
  <c r="AC43" i="1" s="1"/>
  <c r="AE43" i="1"/>
  <c r="Y46" i="1"/>
  <c r="AC46" i="1" s="1"/>
  <c r="T46" i="1"/>
  <c r="R46" i="1" s="1"/>
  <c r="U46" i="1" s="1"/>
  <c r="O46" i="1" s="1"/>
  <c r="P46" i="1" s="1"/>
  <c r="AF46" i="1"/>
  <c r="AE46" i="1"/>
  <c r="AG87" i="1"/>
  <c r="AG35" i="1"/>
  <c r="AF118" i="1"/>
  <c r="AG118" i="1" s="1"/>
  <c r="AE118" i="1"/>
  <c r="Y118" i="1"/>
  <c r="AC118" i="1" s="1"/>
  <c r="Y22" i="1"/>
  <c r="AC22" i="1" s="1"/>
  <c r="AF22" i="1"/>
  <c r="AE22" i="1"/>
  <c r="T22" i="1"/>
  <c r="R22" i="1" s="1"/>
  <c r="U22" i="1" s="1"/>
  <c r="O22" i="1" s="1"/>
  <c r="P22" i="1" s="1"/>
  <c r="AF28" i="1"/>
  <c r="AG28" i="1" s="1"/>
  <c r="AE28" i="1"/>
  <c r="Y28" i="1"/>
  <c r="AC28" i="1" s="1"/>
  <c r="T28" i="1"/>
  <c r="R28" i="1" s="1"/>
  <c r="U28" i="1" s="1"/>
  <c r="O28" i="1" s="1"/>
  <c r="P28" i="1" s="1"/>
  <c r="Y72" i="1"/>
  <c r="AC72" i="1" s="1"/>
  <c r="AF72" i="1"/>
  <c r="AE72" i="1"/>
  <c r="T72" i="1"/>
  <c r="R72" i="1" s="1"/>
  <c r="U72" i="1" s="1"/>
  <c r="O72" i="1" s="1"/>
  <c r="P72" i="1" s="1"/>
  <c r="AE34" i="1"/>
  <c r="AF34" i="1"/>
  <c r="Y34" i="1"/>
  <c r="AC34" i="1" s="1"/>
  <c r="Y30" i="1"/>
  <c r="AC30" i="1" s="1"/>
  <c r="AF30" i="1"/>
  <c r="AE30" i="1"/>
  <c r="Y96" i="1"/>
  <c r="AC96" i="1" s="1"/>
  <c r="AF96" i="1"/>
  <c r="AE96" i="1"/>
  <c r="AF114" i="1"/>
  <c r="AG114" i="1" s="1"/>
  <c r="Y114" i="1"/>
  <c r="AC114" i="1" s="1"/>
  <c r="T114" i="1"/>
  <c r="R114" i="1" s="1"/>
  <c r="U114" i="1" s="1"/>
  <c r="O114" i="1" s="1"/>
  <c r="P114" i="1" s="1"/>
  <c r="AE114" i="1"/>
  <c r="AF44" i="1"/>
  <c r="AE44" i="1"/>
  <c r="Y44" i="1"/>
  <c r="AC44" i="1" s="1"/>
  <c r="Y120" i="1"/>
  <c r="AC120" i="1" s="1"/>
  <c r="AF120" i="1"/>
  <c r="AG120" i="1" s="1"/>
  <c r="AE120" i="1"/>
  <c r="AF75" i="1"/>
  <c r="AG75" i="1" s="1"/>
  <c r="AE75" i="1"/>
  <c r="Y75" i="1"/>
  <c r="AC75" i="1" s="1"/>
  <c r="Y88" i="1"/>
  <c r="AC88" i="1" s="1"/>
  <c r="AF88" i="1"/>
  <c r="AE88" i="1"/>
  <c r="T120" i="1"/>
  <c r="R120" i="1" s="1"/>
  <c r="U120" i="1" s="1"/>
  <c r="O120" i="1" s="1"/>
  <c r="P120" i="1" s="1"/>
  <c r="AF49" i="1"/>
  <c r="Y49" i="1"/>
  <c r="AC49" i="1" s="1"/>
  <c r="AE49" i="1"/>
  <c r="AG33" i="1"/>
  <c r="T76" i="1"/>
  <c r="R76" i="1" s="1"/>
  <c r="U76" i="1" s="1"/>
  <c r="O76" i="1" s="1"/>
  <c r="P76" i="1" s="1"/>
  <c r="Y124" i="1"/>
  <c r="AC124" i="1" s="1"/>
  <c r="AE124" i="1"/>
  <c r="AF124" i="1"/>
  <c r="T44" i="1"/>
  <c r="R44" i="1" s="1"/>
  <c r="U44" i="1" s="1"/>
  <c r="O44" i="1" s="1"/>
  <c r="P44" i="1" s="1"/>
  <c r="Y106" i="1"/>
  <c r="AC106" i="1" s="1"/>
  <c r="AF106" i="1"/>
  <c r="AE106" i="1"/>
  <c r="T69" i="1"/>
  <c r="R69" i="1" s="1"/>
  <c r="U69" i="1" s="1"/>
  <c r="O69" i="1" s="1"/>
  <c r="P69" i="1" s="1"/>
  <c r="T24" i="1"/>
  <c r="R24" i="1" s="1"/>
  <c r="U24" i="1" s="1"/>
  <c r="O24" i="1" s="1"/>
  <c r="P24" i="1" s="1"/>
  <c r="T25" i="1"/>
  <c r="R25" i="1" s="1"/>
  <c r="U25" i="1" s="1"/>
  <c r="O25" i="1" s="1"/>
  <c r="P25" i="1" s="1"/>
  <c r="AF89" i="1"/>
  <c r="Y89" i="1"/>
  <c r="AC89" i="1" s="1"/>
  <c r="AE89" i="1"/>
  <c r="T101" i="1"/>
  <c r="R101" i="1" s="1"/>
  <c r="U101" i="1" s="1"/>
  <c r="O101" i="1" s="1"/>
  <c r="P101" i="1" s="1"/>
  <c r="AG77" i="1"/>
  <c r="AG121" i="1"/>
  <c r="AG108" i="1" l="1"/>
  <c r="AG37" i="1"/>
  <c r="AG67" i="1"/>
  <c r="AG44" i="1"/>
  <c r="AG72" i="1"/>
  <c r="AG22" i="1"/>
  <c r="AG46" i="1"/>
  <c r="AG60" i="1"/>
  <c r="AG92" i="1"/>
  <c r="AG36" i="1"/>
  <c r="AG106" i="1"/>
  <c r="AG30" i="1"/>
  <c r="AG52" i="1"/>
  <c r="AG80" i="1"/>
  <c r="AG23" i="1"/>
  <c r="AG48" i="1"/>
  <c r="AG49" i="1"/>
  <c r="AG82" i="1"/>
  <c r="AG91" i="1"/>
  <c r="AG104" i="1"/>
  <c r="AG18" i="1"/>
  <c r="AG98" i="1"/>
  <c r="AG61" i="1"/>
  <c r="AG89" i="1"/>
  <c r="AG124" i="1"/>
  <c r="AG34" i="1"/>
  <c r="AG40" i="1"/>
  <c r="AG69" i="1"/>
  <c r="AG125" i="1"/>
  <c r="AG70" i="1"/>
  <c r="AG88" i="1"/>
  <c r="AG96" i="1"/>
  <c r="AG64" i="1"/>
  <c r="AG110" i="1"/>
  <c r="AG101" i="1"/>
  <c r="AG20" i="1"/>
  <c r="AG85" i="1"/>
  <c r="AG25" i="1"/>
  <c r="AG58" i="1"/>
  <c r="AG84" i="1"/>
</calcChain>
</file>

<file path=xl/sharedStrings.xml><?xml version="1.0" encoding="utf-8"?>
<sst xmlns="http://schemas.openxmlformats.org/spreadsheetml/2006/main" count="2842" uniqueCount="988">
  <si>
    <t>File opened</t>
  </si>
  <si>
    <t>2023-08-31 09:20:18</t>
  </si>
  <si>
    <t>Console s/n</t>
  </si>
  <si>
    <t>68C-812070</t>
  </si>
  <si>
    <t>Console ver</t>
  </si>
  <si>
    <t>Bluestem v.2.1.08</t>
  </si>
  <si>
    <t>Scripts ver</t>
  </si>
  <si>
    <t>2022.05  2.1.08, Aug 2022</t>
  </si>
  <si>
    <t>Head s/n</t>
  </si>
  <si>
    <t>68H-712060</t>
  </si>
  <si>
    <t>Head ver</t>
  </si>
  <si>
    <t>1.4.22</t>
  </si>
  <si>
    <t>Head cal</t>
  </si>
  <si>
    <t>{"oxygen": "21", "co2azero": "0.958686", "co2aspan1": "1.00384", "co2aspan2": "-0.0388579", "co2aspan2a": "0.298443", "co2aspan2b": "0.296129", "co2aspanconc1": "2473", "co2aspanconc2": "301.4", "co2bzero": "0.928023", "co2bspan1": "1.00369", "co2bspan2": "-0.0381895", "co2bspan2a": "0.304009", "co2bspan2b": "0.301603", "co2bspanconc1": "2473", "co2bspanconc2": "301.4", "h2oazero": "1.03295", "h2oaspan1": "1.01426", "h2oaspan2": "0", "h2oaspan2a": "0.0674578", "h2oaspan2b": "0.06842", "h2oaspanconc1": "11.74", "h2oaspanconc2": "0", "h2obzero": "1.03066", "h2obspan1": "0.988155", "h2obspan2": "0", "h2obspan2a": "0.0699234", "h2obspan2b": "0.0690952", "h2obspanconc1": "11.74", "h2obspanconc2": "0", "tazero": "0.0809345", "tbzero": "0.115692", "flowmeterzero": "2.48309", "flowazero": "0.32467", "flowbzero": "0.30139", "chamberpressurezero": "2.71672", "ssa_ref": "35016.3", "ssb_ref": "26963.9"}</t>
  </si>
  <si>
    <t>CO2 rangematch</t>
  </si>
  <si>
    <t>Sat Aug 26 10:18</t>
  </si>
  <si>
    <t>H2O rangematch</t>
  </si>
  <si>
    <t>Sat Aug 26 10:25</t>
  </si>
  <si>
    <t>Chamber type</t>
  </si>
  <si>
    <t>6800-01A</t>
  </si>
  <si>
    <t>Chamber s/n</t>
  </si>
  <si>
    <t>MPF-281819</t>
  </si>
  <si>
    <t>Chamber rev</t>
  </si>
  <si>
    <t>0</t>
  </si>
  <si>
    <t>Chamber cal</t>
  </si>
  <si>
    <t>Fluorometer</t>
  </si>
  <si>
    <t>Flr. Version</t>
  </si>
  <si>
    <t>09:20:18</t>
  </si>
  <si>
    <t>Stability Definition:	A (GasEx): Slp&lt;0.7 Std&lt;0.2 Per=15	gsw (GasEx): Slp&lt;0.05 Std&lt;0.05 Per=15</t>
  </si>
  <si>
    <t>SysConst</t>
  </si>
  <si>
    <t>AvgTime</t>
  </si>
  <si>
    <t>1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</si>
  <si>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</si>
  <si>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</si>
  <si>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</si>
  <si>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</si>
  <si>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</si>
  <si>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</si>
  <si>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</si>
  <si>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</si>
  <si>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</si>
  <si>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</si>
  <si>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</si>
  <si>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</si>
  <si>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</si>
  <si>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</si>
  <si>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</si>
  <si>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</si>
  <si>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</si>
  <si>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</si>
  <si>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</si>
  <si>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</si>
  <si>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</si>
  <si>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</si>
  <si>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</si>
  <si>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</si>
  <si>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</si>
  <si>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</si>
  <si>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</si>
  <si>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</si>
  <si>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</si>
  <si>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</si>
  <si>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</si>
  <si>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</si>
  <si>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</si>
  <si>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</si>
  <si>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</si>
  <si>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</si>
  <si>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</si>
  <si>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</si>
  <si>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</si>
  <si>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</si>
  <si>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</si>
  <si>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</si>
  <si>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</si>
  <si>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</si>
  <si>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</si>
  <si>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</si>
  <si>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</si>
  <si>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</si>
  <si>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</si>
  <si>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-0.597651 163.192 372.169 620.924 849.51 1020.53 1198.63 1289.84</t>
  </si>
  <si>
    <t>Fs_true</t>
  </si>
  <si>
    <t>-8.41761 184.34 392.471 599.924 802.136 1001.13 1200.86 1400.79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</si>
  <si>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</si>
  <si>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</si>
  <si>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</si>
  <si>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</si>
  <si>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</si>
  <si>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</si>
  <si>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</si>
  <si>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</si>
  <si>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</si>
  <si>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</si>
  <si>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</si>
  <si>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</si>
  <si>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</si>
  <si>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</si>
  <si>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</si>
  <si>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</si>
  <si>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</si>
  <si>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</si>
  <si>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</si>
  <si>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</si>
  <si>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</si>
  <si>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</si>
  <si>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</si>
  <si>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</si>
  <si>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</si>
  <si>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</si>
  <si>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</si>
  <si>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</si>
  <si>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</si>
  <si>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plot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</si>
  <si>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</si>
  <si>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</si>
  <si>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</si>
  <si>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</si>
  <si>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</si>
  <si>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</si>
  <si>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</si>
  <si>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</si>
  <si>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</si>
  <si>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</si>
  <si>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</si>
  <si>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</si>
  <si>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</si>
  <si>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</si>
  <si>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</si>
  <si>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</si>
  <si>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</si>
  <si>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</si>
  <si>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</si>
  <si>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</si>
  <si>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</si>
  <si>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</si>
  <si>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</si>
  <si>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</si>
  <si>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</si>
  <si>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</si>
  <si>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</si>
  <si>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</si>
  <si>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</si>
  <si>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</si>
  <si>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</si>
  <si>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</si>
  <si>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</si>
  <si>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</si>
  <si>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</si>
  <si>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</si>
  <si>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</si>
  <si>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</si>
  <si>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</si>
  <si>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</si>
  <si>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</si>
  <si>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</si>
  <si>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</si>
  <si>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</si>
  <si>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</si>
  <si>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</si>
  <si>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</si>
  <si>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</si>
  <si>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</si>
  <si>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</si>
  <si>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</si>
  <si>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</si>
  <si>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</si>
  <si>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</si>
  <si>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</si>
  <si>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</si>
  <si>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</si>
  <si>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</si>
  <si>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</si>
  <si>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</si>
  <si>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</si>
  <si>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</si>
  <si>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</si>
  <si>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</si>
  <si>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</si>
  <si>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</si>
  <si>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</si>
  <si>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</si>
  <si>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</si>
  <si>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</si>
  <si>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</si>
  <si>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</si>
  <si>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</si>
  <si>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</si>
  <si>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</si>
  <si>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</si>
  <si>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</si>
  <si>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</si>
  <si>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</si>
  <si>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</si>
  <si>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</si>
  <si>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</si>
  <si>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</si>
  <si>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</si>
  <si>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</si>
  <si>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</si>
  <si>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</si>
  <si>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</si>
  <si>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</si>
  <si>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</si>
  <si>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</si>
  <si>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</si>
  <si>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</si>
  <si>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</si>
  <si>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</si>
  <si>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</si>
  <si>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</si>
  <si>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</si>
  <si>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</si>
  <si>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</si>
  <si>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</si>
  <si>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</si>
  <si>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</si>
  <si>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</si>
  <si>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</si>
  <si>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</si>
  <si>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</si>
  <si>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</si>
  <si>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</si>
  <si>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</si>
  <si>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</si>
  <si>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</si>
  <si>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</si>
  <si>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</si>
  <si>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</si>
  <si>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</si>
  <si>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</si>
  <si>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</si>
  <si>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</si>
  <si>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</si>
  <si>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</si>
  <si>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</si>
  <si>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</si>
  <si>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</si>
  <si>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</si>
  <si>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</si>
  <si>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</si>
  <si>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</si>
  <si>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</si>
  <si>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</si>
  <si>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</si>
  <si>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</si>
  <si>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</si>
  <si>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</si>
  <si>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</si>
  <si>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</si>
  <si>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</si>
  <si>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</si>
  <si>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</si>
  <si>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</si>
  <si>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</si>
  <si>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</si>
  <si>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</si>
  <si>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</si>
  <si>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</si>
  <si>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</si>
  <si>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</si>
  <si>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</si>
  <si>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</si>
  <si>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</si>
  <si>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</si>
  <si>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</si>
  <si>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</si>
  <si>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</si>
  <si>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</si>
  <si>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</si>
  <si>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</si>
  <si>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</si>
  <si>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</si>
  <si>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</si>
  <si>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</si>
  <si>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</si>
  <si>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</si>
  <si>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</si>
  <si>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</si>
  <si>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</si>
  <si>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</si>
  <si>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</si>
  <si>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</si>
  <si>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</si>
  <si>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</si>
  <si>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</si>
  <si>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</si>
  <si>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</si>
  <si>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</si>
  <si>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</si>
  <si>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</si>
  <si>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</si>
  <si>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</si>
  <si>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</si>
  <si>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</si>
  <si>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</si>
  <si>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</si>
  <si>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</si>
  <si>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</si>
  <si>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</si>
  <si>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</si>
  <si>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</si>
  <si>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</si>
  <si>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</si>
  <si>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</si>
  <si>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</si>
  <si>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</si>
  <si>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</si>
  <si>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</si>
  <si>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</si>
  <si>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</si>
  <si>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</si>
  <si>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</si>
  <si>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</si>
  <si>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</si>
  <si>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</si>
  <si>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</si>
  <si>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</si>
  <si>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</si>
  <si>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</si>
  <si>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</si>
  <si>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</si>
  <si>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</si>
  <si>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</si>
  <si>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</si>
  <si>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</si>
  <si>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</si>
  <si>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</si>
  <si>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</si>
  <si>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</si>
  <si>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</si>
  <si>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</si>
  <si>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</si>
  <si>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</si>
  <si>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</si>
  <si>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</si>
  <si>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</si>
  <si>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</si>
  <si>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</si>
  <si>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</si>
  <si>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</si>
  <si>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</si>
  <si>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</si>
  <si>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</si>
  <si>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</si>
  <si>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</si>
  <si>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</si>
  <si>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</si>
  <si>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</si>
  <si>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</si>
  <si>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</si>
  <si>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</si>
  <si>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</si>
  <si>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</si>
  <si>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</si>
  <si>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</si>
  <si>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</si>
  <si>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</si>
  <si>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</si>
  <si>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</si>
  <si>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</si>
  <si>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</si>
  <si>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</si>
  <si>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</si>
  <si>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</si>
  <si>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</si>
  <si>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</si>
  <si>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</si>
  <si>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</si>
  <si>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</si>
  <si>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</si>
  <si>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</si>
  <si>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</si>
  <si>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</si>
  <si>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</si>
  <si>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</si>
  <si>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</si>
  <si>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</si>
  <si>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</si>
  <si>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</si>
  <si>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</si>
  <si>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</si>
  <si>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</si>
  <si>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</si>
  <si>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</si>
  <si>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</si>
  <si>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</si>
  <si>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</si>
  <si>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</si>
  <si>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</si>
  <si>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</si>
  <si>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</si>
  <si>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</si>
  <si>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</si>
  <si>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</si>
  <si>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</si>
  <si>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</si>
  <si>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</si>
  <si>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</si>
  <si>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</si>
  <si>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</si>
  <si>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</si>
  <si>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</si>
  <si>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</si>
  <si>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</si>
  <si>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</si>
  <si>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</si>
  <si>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</si>
  <si>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</si>
  <si>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</si>
  <si>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</si>
  <si>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20230831 10:15:26</t>
  </si>
  <si>
    <t>10:15:26</t>
  </si>
  <si>
    <t>none</t>
  </si>
  <si>
    <t>wt</t>
  </si>
  <si>
    <t>3</t>
  </si>
  <si>
    <t>MPF-918-20220629-11_33_48</t>
  </si>
  <si>
    <t>MPF-2149-20230831-10_14_41</t>
  </si>
  <si>
    <t>DARK-2150-20230831-10_14_48</t>
  </si>
  <si>
    <t>0: Broadleaf</t>
  </si>
  <si>
    <t>10:14:55</t>
  </si>
  <si>
    <t>2/2</t>
  </si>
  <si>
    <t>11111111</t>
  </si>
  <si>
    <t>oooooooo</t>
  </si>
  <si>
    <t>off</t>
  </si>
  <si>
    <t>20230831 10:17:27</t>
  </si>
  <si>
    <t>10:17:27</t>
  </si>
  <si>
    <t>MPF-2151-20230831-10_16_42</t>
  </si>
  <si>
    <t>DARK-2152-20230831-10_16_49</t>
  </si>
  <si>
    <t>10:16:56</t>
  </si>
  <si>
    <t>20230831 10:20:21</t>
  </si>
  <si>
    <t>10:20:21</t>
  </si>
  <si>
    <t>MPF-2153-20230831-10_19_35</t>
  </si>
  <si>
    <t>DARK-2154-20230831-10_19_42</t>
  </si>
  <si>
    <t>10:18:43</t>
  </si>
  <si>
    <t>20230831 10:22:23</t>
  </si>
  <si>
    <t>10:22:23</t>
  </si>
  <si>
    <t>MPF-2155-20230831-10_21_38</t>
  </si>
  <si>
    <t>DARK-2156-20230831-10_21_45</t>
  </si>
  <si>
    <t>10:21:52</t>
  </si>
  <si>
    <t>20230831 10:24:19</t>
  </si>
  <si>
    <t>10:24:19</t>
  </si>
  <si>
    <t>MPF-2157-20230831-10_23_34</t>
  </si>
  <si>
    <t>DARK-2158-20230831-10_23_41</t>
  </si>
  <si>
    <t>10:23:46</t>
  </si>
  <si>
    <t>20230831 10:26:15</t>
  </si>
  <si>
    <t>10:26:15</t>
  </si>
  <si>
    <t>MPF-2159-20230831-10_25_30</t>
  </si>
  <si>
    <t>DARK-2160-20230831-10_25_37</t>
  </si>
  <si>
    <t>10:25:44</t>
  </si>
  <si>
    <t>20230831 10:28:36</t>
  </si>
  <si>
    <t>10:28:36</t>
  </si>
  <si>
    <t>MPF-2161-20230831-10_27_51</t>
  </si>
  <si>
    <t>DARK-2162-20230831-10_27_58</t>
  </si>
  <si>
    <t>10:28:04</t>
  </si>
  <si>
    <t>20230831 10:31:46</t>
  </si>
  <si>
    <t>10:31:46</t>
  </si>
  <si>
    <t>MPF-2163-20230831-10_31_00</t>
  </si>
  <si>
    <t>DARK-2164-20230831-10_31_07</t>
  </si>
  <si>
    <t>10:30:02</t>
  </si>
  <si>
    <t>1/2</t>
  </si>
  <si>
    <t>20230831 10:34:19</t>
  </si>
  <si>
    <t>10:34:19</t>
  </si>
  <si>
    <t>MPF-2165-20230831-10_33_34</t>
  </si>
  <si>
    <t>DARK-2166-20230831-10_33_41</t>
  </si>
  <si>
    <t>10:33:36</t>
  </si>
  <si>
    <t>20230831 10:36:28</t>
  </si>
  <si>
    <t>10:36:28</t>
  </si>
  <si>
    <t>MPF-2167-20230831-10_35_42</t>
  </si>
  <si>
    <t>DARK-2168-20230831-10_35_49</t>
  </si>
  <si>
    <t>10:35:57</t>
  </si>
  <si>
    <t>20230831 10:38:31</t>
  </si>
  <si>
    <t>10:38:31</t>
  </si>
  <si>
    <t>MPF-2169-20230831-10_37_46</t>
  </si>
  <si>
    <t>DARK-2170-20230831-10_37_53</t>
  </si>
  <si>
    <t>10:37:59</t>
  </si>
  <si>
    <t>20230831 10:40:41</t>
  </si>
  <si>
    <t>10:40:41</t>
  </si>
  <si>
    <t>MPF-2171-20230831-10_39_55</t>
  </si>
  <si>
    <t>DARK-2172-20230831-10_40_02</t>
  </si>
  <si>
    <t>10:40:06</t>
  </si>
  <si>
    <t>20230831 10:42:39</t>
  </si>
  <si>
    <t>10:42:39</t>
  </si>
  <si>
    <t>MPF-2173-20230831-10_41_53</t>
  </si>
  <si>
    <t>DARK-2174-20230831-10_42_00</t>
  </si>
  <si>
    <t>10:42:02</t>
  </si>
  <si>
    <t>20230831 10:44:27</t>
  </si>
  <si>
    <t>10:44:27</t>
  </si>
  <si>
    <t>MPF-2175-20230831-10_43_42</t>
  </si>
  <si>
    <t>DARK-2176-20230831-10_43_49</t>
  </si>
  <si>
    <t>10:43:56</t>
  </si>
  <si>
    <t>20230831 11:08:35</t>
  </si>
  <si>
    <t>11:08:35</t>
  </si>
  <si>
    <t>zg12a</t>
  </si>
  <si>
    <t>2</t>
  </si>
  <si>
    <t>MPF-2177-20230831-11_07_50</t>
  </si>
  <si>
    <t>DARK-2178-20230831-11_07_57</t>
  </si>
  <si>
    <t>11:08:07</t>
  </si>
  <si>
    <t>20230831 11:10:24</t>
  </si>
  <si>
    <t>11:10:24</t>
  </si>
  <si>
    <t>MPF-2179-20230831-11_09_38</t>
  </si>
  <si>
    <t>DARK-2180-20230831-11_09_45</t>
  </si>
  <si>
    <t>11:09:54</t>
  </si>
  <si>
    <t>20230831 11:12:10</t>
  </si>
  <si>
    <t>11:12:10</t>
  </si>
  <si>
    <t>MPF-2181-20230831-11_11_24</t>
  </si>
  <si>
    <t>DARK-2182-20230831-11_11_32</t>
  </si>
  <si>
    <t>11:11:41</t>
  </si>
  <si>
    <t>20230831 11:13:53</t>
  </si>
  <si>
    <t>11:13:53</t>
  </si>
  <si>
    <t>MPF-2183-20230831-11_13_08</t>
  </si>
  <si>
    <t>DARK-2184-20230831-11_13_15</t>
  </si>
  <si>
    <t>11:13:24</t>
  </si>
  <si>
    <t>20230831 11:15:38</t>
  </si>
  <si>
    <t>11:15:38</t>
  </si>
  <si>
    <t>MPF-2185-20230831-11_14_53</t>
  </si>
  <si>
    <t>DARK-2186-20230831-11_15_00</t>
  </si>
  <si>
    <t>11:15:11</t>
  </si>
  <si>
    <t>20230831 11:17:27</t>
  </si>
  <si>
    <t>11:17:27</t>
  </si>
  <si>
    <t>MPF-2187-20230831-11_16_42</t>
  </si>
  <si>
    <t>DARK-2188-20230831-11_16_49</t>
  </si>
  <si>
    <t>11:16:56</t>
  </si>
  <si>
    <t>20230831 11:19:07</t>
  </si>
  <si>
    <t>11:19:07</t>
  </si>
  <si>
    <t>MPF-2189-20230831-11_18_21</t>
  </si>
  <si>
    <t>DARK-2190-20230831-11_18_28</t>
  </si>
  <si>
    <t>11:18:37</t>
  </si>
  <si>
    <t>20230831 11:22:16</t>
  </si>
  <si>
    <t>11:22:16</t>
  </si>
  <si>
    <t>MPF-2191-20230831-11_21_31</t>
  </si>
  <si>
    <t>DARK-2192-20230831-11_21_38</t>
  </si>
  <si>
    <t>11:20:24</t>
  </si>
  <si>
    <t>20230831 11:24:36</t>
  </si>
  <si>
    <t>11:24:36</t>
  </si>
  <si>
    <t>MPF-2193-20230831-11_23_50</t>
  </si>
  <si>
    <t>DARK-2194-20230831-11_23_57</t>
  </si>
  <si>
    <t>11:23:23</t>
  </si>
  <si>
    <t>20230831 11:26:58</t>
  </si>
  <si>
    <t>11:26:58</t>
  </si>
  <si>
    <t>MPF-2195-20230831-11_26_13</t>
  </si>
  <si>
    <t>DARK-2196-20230831-11_26_20</t>
  </si>
  <si>
    <t>11:26:29</t>
  </si>
  <si>
    <t>20230831 11:29:05</t>
  </si>
  <si>
    <t>11:29:05</t>
  </si>
  <si>
    <t>MPF-2197-20230831-11_28_20</t>
  </si>
  <si>
    <t>DARK-2198-20230831-11_28_27</t>
  </si>
  <si>
    <t>11:28:27</t>
  </si>
  <si>
    <t>20230831 11:31:01</t>
  </si>
  <si>
    <t>11:31:01</t>
  </si>
  <si>
    <t>MPF-2199-20230831-11_30_16</t>
  </si>
  <si>
    <t>DARK-2200-20230831-11_30_23</t>
  </si>
  <si>
    <t>11:30:24</t>
  </si>
  <si>
    <t>20230831 11:32:53</t>
  </si>
  <si>
    <t>11:32:53</t>
  </si>
  <si>
    <t>MPF-2201-20230831-11_32_07</t>
  </si>
  <si>
    <t>DARK-2202-20230831-11_32_15</t>
  </si>
  <si>
    <t>11:32:18</t>
  </si>
  <si>
    <t>20230831 11:35:03</t>
  </si>
  <si>
    <t>11:35:03</t>
  </si>
  <si>
    <t>MPF-2203-20230831-11_34_17</t>
  </si>
  <si>
    <t>DARK-2204-20230831-11_34_25</t>
  </si>
  <si>
    <t>11:34:13</t>
  </si>
  <si>
    <t>20230831 12:05:56</t>
  </si>
  <si>
    <t>12:05:56</t>
  </si>
  <si>
    <t>hn1a</t>
  </si>
  <si>
    <t>MPF-2205-20230831-12_05_11</t>
  </si>
  <si>
    <t>DARK-2206-20230831-12_05_18</t>
  </si>
  <si>
    <t>12:05:24</t>
  </si>
  <si>
    <t>20230831 12:07:39</t>
  </si>
  <si>
    <t>12:07:39</t>
  </si>
  <si>
    <t>MPF-2207-20230831-12_06_53</t>
  </si>
  <si>
    <t>DARK-2208-20230831-12_07_01</t>
  </si>
  <si>
    <t>12:07:08</t>
  </si>
  <si>
    <t>20230831 12:10:03</t>
  </si>
  <si>
    <t>12:10:03</t>
  </si>
  <si>
    <t>MPF-2209-20230831-12_09_18</t>
  </si>
  <si>
    <t>DARK-2210-20230831-12_09_25</t>
  </si>
  <si>
    <t>12:08:54</t>
  </si>
  <si>
    <t>20230831 12:11:50</t>
  </si>
  <si>
    <t>12:11:50</t>
  </si>
  <si>
    <t>MPF-2211-20230831-12_11_05</t>
  </si>
  <si>
    <t>DARK-2212-20230831-12_11_12</t>
  </si>
  <si>
    <t>12:11:19</t>
  </si>
  <si>
    <t>20230831 12:13:51</t>
  </si>
  <si>
    <t>12:13:51</t>
  </si>
  <si>
    <t>MPF-2213-20230831-12_13_06</t>
  </si>
  <si>
    <t>DARK-2214-20230831-12_13_13</t>
  </si>
  <si>
    <t>12:13:17</t>
  </si>
  <si>
    <t>20230831 12:15:49</t>
  </si>
  <si>
    <t>12:15:49</t>
  </si>
  <si>
    <t>MPF-2215-20230831-12_15_03</t>
  </si>
  <si>
    <t>DARK-2216-20230831-12_15_11</t>
  </si>
  <si>
    <t>12:15:16</t>
  </si>
  <si>
    <t>20230831 12:17:47</t>
  </si>
  <si>
    <t>12:17:47</t>
  </si>
  <si>
    <t>MPF-2217-20230831-12_17_02</t>
  </si>
  <si>
    <t>DARK-2218-20230831-12_17_09</t>
  </si>
  <si>
    <t>12:17:15</t>
  </si>
  <si>
    <t>20230831 12:20:57</t>
  </si>
  <si>
    <t>12:20:57</t>
  </si>
  <si>
    <t>MPF-2219-20230831-12_20_11</t>
  </si>
  <si>
    <t>DARK-2220-20230831-12_20_19</t>
  </si>
  <si>
    <t>12:19:27</t>
  </si>
  <si>
    <t>20230831 12:23:20</t>
  </si>
  <si>
    <t>12:23:20</t>
  </si>
  <si>
    <t>MPF-2221-20230831-12_22_35</t>
  </si>
  <si>
    <t>DARK-2222-20230831-12_22_42</t>
  </si>
  <si>
    <t>12:22:13</t>
  </si>
  <si>
    <t>20230831 12:25:09</t>
  </si>
  <si>
    <t>12:25:09</t>
  </si>
  <si>
    <t>MPF-2223-20230831-12_24_24</t>
  </si>
  <si>
    <t>DARK-2224-20230831-12_24_31</t>
  </si>
  <si>
    <t>12:24:41</t>
  </si>
  <si>
    <t>20230831 12:26:56</t>
  </si>
  <si>
    <t>12:26:56</t>
  </si>
  <si>
    <t>MPF-2225-20230831-12_26_11</t>
  </si>
  <si>
    <t>DARK-2226-20230831-12_26_18</t>
  </si>
  <si>
    <t>12:26:26</t>
  </si>
  <si>
    <t>20230831 12:28:37</t>
  </si>
  <si>
    <t>12:28:37</t>
  </si>
  <si>
    <t>MPF-2227-20230831-12_27_51</t>
  </si>
  <si>
    <t>DARK-2228-20230831-12_27_59</t>
  </si>
  <si>
    <t>12:29:00</t>
  </si>
  <si>
    <t>20230831 12:31:40</t>
  </si>
  <si>
    <t>12:31:40</t>
  </si>
  <si>
    <t>MPF-2229-20230831-12_30_54</t>
  </si>
  <si>
    <t>DARK-2230-20230831-12_31_02</t>
  </si>
  <si>
    <t>12:30:59</t>
  </si>
  <si>
    <t>20230831 12:33:33</t>
  </si>
  <si>
    <t>12:33:33</t>
  </si>
  <si>
    <t>MPF-2231-20230831-12_32_47</t>
  </si>
  <si>
    <t>DARK-2232-20230831-12_32_55</t>
  </si>
  <si>
    <t>12:32:55</t>
  </si>
  <si>
    <t>20230831 12:59:54</t>
  </si>
  <si>
    <t>12:59:54</t>
  </si>
  <si>
    <t>4</t>
  </si>
  <si>
    <t>MPF-2233-20230831-12_59_09</t>
  </si>
  <si>
    <t>DARK-2234-20230831-12_59_16</t>
  </si>
  <si>
    <t>12:59:24</t>
  </si>
  <si>
    <t>20230831 13:01:59</t>
  </si>
  <si>
    <t>13:01:59</t>
  </si>
  <si>
    <t>MPF-2235-20230831-13_01_13</t>
  </si>
  <si>
    <t>DARK-2236-20230831-13_01_21</t>
  </si>
  <si>
    <t>13:01:28</t>
  </si>
  <si>
    <t>20230831 13:03:48</t>
  </si>
  <si>
    <t>13:03:48</t>
  </si>
  <si>
    <t>MPF-2237-20230831-13_03_03</t>
  </si>
  <si>
    <t>DARK-2238-20230831-13_03_10</t>
  </si>
  <si>
    <t>13:03:19</t>
  </si>
  <si>
    <t>20230831 13:05:31</t>
  </si>
  <si>
    <t>13:05:31</t>
  </si>
  <si>
    <t>MPF-2239-20230831-13_04_46</t>
  </si>
  <si>
    <t>DARK-2240-20230831-13_04_53</t>
  </si>
  <si>
    <t>13:05:03</t>
  </si>
  <si>
    <t>20230831 13:07:15</t>
  </si>
  <si>
    <t>13:07:15</t>
  </si>
  <si>
    <t>MPF-2241-20230831-13_06_30</t>
  </si>
  <si>
    <t>DARK-2242-20230831-13_06_37</t>
  </si>
  <si>
    <t>13:06:46</t>
  </si>
  <si>
    <t>20230831 13:08:55</t>
  </si>
  <si>
    <t>13:08:55</t>
  </si>
  <si>
    <t>MPF-2243-20230831-13_08_09</t>
  </si>
  <si>
    <t>DARK-2244-20230831-13_08_17</t>
  </si>
  <si>
    <t>13:08:23</t>
  </si>
  <si>
    <t>20230831 13:10:38</t>
  </si>
  <si>
    <t>13:10:38</t>
  </si>
  <si>
    <t>MPF-2245-20230831-13_09_53</t>
  </si>
  <si>
    <t>DARK-2246-20230831-13_10_00</t>
  </si>
  <si>
    <t>13:10:08</t>
  </si>
  <si>
    <t>20230831 13:13:48</t>
  </si>
  <si>
    <t>13:13:48</t>
  </si>
  <si>
    <t>MPF-2247-20230831-13_13_02</t>
  </si>
  <si>
    <t>DARK-2248-20230831-13_13_10</t>
  </si>
  <si>
    <t>13:11:59</t>
  </si>
  <si>
    <t>20230831 13:16:36</t>
  </si>
  <si>
    <t>13:16:36</t>
  </si>
  <si>
    <t>MPF-2249-20230831-13_15_51</t>
  </si>
  <si>
    <t>DARK-2250-20230831-13_15_58</t>
  </si>
  <si>
    <t>13:15:03</t>
  </si>
  <si>
    <t>20230831 13:18:22</t>
  </si>
  <si>
    <t>13:18:22</t>
  </si>
  <si>
    <t>MPF-2251-20230831-13_17_36</t>
  </si>
  <si>
    <t>DARK-2252-20230831-13_17_44</t>
  </si>
  <si>
    <t>13:17:54</t>
  </si>
  <si>
    <t>20230831 13:20:39</t>
  </si>
  <si>
    <t>13:20:39</t>
  </si>
  <si>
    <t>MPF-2253-20230831-13_19_53</t>
  </si>
  <si>
    <t>DARK-2254-20230831-13_20_01</t>
  </si>
  <si>
    <t>13:19:58</t>
  </si>
  <si>
    <t>20230831 13:22:24</t>
  </si>
  <si>
    <t>13:22:24</t>
  </si>
  <si>
    <t>MPF-2255-20230831-13_21_38</t>
  </si>
  <si>
    <t>DARK-2256-20230831-13_21_46</t>
  </si>
  <si>
    <t>13:21:54</t>
  </si>
  <si>
    <t>20230831 13:24:03</t>
  </si>
  <si>
    <t>13:24:03</t>
  </si>
  <si>
    <t>MPF-2257-20230831-13_23_18</t>
  </si>
  <si>
    <t>DARK-2258-20230831-13_23_25</t>
  </si>
  <si>
    <t>13:23:30</t>
  </si>
  <si>
    <t>20230831 13:25:52</t>
  </si>
  <si>
    <t>13:25:52</t>
  </si>
  <si>
    <t>MPF-2259-20230831-13_25_07</t>
  </si>
  <si>
    <t>DARK-2260-20230831-13_25_14</t>
  </si>
  <si>
    <t>13:25:20</t>
  </si>
  <si>
    <t>20230831 13:37:55</t>
  </si>
  <si>
    <t>13:37:55</t>
  </si>
  <si>
    <t>5</t>
  </si>
  <si>
    <t>MPF-2261-20230831-13_37_09</t>
  </si>
  <si>
    <t>DARK-2262-20230831-13_37_17</t>
  </si>
  <si>
    <t>13:37:10</t>
  </si>
  <si>
    <t>20230831 13:39:40</t>
  </si>
  <si>
    <t>13:39:40</t>
  </si>
  <si>
    <t>MPF-2263-20230831-13_38_55</t>
  </si>
  <si>
    <t>DARK-2264-20230831-13_39_02</t>
  </si>
  <si>
    <t>13:39:03</t>
  </si>
  <si>
    <t>20230831 13:41:41</t>
  </si>
  <si>
    <t>13:41:41</t>
  </si>
  <si>
    <t>MPF-2265-20230831-13_40_55</t>
  </si>
  <si>
    <t>DARK-2266-20230831-13_41_03</t>
  </si>
  <si>
    <t>13:41:13</t>
  </si>
  <si>
    <t>20230831 13:43:20</t>
  </si>
  <si>
    <t>13:43:20</t>
  </si>
  <si>
    <t>MPF-2267-20230831-13_42_35</t>
  </si>
  <si>
    <t>DARK-2268-20230831-13_42_42</t>
  </si>
  <si>
    <t>13:42:52</t>
  </si>
  <si>
    <t>20230831 13:45:07</t>
  </si>
  <si>
    <t>13:45:07</t>
  </si>
  <si>
    <t>MPF-2269-20230831-13_44_22</t>
  </si>
  <si>
    <t>DARK-2270-20230831-13_44_29</t>
  </si>
  <si>
    <t>13:44:38</t>
  </si>
  <si>
    <t>20230831 13:46:50</t>
  </si>
  <si>
    <t>13:46:50</t>
  </si>
  <si>
    <t>MPF-2271-20230831-13_46_04</t>
  </si>
  <si>
    <t>DARK-2272-20230831-13_46_12</t>
  </si>
  <si>
    <t>13:46:21</t>
  </si>
  <si>
    <t>20230831 13:48:30</t>
  </si>
  <si>
    <t>13:48:30</t>
  </si>
  <si>
    <t>MPF-2273-20230831-13_47_45</t>
  </si>
  <si>
    <t>DARK-2274-20230831-13_47_52</t>
  </si>
  <si>
    <t>13:48:01</t>
  </si>
  <si>
    <t>20230831 13:51:40</t>
  </si>
  <si>
    <t>13:51:40</t>
  </si>
  <si>
    <t>MPF-2275-20230831-13_50_54</t>
  </si>
  <si>
    <t>DARK-2276-20230831-13_51_02</t>
  </si>
  <si>
    <t>13:49:44</t>
  </si>
  <si>
    <t>20230831 13:54:01</t>
  </si>
  <si>
    <t>13:54:01</t>
  </si>
  <si>
    <t>MPF-2277-20230831-13_53_16</t>
  </si>
  <si>
    <t>DARK-2278-20230831-13_53_23</t>
  </si>
  <si>
    <t>13:52:46</t>
  </si>
  <si>
    <t>20230831 13:55:46</t>
  </si>
  <si>
    <t>13:55:46</t>
  </si>
  <si>
    <t>MPF-2279-20230831-13_55_01</t>
  </si>
  <si>
    <t>DARK-2280-20230831-13_55_08</t>
  </si>
  <si>
    <t>13:55:18</t>
  </si>
  <si>
    <t>20230831 13:57:27</t>
  </si>
  <si>
    <t>13:57:27</t>
  </si>
  <si>
    <t>MPF-2281-20230831-13_56_41</t>
  </si>
  <si>
    <t>DARK-2282-20230831-13_56_49</t>
  </si>
  <si>
    <t>13:56:56</t>
  </si>
  <si>
    <t>20230831 13:59:34</t>
  </si>
  <si>
    <t>13:59:34</t>
  </si>
  <si>
    <t>MPF-2283-20230831-13_58_49</t>
  </si>
  <si>
    <t>DARK-2284-20230831-13_58_56</t>
  </si>
  <si>
    <t>13:59:01</t>
  </si>
  <si>
    <t>20230831 14:01:25</t>
  </si>
  <si>
    <t>14:01:25</t>
  </si>
  <si>
    <t>MPF-2285-20230831-14_00_40</t>
  </si>
  <si>
    <t>DARK-2286-20230831-14_00_47</t>
  </si>
  <si>
    <t>14:00:54</t>
  </si>
  <si>
    <t>20230831 14:03:12</t>
  </si>
  <si>
    <t>14:03:12</t>
  </si>
  <si>
    <t>MPF-2287-20230831-14_02_27</t>
  </si>
  <si>
    <t>DARK-2288-20230831-14_02_34</t>
  </si>
  <si>
    <t>14:02:39</t>
  </si>
  <si>
    <t>20230831 14:44:26</t>
  </si>
  <si>
    <t>14:44:26</t>
  </si>
  <si>
    <t>zg5b</t>
  </si>
  <si>
    <t>6</t>
  </si>
  <si>
    <t>MPF-2289-20230831-14_43_41</t>
  </si>
  <si>
    <t>DARK-2290-20230831-14_43_48</t>
  </si>
  <si>
    <t>14:43:59</t>
  </si>
  <si>
    <t>20230831 14:46:16</t>
  </si>
  <si>
    <t>14:46:16</t>
  </si>
  <si>
    <t>MPF-2291-20230831-14_45_31</t>
  </si>
  <si>
    <t>DARK-2292-20230831-14_45_38</t>
  </si>
  <si>
    <t>14:45:49</t>
  </si>
  <si>
    <t>20230831 14:49:19</t>
  </si>
  <si>
    <t>14:49:19</t>
  </si>
  <si>
    <t>MPF-2293-20230831-14_48_34</t>
  </si>
  <si>
    <t>DARK-2294-20230831-14_48_41</t>
  </si>
  <si>
    <t>14:48:32</t>
  </si>
  <si>
    <t>20230831 14:51:03</t>
  </si>
  <si>
    <t>14:51:03</t>
  </si>
  <si>
    <t>MPF-2295-20230831-14_50_18</t>
  </si>
  <si>
    <t>DARK-2296-20230831-14_50_25</t>
  </si>
  <si>
    <t>14:50:35</t>
  </si>
  <si>
    <t>20230831 14:52:43</t>
  </si>
  <si>
    <t>14:52:43</t>
  </si>
  <si>
    <t>MPF-2297-20230831-14_51_58</t>
  </si>
  <si>
    <t>DARK-2298-20230831-14_52_05</t>
  </si>
  <si>
    <t>14:53:17</t>
  </si>
  <si>
    <t>20230831 14:55:08</t>
  </si>
  <si>
    <t>14:55:08</t>
  </si>
  <si>
    <t>MPF-2299-20230831-14_54_23</t>
  </si>
  <si>
    <t>DARK-2300-20230831-14_54_30</t>
  </si>
  <si>
    <t>14:54:41</t>
  </si>
  <si>
    <t>20230831 14:56:52</t>
  </si>
  <si>
    <t>14:56:52</t>
  </si>
  <si>
    <t>MPF-2301-20230831-14_56_07</t>
  </si>
  <si>
    <t>DARK-2302-20230831-14_56_14</t>
  </si>
  <si>
    <t>14:56:25</t>
  </si>
  <si>
    <t>20230831 15:00:01</t>
  </si>
  <si>
    <t>15:00:01</t>
  </si>
  <si>
    <t>MPF-2303-20230831-14_59_16</t>
  </si>
  <si>
    <t>DARK-2304-20230831-14_59_23</t>
  </si>
  <si>
    <t>14:58:20</t>
  </si>
  <si>
    <t>20230831 15:03:02</t>
  </si>
  <si>
    <t>15:03:02</t>
  </si>
  <si>
    <t>MPF-2305-20230831-15_02_17</t>
  </si>
  <si>
    <t>DARK-2306-20230831-15_02_24</t>
  </si>
  <si>
    <t>15:01:19</t>
  </si>
  <si>
    <t>20230831 15:04:56</t>
  </si>
  <si>
    <t>15:04:56</t>
  </si>
  <si>
    <t>MPF-2307-20230831-15_04_11</t>
  </si>
  <si>
    <t>DARK-2308-20230831-15_04_18</t>
  </si>
  <si>
    <t>15:04:26</t>
  </si>
  <si>
    <t>20230831 15:06:41</t>
  </si>
  <si>
    <t>15:06:41</t>
  </si>
  <si>
    <t>MPF-2309-20230831-15_05_56</t>
  </si>
  <si>
    <t>DARK-2310-20230831-15_06_03</t>
  </si>
  <si>
    <t>15:06:09</t>
  </si>
  <si>
    <t>20230831 15:08:39</t>
  </si>
  <si>
    <t>15:08:39</t>
  </si>
  <si>
    <t>MPF-2311-20230831-15_07_54</t>
  </si>
  <si>
    <t>DARK-2312-20230831-15_08_01</t>
  </si>
  <si>
    <t>15:08:06</t>
  </si>
  <si>
    <t>20230831 15:10:30</t>
  </si>
  <si>
    <t>15:10:30</t>
  </si>
  <si>
    <t>MPF-2313-20230831-15_09_45</t>
  </si>
  <si>
    <t>DARK-2314-20230831-15_09_52</t>
  </si>
  <si>
    <t>15:09:54</t>
  </si>
  <si>
    <t>20230831 15:12:17</t>
  </si>
  <si>
    <t>15:12:17</t>
  </si>
  <si>
    <t>MPF-2315-20230831-15_11_32</t>
  </si>
  <si>
    <t>DARK-2316-20230831-15_11_39</t>
  </si>
  <si>
    <t>15:11:44</t>
  </si>
  <si>
    <t>20230831 15:55:02</t>
  </si>
  <si>
    <t>15:55:02</t>
  </si>
  <si>
    <t>MPF-2317-20230831-15_54_17</t>
  </si>
  <si>
    <t>DARK-2318-20230831-15_54_24</t>
  </si>
  <si>
    <t>15:54:32</t>
  </si>
  <si>
    <t>20230831 15:56:48</t>
  </si>
  <si>
    <t>15:56:48</t>
  </si>
  <si>
    <t>MPF-2319-20230831-15_56_03</t>
  </si>
  <si>
    <t>DARK-2320-20230831-15_56_10</t>
  </si>
  <si>
    <t>15:56:16</t>
  </si>
  <si>
    <t>20230831 15:58:31</t>
  </si>
  <si>
    <t>15:58:31</t>
  </si>
  <si>
    <t>MPF-2321-20230831-15_57_46</t>
  </si>
  <si>
    <t>DARK-2322-20230831-15_57_54</t>
  </si>
  <si>
    <t>15:58:00</t>
  </si>
  <si>
    <t>20230831 16:00:18</t>
  </si>
  <si>
    <t>16:00:18</t>
  </si>
  <si>
    <t>MPF-2323-20230831-15_59_33</t>
  </si>
  <si>
    <t>DARK-2324-20230831-15_59_40</t>
  </si>
  <si>
    <t>15:59:48</t>
  </si>
  <si>
    <t>20230831 16:02:05</t>
  </si>
  <si>
    <t>16:02:05</t>
  </si>
  <si>
    <t>MPF-2325-20230831-16_01_20</t>
  </si>
  <si>
    <t>DARK-2326-20230831-16_01_28</t>
  </si>
  <si>
    <t>16:01:37</t>
  </si>
  <si>
    <t>20230831 16:03:55</t>
  </si>
  <si>
    <t>16:03:55</t>
  </si>
  <si>
    <t>MPF-2327-20230831-16_03_10</t>
  </si>
  <si>
    <t>DARK-2328-20230831-16_03_17</t>
  </si>
  <si>
    <t>16:03:22</t>
  </si>
  <si>
    <t>20230831 16:05:39</t>
  </si>
  <si>
    <t>16:05:39</t>
  </si>
  <si>
    <t>MPF-2329-20230831-16_04_54</t>
  </si>
  <si>
    <t>DARK-2330-20230831-16_05_01</t>
  </si>
  <si>
    <t>16:05:10</t>
  </si>
  <si>
    <t>20230831 16:08:48</t>
  </si>
  <si>
    <t>16:08:48</t>
  </si>
  <si>
    <t>MPF-2331-20230831-16_08_03</t>
  </si>
  <si>
    <t>DARK-2332-20230831-16_08_11</t>
  </si>
  <si>
    <t>16:06:54</t>
  </si>
  <si>
    <t>20230831 16:11:58</t>
  </si>
  <si>
    <t>16:11:58</t>
  </si>
  <si>
    <t>MPF-2333-20230831-16_11_13</t>
  </si>
  <si>
    <t>DARK-2334-20230831-16_11_20</t>
  </si>
  <si>
    <t>16:09:53</t>
  </si>
  <si>
    <t>20230831 16:13:44</t>
  </si>
  <si>
    <t>16:13:44</t>
  </si>
  <si>
    <t>MPF-2335-20230831-16_12_59</t>
  </si>
  <si>
    <t>DARK-2336-20230831-16_13_07</t>
  </si>
  <si>
    <t>16:13:15</t>
  </si>
  <si>
    <t>20230831 16:15:40</t>
  </si>
  <si>
    <t>16:15:40</t>
  </si>
  <si>
    <t>MPF-2337-20230831-16_14_55</t>
  </si>
  <si>
    <t>DARK-2338-20230831-16_15_03</t>
  </si>
  <si>
    <t>16:15:09</t>
  </si>
  <si>
    <t>20230831 16:17:20</t>
  </si>
  <si>
    <t>16:17:20</t>
  </si>
  <si>
    <t>MPF-2339-20230831-16_16_35</t>
  </si>
  <si>
    <t>DARK-2340-20230831-16_16_42</t>
  </si>
  <si>
    <t>16:17:47</t>
  </si>
  <si>
    <t>20230831 16:19:48</t>
  </si>
  <si>
    <t>16:19:48</t>
  </si>
  <si>
    <t>MPF-2341-20230831-16_19_03</t>
  </si>
  <si>
    <t>DARK-2342-20230831-16_19_10</t>
  </si>
  <si>
    <t>16:19:10</t>
  </si>
  <si>
    <t>20230831 16:21:46</t>
  </si>
  <si>
    <t>16:21:46</t>
  </si>
  <si>
    <t>MPF-2343-20230831-16_21_01</t>
  </si>
  <si>
    <t>DARK-2344-20230831-16_21_09</t>
  </si>
  <si>
    <t>16:21:05</t>
  </si>
  <si>
    <t>20230831 17:07:28</t>
  </si>
  <si>
    <t>17:07:28</t>
  </si>
  <si>
    <t>MPF-2345-20230831-17_06_43</t>
  </si>
  <si>
    <t>DARK-2346-20230831-17_06_50</t>
  </si>
  <si>
    <t>17:06:58</t>
  </si>
  <si>
    <t>20230831 17:09:07</t>
  </si>
  <si>
    <t>17:09:07</t>
  </si>
  <si>
    <t>MPF-2347-20230831-17_08_22</t>
  </si>
  <si>
    <t>DARK-2348-20230831-17_08_30</t>
  </si>
  <si>
    <t>17:08:34</t>
  </si>
  <si>
    <t>20230831 17:11:36</t>
  </si>
  <si>
    <t>17:11:36</t>
  </si>
  <si>
    <t>MPF-2349-20230831-17_10_51</t>
  </si>
  <si>
    <t>DARK-2350-20230831-17_10_58</t>
  </si>
  <si>
    <t>17:10:58</t>
  </si>
  <si>
    <t>20230831 17:13:37</t>
  </si>
  <si>
    <t>17:13:37</t>
  </si>
  <si>
    <t>MPF-2351-20230831-17_12_52</t>
  </si>
  <si>
    <t>DARK-2352-20230831-17_12_59</t>
  </si>
  <si>
    <t>17:13:05</t>
  </si>
  <si>
    <t>20230831 17:15:29</t>
  </si>
  <si>
    <t>17:15:29</t>
  </si>
  <si>
    <t>MPF-2353-20230831-17_14_44</t>
  </si>
  <si>
    <t>DARK-2354-20230831-17_14_51</t>
  </si>
  <si>
    <t>17:14:59</t>
  </si>
  <si>
    <t>20230831 17:17:24</t>
  </si>
  <si>
    <t>17:17:24</t>
  </si>
  <si>
    <t>MPF-2355-20230831-17_16_39</t>
  </si>
  <si>
    <t>DARK-2356-20230831-17_16_47</t>
  </si>
  <si>
    <t>17:16:55</t>
  </si>
  <si>
    <t>20230831 17:19:14</t>
  </si>
  <si>
    <t>17:19:14</t>
  </si>
  <si>
    <t>MPF-2357-20230831-17_18_29</t>
  </si>
  <si>
    <t>DARK-2358-20230831-17_18_37</t>
  </si>
  <si>
    <t>17:18:44</t>
  </si>
  <si>
    <t>20230831 17:22:24</t>
  </si>
  <si>
    <t>17:22:24</t>
  </si>
  <si>
    <t>MPF-2359-20230831-17_21_39</t>
  </si>
  <si>
    <t>DARK-2360-20230831-17_21_46</t>
  </si>
  <si>
    <t>17:20:55</t>
  </si>
  <si>
    <t>20230831 17:25:33</t>
  </si>
  <si>
    <t>17:25:33</t>
  </si>
  <si>
    <t>MPF-2361-20230831-17_24_48</t>
  </si>
  <si>
    <t>DARK-2362-20230831-17_24_56</t>
  </si>
  <si>
    <t>17:23:34</t>
  </si>
  <si>
    <t>20230831 17:27:38</t>
  </si>
  <si>
    <t>17:27:38</t>
  </si>
  <si>
    <t>MPF-2363-20230831-17_26_53</t>
  </si>
  <si>
    <t>DARK-2364-20230831-17_27_01</t>
  </si>
  <si>
    <t>17:26:55</t>
  </si>
  <si>
    <t>20230831 17:29:35</t>
  </si>
  <si>
    <t>17:29:35</t>
  </si>
  <si>
    <t>MPF-2365-20230831-17_28_50</t>
  </si>
  <si>
    <t>DARK-2366-20230831-17_28_58</t>
  </si>
  <si>
    <t>17:28:54</t>
  </si>
  <si>
    <t>20230831 17:31:34</t>
  </si>
  <si>
    <t>17:31:34</t>
  </si>
  <si>
    <t>MPF-2367-20230831-17_30_49</t>
  </si>
  <si>
    <t>DARK-2368-20230831-17_30_56</t>
  </si>
  <si>
    <t>17:31:04</t>
  </si>
  <si>
    <t>20230831 17:34:16</t>
  </si>
  <si>
    <t>17:34:16</t>
  </si>
  <si>
    <t>MPF-2369-20230831-17_33_31</t>
  </si>
  <si>
    <t>DARK-2370-20230831-17_33_39</t>
  </si>
  <si>
    <t>17:33:45</t>
  </si>
  <si>
    <t>20230831 17:35:56</t>
  </si>
  <si>
    <t>17:35:56</t>
  </si>
  <si>
    <t>MPF-2371-20230831-17_35_11</t>
  </si>
  <si>
    <t>DARK-2372-20230831-17_35_18</t>
  </si>
  <si>
    <t>17:36:25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</si>
</sst>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U128"/>
  <sheetViews>
    <sheetView tabSelected="1" topLeftCell="A39" workbookViewId="0">
      <selection activeCell="I59" sqref="I59"/>
    </sheetView>
  </sheetViews>
  <sheetFormatPr defaultRowHeight="15" x14ac:dyDescent="0.25"/>
  <sheetData>
    <row r="2" spans="1:281" x14ac:dyDescent="0.25">
      <c r="A2" t="s">
        <v>29</v>
      </c>
      <c r="B2" t="s">
        <v>30</v>
      </c>
      <c r="C2" t="s">
        <v>32</v>
      </c>
    </row>
    <row r="3" spans="1:281" x14ac:dyDescent="0.25">
      <c r="B3" t="s">
        <v>31</v>
      </c>
      <c r="C3">
        <v>21</v>
      </c>
    </row>
    <row r="4" spans="1:281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1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1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1" x14ac:dyDescent="0.25">
      <c r="B7">
        <v>0</v>
      </c>
      <c r="C7">
        <v>1</v>
      </c>
      <c r="D7">
        <v>0</v>
      </c>
      <c r="E7">
        <v>0</v>
      </c>
    </row>
    <row r="8" spans="1:281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1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1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1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1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1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92</v>
      </c>
      <c r="CX14" t="s">
        <v>92</v>
      </c>
      <c r="CY14" t="s">
        <v>92</v>
      </c>
      <c r="CZ14" t="s">
        <v>92</v>
      </c>
      <c r="DA14" t="s">
        <v>93</v>
      </c>
      <c r="DB14" t="s">
        <v>93</v>
      </c>
      <c r="DC14" t="s">
        <v>93</v>
      </c>
      <c r="DD14" t="s">
        <v>93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88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171</v>
      </c>
      <c r="CK15" t="s">
        <v>192</v>
      </c>
      <c r="CL15" t="s">
        <v>193</v>
      </c>
      <c r="CM15" t="s">
        <v>194</v>
      </c>
      <c r="CN15" t="s">
        <v>145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115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107</v>
      </c>
      <c r="FE15" t="s">
        <v>110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 x14ac:dyDescent="0.25">
      <c r="B16" t="s">
        <v>381</v>
      </c>
      <c r="C16" t="s">
        <v>381</v>
      </c>
      <c r="F16" t="s">
        <v>381</v>
      </c>
      <c r="J16" t="s">
        <v>381</v>
      </c>
      <c r="K16" t="s">
        <v>382</v>
      </c>
      <c r="L16" t="s">
        <v>383</v>
      </c>
      <c r="M16" t="s">
        <v>384</v>
      </c>
      <c r="N16" t="s">
        <v>385</v>
      </c>
      <c r="O16" t="s">
        <v>385</v>
      </c>
      <c r="P16" t="s">
        <v>218</v>
      </c>
      <c r="Q16" t="s">
        <v>218</v>
      </c>
      <c r="R16" t="s">
        <v>382</v>
      </c>
      <c r="S16" t="s">
        <v>382</v>
      </c>
      <c r="T16" t="s">
        <v>382</v>
      </c>
      <c r="U16" t="s">
        <v>382</v>
      </c>
      <c r="V16" t="s">
        <v>386</v>
      </c>
      <c r="W16" t="s">
        <v>387</v>
      </c>
      <c r="X16" t="s">
        <v>387</v>
      </c>
      <c r="Y16" t="s">
        <v>388</v>
      </c>
      <c r="Z16" t="s">
        <v>389</v>
      </c>
      <c r="AA16" t="s">
        <v>388</v>
      </c>
      <c r="AB16" t="s">
        <v>388</v>
      </c>
      <c r="AC16" t="s">
        <v>388</v>
      </c>
      <c r="AD16" t="s">
        <v>386</v>
      </c>
      <c r="AE16" t="s">
        <v>386</v>
      </c>
      <c r="AF16" t="s">
        <v>386</v>
      </c>
      <c r="AG16" t="s">
        <v>386</v>
      </c>
      <c r="AH16" t="s">
        <v>390</v>
      </c>
      <c r="AI16" t="s">
        <v>389</v>
      </c>
      <c r="AK16" t="s">
        <v>389</v>
      </c>
      <c r="AL16" t="s">
        <v>390</v>
      </c>
      <c r="AR16" t="s">
        <v>384</v>
      </c>
      <c r="AY16" t="s">
        <v>384</v>
      </c>
      <c r="AZ16" t="s">
        <v>384</v>
      </c>
      <c r="BA16" t="s">
        <v>384</v>
      </c>
      <c r="BB16" t="s">
        <v>391</v>
      </c>
      <c r="BP16" t="s">
        <v>392</v>
      </c>
      <c r="BR16" t="s">
        <v>392</v>
      </c>
      <c r="BS16" t="s">
        <v>384</v>
      </c>
      <c r="BV16" t="s">
        <v>392</v>
      </c>
      <c r="BW16" t="s">
        <v>389</v>
      </c>
      <c r="BZ16" t="s">
        <v>393</v>
      </c>
      <c r="CA16" t="s">
        <v>393</v>
      </c>
      <c r="CC16" t="s">
        <v>394</v>
      </c>
      <c r="CD16" t="s">
        <v>392</v>
      </c>
      <c r="CF16" t="s">
        <v>392</v>
      </c>
      <c r="CG16" t="s">
        <v>384</v>
      </c>
      <c r="CK16" t="s">
        <v>392</v>
      </c>
      <c r="CM16" t="s">
        <v>395</v>
      </c>
      <c r="CP16" t="s">
        <v>392</v>
      </c>
      <c r="CQ16" t="s">
        <v>392</v>
      </c>
      <c r="CS16" t="s">
        <v>392</v>
      </c>
      <c r="CU16" t="s">
        <v>392</v>
      </c>
      <c r="CW16" t="s">
        <v>384</v>
      </c>
      <c r="CX16" t="s">
        <v>384</v>
      </c>
      <c r="CZ16" t="s">
        <v>396</v>
      </c>
      <c r="DA16" t="s">
        <v>397</v>
      </c>
      <c r="DD16" t="s">
        <v>382</v>
      </c>
      <c r="DE16" t="s">
        <v>381</v>
      </c>
      <c r="DF16" t="s">
        <v>385</v>
      </c>
      <c r="DG16" t="s">
        <v>385</v>
      </c>
      <c r="DH16" t="s">
        <v>398</v>
      </c>
      <c r="DI16" t="s">
        <v>398</v>
      </c>
      <c r="DJ16" t="s">
        <v>385</v>
      </c>
      <c r="DK16" t="s">
        <v>398</v>
      </c>
      <c r="DL16" t="s">
        <v>390</v>
      </c>
      <c r="DM16" t="s">
        <v>388</v>
      </c>
      <c r="DN16" t="s">
        <v>388</v>
      </c>
      <c r="DO16" t="s">
        <v>387</v>
      </c>
      <c r="DP16" t="s">
        <v>387</v>
      </c>
      <c r="DQ16" t="s">
        <v>387</v>
      </c>
      <c r="DR16" t="s">
        <v>387</v>
      </c>
      <c r="DS16" t="s">
        <v>387</v>
      </c>
      <c r="DT16" t="s">
        <v>399</v>
      </c>
      <c r="DU16" t="s">
        <v>384</v>
      </c>
      <c r="DV16" t="s">
        <v>384</v>
      </c>
      <c r="DW16" t="s">
        <v>385</v>
      </c>
      <c r="DX16" t="s">
        <v>385</v>
      </c>
      <c r="DY16" t="s">
        <v>385</v>
      </c>
      <c r="DZ16" t="s">
        <v>398</v>
      </c>
      <c r="EA16" t="s">
        <v>385</v>
      </c>
      <c r="EB16" t="s">
        <v>398</v>
      </c>
      <c r="EC16" t="s">
        <v>388</v>
      </c>
      <c r="ED16" t="s">
        <v>388</v>
      </c>
      <c r="EE16" t="s">
        <v>387</v>
      </c>
      <c r="EF16" t="s">
        <v>387</v>
      </c>
      <c r="EG16" t="s">
        <v>384</v>
      </c>
      <c r="EL16" t="s">
        <v>384</v>
      </c>
      <c r="EO16" t="s">
        <v>387</v>
      </c>
      <c r="EP16" t="s">
        <v>387</v>
      </c>
      <c r="EQ16" t="s">
        <v>387</v>
      </c>
      <c r="ER16" t="s">
        <v>387</v>
      </c>
      <c r="ES16" t="s">
        <v>387</v>
      </c>
      <c r="ET16" t="s">
        <v>384</v>
      </c>
      <c r="EU16" t="s">
        <v>384</v>
      </c>
      <c r="EV16" t="s">
        <v>384</v>
      </c>
      <c r="EW16" t="s">
        <v>381</v>
      </c>
      <c r="EZ16" t="s">
        <v>400</v>
      </c>
      <c r="FA16" t="s">
        <v>400</v>
      </c>
      <c r="FC16" t="s">
        <v>381</v>
      </c>
      <c r="FD16" t="s">
        <v>401</v>
      </c>
      <c r="FF16" t="s">
        <v>381</v>
      </c>
      <c r="FG16" t="s">
        <v>381</v>
      </c>
      <c r="FI16" t="s">
        <v>402</v>
      </c>
      <c r="FJ16" t="s">
        <v>403</v>
      </c>
      <c r="FK16" t="s">
        <v>402</v>
      </c>
      <c r="FL16" t="s">
        <v>403</v>
      </c>
      <c r="FM16" t="s">
        <v>402</v>
      </c>
      <c r="FN16" t="s">
        <v>403</v>
      </c>
      <c r="FO16" t="s">
        <v>389</v>
      </c>
      <c r="FP16" t="s">
        <v>389</v>
      </c>
      <c r="FQ16" t="s">
        <v>384</v>
      </c>
      <c r="FR16" t="s">
        <v>404</v>
      </c>
      <c r="FS16" t="s">
        <v>384</v>
      </c>
      <c r="FU16" t="s">
        <v>382</v>
      </c>
      <c r="FV16" t="s">
        <v>405</v>
      </c>
      <c r="FW16" t="s">
        <v>382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398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402</v>
      </c>
      <c r="II16" t="s">
        <v>403</v>
      </c>
      <c r="IJ16" t="s">
        <v>403</v>
      </c>
      <c r="IN16" t="s">
        <v>403</v>
      </c>
      <c r="IR16" t="s">
        <v>385</v>
      </c>
      <c r="IS16" t="s">
        <v>385</v>
      </c>
      <c r="IT16" t="s">
        <v>398</v>
      </c>
      <c r="IU16" t="s">
        <v>398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390</v>
      </c>
      <c r="JH16" t="s">
        <v>390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398</v>
      </c>
      <c r="JT16" t="s">
        <v>389</v>
      </c>
      <c r="JU16" t="s">
        <v>389</v>
      </c>
    </row>
    <row r="17" spans="1:281" x14ac:dyDescent="0.25">
      <c r="A17">
        <v>1</v>
      </c>
      <c r="B17">
        <v>1693494926.5999999</v>
      </c>
      <c r="C17">
        <v>0</v>
      </c>
      <c r="D17" t="s">
        <v>411</v>
      </c>
      <c r="E17" t="s">
        <v>412</v>
      </c>
      <c r="F17" t="s">
        <v>413</v>
      </c>
      <c r="G17" t="s">
        <v>414</v>
      </c>
      <c r="H17" t="s">
        <v>415</v>
      </c>
      <c r="I17" t="s">
        <v>31</v>
      </c>
      <c r="J17">
        <v>1693494926.5999999</v>
      </c>
      <c r="K17">
        <f t="shared" ref="K17:K48" si="0">(L17)/1000</f>
        <v>3.6079217295971844E-3</v>
      </c>
      <c r="L17">
        <f t="shared" ref="L17:L48" si="1">1000*DL17*AJ17*(DH17-DI17)/(100*DA17*(1000-AJ17*DH17))</f>
        <v>3.6079217295971842</v>
      </c>
      <c r="M17">
        <f t="shared" ref="M17:M48" si="2">DL17*AJ17*(DG17-DF17*(1000-AJ17*DI17)/(1000-AJ17*DH17))/(100*DA17)</f>
        <v>36.064961432004488</v>
      </c>
      <c r="N17">
        <f t="shared" ref="N17:N48" si="3">DF17 - IF(AJ17&gt;1, M17*DA17*100/(AL17*DT17), 0)</f>
        <v>355.29399999999998</v>
      </c>
      <c r="O17">
        <f t="shared" ref="O17:O48" si="4">((U17-K17/2)*N17-M17)/(U17+K17/2)</f>
        <v>119.87013917776046</v>
      </c>
      <c r="P17">
        <f t="shared" ref="P17:P48" si="5">O17*(DM17+DN17)/1000</f>
        <v>11.961890826773349</v>
      </c>
      <c r="Q17">
        <f t="shared" ref="Q17:Q48" si="6">(DF17 - IF(AJ17&gt;1, M17*DA17*100/(AL17*DT17), 0))*(DM17+DN17)/1000</f>
        <v>35.454935387245392</v>
      </c>
      <c r="R17">
        <f t="shared" ref="R17:R48" si="7">2/((1/T17-1/S17)+SIGN(T17)*SQRT((1/T17-1/S17)*(1/T17-1/S17) + 4*DB17/((DB17+1)*(DB17+1))*(2*1/T17*1/S17-1/S17*1/S17)))</f>
        <v>0.26156167820069437</v>
      </c>
      <c r="S17">
        <f t="shared" ref="S17:S48" si="8">IF(LEFT(DC17,1)&lt;&gt;"0",IF(LEFT(DC17,1)="1",3,DD17),$D$5+$E$5*(DT17*DM17/($K$5*1000))+$F$5*(DT17*DM17/($K$5*1000))*MAX(MIN(DA17,$J$5),$I$5)*MAX(MIN(DA17,$J$5),$I$5)+$G$5*MAX(MIN(DA17,$J$5),$I$5)*(DT17*DM17/($K$5*1000))+$H$5*(DT17*DM17/($K$5*1000))*(DT17*DM17/($K$5*1000)))</f>
        <v>2.9276242862435859</v>
      </c>
      <c r="T17">
        <f t="shared" ref="T17:T48" si="9">K17*(1000-(1000*0.61365*EXP(17.502*X17/(240.97+X17))/(DM17+DN17)+DH17)/2)/(1000*0.61365*EXP(17.502*X17/(240.97+X17))/(DM17+DN17)-DH17)</f>
        <v>0.24923804399919613</v>
      </c>
      <c r="U17">
        <f t="shared" ref="U17:U48" si="10">1/((DB17+1)/(R17/1.6)+1/(S17/1.37)) + DB17/((DB17+1)/(R17/1.6) + DB17/(S17/1.37))</f>
        <v>0.15683261167531154</v>
      </c>
      <c r="V17">
        <f t="shared" ref="V17:V48" si="11">(CW17*CZ17)</f>
        <v>344.40549964462758</v>
      </c>
      <c r="W17">
        <f t="shared" ref="W17:W48" si="12">(DO17+(V17+2*0.95*0.0000000567*(((DO17+$B$7)+273)^4-(DO17+273)^4)-44100*K17)/(1.84*29.3*S17+8*0.95*0.0000000567*(DO17+273)^3))</f>
        <v>31.760311658802593</v>
      </c>
      <c r="X17">
        <f t="shared" ref="X17:X48" si="13">($C$7*DP17+$D$7*DQ17+$E$7*W17)</f>
        <v>30.0321</v>
      </c>
      <c r="Y17">
        <f t="shared" ref="Y17:Y48" si="14">0.61365*EXP(17.502*X17/(240.97+X17))</f>
        <v>4.2683114940369471</v>
      </c>
      <c r="Z17">
        <f t="shared" ref="Z17:Z48" si="15">(AA17/AB17*100)</f>
        <v>64.951424309820311</v>
      </c>
      <c r="AA17">
        <f t="shared" ref="AA17:AA48" si="16">DH17*(DM17+DN17)/1000</f>
        <v>2.8754707613329096</v>
      </c>
      <c r="AB17">
        <f t="shared" ref="AB17:AB48" si="17">0.61365*EXP(17.502*DO17/(240.97+DO17))</f>
        <v>4.4271096313713221</v>
      </c>
      <c r="AC17">
        <f t="shared" ref="AC17:AC48" si="18">(Y17-DH17*(DM17+DN17)/1000)</f>
        <v>1.3928407327040375</v>
      </c>
      <c r="AD17">
        <f t="shared" ref="AD17:AD48" si="19">(-K17*44100)</f>
        <v>-159.10934827523582</v>
      </c>
      <c r="AE17">
        <f t="shared" ref="AE17:AE48" si="20">2*29.3*S17*0.92*(DO17-X17)</f>
        <v>100.63500973952902</v>
      </c>
      <c r="AF17">
        <f t="shared" ref="AF17:AF48" si="21">2*0.95*0.0000000567*(((DO17+$B$7)+273)^4-(X17+273)^4)</f>
        <v>7.669751667867982</v>
      </c>
      <c r="AG17">
        <f t="shared" ref="AG17:AG48" si="22">V17+AF17+AD17+AE17</f>
        <v>293.60091277678873</v>
      </c>
      <c r="AH17">
        <v>0</v>
      </c>
      <c r="AI17">
        <v>0</v>
      </c>
      <c r="AJ17">
        <f t="shared" ref="AJ17:AJ48" si="23">IF(AH17*$H$13&gt;=AL17,1,(AL17/(AL17-AH17*$H$13)))</f>
        <v>1</v>
      </c>
      <c r="AK17">
        <f t="shared" ref="AK17:AK48" si="24">(AJ17-1)*100</f>
        <v>0</v>
      </c>
      <c r="AL17">
        <f t="shared" ref="AL17:AL48" si="25">MAX(0,($B$13+$C$13*DT17)/(1+$D$13*DT17)*DM17/(DO17+273)*$E$13)</f>
        <v>52176.575644643366</v>
      </c>
      <c r="AM17" t="s">
        <v>416</v>
      </c>
      <c r="AN17">
        <v>10366.9</v>
      </c>
      <c r="AO17">
        <v>993.59653846153856</v>
      </c>
      <c r="AP17">
        <v>3431.87</v>
      </c>
      <c r="AQ17">
        <f t="shared" ref="AQ17:AQ48" si="26">1-AO17/AP17</f>
        <v>0.71047955241266758</v>
      </c>
      <c r="AR17">
        <v>-3.9894345373445681</v>
      </c>
      <c r="AS17" t="s">
        <v>417</v>
      </c>
      <c r="AT17">
        <v>10370</v>
      </c>
      <c r="AU17">
        <v>704.09288000000004</v>
      </c>
      <c r="AV17">
        <v>932.6764710044838</v>
      </c>
      <c r="AW17">
        <f t="shared" ref="AW17:AW48" si="27">1-AU17/AV17</f>
        <v>0.24508347547172638</v>
      </c>
      <c r="AX17">
        <v>0.5</v>
      </c>
      <c r="AY17">
        <f t="shared" ref="AY17:AY48" si="28">CX17</f>
        <v>1513.3442998223138</v>
      </c>
      <c r="AZ17">
        <f t="shared" ref="AZ17:AZ48" si="29">M17</f>
        <v>36.064961432004488</v>
      </c>
      <c r="BA17">
        <f t="shared" ref="BA17:BA48" si="30">AW17*AX17*AY17</f>
        <v>185.44784029288948</v>
      </c>
      <c r="BB17">
        <f t="shared" ref="BB17:BB48" si="31">(AZ17-AR17)/AY17</f>
        <v>2.6467470736204552E-2</v>
      </c>
      <c r="BC17">
        <f t="shared" ref="BC17:BC48" si="32">(AP17-AV17)/AV17</f>
        <v>2.6795931994552284</v>
      </c>
      <c r="BD17">
        <f t="shared" ref="BD17:BD48" si="33">AO17/(AQ17+AO17/AV17)</f>
        <v>559.52145763038561</v>
      </c>
      <c r="BE17" t="s">
        <v>418</v>
      </c>
      <c r="BF17">
        <v>581.80999999999995</v>
      </c>
      <c r="BG17">
        <f t="shared" ref="BG17:BG48" si="34">IF(BF17&lt;&gt;0, BF17, BD17)</f>
        <v>581.80999999999995</v>
      </c>
      <c r="BH17">
        <f t="shared" ref="BH17:BH48" si="35">1-BG17/AV17</f>
        <v>0.37619311938533617</v>
      </c>
      <c r="BI17">
        <f t="shared" ref="BI17:BI48" si="36">(AV17-AU17)/(AV17-BG17)</f>
        <v>0.65148314214829206</v>
      </c>
      <c r="BJ17">
        <f t="shared" ref="BJ17:BJ48" si="37">(AP17-AV17)/(AP17-BG17)</f>
        <v>0.87689154929914326</v>
      </c>
      <c r="BK17">
        <f t="shared" ref="BK17:BK48" si="38">(AV17-AU17)/(AV17-AO17)</f>
        <v>-3.7521887375719407</v>
      </c>
      <c r="BL17">
        <f t="shared" ref="BL17:BL48" si="39">(AP17-AV17)/(AP17-AO17)</f>
        <v>1.0249849200337917</v>
      </c>
      <c r="BM17">
        <f t="shared" ref="BM17:BM48" si="40">(BI17*BG17/AU17)</f>
        <v>0.53833722467595146</v>
      </c>
      <c r="BN17">
        <f t="shared" ref="BN17:BN48" si="41">(1-BM17)</f>
        <v>0.46166277532404854</v>
      </c>
      <c r="BO17">
        <v>2149</v>
      </c>
      <c r="BP17">
        <v>290.00000000000011</v>
      </c>
      <c r="BQ17">
        <v>867.36</v>
      </c>
      <c r="BR17">
        <v>175</v>
      </c>
      <c r="BS17">
        <v>10370</v>
      </c>
      <c r="BT17">
        <v>866.3</v>
      </c>
      <c r="BU17">
        <v>1.06</v>
      </c>
      <c r="BV17">
        <v>300.00000000000011</v>
      </c>
      <c r="BW17">
        <v>38.4</v>
      </c>
      <c r="BX17">
        <v>932.6764710044838</v>
      </c>
      <c r="BY17">
        <v>1.3349388110641109</v>
      </c>
      <c r="BZ17">
        <v>-68.831245693230613</v>
      </c>
      <c r="CA17">
        <v>1.1325796711444449</v>
      </c>
      <c r="CB17">
        <v>0.99247607697111018</v>
      </c>
      <c r="CC17">
        <v>-1.127867697441602E-2</v>
      </c>
      <c r="CD17">
        <v>289.99999999999989</v>
      </c>
      <c r="CE17">
        <v>860.86</v>
      </c>
      <c r="CF17">
        <v>685</v>
      </c>
      <c r="CG17">
        <v>10343.6</v>
      </c>
      <c r="CH17">
        <v>866.13</v>
      </c>
      <c r="CI17">
        <v>-5.27</v>
      </c>
      <c r="CW17">
        <f t="shared" ref="CW17:CW48" si="42">$B$11*DU17+$C$11*DV17+$F$11*EG17*(1-EJ17)</f>
        <v>1800.19</v>
      </c>
      <c r="CX17">
        <f t="shared" ref="CX17:CX48" si="43">CW17*CY17</f>
        <v>1513.3442998223138</v>
      </c>
      <c r="CY17">
        <f t="shared" ref="CY17:CY48" si="44">($B$11*$D$9+$C$11*$D$9+$F$11*((ET17+EL17)/MAX(ET17+EL17+EU17, 0.1)*$I$9+EU17/MAX(ET17+EL17+EU17, 0.1)*$J$9))/($B$11+$C$11+$F$11)</f>
        <v>0.8406580971021469</v>
      </c>
      <c r="CZ17">
        <f t="shared" ref="CZ17:CZ48" si="45">($B$11*$K$9+$C$11*$K$9+$F$11*((ET17+EL17)/MAX(ET17+EL17+EU17, 0.1)*$P$9+EU17/MAX(ET17+EL17+EU17, 0.1)*$Q$9))/($B$11+$C$11+$F$11)</f>
        <v>0.19131619420429374</v>
      </c>
      <c r="DA17">
        <v>6</v>
      </c>
      <c r="DB17">
        <v>0.5</v>
      </c>
      <c r="DC17" t="s">
        <v>419</v>
      </c>
      <c r="DD17">
        <v>2</v>
      </c>
      <c r="DE17">
        <v>1693494926.5999999</v>
      </c>
      <c r="DF17">
        <v>355.29399999999998</v>
      </c>
      <c r="DG17">
        <v>400.09899999999999</v>
      </c>
      <c r="DH17">
        <v>28.815100000000001</v>
      </c>
      <c r="DI17">
        <v>24.6114</v>
      </c>
      <c r="DJ17">
        <v>354.29899999999998</v>
      </c>
      <c r="DK17">
        <v>27.713799999999999</v>
      </c>
      <c r="DL17">
        <v>500.125</v>
      </c>
      <c r="DM17">
        <v>99.690899999999999</v>
      </c>
      <c r="DN17">
        <v>9.9514099999999994E-2</v>
      </c>
      <c r="DO17">
        <v>30.669699999999999</v>
      </c>
      <c r="DP17">
        <v>30.0321</v>
      </c>
      <c r="DQ17">
        <v>999.9</v>
      </c>
      <c r="DR17">
        <v>0</v>
      </c>
      <c r="DS17">
        <v>0</v>
      </c>
      <c r="DT17">
        <v>10020</v>
      </c>
      <c r="DU17">
        <v>0</v>
      </c>
      <c r="DV17">
        <v>1040.4100000000001</v>
      </c>
      <c r="DW17">
        <v>-44.805500000000002</v>
      </c>
      <c r="DX17">
        <v>365.83600000000001</v>
      </c>
      <c r="DY17">
        <v>410.19499999999999</v>
      </c>
      <c r="DZ17">
        <v>4.2036899999999999</v>
      </c>
      <c r="EA17">
        <v>400.09899999999999</v>
      </c>
      <c r="EB17">
        <v>24.6114</v>
      </c>
      <c r="EC17">
        <v>2.8725999999999998</v>
      </c>
      <c r="ED17">
        <v>2.4535300000000002</v>
      </c>
      <c r="EE17">
        <v>23.307300000000001</v>
      </c>
      <c r="EF17">
        <v>20.721499999999999</v>
      </c>
      <c r="EG17">
        <v>1800.19</v>
      </c>
      <c r="EH17">
        <v>0.97800299999999996</v>
      </c>
      <c r="EI17">
        <v>2.19968E-2</v>
      </c>
      <c r="EJ17">
        <v>0</v>
      </c>
      <c r="EK17">
        <v>703.79499999999996</v>
      </c>
      <c r="EL17">
        <v>5.0002700000000004</v>
      </c>
      <c r="EM17">
        <v>13439</v>
      </c>
      <c r="EN17">
        <v>16250.4</v>
      </c>
      <c r="EO17">
        <v>45.311999999999998</v>
      </c>
      <c r="EP17">
        <v>46.25</v>
      </c>
      <c r="EQ17">
        <v>46.311999999999998</v>
      </c>
      <c r="ER17">
        <v>45.811999999999998</v>
      </c>
      <c r="ES17">
        <v>47.061999999999998</v>
      </c>
      <c r="ET17">
        <v>1755.7</v>
      </c>
      <c r="EU17">
        <v>39.49</v>
      </c>
      <c r="EV17">
        <v>0</v>
      </c>
      <c r="EW17">
        <v>1693494917.3</v>
      </c>
      <c r="EX17">
        <v>0</v>
      </c>
      <c r="EY17">
        <v>704.09288000000004</v>
      </c>
      <c r="EZ17">
        <v>-1.463153844065848</v>
      </c>
      <c r="FA17">
        <v>21.26153887068735</v>
      </c>
      <c r="FB17">
        <v>13421.468000000001</v>
      </c>
      <c r="FC17">
        <v>15</v>
      </c>
      <c r="FD17">
        <v>1693494895.5999999</v>
      </c>
      <c r="FE17" t="s">
        <v>420</v>
      </c>
      <c r="FF17">
        <v>1693494885.0999999</v>
      </c>
      <c r="FG17">
        <v>1693494895.5999999</v>
      </c>
      <c r="FH17">
        <v>3</v>
      </c>
      <c r="FI17">
        <v>0.55600000000000005</v>
      </c>
      <c r="FJ17">
        <v>0.03</v>
      </c>
      <c r="FK17">
        <v>0.998</v>
      </c>
      <c r="FL17">
        <v>0.871</v>
      </c>
      <c r="FM17">
        <v>400</v>
      </c>
      <c r="FN17">
        <v>25</v>
      </c>
      <c r="FO17">
        <v>0.16</v>
      </c>
      <c r="FP17">
        <v>0.04</v>
      </c>
      <c r="FQ17">
        <v>35.946587969759221</v>
      </c>
      <c r="FR17">
        <v>-0.42675153597360671</v>
      </c>
      <c r="FS17">
        <v>0.1121566394665363</v>
      </c>
      <c r="FT17">
        <v>1</v>
      </c>
      <c r="FU17">
        <v>0.26676133480813791</v>
      </c>
      <c r="FV17">
        <v>1.462985914638194E-2</v>
      </c>
      <c r="FW17">
        <v>4.0997338769875611E-3</v>
      </c>
      <c r="FX17">
        <v>1</v>
      </c>
      <c r="FY17">
        <v>2</v>
      </c>
      <c r="FZ17">
        <v>2</v>
      </c>
      <c r="GA17" t="s">
        <v>421</v>
      </c>
      <c r="GB17">
        <v>3.11877</v>
      </c>
      <c r="GC17">
        <v>2.8648400000000001</v>
      </c>
      <c r="GD17">
        <v>8.5583699999999999E-2</v>
      </c>
      <c r="GE17">
        <v>9.6554699999999993E-2</v>
      </c>
      <c r="GF17">
        <v>0.13064500000000001</v>
      </c>
      <c r="GG17">
        <v>0.12307899999999999</v>
      </c>
      <c r="GH17">
        <v>27893.3</v>
      </c>
      <c r="GI17">
        <v>21247.1</v>
      </c>
      <c r="GJ17">
        <v>29386.5</v>
      </c>
      <c r="GK17">
        <v>21907.200000000001</v>
      </c>
      <c r="GL17">
        <v>34162.9</v>
      </c>
      <c r="GM17">
        <v>26401.4</v>
      </c>
      <c r="GN17">
        <v>40781.800000000003</v>
      </c>
      <c r="GO17">
        <v>31099.5</v>
      </c>
      <c r="GP17">
        <v>2.0752000000000002</v>
      </c>
      <c r="GQ17">
        <v>1.9333</v>
      </c>
      <c r="GR17">
        <v>0.14844499999999999</v>
      </c>
      <c r="GS17">
        <v>0</v>
      </c>
      <c r="GT17">
        <v>27.611699999999999</v>
      </c>
      <c r="GU17">
        <v>999.9</v>
      </c>
      <c r="GV17">
        <v>52.1</v>
      </c>
      <c r="GW17">
        <v>34.9</v>
      </c>
      <c r="GX17">
        <v>29.357099999999999</v>
      </c>
      <c r="GY17">
        <v>62.077399999999997</v>
      </c>
      <c r="GZ17">
        <v>13.8101</v>
      </c>
      <c r="HA17">
        <v>1</v>
      </c>
      <c r="HB17">
        <v>-7.4268299999999995E-2</v>
      </c>
      <c r="HC17">
        <v>-1.2152499999999999</v>
      </c>
      <c r="HD17">
        <v>20.272400000000001</v>
      </c>
      <c r="HE17">
        <v>5.2340600000000004</v>
      </c>
      <c r="HF17">
        <v>11.968</v>
      </c>
      <c r="HG17">
        <v>4.9753999999999996</v>
      </c>
      <c r="HH17">
        <v>3.2829999999999999</v>
      </c>
      <c r="HI17">
        <v>9999</v>
      </c>
      <c r="HJ17">
        <v>9999</v>
      </c>
      <c r="HK17">
        <v>9999</v>
      </c>
      <c r="HL17">
        <v>999.9</v>
      </c>
      <c r="HM17">
        <v>1.8613299999999999</v>
      </c>
      <c r="HN17">
        <v>1.8629599999999999</v>
      </c>
      <c r="HO17">
        <v>1.8683399999999999</v>
      </c>
      <c r="HP17">
        <v>1.85907</v>
      </c>
      <c r="HQ17">
        <v>1.85745</v>
      </c>
      <c r="HR17">
        <v>1.86111</v>
      </c>
      <c r="HS17">
        <v>1.8649899999999999</v>
      </c>
      <c r="HT17">
        <v>1.86707</v>
      </c>
      <c r="HU17">
        <v>5</v>
      </c>
      <c r="HV17">
        <v>0</v>
      </c>
      <c r="HW17">
        <v>0</v>
      </c>
      <c r="HX17">
        <v>0</v>
      </c>
      <c r="HY17" t="s">
        <v>422</v>
      </c>
      <c r="HZ17" t="s">
        <v>423</v>
      </c>
      <c r="IA17" t="s">
        <v>424</v>
      </c>
      <c r="IB17" t="s">
        <v>424</v>
      </c>
      <c r="IC17" t="s">
        <v>424</v>
      </c>
      <c r="ID17" t="s">
        <v>424</v>
      </c>
      <c r="IE17">
        <v>0</v>
      </c>
      <c r="IF17">
        <v>100</v>
      </c>
      <c r="IG17">
        <v>100</v>
      </c>
      <c r="IH17">
        <v>0.995</v>
      </c>
      <c r="II17">
        <v>1.1012999999999999</v>
      </c>
      <c r="IJ17">
        <v>0.78653127837859138</v>
      </c>
      <c r="IK17">
        <v>1.118558698776514E-3</v>
      </c>
      <c r="IL17">
        <v>-1.6939696309573479E-6</v>
      </c>
      <c r="IM17">
        <v>5.4698917449866148E-10</v>
      </c>
      <c r="IN17">
        <v>0.21266625561951499</v>
      </c>
      <c r="IO17">
        <v>-7.6058941998734366E-3</v>
      </c>
      <c r="IP17">
        <v>1.6984902717538061E-3</v>
      </c>
      <c r="IQ17">
        <v>-9.6352527008986976E-6</v>
      </c>
      <c r="IR17">
        <v>2</v>
      </c>
      <c r="IS17">
        <v>2021</v>
      </c>
      <c r="IT17">
        <v>2</v>
      </c>
      <c r="IU17">
        <v>40</v>
      </c>
      <c r="IV17">
        <v>0.7</v>
      </c>
      <c r="IW17">
        <v>0.5</v>
      </c>
      <c r="IX17">
        <v>1.02539</v>
      </c>
      <c r="IY17">
        <v>2.4877899999999999</v>
      </c>
      <c r="IZ17">
        <v>1.34399</v>
      </c>
      <c r="JA17">
        <v>2.2509800000000002</v>
      </c>
      <c r="JB17">
        <v>1.5918000000000001</v>
      </c>
      <c r="JC17">
        <v>2.36206</v>
      </c>
      <c r="JD17">
        <v>42.777799999999999</v>
      </c>
      <c r="JE17">
        <v>24.087499999999999</v>
      </c>
      <c r="JF17">
        <v>18</v>
      </c>
      <c r="JG17">
        <v>507.84100000000001</v>
      </c>
      <c r="JH17">
        <v>456.27300000000002</v>
      </c>
      <c r="JI17">
        <v>29.6372</v>
      </c>
      <c r="JJ17">
        <v>26.5182</v>
      </c>
      <c r="JK17">
        <v>30</v>
      </c>
      <c r="JL17">
        <v>26.393999999999998</v>
      </c>
      <c r="JM17">
        <v>26.329000000000001</v>
      </c>
      <c r="JN17">
        <v>20.618099999999998</v>
      </c>
      <c r="JO17">
        <v>23.905200000000001</v>
      </c>
      <c r="JP17">
        <v>100</v>
      </c>
      <c r="JQ17">
        <v>29.642900000000001</v>
      </c>
      <c r="JR17">
        <v>400</v>
      </c>
      <c r="JS17">
        <v>24.5913</v>
      </c>
      <c r="JT17">
        <v>100.194</v>
      </c>
      <c r="JU17">
        <v>98.292000000000002</v>
      </c>
    </row>
    <row r="18" spans="1:281" x14ac:dyDescent="0.25">
      <c r="A18">
        <v>2</v>
      </c>
      <c r="B18">
        <v>1693495047.5999999</v>
      </c>
      <c r="C18">
        <v>121</v>
      </c>
      <c r="D18" t="s">
        <v>425</v>
      </c>
      <c r="E18" t="s">
        <v>426</v>
      </c>
      <c r="F18" t="s">
        <v>413</v>
      </c>
      <c r="G18" t="s">
        <v>414</v>
      </c>
      <c r="H18" t="s">
        <v>415</v>
      </c>
      <c r="I18" t="s">
        <v>31</v>
      </c>
      <c r="J18">
        <v>1693495047.5999999</v>
      </c>
      <c r="K18">
        <f t="shared" si="0"/>
        <v>3.7510232946256564E-3</v>
      </c>
      <c r="L18">
        <f t="shared" si="1"/>
        <v>3.7510232946256563</v>
      </c>
      <c r="M18">
        <f t="shared" si="2"/>
        <v>28.341240609799971</v>
      </c>
      <c r="N18">
        <f t="shared" si="3"/>
        <v>264.80500000000001</v>
      </c>
      <c r="O18">
        <f t="shared" si="4"/>
        <v>90.099272968876576</v>
      </c>
      <c r="P18">
        <f t="shared" si="5"/>
        <v>8.9906757041430527</v>
      </c>
      <c r="Q18">
        <f t="shared" si="6"/>
        <v>26.423918877325502</v>
      </c>
      <c r="R18">
        <f t="shared" si="7"/>
        <v>0.27761544913437874</v>
      </c>
      <c r="S18">
        <f t="shared" si="8"/>
        <v>2.9222947862925466</v>
      </c>
      <c r="T18">
        <f t="shared" si="9"/>
        <v>0.26375173885419251</v>
      </c>
      <c r="U18">
        <f t="shared" si="10"/>
        <v>0.16603272371412692</v>
      </c>
      <c r="V18">
        <f t="shared" si="11"/>
        <v>344.35419964457429</v>
      </c>
      <c r="W18">
        <f t="shared" si="12"/>
        <v>31.63641539463428</v>
      </c>
      <c r="X18">
        <f t="shared" si="13"/>
        <v>29.935400000000001</v>
      </c>
      <c r="Y18">
        <f t="shared" si="14"/>
        <v>4.2446666084528832</v>
      </c>
      <c r="Z18">
        <f t="shared" si="15"/>
        <v>65.295840884919016</v>
      </c>
      <c r="AA18">
        <f t="shared" si="16"/>
        <v>2.87616132091512</v>
      </c>
      <c r="AB18">
        <f t="shared" si="17"/>
        <v>4.4048155011652659</v>
      </c>
      <c r="AC18">
        <f t="shared" si="18"/>
        <v>1.3685052875377632</v>
      </c>
      <c r="AD18">
        <f t="shared" si="19"/>
        <v>-165.42012729299145</v>
      </c>
      <c r="AE18">
        <f t="shared" si="20"/>
        <v>101.77520471101761</v>
      </c>
      <c r="AF18">
        <f t="shared" si="21"/>
        <v>7.7636898893714577</v>
      </c>
      <c r="AG18">
        <f t="shared" si="22"/>
        <v>288.4729669519719</v>
      </c>
      <c r="AH18">
        <v>0</v>
      </c>
      <c r="AI18">
        <v>0</v>
      </c>
      <c r="AJ18">
        <f t="shared" si="23"/>
        <v>1</v>
      </c>
      <c r="AK18">
        <f t="shared" si="24"/>
        <v>0</v>
      </c>
      <c r="AL18">
        <f t="shared" si="25"/>
        <v>52039.692949349956</v>
      </c>
      <c r="AM18" t="s">
        <v>416</v>
      </c>
      <c r="AN18">
        <v>10366.9</v>
      </c>
      <c r="AO18">
        <v>993.59653846153856</v>
      </c>
      <c r="AP18">
        <v>3431.87</v>
      </c>
      <c r="AQ18">
        <f t="shared" si="26"/>
        <v>0.71047955241266758</v>
      </c>
      <c r="AR18">
        <v>-3.9894345373445681</v>
      </c>
      <c r="AS18" t="s">
        <v>427</v>
      </c>
      <c r="AT18">
        <v>10366.5</v>
      </c>
      <c r="AU18">
        <v>684.23407692307705</v>
      </c>
      <c r="AV18">
        <v>864.66714480713767</v>
      </c>
      <c r="AW18">
        <f t="shared" si="27"/>
        <v>0.20867344037260238</v>
      </c>
      <c r="AX18">
        <v>0.5</v>
      </c>
      <c r="AY18">
        <f t="shared" si="28"/>
        <v>1513.1174998222871</v>
      </c>
      <c r="AZ18">
        <f t="shared" si="29"/>
        <v>28.341240609799971</v>
      </c>
      <c r="BA18">
        <f t="shared" si="30"/>
        <v>157.87371718795362</v>
      </c>
      <c r="BB18">
        <f t="shared" si="31"/>
        <v>2.1366929634309112E-2</v>
      </c>
      <c r="BC18">
        <f t="shared" si="32"/>
        <v>2.9690070573520773</v>
      </c>
      <c r="BD18">
        <f t="shared" si="33"/>
        <v>534.30996744631079</v>
      </c>
      <c r="BE18" t="s">
        <v>428</v>
      </c>
      <c r="BF18">
        <v>565.83000000000004</v>
      </c>
      <c r="BG18">
        <f t="shared" si="34"/>
        <v>565.83000000000004</v>
      </c>
      <c r="BH18">
        <f t="shared" si="35"/>
        <v>0.34560945978095725</v>
      </c>
      <c r="BI18">
        <f t="shared" si="36"/>
        <v>0.60378393723614188</v>
      </c>
      <c r="BJ18">
        <f t="shared" si="37"/>
        <v>0.89573169083225024</v>
      </c>
      <c r="BK18">
        <f t="shared" si="38"/>
        <v>-1.3994719339774209</v>
      </c>
      <c r="BL18">
        <f t="shared" si="39"/>
        <v>1.0528773313117434</v>
      </c>
      <c r="BM18">
        <f t="shared" si="40"/>
        <v>0.49930144774817159</v>
      </c>
      <c r="BN18">
        <f t="shared" si="41"/>
        <v>0.50069855225182835</v>
      </c>
      <c r="BO18">
        <v>2151</v>
      </c>
      <c r="BP18">
        <v>290.00000000000011</v>
      </c>
      <c r="BQ18">
        <v>812.13</v>
      </c>
      <c r="BR18">
        <v>195</v>
      </c>
      <c r="BS18">
        <v>10366.5</v>
      </c>
      <c r="BT18">
        <v>812.03</v>
      </c>
      <c r="BU18">
        <v>0.1</v>
      </c>
      <c r="BV18">
        <v>300.00000000000011</v>
      </c>
      <c r="BW18">
        <v>38.4</v>
      </c>
      <c r="BX18">
        <v>864.66714480713767</v>
      </c>
      <c r="BY18">
        <v>1.019594617623931</v>
      </c>
      <c r="BZ18">
        <v>-54.569085924931983</v>
      </c>
      <c r="CA18">
        <v>0.86501250095336102</v>
      </c>
      <c r="CB18">
        <v>0.99301342124101777</v>
      </c>
      <c r="CC18">
        <v>-1.1278094327030041E-2</v>
      </c>
      <c r="CD18">
        <v>289.99999999999989</v>
      </c>
      <c r="CE18">
        <v>808.28</v>
      </c>
      <c r="CF18">
        <v>675</v>
      </c>
      <c r="CG18">
        <v>10344.200000000001</v>
      </c>
      <c r="CH18">
        <v>811.91</v>
      </c>
      <c r="CI18">
        <v>-3.63</v>
      </c>
      <c r="CW18">
        <f t="shared" si="42"/>
        <v>1799.92</v>
      </c>
      <c r="CX18">
        <f t="shared" si="43"/>
        <v>1513.1174998222871</v>
      </c>
      <c r="CY18">
        <f t="shared" si="44"/>
        <v>0.84065819582108481</v>
      </c>
      <c r="CZ18">
        <f t="shared" si="45"/>
        <v>0.19131639164216979</v>
      </c>
      <c r="DA18">
        <v>6</v>
      </c>
      <c r="DB18">
        <v>0.5</v>
      </c>
      <c r="DC18" t="s">
        <v>419</v>
      </c>
      <c r="DD18">
        <v>2</v>
      </c>
      <c r="DE18">
        <v>1693495047.5999999</v>
      </c>
      <c r="DF18">
        <v>264.80500000000001</v>
      </c>
      <c r="DG18">
        <v>300.017</v>
      </c>
      <c r="DH18">
        <v>28.8232</v>
      </c>
      <c r="DI18">
        <v>24.450399999999998</v>
      </c>
      <c r="DJ18">
        <v>263.875</v>
      </c>
      <c r="DK18">
        <v>27.710899999999999</v>
      </c>
      <c r="DL18">
        <v>499.85</v>
      </c>
      <c r="DM18">
        <v>99.686700000000002</v>
      </c>
      <c r="DN18">
        <v>9.9629099999999998E-2</v>
      </c>
      <c r="DO18">
        <v>30.581399999999999</v>
      </c>
      <c r="DP18">
        <v>29.935400000000001</v>
      </c>
      <c r="DQ18">
        <v>999.9</v>
      </c>
      <c r="DR18">
        <v>0</v>
      </c>
      <c r="DS18">
        <v>0</v>
      </c>
      <c r="DT18">
        <v>9990</v>
      </c>
      <c r="DU18">
        <v>0</v>
      </c>
      <c r="DV18">
        <v>1088.8399999999999</v>
      </c>
      <c r="DW18">
        <v>-35.212499999999999</v>
      </c>
      <c r="DX18">
        <v>272.66399999999999</v>
      </c>
      <c r="DY18">
        <v>307.53699999999998</v>
      </c>
      <c r="DZ18">
        <v>4.3728300000000004</v>
      </c>
      <c r="EA18">
        <v>300.017</v>
      </c>
      <c r="EB18">
        <v>24.450399999999998</v>
      </c>
      <c r="EC18">
        <v>2.8732899999999999</v>
      </c>
      <c r="ED18">
        <v>2.4373800000000001</v>
      </c>
      <c r="EE18">
        <v>23.311299999999999</v>
      </c>
      <c r="EF18">
        <v>20.6143</v>
      </c>
      <c r="EG18">
        <v>1799.92</v>
      </c>
      <c r="EH18">
        <v>0.97799999999999998</v>
      </c>
      <c r="EI18">
        <v>2.20004E-2</v>
      </c>
      <c r="EJ18">
        <v>0</v>
      </c>
      <c r="EK18">
        <v>684.33</v>
      </c>
      <c r="EL18">
        <v>5.0002700000000004</v>
      </c>
      <c r="EM18">
        <v>13089.1</v>
      </c>
      <c r="EN18">
        <v>16247.9</v>
      </c>
      <c r="EO18">
        <v>45.25</v>
      </c>
      <c r="EP18">
        <v>46.186999999999998</v>
      </c>
      <c r="EQ18">
        <v>46.25</v>
      </c>
      <c r="ER18">
        <v>45.811999999999998</v>
      </c>
      <c r="ES18">
        <v>47.125</v>
      </c>
      <c r="ET18">
        <v>1755.43</v>
      </c>
      <c r="EU18">
        <v>39.49</v>
      </c>
      <c r="EV18">
        <v>0</v>
      </c>
      <c r="EW18">
        <v>119</v>
      </c>
      <c r="EX18">
        <v>0</v>
      </c>
      <c r="EY18">
        <v>684.23407692307705</v>
      </c>
      <c r="EZ18">
        <v>-4.4991467434483207E-2</v>
      </c>
      <c r="FA18">
        <v>-2.5162394027495338</v>
      </c>
      <c r="FB18">
        <v>13091.115384615379</v>
      </c>
      <c r="FC18">
        <v>15</v>
      </c>
      <c r="FD18">
        <v>1693495016.0999999</v>
      </c>
      <c r="FE18" t="s">
        <v>429</v>
      </c>
      <c r="FF18">
        <v>1693495007.0999999</v>
      </c>
      <c r="FG18">
        <v>1693495016.0999999</v>
      </c>
      <c r="FH18">
        <v>4</v>
      </c>
      <c r="FI18">
        <v>-4.3999999999999997E-2</v>
      </c>
      <c r="FJ18">
        <v>1.0999999999999999E-2</v>
      </c>
      <c r="FK18">
        <v>0.94</v>
      </c>
      <c r="FL18">
        <v>0.88900000000000001</v>
      </c>
      <c r="FM18">
        <v>300</v>
      </c>
      <c r="FN18">
        <v>25</v>
      </c>
      <c r="FO18">
        <v>0.15</v>
      </c>
      <c r="FP18">
        <v>0.06</v>
      </c>
      <c r="FQ18">
        <v>28.250038507252029</v>
      </c>
      <c r="FR18">
        <v>0.43753003495179832</v>
      </c>
      <c r="FS18">
        <v>7.8205131108434106E-2</v>
      </c>
      <c r="FT18">
        <v>1</v>
      </c>
      <c r="FU18">
        <v>0.28074159919501668</v>
      </c>
      <c r="FV18">
        <v>2.035137691942715E-2</v>
      </c>
      <c r="FW18">
        <v>2.596171915168242E-3</v>
      </c>
      <c r="FX18">
        <v>1</v>
      </c>
      <c r="FY18">
        <v>2</v>
      </c>
      <c r="FZ18">
        <v>2</v>
      </c>
      <c r="GA18" t="s">
        <v>421</v>
      </c>
      <c r="GB18">
        <v>3.1184099999999999</v>
      </c>
      <c r="GC18">
        <v>2.86469</v>
      </c>
      <c r="GD18">
        <v>6.7304600000000006E-2</v>
      </c>
      <c r="GE18">
        <v>7.6894900000000002E-2</v>
      </c>
      <c r="GF18">
        <v>0.130632</v>
      </c>
      <c r="GG18">
        <v>0.122517</v>
      </c>
      <c r="GH18">
        <v>28451.3</v>
      </c>
      <c r="GI18">
        <v>21710.6</v>
      </c>
      <c r="GJ18">
        <v>29387</v>
      </c>
      <c r="GK18">
        <v>21908.400000000001</v>
      </c>
      <c r="GL18">
        <v>34161.9</v>
      </c>
      <c r="GM18">
        <v>26418.9</v>
      </c>
      <c r="GN18">
        <v>40782.300000000003</v>
      </c>
      <c r="GO18">
        <v>31102.1</v>
      </c>
      <c r="GP18">
        <v>2.0746000000000002</v>
      </c>
      <c r="GQ18">
        <v>1.9307000000000001</v>
      </c>
      <c r="GR18">
        <v>0.139624</v>
      </c>
      <c r="GS18">
        <v>0</v>
      </c>
      <c r="GT18">
        <v>27.658799999999999</v>
      </c>
      <c r="GU18">
        <v>999.9</v>
      </c>
      <c r="GV18">
        <v>51.6</v>
      </c>
      <c r="GW18">
        <v>35.200000000000003</v>
      </c>
      <c r="GX18">
        <v>29.563199999999998</v>
      </c>
      <c r="GY18">
        <v>62.127400000000002</v>
      </c>
      <c r="GZ18">
        <v>13.3934</v>
      </c>
      <c r="HA18">
        <v>1</v>
      </c>
      <c r="HB18">
        <v>-7.4939000000000006E-2</v>
      </c>
      <c r="HC18">
        <v>-1.4373400000000001</v>
      </c>
      <c r="HD18">
        <v>20.269500000000001</v>
      </c>
      <c r="HE18">
        <v>5.2286700000000002</v>
      </c>
      <c r="HF18">
        <v>11.968</v>
      </c>
      <c r="HG18">
        <v>4.9733999999999998</v>
      </c>
      <c r="HH18">
        <v>3.2818000000000001</v>
      </c>
      <c r="HI18">
        <v>9999</v>
      </c>
      <c r="HJ18">
        <v>9999</v>
      </c>
      <c r="HK18">
        <v>9999</v>
      </c>
      <c r="HL18">
        <v>999.9</v>
      </c>
      <c r="HM18">
        <v>1.86128</v>
      </c>
      <c r="HN18">
        <v>1.8629500000000001</v>
      </c>
      <c r="HO18">
        <v>1.8683799999999999</v>
      </c>
      <c r="HP18">
        <v>1.8589899999999999</v>
      </c>
      <c r="HQ18">
        <v>1.8574299999999999</v>
      </c>
      <c r="HR18">
        <v>1.86111</v>
      </c>
      <c r="HS18">
        <v>1.86496</v>
      </c>
      <c r="HT18">
        <v>1.86696</v>
      </c>
      <c r="HU18">
        <v>5</v>
      </c>
      <c r="HV18">
        <v>0</v>
      </c>
      <c r="HW18">
        <v>0</v>
      </c>
      <c r="HX18">
        <v>0</v>
      </c>
      <c r="HY18" t="s">
        <v>422</v>
      </c>
      <c r="HZ18" t="s">
        <v>423</v>
      </c>
      <c r="IA18" t="s">
        <v>424</v>
      </c>
      <c r="IB18" t="s">
        <v>424</v>
      </c>
      <c r="IC18" t="s">
        <v>424</v>
      </c>
      <c r="ID18" t="s">
        <v>424</v>
      </c>
      <c r="IE18">
        <v>0</v>
      </c>
      <c r="IF18">
        <v>100</v>
      </c>
      <c r="IG18">
        <v>100</v>
      </c>
      <c r="IH18">
        <v>0.93</v>
      </c>
      <c r="II18">
        <v>1.1123000000000001</v>
      </c>
      <c r="IJ18">
        <v>0.74257403389447341</v>
      </c>
      <c r="IK18">
        <v>1.118558698776514E-3</v>
      </c>
      <c r="IL18">
        <v>-1.6939696309573479E-6</v>
      </c>
      <c r="IM18">
        <v>5.4698917449866148E-10</v>
      </c>
      <c r="IN18">
        <v>0.2237990769563912</v>
      </c>
      <c r="IO18">
        <v>-7.6058941998734366E-3</v>
      </c>
      <c r="IP18">
        <v>1.6984902717538061E-3</v>
      </c>
      <c r="IQ18">
        <v>-9.6352527008986976E-6</v>
      </c>
      <c r="IR18">
        <v>2</v>
      </c>
      <c r="IS18">
        <v>2021</v>
      </c>
      <c r="IT18">
        <v>2</v>
      </c>
      <c r="IU18">
        <v>40</v>
      </c>
      <c r="IV18">
        <v>0.7</v>
      </c>
      <c r="IW18">
        <v>0.5</v>
      </c>
      <c r="IX18">
        <v>0.81664999999999999</v>
      </c>
      <c r="IY18">
        <v>2.4939</v>
      </c>
      <c r="IZ18">
        <v>1.34399</v>
      </c>
      <c r="JA18">
        <v>2.2509800000000002</v>
      </c>
      <c r="JB18">
        <v>1.5918000000000001</v>
      </c>
      <c r="JC18">
        <v>2.49146</v>
      </c>
      <c r="JD18">
        <v>42.966000000000001</v>
      </c>
      <c r="JE18">
        <v>24.096299999999999</v>
      </c>
      <c r="JF18">
        <v>18</v>
      </c>
      <c r="JG18">
        <v>507.39499999999998</v>
      </c>
      <c r="JH18">
        <v>454.53699999999998</v>
      </c>
      <c r="JI18">
        <v>29.5</v>
      </c>
      <c r="JJ18">
        <v>26.511399999999998</v>
      </c>
      <c r="JK18">
        <v>30</v>
      </c>
      <c r="JL18">
        <v>26.3873</v>
      </c>
      <c r="JM18">
        <v>26.3246</v>
      </c>
      <c r="JN18">
        <v>16.427299999999999</v>
      </c>
      <c r="JO18">
        <v>24.680099999999999</v>
      </c>
      <c r="JP18">
        <v>100</v>
      </c>
      <c r="JQ18">
        <v>29.501200000000001</v>
      </c>
      <c r="JR18">
        <v>300</v>
      </c>
      <c r="JS18">
        <v>24.518000000000001</v>
      </c>
      <c r="JT18">
        <v>100.19499999999999</v>
      </c>
      <c r="JU18">
        <v>98.299000000000007</v>
      </c>
    </row>
    <row r="19" spans="1:281" x14ac:dyDescent="0.25">
      <c r="A19">
        <v>3</v>
      </c>
      <c r="B19">
        <v>1693495221.0999999</v>
      </c>
      <c r="C19">
        <v>294.5</v>
      </c>
      <c r="D19" t="s">
        <v>430</v>
      </c>
      <c r="E19" t="s">
        <v>431</v>
      </c>
      <c r="F19" t="s">
        <v>413</v>
      </c>
      <c r="G19" t="s">
        <v>414</v>
      </c>
      <c r="H19" t="s">
        <v>415</v>
      </c>
      <c r="I19" t="s">
        <v>31</v>
      </c>
      <c r="J19">
        <v>1693495221.0999999</v>
      </c>
      <c r="K19">
        <f t="shared" si="0"/>
        <v>4.307736892223221E-3</v>
      </c>
      <c r="L19">
        <f t="shared" si="1"/>
        <v>4.3077368922232209</v>
      </c>
      <c r="M19">
        <f t="shared" si="2"/>
        <v>21.756062772501135</v>
      </c>
      <c r="N19">
        <f t="shared" si="3"/>
        <v>173.078</v>
      </c>
      <c r="O19">
        <f t="shared" si="4"/>
        <v>55.977455979222249</v>
      </c>
      <c r="P19">
        <f t="shared" si="5"/>
        <v>5.5857176267942945</v>
      </c>
      <c r="Q19">
        <f t="shared" si="6"/>
        <v>17.270610435907397</v>
      </c>
      <c r="R19">
        <f t="shared" si="7"/>
        <v>0.31972071975365635</v>
      </c>
      <c r="S19">
        <f t="shared" si="8"/>
        <v>2.9301513282262102</v>
      </c>
      <c r="T19">
        <f t="shared" si="9"/>
        <v>0.30152701705744384</v>
      </c>
      <c r="U19">
        <f t="shared" si="10"/>
        <v>0.19000268766980843</v>
      </c>
      <c r="V19">
        <f t="shared" si="11"/>
        <v>344.39219964461375</v>
      </c>
      <c r="W19">
        <f t="shared" si="12"/>
        <v>31.604242414820796</v>
      </c>
      <c r="X19">
        <f t="shared" si="13"/>
        <v>30.014500000000002</v>
      </c>
      <c r="Y19">
        <f t="shared" si="14"/>
        <v>4.2639994532519339</v>
      </c>
      <c r="Z19">
        <f t="shared" si="15"/>
        <v>65.170545087681162</v>
      </c>
      <c r="AA19">
        <f t="shared" si="16"/>
        <v>2.8895278527472494</v>
      </c>
      <c r="AB19">
        <f t="shared" si="17"/>
        <v>4.4337942069682663</v>
      </c>
      <c r="AC19">
        <f t="shared" si="18"/>
        <v>1.3744716005046844</v>
      </c>
      <c r="AD19">
        <f t="shared" si="19"/>
        <v>-189.97119694704404</v>
      </c>
      <c r="AE19">
        <f t="shared" si="20"/>
        <v>107.67256902643703</v>
      </c>
      <c r="AF19">
        <f t="shared" si="21"/>
        <v>8.199389966124718</v>
      </c>
      <c r="AG19">
        <f t="shared" si="22"/>
        <v>270.29296169013151</v>
      </c>
      <c r="AH19">
        <v>0</v>
      </c>
      <c r="AI19">
        <v>0</v>
      </c>
      <c r="AJ19">
        <f t="shared" si="23"/>
        <v>1</v>
      </c>
      <c r="AK19">
        <f t="shared" si="24"/>
        <v>0</v>
      </c>
      <c r="AL19">
        <f t="shared" si="25"/>
        <v>52244.013170302664</v>
      </c>
      <c r="AM19" t="s">
        <v>416</v>
      </c>
      <c r="AN19">
        <v>10366.9</v>
      </c>
      <c r="AO19">
        <v>993.59653846153856</v>
      </c>
      <c r="AP19">
        <v>3431.87</v>
      </c>
      <c r="AQ19">
        <f t="shared" si="26"/>
        <v>0.71047955241266758</v>
      </c>
      <c r="AR19">
        <v>-3.9894345373445681</v>
      </c>
      <c r="AS19" t="s">
        <v>432</v>
      </c>
      <c r="AT19">
        <v>10363.1</v>
      </c>
      <c r="AU19">
        <v>681.74469230769216</v>
      </c>
      <c r="AV19">
        <v>817.82907525613564</v>
      </c>
      <c r="AW19">
        <f t="shared" si="27"/>
        <v>0.16639709575723172</v>
      </c>
      <c r="AX19">
        <v>0.5</v>
      </c>
      <c r="AY19">
        <f t="shared" si="28"/>
        <v>1513.2854998223067</v>
      </c>
      <c r="AZ19">
        <f t="shared" si="29"/>
        <v>21.756062772501135</v>
      </c>
      <c r="BA19">
        <f t="shared" si="30"/>
        <v>125.90315611098131</v>
      </c>
      <c r="BB19">
        <f t="shared" si="31"/>
        <v>1.7012980903384586E-2</v>
      </c>
      <c r="BC19">
        <f t="shared" si="32"/>
        <v>3.1963169369164008</v>
      </c>
      <c r="BD19">
        <f t="shared" si="33"/>
        <v>516.04705392987989</v>
      </c>
      <c r="BE19" t="s">
        <v>433</v>
      </c>
      <c r="BF19">
        <v>567.33000000000004</v>
      </c>
      <c r="BG19">
        <f t="shared" si="34"/>
        <v>567.33000000000004</v>
      </c>
      <c r="BH19">
        <f t="shared" si="35"/>
        <v>0.30629759057866934</v>
      </c>
      <c r="BI19">
        <f t="shared" si="36"/>
        <v>0.54325303520301238</v>
      </c>
      <c r="BJ19">
        <f t="shared" si="37"/>
        <v>0.91255172723853195</v>
      </c>
      <c r="BK19">
        <f t="shared" si="38"/>
        <v>-0.77422965813311218</v>
      </c>
      <c r="BL19">
        <f t="shared" si="39"/>
        <v>1.0720868540702977</v>
      </c>
      <c r="BM19">
        <f t="shared" si="40"/>
        <v>0.45208088590827383</v>
      </c>
      <c r="BN19">
        <f t="shared" si="41"/>
        <v>0.54791911409172611</v>
      </c>
      <c r="BO19">
        <v>2153</v>
      </c>
      <c r="BP19">
        <v>290.00000000000011</v>
      </c>
      <c r="BQ19">
        <v>778.42</v>
      </c>
      <c r="BR19">
        <v>215</v>
      </c>
      <c r="BS19">
        <v>10363.1</v>
      </c>
      <c r="BT19">
        <v>778.44</v>
      </c>
      <c r="BU19">
        <v>-0.02</v>
      </c>
      <c r="BV19">
        <v>300.00000000000011</v>
      </c>
      <c r="BW19">
        <v>38.4</v>
      </c>
      <c r="BX19">
        <v>817.82907525613564</v>
      </c>
      <c r="BY19">
        <v>0.89583066940004286</v>
      </c>
      <c r="BZ19">
        <v>-40.817053347519973</v>
      </c>
      <c r="CA19">
        <v>0.7599684740589806</v>
      </c>
      <c r="CB19">
        <v>0.99038673966341173</v>
      </c>
      <c r="CC19">
        <v>-1.127746340378198E-2</v>
      </c>
      <c r="CD19">
        <v>289.99999999999989</v>
      </c>
      <c r="CE19">
        <v>775.68</v>
      </c>
      <c r="CF19">
        <v>685</v>
      </c>
      <c r="CG19">
        <v>10342.700000000001</v>
      </c>
      <c r="CH19">
        <v>778.36</v>
      </c>
      <c r="CI19">
        <v>-2.68</v>
      </c>
      <c r="CW19">
        <f t="shared" si="42"/>
        <v>1800.12</v>
      </c>
      <c r="CX19">
        <f t="shared" si="43"/>
        <v>1513.2854998223067</v>
      </c>
      <c r="CY19">
        <f t="shared" si="44"/>
        <v>0.84065812269310203</v>
      </c>
      <c r="CZ19">
        <f t="shared" si="45"/>
        <v>0.19131624538620412</v>
      </c>
      <c r="DA19">
        <v>6</v>
      </c>
      <c r="DB19">
        <v>0.5</v>
      </c>
      <c r="DC19" t="s">
        <v>419</v>
      </c>
      <c r="DD19">
        <v>2</v>
      </c>
      <c r="DE19">
        <v>1693495221.0999999</v>
      </c>
      <c r="DF19">
        <v>173.078</v>
      </c>
      <c r="DG19">
        <v>200.07300000000001</v>
      </c>
      <c r="DH19">
        <v>28.9575</v>
      </c>
      <c r="DI19">
        <v>23.9392</v>
      </c>
      <c r="DJ19">
        <v>172.29300000000001</v>
      </c>
      <c r="DK19">
        <v>27.858799999999999</v>
      </c>
      <c r="DL19">
        <v>500.12900000000002</v>
      </c>
      <c r="DM19">
        <v>99.685400000000001</v>
      </c>
      <c r="DN19">
        <v>9.9728300000000006E-2</v>
      </c>
      <c r="DO19">
        <v>30.696100000000001</v>
      </c>
      <c r="DP19">
        <v>30.014500000000002</v>
      </c>
      <c r="DQ19">
        <v>999.9</v>
      </c>
      <c r="DR19">
        <v>0</v>
      </c>
      <c r="DS19">
        <v>0</v>
      </c>
      <c r="DT19">
        <v>10035</v>
      </c>
      <c r="DU19">
        <v>0</v>
      </c>
      <c r="DV19">
        <v>1079.26</v>
      </c>
      <c r="DW19">
        <v>-26.994399999999999</v>
      </c>
      <c r="DX19">
        <v>178.24</v>
      </c>
      <c r="DY19">
        <v>204.98</v>
      </c>
      <c r="DZ19">
        <v>5.0183200000000001</v>
      </c>
      <c r="EA19">
        <v>200.07300000000001</v>
      </c>
      <c r="EB19">
        <v>23.9392</v>
      </c>
      <c r="EC19">
        <v>2.8866399999999999</v>
      </c>
      <c r="ED19">
        <v>2.38639</v>
      </c>
      <c r="EE19">
        <v>23.388100000000001</v>
      </c>
      <c r="EF19">
        <v>20.271699999999999</v>
      </c>
      <c r="EG19">
        <v>1800.12</v>
      </c>
      <c r="EH19">
        <v>0.97800299999999996</v>
      </c>
      <c r="EI19">
        <v>2.19968E-2</v>
      </c>
      <c r="EJ19">
        <v>0</v>
      </c>
      <c r="EK19">
        <v>681.69399999999996</v>
      </c>
      <c r="EL19">
        <v>5.0002700000000004</v>
      </c>
      <c r="EM19">
        <v>13021.2</v>
      </c>
      <c r="EN19">
        <v>16249.7</v>
      </c>
      <c r="EO19">
        <v>45.436999999999998</v>
      </c>
      <c r="EP19">
        <v>46.436999999999998</v>
      </c>
      <c r="EQ19">
        <v>46.375</v>
      </c>
      <c r="ER19">
        <v>46</v>
      </c>
      <c r="ES19">
        <v>47.186999999999998</v>
      </c>
      <c r="ET19">
        <v>1755.63</v>
      </c>
      <c r="EU19">
        <v>39.49</v>
      </c>
      <c r="EV19">
        <v>0</v>
      </c>
      <c r="EW19">
        <v>171.79999995231631</v>
      </c>
      <c r="EX19">
        <v>0</v>
      </c>
      <c r="EY19">
        <v>681.74469230769216</v>
      </c>
      <c r="EZ19">
        <v>0.65941879552514748</v>
      </c>
      <c r="FA19">
        <v>23.935042607213099</v>
      </c>
      <c r="FB19">
        <v>13016.788461538459</v>
      </c>
      <c r="FC19">
        <v>15</v>
      </c>
      <c r="FD19">
        <v>1693495123.0999999</v>
      </c>
      <c r="FE19" t="s">
        <v>434</v>
      </c>
      <c r="FF19">
        <v>1693495110.0999999</v>
      </c>
      <c r="FG19">
        <v>1693495123.0999999</v>
      </c>
      <c r="FH19">
        <v>5</v>
      </c>
      <c r="FI19">
        <v>-0.10299999999999999</v>
      </c>
      <c r="FJ19">
        <v>-2.3E-2</v>
      </c>
      <c r="FK19">
        <v>0.8</v>
      </c>
      <c r="FL19">
        <v>0.84299999999999997</v>
      </c>
      <c r="FM19">
        <v>200</v>
      </c>
      <c r="FN19">
        <v>24</v>
      </c>
      <c r="FO19">
        <v>0.17</v>
      </c>
      <c r="FP19">
        <v>0.05</v>
      </c>
      <c r="FQ19">
        <v>21.56504574114394</v>
      </c>
      <c r="FR19">
        <v>0.64679351448041955</v>
      </c>
      <c r="FS19">
        <v>8.440778423211992E-2</v>
      </c>
      <c r="FT19">
        <v>1</v>
      </c>
      <c r="FU19">
        <v>0.31564872483449391</v>
      </c>
      <c r="FV19">
        <v>1.6765246142752519E-2</v>
      </c>
      <c r="FW19">
        <v>1.5133940554802479E-3</v>
      </c>
      <c r="FX19">
        <v>1</v>
      </c>
      <c r="FY19">
        <v>2</v>
      </c>
      <c r="FZ19">
        <v>2</v>
      </c>
      <c r="GA19" t="s">
        <v>421</v>
      </c>
      <c r="GB19">
        <v>3.1186099999999999</v>
      </c>
      <c r="GC19">
        <v>2.8651900000000001</v>
      </c>
      <c r="GD19">
        <v>4.6375600000000003E-2</v>
      </c>
      <c r="GE19">
        <v>5.4511799999999999E-2</v>
      </c>
      <c r="GF19">
        <v>0.131106</v>
      </c>
      <c r="GG19">
        <v>0.120724</v>
      </c>
      <c r="GH19">
        <v>29086</v>
      </c>
      <c r="GI19">
        <v>22240.3</v>
      </c>
      <c r="GJ19">
        <v>29383.5</v>
      </c>
      <c r="GK19">
        <v>21911.7</v>
      </c>
      <c r="GL19">
        <v>34137.1</v>
      </c>
      <c r="GM19">
        <v>26474.9</v>
      </c>
      <c r="GN19">
        <v>40777.800000000003</v>
      </c>
      <c r="GO19">
        <v>31106.7</v>
      </c>
      <c r="GP19">
        <v>2.0758999999999999</v>
      </c>
      <c r="GQ19">
        <v>1.9254</v>
      </c>
      <c r="GR19">
        <v>0.129715</v>
      </c>
      <c r="GS19">
        <v>0</v>
      </c>
      <c r="GT19">
        <v>27.9</v>
      </c>
      <c r="GU19">
        <v>999.9</v>
      </c>
      <c r="GV19">
        <v>51</v>
      </c>
      <c r="GW19">
        <v>35.6</v>
      </c>
      <c r="GX19">
        <v>29.871700000000001</v>
      </c>
      <c r="GY19">
        <v>62.0075</v>
      </c>
      <c r="GZ19">
        <v>13.8942</v>
      </c>
      <c r="HA19">
        <v>1</v>
      </c>
      <c r="HB19">
        <v>-7.0955299999999999E-2</v>
      </c>
      <c r="HC19">
        <v>-0.77964</v>
      </c>
      <c r="HD19">
        <v>20.274799999999999</v>
      </c>
      <c r="HE19">
        <v>5.2352600000000002</v>
      </c>
      <c r="HF19">
        <v>11.968</v>
      </c>
      <c r="HG19">
        <v>4.9737999999999998</v>
      </c>
      <c r="HH19">
        <v>3.2829999999999999</v>
      </c>
      <c r="HI19">
        <v>9999</v>
      </c>
      <c r="HJ19">
        <v>9999</v>
      </c>
      <c r="HK19">
        <v>9999</v>
      </c>
      <c r="HL19">
        <v>999.9</v>
      </c>
      <c r="HM19">
        <v>1.8613</v>
      </c>
      <c r="HN19">
        <v>1.8629800000000001</v>
      </c>
      <c r="HO19">
        <v>1.8683000000000001</v>
      </c>
      <c r="HP19">
        <v>1.85903</v>
      </c>
      <c r="HQ19">
        <v>1.8574200000000001</v>
      </c>
      <c r="HR19">
        <v>1.8611</v>
      </c>
      <c r="HS19">
        <v>1.8649500000000001</v>
      </c>
      <c r="HT19">
        <v>1.86697</v>
      </c>
      <c r="HU19">
        <v>5</v>
      </c>
      <c r="HV19">
        <v>0</v>
      </c>
      <c r="HW19">
        <v>0</v>
      </c>
      <c r="HX19">
        <v>0</v>
      </c>
      <c r="HY19" t="s">
        <v>422</v>
      </c>
      <c r="HZ19" t="s">
        <v>423</v>
      </c>
      <c r="IA19" t="s">
        <v>424</v>
      </c>
      <c r="IB19" t="s">
        <v>424</v>
      </c>
      <c r="IC19" t="s">
        <v>424</v>
      </c>
      <c r="ID19" t="s">
        <v>424</v>
      </c>
      <c r="IE19">
        <v>0</v>
      </c>
      <c r="IF19">
        <v>100</v>
      </c>
      <c r="IG19">
        <v>100</v>
      </c>
      <c r="IH19">
        <v>0.78500000000000003</v>
      </c>
      <c r="II19">
        <v>1.0987</v>
      </c>
      <c r="IJ19">
        <v>0.64012042436857897</v>
      </c>
      <c r="IK19">
        <v>1.118558698776514E-3</v>
      </c>
      <c r="IL19">
        <v>-1.6939696309573479E-6</v>
      </c>
      <c r="IM19">
        <v>5.4698917449866148E-10</v>
      </c>
      <c r="IN19">
        <v>0.2007520920053141</v>
      </c>
      <c r="IO19">
        <v>-7.6058941998734366E-3</v>
      </c>
      <c r="IP19">
        <v>1.6984902717538061E-3</v>
      </c>
      <c r="IQ19">
        <v>-9.6352527008986976E-6</v>
      </c>
      <c r="IR19">
        <v>2</v>
      </c>
      <c r="IS19">
        <v>2021</v>
      </c>
      <c r="IT19">
        <v>2</v>
      </c>
      <c r="IU19">
        <v>40</v>
      </c>
      <c r="IV19">
        <v>1.9</v>
      </c>
      <c r="IW19">
        <v>1.6</v>
      </c>
      <c r="IX19">
        <v>0.59814500000000004</v>
      </c>
      <c r="IY19">
        <v>2.5122100000000001</v>
      </c>
      <c r="IZ19">
        <v>1.34399</v>
      </c>
      <c r="JA19">
        <v>2.2509800000000002</v>
      </c>
      <c r="JB19">
        <v>1.5918000000000001</v>
      </c>
      <c r="JC19">
        <v>2.3791500000000001</v>
      </c>
      <c r="JD19">
        <v>43.209099999999999</v>
      </c>
      <c r="JE19">
        <v>24.096299999999999</v>
      </c>
      <c r="JF19">
        <v>18</v>
      </c>
      <c r="JG19">
        <v>508.59899999999999</v>
      </c>
      <c r="JH19">
        <v>451.46300000000002</v>
      </c>
      <c r="JI19">
        <v>29.113199999999999</v>
      </c>
      <c r="JJ19">
        <v>26.571300000000001</v>
      </c>
      <c r="JK19">
        <v>30.000399999999999</v>
      </c>
      <c r="JL19">
        <v>26.426600000000001</v>
      </c>
      <c r="JM19">
        <v>26.3644</v>
      </c>
      <c r="JN19">
        <v>12.0624</v>
      </c>
      <c r="JO19">
        <v>27.127500000000001</v>
      </c>
      <c r="JP19">
        <v>99.628799999999998</v>
      </c>
      <c r="JQ19">
        <v>29.103999999999999</v>
      </c>
      <c r="JR19">
        <v>200</v>
      </c>
      <c r="JS19">
        <v>23.906600000000001</v>
      </c>
      <c r="JT19">
        <v>100.184</v>
      </c>
      <c r="JU19">
        <v>98.313699999999997</v>
      </c>
    </row>
    <row r="20" spans="1:281" x14ac:dyDescent="0.25">
      <c r="A20">
        <v>4</v>
      </c>
      <c r="B20">
        <v>1693495343.5999999</v>
      </c>
      <c r="C20">
        <v>417</v>
      </c>
      <c r="D20" t="s">
        <v>435</v>
      </c>
      <c r="E20" t="s">
        <v>436</v>
      </c>
      <c r="F20" t="s">
        <v>413</v>
      </c>
      <c r="G20" t="s">
        <v>414</v>
      </c>
      <c r="H20" t="s">
        <v>415</v>
      </c>
      <c r="I20" t="s">
        <v>31</v>
      </c>
      <c r="J20">
        <v>1693495343.5999999</v>
      </c>
      <c r="K20">
        <f t="shared" si="0"/>
        <v>4.718833215757434E-3</v>
      </c>
      <c r="L20">
        <f t="shared" si="1"/>
        <v>4.7188332157574342</v>
      </c>
      <c r="M20">
        <f t="shared" si="2"/>
        <v>13.889990374914372</v>
      </c>
      <c r="N20">
        <f t="shared" si="3"/>
        <v>102.751</v>
      </c>
      <c r="O20">
        <f t="shared" si="4"/>
        <v>35.582686212070044</v>
      </c>
      <c r="P20">
        <f t="shared" si="5"/>
        <v>3.5503985031611851</v>
      </c>
      <c r="Q20">
        <f t="shared" si="6"/>
        <v>10.2523737084967</v>
      </c>
      <c r="R20">
        <f t="shared" si="7"/>
        <v>0.35823522701323751</v>
      </c>
      <c r="S20">
        <f t="shared" si="8"/>
        <v>2.9326791250465942</v>
      </c>
      <c r="T20">
        <f t="shared" si="9"/>
        <v>0.33557918237164741</v>
      </c>
      <c r="U20">
        <f t="shared" si="10"/>
        <v>0.21165303057149062</v>
      </c>
      <c r="V20">
        <f t="shared" si="11"/>
        <v>344.3864996446078</v>
      </c>
      <c r="W20">
        <f t="shared" si="12"/>
        <v>31.451374824062221</v>
      </c>
      <c r="X20">
        <f t="shared" si="13"/>
        <v>29.941099999999999</v>
      </c>
      <c r="Y20">
        <f t="shared" si="14"/>
        <v>4.2460571877684732</v>
      </c>
      <c r="Z20">
        <f t="shared" si="15"/>
        <v>65.423355393725885</v>
      </c>
      <c r="AA20">
        <f t="shared" si="16"/>
        <v>2.8931867140131997</v>
      </c>
      <c r="AB20">
        <f t="shared" si="17"/>
        <v>4.4222536380190869</v>
      </c>
      <c r="AC20">
        <f t="shared" si="18"/>
        <v>1.3528704737552735</v>
      </c>
      <c r="AD20">
        <f t="shared" si="19"/>
        <v>-208.10054481490283</v>
      </c>
      <c r="AE20">
        <f t="shared" si="20"/>
        <v>112.16081990436015</v>
      </c>
      <c r="AF20">
        <f t="shared" si="21"/>
        <v>8.5287938699034456</v>
      </c>
      <c r="AG20">
        <f t="shared" si="22"/>
        <v>256.97556860396855</v>
      </c>
      <c r="AH20">
        <v>0</v>
      </c>
      <c r="AI20">
        <v>0</v>
      </c>
      <c r="AJ20">
        <f t="shared" si="23"/>
        <v>1</v>
      </c>
      <c r="AK20">
        <f t="shared" si="24"/>
        <v>0</v>
      </c>
      <c r="AL20">
        <f t="shared" si="25"/>
        <v>52323.90675249893</v>
      </c>
      <c r="AM20" t="s">
        <v>416</v>
      </c>
      <c r="AN20">
        <v>10366.9</v>
      </c>
      <c r="AO20">
        <v>993.59653846153856</v>
      </c>
      <c r="AP20">
        <v>3431.87</v>
      </c>
      <c r="AQ20">
        <f t="shared" si="26"/>
        <v>0.71047955241266758</v>
      </c>
      <c r="AR20">
        <v>-3.9894345373445681</v>
      </c>
      <c r="AS20" t="s">
        <v>437</v>
      </c>
      <c r="AT20">
        <v>10356.1</v>
      </c>
      <c r="AU20">
        <v>686.27251999999999</v>
      </c>
      <c r="AV20">
        <v>785.08015333537946</v>
      </c>
      <c r="AW20">
        <f t="shared" si="27"/>
        <v>0.1258567458565848</v>
      </c>
      <c r="AX20">
        <v>0.5</v>
      </c>
      <c r="AY20">
        <f t="shared" si="28"/>
        <v>1513.2602998223038</v>
      </c>
      <c r="AZ20">
        <f t="shared" si="29"/>
        <v>13.889990374914372</v>
      </c>
      <c r="BA20">
        <f t="shared" si="30"/>
        <v>95.227008484797494</v>
      </c>
      <c r="BB20">
        <f t="shared" si="31"/>
        <v>1.1815168160004231E-2</v>
      </c>
      <c r="BC20">
        <f t="shared" si="32"/>
        <v>3.3713625741522653</v>
      </c>
      <c r="BD20">
        <f t="shared" si="33"/>
        <v>502.81230629999021</v>
      </c>
      <c r="BE20" t="s">
        <v>438</v>
      </c>
      <c r="BF20">
        <v>580.99</v>
      </c>
      <c r="BG20">
        <f t="shared" si="34"/>
        <v>580.99</v>
      </c>
      <c r="BH20">
        <f t="shared" si="35"/>
        <v>0.2599609128677004</v>
      </c>
      <c r="BI20">
        <f t="shared" si="36"/>
        <v>0.48413718996530819</v>
      </c>
      <c r="BJ20">
        <f t="shared" si="37"/>
        <v>0.92841152439408892</v>
      </c>
      <c r="BK20">
        <f t="shared" si="38"/>
        <v>-0.4738602833326393</v>
      </c>
      <c r="BL20">
        <f t="shared" si="39"/>
        <v>1.0855180472638997</v>
      </c>
      <c r="BM20">
        <f t="shared" si="40"/>
        <v>0.40986467882750782</v>
      </c>
      <c r="BN20">
        <f t="shared" si="41"/>
        <v>0.59013532117249223</v>
      </c>
      <c r="BO20">
        <v>2155</v>
      </c>
      <c r="BP20">
        <v>290.00000000000011</v>
      </c>
      <c r="BQ20">
        <v>757.41</v>
      </c>
      <c r="BR20">
        <v>265</v>
      </c>
      <c r="BS20">
        <v>10356.1</v>
      </c>
      <c r="BT20">
        <v>757.54</v>
      </c>
      <c r="BU20">
        <v>-0.13</v>
      </c>
      <c r="BV20">
        <v>300.00000000000011</v>
      </c>
      <c r="BW20">
        <v>38.4</v>
      </c>
      <c r="BX20">
        <v>785.08015333537946</v>
      </c>
      <c r="BY20">
        <v>1.099654839110181</v>
      </c>
      <c r="BZ20">
        <v>-28.522418076600449</v>
      </c>
      <c r="CA20">
        <v>0.93282888151175258</v>
      </c>
      <c r="CB20">
        <v>0.97092140673770877</v>
      </c>
      <c r="CC20">
        <v>-1.1276695216907681E-2</v>
      </c>
      <c r="CD20">
        <v>289.99999999999989</v>
      </c>
      <c r="CE20">
        <v>755.53</v>
      </c>
      <c r="CF20">
        <v>765</v>
      </c>
      <c r="CG20">
        <v>10336.200000000001</v>
      </c>
      <c r="CH20">
        <v>757.49</v>
      </c>
      <c r="CI20">
        <v>-1.96</v>
      </c>
      <c r="CW20">
        <f t="shared" si="42"/>
        <v>1800.09</v>
      </c>
      <c r="CX20">
        <f t="shared" si="43"/>
        <v>1513.2602998223038</v>
      </c>
      <c r="CY20">
        <f t="shared" si="44"/>
        <v>0.84065813366126352</v>
      </c>
      <c r="CZ20">
        <f t="shared" si="45"/>
        <v>0.1913162673225271</v>
      </c>
      <c r="DA20">
        <v>6</v>
      </c>
      <c r="DB20">
        <v>0.5</v>
      </c>
      <c r="DC20" t="s">
        <v>419</v>
      </c>
      <c r="DD20">
        <v>2</v>
      </c>
      <c r="DE20">
        <v>1693495343.5999999</v>
      </c>
      <c r="DF20">
        <v>102.751</v>
      </c>
      <c r="DG20">
        <v>120.003</v>
      </c>
      <c r="DH20">
        <v>28.995999999999999</v>
      </c>
      <c r="DI20">
        <v>23.4969</v>
      </c>
      <c r="DJ20">
        <v>101.874</v>
      </c>
      <c r="DK20">
        <v>27.921199999999999</v>
      </c>
      <c r="DL20">
        <v>499.93700000000001</v>
      </c>
      <c r="DM20">
        <v>99.680099999999996</v>
      </c>
      <c r="DN20">
        <v>9.8721699999999996E-2</v>
      </c>
      <c r="DO20">
        <v>30.650500000000001</v>
      </c>
      <c r="DP20">
        <v>29.941099999999999</v>
      </c>
      <c r="DQ20">
        <v>999.9</v>
      </c>
      <c r="DR20">
        <v>0</v>
      </c>
      <c r="DS20">
        <v>0</v>
      </c>
      <c r="DT20">
        <v>10050</v>
      </c>
      <c r="DU20">
        <v>0</v>
      </c>
      <c r="DV20">
        <v>1084.68</v>
      </c>
      <c r="DW20">
        <v>-17.252199999999998</v>
      </c>
      <c r="DX20">
        <v>105.819</v>
      </c>
      <c r="DY20">
        <v>122.89100000000001</v>
      </c>
      <c r="DZ20">
        <v>5.4990500000000004</v>
      </c>
      <c r="EA20">
        <v>120.003</v>
      </c>
      <c r="EB20">
        <v>23.4969</v>
      </c>
      <c r="EC20">
        <v>2.89032</v>
      </c>
      <c r="ED20">
        <v>2.3421699999999999</v>
      </c>
      <c r="EE20">
        <v>23.409199999999998</v>
      </c>
      <c r="EF20">
        <v>19.9694</v>
      </c>
      <c r="EG20">
        <v>1800.09</v>
      </c>
      <c r="EH20">
        <v>0.97800299999999996</v>
      </c>
      <c r="EI20">
        <v>2.1996700000000001E-2</v>
      </c>
      <c r="EJ20">
        <v>0</v>
      </c>
      <c r="EK20">
        <v>686.26199999999994</v>
      </c>
      <c r="EL20">
        <v>5.0002700000000004</v>
      </c>
      <c r="EM20">
        <v>13097.8</v>
      </c>
      <c r="EN20">
        <v>16249.4</v>
      </c>
      <c r="EO20">
        <v>45.5</v>
      </c>
      <c r="EP20">
        <v>46.625</v>
      </c>
      <c r="EQ20">
        <v>46.5</v>
      </c>
      <c r="ER20">
        <v>46.186999999999998</v>
      </c>
      <c r="ES20">
        <v>47.311999999999998</v>
      </c>
      <c r="ET20">
        <v>1755.6</v>
      </c>
      <c r="EU20">
        <v>39.49</v>
      </c>
      <c r="EV20">
        <v>0</v>
      </c>
      <c r="EW20">
        <v>120.6000001430511</v>
      </c>
      <c r="EX20">
        <v>0</v>
      </c>
      <c r="EY20">
        <v>686.27251999999999</v>
      </c>
      <c r="EZ20">
        <v>-1.5260769231407949</v>
      </c>
      <c r="FA20">
        <v>-80.369230766267535</v>
      </c>
      <c r="FB20">
        <v>13103.308000000001</v>
      </c>
      <c r="FC20">
        <v>15</v>
      </c>
      <c r="FD20">
        <v>1693495312.0999999</v>
      </c>
      <c r="FE20" t="s">
        <v>439</v>
      </c>
      <c r="FF20">
        <v>1693495292.5999999</v>
      </c>
      <c r="FG20">
        <v>1693495312.0999999</v>
      </c>
      <c r="FH20">
        <v>6</v>
      </c>
      <c r="FI20">
        <v>0.14000000000000001</v>
      </c>
      <c r="FJ20">
        <v>-2.8000000000000001E-2</v>
      </c>
      <c r="FK20">
        <v>0.89</v>
      </c>
      <c r="FL20">
        <v>0.78100000000000003</v>
      </c>
      <c r="FM20">
        <v>120</v>
      </c>
      <c r="FN20">
        <v>24</v>
      </c>
      <c r="FO20">
        <v>0.25</v>
      </c>
      <c r="FP20">
        <v>0.06</v>
      </c>
      <c r="FQ20">
        <v>13.75758309667658</v>
      </c>
      <c r="FR20">
        <v>0.61785177440124561</v>
      </c>
      <c r="FS20">
        <v>6.9138865426631571E-2</v>
      </c>
      <c r="FT20">
        <v>1</v>
      </c>
      <c r="FU20">
        <v>0.35723563453357071</v>
      </c>
      <c r="FV20">
        <v>3.7063981728079051E-2</v>
      </c>
      <c r="FW20">
        <v>4.3131600805510128E-3</v>
      </c>
      <c r="FX20">
        <v>1</v>
      </c>
      <c r="FY20">
        <v>2</v>
      </c>
      <c r="FZ20">
        <v>2</v>
      </c>
      <c r="GA20" t="s">
        <v>421</v>
      </c>
      <c r="GB20">
        <v>3.1182799999999999</v>
      </c>
      <c r="GC20">
        <v>2.8643100000000001</v>
      </c>
      <c r="GD20">
        <v>2.8388500000000001E-2</v>
      </c>
      <c r="GE20">
        <v>3.4155499999999998E-2</v>
      </c>
      <c r="GF20">
        <v>0.13128400000000001</v>
      </c>
      <c r="GG20">
        <v>0.119148</v>
      </c>
      <c r="GH20">
        <v>29630.1</v>
      </c>
      <c r="GI20">
        <v>22719.3</v>
      </c>
      <c r="GJ20">
        <v>29379.200000000001</v>
      </c>
      <c r="GK20">
        <v>21912</v>
      </c>
      <c r="GL20">
        <v>34124.699999999997</v>
      </c>
      <c r="GM20">
        <v>26521.3</v>
      </c>
      <c r="GN20">
        <v>40772.800000000003</v>
      </c>
      <c r="GO20">
        <v>31107.4</v>
      </c>
      <c r="GP20">
        <v>2.0737000000000001</v>
      </c>
      <c r="GQ20">
        <v>1.9202999999999999</v>
      </c>
      <c r="GR20">
        <v>0.12651100000000001</v>
      </c>
      <c r="GS20">
        <v>0</v>
      </c>
      <c r="GT20">
        <v>27.878599999999999</v>
      </c>
      <c r="GU20">
        <v>999.9</v>
      </c>
      <c r="GV20">
        <v>50.7</v>
      </c>
      <c r="GW20">
        <v>35.9</v>
      </c>
      <c r="GX20">
        <v>30.192900000000002</v>
      </c>
      <c r="GY20">
        <v>62.167499999999997</v>
      </c>
      <c r="GZ20">
        <v>13.762</v>
      </c>
      <c r="HA20">
        <v>1</v>
      </c>
      <c r="HB20">
        <v>-6.3485799999999995E-2</v>
      </c>
      <c r="HC20">
        <v>-1.3612200000000001</v>
      </c>
      <c r="HD20">
        <v>20.2697</v>
      </c>
      <c r="HE20">
        <v>5.22987</v>
      </c>
      <c r="HF20">
        <v>11.968</v>
      </c>
      <c r="HG20">
        <v>4.9733999999999998</v>
      </c>
      <c r="HH20">
        <v>3.282</v>
      </c>
      <c r="HI20">
        <v>9999</v>
      </c>
      <c r="HJ20">
        <v>9999</v>
      </c>
      <c r="HK20">
        <v>9999</v>
      </c>
      <c r="HL20">
        <v>999.9</v>
      </c>
      <c r="HM20">
        <v>1.8613200000000001</v>
      </c>
      <c r="HN20">
        <v>1.8629599999999999</v>
      </c>
      <c r="HO20">
        <v>1.8683000000000001</v>
      </c>
      <c r="HP20">
        <v>1.8589899999999999</v>
      </c>
      <c r="HQ20">
        <v>1.85737</v>
      </c>
      <c r="HR20">
        <v>1.86111</v>
      </c>
      <c r="HS20">
        <v>1.8649500000000001</v>
      </c>
      <c r="HT20">
        <v>1.8670100000000001</v>
      </c>
      <c r="HU20">
        <v>5</v>
      </c>
      <c r="HV20">
        <v>0</v>
      </c>
      <c r="HW20">
        <v>0</v>
      </c>
      <c r="HX20">
        <v>0</v>
      </c>
      <c r="HY20" t="s">
        <v>422</v>
      </c>
      <c r="HZ20" t="s">
        <v>423</v>
      </c>
      <c r="IA20" t="s">
        <v>424</v>
      </c>
      <c r="IB20" t="s">
        <v>424</v>
      </c>
      <c r="IC20" t="s">
        <v>424</v>
      </c>
      <c r="ID20" t="s">
        <v>424</v>
      </c>
      <c r="IE20">
        <v>0</v>
      </c>
      <c r="IF20">
        <v>100</v>
      </c>
      <c r="IG20">
        <v>100</v>
      </c>
      <c r="IH20">
        <v>0.877</v>
      </c>
      <c r="II20">
        <v>1.0748</v>
      </c>
      <c r="IJ20">
        <v>0.78017047442315746</v>
      </c>
      <c r="IK20">
        <v>1.118558698776514E-3</v>
      </c>
      <c r="IL20">
        <v>-1.6939696309573479E-6</v>
      </c>
      <c r="IM20">
        <v>5.4698917449866148E-10</v>
      </c>
      <c r="IN20">
        <v>0.17270050098718939</v>
      </c>
      <c r="IO20">
        <v>-7.6058941998734366E-3</v>
      </c>
      <c r="IP20">
        <v>1.6984902717538061E-3</v>
      </c>
      <c r="IQ20">
        <v>-9.6352527008986976E-6</v>
      </c>
      <c r="IR20">
        <v>2</v>
      </c>
      <c r="IS20">
        <v>2021</v>
      </c>
      <c r="IT20">
        <v>2</v>
      </c>
      <c r="IU20">
        <v>40</v>
      </c>
      <c r="IV20">
        <v>0.8</v>
      </c>
      <c r="IW20">
        <v>0.5</v>
      </c>
      <c r="IX20">
        <v>0.41870099999999999</v>
      </c>
      <c r="IY20">
        <v>2.5354000000000001</v>
      </c>
      <c r="IZ20">
        <v>1.34399</v>
      </c>
      <c r="JA20">
        <v>2.2497600000000002</v>
      </c>
      <c r="JB20">
        <v>1.5918000000000001</v>
      </c>
      <c r="JC20">
        <v>2.33521</v>
      </c>
      <c r="JD20">
        <v>43.371899999999997</v>
      </c>
      <c r="JE20">
        <v>24.087499999999999</v>
      </c>
      <c r="JF20">
        <v>18</v>
      </c>
      <c r="JG20">
        <v>507.83600000000001</v>
      </c>
      <c r="JH20">
        <v>448.71600000000001</v>
      </c>
      <c r="JI20">
        <v>29.5442</v>
      </c>
      <c r="JJ20">
        <v>26.650700000000001</v>
      </c>
      <c r="JK20">
        <v>30.000499999999999</v>
      </c>
      <c r="JL20">
        <v>26.491900000000001</v>
      </c>
      <c r="JM20">
        <v>26.424299999999999</v>
      </c>
      <c r="JN20">
        <v>8.4456500000000005</v>
      </c>
      <c r="JO20">
        <v>29.616599999999998</v>
      </c>
      <c r="JP20">
        <v>99.618300000000005</v>
      </c>
      <c r="JQ20">
        <v>29.571200000000001</v>
      </c>
      <c r="JR20">
        <v>120</v>
      </c>
      <c r="JS20">
        <v>23.424099999999999</v>
      </c>
      <c r="JT20">
        <v>100.17</v>
      </c>
      <c r="JU20">
        <v>98.3155</v>
      </c>
    </row>
    <row r="21" spans="1:281" x14ac:dyDescent="0.25">
      <c r="A21">
        <v>5</v>
      </c>
      <c r="B21">
        <v>1693495459.5999999</v>
      </c>
      <c r="C21">
        <v>533</v>
      </c>
      <c r="D21" t="s">
        <v>440</v>
      </c>
      <c r="E21" t="s">
        <v>441</v>
      </c>
      <c r="F21" t="s">
        <v>413</v>
      </c>
      <c r="G21" t="s">
        <v>414</v>
      </c>
      <c r="H21" t="s">
        <v>415</v>
      </c>
      <c r="I21" t="s">
        <v>31</v>
      </c>
      <c r="J21">
        <v>1693495459.5999999</v>
      </c>
      <c r="K21">
        <f t="shared" si="0"/>
        <v>5.062858122840479E-3</v>
      </c>
      <c r="L21">
        <f t="shared" si="1"/>
        <v>5.0628581228404794</v>
      </c>
      <c r="M21">
        <f t="shared" si="2"/>
        <v>8.6347921674448056</v>
      </c>
      <c r="N21">
        <f t="shared" si="3"/>
        <v>59.241</v>
      </c>
      <c r="O21">
        <f t="shared" si="4"/>
        <v>20.369919340171347</v>
      </c>
      <c r="P21">
        <f t="shared" si="5"/>
        <v>2.032442475491862</v>
      </c>
      <c r="Q21">
        <f t="shared" si="6"/>
        <v>5.9108689965779995</v>
      </c>
      <c r="R21">
        <f t="shared" si="7"/>
        <v>0.3864386355236577</v>
      </c>
      <c r="S21">
        <f t="shared" si="8"/>
        <v>2.9286866816945829</v>
      </c>
      <c r="T21">
        <f t="shared" si="9"/>
        <v>0.36018168642413162</v>
      </c>
      <c r="U21">
        <f t="shared" si="10"/>
        <v>0.22732379476654996</v>
      </c>
      <c r="V21">
        <f t="shared" si="11"/>
        <v>344.39029964461179</v>
      </c>
      <c r="W21">
        <f t="shared" si="12"/>
        <v>31.498776449531089</v>
      </c>
      <c r="X21">
        <f t="shared" si="13"/>
        <v>30.025099999999998</v>
      </c>
      <c r="Y21">
        <f t="shared" si="14"/>
        <v>4.2665960228790265</v>
      </c>
      <c r="Z21">
        <f t="shared" si="15"/>
        <v>65.397781074660642</v>
      </c>
      <c r="AA21">
        <f t="shared" si="16"/>
        <v>2.9145659791721994</v>
      </c>
      <c r="AB21">
        <f t="shared" si="17"/>
        <v>4.4566741122987308</v>
      </c>
      <c r="AC21">
        <f t="shared" si="18"/>
        <v>1.3520300437068271</v>
      </c>
      <c r="AD21">
        <f t="shared" si="19"/>
        <v>-223.27204321726512</v>
      </c>
      <c r="AE21">
        <f t="shared" si="20"/>
        <v>120.17111134349624</v>
      </c>
      <c r="AF21">
        <f t="shared" si="21"/>
        <v>9.1603074048721229</v>
      </c>
      <c r="AG21">
        <f t="shared" si="22"/>
        <v>250.44967517571502</v>
      </c>
      <c r="AH21">
        <v>0</v>
      </c>
      <c r="AI21">
        <v>0</v>
      </c>
      <c r="AJ21">
        <f t="shared" si="23"/>
        <v>1</v>
      </c>
      <c r="AK21">
        <f t="shared" si="24"/>
        <v>0</v>
      </c>
      <c r="AL21">
        <f t="shared" si="25"/>
        <v>52186.552576221649</v>
      </c>
      <c r="AM21" t="s">
        <v>416</v>
      </c>
      <c r="AN21">
        <v>10366.9</v>
      </c>
      <c r="AO21">
        <v>993.59653846153856</v>
      </c>
      <c r="AP21">
        <v>3431.87</v>
      </c>
      <c r="AQ21">
        <f t="shared" si="26"/>
        <v>0.71047955241266758</v>
      </c>
      <c r="AR21">
        <v>-3.9894345373445681</v>
      </c>
      <c r="AS21" t="s">
        <v>442</v>
      </c>
      <c r="AT21">
        <v>10354.9</v>
      </c>
      <c r="AU21">
        <v>691.05257692307691</v>
      </c>
      <c r="AV21">
        <v>765.09259401972236</v>
      </c>
      <c r="AW21">
        <f t="shared" si="27"/>
        <v>9.6772622915674011E-2</v>
      </c>
      <c r="AX21">
        <v>0.5</v>
      </c>
      <c r="AY21">
        <f t="shared" si="28"/>
        <v>1513.2770998223057</v>
      </c>
      <c r="AZ21">
        <f t="shared" si="29"/>
        <v>8.6347921674448056</v>
      </c>
      <c r="BA21">
        <f t="shared" si="30"/>
        <v>73.221897074014379</v>
      </c>
      <c r="BB21">
        <f t="shared" si="31"/>
        <v>8.3423100146508226E-3</v>
      </c>
      <c r="BC21">
        <f t="shared" si="32"/>
        <v>3.4855616520469601</v>
      </c>
      <c r="BD21">
        <f t="shared" si="33"/>
        <v>494.5378924044461</v>
      </c>
      <c r="BE21" t="s">
        <v>443</v>
      </c>
      <c r="BF21">
        <v>595.53</v>
      </c>
      <c r="BG21">
        <f t="shared" si="34"/>
        <v>595.53</v>
      </c>
      <c r="BH21">
        <f t="shared" si="35"/>
        <v>0.2216236248332466</v>
      </c>
      <c r="BI21">
        <f t="shared" si="36"/>
        <v>0.43665301020361602</v>
      </c>
      <c r="BJ21">
        <f t="shared" si="37"/>
        <v>0.94021781802614557</v>
      </c>
      <c r="BK21">
        <f t="shared" si="38"/>
        <v>-0.32402073967479456</v>
      </c>
      <c r="BL21">
        <f t="shared" si="39"/>
        <v>1.093715470412264</v>
      </c>
      <c r="BM21">
        <f t="shared" si="40"/>
        <v>0.37629548872300239</v>
      </c>
      <c r="BN21">
        <f t="shared" si="41"/>
        <v>0.62370451127699766</v>
      </c>
      <c r="BO21">
        <v>2157</v>
      </c>
      <c r="BP21">
        <v>290.00000000000011</v>
      </c>
      <c r="BQ21">
        <v>745.05</v>
      </c>
      <c r="BR21">
        <v>275</v>
      </c>
      <c r="BS21">
        <v>10354.9</v>
      </c>
      <c r="BT21">
        <v>744.77</v>
      </c>
      <c r="BU21">
        <v>0.28000000000000003</v>
      </c>
      <c r="BV21">
        <v>300.00000000000011</v>
      </c>
      <c r="BW21">
        <v>38.4</v>
      </c>
      <c r="BX21">
        <v>765.09259401972236</v>
      </c>
      <c r="BY21">
        <v>0.8831928078381085</v>
      </c>
      <c r="BZ21">
        <v>-21.039457460016369</v>
      </c>
      <c r="CA21">
        <v>0.7491995118659367</v>
      </c>
      <c r="CB21">
        <v>0.96571280787065028</v>
      </c>
      <c r="CC21">
        <v>-1.127662224694106E-2</v>
      </c>
      <c r="CD21">
        <v>289.99999999999989</v>
      </c>
      <c r="CE21">
        <v>742.48</v>
      </c>
      <c r="CF21">
        <v>675</v>
      </c>
      <c r="CG21">
        <v>10342.799999999999</v>
      </c>
      <c r="CH21">
        <v>744.75</v>
      </c>
      <c r="CI21">
        <v>-2.27</v>
      </c>
      <c r="CW21">
        <f t="shared" si="42"/>
        <v>1800.11</v>
      </c>
      <c r="CX21">
        <f t="shared" si="43"/>
        <v>1513.2770998223057</v>
      </c>
      <c r="CY21">
        <f t="shared" si="44"/>
        <v>0.84065812634911519</v>
      </c>
      <c r="CZ21">
        <f t="shared" si="45"/>
        <v>0.19131625269823055</v>
      </c>
      <c r="DA21">
        <v>6</v>
      </c>
      <c r="DB21">
        <v>0.5</v>
      </c>
      <c r="DC21" t="s">
        <v>419</v>
      </c>
      <c r="DD21">
        <v>2</v>
      </c>
      <c r="DE21">
        <v>1693495459.5999999</v>
      </c>
      <c r="DF21">
        <v>59.241</v>
      </c>
      <c r="DG21">
        <v>69.961100000000002</v>
      </c>
      <c r="DH21">
        <v>29.210899999999999</v>
      </c>
      <c r="DI21">
        <v>23.313800000000001</v>
      </c>
      <c r="DJ21">
        <v>58.313200000000002</v>
      </c>
      <c r="DK21">
        <v>28.1434</v>
      </c>
      <c r="DL21">
        <v>500.07299999999998</v>
      </c>
      <c r="DM21">
        <v>99.676699999999997</v>
      </c>
      <c r="DN21">
        <v>9.9958000000000005E-2</v>
      </c>
      <c r="DO21">
        <v>30.786200000000001</v>
      </c>
      <c r="DP21">
        <v>30.025099999999998</v>
      </c>
      <c r="DQ21">
        <v>999.9</v>
      </c>
      <c r="DR21">
        <v>0</v>
      </c>
      <c r="DS21">
        <v>0</v>
      </c>
      <c r="DT21">
        <v>10027.5</v>
      </c>
      <c r="DU21">
        <v>0</v>
      </c>
      <c r="DV21">
        <v>1100.8399999999999</v>
      </c>
      <c r="DW21">
        <v>-10.7201</v>
      </c>
      <c r="DX21">
        <v>61.023499999999999</v>
      </c>
      <c r="DY21">
        <v>71.631</v>
      </c>
      <c r="DZ21">
        <v>5.8971400000000003</v>
      </c>
      <c r="EA21">
        <v>69.961100000000002</v>
      </c>
      <c r="EB21">
        <v>23.313800000000001</v>
      </c>
      <c r="EC21">
        <v>2.9116499999999998</v>
      </c>
      <c r="ED21">
        <v>2.3238400000000001</v>
      </c>
      <c r="EE21">
        <v>23.531099999999999</v>
      </c>
      <c r="EF21">
        <v>19.842600000000001</v>
      </c>
      <c r="EG21">
        <v>1800.11</v>
      </c>
      <c r="EH21">
        <v>0.97800299999999996</v>
      </c>
      <c r="EI21">
        <v>2.1996700000000001E-2</v>
      </c>
      <c r="EJ21">
        <v>0</v>
      </c>
      <c r="EK21">
        <v>690.47799999999995</v>
      </c>
      <c r="EL21">
        <v>5.0002700000000004</v>
      </c>
      <c r="EM21">
        <v>13184.9</v>
      </c>
      <c r="EN21">
        <v>16249.6</v>
      </c>
      <c r="EO21">
        <v>45.561999999999998</v>
      </c>
      <c r="EP21">
        <v>46.561999999999998</v>
      </c>
      <c r="EQ21">
        <v>46.5</v>
      </c>
      <c r="ER21">
        <v>46.186999999999998</v>
      </c>
      <c r="ES21">
        <v>47.311999999999998</v>
      </c>
      <c r="ET21">
        <v>1755.62</v>
      </c>
      <c r="EU21">
        <v>39.49</v>
      </c>
      <c r="EV21">
        <v>0</v>
      </c>
      <c r="EW21">
        <v>114.2000000476837</v>
      </c>
      <c r="EX21">
        <v>0</v>
      </c>
      <c r="EY21">
        <v>691.05257692307691</v>
      </c>
      <c r="EZ21">
        <v>-2.2354530025653019</v>
      </c>
      <c r="FA21">
        <v>-52.010256240077801</v>
      </c>
      <c r="FB21">
        <v>13188.05769230769</v>
      </c>
      <c r="FC21">
        <v>15</v>
      </c>
      <c r="FD21">
        <v>1693495426.0999999</v>
      </c>
      <c r="FE21" t="s">
        <v>444</v>
      </c>
      <c r="FF21">
        <v>1693495405.0999999</v>
      </c>
      <c r="FG21">
        <v>1693495426.0999999</v>
      </c>
      <c r="FH21">
        <v>7</v>
      </c>
      <c r="FI21">
        <v>8.7999999999999995E-2</v>
      </c>
      <c r="FJ21">
        <v>-2.1999999999999999E-2</v>
      </c>
      <c r="FK21">
        <v>0.93799999999999994</v>
      </c>
      <c r="FL21">
        <v>0.73599999999999999</v>
      </c>
      <c r="FM21">
        <v>70</v>
      </c>
      <c r="FN21">
        <v>23</v>
      </c>
      <c r="FO21">
        <v>0.35</v>
      </c>
      <c r="FP21">
        <v>0.02</v>
      </c>
      <c r="FQ21">
        <v>8.6333678862043772</v>
      </c>
      <c r="FR21">
        <v>0.48037395920161391</v>
      </c>
      <c r="FS21">
        <v>5.9353864559910187E-2</v>
      </c>
      <c r="FT21">
        <v>1</v>
      </c>
      <c r="FU21">
        <v>0.38609281363335879</v>
      </c>
      <c r="FV21">
        <v>3.2794315548699042E-2</v>
      </c>
      <c r="FW21">
        <v>3.3374724623635062E-3</v>
      </c>
      <c r="FX21">
        <v>1</v>
      </c>
      <c r="FY21">
        <v>2</v>
      </c>
      <c r="FZ21">
        <v>2</v>
      </c>
      <c r="GA21" t="s">
        <v>421</v>
      </c>
      <c r="GB21">
        <v>3.1183900000000002</v>
      </c>
      <c r="GC21">
        <v>2.8653599999999999</v>
      </c>
      <c r="GD21">
        <v>1.6493399999999998E-2</v>
      </c>
      <c r="GE21">
        <v>2.03191E-2</v>
      </c>
      <c r="GF21">
        <v>0.131997</v>
      </c>
      <c r="GG21">
        <v>0.118488</v>
      </c>
      <c r="GH21">
        <v>29990.1</v>
      </c>
      <c r="GI21">
        <v>23045.9</v>
      </c>
      <c r="GJ21">
        <v>29376.5</v>
      </c>
      <c r="GK21">
        <v>21913</v>
      </c>
      <c r="GL21">
        <v>34091.1</v>
      </c>
      <c r="GM21">
        <v>26541.200000000001</v>
      </c>
      <c r="GN21">
        <v>40768.9</v>
      </c>
      <c r="GO21">
        <v>31108.7</v>
      </c>
      <c r="GP21">
        <v>2.0739999999999998</v>
      </c>
      <c r="GQ21">
        <v>1.9169</v>
      </c>
      <c r="GR21">
        <v>0.13428899999999999</v>
      </c>
      <c r="GS21">
        <v>0</v>
      </c>
      <c r="GT21">
        <v>27.835899999999999</v>
      </c>
      <c r="GU21">
        <v>999.9</v>
      </c>
      <c r="GV21">
        <v>50.3</v>
      </c>
      <c r="GW21">
        <v>36.200000000000003</v>
      </c>
      <c r="GX21">
        <v>30.451899999999998</v>
      </c>
      <c r="GY21">
        <v>62.177500000000002</v>
      </c>
      <c r="GZ21">
        <v>13.489599999999999</v>
      </c>
      <c r="HA21">
        <v>1</v>
      </c>
      <c r="HB21">
        <v>-6.0853699999999997E-2</v>
      </c>
      <c r="HC21">
        <v>-1.2290399999999999</v>
      </c>
      <c r="HD21">
        <v>20.271799999999999</v>
      </c>
      <c r="HE21">
        <v>5.2346599999999999</v>
      </c>
      <c r="HF21">
        <v>11.968</v>
      </c>
      <c r="HG21">
        <v>4.9736000000000002</v>
      </c>
      <c r="HH21">
        <v>3.2829999999999999</v>
      </c>
      <c r="HI21">
        <v>9999</v>
      </c>
      <c r="HJ21">
        <v>9999</v>
      </c>
      <c r="HK21">
        <v>9999</v>
      </c>
      <c r="HL21">
        <v>999.9</v>
      </c>
      <c r="HM21">
        <v>1.86128</v>
      </c>
      <c r="HN21">
        <v>1.8629800000000001</v>
      </c>
      <c r="HO21">
        <v>1.86832</v>
      </c>
      <c r="HP21">
        <v>1.8590100000000001</v>
      </c>
      <c r="HQ21">
        <v>1.8574200000000001</v>
      </c>
      <c r="HR21">
        <v>1.86111</v>
      </c>
      <c r="HS21">
        <v>1.86493</v>
      </c>
      <c r="HT21">
        <v>1.8670199999999999</v>
      </c>
      <c r="HU21">
        <v>5</v>
      </c>
      <c r="HV21">
        <v>0</v>
      </c>
      <c r="HW21">
        <v>0</v>
      </c>
      <c r="HX21">
        <v>0</v>
      </c>
      <c r="HY21" t="s">
        <v>422</v>
      </c>
      <c r="HZ21" t="s">
        <v>423</v>
      </c>
      <c r="IA21" t="s">
        <v>424</v>
      </c>
      <c r="IB21" t="s">
        <v>424</v>
      </c>
      <c r="IC21" t="s">
        <v>424</v>
      </c>
      <c r="ID21" t="s">
        <v>424</v>
      </c>
      <c r="IE21">
        <v>0</v>
      </c>
      <c r="IF21">
        <v>100</v>
      </c>
      <c r="IG21">
        <v>100</v>
      </c>
      <c r="IH21">
        <v>0.92800000000000005</v>
      </c>
      <c r="II21">
        <v>1.0674999999999999</v>
      </c>
      <c r="IJ21">
        <v>0.86820885483590704</v>
      </c>
      <c r="IK21">
        <v>1.118558698776514E-3</v>
      </c>
      <c r="IL21">
        <v>-1.6939696309573479E-6</v>
      </c>
      <c r="IM21">
        <v>5.4698917449866148E-10</v>
      </c>
      <c r="IN21">
        <v>0.15102008269895839</v>
      </c>
      <c r="IO21">
        <v>-7.6058941998734366E-3</v>
      </c>
      <c r="IP21">
        <v>1.6984902717538061E-3</v>
      </c>
      <c r="IQ21">
        <v>-9.6352527008986976E-6</v>
      </c>
      <c r="IR21">
        <v>2</v>
      </c>
      <c r="IS21">
        <v>2021</v>
      </c>
      <c r="IT21">
        <v>2</v>
      </c>
      <c r="IU21">
        <v>40</v>
      </c>
      <c r="IV21">
        <v>0.9</v>
      </c>
      <c r="IW21">
        <v>0.6</v>
      </c>
      <c r="IX21">
        <v>0.30395499999999998</v>
      </c>
      <c r="IY21">
        <v>2.5415000000000001</v>
      </c>
      <c r="IZ21">
        <v>1.34399</v>
      </c>
      <c r="JA21">
        <v>2.2485400000000002</v>
      </c>
      <c r="JB21">
        <v>1.5918000000000001</v>
      </c>
      <c r="JC21">
        <v>2.49878</v>
      </c>
      <c r="JD21">
        <v>43.480800000000002</v>
      </c>
      <c r="JE21">
        <v>24.096299999999999</v>
      </c>
      <c r="JF21">
        <v>18</v>
      </c>
      <c r="JG21">
        <v>508.41300000000001</v>
      </c>
      <c r="JH21">
        <v>446.87</v>
      </c>
      <c r="JI21">
        <v>29.7178</v>
      </c>
      <c r="JJ21">
        <v>26.686800000000002</v>
      </c>
      <c r="JK21">
        <v>30</v>
      </c>
      <c r="JL21">
        <v>26.532</v>
      </c>
      <c r="JM21">
        <v>26.4621</v>
      </c>
      <c r="JN21">
        <v>6.1669499999999999</v>
      </c>
      <c r="JO21">
        <v>30.665900000000001</v>
      </c>
      <c r="JP21">
        <v>99.257000000000005</v>
      </c>
      <c r="JQ21">
        <v>29.716899999999999</v>
      </c>
      <c r="JR21">
        <v>70</v>
      </c>
      <c r="JS21">
        <v>23.1983</v>
      </c>
      <c r="JT21">
        <v>100.161</v>
      </c>
      <c r="JU21">
        <v>98.319800000000001</v>
      </c>
    </row>
    <row r="22" spans="1:281" x14ac:dyDescent="0.25">
      <c r="A22">
        <v>6</v>
      </c>
      <c r="B22">
        <v>1693495575.5999999</v>
      </c>
      <c r="C22">
        <v>649</v>
      </c>
      <c r="D22" t="s">
        <v>445</v>
      </c>
      <c r="E22" t="s">
        <v>446</v>
      </c>
      <c r="F22" t="s">
        <v>413</v>
      </c>
      <c r="G22" t="s">
        <v>414</v>
      </c>
      <c r="H22" t="s">
        <v>415</v>
      </c>
      <c r="I22" t="s">
        <v>31</v>
      </c>
      <c r="J22">
        <v>1693495575.5999999</v>
      </c>
      <c r="K22">
        <f t="shared" si="0"/>
        <v>5.5115938049909146E-3</v>
      </c>
      <c r="L22">
        <f t="shared" si="1"/>
        <v>5.5115938049909143</v>
      </c>
      <c r="M22">
        <f t="shared" si="2"/>
        <v>3.7594681059159227</v>
      </c>
      <c r="N22">
        <f t="shared" si="3"/>
        <v>25.320799999999998</v>
      </c>
      <c r="O22">
        <f t="shared" si="4"/>
        <v>9.7266022980004596</v>
      </c>
      <c r="P22">
        <f t="shared" si="5"/>
        <v>0.97044686363431754</v>
      </c>
      <c r="Q22">
        <f t="shared" si="6"/>
        <v>2.5263180493935997</v>
      </c>
      <c r="R22">
        <f t="shared" si="7"/>
        <v>0.42267268802543367</v>
      </c>
      <c r="S22">
        <f t="shared" si="8"/>
        <v>2.927311155768856</v>
      </c>
      <c r="T22">
        <f t="shared" si="9"/>
        <v>0.39146052257702735</v>
      </c>
      <c r="U22">
        <f t="shared" si="10"/>
        <v>0.24727476862210285</v>
      </c>
      <c r="V22">
        <f t="shared" si="11"/>
        <v>344.32759964454664</v>
      </c>
      <c r="W22">
        <f t="shared" si="12"/>
        <v>31.408030526687384</v>
      </c>
      <c r="X22">
        <f t="shared" si="13"/>
        <v>30.0425</v>
      </c>
      <c r="Y22">
        <f t="shared" si="14"/>
        <v>4.2708613039850576</v>
      </c>
      <c r="Z22">
        <f t="shared" si="15"/>
        <v>65.349490963121454</v>
      </c>
      <c r="AA22">
        <f t="shared" si="16"/>
        <v>2.9167076604512001</v>
      </c>
      <c r="AB22">
        <f t="shared" si="17"/>
        <v>4.4632446518935858</v>
      </c>
      <c r="AC22">
        <f t="shared" si="18"/>
        <v>1.3541536435338575</v>
      </c>
      <c r="AD22">
        <f t="shared" si="19"/>
        <v>-243.06128680009934</v>
      </c>
      <c r="AE22">
        <f t="shared" si="20"/>
        <v>121.44033465343936</v>
      </c>
      <c r="AF22">
        <f t="shared" si="21"/>
        <v>9.2633850512942715</v>
      </c>
      <c r="AG22">
        <f t="shared" si="22"/>
        <v>231.97003254918093</v>
      </c>
      <c r="AH22">
        <v>0</v>
      </c>
      <c r="AI22">
        <v>0</v>
      </c>
      <c r="AJ22">
        <f t="shared" si="23"/>
        <v>1</v>
      </c>
      <c r="AK22">
        <f t="shared" si="24"/>
        <v>0</v>
      </c>
      <c r="AL22">
        <f t="shared" si="25"/>
        <v>52142.825224815257</v>
      </c>
      <c r="AM22" t="s">
        <v>416</v>
      </c>
      <c r="AN22">
        <v>10366.9</v>
      </c>
      <c r="AO22">
        <v>993.59653846153856</v>
      </c>
      <c r="AP22">
        <v>3431.87</v>
      </c>
      <c r="AQ22">
        <f t="shared" si="26"/>
        <v>0.71047955241266758</v>
      </c>
      <c r="AR22">
        <v>-3.9894345373445681</v>
      </c>
      <c r="AS22" t="s">
        <v>447</v>
      </c>
      <c r="AT22">
        <v>10353.700000000001</v>
      </c>
      <c r="AU22">
        <v>694.90807999999993</v>
      </c>
      <c r="AV22">
        <v>745.19321530523325</v>
      </c>
      <c r="AW22">
        <f t="shared" si="27"/>
        <v>6.7479325190362038E-2</v>
      </c>
      <c r="AX22">
        <v>0.5</v>
      </c>
      <c r="AY22">
        <f t="shared" si="28"/>
        <v>1512.9998998222732</v>
      </c>
      <c r="AZ22">
        <f t="shared" si="29"/>
        <v>3.7594681059159227</v>
      </c>
      <c r="BA22">
        <f t="shared" si="30"/>
        <v>51.04810612654618</v>
      </c>
      <c r="BB22">
        <f t="shared" si="31"/>
        <v>5.1215486823037648E-3</v>
      </c>
      <c r="BC22">
        <f t="shared" si="32"/>
        <v>3.6053425199185374</v>
      </c>
      <c r="BD22">
        <f t="shared" si="33"/>
        <v>486.14670259150381</v>
      </c>
      <c r="BE22" t="s">
        <v>448</v>
      </c>
      <c r="BF22">
        <v>599.74</v>
      </c>
      <c r="BG22">
        <f t="shared" si="34"/>
        <v>599.74</v>
      </c>
      <c r="BH22">
        <f t="shared" si="35"/>
        <v>0.1951885931297096</v>
      </c>
      <c r="BI22">
        <f t="shared" si="36"/>
        <v>0.3457134666958725</v>
      </c>
      <c r="BJ22">
        <f t="shared" si="37"/>
        <v>0.94864175892164793</v>
      </c>
      <c r="BK22">
        <f t="shared" si="38"/>
        <v>-0.20243342426458566</v>
      </c>
      <c r="BL22">
        <f t="shared" si="39"/>
        <v>1.1018767283795854</v>
      </c>
      <c r="BM22">
        <f t="shared" si="40"/>
        <v>0.2983677992579718</v>
      </c>
      <c r="BN22">
        <f t="shared" si="41"/>
        <v>0.70163220074202814</v>
      </c>
      <c r="BO22">
        <v>2159</v>
      </c>
      <c r="BP22">
        <v>290.00000000000011</v>
      </c>
      <c r="BQ22">
        <v>731.74</v>
      </c>
      <c r="BR22">
        <v>285</v>
      </c>
      <c r="BS22">
        <v>10353.700000000001</v>
      </c>
      <c r="BT22">
        <v>730.82</v>
      </c>
      <c r="BU22">
        <v>0.92</v>
      </c>
      <c r="BV22">
        <v>300.00000000000011</v>
      </c>
      <c r="BW22">
        <v>38.4</v>
      </c>
      <c r="BX22">
        <v>745.19321530523325</v>
      </c>
      <c r="BY22">
        <v>1.0585403303083529</v>
      </c>
      <c r="BZ22">
        <v>-14.88144280551955</v>
      </c>
      <c r="CA22">
        <v>0.89792796210831349</v>
      </c>
      <c r="CB22">
        <v>0.90748920523788279</v>
      </c>
      <c r="CC22">
        <v>-1.127647764182425E-2</v>
      </c>
      <c r="CD22">
        <v>289.99999999999989</v>
      </c>
      <c r="CE22">
        <v>729.46</v>
      </c>
      <c r="CF22">
        <v>665</v>
      </c>
      <c r="CG22">
        <v>10343.6</v>
      </c>
      <c r="CH22">
        <v>730.81</v>
      </c>
      <c r="CI22">
        <v>-1.35</v>
      </c>
      <c r="CW22">
        <f t="shared" si="42"/>
        <v>1799.78</v>
      </c>
      <c r="CX22">
        <f t="shared" si="43"/>
        <v>1512.9998998222732</v>
      </c>
      <c r="CY22">
        <f t="shared" si="44"/>
        <v>0.8406582470203432</v>
      </c>
      <c r="CZ22">
        <f t="shared" si="45"/>
        <v>0.19131649404068643</v>
      </c>
      <c r="DA22">
        <v>6</v>
      </c>
      <c r="DB22">
        <v>0.5</v>
      </c>
      <c r="DC22" t="s">
        <v>419</v>
      </c>
      <c r="DD22">
        <v>2</v>
      </c>
      <c r="DE22">
        <v>1693495575.5999999</v>
      </c>
      <c r="DF22">
        <v>25.320799999999998</v>
      </c>
      <c r="DG22">
        <v>29.998200000000001</v>
      </c>
      <c r="DH22">
        <v>29.233599999999999</v>
      </c>
      <c r="DI22">
        <v>22.815000000000001</v>
      </c>
      <c r="DJ22">
        <v>24.388200000000001</v>
      </c>
      <c r="DK22">
        <v>28.167100000000001</v>
      </c>
      <c r="DL22">
        <v>500.15300000000002</v>
      </c>
      <c r="DM22">
        <v>99.673100000000005</v>
      </c>
      <c r="DN22">
        <v>9.9342E-2</v>
      </c>
      <c r="DO22">
        <v>30.812000000000001</v>
      </c>
      <c r="DP22">
        <v>30.0425</v>
      </c>
      <c r="DQ22">
        <v>999.9</v>
      </c>
      <c r="DR22">
        <v>0</v>
      </c>
      <c r="DS22">
        <v>0</v>
      </c>
      <c r="DT22">
        <v>10020</v>
      </c>
      <c r="DU22">
        <v>0</v>
      </c>
      <c r="DV22">
        <v>1126.5899999999999</v>
      </c>
      <c r="DW22">
        <v>-4.6774199999999997</v>
      </c>
      <c r="DX22">
        <v>26.083300000000001</v>
      </c>
      <c r="DY22">
        <v>30.698599999999999</v>
      </c>
      <c r="DZ22">
        <v>6.4186100000000001</v>
      </c>
      <c r="EA22">
        <v>29.998200000000001</v>
      </c>
      <c r="EB22">
        <v>22.815000000000001</v>
      </c>
      <c r="EC22">
        <v>2.9138000000000002</v>
      </c>
      <c r="ED22">
        <v>2.2740399999999998</v>
      </c>
      <c r="EE22">
        <v>23.543399999999998</v>
      </c>
      <c r="EF22">
        <v>19.4937</v>
      </c>
      <c r="EG22">
        <v>1799.78</v>
      </c>
      <c r="EH22">
        <v>0.97799999999999998</v>
      </c>
      <c r="EI22">
        <v>2.20004E-2</v>
      </c>
      <c r="EJ22">
        <v>0</v>
      </c>
      <c r="EK22">
        <v>694.34100000000001</v>
      </c>
      <c r="EL22">
        <v>5.0002700000000004</v>
      </c>
      <c r="EM22">
        <v>13263.2</v>
      </c>
      <c r="EN22">
        <v>16246.6</v>
      </c>
      <c r="EO22">
        <v>45.561999999999998</v>
      </c>
      <c r="EP22">
        <v>46.625</v>
      </c>
      <c r="EQ22">
        <v>46.561999999999998</v>
      </c>
      <c r="ER22">
        <v>46.186999999999998</v>
      </c>
      <c r="ES22">
        <v>47.375</v>
      </c>
      <c r="ET22">
        <v>1755.29</v>
      </c>
      <c r="EU22">
        <v>39.49</v>
      </c>
      <c r="EV22">
        <v>0</v>
      </c>
      <c r="EW22">
        <v>114</v>
      </c>
      <c r="EX22">
        <v>0</v>
      </c>
      <c r="EY22">
        <v>694.90807999999993</v>
      </c>
      <c r="EZ22">
        <v>-2.7025384758081961</v>
      </c>
      <c r="FA22">
        <v>-8.6769230496332259</v>
      </c>
      <c r="FB22">
        <v>13256.516</v>
      </c>
      <c r="FC22">
        <v>15</v>
      </c>
      <c r="FD22">
        <v>1693495544.5999999</v>
      </c>
      <c r="FE22" t="s">
        <v>449</v>
      </c>
      <c r="FF22">
        <v>1693495519.0999999</v>
      </c>
      <c r="FG22">
        <v>1693495544.5999999</v>
      </c>
      <c r="FH22">
        <v>8</v>
      </c>
      <c r="FI22">
        <v>3.7999999999999999E-2</v>
      </c>
      <c r="FJ22">
        <v>-3.0000000000000001E-3</v>
      </c>
      <c r="FK22">
        <v>0.93700000000000006</v>
      </c>
      <c r="FL22">
        <v>0.72699999999999998</v>
      </c>
      <c r="FM22">
        <v>30</v>
      </c>
      <c r="FN22">
        <v>23</v>
      </c>
      <c r="FO22">
        <v>0.62</v>
      </c>
      <c r="FP22">
        <v>0.05</v>
      </c>
      <c r="FQ22">
        <v>3.730638134454733</v>
      </c>
      <c r="FR22">
        <v>-7.721515344406943E-3</v>
      </c>
      <c r="FS22">
        <v>4.0788510594841468E-2</v>
      </c>
      <c r="FT22">
        <v>1</v>
      </c>
      <c r="FU22">
        <v>0.42603334440712659</v>
      </c>
      <c r="FV22">
        <v>1.144083815615545E-2</v>
      </c>
      <c r="FW22">
        <v>4.3232563909397174E-3</v>
      </c>
      <c r="FX22">
        <v>1</v>
      </c>
      <c r="FY22">
        <v>2</v>
      </c>
      <c r="FZ22">
        <v>2</v>
      </c>
      <c r="GA22" t="s">
        <v>421</v>
      </c>
      <c r="GB22">
        <v>3.11836</v>
      </c>
      <c r="GC22">
        <v>2.8646699999999998</v>
      </c>
      <c r="GD22">
        <v>6.9416800000000004E-3</v>
      </c>
      <c r="GE22">
        <v>8.7945100000000002E-3</v>
      </c>
      <c r="GF22">
        <v>0.13206599999999999</v>
      </c>
      <c r="GG22">
        <v>0.11670899999999999</v>
      </c>
      <c r="GH22">
        <v>30280.400000000001</v>
      </c>
      <c r="GI22">
        <v>23321.7</v>
      </c>
      <c r="GJ22">
        <v>29375.4</v>
      </c>
      <c r="GK22">
        <v>21917.200000000001</v>
      </c>
      <c r="GL22">
        <v>34085.699999999997</v>
      </c>
      <c r="GM22">
        <v>26598.7</v>
      </c>
      <c r="GN22">
        <v>40767.1</v>
      </c>
      <c r="GO22">
        <v>31114.6</v>
      </c>
      <c r="GP22">
        <v>2.0743</v>
      </c>
      <c r="GQ22">
        <v>1.9141999999999999</v>
      </c>
      <c r="GR22">
        <v>0.124574</v>
      </c>
      <c r="GS22">
        <v>0</v>
      </c>
      <c r="GT22">
        <v>28.012</v>
      </c>
      <c r="GU22">
        <v>999.9</v>
      </c>
      <c r="GV22">
        <v>50.1</v>
      </c>
      <c r="GW22">
        <v>36.4</v>
      </c>
      <c r="GX22">
        <v>30.668199999999999</v>
      </c>
      <c r="GY22">
        <v>62.127499999999998</v>
      </c>
      <c r="GZ22">
        <v>13.990399999999999</v>
      </c>
      <c r="HA22">
        <v>1</v>
      </c>
      <c r="HB22">
        <v>-6.1605699999999999E-2</v>
      </c>
      <c r="HC22">
        <v>-0.757135</v>
      </c>
      <c r="HD22">
        <v>20.274799999999999</v>
      </c>
      <c r="HE22">
        <v>5.2352600000000002</v>
      </c>
      <c r="HF22">
        <v>11.968</v>
      </c>
      <c r="HG22">
        <v>4.9753999999999996</v>
      </c>
      <c r="HH22">
        <v>3.2829999999999999</v>
      </c>
      <c r="HI22">
        <v>9999</v>
      </c>
      <c r="HJ22">
        <v>9999</v>
      </c>
      <c r="HK22">
        <v>9999</v>
      </c>
      <c r="HL22">
        <v>999.9</v>
      </c>
      <c r="HM22">
        <v>1.8613</v>
      </c>
      <c r="HN22">
        <v>1.8629599999999999</v>
      </c>
      <c r="HO22">
        <v>1.86829</v>
      </c>
      <c r="HP22">
        <v>1.85904</v>
      </c>
      <c r="HQ22">
        <v>1.8574299999999999</v>
      </c>
      <c r="HR22">
        <v>1.86111</v>
      </c>
      <c r="HS22">
        <v>1.86497</v>
      </c>
      <c r="HT22">
        <v>1.86704</v>
      </c>
      <c r="HU22">
        <v>5</v>
      </c>
      <c r="HV22">
        <v>0</v>
      </c>
      <c r="HW22">
        <v>0</v>
      </c>
      <c r="HX22">
        <v>0</v>
      </c>
      <c r="HY22" t="s">
        <v>422</v>
      </c>
      <c r="HZ22" t="s">
        <v>423</v>
      </c>
      <c r="IA22" t="s">
        <v>424</v>
      </c>
      <c r="IB22" t="s">
        <v>424</v>
      </c>
      <c r="IC22" t="s">
        <v>424</v>
      </c>
      <c r="ID22" t="s">
        <v>424</v>
      </c>
      <c r="IE22">
        <v>0</v>
      </c>
      <c r="IF22">
        <v>100</v>
      </c>
      <c r="IG22">
        <v>100</v>
      </c>
      <c r="IH22">
        <v>0.93300000000000005</v>
      </c>
      <c r="II22">
        <v>1.0665</v>
      </c>
      <c r="IJ22">
        <v>0.90633994139892504</v>
      </c>
      <c r="IK22">
        <v>1.118558698776514E-3</v>
      </c>
      <c r="IL22">
        <v>-1.6939696309573479E-6</v>
      </c>
      <c r="IM22">
        <v>5.4698917449866148E-10</v>
      </c>
      <c r="IN22">
        <v>0.14852375800829831</v>
      </c>
      <c r="IO22">
        <v>-7.6058941998734366E-3</v>
      </c>
      <c r="IP22">
        <v>1.6984902717538061E-3</v>
      </c>
      <c r="IQ22">
        <v>-9.6352527008986976E-6</v>
      </c>
      <c r="IR22">
        <v>2</v>
      </c>
      <c r="IS22">
        <v>2021</v>
      </c>
      <c r="IT22">
        <v>2</v>
      </c>
      <c r="IU22">
        <v>40</v>
      </c>
      <c r="IV22">
        <v>0.9</v>
      </c>
      <c r="IW22">
        <v>0.5</v>
      </c>
      <c r="IX22">
        <v>0.21362300000000001</v>
      </c>
      <c r="IY22">
        <v>2.5598100000000001</v>
      </c>
      <c r="IZ22">
        <v>1.34399</v>
      </c>
      <c r="JA22">
        <v>2.2485400000000002</v>
      </c>
      <c r="JB22">
        <v>1.5918000000000001</v>
      </c>
      <c r="JC22">
        <v>2.48169</v>
      </c>
      <c r="JD22">
        <v>43.5627</v>
      </c>
      <c r="JE22">
        <v>24.096299999999999</v>
      </c>
      <c r="JF22">
        <v>18</v>
      </c>
      <c r="JG22">
        <v>508.71199999999999</v>
      </c>
      <c r="JH22">
        <v>445.25799999999998</v>
      </c>
      <c r="JI22">
        <v>29.199300000000001</v>
      </c>
      <c r="JJ22">
        <v>26.686800000000002</v>
      </c>
      <c r="JK22">
        <v>30.000399999999999</v>
      </c>
      <c r="JL22">
        <v>26.543199999999999</v>
      </c>
      <c r="JM22">
        <v>26.4754</v>
      </c>
      <c r="JN22">
        <v>4.37812</v>
      </c>
      <c r="JO22">
        <v>32.955599999999997</v>
      </c>
      <c r="JP22">
        <v>98.847499999999997</v>
      </c>
      <c r="JQ22">
        <v>29.202300000000001</v>
      </c>
      <c r="JR22">
        <v>30</v>
      </c>
      <c r="JS22">
        <v>22.788499999999999</v>
      </c>
      <c r="JT22">
        <v>100.157</v>
      </c>
      <c r="JU22">
        <v>98.338499999999996</v>
      </c>
    </row>
    <row r="23" spans="1:281" x14ac:dyDescent="0.25">
      <c r="A23">
        <v>7</v>
      </c>
      <c r="B23">
        <v>1693495716.5999999</v>
      </c>
      <c r="C23">
        <v>790</v>
      </c>
      <c r="D23" t="s">
        <v>450</v>
      </c>
      <c r="E23" t="s">
        <v>451</v>
      </c>
      <c r="F23" t="s">
        <v>413</v>
      </c>
      <c r="G23" t="s">
        <v>414</v>
      </c>
      <c r="H23" t="s">
        <v>415</v>
      </c>
      <c r="I23" t="s">
        <v>31</v>
      </c>
      <c r="J23">
        <v>1693495716.5999999</v>
      </c>
      <c r="K23">
        <f t="shared" si="0"/>
        <v>5.6773994364218176E-3</v>
      </c>
      <c r="L23">
        <f t="shared" si="1"/>
        <v>5.6773994364218172</v>
      </c>
      <c r="M23">
        <f t="shared" si="2"/>
        <v>1.1384998891730065</v>
      </c>
      <c r="N23">
        <f t="shared" si="3"/>
        <v>8.6181599999999996</v>
      </c>
      <c r="O23">
        <f t="shared" si="4"/>
        <v>4.0013308648244097</v>
      </c>
      <c r="P23">
        <f t="shared" si="5"/>
        <v>0.39922827753797085</v>
      </c>
      <c r="Q23">
        <f t="shared" si="6"/>
        <v>0.85986720133368</v>
      </c>
      <c r="R23">
        <f t="shared" si="7"/>
        <v>0.43570874107107543</v>
      </c>
      <c r="S23">
        <f t="shared" si="8"/>
        <v>2.9194310954581688</v>
      </c>
      <c r="T23">
        <f t="shared" si="9"/>
        <v>0.40254030785267914</v>
      </c>
      <c r="U23">
        <f t="shared" si="10"/>
        <v>0.25435700563137398</v>
      </c>
      <c r="V23">
        <f t="shared" si="11"/>
        <v>344.39729964470968</v>
      </c>
      <c r="W23">
        <f t="shared" si="12"/>
        <v>31.41237324047928</v>
      </c>
      <c r="X23">
        <f t="shared" si="13"/>
        <v>30.054200000000002</v>
      </c>
      <c r="Y23">
        <f t="shared" si="14"/>
        <v>4.2737314267980295</v>
      </c>
      <c r="Z23">
        <f t="shared" si="15"/>
        <v>65.191456958562753</v>
      </c>
      <c r="AA23">
        <f t="shared" si="16"/>
        <v>2.9172383857105002</v>
      </c>
      <c r="AB23">
        <f t="shared" si="17"/>
        <v>4.4748783380693062</v>
      </c>
      <c r="AC23">
        <f t="shared" si="18"/>
        <v>1.3564930410875293</v>
      </c>
      <c r="AD23">
        <f t="shared" si="19"/>
        <v>-250.37331514620215</v>
      </c>
      <c r="AE23">
        <f t="shared" si="20"/>
        <v>126.44902943001499</v>
      </c>
      <c r="AF23">
        <f t="shared" si="21"/>
        <v>9.6742208350703844</v>
      </c>
      <c r="AG23">
        <f t="shared" si="22"/>
        <v>230.14723476359291</v>
      </c>
      <c r="AH23">
        <v>0</v>
      </c>
      <c r="AI23">
        <v>0</v>
      </c>
      <c r="AJ23">
        <f t="shared" si="23"/>
        <v>1</v>
      </c>
      <c r="AK23">
        <f t="shared" si="24"/>
        <v>0</v>
      </c>
      <c r="AL23">
        <f t="shared" si="25"/>
        <v>51910.604279603256</v>
      </c>
      <c r="AM23" t="s">
        <v>416</v>
      </c>
      <c r="AN23">
        <v>10366.9</v>
      </c>
      <c r="AO23">
        <v>993.59653846153856</v>
      </c>
      <c r="AP23">
        <v>3431.87</v>
      </c>
      <c r="AQ23">
        <f t="shared" si="26"/>
        <v>0.71047955241266758</v>
      </c>
      <c r="AR23">
        <v>-3.9894345373445681</v>
      </c>
      <c r="AS23" t="s">
        <v>452</v>
      </c>
      <c r="AT23">
        <v>10374</v>
      </c>
      <c r="AU23">
        <v>695.39623999999992</v>
      </c>
      <c r="AV23">
        <v>735.36526618479365</v>
      </c>
      <c r="AW23">
        <f t="shared" si="27"/>
        <v>5.435261634284172E-2</v>
      </c>
      <c r="AX23">
        <v>0.5</v>
      </c>
      <c r="AY23">
        <f t="shared" si="28"/>
        <v>1513.3103998223548</v>
      </c>
      <c r="AZ23">
        <f t="shared" si="29"/>
        <v>1.1384998891730065</v>
      </c>
      <c r="BA23">
        <f t="shared" si="30"/>
        <v>41.126189784588433</v>
      </c>
      <c r="BB23">
        <f t="shared" si="31"/>
        <v>3.3885542761878428E-3</v>
      </c>
      <c r="BC23">
        <f t="shared" si="32"/>
        <v>3.6668916221800281</v>
      </c>
      <c r="BD23">
        <f t="shared" si="33"/>
        <v>481.94470832934587</v>
      </c>
      <c r="BE23" t="s">
        <v>453</v>
      </c>
      <c r="BF23">
        <v>602.15</v>
      </c>
      <c r="BG23">
        <f t="shared" si="34"/>
        <v>602.15</v>
      </c>
      <c r="BH23">
        <f t="shared" si="35"/>
        <v>0.18115523306660686</v>
      </c>
      <c r="BI23">
        <f t="shared" si="36"/>
        <v>0.30003337702564409</v>
      </c>
      <c r="BJ23">
        <f t="shared" si="37"/>
        <v>0.95292280996536982</v>
      </c>
      <c r="BK23">
        <f t="shared" si="38"/>
        <v>-0.15477996073984088</v>
      </c>
      <c r="BL23">
        <f t="shared" si="39"/>
        <v>1.1059074284940174</v>
      </c>
      <c r="BM23">
        <f t="shared" si="40"/>
        <v>0.2598016606704569</v>
      </c>
      <c r="BN23">
        <f t="shared" si="41"/>
        <v>0.74019833932954304</v>
      </c>
      <c r="BO23">
        <v>2161</v>
      </c>
      <c r="BP23">
        <v>290.00000000000011</v>
      </c>
      <c r="BQ23">
        <v>722.88</v>
      </c>
      <c r="BR23">
        <v>135</v>
      </c>
      <c r="BS23">
        <v>10374</v>
      </c>
      <c r="BT23">
        <v>722.26</v>
      </c>
      <c r="BU23">
        <v>0.62</v>
      </c>
      <c r="BV23">
        <v>300.00000000000011</v>
      </c>
      <c r="BW23">
        <v>38.4</v>
      </c>
      <c r="BX23">
        <v>735.36526618479365</v>
      </c>
      <c r="BY23">
        <v>0.96635663573049235</v>
      </c>
      <c r="BZ23">
        <v>-13.59025206641263</v>
      </c>
      <c r="CA23">
        <v>0.81961864137997864</v>
      </c>
      <c r="CB23">
        <v>0.9075711896406693</v>
      </c>
      <c r="CC23">
        <v>-1.1274944160177989E-2</v>
      </c>
      <c r="CD23">
        <v>289.99999999999989</v>
      </c>
      <c r="CE23">
        <v>720.01</v>
      </c>
      <c r="CF23">
        <v>715</v>
      </c>
      <c r="CG23">
        <v>10338</v>
      </c>
      <c r="CH23">
        <v>722.22</v>
      </c>
      <c r="CI23">
        <v>-2.21</v>
      </c>
      <c r="CW23">
        <f t="shared" si="42"/>
        <v>1800.15</v>
      </c>
      <c r="CX23">
        <f t="shared" si="43"/>
        <v>1513.3103998223548</v>
      </c>
      <c r="CY23">
        <f t="shared" si="44"/>
        <v>0.84065794507255209</v>
      </c>
      <c r="CZ23">
        <f t="shared" si="45"/>
        <v>0.19131589014510439</v>
      </c>
      <c r="DA23">
        <v>6</v>
      </c>
      <c r="DB23">
        <v>0.5</v>
      </c>
      <c r="DC23" t="s">
        <v>419</v>
      </c>
      <c r="DD23">
        <v>2</v>
      </c>
      <c r="DE23">
        <v>1693495716.5999999</v>
      </c>
      <c r="DF23">
        <v>8.6181599999999996</v>
      </c>
      <c r="DG23">
        <v>10.043100000000001</v>
      </c>
      <c r="DH23">
        <v>29.238499999999998</v>
      </c>
      <c r="DI23">
        <v>22.624700000000001</v>
      </c>
      <c r="DJ23">
        <v>7.6695799999999998</v>
      </c>
      <c r="DK23">
        <v>28.190100000000001</v>
      </c>
      <c r="DL23">
        <v>499.99099999999999</v>
      </c>
      <c r="DM23">
        <v>99.673500000000004</v>
      </c>
      <c r="DN23">
        <v>0.100373</v>
      </c>
      <c r="DO23">
        <v>30.857600000000001</v>
      </c>
      <c r="DP23">
        <v>30.054200000000002</v>
      </c>
      <c r="DQ23">
        <v>999.9</v>
      </c>
      <c r="DR23">
        <v>0</v>
      </c>
      <c r="DS23">
        <v>0</v>
      </c>
      <c r="DT23">
        <v>9975</v>
      </c>
      <c r="DU23">
        <v>0</v>
      </c>
      <c r="DV23">
        <v>1212.06</v>
      </c>
      <c r="DW23">
        <v>-1.4249400000000001</v>
      </c>
      <c r="DX23">
        <v>8.8777299999999997</v>
      </c>
      <c r="DY23">
        <v>10.275600000000001</v>
      </c>
      <c r="DZ23">
        <v>6.6137800000000002</v>
      </c>
      <c r="EA23">
        <v>10.043100000000001</v>
      </c>
      <c r="EB23">
        <v>22.624700000000001</v>
      </c>
      <c r="EC23">
        <v>2.9142999999999999</v>
      </c>
      <c r="ED23">
        <v>2.25508</v>
      </c>
      <c r="EE23">
        <v>23.546199999999999</v>
      </c>
      <c r="EF23">
        <v>19.359100000000002</v>
      </c>
      <c r="EG23">
        <v>1800.15</v>
      </c>
      <c r="EH23">
        <v>0.97800699999999996</v>
      </c>
      <c r="EI23">
        <v>2.1993100000000002E-2</v>
      </c>
      <c r="EJ23">
        <v>0</v>
      </c>
      <c r="EK23">
        <v>695.42399999999998</v>
      </c>
      <c r="EL23">
        <v>5.0002700000000004</v>
      </c>
      <c r="EM23">
        <v>13303.3</v>
      </c>
      <c r="EN23">
        <v>16250</v>
      </c>
      <c r="EO23">
        <v>45.75</v>
      </c>
      <c r="EP23">
        <v>46.625</v>
      </c>
      <c r="EQ23">
        <v>46.686999999999998</v>
      </c>
      <c r="ER23">
        <v>46.186999999999998</v>
      </c>
      <c r="ES23">
        <v>47.5</v>
      </c>
      <c r="ET23">
        <v>1755.67</v>
      </c>
      <c r="EU23">
        <v>39.479999999999997</v>
      </c>
      <c r="EV23">
        <v>0</v>
      </c>
      <c r="EW23">
        <v>138.79999995231631</v>
      </c>
      <c r="EX23">
        <v>0</v>
      </c>
      <c r="EY23">
        <v>695.39623999999992</v>
      </c>
      <c r="EZ23">
        <v>-1.5603076930430211</v>
      </c>
      <c r="FA23">
        <v>1454.130771504116</v>
      </c>
      <c r="FB23">
        <v>13214.584000000001</v>
      </c>
      <c r="FC23">
        <v>15</v>
      </c>
      <c r="FD23">
        <v>1693495684.0999999</v>
      </c>
      <c r="FE23" t="s">
        <v>454</v>
      </c>
      <c r="FF23">
        <v>1693495659.5999999</v>
      </c>
      <c r="FG23">
        <v>1693495684.0999999</v>
      </c>
      <c r="FH23">
        <v>9</v>
      </c>
      <c r="FI23">
        <v>3.4000000000000002E-2</v>
      </c>
      <c r="FJ23">
        <v>-0.02</v>
      </c>
      <c r="FK23">
        <v>0.95</v>
      </c>
      <c r="FL23">
        <v>0.68500000000000005</v>
      </c>
      <c r="FM23">
        <v>10</v>
      </c>
      <c r="FN23">
        <v>23</v>
      </c>
      <c r="FO23">
        <v>0.86</v>
      </c>
      <c r="FP23">
        <v>0.04</v>
      </c>
      <c r="FQ23">
        <v>1.0871706496267111</v>
      </c>
      <c r="FR23">
        <v>-0.14148850247909911</v>
      </c>
      <c r="FS23">
        <v>3.64977497356654E-2</v>
      </c>
      <c r="FT23">
        <v>1</v>
      </c>
      <c r="FU23">
        <v>0.44121758465967992</v>
      </c>
      <c r="FV23">
        <v>4.9195703378135308E-2</v>
      </c>
      <c r="FW23">
        <v>7.3703310161679601E-3</v>
      </c>
      <c r="FX23">
        <v>1</v>
      </c>
      <c r="FY23">
        <v>2</v>
      </c>
      <c r="FZ23">
        <v>2</v>
      </c>
      <c r="GA23" t="s">
        <v>421</v>
      </c>
      <c r="GB23">
        <v>3.1181299999999998</v>
      </c>
      <c r="GC23">
        <v>2.86531</v>
      </c>
      <c r="GD23">
        <v>2.1853599999999999E-3</v>
      </c>
      <c r="GE23">
        <v>2.9496399999999999E-3</v>
      </c>
      <c r="GF23">
        <v>0.13214400000000001</v>
      </c>
      <c r="GG23">
        <v>0.116031</v>
      </c>
      <c r="GH23">
        <v>30428.1</v>
      </c>
      <c r="GI23">
        <v>23465.1</v>
      </c>
      <c r="GJ23">
        <v>29377.8</v>
      </c>
      <c r="GK23">
        <v>21922.5</v>
      </c>
      <c r="GL23">
        <v>34084.400000000001</v>
      </c>
      <c r="GM23">
        <v>26624.3</v>
      </c>
      <c r="GN23">
        <v>40770.300000000003</v>
      </c>
      <c r="GO23">
        <v>31121.4</v>
      </c>
      <c r="GP23">
        <v>2.0743</v>
      </c>
      <c r="GQ23">
        <v>1.9115</v>
      </c>
      <c r="GR23">
        <v>0.141293</v>
      </c>
      <c r="GS23">
        <v>0</v>
      </c>
      <c r="GT23">
        <v>27.750699999999998</v>
      </c>
      <c r="GU23">
        <v>999.9</v>
      </c>
      <c r="GV23">
        <v>49.6</v>
      </c>
      <c r="GW23">
        <v>36.700000000000003</v>
      </c>
      <c r="GX23">
        <v>30.860900000000001</v>
      </c>
      <c r="GY23">
        <v>62.397500000000001</v>
      </c>
      <c r="GZ23">
        <v>13.6699</v>
      </c>
      <c r="HA23">
        <v>1</v>
      </c>
      <c r="HB23">
        <v>-6.3811000000000007E-2</v>
      </c>
      <c r="HC23">
        <v>-1.0437700000000001</v>
      </c>
      <c r="HD23">
        <v>20.273599999999998</v>
      </c>
      <c r="HE23">
        <v>5.2340600000000004</v>
      </c>
      <c r="HF23">
        <v>11.968</v>
      </c>
      <c r="HG23">
        <v>4.9737999999999998</v>
      </c>
      <c r="HH23">
        <v>3.2829999999999999</v>
      </c>
      <c r="HI23">
        <v>9999</v>
      </c>
      <c r="HJ23">
        <v>9999</v>
      </c>
      <c r="HK23">
        <v>9999</v>
      </c>
      <c r="HL23">
        <v>999.9</v>
      </c>
      <c r="HM23">
        <v>1.8613</v>
      </c>
      <c r="HN23">
        <v>1.8629599999999999</v>
      </c>
      <c r="HO23">
        <v>1.86829</v>
      </c>
      <c r="HP23">
        <v>1.8590100000000001</v>
      </c>
      <c r="HQ23">
        <v>1.8574299999999999</v>
      </c>
      <c r="HR23">
        <v>1.86111</v>
      </c>
      <c r="HS23">
        <v>1.86493</v>
      </c>
      <c r="HT23">
        <v>1.8670100000000001</v>
      </c>
      <c r="HU23">
        <v>5</v>
      </c>
      <c r="HV23">
        <v>0</v>
      </c>
      <c r="HW23">
        <v>0</v>
      </c>
      <c r="HX23">
        <v>0</v>
      </c>
      <c r="HY23" t="s">
        <v>422</v>
      </c>
      <c r="HZ23" t="s">
        <v>423</v>
      </c>
      <c r="IA23" t="s">
        <v>424</v>
      </c>
      <c r="IB23" t="s">
        <v>424</v>
      </c>
      <c r="IC23" t="s">
        <v>424</v>
      </c>
      <c r="ID23" t="s">
        <v>424</v>
      </c>
      <c r="IE23">
        <v>0</v>
      </c>
      <c r="IF23">
        <v>100</v>
      </c>
      <c r="IG23">
        <v>100</v>
      </c>
      <c r="IH23">
        <v>0.94899999999999995</v>
      </c>
      <c r="II23">
        <v>1.0484</v>
      </c>
      <c r="IJ23">
        <v>0.94010284817955592</v>
      </c>
      <c r="IK23">
        <v>1.118558698776514E-3</v>
      </c>
      <c r="IL23">
        <v>-1.6939696309573479E-6</v>
      </c>
      <c r="IM23">
        <v>5.4698917449866148E-10</v>
      </c>
      <c r="IN23">
        <v>0.1289277149012118</v>
      </c>
      <c r="IO23">
        <v>-7.6058941998734366E-3</v>
      </c>
      <c r="IP23">
        <v>1.6984902717538061E-3</v>
      </c>
      <c r="IQ23">
        <v>-9.6352527008986976E-6</v>
      </c>
      <c r="IR23">
        <v>2</v>
      </c>
      <c r="IS23">
        <v>2021</v>
      </c>
      <c r="IT23">
        <v>2</v>
      </c>
      <c r="IU23">
        <v>40</v>
      </c>
      <c r="IV23">
        <v>0.9</v>
      </c>
      <c r="IW23">
        <v>0.5</v>
      </c>
      <c r="IX23">
        <v>0.17089799999999999</v>
      </c>
      <c r="IY23">
        <v>2.5732400000000002</v>
      </c>
      <c r="IZ23">
        <v>1.34399</v>
      </c>
      <c r="JA23">
        <v>2.2473100000000001</v>
      </c>
      <c r="JB23">
        <v>1.5918000000000001</v>
      </c>
      <c r="JC23">
        <v>2.49878</v>
      </c>
      <c r="JD23">
        <v>43.535400000000003</v>
      </c>
      <c r="JE23">
        <v>24.096299999999999</v>
      </c>
      <c r="JF23">
        <v>18</v>
      </c>
      <c r="JG23">
        <v>508.666</v>
      </c>
      <c r="JH23">
        <v>443.47199999999998</v>
      </c>
      <c r="JI23">
        <v>29.715900000000001</v>
      </c>
      <c r="JJ23">
        <v>26.663799999999998</v>
      </c>
      <c r="JK23">
        <v>29.999600000000001</v>
      </c>
      <c r="JL23">
        <v>26.5383</v>
      </c>
      <c r="JM23">
        <v>26.468800000000002</v>
      </c>
      <c r="JN23">
        <v>3.5020500000000001</v>
      </c>
      <c r="JO23">
        <v>33.350700000000003</v>
      </c>
      <c r="JP23">
        <v>96.334999999999994</v>
      </c>
      <c r="JQ23">
        <v>29.750499999999999</v>
      </c>
      <c r="JR23">
        <v>10</v>
      </c>
      <c r="JS23">
        <v>22.703399999999998</v>
      </c>
      <c r="JT23">
        <v>100.16500000000001</v>
      </c>
      <c r="JU23">
        <v>98.360900000000001</v>
      </c>
    </row>
    <row r="24" spans="1:281" x14ac:dyDescent="0.25">
      <c r="A24">
        <v>8</v>
      </c>
      <c r="B24">
        <v>1693495906.0999999</v>
      </c>
      <c r="C24">
        <v>979.5</v>
      </c>
      <c r="D24" t="s">
        <v>455</v>
      </c>
      <c r="E24" t="s">
        <v>456</v>
      </c>
      <c r="F24" t="s">
        <v>413</v>
      </c>
      <c r="G24" t="s">
        <v>414</v>
      </c>
      <c r="H24" t="s">
        <v>415</v>
      </c>
      <c r="I24" t="s">
        <v>31</v>
      </c>
      <c r="J24">
        <v>1693495906.0999999</v>
      </c>
      <c r="K24">
        <f t="shared" si="0"/>
        <v>5.3932080509884279E-3</v>
      </c>
      <c r="L24">
        <f t="shared" si="1"/>
        <v>5.3932080509884281</v>
      </c>
      <c r="M24">
        <f t="shared" si="2"/>
        <v>35.532626738033791</v>
      </c>
      <c r="N24">
        <f t="shared" si="3"/>
        <v>355.18200000000002</v>
      </c>
      <c r="O24">
        <f t="shared" si="4"/>
        <v>203.41470976448744</v>
      </c>
      <c r="P24">
        <f t="shared" si="5"/>
        <v>20.297216133216796</v>
      </c>
      <c r="Q24">
        <f t="shared" si="6"/>
        <v>35.440926710634599</v>
      </c>
      <c r="R24">
        <f t="shared" si="7"/>
        <v>0.4168497415512491</v>
      </c>
      <c r="S24">
        <f t="shared" si="8"/>
        <v>2.9213440109538342</v>
      </c>
      <c r="T24">
        <f t="shared" si="9"/>
        <v>0.38640129236287801</v>
      </c>
      <c r="U24">
        <f t="shared" si="10"/>
        <v>0.24405088090283139</v>
      </c>
      <c r="V24">
        <f t="shared" si="11"/>
        <v>344.36689964467809</v>
      </c>
      <c r="W24">
        <f t="shared" si="12"/>
        <v>31.439080268084467</v>
      </c>
      <c r="X24">
        <f t="shared" si="13"/>
        <v>29.9481</v>
      </c>
      <c r="Y24">
        <f t="shared" si="14"/>
        <v>4.2477654599295001</v>
      </c>
      <c r="Z24">
        <f t="shared" si="15"/>
        <v>65.090508523727436</v>
      </c>
      <c r="AA24">
        <f t="shared" si="16"/>
        <v>2.9049661844539001</v>
      </c>
      <c r="AB24">
        <f t="shared" si="17"/>
        <v>4.4629643404843788</v>
      </c>
      <c r="AC24">
        <f t="shared" si="18"/>
        <v>1.3427992754756</v>
      </c>
      <c r="AD24">
        <f t="shared" si="19"/>
        <v>-237.84047504858967</v>
      </c>
      <c r="AE24">
        <f t="shared" si="20"/>
        <v>135.88711594923902</v>
      </c>
      <c r="AF24">
        <f t="shared" si="21"/>
        <v>10.381649430992722</v>
      </c>
      <c r="AG24">
        <f t="shared" si="22"/>
        <v>252.79518997632013</v>
      </c>
      <c r="AH24">
        <v>0</v>
      </c>
      <c r="AI24">
        <v>0</v>
      </c>
      <c r="AJ24">
        <f t="shared" si="23"/>
        <v>1</v>
      </c>
      <c r="AK24">
        <f t="shared" si="24"/>
        <v>0</v>
      </c>
      <c r="AL24">
        <f t="shared" si="25"/>
        <v>51973.221575945798</v>
      </c>
      <c r="AM24" t="s">
        <v>416</v>
      </c>
      <c r="AN24">
        <v>10366.9</v>
      </c>
      <c r="AO24">
        <v>993.59653846153856</v>
      </c>
      <c r="AP24">
        <v>3431.87</v>
      </c>
      <c r="AQ24">
        <f t="shared" si="26"/>
        <v>0.71047955241266758</v>
      </c>
      <c r="AR24">
        <v>-3.9894345373445681</v>
      </c>
      <c r="AS24" t="s">
        <v>457</v>
      </c>
      <c r="AT24">
        <v>10367.1</v>
      </c>
      <c r="AU24">
        <v>700.48044000000004</v>
      </c>
      <c r="AV24">
        <v>951.20432662842506</v>
      </c>
      <c r="AW24">
        <f t="shared" si="27"/>
        <v>0.26358572980541839</v>
      </c>
      <c r="AX24">
        <v>0.5</v>
      </c>
      <c r="AY24">
        <f t="shared" si="28"/>
        <v>1513.175999822339</v>
      </c>
      <c r="AZ24">
        <f t="shared" si="29"/>
        <v>35.532626738033791</v>
      </c>
      <c r="BA24">
        <f t="shared" si="30"/>
        <v>199.42580011860744</v>
      </c>
      <c r="BB24">
        <f t="shared" si="31"/>
        <v>2.611861493971529E-2</v>
      </c>
      <c r="BC24">
        <f t="shared" si="32"/>
        <v>2.607920931314911</v>
      </c>
      <c r="BD24">
        <f t="shared" si="33"/>
        <v>566.13689442805185</v>
      </c>
      <c r="BE24" t="s">
        <v>458</v>
      </c>
      <c r="BF24">
        <v>574.91</v>
      </c>
      <c r="BG24">
        <f t="shared" si="34"/>
        <v>574.91</v>
      </c>
      <c r="BH24">
        <f t="shared" si="35"/>
        <v>0.39559778703090287</v>
      </c>
      <c r="BI24">
        <f t="shared" si="36"/>
        <v>0.66629728084102735</v>
      </c>
      <c r="BJ24">
        <f t="shared" si="37"/>
        <v>0.86828855614764466</v>
      </c>
      <c r="BK24">
        <f t="shared" si="38"/>
        <v>-5.9143855860943555</v>
      </c>
      <c r="BL24">
        <f t="shared" si="39"/>
        <v>1.0173861597158038</v>
      </c>
      <c r="BM24">
        <f t="shared" si="40"/>
        <v>0.54685462698760723</v>
      </c>
      <c r="BN24">
        <f t="shared" si="41"/>
        <v>0.45314537301239277</v>
      </c>
      <c r="BO24">
        <v>2163</v>
      </c>
      <c r="BP24">
        <v>290.00000000000011</v>
      </c>
      <c r="BQ24">
        <v>866.61</v>
      </c>
      <c r="BR24">
        <v>185</v>
      </c>
      <c r="BS24">
        <v>10367.1</v>
      </c>
      <c r="BT24">
        <v>865.83</v>
      </c>
      <c r="BU24">
        <v>0.78</v>
      </c>
      <c r="BV24">
        <v>300.00000000000011</v>
      </c>
      <c r="BW24">
        <v>38.4</v>
      </c>
      <c r="BX24">
        <v>951.20432662842506</v>
      </c>
      <c r="BY24">
        <v>0.92746274169957266</v>
      </c>
      <c r="BZ24">
        <v>-88.503491434948856</v>
      </c>
      <c r="CA24">
        <v>0.78675377357671494</v>
      </c>
      <c r="CB24">
        <v>0.99779222399955458</v>
      </c>
      <c r="CC24">
        <v>-1.1277280533926581E-2</v>
      </c>
      <c r="CD24">
        <v>289.99999999999989</v>
      </c>
      <c r="CE24">
        <v>847.28</v>
      </c>
      <c r="CF24">
        <v>625</v>
      </c>
      <c r="CG24">
        <v>10347.700000000001</v>
      </c>
      <c r="CH24">
        <v>865.67</v>
      </c>
      <c r="CI24">
        <v>-18.39</v>
      </c>
      <c r="CW24">
        <f t="shared" si="42"/>
        <v>1799.99</v>
      </c>
      <c r="CX24">
        <f t="shared" si="43"/>
        <v>1513.175999822339</v>
      </c>
      <c r="CY24">
        <f t="shared" si="44"/>
        <v>0.8406580035568747</v>
      </c>
      <c r="CZ24">
        <f t="shared" si="45"/>
        <v>0.19131600711374958</v>
      </c>
      <c r="DA24">
        <v>6</v>
      </c>
      <c r="DB24">
        <v>0.5</v>
      </c>
      <c r="DC24" t="s">
        <v>419</v>
      </c>
      <c r="DD24">
        <v>2</v>
      </c>
      <c r="DE24">
        <v>1693495906.0999999</v>
      </c>
      <c r="DF24">
        <v>355.18200000000002</v>
      </c>
      <c r="DG24">
        <v>400.10599999999999</v>
      </c>
      <c r="DH24">
        <v>29.113</v>
      </c>
      <c r="DI24">
        <v>22.831499999999998</v>
      </c>
      <c r="DJ24">
        <v>354.06200000000001</v>
      </c>
      <c r="DK24">
        <v>28.060500000000001</v>
      </c>
      <c r="DL24">
        <v>500.154</v>
      </c>
      <c r="DM24">
        <v>99.682500000000005</v>
      </c>
      <c r="DN24">
        <v>9.9940299999999996E-2</v>
      </c>
      <c r="DO24">
        <v>30.8109</v>
      </c>
      <c r="DP24">
        <v>29.9481</v>
      </c>
      <c r="DQ24">
        <v>999.9</v>
      </c>
      <c r="DR24">
        <v>0</v>
      </c>
      <c r="DS24">
        <v>0</v>
      </c>
      <c r="DT24">
        <v>9985</v>
      </c>
      <c r="DU24">
        <v>0</v>
      </c>
      <c r="DV24">
        <v>1153.68</v>
      </c>
      <c r="DW24">
        <v>-44.924300000000002</v>
      </c>
      <c r="DX24">
        <v>365.83199999999999</v>
      </c>
      <c r="DY24">
        <v>409.45499999999998</v>
      </c>
      <c r="DZ24">
        <v>6.2814800000000002</v>
      </c>
      <c r="EA24">
        <v>400.10599999999999</v>
      </c>
      <c r="EB24">
        <v>22.831499999999998</v>
      </c>
      <c r="EC24">
        <v>2.90205</v>
      </c>
      <c r="ED24">
        <v>2.2759</v>
      </c>
      <c r="EE24">
        <v>23.476400000000002</v>
      </c>
      <c r="EF24">
        <v>19.506799999999998</v>
      </c>
      <c r="EG24">
        <v>1799.99</v>
      </c>
      <c r="EH24">
        <v>0.97800299999999996</v>
      </c>
      <c r="EI24">
        <v>2.1996700000000001E-2</v>
      </c>
      <c r="EJ24">
        <v>0</v>
      </c>
      <c r="EK24">
        <v>699.61099999999999</v>
      </c>
      <c r="EL24">
        <v>5.0002700000000004</v>
      </c>
      <c r="EM24">
        <v>13349.1</v>
      </c>
      <c r="EN24">
        <v>16248.5</v>
      </c>
      <c r="EO24">
        <v>45.75</v>
      </c>
      <c r="EP24">
        <v>46.75</v>
      </c>
      <c r="EQ24">
        <v>46.686999999999998</v>
      </c>
      <c r="ER24">
        <v>46.375</v>
      </c>
      <c r="ES24">
        <v>47.561999999999998</v>
      </c>
      <c r="ET24">
        <v>1755.51</v>
      </c>
      <c r="EU24">
        <v>39.479999999999997</v>
      </c>
      <c r="EV24">
        <v>0</v>
      </c>
      <c r="EW24">
        <v>187.79999995231631</v>
      </c>
      <c r="EX24">
        <v>0</v>
      </c>
      <c r="EY24">
        <v>700.48044000000004</v>
      </c>
      <c r="EZ24">
        <v>-4.409538470278747</v>
      </c>
      <c r="FA24">
        <v>-135.6230770985992</v>
      </c>
      <c r="FB24">
        <v>13368.708000000001</v>
      </c>
      <c r="FC24">
        <v>15</v>
      </c>
      <c r="FD24">
        <v>1693495802.0999999</v>
      </c>
      <c r="FE24" t="s">
        <v>459</v>
      </c>
      <c r="FF24">
        <v>1693495796.5999999</v>
      </c>
      <c r="FG24">
        <v>1693495802.0999999</v>
      </c>
      <c r="FH24">
        <v>10</v>
      </c>
      <c r="FI24">
        <v>-2.8000000000000001E-2</v>
      </c>
      <c r="FJ24">
        <v>1.2999999999999999E-2</v>
      </c>
      <c r="FK24">
        <v>1.123</v>
      </c>
      <c r="FL24">
        <v>0.70499999999999996</v>
      </c>
      <c r="FM24">
        <v>400</v>
      </c>
      <c r="FN24">
        <v>23</v>
      </c>
      <c r="FO24">
        <v>0.25</v>
      </c>
      <c r="FP24">
        <v>0.04</v>
      </c>
      <c r="FQ24">
        <v>35.168654483628231</v>
      </c>
      <c r="FR24">
        <v>2.11132411924343</v>
      </c>
      <c r="FS24">
        <v>0.1697869966166804</v>
      </c>
      <c r="FT24">
        <v>0</v>
      </c>
      <c r="FU24">
        <v>0.41115478406249012</v>
      </c>
      <c r="FV24">
        <v>3.7798634577655581E-2</v>
      </c>
      <c r="FW24">
        <v>3.096480655318549E-3</v>
      </c>
      <c r="FX24">
        <v>1</v>
      </c>
      <c r="FY24">
        <v>1</v>
      </c>
      <c r="FZ24">
        <v>2</v>
      </c>
      <c r="GA24" t="s">
        <v>460</v>
      </c>
      <c r="GB24">
        <v>3.1183700000000001</v>
      </c>
      <c r="GC24">
        <v>2.86496</v>
      </c>
      <c r="GD24">
        <v>8.5515300000000002E-2</v>
      </c>
      <c r="GE24">
        <v>9.65091E-2</v>
      </c>
      <c r="GF24">
        <v>0.13175000000000001</v>
      </c>
      <c r="GG24">
        <v>0.11679299999999999</v>
      </c>
      <c r="GH24">
        <v>27888.5</v>
      </c>
      <c r="GI24">
        <v>21268.9</v>
      </c>
      <c r="GJ24">
        <v>29379.599999999999</v>
      </c>
      <c r="GK24">
        <v>21928.7</v>
      </c>
      <c r="GL24">
        <v>34109.5</v>
      </c>
      <c r="GM24">
        <v>26614.9</v>
      </c>
      <c r="GN24">
        <v>40771.9</v>
      </c>
      <c r="GO24">
        <v>31128.6</v>
      </c>
      <c r="GP24">
        <v>2.0766</v>
      </c>
      <c r="GQ24">
        <v>1.9123000000000001</v>
      </c>
      <c r="GR24">
        <v>0.13086200000000001</v>
      </c>
      <c r="GS24">
        <v>0</v>
      </c>
      <c r="GT24">
        <v>27.814499999999999</v>
      </c>
      <c r="GU24">
        <v>999.9</v>
      </c>
      <c r="GV24">
        <v>48.8</v>
      </c>
      <c r="GW24">
        <v>36.9</v>
      </c>
      <c r="GX24">
        <v>30.698</v>
      </c>
      <c r="GY24">
        <v>62.387500000000003</v>
      </c>
      <c r="GZ24">
        <v>13.9383</v>
      </c>
      <c r="HA24">
        <v>1</v>
      </c>
      <c r="HB24">
        <v>-6.9959300000000002E-2</v>
      </c>
      <c r="HC24">
        <v>-1.83436</v>
      </c>
      <c r="HD24">
        <v>20.265699999999999</v>
      </c>
      <c r="HE24">
        <v>5.2346599999999999</v>
      </c>
      <c r="HF24">
        <v>11.968</v>
      </c>
      <c r="HG24">
        <v>4.9749999999999996</v>
      </c>
      <c r="HH24">
        <v>3.2829999999999999</v>
      </c>
      <c r="HI24">
        <v>9999</v>
      </c>
      <c r="HJ24">
        <v>9999</v>
      </c>
      <c r="HK24">
        <v>9999</v>
      </c>
      <c r="HL24">
        <v>999.9</v>
      </c>
      <c r="HM24">
        <v>1.8613200000000001</v>
      </c>
      <c r="HN24">
        <v>1.8629500000000001</v>
      </c>
      <c r="HO24">
        <v>1.86829</v>
      </c>
      <c r="HP24">
        <v>1.85907</v>
      </c>
      <c r="HQ24">
        <v>1.85745</v>
      </c>
      <c r="HR24">
        <v>1.86111</v>
      </c>
      <c r="HS24">
        <v>1.86493</v>
      </c>
      <c r="HT24">
        <v>1.86704</v>
      </c>
      <c r="HU24">
        <v>5</v>
      </c>
      <c r="HV24">
        <v>0</v>
      </c>
      <c r="HW24">
        <v>0</v>
      </c>
      <c r="HX24">
        <v>0</v>
      </c>
      <c r="HY24" t="s">
        <v>422</v>
      </c>
      <c r="HZ24" t="s">
        <v>423</v>
      </c>
      <c r="IA24" t="s">
        <v>424</v>
      </c>
      <c r="IB24" t="s">
        <v>424</v>
      </c>
      <c r="IC24" t="s">
        <v>424</v>
      </c>
      <c r="ID24" t="s">
        <v>424</v>
      </c>
      <c r="IE24">
        <v>0</v>
      </c>
      <c r="IF24">
        <v>100</v>
      </c>
      <c r="IG24">
        <v>100</v>
      </c>
      <c r="IH24">
        <v>1.1200000000000001</v>
      </c>
      <c r="II24">
        <v>1.0525</v>
      </c>
      <c r="IJ24">
        <v>0.9118649736600396</v>
      </c>
      <c r="IK24">
        <v>1.118558698776514E-3</v>
      </c>
      <c r="IL24">
        <v>-1.6939696309573479E-6</v>
      </c>
      <c r="IM24">
        <v>5.4698917449866148E-10</v>
      </c>
      <c r="IN24">
        <v>0.1414342783901141</v>
      </c>
      <c r="IO24">
        <v>-7.6058941998734366E-3</v>
      </c>
      <c r="IP24">
        <v>1.6984902717538061E-3</v>
      </c>
      <c r="IQ24">
        <v>-9.6352527008986976E-6</v>
      </c>
      <c r="IR24">
        <v>2</v>
      </c>
      <c r="IS24">
        <v>2021</v>
      </c>
      <c r="IT24">
        <v>2</v>
      </c>
      <c r="IU24">
        <v>40</v>
      </c>
      <c r="IV24">
        <v>1.8</v>
      </c>
      <c r="IW24">
        <v>1.7</v>
      </c>
      <c r="IX24">
        <v>1.02905</v>
      </c>
      <c r="IY24">
        <v>2.5305200000000001</v>
      </c>
      <c r="IZ24">
        <v>1.34399</v>
      </c>
      <c r="JA24">
        <v>2.2473100000000001</v>
      </c>
      <c r="JB24">
        <v>1.5918000000000001</v>
      </c>
      <c r="JC24">
        <v>2.33643</v>
      </c>
      <c r="JD24">
        <v>43.6447</v>
      </c>
      <c r="JE24">
        <v>24.087499999999999</v>
      </c>
      <c r="JF24">
        <v>18</v>
      </c>
      <c r="JG24">
        <v>509.52800000000002</v>
      </c>
      <c r="JH24">
        <v>443.541</v>
      </c>
      <c r="JI24">
        <v>30.165199999999999</v>
      </c>
      <c r="JJ24">
        <v>26.587700000000002</v>
      </c>
      <c r="JK24">
        <v>30.0001</v>
      </c>
      <c r="JL24">
        <v>26.476299999999998</v>
      </c>
      <c r="JM24">
        <v>26.419899999999998</v>
      </c>
      <c r="JN24">
        <v>20.6724</v>
      </c>
      <c r="JO24">
        <v>31.893000000000001</v>
      </c>
      <c r="JP24">
        <v>92.938100000000006</v>
      </c>
      <c r="JQ24">
        <v>30.170100000000001</v>
      </c>
      <c r="JR24">
        <v>400</v>
      </c>
      <c r="JS24">
        <v>22.7178</v>
      </c>
      <c r="JT24">
        <v>100.17</v>
      </c>
      <c r="JU24">
        <v>98.3857</v>
      </c>
    </row>
    <row r="25" spans="1:281" x14ac:dyDescent="0.25">
      <c r="A25">
        <v>9</v>
      </c>
      <c r="B25">
        <v>1693496059.5</v>
      </c>
      <c r="C25">
        <v>1132.900000095367</v>
      </c>
      <c r="D25" t="s">
        <v>461</v>
      </c>
      <c r="E25" t="s">
        <v>462</v>
      </c>
      <c r="F25" t="s">
        <v>413</v>
      </c>
      <c r="G25" t="s">
        <v>414</v>
      </c>
      <c r="H25" t="s">
        <v>415</v>
      </c>
      <c r="I25" t="s">
        <v>31</v>
      </c>
      <c r="J25">
        <v>1693496059.5</v>
      </c>
      <c r="K25">
        <f t="shared" si="0"/>
        <v>5.0305265227811235E-3</v>
      </c>
      <c r="L25">
        <f t="shared" si="1"/>
        <v>5.0305265227811233</v>
      </c>
      <c r="M25">
        <f t="shared" si="2"/>
        <v>39.973522207054138</v>
      </c>
      <c r="N25">
        <f t="shared" si="3"/>
        <v>349.86700000000002</v>
      </c>
      <c r="O25">
        <f t="shared" si="4"/>
        <v>167.4755625295206</v>
      </c>
      <c r="P25">
        <f t="shared" si="5"/>
        <v>16.70986810502977</v>
      </c>
      <c r="Q25">
        <f t="shared" si="6"/>
        <v>34.907967084881101</v>
      </c>
      <c r="R25">
        <f t="shared" si="7"/>
        <v>0.38466894693576709</v>
      </c>
      <c r="S25">
        <f t="shared" si="8"/>
        <v>2.9185796138969327</v>
      </c>
      <c r="T25">
        <f t="shared" si="9"/>
        <v>0.35855968267792465</v>
      </c>
      <c r="U25">
        <f t="shared" si="10"/>
        <v>0.22629776660880108</v>
      </c>
      <c r="V25">
        <f t="shared" si="11"/>
        <v>344.35549964466617</v>
      </c>
      <c r="W25">
        <f t="shared" si="12"/>
        <v>31.568847947293406</v>
      </c>
      <c r="X25">
        <f t="shared" si="13"/>
        <v>30.010300000000001</v>
      </c>
      <c r="Y25">
        <f t="shared" si="14"/>
        <v>4.2629710047771088</v>
      </c>
      <c r="Z25">
        <f t="shared" si="15"/>
        <v>65.151532398425019</v>
      </c>
      <c r="AA25">
        <f t="shared" si="16"/>
        <v>2.9134887933379798</v>
      </c>
      <c r="AB25">
        <f t="shared" si="17"/>
        <v>4.4718653362148872</v>
      </c>
      <c r="AC25">
        <f t="shared" si="18"/>
        <v>1.3494822114391289</v>
      </c>
      <c r="AD25">
        <f t="shared" si="19"/>
        <v>-221.84621965464754</v>
      </c>
      <c r="AE25">
        <f t="shared" si="20"/>
        <v>131.46297079265571</v>
      </c>
      <c r="AF25">
        <f t="shared" si="21"/>
        <v>10.057987854157918</v>
      </c>
      <c r="AG25">
        <f t="shared" si="22"/>
        <v>264.03023863683228</v>
      </c>
      <c r="AH25">
        <v>0</v>
      </c>
      <c r="AI25">
        <v>0</v>
      </c>
      <c r="AJ25">
        <f t="shared" si="23"/>
        <v>1</v>
      </c>
      <c r="AK25">
        <f t="shared" si="24"/>
        <v>0</v>
      </c>
      <c r="AL25">
        <f t="shared" si="25"/>
        <v>51888.425807109481</v>
      </c>
      <c r="AM25" t="s">
        <v>416</v>
      </c>
      <c r="AN25">
        <v>10366.9</v>
      </c>
      <c r="AO25">
        <v>993.59653846153856</v>
      </c>
      <c r="AP25">
        <v>3431.87</v>
      </c>
      <c r="AQ25">
        <f t="shared" si="26"/>
        <v>0.71047955241266758</v>
      </c>
      <c r="AR25">
        <v>-3.9894345373445681</v>
      </c>
      <c r="AS25" t="s">
        <v>463</v>
      </c>
      <c r="AT25">
        <v>10368.700000000001</v>
      </c>
      <c r="AU25">
        <v>711.30619230769241</v>
      </c>
      <c r="AV25">
        <v>963.70740347897276</v>
      </c>
      <c r="AW25">
        <f t="shared" si="27"/>
        <v>0.26190647727735084</v>
      </c>
      <c r="AX25">
        <v>0.5</v>
      </c>
      <c r="AY25">
        <f t="shared" si="28"/>
        <v>1513.125599822333</v>
      </c>
      <c r="AZ25">
        <f t="shared" si="29"/>
        <v>39.973522207054138</v>
      </c>
      <c r="BA25">
        <f t="shared" si="30"/>
        <v>198.14869776382287</v>
      </c>
      <c r="BB25">
        <f t="shared" si="31"/>
        <v>2.9054400209447728E-2</v>
      </c>
      <c r="BC25">
        <f t="shared" si="32"/>
        <v>2.5611120010191764</v>
      </c>
      <c r="BD25">
        <f t="shared" si="33"/>
        <v>570.54251773163332</v>
      </c>
      <c r="BE25" t="s">
        <v>464</v>
      </c>
      <c r="BF25">
        <v>582.66</v>
      </c>
      <c r="BG25">
        <f t="shared" si="34"/>
        <v>582.66</v>
      </c>
      <c r="BH25">
        <f t="shared" si="35"/>
        <v>0.3953974018497689</v>
      </c>
      <c r="BI25">
        <f t="shared" si="36"/>
        <v>0.66238795715926857</v>
      </c>
      <c r="BJ25">
        <f t="shared" si="37"/>
        <v>0.86626208546264649</v>
      </c>
      <c r="BK25">
        <f t="shared" si="38"/>
        <v>-8.4445806584400955</v>
      </c>
      <c r="BL25">
        <f t="shared" si="39"/>
        <v>1.0122583194436716</v>
      </c>
      <c r="BM25">
        <f t="shared" si="40"/>
        <v>0.54258907245878285</v>
      </c>
      <c r="BN25">
        <f t="shared" si="41"/>
        <v>0.45741092754121715</v>
      </c>
      <c r="BO25">
        <v>2165</v>
      </c>
      <c r="BP25">
        <v>290.00000000000011</v>
      </c>
      <c r="BQ25">
        <v>893.72</v>
      </c>
      <c r="BR25">
        <v>175</v>
      </c>
      <c r="BS25">
        <v>10368.700000000001</v>
      </c>
      <c r="BT25">
        <v>890.89</v>
      </c>
      <c r="BU25">
        <v>2.83</v>
      </c>
      <c r="BV25">
        <v>300.00000000000011</v>
      </c>
      <c r="BW25">
        <v>38.4</v>
      </c>
      <c r="BX25">
        <v>963.70740347897276</v>
      </c>
      <c r="BY25">
        <v>1.30469808497309</v>
      </c>
      <c r="BZ25">
        <v>-75.49952854762239</v>
      </c>
      <c r="CA25">
        <v>1.1067500941452251</v>
      </c>
      <c r="CB25">
        <v>0.99401914277297498</v>
      </c>
      <c r="CC25">
        <v>-1.1277327697441599E-2</v>
      </c>
      <c r="CD25">
        <v>289.99999999999989</v>
      </c>
      <c r="CE25">
        <v>883.37</v>
      </c>
      <c r="CF25">
        <v>635</v>
      </c>
      <c r="CG25">
        <v>10346.6</v>
      </c>
      <c r="CH25">
        <v>890.74</v>
      </c>
      <c r="CI25">
        <v>-7.37</v>
      </c>
      <c r="CW25">
        <f t="shared" si="42"/>
        <v>1799.93</v>
      </c>
      <c r="CX25">
        <f t="shared" si="43"/>
        <v>1513.125599822333</v>
      </c>
      <c r="CY25">
        <f t="shared" si="44"/>
        <v>0.8406580254911763</v>
      </c>
      <c r="CZ25">
        <f t="shared" si="45"/>
        <v>0.19131605098235274</v>
      </c>
      <c r="DA25">
        <v>6</v>
      </c>
      <c r="DB25">
        <v>0.5</v>
      </c>
      <c r="DC25" t="s">
        <v>419</v>
      </c>
      <c r="DD25">
        <v>2</v>
      </c>
      <c r="DE25">
        <v>1693496059.5</v>
      </c>
      <c r="DF25">
        <v>349.86700000000002</v>
      </c>
      <c r="DG25">
        <v>400.00400000000002</v>
      </c>
      <c r="DH25">
        <v>29.200600000000001</v>
      </c>
      <c r="DI25">
        <v>23.333600000000001</v>
      </c>
      <c r="DJ25">
        <v>348.67399999999998</v>
      </c>
      <c r="DK25">
        <v>28.130700000000001</v>
      </c>
      <c r="DL25">
        <v>499.43400000000003</v>
      </c>
      <c r="DM25">
        <v>99.674999999999997</v>
      </c>
      <c r="DN25">
        <v>9.9963300000000005E-2</v>
      </c>
      <c r="DO25">
        <v>30.845800000000001</v>
      </c>
      <c r="DP25">
        <v>30.010300000000001</v>
      </c>
      <c r="DQ25">
        <v>999.9</v>
      </c>
      <c r="DR25">
        <v>0</v>
      </c>
      <c r="DS25">
        <v>0</v>
      </c>
      <c r="DT25">
        <v>9970</v>
      </c>
      <c r="DU25">
        <v>0</v>
      </c>
      <c r="DV25">
        <v>1177.2</v>
      </c>
      <c r="DW25">
        <v>-50.137500000000003</v>
      </c>
      <c r="DX25">
        <v>360.39</v>
      </c>
      <c r="DY25">
        <v>409.56099999999998</v>
      </c>
      <c r="DZ25">
        <v>5.8669599999999997</v>
      </c>
      <c r="EA25">
        <v>400.00400000000002</v>
      </c>
      <c r="EB25">
        <v>23.333600000000001</v>
      </c>
      <c r="EC25">
        <v>2.9105699999999999</v>
      </c>
      <c r="ED25">
        <v>2.32578</v>
      </c>
      <c r="EE25">
        <v>23.524899999999999</v>
      </c>
      <c r="EF25">
        <v>19.856000000000002</v>
      </c>
      <c r="EG25">
        <v>1799.93</v>
      </c>
      <c r="EH25">
        <v>0.97800299999999996</v>
      </c>
      <c r="EI25">
        <v>2.1996700000000001E-2</v>
      </c>
      <c r="EJ25">
        <v>0</v>
      </c>
      <c r="EK25">
        <v>712.15099999999995</v>
      </c>
      <c r="EL25">
        <v>5.0002700000000004</v>
      </c>
      <c r="EM25">
        <v>13600.6</v>
      </c>
      <c r="EN25">
        <v>16248</v>
      </c>
      <c r="EO25">
        <v>45.875</v>
      </c>
      <c r="EP25">
        <v>46.811999999999998</v>
      </c>
      <c r="EQ25">
        <v>46.75</v>
      </c>
      <c r="ER25">
        <v>46.5</v>
      </c>
      <c r="ES25">
        <v>47.625</v>
      </c>
      <c r="ET25">
        <v>1755.45</v>
      </c>
      <c r="EU25">
        <v>39.479999999999997</v>
      </c>
      <c r="EV25">
        <v>0</v>
      </c>
      <c r="EW25">
        <v>151.79999995231631</v>
      </c>
      <c r="EX25">
        <v>0</v>
      </c>
      <c r="EY25">
        <v>711.30619230769241</v>
      </c>
      <c r="EZ25">
        <v>5.0192478853207074</v>
      </c>
      <c r="FA25">
        <v>89.500854710796276</v>
      </c>
      <c r="FB25">
        <v>13588.46538461538</v>
      </c>
      <c r="FC25">
        <v>15</v>
      </c>
      <c r="FD25">
        <v>1693496016.5</v>
      </c>
      <c r="FE25" t="s">
        <v>465</v>
      </c>
      <c r="FF25">
        <v>1693495998</v>
      </c>
      <c r="FG25">
        <v>1693496016.5</v>
      </c>
      <c r="FH25">
        <v>11</v>
      </c>
      <c r="FI25">
        <v>7.3999999999999996E-2</v>
      </c>
      <c r="FJ25">
        <v>1.2999999999999999E-2</v>
      </c>
      <c r="FK25">
        <v>1.1970000000000001</v>
      </c>
      <c r="FL25">
        <v>0.73299999999999998</v>
      </c>
      <c r="FM25">
        <v>400</v>
      </c>
      <c r="FN25">
        <v>23</v>
      </c>
      <c r="FO25">
        <v>0.11</v>
      </c>
      <c r="FP25">
        <v>0.05</v>
      </c>
      <c r="FQ25">
        <v>39.8155002120373</v>
      </c>
      <c r="FR25">
        <v>0.62063740842832804</v>
      </c>
      <c r="FS25">
        <v>8.679382565660626E-2</v>
      </c>
      <c r="FT25">
        <v>1</v>
      </c>
      <c r="FU25">
        <v>0.39173925268212628</v>
      </c>
      <c r="FV25">
        <v>-4.4489948304392908E-2</v>
      </c>
      <c r="FW25">
        <v>3.2673465788381779E-3</v>
      </c>
      <c r="FX25">
        <v>1</v>
      </c>
      <c r="FY25">
        <v>2</v>
      </c>
      <c r="FZ25">
        <v>2</v>
      </c>
      <c r="GA25" t="s">
        <v>421</v>
      </c>
      <c r="GB25">
        <v>3.1176599999999999</v>
      </c>
      <c r="GC25">
        <v>2.8648500000000001</v>
      </c>
      <c r="GD25">
        <v>8.4467899999999999E-2</v>
      </c>
      <c r="GE25">
        <v>9.6477400000000005E-2</v>
      </c>
      <c r="GF25">
        <v>0.13195699999999999</v>
      </c>
      <c r="GG25">
        <v>0.11855599999999999</v>
      </c>
      <c r="GH25">
        <v>27914.3</v>
      </c>
      <c r="GI25">
        <v>21268.2</v>
      </c>
      <c r="GJ25">
        <v>29373.5</v>
      </c>
      <c r="GK25">
        <v>21927.4</v>
      </c>
      <c r="GL25">
        <v>34094.800000000003</v>
      </c>
      <c r="GM25">
        <v>26561.9</v>
      </c>
      <c r="GN25">
        <v>40763.599999999999</v>
      </c>
      <c r="GO25">
        <v>31128.3</v>
      </c>
      <c r="GP25">
        <v>2.0739999999999998</v>
      </c>
      <c r="GQ25">
        <v>1.9109</v>
      </c>
      <c r="GR25">
        <v>0.12216</v>
      </c>
      <c r="GS25">
        <v>0</v>
      </c>
      <c r="GT25">
        <v>28.019100000000002</v>
      </c>
      <c r="GU25">
        <v>999.9</v>
      </c>
      <c r="GV25">
        <v>48.5</v>
      </c>
      <c r="GW25">
        <v>37.200000000000003</v>
      </c>
      <c r="GX25">
        <v>31.0124</v>
      </c>
      <c r="GY25">
        <v>62.327599999999997</v>
      </c>
      <c r="GZ25">
        <v>13.773999999999999</v>
      </c>
      <c r="HA25">
        <v>1</v>
      </c>
      <c r="HB25">
        <v>-6.3567100000000001E-2</v>
      </c>
      <c r="HC25">
        <v>-0.21588199999999999</v>
      </c>
      <c r="HD25">
        <v>20.275600000000001</v>
      </c>
      <c r="HE25">
        <v>5.2352600000000002</v>
      </c>
      <c r="HF25">
        <v>11.968</v>
      </c>
      <c r="HG25">
        <v>4.9748000000000001</v>
      </c>
      <c r="HH25">
        <v>3.2829999999999999</v>
      </c>
      <c r="HI25">
        <v>9999</v>
      </c>
      <c r="HJ25">
        <v>9999</v>
      </c>
      <c r="HK25">
        <v>9999</v>
      </c>
      <c r="HL25">
        <v>999.9</v>
      </c>
      <c r="HM25">
        <v>1.86138</v>
      </c>
      <c r="HN25">
        <v>1.8629599999999999</v>
      </c>
      <c r="HO25">
        <v>1.86835</v>
      </c>
      <c r="HP25">
        <v>1.8591299999999999</v>
      </c>
      <c r="HQ25">
        <v>1.85745</v>
      </c>
      <c r="HR25">
        <v>1.86111</v>
      </c>
      <c r="HS25">
        <v>1.86496</v>
      </c>
      <c r="HT25">
        <v>1.86704</v>
      </c>
      <c r="HU25">
        <v>5</v>
      </c>
      <c r="HV25">
        <v>0</v>
      </c>
      <c r="HW25">
        <v>0</v>
      </c>
      <c r="HX25">
        <v>0</v>
      </c>
      <c r="HY25" t="s">
        <v>422</v>
      </c>
      <c r="HZ25" t="s">
        <v>423</v>
      </c>
      <c r="IA25" t="s">
        <v>424</v>
      </c>
      <c r="IB25" t="s">
        <v>424</v>
      </c>
      <c r="IC25" t="s">
        <v>424</v>
      </c>
      <c r="ID25" t="s">
        <v>424</v>
      </c>
      <c r="IE25">
        <v>0</v>
      </c>
      <c r="IF25">
        <v>100</v>
      </c>
      <c r="IG25">
        <v>100</v>
      </c>
      <c r="IH25">
        <v>1.1930000000000001</v>
      </c>
      <c r="II25">
        <v>1.0699000000000001</v>
      </c>
      <c r="IJ25">
        <v>0.98598641218249938</v>
      </c>
      <c r="IK25">
        <v>1.118558698776514E-3</v>
      </c>
      <c r="IL25">
        <v>-1.6939696309573479E-6</v>
      </c>
      <c r="IM25">
        <v>5.4698917449866148E-10</v>
      </c>
      <c r="IN25">
        <v>0.15424319194001199</v>
      </c>
      <c r="IO25">
        <v>-7.6058941998734366E-3</v>
      </c>
      <c r="IP25">
        <v>1.6984902717538061E-3</v>
      </c>
      <c r="IQ25">
        <v>-9.6352527008986976E-6</v>
      </c>
      <c r="IR25">
        <v>2</v>
      </c>
      <c r="IS25">
        <v>2021</v>
      </c>
      <c r="IT25">
        <v>2</v>
      </c>
      <c r="IU25">
        <v>40</v>
      </c>
      <c r="IV25">
        <v>1</v>
      </c>
      <c r="IW25">
        <v>0.7</v>
      </c>
      <c r="IX25">
        <v>1.02905</v>
      </c>
      <c r="IY25">
        <v>2.51831</v>
      </c>
      <c r="IZ25">
        <v>1.34399</v>
      </c>
      <c r="JA25">
        <v>2.2460900000000001</v>
      </c>
      <c r="JB25">
        <v>1.5918000000000001</v>
      </c>
      <c r="JC25">
        <v>2.49756</v>
      </c>
      <c r="JD25">
        <v>43.8917</v>
      </c>
      <c r="JE25">
        <v>24.105</v>
      </c>
      <c r="JF25">
        <v>18</v>
      </c>
      <c r="JG25">
        <v>508.286</v>
      </c>
      <c r="JH25">
        <v>443.02499999999998</v>
      </c>
      <c r="JI25">
        <v>28.631799999999998</v>
      </c>
      <c r="JJ25">
        <v>26.662400000000002</v>
      </c>
      <c r="JK25">
        <v>30.000699999999998</v>
      </c>
      <c r="JL25">
        <v>26.519100000000002</v>
      </c>
      <c r="JM25">
        <v>26.4621</v>
      </c>
      <c r="JN25">
        <v>20.687200000000001</v>
      </c>
      <c r="JO25">
        <v>29.874500000000001</v>
      </c>
      <c r="JP25">
        <v>90.420500000000004</v>
      </c>
      <c r="JQ25">
        <v>28.631699999999999</v>
      </c>
      <c r="JR25">
        <v>400</v>
      </c>
      <c r="JS25">
        <v>23.485499999999998</v>
      </c>
      <c r="JT25">
        <v>100.149</v>
      </c>
      <c r="JU25">
        <v>98.382900000000006</v>
      </c>
    </row>
    <row r="26" spans="1:281" x14ac:dyDescent="0.25">
      <c r="A26">
        <v>10</v>
      </c>
      <c r="B26">
        <v>1693496188</v>
      </c>
      <c r="C26">
        <v>1261.400000095367</v>
      </c>
      <c r="D26" t="s">
        <v>466</v>
      </c>
      <c r="E26" t="s">
        <v>467</v>
      </c>
      <c r="F26" t="s">
        <v>413</v>
      </c>
      <c r="G26" t="s">
        <v>414</v>
      </c>
      <c r="H26" t="s">
        <v>415</v>
      </c>
      <c r="I26" t="s">
        <v>31</v>
      </c>
      <c r="J26">
        <v>1693496188</v>
      </c>
      <c r="K26">
        <f t="shared" si="0"/>
        <v>4.8074420487812398E-3</v>
      </c>
      <c r="L26">
        <f t="shared" si="1"/>
        <v>4.8074420487812395</v>
      </c>
      <c r="M26">
        <f t="shared" si="2"/>
        <v>41.792630835305197</v>
      </c>
      <c r="N26">
        <f t="shared" si="3"/>
        <v>447.27800000000002</v>
      </c>
      <c r="O26">
        <f t="shared" si="4"/>
        <v>243.88220938144789</v>
      </c>
      <c r="P26">
        <f t="shared" si="5"/>
        <v>24.33064498227181</v>
      </c>
      <c r="Q26">
        <f t="shared" si="6"/>
        <v>44.622206162482009</v>
      </c>
      <c r="R26">
        <f t="shared" si="7"/>
        <v>0.36191426737225341</v>
      </c>
      <c r="S26">
        <f t="shared" si="8"/>
        <v>2.9166193759708317</v>
      </c>
      <c r="T26">
        <f t="shared" si="9"/>
        <v>0.33868810301377833</v>
      </c>
      <c r="U26">
        <f t="shared" si="10"/>
        <v>0.21364250965896875</v>
      </c>
      <c r="V26">
        <f t="shared" si="11"/>
        <v>344.37829964468995</v>
      </c>
      <c r="W26">
        <f t="shared" si="12"/>
        <v>31.546278764566249</v>
      </c>
      <c r="X26">
        <f t="shared" si="13"/>
        <v>30.004999999999999</v>
      </c>
      <c r="Y26">
        <f t="shared" si="14"/>
        <v>4.2616735092747486</v>
      </c>
      <c r="Z26">
        <f t="shared" si="15"/>
        <v>65.070671856443298</v>
      </c>
      <c r="AA26">
        <f t="shared" si="16"/>
        <v>2.8963959783675</v>
      </c>
      <c r="AB26">
        <f t="shared" si="17"/>
        <v>4.4511542538817341</v>
      </c>
      <c r="AC26">
        <f t="shared" si="18"/>
        <v>1.3652775309072487</v>
      </c>
      <c r="AD26">
        <f t="shared" si="19"/>
        <v>-212.00819435125268</v>
      </c>
      <c r="AE26">
        <f t="shared" si="20"/>
        <v>119.42437529407978</v>
      </c>
      <c r="AF26">
        <f t="shared" si="21"/>
        <v>9.1391614559419683</v>
      </c>
      <c r="AG26">
        <f t="shared" si="22"/>
        <v>260.93364204345903</v>
      </c>
      <c r="AH26">
        <v>0</v>
      </c>
      <c r="AI26">
        <v>0</v>
      </c>
      <c r="AJ26">
        <f t="shared" si="23"/>
        <v>1</v>
      </c>
      <c r="AK26">
        <f t="shared" si="24"/>
        <v>0</v>
      </c>
      <c r="AL26">
        <f t="shared" si="25"/>
        <v>51846.30313544914</v>
      </c>
      <c r="AM26" t="s">
        <v>416</v>
      </c>
      <c r="AN26">
        <v>10366.9</v>
      </c>
      <c r="AO26">
        <v>993.59653846153856</v>
      </c>
      <c r="AP26">
        <v>3431.87</v>
      </c>
      <c r="AQ26">
        <f t="shared" si="26"/>
        <v>0.71047955241266758</v>
      </c>
      <c r="AR26">
        <v>-3.9894345373445681</v>
      </c>
      <c r="AS26" t="s">
        <v>468</v>
      </c>
      <c r="AT26">
        <v>10373.1</v>
      </c>
      <c r="AU26">
        <v>723.80769230769226</v>
      </c>
      <c r="AV26">
        <v>1002.428477957841</v>
      </c>
      <c r="AW26">
        <f t="shared" si="27"/>
        <v>0.27794580040040184</v>
      </c>
      <c r="AX26">
        <v>0.5</v>
      </c>
      <c r="AY26">
        <f t="shared" si="28"/>
        <v>1513.2263998223448</v>
      </c>
      <c r="AZ26">
        <f t="shared" si="29"/>
        <v>41.792630835305197</v>
      </c>
      <c r="BA26">
        <f t="shared" si="30"/>
        <v>210.29746144282007</v>
      </c>
      <c r="BB26">
        <f t="shared" si="31"/>
        <v>3.0254603923130508E-2</v>
      </c>
      <c r="BC26">
        <f t="shared" si="32"/>
        <v>2.42355596978993</v>
      </c>
      <c r="BD26">
        <f t="shared" si="33"/>
        <v>583.89530110297551</v>
      </c>
      <c r="BE26" t="s">
        <v>469</v>
      </c>
      <c r="BF26">
        <v>591.07000000000005</v>
      </c>
      <c r="BG26">
        <f t="shared" si="34"/>
        <v>591.07000000000005</v>
      </c>
      <c r="BH26">
        <f t="shared" si="35"/>
        <v>0.41036192307292108</v>
      </c>
      <c r="BI26">
        <f t="shared" si="36"/>
        <v>0.67731869058185268</v>
      </c>
      <c r="BJ26">
        <f t="shared" si="37"/>
        <v>0.85519625529504328</v>
      </c>
      <c r="BK26">
        <f t="shared" si="38"/>
        <v>31.546953618375209</v>
      </c>
      <c r="BL26">
        <f t="shared" si="39"/>
        <v>0.99637778959759082</v>
      </c>
      <c r="BM26">
        <f t="shared" si="40"/>
        <v>0.55310652635621493</v>
      </c>
      <c r="BN26">
        <f t="shared" si="41"/>
        <v>0.44689347364378507</v>
      </c>
      <c r="BO26">
        <v>2167</v>
      </c>
      <c r="BP26">
        <v>290.00000000000011</v>
      </c>
      <c r="BQ26">
        <v>925.07</v>
      </c>
      <c r="BR26">
        <v>145</v>
      </c>
      <c r="BS26">
        <v>10373.1</v>
      </c>
      <c r="BT26">
        <v>922.13</v>
      </c>
      <c r="BU26">
        <v>2.94</v>
      </c>
      <c r="BV26">
        <v>300.00000000000011</v>
      </c>
      <c r="BW26">
        <v>38.4</v>
      </c>
      <c r="BX26">
        <v>1002.428477957841</v>
      </c>
      <c r="BY26">
        <v>1.472098341601437</v>
      </c>
      <c r="BZ26">
        <v>-83.294520485685567</v>
      </c>
      <c r="CA26">
        <v>1.2486452427691199</v>
      </c>
      <c r="CB26">
        <v>0.99374713303066509</v>
      </c>
      <c r="CC26">
        <v>-1.1276454060066761E-2</v>
      </c>
      <c r="CD26">
        <v>289.99999999999989</v>
      </c>
      <c r="CE26">
        <v>913.98</v>
      </c>
      <c r="CF26">
        <v>645</v>
      </c>
      <c r="CG26">
        <v>10344.799999999999</v>
      </c>
      <c r="CH26">
        <v>921.91</v>
      </c>
      <c r="CI26">
        <v>-7.93</v>
      </c>
      <c r="CW26">
        <f t="shared" si="42"/>
        <v>1800.05</v>
      </c>
      <c r="CX26">
        <f t="shared" si="43"/>
        <v>1513.2263998223448</v>
      </c>
      <c r="CY26">
        <f t="shared" si="44"/>
        <v>0.84065798162403538</v>
      </c>
      <c r="CZ26">
        <f t="shared" si="45"/>
        <v>0.19131596324807085</v>
      </c>
      <c r="DA26">
        <v>6</v>
      </c>
      <c r="DB26">
        <v>0.5</v>
      </c>
      <c r="DC26" t="s">
        <v>419</v>
      </c>
      <c r="DD26">
        <v>2</v>
      </c>
      <c r="DE26">
        <v>1693496188</v>
      </c>
      <c r="DF26">
        <v>447.27800000000002</v>
      </c>
      <c r="DG26">
        <v>500.01</v>
      </c>
      <c r="DH26">
        <v>29.032499999999999</v>
      </c>
      <c r="DI26">
        <v>23.431000000000001</v>
      </c>
      <c r="DJ26">
        <v>446.00400000000002</v>
      </c>
      <c r="DK26">
        <v>27.982399999999998</v>
      </c>
      <c r="DL26">
        <v>499.995</v>
      </c>
      <c r="DM26">
        <v>99.663399999999996</v>
      </c>
      <c r="DN26">
        <v>0.100519</v>
      </c>
      <c r="DO26">
        <v>30.764500000000002</v>
      </c>
      <c r="DP26">
        <v>30.004999999999999</v>
      </c>
      <c r="DQ26">
        <v>999.9</v>
      </c>
      <c r="DR26">
        <v>0</v>
      </c>
      <c r="DS26">
        <v>0</v>
      </c>
      <c r="DT26">
        <v>9960</v>
      </c>
      <c r="DU26">
        <v>0</v>
      </c>
      <c r="DV26">
        <v>1019.29</v>
      </c>
      <c r="DW26">
        <v>-52.731299999999997</v>
      </c>
      <c r="DX26">
        <v>460.65199999999999</v>
      </c>
      <c r="DY26">
        <v>512.00699999999995</v>
      </c>
      <c r="DZ26">
        <v>5.6015600000000001</v>
      </c>
      <c r="EA26">
        <v>500.01</v>
      </c>
      <c r="EB26">
        <v>23.431000000000001</v>
      </c>
      <c r="EC26">
        <v>2.8934799999999998</v>
      </c>
      <c r="ED26">
        <v>2.33521</v>
      </c>
      <c r="EE26">
        <v>23.427299999999999</v>
      </c>
      <c r="EF26">
        <v>19.921399999999998</v>
      </c>
      <c r="EG26">
        <v>1800.05</v>
      </c>
      <c r="EH26">
        <v>0.97800699999999996</v>
      </c>
      <c r="EI26">
        <v>2.1993100000000002E-2</v>
      </c>
      <c r="EJ26">
        <v>0</v>
      </c>
      <c r="EK26">
        <v>723.82299999999998</v>
      </c>
      <c r="EL26">
        <v>5.0002700000000004</v>
      </c>
      <c r="EM26">
        <v>13646.7</v>
      </c>
      <c r="EN26">
        <v>16249.1</v>
      </c>
      <c r="EO26">
        <v>45.936999999999998</v>
      </c>
      <c r="EP26">
        <v>46.936999999999998</v>
      </c>
      <c r="EQ26">
        <v>46.875</v>
      </c>
      <c r="ER26">
        <v>46.686999999999998</v>
      </c>
      <c r="ES26">
        <v>47.686999999999998</v>
      </c>
      <c r="ET26">
        <v>1755.57</v>
      </c>
      <c r="EU26">
        <v>39.479999999999997</v>
      </c>
      <c r="EV26">
        <v>0</v>
      </c>
      <c r="EW26">
        <v>126.6000001430511</v>
      </c>
      <c r="EX26">
        <v>0</v>
      </c>
      <c r="EY26">
        <v>723.80769230769226</v>
      </c>
      <c r="EZ26">
        <v>4.7179549775514563E-3</v>
      </c>
      <c r="FA26">
        <v>1686.714529996776</v>
      </c>
      <c r="FB26">
        <v>13535.23076923077</v>
      </c>
      <c r="FC26">
        <v>15</v>
      </c>
      <c r="FD26">
        <v>1693496157.5</v>
      </c>
      <c r="FE26" t="s">
        <v>470</v>
      </c>
      <c r="FF26">
        <v>1693496154.5</v>
      </c>
      <c r="FG26">
        <v>1693496157.5</v>
      </c>
      <c r="FH26">
        <v>12</v>
      </c>
      <c r="FI26">
        <v>7.8E-2</v>
      </c>
      <c r="FJ26">
        <v>-0.01</v>
      </c>
      <c r="FK26">
        <v>1.268</v>
      </c>
      <c r="FL26">
        <v>0.72</v>
      </c>
      <c r="FM26">
        <v>500</v>
      </c>
      <c r="FN26">
        <v>23</v>
      </c>
      <c r="FO26">
        <v>0.13</v>
      </c>
      <c r="FP26">
        <v>0.05</v>
      </c>
      <c r="FQ26">
        <v>41.851664369604933</v>
      </c>
      <c r="FR26">
        <v>-0.49843199363778601</v>
      </c>
      <c r="FS26">
        <v>0.10679655234932089</v>
      </c>
      <c r="FT26">
        <v>1</v>
      </c>
      <c r="FU26">
        <v>0.36844088868259689</v>
      </c>
      <c r="FV26">
        <v>4.5674362698212498E-3</v>
      </c>
      <c r="FW26">
        <v>4.0184548751188891E-3</v>
      </c>
      <c r="FX26">
        <v>1</v>
      </c>
      <c r="FY26">
        <v>2</v>
      </c>
      <c r="FZ26">
        <v>2</v>
      </c>
      <c r="GA26" t="s">
        <v>421</v>
      </c>
      <c r="GB26">
        <v>3.1183299999999998</v>
      </c>
      <c r="GC26">
        <v>2.8653300000000002</v>
      </c>
      <c r="GD26">
        <v>0.102121</v>
      </c>
      <c r="GE26">
        <v>0.11397400000000001</v>
      </c>
      <c r="GF26">
        <v>0.13141900000000001</v>
      </c>
      <c r="GG26">
        <v>0.118856</v>
      </c>
      <c r="GH26">
        <v>27367.8</v>
      </c>
      <c r="GI26">
        <v>20850.400000000001</v>
      </c>
      <c r="GJ26">
        <v>29365.3</v>
      </c>
      <c r="GK26">
        <v>21921.4</v>
      </c>
      <c r="GL26">
        <v>34111.199999999997</v>
      </c>
      <c r="GM26">
        <v>26548</v>
      </c>
      <c r="GN26">
        <v>40752.1</v>
      </c>
      <c r="GO26">
        <v>31120.7</v>
      </c>
      <c r="GP26">
        <v>2.0728</v>
      </c>
      <c r="GQ26">
        <v>1.9054</v>
      </c>
      <c r="GR26">
        <v>0.12767300000000001</v>
      </c>
      <c r="GS26">
        <v>0</v>
      </c>
      <c r="GT26">
        <v>27.9238</v>
      </c>
      <c r="GU26">
        <v>999.9</v>
      </c>
      <c r="GV26">
        <v>48.1</v>
      </c>
      <c r="GW26">
        <v>37.4</v>
      </c>
      <c r="GX26">
        <v>31.097000000000001</v>
      </c>
      <c r="GY26">
        <v>62.477499999999999</v>
      </c>
      <c r="GZ26">
        <v>13.6258</v>
      </c>
      <c r="HA26">
        <v>1</v>
      </c>
      <c r="HB26">
        <v>-5.0396299999999998E-2</v>
      </c>
      <c r="HC26">
        <v>-0.77622000000000002</v>
      </c>
      <c r="HD26">
        <v>20.2742</v>
      </c>
      <c r="HE26">
        <v>5.2352600000000002</v>
      </c>
      <c r="HF26">
        <v>11.968</v>
      </c>
      <c r="HG26">
        <v>4.9740000000000002</v>
      </c>
      <c r="HH26">
        <v>3.2829999999999999</v>
      </c>
      <c r="HI26">
        <v>9999</v>
      </c>
      <c r="HJ26">
        <v>9999</v>
      </c>
      <c r="HK26">
        <v>9999</v>
      </c>
      <c r="HL26">
        <v>999.9</v>
      </c>
      <c r="HM26">
        <v>1.8613200000000001</v>
      </c>
      <c r="HN26">
        <v>1.8629800000000001</v>
      </c>
      <c r="HO26">
        <v>1.86836</v>
      </c>
      <c r="HP26">
        <v>1.8591200000000001</v>
      </c>
      <c r="HQ26">
        <v>1.85745</v>
      </c>
      <c r="HR26">
        <v>1.86111</v>
      </c>
      <c r="HS26">
        <v>1.86493</v>
      </c>
      <c r="HT26">
        <v>1.86707</v>
      </c>
      <c r="HU26">
        <v>5</v>
      </c>
      <c r="HV26">
        <v>0</v>
      </c>
      <c r="HW26">
        <v>0</v>
      </c>
      <c r="HX26">
        <v>0</v>
      </c>
      <c r="HY26" t="s">
        <v>422</v>
      </c>
      <c r="HZ26" t="s">
        <v>423</v>
      </c>
      <c r="IA26" t="s">
        <v>424</v>
      </c>
      <c r="IB26" t="s">
        <v>424</v>
      </c>
      <c r="IC26" t="s">
        <v>424</v>
      </c>
      <c r="ID26" t="s">
        <v>424</v>
      </c>
      <c r="IE26">
        <v>0</v>
      </c>
      <c r="IF26">
        <v>100</v>
      </c>
      <c r="IG26">
        <v>100</v>
      </c>
      <c r="IH26">
        <v>1.274</v>
      </c>
      <c r="II26">
        <v>1.0501</v>
      </c>
      <c r="IJ26">
        <v>1.0640873857511479</v>
      </c>
      <c r="IK26">
        <v>1.118558698776514E-3</v>
      </c>
      <c r="IL26">
        <v>-1.6939696309573479E-6</v>
      </c>
      <c r="IM26">
        <v>5.4698917449866148E-10</v>
      </c>
      <c r="IN26">
        <v>0.14418641652988559</v>
      </c>
      <c r="IO26">
        <v>-7.6058941998734366E-3</v>
      </c>
      <c r="IP26">
        <v>1.6984902717538061E-3</v>
      </c>
      <c r="IQ26">
        <v>-9.6352527008986976E-6</v>
      </c>
      <c r="IR26">
        <v>2</v>
      </c>
      <c r="IS26">
        <v>2021</v>
      </c>
      <c r="IT26">
        <v>2</v>
      </c>
      <c r="IU26">
        <v>40</v>
      </c>
      <c r="IV26">
        <v>0.6</v>
      </c>
      <c r="IW26">
        <v>0.5</v>
      </c>
      <c r="IX26">
        <v>1.23291</v>
      </c>
      <c r="IY26">
        <v>2.52319</v>
      </c>
      <c r="IZ26">
        <v>1.34399</v>
      </c>
      <c r="JA26">
        <v>2.2460900000000001</v>
      </c>
      <c r="JB26">
        <v>1.5918000000000001</v>
      </c>
      <c r="JC26">
        <v>2.48169</v>
      </c>
      <c r="JD26">
        <v>44.14</v>
      </c>
      <c r="JE26">
        <v>24.096299999999999</v>
      </c>
      <c r="JF26">
        <v>18</v>
      </c>
      <c r="JG26">
        <v>508.678</v>
      </c>
      <c r="JH26">
        <v>440.5</v>
      </c>
      <c r="JI26">
        <v>29.177800000000001</v>
      </c>
      <c r="JJ26">
        <v>26.817900000000002</v>
      </c>
      <c r="JK26">
        <v>30.0001</v>
      </c>
      <c r="JL26">
        <v>26.6388</v>
      </c>
      <c r="JM26">
        <v>26.571300000000001</v>
      </c>
      <c r="JN26">
        <v>24.7441</v>
      </c>
      <c r="JO26">
        <v>30.4102</v>
      </c>
      <c r="JP26">
        <v>88.647199999999998</v>
      </c>
      <c r="JQ26">
        <v>29.2287</v>
      </c>
      <c r="JR26">
        <v>500</v>
      </c>
      <c r="JS26">
        <v>23.447399999999998</v>
      </c>
      <c r="JT26">
        <v>100.121</v>
      </c>
      <c r="JU26">
        <v>98.357600000000005</v>
      </c>
    </row>
    <row r="27" spans="1:281" x14ac:dyDescent="0.25">
      <c r="A27">
        <v>11</v>
      </c>
      <c r="B27">
        <v>1693496311.5</v>
      </c>
      <c r="C27">
        <v>1384.900000095367</v>
      </c>
      <c r="D27" t="s">
        <v>471</v>
      </c>
      <c r="E27" t="s">
        <v>472</v>
      </c>
      <c r="F27" t="s">
        <v>413</v>
      </c>
      <c r="G27" t="s">
        <v>414</v>
      </c>
      <c r="H27" t="s">
        <v>415</v>
      </c>
      <c r="I27" t="s">
        <v>31</v>
      </c>
      <c r="J27">
        <v>1693496311.5</v>
      </c>
      <c r="K27">
        <f t="shared" si="0"/>
        <v>4.5475388611040087E-3</v>
      </c>
      <c r="L27">
        <f t="shared" si="1"/>
        <v>4.5475388611040088</v>
      </c>
      <c r="M27">
        <f t="shared" si="2"/>
        <v>42.531065836919069</v>
      </c>
      <c r="N27">
        <f t="shared" si="3"/>
        <v>645.51900000000001</v>
      </c>
      <c r="O27">
        <f t="shared" si="4"/>
        <v>420.73498580769291</v>
      </c>
      <c r="P27">
        <f t="shared" si="5"/>
        <v>41.975338121361958</v>
      </c>
      <c r="Q27">
        <f t="shared" si="6"/>
        <v>64.401295834115089</v>
      </c>
      <c r="R27">
        <f t="shared" si="7"/>
        <v>0.33747082649638382</v>
      </c>
      <c r="S27">
        <f t="shared" si="8"/>
        <v>2.9263392535989023</v>
      </c>
      <c r="T27">
        <f t="shared" si="9"/>
        <v>0.31724478224059366</v>
      </c>
      <c r="U27">
        <f t="shared" si="10"/>
        <v>0.19999412198677319</v>
      </c>
      <c r="V27">
        <f t="shared" si="11"/>
        <v>344.41619964445749</v>
      </c>
      <c r="W27">
        <f t="shared" si="12"/>
        <v>31.557906035343017</v>
      </c>
      <c r="X27">
        <f t="shared" si="13"/>
        <v>29.994199999999999</v>
      </c>
      <c r="Y27">
        <f t="shared" si="14"/>
        <v>4.2590306213415525</v>
      </c>
      <c r="Z27">
        <f t="shared" si="15"/>
        <v>64.903251124155062</v>
      </c>
      <c r="AA27">
        <f t="shared" si="16"/>
        <v>2.8800948206450698</v>
      </c>
      <c r="AB27">
        <f t="shared" si="17"/>
        <v>4.4375201099489825</v>
      </c>
      <c r="AC27">
        <f t="shared" si="18"/>
        <v>1.3789358006964827</v>
      </c>
      <c r="AD27">
        <f t="shared" si="19"/>
        <v>-200.54646377468677</v>
      </c>
      <c r="AE27">
        <f t="shared" si="20"/>
        <v>113.05425699856117</v>
      </c>
      <c r="AF27">
        <f t="shared" si="21"/>
        <v>8.6201891623636264</v>
      </c>
      <c r="AG27">
        <f t="shared" si="22"/>
        <v>265.54418203069548</v>
      </c>
      <c r="AH27">
        <v>0</v>
      </c>
      <c r="AI27">
        <v>0</v>
      </c>
      <c r="AJ27">
        <f t="shared" si="23"/>
        <v>1</v>
      </c>
      <c r="AK27">
        <f t="shared" si="24"/>
        <v>0</v>
      </c>
      <c r="AL27">
        <f t="shared" si="25"/>
        <v>52132.369474018553</v>
      </c>
      <c r="AM27" t="s">
        <v>416</v>
      </c>
      <c r="AN27">
        <v>10366.9</v>
      </c>
      <c r="AO27">
        <v>993.59653846153856</v>
      </c>
      <c r="AP27">
        <v>3431.87</v>
      </c>
      <c r="AQ27">
        <f t="shared" si="26"/>
        <v>0.71047955241266758</v>
      </c>
      <c r="AR27">
        <v>-3.9894345373445681</v>
      </c>
      <c r="AS27" t="s">
        <v>473</v>
      </c>
      <c r="AT27">
        <v>10373.9</v>
      </c>
      <c r="AU27">
        <v>726.21568000000002</v>
      </c>
      <c r="AV27">
        <v>1022.314581194487</v>
      </c>
      <c r="AW27">
        <f t="shared" si="27"/>
        <v>0.2896357996268828</v>
      </c>
      <c r="AX27">
        <v>0.5</v>
      </c>
      <c r="AY27">
        <f t="shared" si="28"/>
        <v>1513.3868998222288</v>
      </c>
      <c r="AZ27">
        <f t="shared" si="29"/>
        <v>42.531065836919069</v>
      </c>
      <c r="BA27">
        <f t="shared" si="30"/>
        <v>219.16551243743021</v>
      </c>
      <c r="BB27">
        <f t="shared" si="31"/>
        <v>3.0739330689150409E-2</v>
      </c>
      <c r="BC27">
        <f t="shared" si="32"/>
        <v>2.356960825101559</v>
      </c>
      <c r="BD27">
        <f t="shared" si="33"/>
        <v>590.58690977771323</v>
      </c>
      <c r="BE27" t="s">
        <v>474</v>
      </c>
      <c r="BF27">
        <v>589.16999999999996</v>
      </c>
      <c r="BG27">
        <f t="shared" si="34"/>
        <v>589.16999999999996</v>
      </c>
      <c r="BH27">
        <f t="shared" si="35"/>
        <v>0.42369011374991317</v>
      </c>
      <c r="BI27">
        <f t="shared" si="36"/>
        <v>0.68360292163400072</v>
      </c>
      <c r="BJ27">
        <f t="shared" si="37"/>
        <v>0.8476291619958185</v>
      </c>
      <c r="BK27">
        <f t="shared" si="38"/>
        <v>10.310552983987668</v>
      </c>
      <c r="BL27">
        <f t="shared" si="39"/>
        <v>0.98822197625247965</v>
      </c>
      <c r="BM27">
        <f t="shared" si="40"/>
        <v>0.55459878439846433</v>
      </c>
      <c r="BN27">
        <f t="shared" si="41"/>
        <v>0.44540121560153567</v>
      </c>
      <c r="BO27">
        <v>2169</v>
      </c>
      <c r="BP27">
        <v>290.00000000000011</v>
      </c>
      <c r="BQ27">
        <v>935.68</v>
      </c>
      <c r="BR27">
        <v>135</v>
      </c>
      <c r="BS27">
        <v>10373.9</v>
      </c>
      <c r="BT27">
        <v>933.68</v>
      </c>
      <c r="BU27">
        <v>2</v>
      </c>
      <c r="BV27">
        <v>300.00000000000011</v>
      </c>
      <c r="BW27">
        <v>38.4</v>
      </c>
      <c r="BX27">
        <v>1022.314581194487</v>
      </c>
      <c r="BY27">
        <v>1.1016384663327849</v>
      </c>
      <c r="BZ27">
        <v>-91.952136388631217</v>
      </c>
      <c r="CA27">
        <v>0.93432068922380163</v>
      </c>
      <c r="CB27">
        <v>0.99711747791213168</v>
      </c>
      <c r="CC27">
        <v>-1.127523515016686E-2</v>
      </c>
      <c r="CD27">
        <v>289.99999999999989</v>
      </c>
      <c r="CE27">
        <v>923.04</v>
      </c>
      <c r="CF27">
        <v>655</v>
      </c>
      <c r="CG27">
        <v>10342.700000000001</v>
      </c>
      <c r="CH27">
        <v>933.41</v>
      </c>
      <c r="CI27">
        <v>-10.37</v>
      </c>
      <c r="CW27">
        <f t="shared" si="42"/>
        <v>1800.24</v>
      </c>
      <c r="CX27">
        <f t="shared" si="43"/>
        <v>1513.3868998222288</v>
      </c>
      <c r="CY27">
        <f t="shared" si="44"/>
        <v>0.84065841211295644</v>
      </c>
      <c r="CZ27">
        <f t="shared" si="45"/>
        <v>0.19131682422591292</v>
      </c>
      <c r="DA27">
        <v>6</v>
      </c>
      <c r="DB27">
        <v>0.5</v>
      </c>
      <c r="DC27" t="s">
        <v>419</v>
      </c>
      <c r="DD27">
        <v>2</v>
      </c>
      <c r="DE27">
        <v>1693496311.5</v>
      </c>
      <c r="DF27">
        <v>645.51900000000001</v>
      </c>
      <c r="DG27">
        <v>700.08600000000001</v>
      </c>
      <c r="DH27">
        <v>28.868300000000001</v>
      </c>
      <c r="DI27">
        <v>23.568100000000001</v>
      </c>
      <c r="DJ27">
        <v>644.178</v>
      </c>
      <c r="DK27">
        <v>27.817699999999999</v>
      </c>
      <c r="DL27">
        <v>499.935</v>
      </c>
      <c r="DM27">
        <v>99.667599999999993</v>
      </c>
      <c r="DN27">
        <v>9.9092899999999998E-2</v>
      </c>
      <c r="DO27">
        <v>30.710799999999999</v>
      </c>
      <c r="DP27">
        <v>29.994199999999999</v>
      </c>
      <c r="DQ27">
        <v>999.9</v>
      </c>
      <c r="DR27">
        <v>0</v>
      </c>
      <c r="DS27">
        <v>0</v>
      </c>
      <c r="DT27">
        <v>10015</v>
      </c>
      <c r="DU27">
        <v>0</v>
      </c>
      <c r="DV27">
        <v>1251.8900000000001</v>
      </c>
      <c r="DW27">
        <v>-54.566200000000002</v>
      </c>
      <c r="DX27">
        <v>664.70799999999997</v>
      </c>
      <c r="DY27">
        <v>716.98400000000004</v>
      </c>
      <c r="DZ27">
        <v>5.3001500000000004</v>
      </c>
      <c r="EA27">
        <v>700.08600000000001</v>
      </c>
      <c r="EB27">
        <v>23.568100000000001</v>
      </c>
      <c r="EC27">
        <v>2.87723</v>
      </c>
      <c r="ED27">
        <v>2.3489800000000001</v>
      </c>
      <c r="EE27">
        <v>23.334</v>
      </c>
      <c r="EF27">
        <v>20.016300000000001</v>
      </c>
      <c r="EG27">
        <v>1800.24</v>
      </c>
      <c r="EH27">
        <v>0.97799400000000003</v>
      </c>
      <c r="EI27">
        <v>2.20062E-2</v>
      </c>
      <c r="EJ27">
        <v>0</v>
      </c>
      <c r="EK27">
        <v>725.97799999999995</v>
      </c>
      <c r="EL27">
        <v>5.0002700000000004</v>
      </c>
      <c r="EM27">
        <v>13882.4</v>
      </c>
      <c r="EN27">
        <v>16250.8</v>
      </c>
      <c r="EO27">
        <v>46.061999999999998</v>
      </c>
      <c r="EP27">
        <v>47.061999999999998</v>
      </c>
      <c r="EQ27">
        <v>47</v>
      </c>
      <c r="ER27">
        <v>46.686999999999998</v>
      </c>
      <c r="ES27">
        <v>47.811999999999998</v>
      </c>
      <c r="ET27">
        <v>1755.73</v>
      </c>
      <c r="EU27">
        <v>39.51</v>
      </c>
      <c r="EV27">
        <v>0</v>
      </c>
      <c r="EW27">
        <v>121.3999998569489</v>
      </c>
      <c r="EX27">
        <v>0</v>
      </c>
      <c r="EY27">
        <v>726.21568000000002</v>
      </c>
      <c r="EZ27">
        <v>-1.3960000091774529</v>
      </c>
      <c r="FA27">
        <v>-61.484615544480228</v>
      </c>
      <c r="FB27">
        <v>13886.42</v>
      </c>
      <c r="FC27">
        <v>15</v>
      </c>
      <c r="FD27">
        <v>1693496279.5</v>
      </c>
      <c r="FE27" t="s">
        <v>475</v>
      </c>
      <c r="FF27">
        <v>1693496272</v>
      </c>
      <c r="FG27">
        <v>1693496279.5</v>
      </c>
      <c r="FH27">
        <v>13</v>
      </c>
      <c r="FI27">
        <v>0.114</v>
      </c>
      <c r="FJ27">
        <v>1.0999999999999999E-2</v>
      </c>
      <c r="FK27">
        <v>1.319</v>
      </c>
      <c r="FL27">
        <v>0.755</v>
      </c>
      <c r="FM27">
        <v>700</v>
      </c>
      <c r="FN27">
        <v>24</v>
      </c>
      <c r="FO27">
        <v>0.12</v>
      </c>
      <c r="FP27">
        <v>0.05</v>
      </c>
      <c r="FQ27">
        <v>42.447820307094638</v>
      </c>
      <c r="FR27">
        <v>-0.35555030693102602</v>
      </c>
      <c r="FS27">
        <v>8.6253763236217793E-2</v>
      </c>
      <c r="FT27">
        <v>1</v>
      </c>
      <c r="FU27">
        <v>0.34531098698840279</v>
      </c>
      <c r="FV27">
        <v>-4.1603318892162608E-2</v>
      </c>
      <c r="FW27">
        <v>3.4825546606133892E-3</v>
      </c>
      <c r="FX27">
        <v>1</v>
      </c>
      <c r="FY27">
        <v>2</v>
      </c>
      <c r="FZ27">
        <v>2</v>
      </c>
      <c r="GA27" t="s">
        <v>421</v>
      </c>
      <c r="GB27">
        <v>3.11829</v>
      </c>
      <c r="GC27">
        <v>2.8643800000000001</v>
      </c>
      <c r="GD27">
        <v>0.133271</v>
      </c>
      <c r="GE27">
        <v>0.144564</v>
      </c>
      <c r="GF27">
        <v>0.130852</v>
      </c>
      <c r="GG27">
        <v>0.11931700000000001</v>
      </c>
      <c r="GH27">
        <v>26415.200000000001</v>
      </c>
      <c r="GI27">
        <v>20129.599999999999</v>
      </c>
      <c r="GJ27">
        <v>29361.7</v>
      </c>
      <c r="GK27">
        <v>21920.2</v>
      </c>
      <c r="GL27">
        <v>34136</v>
      </c>
      <c r="GM27">
        <v>26535.8</v>
      </c>
      <c r="GN27">
        <v>40748</v>
      </c>
      <c r="GO27">
        <v>31119.5</v>
      </c>
      <c r="GP27">
        <v>2.0699000000000001</v>
      </c>
      <c r="GQ27">
        <v>1.9037999999999999</v>
      </c>
      <c r="GR27">
        <v>0.129193</v>
      </c>
      <c r="GS27">
        <v>0</v>
      </c>
      <c r="GT27">
        <v>27.888100000000001</v>
      </c>
      <c r="GU27">
        <v>999.9</v>
      </c>
      <c r="GV27">
        <v>47.8</v>
      </c>
      <c r="GW27">
        <v>37.6</v>
      </c>
      <c r="GX27">
        <v>31.244900000000001</v>
      </c>
      <c r="GY27">
        <v>62.177599999999998</v>
      </c>
      <c r="GZ27">
        <v>13.713900000000001</v>
      </c>
      <c r="HA27">
        <v>1</v>
      </c>
      <c r="HB27">
        <v>-4.1189000000000003E-2</v>
      </c>
      <c r="HC27">
        <v>-0.94264700000000001</v>
      </c>
      <c r="HD27">
        <v>20.2713</v>
      </c>
      <c r="HE27">
        <v>5.2232799999999999</v>
      </c>
      <c r="HF27">
        <v>11.968</v>
      </c>
      <c r="HG27">
        <v>4.9724000000000004</v>
      </c>
      <c r="HH27">
        <v>3.2812000000000001</v>
      </c>
      <c r="HI27">
        <v>9999</v>
      </c>
      <c r="HJ27">
        <v>9999</v>
      </c>
      <c r="HK27">
        <v>9999</v>
      </c>
      <c r="HL27">
        <v>999.9</v>
      </c>
      <c r="HM27">
        <v>1.86128</v>
      </c>
      <c r="HN27">
        <v>1.8629599999999999</v>
      </c>
      <c r="HO27">
        <v>1.86832</v>
      </c>
      <c r="HP27">
        <v>1.8591299999999999</v>
      </c>
      <c r="HQ27">
        <v>1.85745</v>
      </c>
      <c r="HR27">
        <v>1.86111</v>
      </c>
      <c r="HS27">
        <v>1.86493</v>
      </c>
      <c r="HT27">
        <v>1.8670100000000001</v>
      </c>
      <c r="HU27">
        <v>5</v>
      </c>
      <c r="HV27">
        <v>0</v>
      </c>
      <c r="HW27">
        <v>0</v>
      </c>
      <c r="HX27">
        <v>0</v>
      </c>
      <c r="HY27" t="s">
        <v>422</v>
      </c>
      <c r="HZ27" t="s">
        <v>423</v>
      </c>
      <c r="IA27" t="s">
        <v>424</v>
      </c>
      <c r="IB27" t="s">
        <v>424</v>
      </c>
      <c r="IC27" t="s">
        <v>424</v>
      </c>
      <c r="ID27" t="s">
        <v>424</v>
      </c>
      <c r="IE27">
        <v>0</v>
      </c>
      <c r="IF27">
        <v>100</v>
      </c>
      <c r="IG27">
        <v>100</v>
      </c>
      <c r="IH27">
        <v>1.341</v>
      </c>
      <c r="II27">
        <v>1.0506</v>
      </c>
      <c r="IJ27">
        <v>1.177609831327403</v>
      </c>
      <c r="IK27">
        <v>1.118558698776514E-3</v>
      </c>
      <c r="IL27">
        <v>-1.6939696309573479E-6</v>
      </c>
      <c r="IM27">
        <v>5.4698917449866148E-10</v>
      </c>
      <c r="IN27">
        <v>0.15518067673177341</v>
      </c>
      <c r="IO27">
        <v>-7.6058941998734366E-3</v>
      </c>
      <c r="IP27">
        <v>1.6984902717538061E-3</v>
      </c>
      <c r="IQ27">
        <v>-9.6352527008986976E-6</v>
      </c>
      <c r="IR27">
        <v>2</v>
      </c>
      <c r="IS27">
        <v>2021</v>
      </c>
      <c r="IT27">
        <v>2</v>
      </c>
      <c r="IU27">
        <v>40</v>
      </c>
      <c r="IV27">
        <v>0.7</v>
      </c>
      <c r="IW27">
        <v>0.5</v>
      </c>
      <c r="IX27">
        <v>1.62354</v>
      </c>
      <c r="IY27">
        <v>2.51953</v>
      </c>
      <c r="IZ27">
        <v>1.34399</v>
      </c>
      <c r="JA27">
        <v>2.2448700000000001</v>
      </c>
      <c r="JB27">
        <v>1.5918000000000001</v>
      </c>
      <c r="JC27">
        <v>2.4169900000000002</v>
      </c>
      <c r="JD27">
        <v>44.112400000000001</v>
      </c>
      <c r="JE27">
        <v>24.096299999999999</v>
      </c>
      <c r="JF27">
        <v>18</v>
      </c>
      <c r="JG27">
        <v>507.81599999999997</v>
      </c>
      <c r="JH27">
        <v>440.358</v>
      </c>
      <c r="JI27">
        <v>29.266500000000001</v>
      </c>
      <c r="JJ27">
        <v>26.940799999999999</v>
      </c>
      <c r="JK27">
        <v>30.0001</v>
      </c>
      <c r="JL27">
        <v>26.740600000000001</v>
      </c>
      <c r="JM27">
        <v>26.669699999999999</v>
      </c>
      <c r="JN27">
        <v>32.559800000000003</v>
      </c>
      <c r="JO27">
        <v>30.331600000000002</v>
      </c>
      <c r="JP27">
        <v>86.881</v>
      </c>
      <c r="JQ27">
        <v>29.256699999999999</v>
      </c>
      <c r="JR27">
        <v>700</v>
      </c>
      <c r="JS27">
        <v>23.679099999999998</v>
      </c>
      <c r="JT27">
        <v>100.11</v>
      </c>
      <c r="JU27">
        <v>98.353200000000001</v>
      </c>
    </row>
    <row r="28" spans="1:281" x14ac:dyDescent="0.25">
      <c r="A28">
        <v>12</v>
      </c>
      <c r="B28">
        <v>1693496441</v>
      </c>
      <c r="C28">
        <v>1514.400000095367</v>
      </c>
      <c r="D28" t="s">
        <v>476</v>
      </c>
      <c r="E28" t="s">
        <v>477</v>
      </c>
      <c r="F28" t="s">
        <v>413</v>
      </c>
      <c r="G28" t="s">
        <v>414</v>
      </c>
      <c r="H28" t="s">
        <v>415</v>
      </c>
      <c r="I28" t="s">
        <v>31</v>
      </c>
      <c r="J28">
        <v>1693496441</v>
      </c>
      <c r="K28">
        <f t="shared" si="0"/>
        <v>3.9533427657577865E-3</v>
      </c>
      <c r="L28">
        <f t="shared" si="1"/>
        <v>3.9533427657577862</v>
      </c>
      <c r="M28">
        <f t="shared" si="2"/>
        <v>42.020874801674445</v>
      </c>
      <c r="N28">
        <f t="shared" si="3"/>
        <v>845.48699999999997</v>
      </c>
      <c r="O28">
        <f t="shared" si="4"/>
        <v>584.54329682661773</v>
      </c>
      <c r="P28">
        <f t="shared" si="5"/>
        <v>58.314601154440304</v>
      </c>
      <c r="Q28">
        <f t="shared" si="6"/>
        <v>84.346595802104403</v>
      </c>
      <c r="R28">
        <f t="shared" si="7"/>
        <v>0.28781424068753553</v>
      </c>
      <c r="S28">
        <f t="shared" si="8"/>
        <v>2.9244737780891574</v>
      </c>
      <c r="T28">
        <f t="shared" si="9"/>
        <v>0.27295296718939865</v>
      </c>
      <c r="U28">
        <f t="shared" si="10"/>
        <v>0.17186685948218774</v>
      </c>
      <c r="V28">
        <f t="shared" si="11"/>
        <v>344.41619964445749</v>
      </c>
      <c r="W28">
        <f t="shared" si="12"/>
        <v>31.710890337592733</v>
      </c>
      <c r="X28">
        <f t="shared" si="13"/>
        <v>30.056699999999999</v>
      </c>
      <c r="Y28">
        <f t="shared" si="14"/>
        <v>4.2743449188115239</v>
      </c>
      <c r="Z28">
        <f t="shared" si="15"/>
        <v>64.936696691372148</v>
      </c>
      <c r="AA28">
        <f t="shared" si="16"/>
        <v>2.8812661530900399</v>
      </c>
      <c r="AB28">
        <f t="shared" si="17"/>
        <v>4.4370383772121587</v>
      </c>
      <c r="AC28">
        <f t="shared" si="18"/>
        <v>1.393078765721484</v>
      </c>
      <c r="AD28">
        <f t="shared" si="19"/>
        <v>-174.34241596991839</v>
      </c>
      <c r="AE28">
        <f t="shared" si="20"/>
        <v>102.82861101753637</v>
      </c>
      <c r="AF28">
        <f t="shared" si="21"/>
        <v>7.8478521605015441</v>
      </c>
      <c r="AG28">
        <f t="shared" si="22"/>
        <v>280.75024685257699</v>
      </c>
      <c r="AH28">
        <v>0</v>
      </c>
      <c r="AI28">
        <v>0</v>
      </c>
      <c r="AJ28">
        <f t="shared" si="23"/>
        <v>1</v>
      </c>
      <c r="AK28">
        <f t="shared" si="24"/>
        <v>0</v>
      </c>
      <c r="AL28">
        <f t="shared" si="25"/>
        <v>52079.38344172811</v>
      </c>
      <c r="AM28" t="s">
        <v>416</v>
      </c>
      <c r="AN28">
        <v>10366.9</v>
      </c>
      <c r="AO28">
        <v>993.59653846153856</v>
      </c>
      <c r="AP28">
        <v>3431.87</v>
      </c>
      <c r="AQ28">
        <f t="shared" si="26"/>
        <v>0.71047955241266758</v>
      </c>
      <c r="AR28">
        <v>-3.9894345373445681</v>
      </c>
      <c r="AS28" t="s">
        <v>478</v>
      </c>
      <c r="AT28">
        <v>10373.700000000001</v>
      </c>
      <c r="AU28">
        <v>722.79931999999997</v>
      </c>
      <c r="AV28">
        <v>1017.392374452724</v>
      </c>
      <c r="AW28">
        <f t="shared" si="27"/>
        <v>0.28955697118448676</v>
      </c>
      <c r="AX28">
        <v>0.5</v>
      </c>
      <c r="AY28">
        <f t="shared" si="28"/>
        <v>1513.3868998222288</v>
      </c>
      <c r="AZ28">
        <f t="shared" si="29"/>
        <v>42.020874801674445</v>
      </c>
      <c r="BA28">
        <f t="shared" si="30"/>
        <v>219.10586347140242</v>
      </c>
      <c r="BB28">
        <f t="shared" si="31"/>
        <v>3.040221198189548E-2</v>
      </c>
      <c r="BC28">
        <f t="shared" si="32"/>
        <v>2.3732020075794971</v>
      </c>
      <c r="BD28">
        <f t="shared" si="33"/>
        <v>588.94086243398397</v>
      </c>
      <c r="BE28" t="s">
        <v>479</v>
      </c>
      <c r="BF28">
        <v>588.61</v>
      </c>
      <c r="BG28">
        <f t="shared" si="34"/>
        <v>588.61</v>
      </c>
      <c r="BH28">
        <f t="shared" si="35"/>
        <v>0.42145231792539695</v>
      </c>
      <c r="BI28">
        <f t="shared" si="36"/>
        <v>0.6870456250183502</v>
      </c>
      <c r="BJ28">
        <f t="shared" si="37"/>
        <v>0.84919339967054586</v>
      </c>
      <c r="BK28">
        <f t="shared" si="38"/>
        <v>12.380025419651103</v>
      </c>
      <c r="BL28">
        <f t="shared" si="39"/>
        <v>0.99024070254360597</v>
      </c>
      <c r="BM28">
        <f t="shared" si="40"/>
        <v>0.55949405893471393</v>
      </c>
      <c r="BN28">
        <f t="shared" si="41"/>
        <v>0.44050594106528607</v>
      </c>
      <c r="BO28">
        <v>2171</v>
      </c>
      <c r="BP28">
        <v>290.00000000000011</v>
      </c>
      <c r="BQ28">
        <v>934.02</v>
      </c>
      <c r="BR28">
        <v>135</v>
      </c>
      <c r="BS28">
        <v>10373.700000000001</v>
      </c>
      <c r="BT28">
        <v>930.97</v>
      </c>
      <c r="BU28">
        <v>3.05</v>
      </c>
      <c r="BV28">
        <v>300.00000000000011</v>
      </c>
      <c r="BW28">
        <v>38.4</v>
      </c>
      <c r="BX28">
        <v>1017.392374452724</v>
      </c>
      <c r="BY28">
        <v>1.030783153899856</v>
      </c>
      <c r="BZ28">
        <v>-89.647453157893722</v>
      </c>
      <c r="CA28">
        <v>0.87420819023510687</v>
      </c>
      <c r="CB28">
        <v>0.99734443442676191</v>
      </c>
      <c r="CC28">
        <v>-1.127493281423805E-2</v>
      </c>
      <c r="CD28">
        <v>289.99999999999989</v>
      </c>
      <c r="CE28">
        <v>921.06</v>
      </c>
      <c r="CF28">
        <v>635</v>
      </c>
      <c r="CG28">
        <v>10344.4</v>
      </c>
      <c r="CH28">
        <v>930.73</v>
      </c>
      <c r="CI28">
        <v>-9.67</v>
      </c>
      <c r="CW28">
        <f t="shared" si="42"/>
        <v>1800.24</v>
      </c>
      <c r="CX28">
        <f t="shared" si="43"/>
        <v>1513.3868998222288</v>
      </c>
      <c r="CY28">
        <f t="shared" si="44"/>
        <v>0.84065841211295644</v>
      </c>
      <c r="CZ28">
        <f t="shared" si="45"/>
        <v>0.19131682422591292</v>
      </c>
      <c r="DA28">
        <v>6</v>
      </c>
      <c r="DB28">
        <v>0.5</v>
      </c>
      <c r="DC28" t="s">
        <v>419</v>
      </c>
      <c r="DD28">
        <v>2</v>
      </c>
      <c r="DE28">
        <v>1693496441</v>
      </c>
      <c r="DF28">
        <v>845.48699999999997</v>
      </c>
      <c r="DG28">
        <v>899.94200000000001</v>
      </c>
      <c r="DH28">
        <v>28.881699999999999</v>
      </c>
      <c r="DI28">
        <v>24.273099999999999</v>
      </c>
      <c r="DJ28">
        <v>844.3</v>
      </c>
      <c r="DK28">
        <v>27.816199999999998</v>
      </c>
      <c r="DL28">
        <v>499.82600000000002</v>
      </c>
      <c r="DM28">
        <v>99.661100000000005</v>
      </c>
      <c r="DN28">
        <v>9.9861199999999997E-2</v>
      </c>
      <c r="DO28">
        <v>30.7089</v>
      </c>
      <c r="DP28">
        <v>30.056699999999999</v>
      </c>
      <c r="DQ28">
        <v>999.9</v>
      </c>
      <c r="DR28">
        <v>0</v>
      </c>
      <c r="DS28">
        <v>0</v>
      </c>
      <c r="DT28">
        <v>10005</v>
      </c>
      <c r="DU28">
        <v>0</v>
      </c>
      <c r="DV28">
        <v>1304.24</v>
      </c>
      <c r="DW28">
        <v>-54.454000000000001</v>
      </c>
      <c r="DX28">
        <v>870.63300000000004</v>
      </c>
      <c r="DY28">
        <v>922.32899999999995</v>
      </c>
      <c r="DZ28">
        <v>4.6086099999999997</v>
      </c>
      <c r="EA28">
        <v>899.94200000000001</v>
      </c>
      <c r="EB28">
        <v>24.273099999999999</v>
      </c>
      <c r="EC28">
        <v>2.8783799999999999</v>
      </c>
      <c r="ED28">
        <v>2.4190900000000002</v>
      </c>
      <c r="EE28">
        <v>23.340599999999998</v>
      </c>
      <c r="EF28">
        <v>20.492100000000001</v>
      </c>
      <c r="EG28">
        <v>1800.24</v>
      </c>
      <c r="EH28">
        <v>0.97799400000000003</v>
      </c>
      <c r="EI28">
        <v>2.20062E-2</v>
      </c>
      <c r="EJ28">
        <v>0</v>
      </c>
      <c r="EK28">
        <v>722.18600000000004</v>
      </c>
      <c r="EL28">
        <v>5.0002700000000004</v>
      </c>
      <c r="EM28">
        <v>13841.9</v>
      </c>
      <c r="EN28">
        <v>16250.7</v>
      </c>
      <c r="EO28">
        <v>46</v>
      </c>
      <c r="EP28">
        <v>47.061999999999998</v>
      </c>
      <c r="EQ28">
        <v>47</v>
      </c>
      <c r="ER28">
        <v>46.686999999999998</v>
      </c>
      <c r="ES28">
        <v>47.811999999999998</v>
      </c>
      <c r="ET28">
        <v>1755.73</v>
      </c>
      <c r="EU28">
        <v>39.51</v>
      </c>
      <c r="EV28">
        <v>0</v>
      </c>
      <c r="EW28">
        <v>127.4000000953674</v>
      </c>
      <c r="EX28">
        <v>0</v>
      </c>
      <c r="EY28">
        <v>722.79931999999997</v>
      </c>
      <c r="EZ28">
        <v>-4.2737692296484848</v>
      </c>
      <c r="FA28">
        <v>1104.8384613471439</v>
      </c>
      <c r="FB28">
        <v>13769.371999999999</v>
      </c>
      <c r="FC28">
        <v>15</v>
      </c>
      <c r="FD28">
        <v>1693496406.5</v>
      </c>
      <c r="FE28" t="s">
        <v>480</v>
      </c>
      <c r="FF28">
        <v>1693496398</v>
      </c>
      <c r="FG28">
        <v>1693496406.5</v>
      </c>
      <c r="FH28">
        <v>14</v>
      </c>
      <c r="FI28">
        <v>-5.7000000000000002E-2</v>
      </c>
      <c r="FJ28">
        <v>1.4999999999999999E-2</v>
      </c>
      <c r="FK28">
        <v>1.155</v>
      </c>
      <c r="FL28">
        <v>0.78400000000000003</v>
      </c>
      <c r="FM28">
        <v>900</v>
      </c>
      <c r="FN28">
        <v>24</v>
      </c>
      <c r="FO28">
        <v>0.12</v>
      </c>
      <c r="FP28">
        <v>0.05</v>
      </c>
      <c r="FQ28">
        <v>42.172208821955351</v>
      </c>
      <c r="FR28">
        <v>-0.51246573035748144</v>
      </c>
      <c r="FS28">
        <v>0.1176947338513631</v>
      </c>
      <c r="FT28">
        <v>1</v>
      </c>
      <c r="FU28">
        <v>0.29589411531686771</v>
      </c>
      <c r="FV28">
        <v>-4.2377722937283958E-2</v>
      </c>
      <c r="FW28">
        <v>3.615887111846133E-3</v>
      </c>
      <c r="FX28">
        <v>1</v>
      </c>
      <c r="FY28">
        <v>2</v>
      </c>
      <c r="FZ28">
        <v>2</v>
      </c>
      <c r="GA28" t="s">
        <v>421</v>
      </c>
      <c r="GB28">
        <v>3.1183299999999998</v>
      </c>
      <c r="GC28">
        <v>2.8650600000000002</v>
      </c>
      <c r="GD28">
        <v>0.160251</v>
      </c>
      <c r="GE28">
        <v>0.17102400000000001</v>
      </c>
      <c r="GF28">
        <v>0.13083700000000001</v>
      </c>
      <c r="GG28">
        <v>0.12177300000000001</v>
      </c>
      <c r="GH28">
        <v>25597.200000000001</v>
      </c>
      <c r="GI28">
        <v>19510.3</v>
      </c>
      <c r="GJ28">
        <v>29365.4</v>
      </c>
      <c r="GK28">
        <v>21923</v>
      </c>
      <c r="GL28">
        <v>34141.5</v>
      </c>
      <c r="GM28">
        <v>26469.1</v>
      </c>
      <c r="GN28">
        <v>40751.199999999997</v>
      </c>
      <c r="GO28">
        <v>31125.4</v>
      </c>
      <c r="GP28">
        <v>2.0706000000000002</v>
      </c>
      <c r="GQ28">
        <v>1.9044000000000001</v>
      </c>
      <c r="GR28">
        <v>0.13797000000000001</v>
      </c>
      <c r="GS28">
        <v>0</v>
      </c>
      <c r="GT28">
        <v>27.807500000000001</v>
      </c>
      <c r="GU28">
        <v>999.9</v>
      </c>
      <c r="GV28">
        <v>47.6</v>
      </c>
      <c r="GW28">
        <v>37.700000000000003</v>
      </c>
      <c r="GX28">
        <v>31.283799999999999</v>
      </c>
      <c r="GY28">
        <v>62.407600000000002</v>
      </c>
      <c r="GZ28">
        <v>13.8261</v>
      </c>
      <c r="HA28">
        <v>1</v>
      </c>
      <c r="HB28">
        <v>-4.5813E-2</v>
      </c>
      <c r="HC28">
        <v>-0.42685200000000001</v>
      </c>
      <c r="HD28">
        <v>20.2759</v>
      </c>
      <c r="HE28">
        <v>5.2340600000000004</v>
      </c>
      <c r="HF28">
        <v>11.968</v>
      </c>
      <c r="HG28">
        <v>4.9720000000000004</v>
      </c>
      <c r="HH28">
        <v>3.2829999999999999</v>
      </c>
      <c r="HI28">
        <v>9999</v>
      </c>
      <c r="HJ28">
        <v>9999</v>
      </c>
      <c r="HK28">
        <v>9999</v>
      </c>
      <c r="HL28">
        <v>999.9</v>
      </c>
      <c r="HM28">
        <v>1.8613</v>
      </c>
      <c r="HN28">
        <v>1.8629500000000001</v>
      </c>
      <c r="HO28">
        <v>1.8683399999999999</v>
      </c>
      <c r="HP28">
        <v>1.8591200000000001</v>
      </c>
      <c r="HQ28">
        <v>1.85745</v>
      </c>
      <c r="HR28">
        <v>1.86111</v>
      </c>
      <c r="HS28">
        <v>1.86493</v>
      </c>
      <c r="HT28">
        <v>1.8670100000000001</v>
      </c>
      <c r="HU28">
        <v>5</v>
      </c>
      <c r="HV28">
        <v>0</v>
      </c>
      <c r="HW28">
        <v>0</v>
      </c>
      <c r="HX28">
        <v>0</v>
      </c>
      <c r="HY28" t="s">
        <v>422</v>
      </c>
      <c r="HZ28" t="s">
        <v>423</v>
      </c>
      <c r="IA28" t="s">
        <v>424</v>
      </c>
      <c r="IB28" t="s">
        <v>424</v>
      </c>
      <c r="IC28" t="s">
        <v>424</v>
      </c>
      <c r="ID28" t="s">
        <v>424</v>
      </c>
      <c r="IE28">
        <v>0</v>
      </c>
      <c r="IF28">
        <v>100</v>
      </c>
      <c r="IG28">
        <v>100</v>
      </c>
      <c r="IH28">
        <v>1.1870000000000001</v>
      </c>
      <c r="II28">
        <v>1.0654999999999999</v>
      </c>
      <c r="IJ28">
        <v>1.121072874759381</v>
      </c>
      <c r="IK28">
        <v>1.118558698776514E-3</v>
      </c>
      <c r="IL28">
        <v>-1.6939696309573479E-6</v>
      </c>
      <c r="IM28">
        <v>5.4698917449866148E-10</v>
      </c>
      <c r="IN28">
        <v>0.17025243419187289</v>
      </c>
      <c r="IO28">
        <v>-7.6058941998734366E-3</v>
      </c>
      <c r="IP28">
        <v>1.6984902717538061E-3</v>
      </c>
      <c r="IQ28">
        <v>-9.6352527008986976E-6</v>
      </c>
      <c r="IR28">
        <v>2</v>
      </c>
      <c r="IS28">
        <v>2021</v>
      </c>
      <c r="IT28">
        <v>2</v>
      </c>
      <c r="IU28">
        <v>40</v>
      </c>
      <c r="IV28">
        <v>0.7</v>
      </c>
      <c r="IW28">
        <v>0.6</v>
      </c>
      <c r="IX28">
        <v>1.9982899999999999</v>
      </c>
      <c r="IY28">
        <v>2.5122100000000001</v>
      </c>
      <c r="IZ28">
        <v>1.34399</v>
      </c>
      <c r="JA28">
        <v>2.2448700000000001</v>
      </c>
      <c r="JB28">
        <v>1.5918000000000001</v>
      </c>
      <c r="JC28">
        <v>2.4731399999999999</v>
      </c>
      <c r="JD28">
        <v>43.974299999999999</v>
      </c>
      <c r="JE28">
        <v>24.096299999999999</v>
      </c>
      <c r="JF28">
        <v>18</v>
      </c>
      <c r="JG28">
        <v>508.30399999999997</v>
      </c>
      <c r="JH28">
        <v>440.78100000000001</v>
      </c>
      <c r="JI28">
        <v>28.825800000000001</v>
      </c>
      <c r="JJ28">
        <v>26.909500000000001</v>
      </c>
      <c r="JK28">
        <v>29.9998</v>
      </c>
      <c r="JL28">
        <v>26.745100000000001</v>
      </c>
      <c r="JM28">
        <v>26.674299999999999</v>
      </c>
      <c r="JN28">
        <v>40.075600000000001</v>
      </c>
      <c r="JO28">
        <v>28.1951</v>
      </c>
      <c r="JP28">
        <v>85.338899999999995</v>
      </c>
      <c r="JQ28">
        <v>28.811599999999999</v>
      </c>
      <c r="JR28">
        <v>900</v>
      </c>
      <c r="JS28">
        <v>24.2743</v>
      </c>
      <c r="JT28">
        <v>100.12</v>
      </c>
      <c r="JU28">
        <v>98.369299999999996</v>
      </c>
    </row>
    <row r="29" spans="1:281" x14ac:dyDescent="0.25">
      <c r="A29">
        <v>13</v>
      </c>
      <c r="B29">
        <v>1693496559</v>
      </c>
      <c r="C29">
        <v>1632.400000095367</v>
      </c>
      <c r="D29" t="s">
        <v>481</v>
      </c>
      <c r="E29" t="s">
        <v>482</v>
      </c>
      <c r="F29" t="s">
        <v>413</v>
      </c>
      <c r="G29" t="s">
        <v>414</v>
      </c>
      <c r="H29" t="s">
        <v>415</v>
      </c>
      <c r="I29" t="s">
        <v>31</v>
      </c>
      <c r="J29">
        <v>1693496559</v>
      </c>
      <c r="K29">
        <f t="shared" si="0"/>
        <v>3.6044479384502205E-3</v>
      </c>
      <c r="L29">
        <f t="shared" si="1"/>
        <v>3.6044479384502206</v>
      </c>
      <c r="M29">
        <f t="shared" si="2"/>
        <v>41.104021907958931</v>
      </c>
      <c r="N29">
        <f t="shared" si="3"/>
        <v>1145.72</v>
      </c>
      <c r="O29">
        <f t="shared" si="4"/>
        <v>855.78622287807548</v>
      </c>
      <c r="P29">
        <f t="shared" si="5"/>
        <v>85.378655427931847</v>
      </c>
      <c r="Q29">
        <f t="shared" si="6"/>
        <v>114.30428590906</v>
      </c>
      <c r="R29">
        <f t="shared" si="7"/>
        <v>0.25703643585474084</v>
      </c>
      <c r="S29">
        <f t="shared" si="8"/>
        <v>2.9201838770034967</v>
      </c>
      <c r="T29">
        <f t="shared" si="9"/>
        <v>0.2450962638764641</v>
      </c>
      <c r="U29">
        <f t="shared" si="10"/>
        <v>0.15421171289946256</v>
      </c>
      <c r="V29">
        <f t="shared" si="11"/>
        <v>344.39469964452576</v>
      </c>
      <c r="W29">
        <f t="shared" si="12"/>
        <v>31.72935917775861</v>
      </c>
      <c r="X29">
        <f t="shared" si="13"/>
        <v>30.091200000000001</v>
      </c>
      <c r="Y29">
        <f t="shared" si="14"/>
        <v>4.2828189494426381</v>
      </c>
      <c r="Z29">
        <f t="shared" si="15"/>
        <v>64.914994769715378</v>
      </c>
      <c r="AA29">
        <f t="shared" si="16"/>
        <v>2.8682123091901497</v>
      </c>
      <c r="AB29">
        <f t="shared" si="17"/>
        <v>4.4184126015338592</v>
      </c>
      <c r="AC29">
        <f t="shared" si="18"/>
        <v>1.4146066402524884</v>
      </c>
      <c r="AD29">
        <f t="shared" si="19"/>
        <v>-158.95615408565473</v>
      </c>
      <c r="AE29">
        <f t="shared" si="20"/>
        <v>85.659269823612547</v>
      </c>
      <c r="AF29">
        <f t="shared" si="21"/>
        <v>6.5458286330905677</v>
      </c>
      <c r="AG29">
        <f t="shared" si="22"/>
        <v>277.64364401557418</v>
      </c>
      <c r="AH29">
        <v>0</v>
      </c>
      <c r="AI29">
        <v>0</v>
      </c>
      <c r="AJ29">
        <f t="shared" si="23"/>
        <v>1</v>
      </c>
      <c r="AK29">
        <f t="shared" si="24"/>
        <v>0</v>
      </c>
      <c r="AL29">
        <f t="shared" si="25"/>
        <v>51969.896265523203</v>
      </c>
      <c r="AM29" t="s">
        <v>416</v>
      </c>
      <c r="AN29">
        <v>10366.9</v>
      </c>
      <c r="AO29">
        <v>993.59653846153856</v>
      </c>
      <c r="AP29">
        <v>3431.87</v>
      </c>
      <c r="AQ29">
        <f t="shared" si="26"/>
        <v>0.71047955241266758</v>
      </c>
      <c r="AR29">
        <v>-3.9894345373445681</v>
      </c>
      <c r="AS29" t="s">
        <v>483</v>
      </c>
      <c r="AT29">
        <v>10369.9</v>
      </c>
      <c r="AU29">
        <v>718.52900000000011</v>
      </c>
      <c r="AV29">
        <v>1013.615088234732</v>
      </c>
      <c r="AW29">
        <f t="shared" si="27"/>
        <v>0.29112243065426435</v>
      </c>
      <c r="AX29">
        <v>0.5</v>
      </c>
      <c r="AY29">
        <f t="shared" si="28"/>
        <v>1513.2941998222627</v>
      </c>
      <c r="AZ29">
        <f t="shared" si="29"/>
        <v>41.104021907958931</v>
      </c>
      <c r="BA29">
        <f t="shared" si="30"/>
        <v>220.27694287362857</v>
      </c>
      <c r="BB29">
        <f t="shared" si="31"/>
        <v>2.9798208736014287E-2</v>
      </c>
      <c r="BC29">
        <f t="shared" si="32"/>
        <v>2.3857724098965374</v>
      </c>
      <c r="BD29">
        <f t="shared" si="33"/>
        <v>587.67313503997343</v>
      </c>
      <c r="BE29" t="s">
        <v>484</v>
      </c>
      <c r="BF29">
        <v>591.59</v>
      </c>
      <c r="BG29">
        <f t="shared" si="34"/>
        <v>591.59</v>
      </c>
      <c r="BH29">
        <f t="shared" si="35"/>
        <v>0.4163563596608576</v>
      </c>
      <c r="BI29">
        <f t="shared" si="36"/>
        <v>0.69921456439718543</v>
      </c>
      <c r="BJ29">
        <f t="shared" si="37"/>
        <v>0.8514142661164632</v>
      </c>
      <c r="BK29">
        <f t="shared" si="38"/>
        <v>14.740632642124661</v>
      </c>
      <c r="BL29">
        <f t="shared" si="39"/>
        <v>0.99178986685088122</v>
      </c>
      <c r="BM29">
        <f t="shared" si="40"/>
        <v>0.57568775115789461</v>
      </c>
      <c r="BN29">
        <f t="shared" si="41"/>
        <v>0.42431224884210539</v>
      </c>
      <c r="BO29">
        <v>2173</v>
      </c>
      <c r="BP29">
        <v>290.00000000000011</v>
      </c>
      <c r="BQ29">
        <v>929.05</v>
      </c>
      <c r="BR29">
        <v>155</v>
      </c>
      <c r="BS29">
        <v>10369.9</v>
      </c>
      <c r="BT29">
        <v>926.84</v>
      </c>
      <c r="BU29">
        <v>2.21</v>
      </c>
      <c r="BV29">
        <v>300.00000000000011</v>
      </c>
      <c r="BW29">
        <v>38.4</v>
      </c>
      <c r="BX29">
        <v>1013.615088234732</v>
      </c>
      <c r="BY29">
        <v>1.3136252751033799</v>
      </c>
      <c r="BZ29">
        <v>-89.986771024243893</v>
      </c>
      <c r="CA29">
        <v>1.1140747868923</v>
      </c>
      <c r="CB29">
        <v>0.99572663968851571</v>
      </c>
      <c r="CC29">
        <v>-1.127512235817576E-2</v>
      </c>
      <c r="CD29">
        <v>289.99999999999989</v>
      </c>
      <c r="CE29">
        <v>917.55</v>
      </c>
      <c r="CF29">
        <v>645</v>
      </c>
      <c r="CG29">
        <v>10343.299999999999</v>
      </c>
      <c r="CH29">
        <v>926.62</v>
      </c>
      <c r="CI29">
        <v>-9.07</v>
      </c>
      <c r="CW29">
        <f t="shared" si="42"/>
        <v>1800.13</v>
      </c>
      <c r="CX29">
        <f t="shared" si="43"/>
        <v>1513.2941998222627</v>
      </c>
      <c r="CY29">
        <f t="shared" si="44"/>
        <v>0.84065828569173484</v>
      </c>
      <c r="CZ29">
        <f t="shared" si="45"/>
        <v>0.19131657138346994</v>
      </c>
      <c r="DA29">
        <v>6</v>
      </c>
      <c r="DB29">
        <v>0.5</v>
      </c>
      <c r="DC29" t="s">
        <v>419</v>
      </c>
      <c r="DD29">
        <v>2</v>
      </c>
      <c r="DE29">
        <v>1693496559</v>
      </c>
      <c r="DF29">
        <v>1145.72</v>
      </c>
      <c r="DG29">
        <v>1200.02</v>
      </c>
      <c r="DH29">
        <v>28.749300000000002</v>
      </c>
      <c r="DI29">
        <v>24.546800000000001</v>
      </c>
      <c r="DJ29">
        <v>1144.51</v>
      </c>
      <c r="DK29">
        <v>27.662400000000002</v>
      </c>
      <c r="DL29">
        <v>499.82</v>
      </c>
      <c r="DM29">
        <v>99.666399999999996</v>
      </c>
      <c r="DN29">
        <v>9.9935499999999997E-2</v>
      </c>
      <c r="DO29">
        <v>30.635300000000001</v>
      </c>
      <c r="DP29">
        <v>30.091200000000001</v>
      </c>
      <c r="DQ29">
        <v>999.9</v>
      </c>
      <c r="DR29">
        <v>0</v>
      </c>
      <c r="DS29">
        <v>0</v>
      </c>
      <c r="DT29">
        <v>9980</v>
      </c>
      <c r="DU29">
        <v>0</v>
      </c>
      <c r="DV29">
        <v>825.38699999999994</v>
      </c>
      <c r="DW29">
        <v>-54.304200000000002</v>
      </c>
      <c r="DX29">
        <v>1179.6300000000001</v>
      </c>
      <c r="DY29">
        <v>1230.22</v>
      </c>
      <c r="DZ29">
        <v>4.2025100000000002</v>
      </c>
      <c r="EA29">
        <v>1200.02</v>
      </c>
      <c r="EB29">
        <v>24.546800000000001</v>
      </c>
      <c r="EC29">
        <v>2.8653400000000002</v>
      </c>
      <c r="ED29">
        <v>2.4464899999999998</v>
      </c>
      <c r="EE29">
        <v>23.2654</v>
      </c>
      <c r="EF29">
        <v>20.674800000000001</v>
      </c>
      <c r="EG29">
        <v>1800.13</v>
      </c>
      <c r="EH29">
        <v>0.97799400000000003</v>
      </c>
      <c r="EI29">
        <v>2.2006299999999999E-2</v>
      </c>
      <c r="EJ29">
        <v>0</v>
      </c>
      <c r="EK29">
        <v>718.08</v>
      </c>
      <c r="EL29">
        <v>5.0002700000000004</v>
      </c>
      <c r="EM29">
        <v>13487</v>
      </c>
      <c r="EN29">
        <v>16249.8</v>
      </c>
      <c r="EO29">
        <v>46.125</v>
      </c>
      <c r="EP29">
        <v>47.186999999999998</v>
      </c>
      <c r="EQ29">
        <v>47.061999999999998</v>
      </c>
      <c r="ER29">
        <v>46.75</v>
      </c>
      <c r="ES29">
        <v>47.875</v>
      </c>
      <c r="ET29">
        <v>1755.63</v>
      </c>
      <c r="EU29">
        <v>39.5</v>
      </c>
      <c r="EV29">
        <v>0</v>
      </c>
      <c r="EW29">
        <v>116</v>
      </c>
      <c r="EX29">
        <v>0</v>
      </c>
      <c r="EY29">
        <v>718.52900000000011</v>
      </c>
      <c r="EZ29">
        <v>-2.4930769340591841</v>
      </c>
      <c r="FA29">
        <v>-1450.700002860726</v>
      </c>
      <c r="FB29">
        <v>13627.296</v>
      </c>
      <c r="FC29">
        <v>15</v>
      </c>
      <c r="FD29">
        <v>1693496522.5</v>
      </c>
      <c r="FE29" t="s">
        <v>485</v>
      </c>
      <c r="FF29">
        <v>1693496515.5</v>
      </c>
      <c r="FG29">
        <v>1693496522.5</v>
      </c>
      <c r="FH29">
        <v>15</v>
      </c>
      <c r="FI29">
        <v>0.20599999999999999</v>
      </c>
      <c r="FJ29">
        <v>3.1E-2</v>
      </c>
      <c r="FK29">
        <v>1.1759999999999999</v>
      </c>
      <c r="FL29">
        <v>0.84299999999999997</v>
      </c>
      <c r="FM29">
        <v>1200</v>
      </c>
      <c r="FN29">
        <v>24</v>
      </c>
      <c r="FO29">
        <v>0.15</v>
      </c>
      <c r="FP29">
        <v>0.06</v>
      </c>
      <c r="FQ29">
        <v>41.152874569574713</v>
      </c>
      <c r="FR29">
        <v>-3.1708953744213578E-2</v>
      </c>
      <c r="FS29">
        <v>9.4447377454783168E-2</v>
      </c>
      <c r="FT29">
        <v>1</v>
      </c>
      <c r="FU29">
        <v>0.26388327217867658</v>
      </c>
      <c r="FV29">
        <v>-4.9305842790147693E-2</v>
      </c>
      <c r="FW29">
        <v>3.7419274258127869E-3</v>
      </c>
      <c r="FX29">
        <v>1</v>
      </c>
      <c r="FY29">
        <v>2</v>
      </c>
      <c r="FZ29">
        <v>2</v>
      </c>
      <c r="GA29" t="s">
        <v>421</v>
      </c>
      <c r="GB29">
        <v>3.1183900000000002</v>
      </c>
      <c r="GC29">
        <v>2.8649100000000001</v>
      </c>
      <c r="GD29">
        <v>0.195273</v>
      </c>
      <c r="GE29">
        <v>0.20560500000000001</v>
      </c>
      <c r="GF29">
        <v>0.13034299999999999</v>
      </c>
      <c r="GG29">
        <v>0.12273000000000001</v>
      </c>
      <c r="GH29">
        <v>24531.9</v>
      </c>
      <c r="GI29">
        <v>18700.400000000001</v>
      </c>
      <c r="GJ29">
        <v>29365.8</v>
      </c>
      <c r="GK29">
        <v>21926.1</v>
      </c>
      <c r="GL29">
        <v>34165.800000000003</v>
      </c>
      <c r="GM29">
        <v>26447</v>
      </c>
      <c r="GN29">
        <v>40752.1</v>
      </c>
      <c r="GO29">
        <v>31130.1</v>
      </c>
      <c r="GP29">
        <v>2.0710999999999999</v>
      </c>
      <c r="GQ29">
        <v>1.9054</v>
      </c>
      <c r="GR29">
        <v>0.129104</v>
      </c>
      <c r="GS29">
        <v>0</v>
      </c>
      <c r="GT29">
        <v>27.986899999999999</v>
      </c>
      <c r="GU29">
        <v>999.9</v>
      </c>
      <c r="GV29">
        <v>47.4</v>
      </c>
      <c r="GW29">
        <v>37.700000000000003</v>
      </c>
      <c r="GX29">
        <v>31.153400000000001</v>
      </c>
      <c r="GY29">
        <v>62.157499999999999</v>
      </c>
      <c r="GZ29">
        <v>13.914300000000001</v>
      </c>
      <c r="HA29">
        <v>1</v>
      </c>
      <c r="HB29">
        <v>-4.8871900000000003E-2</v>
      </c>
      <c r="HC29">
        <v>0.66338799999999998</v>
      </c>
      <c r="HD29">
        <v>20.274699999999999</v>
      </c>
      <c r="HE29">
        <v>5.2352600000000002</v>
      </c>
      <c r="HF29">
        <v>11.968</v>
      </c>
      <c r="HG29">
        <v>4.9737999999999998</v>
      </c>
      <c r="HH29">
        <v>3.2829999999999999</v>
      </c>
      <c r="HI29">
        <v>9999</v>
      </c>
      <c r="HJ29">
        <v>9999</v>
      </c>
      <c r="HK29">
        <v>9999</v>
      </c>
      <c r="HL29">
        <v>999.9</v>
      </c>
      <c r="HM29">
        <v>1.86127</v>
      </c>
      <c r="HN29">
        <v>1.8629500000000001</v>
      </c>
      <c r="HO29">
        <v>1.86832</v>
      </c>
      <c r="HP29">
        <v>1.8591200000000001</v>
      </c>
      <c r="HQ29">
        <v>1.8574299999999999</v>
      </c>
      <c r="HR29">
        <v>1.8611</v>
      </c>
      <c r="HS29">
        <v>1.86493</v>
      </c>
      <c r="HT29">
        <v>1.86697</v>
      </c>
      <c r="HU29">
        <v>5</v>
      </c>
      <c r="HV29">
        <v>0</v>
      </c>
      <c r="HW29">
        <v>0</v>
      </c>
      <c r="HX29">
        <v>0</v>
      </c>
      <c r="HY29" t="s">
        <v>422</v>
      </c>
      <c r="HZ29" t="s">
        <v>423</v>
      </c>
      <c r="IA29" t="s">
        <v>424</v>
      </c>
      <c r="IB29" t="s">
        <v>424</v>
      </c>
      <c r="IC29" t="s">
        <v>424</v>
      </c>
      <c r="ID29" t="s">
        <v>424</v>
      </c>
      <c r="IE29">
        <v>0</v>
      </c>
      <c r="IF29">
        <v>100</v>
      </c>
      <c r="IG29">
        <v>100</v>
      </c>
      <c r="IH29">
        <v>1.21</v>
      </c>
      <c r="II29">
        <v>1.0869</v>
      </c>
      <c r="IJ29">
        <v>1.32670524698084</v>
      </c>
      <c r="IK29">
        <v>1.118558698776514E-3</v>
      </c>
      <c r="IL29">
        <v>-1.6939696309573479E-6</v>
      </c>
      <c r="IM29">
        <v>5.4698917449866148E-10</v>
      </c>
      <c r="IN29">
        <v>0.201498599879641</v>
      </c>
      <c r="IO29">
        <v>-7.6058941998734366E-3</v>
      </c>
      <c r="IP29">
        <v>1.6984902717538061E-3</v>
      </c>
      <c r="IQ29">
        <v>-9.6352527008986976E-6</v>
      </c>
      <c r="IR29">
        <v>2</v>
      </c>
      <c r="IS29">
        <v>2021</v>
      </c>
      <c r="IT29">
        <v>2</v>
      </c>
      <c r="IU29">
        <v>40</v>
      </c>
      <c r="IV29">
        <v>0.7</v>
      </c>
      <c r="IW29">
        <v>0.6</v>
      </c>
      <c r="IX29">
        <v>2.5366200000000001</v>
      </c>
      <c r="IY29">
        <v>2.5061</v>
      </c>
      <c r="IZ29">
        <v>1.34399</v>
      </c>
      <c r="JA29">
        <v>2.2436500000000001</v>
      </c>
      <c r="JB29">
        <v>1.5918000000000001</v>
      </c>
      <c r="JC29">
        <v>2.4206500000000002</v>
      </c>
      <c r="JD29">
        <v>43.919199999999996</v>
      </c>
      <c r="JE29">
        <v>24.096299999999999</v>
      </c>
      <c r="JF29">
        <v>18</v>
      </c>
      <c r="JG29">
        <v>508.42700000000002</v>
      </c>
      <c r="JH29">
        <v>441.358</v>
      </c>
      <c r="JI29">
        <v>27.952400000000001</v>
      </c>
      <c r="JJ29">
        <v>26.867899999999999</v>
      </c>
      <c r="JK29">
        <v>30.000299999999999</v>
      </c>
      <c r="JL29">
        <v>26.724900000000002</v>
      </c>
      <c r="JM29">
        <v>26.6675</v>
      </c>
      <c r="JN29">
        <v>50.852600000000002</v>
      </c>
      <c r="JO29">
        <v>27.5579</v>
      </c>
      <c r="JP29">
        <v>84.602000000000004</v>
      </c>
      <c r="JQ29">
        <v>27.8935</v>
      </c>
      <c r="JR29">
        <v>1200</v>
      </c>
      <c r="JS29">
        <v>24.665299999999998</v>
      </c>
      <c r="JT29">
        <v>100.122</v>
      </c>
      <c r="JU29">
        <v>98.383700000000005</v>
      </c>
    </row>
    <row r="30" spans="1:281" x14ac:dyDescent="0.25">
      <c r="A30">
        <v>14</v>
      </c>
      <c r="B30">
        <v>1693496667.5</v>
      </c>
      <c r="C30">
        <v>1740.900000095367</v>
      </c>
      <c r="D30" t="s">
        <v>486</v>
      </c>
      <c r="E30" t="s">
        <v>487</v>
      </c>
      <c r="F30" t="s">
        <v>413</v>
      </c>
      <c r="G30" t="s">
        <v>414</v>
      </c>
      <c r="H30" t="s">
        <v>415</v>
      </c>
      <c r="I30" t="s">
        <v>31</v>
      </c>
      <c r="J30">
        <v>1693496667.5</v>
      </c>
      <c r="K30">
        <f t="shared" si="0"/>
        <v>3.2958143824872209E-3</v>
      </c>
      <c r="L30">
        <f t="shared" si="1"/>
        <v>3.295814382487221</v>
      </c>
      <c r="M30">
        <f t="shared" si="2"/>
        <v>40.264413047053544</v>
      </c>
      <c r="N30">
        <f t="shared" si="3"/>
        <v>1446.13</v>
      </c>
      <c r="O30">
        <f t="shared" si="4"/>
        <v>1128.2851266140892</v>
      </c>
      <c r="P30">
        <f t="shared" si="5"/>
        <v>112.56885702036584</v>
      </c>
      <c r="Q30">
        <f t="shared" si="6"/>
        <v>144.28019776471004</v>
      </c>
      <c r="R30">
        <f t="shared" si="7"/>
        <v>0.2324745241009275</v>
      </c>
      <c r="S30">
        <f t="shared" si="8"/>
        <v>2.9298820402605603</v>
      </c>
      <c r="T30">
        <f t="shared" si="9"/>
        <v>0.22269147080971183</v>
      </c>
      <c r="U30">
        <f t="shared" si="10"/>
        <v>0.14002683061497537</v>
      </c>
      <c r="V30">
        <f t="shared" si="11"/>
        <v>344.37949964450996</v>
      </c>
      <c r="W30">
        <f t="shared" si="12"/>
        <v>31.648788670194474</v>
      </c>
      <c r="X30">
        <f t="shared" si="13"/>
        <v>29.9895</v>
      </c>
      <c r="Y30">
        <f t="shared" si="14"/>
        <v>4.2578809218060645</v>
      </c>
      <c r="Z30">
        <f t="shared" si="15"/>
        <v>64.715263756436599</v>
      </c>
      <c r="AA30">
        <f t="shared" si="16"/>
        <v>2.8337735093876999</v>
      </c>
      <c r="AB30">
        <f t="shared" si="17"/>
        <v>4.3788332842974036</v>
      </c>
      <c r="AC30">
        <f t="shared" si="18"/>
        <v>1.4241074124183646</v>
      </c>
      <c r="AD30">
        <f t="shared" si="19"/>
        <v>-145.34541426768644</v>
      </c>
      <c r="AE30">
        <f t="shared" si="20"/>
        <v>77.161408570886906</v>
      </c>
      <c r="AF30">
        <f t="shared" si="21"/>
        <v>5.869405453467051</v>
      </c>
      <c r="AG30">
        <f t="shared" si="22"/>
        <v>282.06489940117746</v>
      </c>
      <c r="AH30">
        <v>0</v>
      </c>
      <c r="AI30">
        <v>0</v>
      </c>
      <c r="AJ30">
        <f t="shared" si="23"/>
        <v>1</v>
      </c>
      <c r="AK30">
        <f t="shared" si="24"/>
        <v>0</v>
      </c>
      <c r="AL30">
        <f t="shared" si="25"/>
        <v>52273.534960183642</v>
      </c>
      <c r="AM30" t="s">
        <v>416</v>
      </c>
      <c r="AN30">
        <v>10366.9</v>
      </c>
      <c r="AO30">
        <v>993.59653846153856</v>
      </c>
      <c r="AP30">
        <v>3431.87</v>
      </c>
      <c r="AQ30">
        <f t="shared" si="26"/>
        <v>0.71047955241266758</v>
      </c>
      <c r="AR30">
        <v>-3.9894345373445681</v>
      </c>
      <c r="AS30" t="s">
        <v>488</v>
      </c>
      <c r="AT30">
        <v>10367.4</v>
      </c>
      <c r="AU30">
        <v>714.50304000000006</v>
      </c>
      <c r="AV30">
        <v>1007.463569701629</v>
      </c>
      <c r="AW30">
        <f t="shared" si="27"/>
        <v>0.29079019679926721</v>
      </c>
      <c r="AX30">
        <v>0.5</v>
      </c>
      <c r="AY30">
        <f t="shared" si="28"/>
        <v>1513.226999822255</v>
      </c>
      <c r="AZ30">
        <f t="shared" si="29"/>
        <v>40.264413047053544</v>
      </c>
      <c r="BA30">
        <f t="shared" si="30"/>
        <v>220.01578854013911</v>
      </c>
      <c r="BB30">
        <f t="shared" si="31"/>
        <v>2.9244685423664929E-2</v>
      </c>
      <c r="BC30">
        <f t="shared" si="32"/>
        <v>2.4064457546751634</v>
      </c>
      <c r="BD30">
        <f t="shared" si="33"/>
        <v>585.60005121499012</v>
      </c>
      <c r="BE30" t="s">
        <v>489</v>
      </c>
      <c r="BF30">
        <v>584.96</v>
      </c>
      <c r="BG30">
        <f t="shared" si="34"/>
        <v>584.96</v>
      </c>
      <c r="BH30">
        <f t="shared" si="35"/>
        <v>0.41937354600996424</v>
      </c>
      <c r="BI30">
        <f t="shared" si="36"/>
        <v>0.69339184496953954</v>
      </c>
      <c r="BJ30">
        <f t="shared" si="37"/>
        <v>0.85159222816961921</v>
      </c>
      <c r="BK30">
        <f t="shared" si="38"/>
        <v>21.12640583477318</v>
      </c>
      <c r="BL30">
        <f t="shared" si="39"/>
        <v>0.9943127662016461</v>
      </c>
      <c r="BM30">
        <f t="shared" si="40"/>
        <v>0.56767637214445144</v>
      </c>
      <c r="BN30">
        <f t="shared" si="41"/>
        <v>0.43232362785554856</v>
      </c>
      <c r="BO30">
        <v>2175</v>
      </c>
      <c r="BP30">
        <v>290.00000000000011</v>
      </c>
      <c r="BQ30">
        <v>922.14</v>
      </c>
      <c r="BR30">
        <v>165</v>
      </c>
      <c r="BS30">
        <v>10367.4</v>
      </c>
      <c r="BT30">
        <v>920.82</v>
      </c>
      <c r="BU30">
        <v>1.32</v>
      </c>
      <c r="BV30">
        <v>300.00000000000011</v>
      </c>
      <c r="BW30">
        <v>38.4</v>
      </c>
      <c r="BX30">
        <v>1007.463569701629</v>
      </c>
      <c r="BY30">
        <v>1.198018750284467</v>
      </c>
      <c r="BZ30">
        <v>-89.826558960929916</v>
      </c>
      <c r="CA30">
        <v>1.015947373820034</v>
      </c>
      <c r="CB30">
        <v>0.99643106868999365</v>
      </c>
      <c r="CC30">
        <v>-1.1273983537263631E-2</v>
      </c>
      <c r="CD30">
        <v>289.99999999999989</v>
      </c>
      <c r="CE30">
        <v>912.19</v>
      </c>
      <c r="CF30">
        <v>645</v>
      </c>
      <c r="CG30">
        <v>10342.4</v>
      </c>
      <c r="CH30">
        <v>920.61</v>
      </c>
      <c r="CI30">
        <v>-8.42</v>
      </c>
      <c r="CW30">
        <f t="shared" si="42"/>
        <v>1800.05</v>
      </c>
      <c r="CX30">
        <f t="shared" si="43"/>
        <v>1513.226999822255</v>
      </c>
      <c r="CY30">
        <f t="shared" si="44"/>
        <v>0.84065831494805976</v>
      </c>
      <c r="CZ30">
        <f t="shared" si="45"/>
        <v>0.19131662989611953</v>
      </c>
      <c r="DA30">
        <v>6</v>
      </c>
      <c r="DB30">
        <v>0.5</v>
      </c>
      <c r="DC30" t="s">
        <v>419</v>
      </c>
      <c r="DD30">
        <v>2</v>
      </c>
      <c r="DE30">
        <v>1693496667.5</v>
      </c>
      <c r="DF30">
        <v>1446.13</v>
      </c>
      <c r="DG30">
        <v>1500.1</v>
      </c>
      <c r="DH30">
        <v>28.403099999999998</v>
      </c>
      <c r="DI30">
        <v>24.565200000000001</v>
      </c>
      <c r="DJ30">
        <v>1444.94</v>
      </c>
      <c r="DK30">
        <v>27.328399999999998</v>
      </c>
      <c r="DL30">
        <v>500.61799999999999</v>
      </c>
      <c r="DM30">
        <v>99.670100000000005</v>
      </c>
      <c r="DN30">
        <v>9.9766999999999995E-2</v>
      </c>
      <c r="DO30">
        <v>30.478000000000002</v>
      </c>
      <c r="DP30">
        <v>29.9895</v>
      </c>
      <c r="DQ30">
        <v>999.9</v>
      </c>
      <c r="DR30">
        <v>0</v>
      </c>
      <c r="DS30">
        <v>0</v>
      </c>
      <c r="DT30">
        <v>10035</v>
      </c>
      <c r="DU30">
        <v>0</v>
      </c>
      <c r="DV30">
        <v>1272.96</v>
      </c>
      <c r="DW30">
        <v>-53.9664</v>
      </c>
      <c r="DX30">
        <v>1488.41</v>
      </c>
      <c r="DY30">
        <v>1537.88</v>
      </c>
      <c r="DZ30">
        <v>3.8378299999999999</v>
      </c>
      <c r="EA30">
        <v>1500.1</v>
      </c>
      <c r="EB30">
        <v>24.565200000000001</v>
      </c>
      <c r="EC30">
        <v>2.8309299999999999</v>
      </c>
      <c r="ED30">
        <v>2.44842</v>
      </c>
      <c r="EE30">
        <v>23.0656</v>
      </c>
      <c r="EF30">
        <v>20.6876</v>
      </c>
      <c r="EG30">
        <v>1800.05</v>
      </c>
      <c r="EH30">
        <v>0.97799400000000003</v>
      </c>
      <c r="EI30">
        <v>2.20062E-2</v>
      </c>
      <c r="EJ30">
        <v>0</v>
      </c>
      <c r="EK30">
        <v>713.84500000000003</v>
      </c>
      <c r="EL30">
        <v>5.0002700000000004</v>
      </c>
      <c r="EM30">
        <v>13673.3</v>
      </c>
      <c r="EN30">
        <v>16249.1</v>
      </c>
      <c r="EO30">
        <v>46.186999999999998</v>
      </c>
      <c r="EP30">
        <v>47.311999999999998</v>
      </c>
      <c r="EQ30">
        <v>47.186999999999998</v>
      </c>
      <c r="ER30">
        <v>46.875</v>
      </c>
      <c r="ES30">
        <v>47.936999999999998</v>
      </c>
      <c r="ET30">
        <v>1755.55</v>
      </c>
      <c r="EU30">
        <v>39.5</v>
      </c>
      <c r="EV30">
        <v>0</v>
      </c>
      <c r="EW30">
        <v>106.4000000953674</v>
      </c>
      <c r="EX30">
        <v>0</v>
      </c>
      <c r="EY30">
        <v>714.50304000000006</v>
      </c>
      <c r="EZ30">
        <v>-3.4027692374839078</v>
      </c>
      <c r="FA30">
        <v>-47.553846154440613</v>
      </c>
      <c r="FB30">
        <v>13678.516</v>
      </c>
      <c r="FC30">
        <v>15</v>
      </c>
      <c r="FD30">
        <v>1693496636.5</v>
      </c>
      <c r="FE30" t="s">
        <v>490</v>
      </c>
      <c r="FF30">
        <v>1693496624.5</v>
      </c>
      <c r="FG30">
        <v>1693496636.5</v>
      </c>
      <c r="FH30">
        <v>16</v>
      </c>
      <c r="FI30">
        <v>0.14000000000000001</v>
      </c>
      <c r="FJ30">
        <v>8.9999999999999993E-3</v>
      </c>
      <c r="FK30">
        <v>1.179</v>
      </c>
      <c r="FL30">
        <v>0.86199999999999999</v>
      </c>
      <c r="FM30">
        <v>1501</v>
      </c>
      <c r="FN30">
        <v>25</v>
      </c>
      <c r="FO30">
        <v>0.11</v>
      </c>
      <c r="FP30">
        <v>0.08</v>
      </c>
      <c r="FQ30">
        <v>39.975093135802418</v>
      </c>
      <c r="FR30">
        <v>-0.21523863124454221</v>
      </c>
      <c r="FS30">
        <v>0.1919219632212843</v>
      </c>
      <c r="FT30">
        <v>1</v>
      </c>
      <c r="FU30">
        <v>0.2394615373445908</v>
      </c>
      <c r="FV30">
        <v>-7.7081971190601506E-3</v>
      </c>
      <c r="FW30">
        <v>3.601057654263622E-3</v>
      </c>
      <c r="FX30">
        <v>1</v>
      </c>
      <c r="FY30">
        <v>2</v>
      </c>
      <c r="FZ30">
        <v>2</v>
      </c>
      <c r="GA30" t="s">
        <v>421</v>
      </c>
      <c r="GB30">
        <v>3.1193200000000001</v>
      </c>
      <c r="GC30">
        <v>2.8652299999999999</v>
      </c>
      <c r="GD30">
        <v>0.22570599999999999</v>
      </c>
      <c r="GE30">
        <v>0.23572699999999999</v>
      </c>
      <c r="GF30">
        <v>0.129242</v>
      </c>
      <c r="GG30">
        <v>0.122798</v>
      </c>
      <c r="GH30">
        <v>23604.400000000001</v>
      </c>
      <c r="GI30">
        <v>17991.7</v>
      </c>
      <c r="GJ30">
        <v>29364</v>
      </c>
      <c r="GK30">
        <v>21924.9</v>
      </c>
      <c r="GL30">
        <v>34213.1</v>
      </c>
      <c r="GM30">
        <v>26445.9</v>
      </c>
      <c r="GN30">
        <v>40750.300000000003</v>
      </c>
      <c r="GO30">
        <v>31128.400000000001</v>
      </c>
      <c r="GP30">
        <v>2.0710000000000002</v>
      </c>
      <c r="GQ30">
        <v>1.9048</v>
      </c>
      <c r="GR30">
        <v>0.13977300000000001</v>
      </c>
      <c r="GS30">
        <v>0</v>
      </c>
      <c r="GT30">
        <v>27.710599999999999</v>
      </c>
      <c r="GU30">
        <v>999.9</v>
      </c>
      <c r="GV30">
        <v>47.3</v>
      </c>
      <c r="GW30">
        <v>37.799999999999997</v>
      </c>
      <c r="GX30">
        <v>31.252400000000002</v>
      </c>
      <c r="GY30">
        <v>62.307600000000001</v>
      </c>
      <c r="GZ30">
        <v>13.8141</v>
      </c>
      <c r="HA30">
        <v>1</v>
      </c>
      <c r="HB30">
        <v>-4.7337400000000002E-2</v>
      </c>
      <c r="HC30">
        <v>-1.2757000000000001</v>
      </c>
      <c r="HD30">
        <v>20.271100000000001</v>
      </c>
      <c r="HE30">
        <v>5.2352600000000002</v>
      </c>
      <c r="HF30">
        <v>11.968</v>
      </c>
      <c r="HG30">
        <v>4.9752000000000001</v>
      </c>
      <c r="HH30">
        <v>3.2829999999999999</v>
      </c>
      <c r="HI30">
        <v>9999</v>
      </c>
      <c r="HJ30">
        <v>9999</v>
      </c>
      <c r="HK30">
        <v>9999</v>
      </c>
      <c r="HL30">
        <v>999.9</v>
      </c>
      <c r="HM30">
        <v>1.86127</v>
      </c>
      <c r="HN30">
        <v>1.8629800000000001</v>
      </c>
      <c r="HO30">
        <v>1.8683000000000001</v>
      </c>
      <c r="HP30">
        <v>1.8591</v>
      </c>
      <c r="HQ30">
        <v>1.8574299999999999</v>
      </c>
      <c r="HR30">
        <v>1.8611</v>
      </c>
      <c r="HS30">
        <v>1.86496</v>
      </c>
      <c r="HT30">
        <v>1.86696</v>
      </c>
      <c r="HU30">
        <v>5</v>
      </c>
      <c r="HV30">
        <v>0</v>
      </c>
      <c r="HW30">
        <v>0</v>
      </c>
      <c r="HX30">
        <v>0</v>
      </c>
      <c r="HY30" t="s">
        <v>422</v>
      </c>
      <c r="HZ30" t="s">
        <v>423</v>
      </c>
      <c r="IA30" t="s">
        <v>424</v>
      </c>
      <c r="IB30" t="s">
        <v>424</v>
      </c>
      <c r="IC30" t="s">
        <v>424</v>
      </c>
      <c r="ID30" t="s">
        <v>424</v>
      </c>
      <c r="IE30">
        <v>0</v>
      </c>
      <c r="IF30">
        <v>100</v>
      </c>
      <c r="IG30">
        <v>100</v>
      </c>
      <c r="IH30">
        <v>1.19</v>
      </c>
      <c r="II30">
        <v>1.0747</v>
      </c>
      <c r="IJ30">
        <v>1.466367883425937</v>
      </c>
      <c r="IK30">
        <v>1.118558698776514E-3</v>
      </c>
      <c r="IL30">
        <v>-1.6939696309573479E-6</v>
      </c>
      <c r="IM30">
        <v>5.4698917449866148E-10</v>
      </c>
      <c r="IN30">
        <v>0.2106509709443124</v>
      </c>
      <c r="IO30">
        <v>-7.6058941998734366E-3</v>
      </c>
      <c r="IP30">
        <v>1.6984902717538061E-3</v>
      </c>
      <c r="IQ30">
        <v>-9.6352527008986976E-6</v>
      </c>
      <c r="IR30">
        <v>2</v>
      </c>
      <c r="IS30">
        <v>2021</v>
      </c>
      <c r="IT30">
        <v>2</v>
      </c>
      <c r="IU30">
        <v>40</v>
      </c>
      <c r="IV30">
        <v>0.7</v>
      </c>
      <c r="IW30">
        <v>0.5</v>
      </c>
      <c r="IX30">
        <v>3.0505399999999998</v>
      </c>
      <c r="IY30">
        <v>2.5097700000000001</v>
      </c>
      <c r="IZ30">
        <v>1.34399</v>
      </c>
      <c r="JA30">
        <v>2.2436500000000001</v>
      </c>
      <c r="JB30">
        <v>1.5918000000000001</v>
      </c>
      <c r="JC30">
        <v>2.4011200000000001</v>
      </c>
      <c r="JD30">
        <v>43.919199999999996</v>
      </c>
      <c r="JE30">
        <v>24.087499999999999</v>
      </c>
      <c r="JF30">
        <v>18</v>
      </c>
      <c r="JG30">
        <v>508.47199999999998</v>
      </c>
      <c r="JH30">
        <v>441.036</v>
      </c>
      <c r="JI30">
        <v>29.230699999999999</v>
      </c>
      <c r="JJ30">
        <v>26.883299999999998</v>
      </c>
      <c r="JK30">
        <v>30.0002</v>
      </c>
      <c r="JL30">
        <v>26.7361</v>
      </c>
      <c r="JM30">
        <v>26.674299999999999</v>
      </c>
      <c r="JN30">
        <v>61.123800000000003</v>
      </c>
      <c r="JO30">
        <v>27.738199999999999</v>
      </c>
      <c r="JP30">
        <v>83.718699999999998</v>
      </c>
      <c r="JQ30">
        <v>29.224599999999999</v>
      </c>
      <c r="JR30">
        <v>1500</v>
      </c>
      <c r="JS30">
        <v>24.697600000000001</v>
      </c>
      <c r="JT30">
        <v>100.117</v>
      </c>
      <c r="JU30">
        <v>98.378299999999996</v>
      </c>
    </row>
    <row r="31" spans="1:281" x14ac:dyDescent="0.25">
      <c r="A31">
        <v>15</v>
      </c>
      <c r="B31">
        <v>1693498115.5999999</v>
      </c>
      <c r="C31">
        <v>3189</v>
      </c>
      <c r="D31" t="s">
        <v>491</v>
      </c>
      <c r="E31" t="s">
        <v>492</v>
      </c>
      <c r="F31" t="s">
        <v>413</v>
      </c>
      <c r="G31" t="s">
        <v>493</v>
      </c>
      <c r="H31" t="s">
        <v>494</v>
      </c>
      <c r="I31" t="s">
        <v>31</v>
      </c>
      <c r="J31">
        <v>1693498115.5999999</v>
      </c>
      <c r="K31">
        <f t="shared" si="0"/>
        <v>4.4421012445409608E-3</v>
      </c>
      <c r="L31">
        <f t="shared" si="1"/>
        <v>4.4421012445409609</v>
      </c>
      <c r="M31">
        <f t="shared" si="2"/>
        <v>41.62360374749175</v>
      </c>
      <c r="N31">
        <f t="shared" si="3"/>
        <v>348.06</v>
      </c>
      <c r="O31">
        <f t="shared" si="4"/>
        <v>123.14147558002895</v>
      </c>
      <c r="P31">
        <f t="shared" si="5"/>
        <v>12.287931476700759</v>
      </c>
      <c r="Q31">
        <f t="shared" si="6"/>
        <v>34.731900114359995</v>
      </c>
      <c r="R31">
        <f t="shared" si="7"/>
        <v>0.31931359275927645</v>
      </c>
      <c r="S31">
        <f t="shared" si="8"/>
        <v>2.911732202102034</v>
      </c>
      <c r="T31">
        <f t="shared" si="9"/>
        <v>0.3010570237033795</v>
      </c>
      <c r="U31">
        <f t="shared" si="10"/>
        <v>0.18971388056223062</v>
      </c>
      <c r="V31">
        <f t="shared" si="11"/>
        <v>344.34339964447241</v>
      </c>
      <c r="W31">
        <f t="shared" si="12"/>
        <v>31.339281748524332</v>
      </c>
      <c r="X31">
        <f t="shared" si="13"/>
        <v>30.0015</v>
      </c>
      <c r="Y31">
        <f t="shared" si="14"/>
        <v>4.2608168613183315</v>
      </c>
      <c r="Z31">
        <f t="shared" si="15"/>
        <v>64.940011759477372</v>
      </c>
      <c r="AA31">
        <f t="shared" si="16"/>
        <v>2.8408490994246001</v>
      </c>
      <c r="AB31">
        <f t="shared" si="17"/>
        <v>4.3745743532453325</v>
      </c>
      <c r="AC31">
        <f t="shared" si="18"/>
        <v>1.4199677618937314</v>
      </c>
      <c r="AD31">
        <f t="shared" si="19"/>
        <v>-195.89666488425638</v>
      </c>
      <c r="AE31">
        <f t="shared" si="20"/>
        <v>72.131072327433344</v>
      </c>
      <c r="AF31">
        <f t="shared" si="21"/>
        <v>5.5208288620164989</v>
      </c>
      <c r="AG31">
        <f t="shared" si="22"/>
        <v>226.09863594966589</v>
      </c>
      <c r="AH31">
        <v>0</v>
      </c>
      <c r="AI31">
        <v>0</v>
      </c>
      <c r="AJ31">
        <f t="shared" si="23"/>
        <v>1</v>
      </c>
      <c r="AK31">
        <f t="shared" si="24"/>
        <v>0</v>
      </c>
      <c r="AL31">
        <f t="shared" si="25"/>
        <v>51759.535719866195</v>
      </c>
      <c r="AM31" t="s">
        <v>416</v>
      </c>
      <c r="AN31">
        <v>10366.9</v>
      </c>
      <c r="AO31">
        <v>993.59653846153856</v>
      </c>
      <c r="AP31">
        <v>3431.87</v>
      </c>
      <c r="AQ31">
        <f t="shared" si="26"/>
        <v>0.71047955241266758</v>
      </c>
      <c r="AR31">
        <v>-3.9894345373445681</v>
      </c>
      <c r="AS31" t="s">
        <v>495</v>
      </c>
      <c r="AT31">
        <v>10388.1</v>
      </c>
      <c r="AU31">
        <v>744.62016000000006</v>
      </c>
      <c r="AV31">
        <v>1080.918393192293</v>
      </c>
      <c r="AW31">
        <f t="shared" si="27"/>
        <v>0.31112268540375021</v>
      </c>
      <c r="AX31">
        <v>0.5</v>
      </c>
      <c r="AY31">
        <f t="shared" si="28"/>
        <v>1513.067399822236</v>
      </c>
      <c r="AZ31">
        <f t="shared" si="29"/>
        <v>41.62360374749175</v>
      </c>
      <c r="BA31">
        <f t="shared" si="30"/>
        <v>235.37479631478192</v>
      </c>
      <c r="BB31">
        <f t="shared" si="31"/>
        <v>3.0146071675455573E-2</v>
      </c>
      <c r="BC31">
        <f t="shared" si="32"/>
        <v>2.1749575376033756</v>
      </c>
      <c r="BD31">
        <f t="shared" si="33"/>
        <v>609.6826300013073</v>
      </c>
      <c r="BE31" t="s">
        <v>496</v>
      </c>
      <c r="BF31">
        <v>590.25</v>
      </c>
      <c r="BG31">
        <f t="shared" si="34"/>
        <v>590.25</v>
      </c>
      <c r="BH31">
        <f t="shared" si="35"/>
        <v>0.45393657493716477</v>
      </c>
      <c r="BI31">
        <f t="shared" si="36"/>
        <v>0.68538800920991383</v>
      </c>
      <c r="BJ31">
        <f t="shared" si="37"/>
        <v>0.82732793505384494</v>
      </c>
      <c r="BK31">
        <f t="shared" si="38"/>
        <v>3.8512493147245284</v>
      </c>
      <c r="BL31">
        <f t="shared" si="39"/>
        <v>0.96418701343053714</v>
      </c>
      <c r="BM31">
        <f t="shared" si="40"/>
        <v>0.54329750142159949</v>
      </c>
      <c r="BN31">
        <f t="shared" si="41"/>
        <v>0.45670249857840051</v>
      </c>
      <c r="BO31">
        <v>2177</v>
      </c>
      <c r="BP31">
        <v>290.00000000000011</v>
      </c>
      <c r="BQ31">
        <v>980.63</v>
      </c>
      <c r="BR31">
        <v>225</v>
      </c>
      <c r="BS31">
        <v>10388.1</v>
      </c>
      <c r="BT31">
        <v>979.54</v>
      </c>
      <c r="BU31">
        <v>1.0900000000000001</v>
      </c>
      <c r="BV31">
        <v>300.00000000000011</v>
      </c>
      <c r="BW31">
        <v>38.4</v>
      </c>
      <c r="BX31">
        <v>1080.918393192293</v>
      </c>
      <c r="BY31">
        <v>1.4746570956599241</v>
      </c>
      <c r="BZ31">
        <v>-105.3087292335085</v>
      </c>
      <c r="CA31">
        <v>1.254060162072578</v>
      </c>
      <c r="CB31">
        <v>0.99604501358361108</v>
      </c>
      <c r="CC31">
        <v>-1.1306865406006681E-2</v>
      </c>
      <c r="CD31">
        <v>289.99999999999989</v>
      </c>
      <c r="CE31">
        <v>965.49</v>
      </c>
      <c r="CF31">
        <v>655</v>
      </c>
      <c r="CG31">
        <v>10370.4</v>
      </c>
      <c r="CH31">
        <v>979.37</v>
      </c>
      <c r="CI31">
        <v>-13.88</v>
      </c>
      <c r="CW31">
        <f t="shared" si="42"/>
        <v>1799.86</v>
      </c>
      <c r="CX31">
        <f t="shared" si="43"/>
        <v>1513.067399822236</v>
      </c>
      <c r="CY31">
        <f t="shared" si="44"/>
        <v>0.84065838444225449</v>
      </c>
      <c r="CZ31">
        <f t="shared" si="45"/>
        <v>0.19131676888450902</v>
      </c>
      <c r="DA31">
        <v>6</v>
      </c>
      <c r="DB31">
        <v>0.5</v>
      </c>
      <c r="DC31" t="s">
        <v>419</v>
      </c>
      <c r="DD31">
        <v>2</v>
      </c>
      <c r="DE31">
        <v>1693498115.5999999</v>
      </c>
      <c r="DF31">
        <v>348.06</v>
      </c>
      <c r="DG31">
        <v>399.85599999999999</v>
      </c>
      <c r="DH31">
        <v>28.469100000000001</v>
      </c>
      <c r="DI31">
        <v>23.2911</v>
      </c>
      <c r="DJ31">
        <v>346.63</v>
      </c>
      <c r="DK31">
        <v>27.5121</v>
      </c>
      <c r="DL31">
        <v>500.07400000000001</v>
      </c>
      <c r="DM31">
        <v>99.685599999999994</v>
      </c>
      <c r="DN31">
        <v>0.101506</v>
      </c>
      <c r="DO31">
        <v>30.460999999999999</v>
      </c>
      <c r="DP31">
        <v>30.0015</v>
      </c>
      <c r="DQ31">
        <v>999.9</v>
      </c>
      <c r="DR31">
        <v>0</v>
      </c>
      <c r="DS31">
        <v>0</v>
      </c>
      <c r="DT31">
        <v>9930</v>
      </c>
      <c r="DU31">
        <v>0</v>
      </c>
      <c r="DV31">
        <v>1881.7</v>
      </c>
      <c r="DW31">
        <v>-51.795900000000003</v>
      </c>
      <c r="DX31">
        <v>358.25900000000001</v>
      </c>
      <c r="DY31">
        <v>409.39100000000002</v>
      </c>
      <c r="DZ31">
        <v>5.1779799999999998</v>
      </c>
      <c r="EA31">
        <v>399.85599999999999</v>
      </c>
      <c r="EB31">
        <v>23.2911</v>
      </c>
      <c r="EC31">
        <v>2.8379599999999998</v>
      </c>
      <c r="ED31">
        <v>2.32179</v>
      </c>
      <c r="EE31">
        <v>23.1065</v>
      </c>
      <c r="EF31">
        <v>19.828399999999998</v>
      </c>
      <c r="EG31">
        <v>1799.86</v>
      </c>
      <c r="EH31">
        <v>0.97799499999999995</v>
      </c>
      <c r="EI31">
        <v>2.2004900000000001E-2</v>
      </c>
      <c r="EJ31">
        <v>0</v>
      </c>
      <c r="EK31">
        <v>744.54</v>
      </c>
      <c r="EL31">
        <v>5.0002700000000004</v>
      </c>
      <c r="EM31">
        <v>14329.1</v>
      </c>
      <c r="EN31">
        <v>16247.3</v>
      </c>
      <c r="EO31">
        <v>48</v>
      </c>
      <c r="EP31">
        <v>49.875</v>
      </c>
      <c r="EQ31">
        <v>49.25</v>
      </c>
      <c r="ER31">
        <v>48.686999999999998</v>
      </c>
      <c r="ES31">
        <v>49.686999999999998</v>
      </c>
      <c r="ET31">
        <v>1755.36</v>
      </c>
      <c r="EU31">
        <v>39.5</v>
      </c>
      <c r="EV31">
        <v>0</v>
      </c>
      <c r="EW31">
        <v>1446.2000000476839</v>
      </c>
      <c r="EX31">
        <v>0</v>
      </c>
      <c r="EY31">
        <v>744.62016000000006</v>
      </c>
      <c r="EZ31">
        <v>1.142461551330759</v>
      </c>
      <c r="FA31">
        <v>29.507692351939109</v>
      </c>
      <c r="FB31">
        <v>14324.492</v>
      </c>
      <c r="FC31">
        <v>15</v>
      </c>
      <c r="FD31">
        <v>1693498087.5999999</v>
      </c>
      <c r="FE31" t="s">
        <v>497</v>
      </c>
      <c r="FF31">
        <v>1693498079.5999999</v>
      </c>
      <c r="FG31">
        <v>1693498087.5999999</v>
      </c>
      <c r="FH31">
        <v>18</v>
      </c>
      <c r="FI31">
        <v>0.23499999999999999</v>
      </c>
      <c r="FJ31">
        <v>-0.17699999999999999</v>
      </c>
      <c r="FK31">
        <v>1.4350000000000001</v>
      </c>
      <c r="FL31">
        <v>0.65300000000000002</v>
      </c>
      <c r="FM31">
        <v>400</v>
      </c>
      <c r="FN31">
        <v>23</v>
      </c>
      <c r="FO31">
        <v>0.16</v>
      </c>
      <c r="FP31">
        <v>0.04</v>
      </c>
      <c r="FQ31">
        <v>41.710038004475031</v>
      </c>
      <c r="FR31">
        <v>-0.21042547958496111</v>
      </c>
      <c r="FS31">
        <v>0.1037863224175648</v>
      </c>
      <c r="FT31">
        <v>1</v>
      </c>
      <c r="FU31">
        <v>0.32235524655162912</v>
      </c>
      <c r="FV31">
        <v>3.9401604638981208E-2</v>
      </c>
      <c r="FW31">
        <v>5.0996265930455921E-3</v>
      </c>
      <c r="FX31">
        <v>1</v>
      </c>
      <c r="FY31">
        <v>2</v>
      </c>
      <c r="FZ31">
        <v>2</v>
      </c>
      <c r="GA31" t="s">
        <v>421</v>
      </c>
      <c r="GB31">
        <v>3.1183399999999999</v>
      </c>
      <c r="GC31">
        <v>2.86605</v>
      </c>
      <c r="GD31">
        <v>8.3745200000000006E-2</v>
      </c>
      <c r="GE31">
        <v>9.6092999999999998E-2</v>
      </c>
      <c r="GF31">
        <v>0.12947900000000001</v>
      </c>
      <c r="GG31">
        <v>0.118009</v>
      </c>
      <c r="GH31">
        <v>27862.7</v>
      </c>
      <c r="GI31">
        <v>21248.1</v>
      </c>
      <c r="GJ31">
        <v>29304.3</v>
      </c>
      <c r="GK31">
        <v>21902.1</v>
      </c>
      <c r="GL31">
        <v>34135.199999999997</v>
      </c>
      <c r="GM31">
        <v>26559</v>
      </c>
      <c r="GN31">
        <v>40666.199999999997</v>
      </c>
      <c r="GO31">
        <v>31102.400000000001</v>
      </c>
      <c r="GP31">
        <v>2.0529999999999999</v>
      </c>
      <c r="GQ31">
        <v>1.8942000000000001</v>
      </c>
      <c r="GR31">
        <v>6.6250600000000007E-2</v>
      </c>
      <c r="GS31">
        <v>0</v>
      </c>
      <c r="GT31">
        <v>28.9224</v>
      </c>
      <c r="GU31">
        <v>999.9</v>
      </c>
      <c r="GV31">
        <v>48.5</v>
      </c>
      <c r="GW31">
        <v>35.5</v>
      </c>
      <c r="GX31">
        <v>28.251300000000001</v>
      </c>
      <c r="GY31">
        <v>61.985100000000003</v>
      </c>
      <c r="GZ31">
        <v>13.129</v>
      </c>
      <c r="HA31">
        <v>1</v>
      </c>
      <c r="HB31">
        <v>5.72866E-2</v>
      </c>
      <c r="HC31">
        <v>1.70472</v>
      </c>
      <c r="HD31">
        <v>20.3248</v>
      </c>
      <c r="HE31">
        <v>5.2352600000000002</v>
      </c>
      <c r="HF31">
        <v>11.974</v>
      </c>
      <c r="HG31">
        <v>4.9757999999999996</v>
      </c>
      <c r="HH31">
        <v>3.2835999999999999</v>
      </c>
      <c r="HI31">
        <v>9999</v>
      </c>
      <c r="HJ31">
        <v>9999</v>
      </c>
      <c r="HK31">
        <v>9999</v>
      </c>
      <c r="HL31">
        <v>999.9</v>
      </c>
      <c r="HM31">
        <v>1.8606799999999999</v>
      </c>
      <c r="HN31">
        <v>1.8623400000000001</v>
      </c>
      <c r="HO31">
        <v>1.8677900000000001</v>
      </c>
      <c r="HP31">
        <v>1.8583700000000001</v>
      </c>
      <c r="HQ31">
        <v>1.85684</v>
      </c>
      <c r="HR31">
        <v>1.86049</v>
      </c>
      <c r="HS31">
        <v>1.86432</v>
      </c>
      <c r="HT31">
        <v>1.86643</v>
      </c>
      <c r="HU31">
        <v>5</v>
      </c>
      <c r="HV31">
        <v>0</v>
      </c>
      <c r="HW31">
        <v>0</v>
      </c>
      <c r="HX31">
        <v>0</v>
      </c>
      <c r="HY31" t="s">
        <v>422</v>
      </c>
      <c r="HZ31" t="s">
        <v>423</v>
      </c>
      <c r="IA31" t="s">
        <v>424</v>
      </c>
      <c r="IB31" t="s">
        <v>424</v>
      </c>
      <c r="IC31" t="s">
        <v>424</v>
      </c>
      <c r="ID31" t="s">
        <v>424</v>
      </c>
      <c r="IE31">
        <v>0</v>
      </c>
      <c r="IF31">
        <v>100</v>
      </c>
      <c r="IG31">
        <v>100</v>
      </c>
      <c r="IH31">
        <v>1.43</v>
      </c>
      <c r="II31">
        <v>0.95699999999999996</v>
      </c>
      <c r="IJ31">
        <v>1.22364284516875</v>
      </c>
      <c r="IK31">
        <v>1.118558698776514E-3</v>
      </c>
      <c r="IL31">
        <v>-1.6939696309573479E-6</v>
      </c>
      <c r="IM31">
        <v>5.4698917449866148E-10</v>
      </c>
      <c r="IN31">
        <v>8.1301666801151029E-2</v>
      </c>
      <c r="IO31">
        <v>-7.6058941998734366E-3</v>
      </c>
      <c r="IP31">
        <v>1.6984902717538061E-3</v>
      </c>
      <c r="IQ31">
        <v>-9.6352527008986976E-6</v>
      </c>
      <c r="IR31">
        <v>2</v>
      </c>
      <c r="IS31">
        <v>2021</v>
      </c>
      <c r="IT31">
        <v>2</v>
      </c>
      <c r="IU31">
        <v>40</v>
      </c>
      <c r="IV31">
        <v>0.6</v>
      </c>
      <c r="IW31">
        <v>0.5</v>
      </c>
      <c r="IX31">
        <v>1.0376000000000001</v>
      </c>
      <c r="IY31">
        <v>2.51709</v>
      </c>
      <c r="IZ31">
        <v>1.34399</v>
      </c>
      <c r="JA31">
        <v>2.2375500000000001</v>
      </c>
      <c r="JB31">
        <v>1.5918000000000001</v>
      </c>
      <c r="JC31">
        <v>2.2497600000000002</v>
      </c>
      <c r="JD31">
        <v>37.819499999999998</v>
      </c>
      <c r="JE31">
        <v>16.058299999999999</v>
      </c>
      <c r="JF31">
        <v>18</v>
      </c>
      <c r="JG31">
        <v>509.19200000000001</v>
      </c>
      <c r="JH31">
        <v>445.53699999999998</v>
      </c>
      <c r="JI31">
        <v>27.232099999999999</v>
      </c>
      <c r="JJ31">
        <v>28.269600000000001</v>
      </c>
      <c r="JK31">
        <v>29.9999</v>
      </c>
      <c r="JL31">
        <v>28.022600000000001</v>
      </c>
      <c r="JM31">
        <v>27.952999999999999</v>
      </c>
      <c r="JN31">
        <v>20.854600000000001</v>
      </c>
      <c r="JO31">
        <v>24.429200000000002</v>
      </c>
      <c r="JP31">
        <v>73.150099999999995</v>
      </c>
      <c r="JQ31">
        <v>27.287700000000001</v>
      </c>
      <c r="JR31">
        <v>400</v>
      </c>
      <c r="JS31">
        <v>23.3733</v>
      </c>
      <c r="JT31">
        <v>99.9114</v>
      </c>
      <c r="JU31">
        <v>98.287899999999993</v>
      </c>
    </row>
    <row r="32" spans="1:281" x14ac:dyDescent="0.25">
      <c r="A32">
        <v>16</v>
      </c>
      <c r="B32">
        <v>1693498224.0999999</v>
      </c>
      <c r="C32">
        <v>3297.5</v>
      </c>
      <c r="D32" t="s">
        <v>498</v>
      </c>
      <c r="E32" t="s">
        <v>499</v>
      </c>
      <c r="F32" t="s">
        <v>413</v>
      </c>
      <c r="G32" t="s">
        <v>493</v>
      </c>
      <c r="H32" t="s">
        <v>494</v>
      </c>
      <c r="I32" t="s">
        <v>31</v>
      </c>
      <c r="J32">
        <v>1693498224.0999999</v>
      </c>
      <c r="K32">
        <f t="shared" si="0"/>
        <v>4.4957045665973173E-3</v>
      </c>
      <c r="L32">
        <f t="shared" si="1"/>
        <v>4.4957045665973174</v>
      </c>
      <c r="M32">
        <f t="shared" si="2"/>
        <v>32.720699319243877</v>
      </c>
      <c r="N32">
        <f t="shared" si="3"/>
        <v>259.35199999999998</v>
      </c>
      <c r="O32">
        <f t="shared" si="4"/>
        <v>88.297501943331952</v>
      </c>
      <c r="P32">
        <f t="shared" si="5"/>
        <v>8.8108855390000045</v>
      </c>
      <c r="Q32">
        <f t="shared" si="6"/>
        <v>25.879789756422397</v>
      </c>
      <c r="R32">
        <f t="shared" si="7"/>
        <v>0.33009478451654356</v>
      </c>
      <c r="S32">
        <f t="shared" si="8"/>
        <v>2.9301706877137859</v>
      </c>
      <c r="T32">
        <f t="shared" si="9"/>
        <v>0.31073973379535624</v>
      </c>
      <c r="U32">
        <f t="shared" si="10"/>
        <v>0.19585666805953283</v>
      </c>
      <c r="V32">
        <f t="shared" si="11"/>
        <v>344.36179964458216</v>
      </c>
      <c r="W32">
        <f t="shared" si="12"/>
        <v>31.390508257608175</v>
      </c>
      <c r="X32">
        <f t="shared" si="13"/>
        <v>29.974599999999999</v>
      </c>
      <c r="Y32">
        <f t="shared" si="14"/>
        <v>4.2542379173741507</v>
      </c>
      <c r="Z32">
        <f t="shared" si="15"/>
        <v>65.161929232432783</v>
      </c>
      <c r="AA32">
        <f t="shared" si="16"/>
        <v>2.8620322105779201</v>
      </c>
      <c r="AB32">
        <f t="shared" si="17"/>
        <v>4.3921845842977474</v>
      </c>
      <c r="AC32">
        <f t="shared" si="18"/>
        <v>1.3922057067962306</v>
      </c>
      <c r="AD32">
        <f t="shared" si="19"/>
        <v>-198.26057138694171</v>
      </c>
      <c r="AE32">
        <f t="shared" si="20"/>
        <v>87.926860153779799</v>
      </c>
      <c r="AF32">
        <f t="shared" si="21"/>
        <v>6.6889062194771096</v>
      </c>
      <c r="AG32">
        <f t="shared" si="22"/>
        <v>240.71699463089737</v>
      </c>
      <c r="AH32">
        <v>0</v>
      </c>
      <c r="AI32">
        <v>0</v>
      </c>
      <c r="AJ32">
        <f t="shared" si="23"/>
        <v>1</v>
      </c>
      <c r="AK32">
        <f t="shared" si="24"/>
        <v>0</v>
      </c>
      <c r="AL32">
        <f t="shared" si="25"/>
        <v>52272.972690468698</v>
      </c>
      <c r="AM32" t="s">
        <v>416</v>
      </c>
      <c r="AN32">
        <v>10366.9</v>
      </c>
      <c r="AO32">
        <v>993.59653846153856</v>
      </c>
      <c r="AP32">
        <v>3431.87</v>
      </c>
      <c r="AQ32">
        <f t="shared" si="26"/>
        <v>0.71047955241266758</v>
      </c>
      <c r="AR32">
        <v>-3.9894345373445681</v>
      </c>
      <c r="AS32" t="s">
        <v>500</v>
      </c>
      <c r="AT32">
        <v>10386.799999999999</v>
      </c>
      <c r="AU32">
        <v>686.67855999999995</v>
      </c>
      <c r="AV32">
        <v>941.9379849988029</v>
      </c>
      <c r="AW32">
        <f t="shared" si="27"/>
        <v>0.27099387546105524</v>
      </c>
      <c r="AX32">
        <v>0.5</v>
      </c>
      <c r="AY32">
        <f t="shared" si="28"/>
        <v>1513.1510998222911</v>
      </c>
      <c r="AZ32">
        <f t="shared" si="29"/>
        <v>32.720699319243877</v>
      </c>
      <c r="BA32">
        <f t="shared" si="30"/>
        <v>205.02734034950038</v>
      </c>
      <c r="BB32">
        <f t="shared" si="31"/>
        <v>2.4260719144902177E-2</v>
      </c>
      <c r="BC32">
        <f t="shared" si="32"/>
        <v>2.6434139557545944</v>
      </c>
      <c r="BD32">
        <f t="shared" si="33"/>
        <v>562.8414068576194</v>
      </c>
      <c r="BE32" t="s">
        <v>501</v>
      </c>
      <c r="BF32">
        <v>565.57000000000005</v>
      </c>
      <c r="BG32">
        <f t="shared" si="34"/>
        <v>565.57000000000005</v>
      </c>
      <c r="BH32">
        <f t="shared" si="35"/>
        <v>0.39956769022249505</v>
      </c>
      <c r="BI32">
        <f t="shared" si="36"/>
        <v>0.67821768899821511</v>
      </c>
      <c r="BJ32">
        <f t="shared" si="37"/>
        <v>0.86869204723901805</v>
      </c>
      <c r="BK32">
        <f t="shared" si="38"/>
        <v>-4.9412809281029633</v>
      </c>
      <c r="BL32">
        <f t="shared" si="39"/>
        <v>1.0211865298448275</v>
      </c>
      <c r="BM32">
        <f t="shared" si="40"/>
        <v>0.5586013612638796</v>
      </c>
      <c r="BN32">
        <f t="shared" si="41"/>
        <v>0.4413986387361204</v>
      </c>
      <c r="BO32">
        <v>2179</v>
      </c>
      <c r="BP32">
        <v>290.00000000000011</v>
      </c>
      <c r="BQ32">
        <v>865.84</v>
      </c>
      <c r="BR32">
        <v>225</v>
      </c>
      <c r="BS32">
        <v>10386.799999999999</v>
      </c>
      <c r="BT32">
        <v>865.08</v>
      </c>
      <c r="BU32">
        <v>0.76</v>
      </c>
      <c r="BV32">
        <v>300.00000000000011</v>
      </c>
      <c r="BW32">
        <v>38.4</v>
      </c>
      <c r="BX32">
        <v>941.9379849988029</v>
      </c>
      <c r="BY32">
        <v>0.86244341738305441</v>
      </c>
      <c r="BZ32">
        <v>-79.832348175385633</v>
      </c>
      <c r="CA32">
        <v>0.73333967226658059</v>
      </c>
      <c r="CB32">
        <v>0.9976428583480853</v>
      </c>
      <c r="CC32">
        <v>-1.130522580645163E-2</v>
      </c>
      <c r="CD32">
        <v>289.99999999999989</v>
      </c>
      <c r="CE32">
        <v>854.76</v>
      </c>
      <c r="CF32">
        <v>655</v>
      </c>
      <c r="CG32">
        <v>10369.200000000001</v>
      </c>
      <c r="CH32">
        <v>864.95</v>
      </c>
      <c r="CI32">
        <v>-10.19</v>
      </c>
      <c r="CW32">
        <f t="shared" si="42"/>
        <v>1799.96</v>
      </c>
      <c r="CX32">
        <f t="shared" si="43"/>
        <v>1513.1510998222911</v>
      </c>
      <c r="CY32">
        <f t="shared" si="44"/>
        <v>0.84065818119418823</v>
      </c>
      <c r="CZ32">
        <f t="shared" si="45"/>
        <v>0.19131636238837649</v>
      </c>
      <c r="DA32">
        <v>6</v>
      </c>
      <c r="DB32">
        <v>0.5</v>
      </c>
      <c r="DC32" t="s">
        <v>419</v>
      </c>
      <c r="DD32">
        <v>2</v>
      </c>
      <c r="DE32">
        <v>1693498224.0999999</v>
      </c>
      <c r="DF32">
        <v>259.35199999999998</v>
      </c>
      <c r="DG32">
        <v>299.97399999999999</v>
      </c>
      <c r="DH32">
        <v>28.6816</v>
      </c>
      <c r="DI32">
        <v>23.446899999999999</v>
      </c>
      <c r="DJ32">
        <v>258.03100000000001</v>
      </c>
      <c r="DK32">
        <v>27.703399999999998</v>
      </c>
      <c r="DL32">
        <v>500.517</v>
      </c>
      <c r="DM32">
        <v>99.686499999999995</v>
      </c>
      <c r="DN32">
        <v>9.9851200000000001E-2</v>
      </c>
      <c r="DO32">
        <v>30.531199999999998</v>
      </c>
      <c r="DP32">
        <v>29.974599999999999</v>
      </c>
      <c r="DQ32">
        <v>999.9</v>
      </c>
      <c r="DR32">
        <v>0</v>
      </c>
      <c r="DS32">
        <v>0</v>
      </c>
      <c r="DT32">
        <v>10035</v>
      </c>
      <c r="DU32">
        <v>0</v>
      </c>
      <c r="DV32">
        <v>1954.37</v>
      </c>
      <c r="DW32">
        <v>-40.6218</v>
      </c>
      <c r="DX32">
        <v>267.01100000000002</v>
      </c>
      <c r="DY32">
        <v>307.17700000000002</v>
      </c>
      <c r="DZ32">
        <v>5.2347400000000004</v>
      </c>
      <c r="EA32">
        <v>299.97399999999999</v>
      </c>
      <c r="EB32">
        <v>23.446899999999999</v>
      </c>
      <c r="EC32">
        <v>2.8591700000000002</v>
      </c>
      <c r="ED32">
        <v>2.3373400000000002</v>
      </c>
      <c r="EE32">
        <v>23.229700000000001</v>
      </c>
      <c r="EF32">
        <v>19.9361</v>
      </c>
      <c r="EG32">
        <v>1799.96</v>
      </c>
      <c r="EH32">
        <v>0.97799899999999995</v>
      </c>
      <c r="EI32">
        <v>2.2001199999999999E-2</v>
      </c>
      <c r="EJ32">
        <v>0</v>
      </c>
      <c r="EK32">
        <v>685.83799999999997</v>
      </c>
      <c r="EL32">
        <v>5.0002700000000004</v>
      </c>
      <c r="EM32">
        <v>13297.1</v>
      </c>
      <c r="EN32">
        <v>16248.3</v>
      </c>
      <c r="EO32">
        <v>48</v>
      </c>
      <c r="EP32">
        <v>49.686999999999998</v>
      </c>
      <c r="EQ32">
        <v>49.186999999999998</v>
      </c>
      <c r="ER32">
        <v>48.5</v>
      </c>
      <c r="ES32">
        <v>49.686999999999998</v>
      </c>
      <c r="ET32">
        <v>1755.47</v>
      </c>
      <c r="EU32">
        <v>39.49</v>
      </c>
      <c r="EV32">
        <v>0</v>
      </c>
      <c r="EW32">
        <v>106.3999998569489</v>
      </c>
      <c r="EX32">
        <v>0</v>
      </c>
      <c r="EY32">
        <v>686.67855999999995</v>
      </c>
      <c r="EZ32">
        <v>-9.31707693639048</v>
      </c>
      <c r="FA32">
        <v>3.0230763252539661</v>
      </c>
      <c r="FB32">
        <v>13303.364</v>
      </c>
      <c r="FC32">
        <v>15</v>
      </c>
      <c r="FD32">
        <v>1693498194.0999999</v>
      </c>
      <c r="FE32" t="s">
        <v>502</v>
      </c>
      <c r="FF32">
        <v>1693498185.0999999</v>
      </c>
      <c r="FG32">
        <v>1693498194.0999999</v>
      </c>
      <c r="FH32">
        <v>19</v>
      </c>
      <c r="FI32">
        <v>-8.6999999999999994E-2</v>
      </c>
      <c r="FJ32">
        <v>8.9999999999999993E-3</v>
      </c>
      <c r="FK32">
        <v>1.3340000000000001</v>
      </c>
      <c r="FL32">
        <v>0.67800000000000005</v>
      </c>
      <c r="FM32">
        <v>300</v>
      </c>
      <c r="FN32">
        <v>23</v>
      </c>
      <c r="FO32">
        <v>0.19</v>
      </c>
      <c r="FP32">
        <v>0.05</v>
      </c>
      <c r="FQ32">
        <v>32.669961555847998</v>
      </c>
      <c r="FR32">
        <v>-0.6508525232800888</v>
      </c>
      <c r="FS32">
        <v>7.765724801694808E-2</v>
      </c>
      <c r="FT32">
        <v>1</v>
      </c>
      <c r="FU32">
        <v>0.33571752299225799</v>
      </c>
      <c r="FV32">
        <v>-2.4012991452000629E-2</v>
      </c>
      <c r="FW32">
        <v>3.7327286760870299E-3</v>
      </c>
      <c r="FX32">
        <v>1</v>
      </c>
      <c r="FY32">
        <v>2</v>
      </c>
      <c r="FZ32">
        <v>2</v>
      </c>
      <c r="GA32" t="s">
        <v>421</v>
      </c>
      <c r="GB32">
        <v>3.1188899999999999</v>
      </c>
      <c r="GC32">
        <v>2.86531</v>
      </c>
      <c r="GD32">
        <v>6.5735100000000005E-2</v>
      </c>
      <c r="GE32">
        <v>7.6528799999999994E-2</v>
      </c>
      <c r="GF32">
        <v>0.13009499999999999</v>
      </c>
      <c r="GG32">
        <v>0.118544</v>
      </c>
      <c r="GH32">
        <v>28410.3</v>
      </c>
      <c r="GI32">
        <v>21710.1</v>
      </c>
      <c r="GJ32">
        <v>29304.3</v>
      </c>
      <c r="GK32">
        <v>21904.3</v>
      </c>
      <c r="GL32">
        <v>34108.5</v>
      </c>
      <c r="GM32">
        <v>26543.9</v>
      </c>
      <c r="GN32">
        <v>40666.6</v>
      </c>
      <c r="GO32">
        <v>31105.3</v>
      </c>
      <c r="GP32">
        <v>2.0529000000000002</v>
      </c>
      <c r="GQ32">
        <v>1.8969</v>
      </c>
      <c r="GR32">
        <v>7.0974200000000001E-2</v>
      </c>
      <c r="GS32">
        <v>0</v>
      </c>
      <c r="GT32">
        <v>28.8185</v>
      </c>
      <c r="GU32">
        <v>999.9</v>
      </c>
      <c r="GV32">
        <v>48.9</v>
      </c>
      <c r="GW32">
        <v>35.299999999999997</v>
      </c>
      <c r="GX32">
        <v>28.172699999999999</v>
      </c>
      <c r="GY32">
        <v>61.8551</v>
      </c>
      <c r="GZ32">
        <v>12.9567</v>
      </c>
      <c r="HA32">
        <v>1</v>
      </c>
      <c r="HB32">
        <v>5.2743900000000003E-2</v>
      </c>
      <c r="HC32">
        <v>0.40077299999999999</v>
      </c>
      <c r="HD32">
        <v>20.335799999999999</v>
      </c>
      <c r="HE32">
        <v>5.2346599999999999</v>
      </c>
      <c r="HF32">
        <v>11.9734</v>
      </c>
      <c r="HG32">
        <v>4.9753999999999996</v>
      </c>
      <c r="HH32">
        <v>3.2829999999999999</v>
      </c>
      <c r="HI32">
        <v>9999</v>
      </c>
      <c r="HJ32">
        <v>9999</v>
      </c>
      <c r="HK32">
        <v>9999</v>
      </c>
      <c r="HL32">
        <v>999.9</v>
      </c>
      <c r="HM32">
        <v>1.86066</v>
      </c>
      <c r="HN32">
        <v>1.8623400000000001</v>
      </c>
      <c r="HO32">
        <v>1.8677999999999999</v>
      </c>
      <c r="HP32">
        <v>1.8583700000000001</v>
      </c>
      <c r="HQ32">
        <v>1.85673</v>
      </c>
      <c r="HR32">
        <v>1.8604700000000001</v>
      </c>
      <c r="HS32">
        <v>1.86432</v>
      </c>
      <c r="HT32">
        <v>1.8664099999999999</v>
      </c>
      <c r="HU32">
        <v>5</v>
      </c>
      <c r="HV32">
        <v>0</v>
      </c>
      <c r="HW32">
        <v>0</v>
      </c>
      <c r="HX32">
        <v>0</v>
      </c>
      <c r="HY32" t="s">
        <v>422</v>
      </c>
      <c r="HZ32" t="s">
        <v>423</v>
      </c>
      <c r="IA32" t="s">
        <v>424</v>
      </c>
      <c r="IB32" t="s">
        <v>424</v>
      </c>
      <c r="IC32" t="s">
        <v>424</v>
      </c>
      <c r="ID32" t="s">
        <v>424</v>
      </c>
      <c r="IE32">
        <v>0</v>
      </c>
      <c r="IF32">
        <v>100</v>
      </c>
      <c r="IG32">
        <v>100</v>
      </c>
      <c r="IH32">
        <v>1.321</v>
      </c>
      <c r="II32">
        <v>0.97819999999999996</v>
      </c>
      <c r="IJ32">
        <v>1.136311773457032</v>
      </c>
      <c r="IK32">
        <v>1.118558698776514E-3</v>
      </c>
      <c r="IL32">
        <v>-1.6939696309573479E-6</v>
      </c>
      <c r="IM32">
        <v>5.4698917449866148E-10</v>
      </c>
      <c r="IN32">
        <v>9.0261625106583754E-2</v>
      </c>
      <c r="IO32">
        <v>-7.6058941998734366E-3</v>
      </c>
      <c r="IP32">
        <v>1.6984902717538061E-3</v>
      </c>
      <c r="IQ32">
        <v>-9.6352527008986976E-6</v>
      </c>
      <c r="IR32">
        <v>2</v>
      </c>
      <c r="IS32">
        <v>2021</v>
      </c>
      <c r="IT32">
        <v>2</v>
      </c>
      <c r="IU32">
        <v>40</v>
      </c>
      <c r="IV32">
        <v>0.7</v>
      </c>
      <c r="IW32">
        <v>0.5</v>
      </c>
      <c r="IX32">
        <v>0.82519500000000001</v>
      </c>
      <c r="IY32">
        <v>2.4841299999999999</v>
      </c>
      <c r="IZ32">
        <v>1.34399</v>
      </c>
      <c r="JA32">
        <v>2.2375500000000001</v>
      </c>
      <c r="JB32">
        <v>1.5918000000000001</v>
      </c>
      <c r="JC32">
        <v>2.4499499999999999</v>
      </c>
      <c r="JD32">
        <v>37.578099999999999</v>
      </c>
      <c r="JE32">
        <v>16.0671</v>
      </c>
      <c r="JF32">
        <v>18</v>
      </c>
      <c r="JG32">
        <v>509.59699999999998</v>
      </c>
      <c r="JH32">
        <v>447.786</v>
      </c>
      <c r="JI32">
        <v>27.437000000000001</v>
      </c>
      <c r="JJ32">
        <v>28.276900000000001</v>
      </c>
      <c r="JK32">
        <v>30.0001</v>
      </c>
      <c r="JL32">
        <v>28.072600000000001</v>
      </c>
      <c r="JM32">
        <v>28.009899999999998</v>
      </c>
      <c r="JN32">
        <v>16.613399999999999</v>
      </c>
      <c r="JO32">
        <v>23.395299999999999</v>
      </c>
      <c r="JP32">
        <v>73.422499999999999</v>
      </c>
      <c r="JQ32">
        <v>27.4495</v>
      </c>
      <c r="JR32">
        <v>300</v>
      </c>
      <c r="JS32">
        <v>23.4754</v>
      </c>
      <c r="JT32">
        <v>99.912000000000006</v>
      </c>
      <c r="JU32">
        <v>98.297300000000007</v>
      </c>
    </row>
    <row r="33" spans="1:281" x14ac:dyDescent="0.25">
      <c r="A33">
        <v>17</v>
      </c>
      <c r="B33">
        <v>1693498330.0999999</v>
      </c>
      <c r="C33">
        <v>3403.5</v>
      </c>
      <c r="D33" t="s">
        <v>503</v>
      </c>
      <c r="E33" t="s">
        <v>504</v>
      </c>
      <c r="F33" t="s">
        <v>413</v>
      </c>
      <c r="G33" t="s">
        <v>493</v>
      </c>
      <c r="H33" t="s">
        <v>494</v>
      </c>
      <c r="I33" t="s">
        <v>31</v>
      </c>
      <c r="J33">
        <v>1693498330.0999999</v>
      </c>
      <c r="K33">
        <f t="shared" si="0"/>
        <v>4.7598509578298644E-3</v>
      </c>
      <c r="L33">
        <f t="shared" si="1"/>
        <v>4.7598509578298644</v>
      </c>
      <c r="M33">
        <f t="shared" si="2"/>
        <v>22.676261799388499</v>
      </c>
      <c r="N33">
        <f t="shared" si="3"/>
        <v>171.73699999999999</v>
      </c>
      <c r="O33">
        <f t="shared" si="4"/>
        <v>62.788084947611573</v>
      </c>
      <c r="P33">
        <f t="shared" si="5"/>
        <v>6.2654018321717393</v>
      </c>
      <c r="Q33">
        <f t="shared" si="6"/>
        <v>17.137030303591199</v>
      </c>
      <c r="R33">
        <f t="shared" si="7"/>
        <v>0.36119325210977843</v>
      </c>
      <c r="S33">
        <f t="shared" si="8"/>
        <v>2.9214248395562357</v>
      </c>
      <c r="T33">
        <f t="shared" si="9"/>
        <v>0.33809181322584403</v>
      </c>
      <c r="U33">
        <f t="shared" si="10"/>
        <v>0.21325970995973359</v>
      </c>
      <c r="V33">
        <f t="shared" si="11"/>
        <v>344.38459964460583</v>
      </c>
      <c r="W33">
        <f t="shared" si="12"/>
        <v>31.229380930363437</v>
      </c>
      <c r="X33">
        <f t="shared" si="13"/>
        <v>29.89</v>
      </c>
      <c r="Y33">
        <f t="shared" si="14"/>
        <v>4.2336049293978819</v>
      </c>
      <c r="Z33">
        <f t="shared" si="15"/>
        <v>65.901500398757889</v>
      </c>
      <c r="AA33">
        <f t="shared" si="16"/>
        <v>2.8788199214644798</v>
      </c>
      <c r="AB33">
        <f t="shared" si="17"/>
        <v>4.3683677974632875</v>
      </c>
      <c r="AC33">
        <f t="shared" si="18"/>
        <v>1.3547850079334021</v>
      </c>
      <c r="AD33">
        <f t="shared" si="19"/>
        <v>-209.90942724029702</v>
      </c>
      <c r="AE33">
        <f t="shared" si="20"/>
        <v>86.026421319974915</v>
      </c>
      <c r="AF33">
        <f t="shared" si="21"/>
        <v>6.5580952081829746</v>
      </c>
      <c r="AG33">
        <f t="shared" si="22"/>
        <v>227.05968893246671</v>
      </c>
      <c r="AH33">
        <v>0</v>
      </c>
      <c r="AI33">
        <v>0</v>
      </c>
      <c r="AJ33">
        <f t="shared" si="23"/>
        <v>1</v>
      </c>
      <c r="AK33">
        <f t="shared" si="24"/>
        <v>0</v>
      </c>
      <c r="AL33">
        <f t="shared" si="25"/>
        <v>52039.802363077055</v>
      </c>
      <c r="AM33" t="s">
        <v>416</v>
      </c>
      <c r="AN33">
        <v>10366.9</v>
      </c>
      <c r="AO33">
        <v>993.59653846153856</v>
      </c>
      <c r="AP33">
        <v>3431.87</v>
      </c>
      <c r="AQ33">
        <f t="shared" si="26"/>
        <v>0.71047955241266758</v>
      </c>
      <c r="AR33">
        <v>-3.9894345373445681</v>
      </c>
      <c r="AS33" t="s">
        <v>505</v>
      </c>
      <c r="AT33">
        <v>10385.200000000001</v>
      </c>
      <c r="AU33">
        <v>659.02303846153836</v>
      </c>
      <c r="AV33">
        <v>830.52539210760165</v>
      </c>
      <c r="AW33">
        <f t="shared" si="27"/>
        <v>0.20649862758662496</v>
      </c>
      <c r="AX33">
        <v>0.5</v>
      </c>
      <c r="AY33">
        <f t="shared" si="28"/>
        <v>1513.2518998223027</v>
      </c>
      <c r="AZ33">
        <f t="shared" si="29"/>
        <v>22.676261799388499</v>
      </c>
      <c r="BA33">
        <f t="shared" si="30"/>
        <v>156.24222025307918</v>
      </c>
      <c r="BB33">
        <f t="shared" si="31"/>
        <v>1.7621452409783429E-2</v>
      </c>
      <c r="BC33">
        <f t="shared" si="32"/>
        <v>3.1321674600351912</v>
      </c>
      <c r="BD33">
        <f t="shared" si="33"/>
        <v>521.07337791973691</v>
      </c>
      <c r="BE33" t="s">
        <v>506</v>
      </c>
      <c r="BF33">
        <v>547.67999999999995</v>
      </c>
      <c r="BG33">
        <f t="shared" si="34"/>
        <v>547.67999999999995</v>
      </c>
      <c r="BH33">
        <f t="shared" si="35"/>
        <v>0.34056200423906691</v>
      </c>
      <c r="BI33">
        <f t="shared" si="36"/>
        <v>0.60634664177530373</v>
      </c>
      <c r="BJ33">
        <f t="shared" si="37"/>
        <v>0.90193246904413304</v>
      </c>
      <c r="BK33">
        <f t="shared" si="38"/>
        <v>-1.0517026309107247</v>
      </c>
      <c r="BL33">
        <f t="shared" si="39"/>
        <v>1.0668797609973757</v>
      </c>
      <c r="BM33">
        <f t="shared" si="40"/>
        <v>0.50390336814739334</v>
      </c>
      <c r="BN33">
        <f t="shared" si="41"/>
        <v>0.49609663185260666</v>
      </c>
      <c r="BO33">
        <v>2181</v>
      </c>
      <c r="BP33">
        <v>290.00000000000011</v>
      </c>
      <c r="BQ33">
        <v>785.08</v>
      </c>
      <c r="BR33">
        <v>225</v>
      </c>
      <c r="BS33">
        <v>10385.200000000001</v>
      </c>
      <c r="BT33">
        <v>783.99</v>
      </c>
      <c r="BU33">
        <v>1.0900000000000001</v>
      </c>
      <c r="BV33">
        <v>300.00000000000011</v>
      </c>
      <c r="BW33">
        <v>38.4</v>
      </c>
      <c r="BX33">
        <v>830.52539210760165</v>
      </c>
      <c r="BY33">
        <v>0.84431725995456219</v>
      </c>
      <c r="BZ33">
        <v>-48.326473287952687</v>
      </c>
      <c r="CA33">
        <v>0.71781896794090527</v>
      </c>
      <c r="CB33">
        <v>0.99386035791857419</v>
      </c>
      <c r="CC33">
        <v>-1.130319532814239E-2</v>
      </c>
      <c r="CD33">
        <v>289.99999999999989</v>
      </c>
      <c r="CE33">
        <v>779.66</v>
      </c>
      <c r="CF33">
        <v>665</v>
      </c>
      <c r="CG33">
        <v>10366.6</v>
      </c>
      <c r="CH33">
        <v>783.91</v>
      </c>
      <c r="CI33">
        <v>-4.25</v>
      </c>
      <c r="CW33">
        <f t="shared" si="42"/>
        <v>1800.08</v>
      </c>
      <c r="CX33">
        <f t="shared" si="43"/>
        <v>1513.2518998223027</v>
      </c>
      <c r="CY33">
        <f t="shared" si="44"/>
        <v>0.84065813731739858</v>
      </c>
      <c r="CZ33">
        <f t="shared" si="45"/>
        <v>0.19131627463479725</v>
      </c>
      <c r="DA33">
        <v>6</v>
      </c>
      <c r="DB33">
        <v>0.5</v>
      </c>
      <c r="DC33" t="s">
        <v>419</v>
      </c>
      <c r="DD33">
        <v>2</v>
      </c>
      <c r="DE33">
        <v>1693498330.0999999</v>
      </c>
      <c r="DF33">
        <v>171.73699999999999</v>
      </c>
      <c r="DG33">
        <v>199.94399999999999</v>
      </c>
      <c r="DH33">
        <v>28.849799999999998</v>
      </c>
      <c r="DI33">
        <v>23.299900000000001</v>
      </c>
      <c r="DJ33">
        <v>170.59</v>
      </c>
      <c r="DK33">
        <v>27.8611</v>
      </c>
      <c r="DL33">
        <v>499.74200000000002</v>
      </c>
      <c r="DM33">
        <v>99.687100000000001</v>
      </c>
      <c r="DN33">
        <v>9.9377599999999996E-2</v>
      </c>
      <c r="DO33">
        <v>30.436199999999999</v>
      </c>
      <c r="DP33">
        <v>29.89</v>
      </c>
      <c r="DQ33">
        <v>999.9</v>
      </c>
      <c r="DR33">
        <v>0</v>
      </c>
      <c r="DS33">
        <v>0</v>
      </c>
      <c r="DT33">
        <v>9985</v>
      </c>
      <c r="DU33">
        <v>0</v>
      </c>
      <c r="DV33">
        <v>1502.21</v>
      </c>
      <c r="DW33">
        <v>-28.207100000000001</v>
      </c>
      <c r="DX33">
        <v>176.839</v>
      </c>
      <c r="DY33">
        <v>204.714</v>
      </c>
      <c r="DZ33">
        <v>5.5499200000000002</v>
      </c>
      <c r="EA33">
        <v>199.94399999999999</v>
      </c>
      <c r="EB33">
        <v>23.299900000000001</v>
      </c>
      <c r="EC33">
        <v>2.8759600000000001</v>
      </c>
      <c r="ED33">
        <v>2.3227000000000002</v>
      </c>
      <c r="EE33">
        <v>23.326699999999999</v>
      </c>
      <c r="EF33">
        <v>19.834700000000002</v>
      </c>
      <c r="EG33">
        <v>1800.08</v>
      </c>
      <c r="EH33">
        <v>0.97800200000000004</v>
      </c>
      <c r="EI33">
        <v>2.19975E-2</v>
      </c>
      <c r="EJ33">
        <v>0</v>
      </c>
      <c r="EK33">
        <v>658.76300000000003</v>
      </c>
      <c r="EL33">
        <v>5.0002700000000004</v>
      </c>
      <c r="EM33">
        <v>12592.2</v>
      </c>
      <c r="EN33">
        <v>16249.4</v>
      </c>
      <c r="EO33">
        <v>48.125</v>
      </c>
      <c r="EP33">
        <v>49.75</v>
      </c>
      <c r="EQ33">
        <v>49.311999999999998</v>
      </c>
      <c r="ER33">
        <v>48.561999999999998</v>
      </c>
      <c r="ES33">
        <v>49.811999999999998</v>
      </c>
      <c r="ET33">
        <v>1755.59</v>
      </c>
      <c r="EU33">
        <v>39.49</v>
      </c>
      <c r="EV33">
        <v>0</v>
      </c>
      <c r="EW33">
        <v>104</v>
      </c>
      <c r="EX33">
        <v>0</v>
      </c>
      <c r="EY33">
        <v>659.02303846153836</v>
      </c>
      <c r="EZ33">
        <v>-4.1548376087866608</v>
      </c>
      <c r="FA33">
        <v>-512.50256430611103</v>
      </c>
      <c r="FB33">
        <v>12616.32692307692</v>
      </c>
      <c r="FC33">
        <v>15</v>
      </c>
      <c r="FD33">
        <v>1693498301.0999999</v>
      </c>
      <c r="FE33" t="s">
        <v>507</v>
      </c>
      <c r="FF33">
        <v>1693498292.5999999</v>
      </c>
      <c r="FG33">
        <v>1693498301.0999999</v>
      </c>
      <c r="FH33">
        <v>20</v>
      </c>
      <c r="FI33">
        <v>-0.13300000000000001</v>
      </c>
      <c r="FJ33">
        <v>0</v>
      </c>
      <c r="FK33">
        <v>1.163</v>
      </c>
      <c r="FL33">
        <v>0.68400000000000005</v>
      </c>
      <c r="FM33">
        <v>200</v>
      </c>
      <c r="FN33">
        <v>23</v>
      </c>
      <c r="FO33">
        <v>0.25</v>
      </c>
      <c r="FP33">
        <v>7.0000000000000007E-2</v>
      </c>
      <c r="FQ33">
        <v>22.695837375328178</v>
      </c>
      <c r="FR33">
        <v>0.55194215817035353</v>
      </c>
      <c r="FS33">
        <v>8.2390181531981466E-2</v>
      </c>
      <c r="FT33">
        <v>1</v>
      </c>
      <c r="FU33">
        <v>0.35614585901613621</v>
      </c>
      <c r="FV33">
        <v>4.2724686289325381E-2</v>
      </c>
      <c r="FW33">
        <v>4.2545808428661276E-3</v>
      </c>
      <c r="FX33">
        <v>1</v>
      </c>
      <c r="FY33">
        <v>2</v>
      </c>
      <c r="FZ33">
        <v>2</v>
      </c>
      <c r="GA33" t="s">
        <v>421</v>
      </c>
      <c r="GB33">
        <v>3.1179700000000001</v>
      </c>
      <c r="GC33">
        <v>2.8643999999999998</v>
      </c>
      <c r="GD33">
        <v>4.57317E-2</v>
      </c>
      <c r="GE33">
        <v>5.4214400000000003E-2</v>
      </c>
      <c r="GF33">
        <v>0.130609</v>
      </c>
      <c r="GG33">
        <v>0.118021</v>
      </c>
      <c r="GH33">
        <v>29020.3</v>
      </c>
      <c r="GI33">
        <v>22237.5</v>
      </c>
      <c r="GJ33">
        <v>29306</v>
      </c>
      <c r="GK33">
        <v>21906.9</v>
      </c>
      <c r="GL33">
        <v>34087.1</v>
      </c>
      <c r="GM33">
        <v>26560.799999999999</v>
      </c>
      <c r="GN33">
        <v>40668.800000000003</v>
      </c>
      <c r="GO33">
        <v>31108.799999999999</v>
      </c>
      <c r="GP33">
        <v>2.0535000000000001</v>
      </c>
      <c r="GQ33">
        <v>1.8988</v>
      </c>
      <c r="GR33">
        <v>6.73681E-2</v>
      </c>
      <c r="GS33">
        <v>0</v>
      </c>
      <c r="GT33">
        <v>28.7925</v>
      </c>
      <c r="GU33">
        <v>999.9</v>
      </c>
      <c r="GV33">
        <v>49.3</v>
      </c>
      <c r="GW33">
        <v>35.1</v>
      </c>
      <c r="GX33">
        <v>28.090199999999999</v>
      </c>
      <c r="GY33">
        <v>61.9651</v>
      </c>
      <c r="GZ33">
        <v>13.2532</v>
      </c>
      <c r="HA33">
        <v>1</v>
      </c>
      <c r="HB33">
        <v>4.9776399999999998E-2</v>
      </c>
      <c r="HC33">
        <v>3.3300700000000003E-2</v>
      </c>
      <c r="HD33">
        <v>20.334399999999999</v>
      </c>
      <c r="HE33">
        <v>5.2244799999999998</v>
      </c>
      <c r="HF33">
        <v>11.969799999999999</v>
      </c>
      <c r="HG33">
        <v>4.9718</v>
      </c>
      <c r="HH33">
        <v>3.2812999999999999</v>
      </c>
      <c r="HI33">
        <v>9999</v>
      </c>
      <c r="HJ33">
        <v>9999</v>
      </c>
      <c r="HK33">
        <v>9999</v>
      </c>
      <c r="HL33">
        <v>999.9</v>
      </c>
      <c r="HM33">
        <v>1.86066</v>
      </c>
      <c r="HN33">
        <v>1.8623400000000001</v>
      </c>
      <c r="HO33">
        <v>1.86775</v>
      </c>
      <c r="HP33">
        <v>1.8583499999999999</v>
      </c>
      <c r="HQ33">
        <v>1.8567100000000001</v>
      </c>
      <c r="HR33">
        <v>1.86042</v>
      </c>
      <c r="HS33">
        <v>1.86432</v>
      </c>
      <c r="HT33">
        <v>1.8664400000000001</v>
      </c>
      <c r="HU33">
        <v>5</v>
      </c>
      <c r="HV33">
        <v>0</v>
      </c>
      <c r="HW33">
        <v>0</v>
      </c>
      <c r="HX33">
        <v>0</v>
      </c>
      <c r="HY33" t="s">
        <v>422</v>
      </c>
      <c r="HZ33" t="s">
        <v>423</v>
      </c>
      <c r="IA33" t="s">
        <v>424</v>
      </c>
      <c r="IB33" t="s">
        <v>424</v>
      </c>
      <c r="IC33" t="s">
        <v>424</v>
      </c>
      <c r="ID33" t="s">
        <v>424</v>
      </c>
      <c r="IE33">
        <v>0</v>
      </c>
      <c r="IF33">
        <v>100</v>
      </c>
      <c r="IG33">
        <v>100</v>
      </c>
      <c r="IH33">
        <v>1.147</v>
      </c>
      <c r="II33">
        <v>0.98870000000000002</v>
      </c>
      <c r="IJ33">
        <v>1.0031708109305311</v>
      </c>
      <c r="IK33">
        <v>1.118558698776514E-3</v>
      </c>
      <c r="IL33">
        <v>-1.6939696309573479E-6</v>
      </c>
      <c r="IM33">
        <v>5.4698917449866148E-10</v>
      </c>
      <c r="IN33">
        <v>9.0610816407963535E-2</v>
      </c>
      <c r="IO33">
        <v>-7.6058941998734366E-3</v>
      </c>
      <c r="IP33">
        <v>1.6984902717538061E-3</v>
      </c>
      <c r="IQ33">
        <v>-9.6352527008986976E-6</v>
      </c>
      <c r="IR33">
        <v>2</v>
      </c>
      <c r="IS33">
        <v>2021</v>
      </c>
      <c r="IT33">
        <v>2</v>
      </c>
      <c r="IU33">
        <v>40</v>
      </c>
      <c r="IV33">
        <v>0.6</v>
      </c>
      <c r="IW33">
        <v>0.5</v>
      </c>
      <c r="IX33">
        <v>0.60546900000000003</v>
      </c>
      <c r="IY33">
        <v>2.50488</v>
      </c>
      <c r="IZ33">
        <v>1.34399</v>
      </c>
      <c r="JA33">
        <v>2.2375500000000001</v>
      </c>
      <c r="JB33">
        <v>1.5918000000000001</v>
      </c>
      <c r="JC33">
        <v>2.48291</v>
      </c>
      <c r="JD33">
        <v>37.361800000000002</v>
      </c>
      <c r="JE33">
        <v>16.0671</v>
      </c>
      <c r="JF33">
        <v>18</v>
      </c>
      <c r="JG33">
        <v>510.11700000000002</v>
      </c>
      <c r="JH33">
        <v>449.209</v>
      </c>
      <c r="JI33">
        <v>27.283100000000001</v>
      </c>
      <c r="JJ33">
        <v>28.2624</v>
      </c>
      <c r="JK33">
        <v>29.999400000000001</v>
      </c>
      <c r="JL33">
        <v>28.0869</v>
      </c>
      <c r="JM33">
        <v>28.031199999999998</v>
      </c>
      <c r="JN33">
        <v>12.1957</v>
      </c>
      <c r="JO33">
        <v>24.5258</v>
      </c>
      <c r="JP33">
        <v>73.770099999999999</v>
      </c>
      <c r="JQ33">
        <v>27.255099999999999</v>
      </c>
      <c r="JR33">
        <v>200</v>
      </c>
      <c r="JS33">
        <v>23.139900000000001</v>
      </c>
      <c r="JT33">
        <v>99.917400000000001</v>
      </c>
      <c r="JU33">
        <v>98.308700000000002</v>
      </c>
    </row>
    <row r="34" spans="1:281" x14ac:dyDescent="0.25">
      <c r="A34">
        <v>18</v>
      </c>
      <c r="B34">
        <v>1693498433.5999999</v>
      </c>
      <c r="C34">
        <v>3507</v>
      </c>
      <c r="D34" t="s">
        <v>508</v>
      </c>
      <c r="E34" t="s">
        <v>509</v>
      </c>
      <c r="F34" t="s">
        <v>413</v>
      </c>
      <c r="G34" t="s">
        <v>493</v>
      </c>
      <c r="H34" t="s">
        <v>494</v>
      </c>
      <c r="I34" t="s">
        <v>31</v>
      </c>
      <c r="J34">
        <v>1693498433.5999999</v>
      </c>
      <c r="K34">
        <f t="shared" si="0"/>
        <v>5.0638998074829036E-3</v>
      </c>
      <c r="L34">
        <f t="shared" si="1"/>
        <v>5.0638998074829038</v>
      </c>
      <c r="M34">
        <f t="shared" si="2"/>
        <v>14.29999250128604</v>
      </c>
      <c r="N34">
        <f t="shared" si="3"/>
        <v>102.256</v>
      </c>
      <c r="O34">
        <f t="shared" si="4"/>
        <v>36.033495370679923</v>
      </c>
      <c r="P34">
        <f t="shared" si="5"/>
        <v>3.5955933992564444</v>
      </c>
      <c r="Q34">
        <f t="shared" si="6"/>
        <v>10.203589600512</v>
      </c>
      <c r="R34">
        <f t="shared" si="7"/>
        <v>0.37549633528158821</v>
      </c>
      <c r="S34">
        <f t="shared" si="8"/>
        <v>2.9222561230735797</v>
      </c>
      <c r="T34">
        <f t="shared" si="9"/>
        <v>0.35060327425905169</v>
      </c>
      <c r="U34">
        <f t="shared" si="10"/>
        <v>0.22122592097327476</v>
      </c>
      <c r="V34">
        <f t="shared" si="11"/>
        <v>344.41439964472744</v>
      </c>
      <c r="W34">
        <f t="shared" si="12"/>
        <v>31.374667078536572</v>
      </c>
      <c r="X34">
        <f t="shared" si="13"/>
        <v>30.101099999999999</v>
      </c>
      <c r="Y34">
        <f t="shared" si="14"/>
        <v>4.2852533295534236</v>
      </c>
      <c r="Z34">
        <f t="shared" si="15"/>
        <v>65.446161469298502</v>
      </c>
      <c r="AA34">
        <f t="shared" si="16"/>
        <v>2.8958832232175999</v>
      </c>
      <c r="AB34">
        <f t="shared" si="17"/>
        <v>4.4248328063916933</v>
      </c>
      <c r="AC34">
        <f t="shared" si="18"/>
        <v>1.3893701063358237</v>
      </c>
      <c r="AD34">
        <f t="shared" si="19"/>
        <v>-223.31798150999606</v>
      </c>
      <c r="AE34">
        <f t="shared" si="20"/>
        <v>88.16199851115708</v>
      </c>
      <c r="AF34">
        <f t="shared" si="21"/>
        <v>6.733477798172121</v>
      </c>
      <c r="AG34">
        <f t="shared" si="22"/>
        <v>215.99189444406062</v>
      </c>
      <c r="AH34">
        <v>0</v>
      </c>
      <c r="AI34">
        <v>0</v>
      </c>
      <c r="AJ34">
        <f t="shared" si="23"/>
        <v>1</v>
      </c>
      <c r="AK34">
        <f t="shared" si="24"/>
        <v>0</v>
      </c>
      <c r="AL34">
        <f t="shared" si="25"/>
        <v>52024.954782020031</v>
      </c>
      <c r="AM34" t="s">
        <v>416</v>
      </c>
      <c r="AN34">
        <v>10366.9</v>
      </c>
      <c r="AO34">
        <v>993.59653846153856</v>
      </c>
      <c r="AP34">
        <v>3431.87</v>
      </c>
      <c r="AQ34">
        <f t="shared" si="26"/>
        <v>0.71047955241266758</v>
      </c>
      <c r="AR34">
        <v>-3.9894345373445681</v>
      </c>
      <c r="AS34" t="s">
        <v>510</v>
      </c>
      <c r="AT34">
        <v>10381.299999999999</v>
      </c>
      <c r="AU34">
        <v>654.67563999999993</v>
      </c>
      <c r="AV34">
        <v>760.20702974433698</v>
      </c>
      <c r="AW34">
        <f t="shared" si="27"/>
        <v>0.13881927634874414</v>
      </c>
      <c r="AX34">
        <v>0.5</v>
      </c>
      <c r="AY34">
        <f t="shared" si="28"/>
        <v>1513.3859998223638</v>
      </c>
      <c r="AZ34">
        <f t="shared" si="29"/>
        <v>14.29999250128604</v>
      </c>
      <c r="BA34">
        <f t="shared" si="30"/>
        <v>105.04357466583059</v>
      </c>
      <c r="BB34">
        <f t="shared" si="31"/>
        <v>1.2085103893373771E-2</v>
      </c>
      <c r="BC34">
        <f t="shared" si="32"/>
        <v>3.51438866745834</v>
      </c>
      <c r="BD34">
        <f t="shared" si="33"/>
        <v>492.49207123284845</v>
      </c>
      <c r="BE34" t="s">
        <v>511</v>
      </c>
      <c r="BF34">
        <v>544.73</v>
      </c>
      <c r="BG34">
        <f t="shared" si="34"/>
        <v>544.73</v>
      </c>
      <c r="BH34">
        <f t="shared" si="35"/>
        <v>0.28344519494486053</v>
      </c>
      <c r="BI34">
        <f t="shared" si="36"/>
        <v>0.48975702825284817</v>
      </c>
      <c r="BJ34">
        <f t="shared" si="37"/>
        <v>0.9253666154934167</v>
      </c>
      <c r="BK34">
        <f t="shared" si="38"/>
        <v>-0.45216852430247667</v>
      </c>
      <c r="BL34">
        <f t="shared" si="39"/>
        <v>1.0957191686653314</v>
      </c>
      <c r="BM34">
        <f t="shared" si="40"/>
        <v>0.40750767204378346</v>
      </c>
      <c r="BN34">
        <f t="shared" si="41"/>
        <v>0.59249232795621654</v>
      </c>
      <c r="BO34">
        <v>2183</v>
      </c>
      <c r="BP34">
        <v>290.00000000000011</v>
      </c>
      <c r="BQ34">
        <v>733.17</v>
      </c>
      <c r="BR34">
        <v>245</v>
      </c>
      <c r="BS34">
        <v>10381.299999999999</v>
      </c>
      <c r="BT34">
        <v>732.06</v>
      </c>
      <c r="BU34">
        <v>1.1100000000000001</v>
      </c>
      <c r="BV34">
        <v>300.00000000000011</v>
      </c>
      <c r="BW34">
        <v>38.4</v>
      </c>
      <c r="BX34">
        <v>760.20702974433698</v>
      </c>
      <c r="BY34">
        <v>0.92359064611244324</v>
      </c>
      <c r="BZ34">
        <v>-29.221611425763971</v>
      </c>
      <c r="CA34">
        <v>0.78512790944863553</v>
      </c>
      <c r="CB34">
        <v>0.98018748120594279</v>
      </c>
      <c r="CC34">
        <v>-1.130191590656285E-2</v>
      </c>
      <c r="CD34">
        <v>289.99999999999989</v>
      </c>
      <c r="CE34">
        <v>729.16</v>
      </c>
      <c r="CF34">
        <v>665</v>
      </c>
      <c r="CG34">
        <v>10365.5</v>
      </c>
      <c r="CH34">
        <v>732.02</v>
      </c>
      <c r="CI34">
        <v>-2.86</v>
      </c>
      <c r="CW34">
        <f t="shared" si="42"/>
        <v>1800.24</v>
      </c>
      <c r="CX34">
        <f t="shared" si="43"/>
        <v>1513.3859998223638</v>
      </c>
      <c r="CY34">
        <f t="shared" si="44"/>
        <v>0.84065791217968922</v>
      </c>
      <c r="CZ34">
        <f t="shared" si="45"/>
        <v>0.19131582435937844</v>
      </c>
      <c r="DA34">
        <v>6</v>
      </c>
      <c r="DB34">
        <v>0.5</v>
      </c>
      <c r="DC34" t="s">
        <v>419</v>
      </c>
      <c r="DD34">
        <v>2</v>
      </c>
      <c r="DE34">
        <v>1693498433.5999999</v>
      </c>
      <c r="DF34">
        <v>102.256</v>
      </c>
      <c r="DG34">
        <v>120.04</v>
      </c>
      <c r="DH34">
        <v>29.0213</v>
      </c>
      <c r="DI34">
        <v>23.120100000000001</v>
      </c>
      <c r="DJ34">
        <v>101.06</v>
      </c>
      <c r="DK34">
        <v>28.0364</v>
      </c>
      <c r="DL34">
        <v>499.92599999999999</v>
      </c>
      <c r="DM34">
        <v>99.6845</v>
      </c>
      <c r="DN34">
        <v>0.10025199999999999</v>
      </c>
      <c r="DO34">
        <v>30.660699999999999</v>
      </c>
      <c r="DP34">
        <v>30.101099999999999</v>
      </c>
      <c r="DQ34">
        <v>999.9</v>
      </c>
      <c r="DR34">
        <v>0</v>
      </c>
      <c r="DS34">
        <v>0</v>
      </c>
      <c r="DT34">
        <v>9990</v>
      </c>
      <c r="DU34">
        <v>0</v>
      </c>
      <c r="DV34">
        <v>1870.74</v>
      </c>
      <c r="DW34">
        <v>-17.784199999999998</v>
      </c>
      <c r="DX34">
        <v>105.312</v>
      </c>
      <c r="DY34">
        <v>122.881</v>
      </c>
      <c r="DZ34">
        <v>5.9012399999999996</v>
      </c>
      <c r="EA34">
        <v>120.04</v>
      </c>
      <c r="EB34">
        <v>23.120100000000001</v>
      </c>
      <c r="EC34">
        <v>2.8929800000000001</v>
      </c>
      <c r="ED34">
        <v>2.3047200000000001</v>
      </c>
      <c r="EE34">
        <v>23.424399999999999</v>
      </c>
      <c r="EF34">
        <v>19.709399999999999</v>
      </c>
      <c r="EG34">
        <v>1800.24</v>
      </c>
      <c r="EH34">
        <v>0.97800600000000004</v>
      </c>
      <c r="EI34">
        <v>2.1993800000000001E-2</v>
      </c>
      <c r="EJ34">
        <v>0</v>
      </c>
      <c r="EK34">
        <v>654.44299999999998</v>
      </c>
      <c r="EL34">
        <v>5.0002700000000004</v>
      </c>
      <c r="EM34">
        <v>12672.3</v>
      </c>
      <c r="EN34">
        <v>16250.8</v>
      </c>
      <c r="EO34">
        <v>48.311999999999998</v>
      </c>
      <c r="EP34">
        <v>50</v>
      </c>
      <c r="EQ34">
        <v>49.436999999999998</v>
      </c>
      <c r="ER34">
        <v>48.811999999999998</v>
      </c>
      <c r="ES34">
        <v>49.936999999999998</v>
      </c>
      <c r="ET34">
        <v>1755.76</v>
      </c>
      <c r="EU34">
        <v>39.479999999999997</v>
      </c>
      <c r="EV34">
        <v>0</v>
      </c>
      <c r="EW34">
        <v>101.5999999046326</v>
      </c>
      <c r="EX34">
        <v>0</v>
      </c>
      <c r="EY34">
        <v>654.67563999999993</v>
      </c>
      <c r="EZ34">
        <v>-3.9830769174219882</v>
      </c>
      <c r="FA34">
        <v>-98.584615129210675</v>
      </c>
      <c r="FB34">
        <v>12681.928</v>
      </c>
      <c r="FC34">
        <v>15</v>
      </c>
      <c r="FD34">
        <v>1693498404.5999999</v>
      </c>
      <c r="FE34" t="s">
        <v>512</v>
      </c>
      <c r="FF34">
        <v>1693498395.5999999</v>
      </c>
      <c r="FG34">
        <v>1693498404.5999999</v>
      </c>
      <c r="FH34">
        <v>21</v>
      </c>
      <c r="FI34">
        <v>9.7000000000000003E-2</v>
      </c>
      <c r="FJ34">
        <v>-1.4999999999999999E-2</v>
      </c>
      <c r="FK34">
        <v>1.21</v>
      </c>
      <c r="FL34">
        <v>0.64400000000000002</v>
      </c>
      <c r="FM34">
        <v>120</v>
      </c>
      <c r="FN34">
        <v>23</v>
      </c>
      <c r="FO34">
        <v>0.25</v>
      </c>
      <c r="FP34">
        <v>0.05</v>
      </c>
      <c r="FQ34">
        <v>14.18465876569665</v>
      </c>
      <c r="FR34">
        <v>-8.7384401376992132E-2</v>
      </c>
      <c r="FS34">
        <v>5.0086627752166088E-2</v>
      </c>
      <c r="FT34">
        <v>1</v>
      </c>
      <c r="FU34">
        <v>0.37539681733059937</v>
      </c>
      <c r="FV34">
        <v>4.0447571874515753E-2</v>
      </c>
      <c r="FW34">
        <v>4.9956846804490402E-3</v>
      </c>
      <c r="FX34">
        <v>1</v>
      </c>
      <c r="FY34">
        <v>2</v>
      </c>
      <c r="FZ34">
        <v>2</v>
      </c>
      <c r="GA34" t="s">
        <v>421</v>
      </c>
      <c r="GB34">
        <v>3.1181299999999998</v>
      </c>
      <c r="GC34">
        <v>2.8653200000000001</v>
      </c>
      <c r="GD34">
        <v>2.8027699999999999E-2</v>
      </c>
      <c r="GE34">
        <v>3.3992500000000002E-2</v>
      </c>
      <c r="GF34">
        <v>0.13117500000000001</v>
      </c>
      <c r="GG34">
        <v>0.117377</v>
      </c>
      <c r="GH34">
        <v>29556.5</v>
      </c>
      <c r="GI34">
        <v>22714.6</v>
      </c>
      <c r="GJ34">
        <v>29303.7</v>
      </c>
      <c r="GK34">
        <v>21908.400000000001</v>
      </c>
      <c r="GL34">
        <v>34059.800000000003</v>
      </c>
      <c r="GM34">
        <v>26580.3</v>
      </c>
      <c r="GN34">
        <v>40666.1</v>
      </c>
      <c r="GO34">
        <v>31110.9</v>
      </c>
      <c r="GP34">
        <v>2.0531999999999999</v>
      </c>
      <c r="GQ34">
        <v>1.8991</v>
      </c>
      <c r="GR34">
        <v>6.5654500000000005E-2</v>
      </c>
      <c r="GS34">
        <v>0</v>
      </c>
      <c r="GT34">
        <v>29.0319</v>
      </c>
      <c r="GU34">
        <v>999.9</v>
      </c>
      <c r="GV34">
        <v>49.7</v>
      </c>
      <c r="GW34">
        <v>34.9</v>
      </c>
      <c r="GX34">
        <v>28.003900000000002</v>
      </c>
      <c r="GY34">
        <v>61.625100000000003</v>
      </c>
      <c r="GZ34">
        <v>12.912699999999999</v>
      </c>
      <c r="HA34">
        <v>1</v>
      </c>
      <c r="HB34">
        <v>5.4573200000000002E-2</v>
      </c>
      <c r="HC34">
        <v>2.3332899999999999</v>
      </c>
      <c r="HD34">
        <v>20.317499999999999</v>
      </c>
      <c r="HE34">
        <v>5.2346599999999999</v>
      </c>
      <c r="HF34">
        <v>11.972799999999999</v>
      </c>
      <c r="HG34">
        <v>4.9753999999999996</v>
      </c>
      <c r="HH34">
        <v>3.2833999999999999</v>
      </c>
      <c r="HI34">
        <v>9999</v>
      </c>
      <c r="HJ34">
        <v>9999</v>
      </c>
      <c r="HK34">
        <v>9999</v>
      </c>
      <c r="HL34">
        <v>999.9</v>
      </c>
      <c r="HM34">
        <v>1.86066</v>
      </c>
      <c r="HN34">
        <v>1.8623400000000001</v>
      </c>
      <c r="HO34">
        <v>1.8677900000000001</v>
      </c>
      <c r="HP34">
        <v>1.8583499999999999</v>
      </c>
      <c r="HQ34">
        <v>1.8567199999999999</v>
      </c>
      <c r="HR34">
        <v>1.8604000000000001</v>
      </c>
      <c r="HS34">
        <v>1.86432</v>
      </c>
      <c r="HT34">
        <v>1.86632</v>
      </c>
      <c r="HU34">
        <v>5</v>
      </c>
      <c r="HV34">
        <v>0</v>
      </c>
      <c r="HW34">
        <v>0</v>
      </c>
      <c r="HX34">
        <v>0</v>
      </c>
      <c r="HY34" t="s">
        <v>422</v>
      </c>
      <c r="HZ34" t="s">
        <v>423</v>
      </c>
      <c r="IA34" t="s">
        <v>424</v>
      </c>
      <c r="IB34" t="s">
        <v>424</v>
      </c>
      <c r="IC34" t="s">
        <v>424</v>
      </c>
      <c r="ID34" t="s">
        <v>424</v>
      </c>
      <c r="IE34">
        <v>0</v>
      </c>
      <c r="IF34">
        <v>100</v>
      </c>
      <c r="IG34">
        <v>100</v>
      </c>
      <c r="IH34">
        <v>1.196</v>
      </c>
      <c r="II34">
        <v>0.9849</v>
      </c>
      <c r="IJ34">
        <v>1.100282899215383</v>
      </c>
      <c r="IK34">
        <v>1.118558698776514E-3</v>
      </c>
      <c r="IL34">
        <v>-1.6939696309573479E-6</v>
      </c>
      <c r="IM34">
        <v>5.4698917449866148E-10</v>
      </c>
      <c r="IN34">
        <v>7.5398173335681884E-2</v>
      </c>
      <c r="IO34">
        <v>-7.6058941998734366E-3</v>
      </c>
      <c r="IP34">
        <v>1.6984902717538061E-3</v>
      </c>
      <c r="IQ34">
        <v>-9.6352527008986976E-6</v>
      </c>
      <c r="IR34">
        <v>2</v>
      </c>
      <c r="IS34">
        <v>2021</v>
      </c>
      <c r="IT34">
        <v>2</v>
      </c>
      <c r="IU34">
        <v>40</v>
      </c>
      <c r="IV34">
        <v>0.6</v>
      </c>
      <c r="IW34">
        <v>0.5</v>
      </c>
      <c r="IX34">
        <v>0.42236299999999999</v>
      </c>
      <c r="IY34">
        <v>2.5317400000000001</v>
      </c>
      <c r="IZ34">
        <v>1.34399</v>
      </c>
      <c r="JA34">
        <v>2.2375500000000001</v>
      </c>
      <c r="JB34">
        <v>1.5918000000000001</v>
      </c>
      <c r="JC34">
        <v>2.2595200000000002</v>
      </c>
      <c r="JD34">
        <v>37.194099999999999</v>
      </c>
      <c r="JE34">
        <v>16.023299999999999</v>
      </c>
      <c r="JF34">
        <v>18</v>
      </c>
      <c r="JG34">
        <v>510.10399999999998</v>
      </c>
      <c r="JH34">
        <v>449.59399999999999</v>
      </c>
      <c r="JI34">
        <v>26.3215</v>
      </c>
      <c r="JJ34">
        <v>28.267199999999999</v>
      </c>
      <c r="JK34">
        <v>30.0001</v>
      </c>
      <c r="JL34">
        <v>28.106000000000002</v>
      </c>
      <c r="JM34">
        <v>28.052600000000002</v>
      </c>
      <c r="JN34">
        <v>8.5355500000000006</v>
      </c>
      <c r="JO34">
        <v>24.795100000000001</v>
      </c>
      <c r="JP34">
        <v>74.198599999999999</v>
      </c>
      <c r="JQ34">
        <v>26.244800000000001</v>
      </c>
      <c r="JR34">
        <v>120</v>
      </c>
      <c r="JS34">
        <v>23.093</v>
      </c>
      <c r="JT34">
        <v>99.910300000000007</v>
      </c>
      <c r="JU34">
        <v>98.3155</v>
      </c>
    </row>
    <row r="35" spans="1:281" x14ac:dyDescent="0.25">
      <c r="A35">
        <v>19</v>
      </c>
      <c r="B35">
        <v>1693498538.5999999</v>
      </c>
      <c r="C35">
        <v>3612</v>
      </c>
      <c r="D35" t="s">
        <v>513</v>
      </c>
      <c r="E35" t="s">
        <v>514</v>
      </c>
      <c r="F35" t="s">
        <v>413</v>
      </c>
      <c r="G35" t="s">
        <v>493</v>
      </c>
      <c r="H35" t="s">
        <v>494</v>
      </c>
      <c r="I35" t="s">
        <v>31</v>
      </c>
      <c r="J35">
        <v>1693498538.5999999</v>
      </c>
      <c r="K35">
        <f t="shared" si="0"/>
        <v>5.4951167058623924E-3</v>
      </c>
      <c r="L35">
        <f t="shared" si="1"/>
        <v>5.495116705862392</v>
      </c>
      <c r="M35">
        <f t="shared" si="2"/>
        <v>8.5209131032546495</v>
      </c>
      <c r="N35">
        <f t="shared" si="3"/>
        <v>59.369300000000003</v>
      </c>
      <c r="O35">
        <f t="shared" si="4"/>
        <v>23.834189468346473</v>
      </c>
      <c r="P35">
        <f t="shared" si="5"/>
        <v>2.3783373308006692</v>
      </c>
      <c r="Q35">
        <f t="shared" si="6"/>
        <v>5.9242720496549</v>
      </c>
      <c r="R35">
        <f t="shared" si="7"/>
        <v>0.4208214284911232</v>
      </c>
      <c r="S35">
        <f t="shared" si="8"/>
        <v>2.9200965217019688</v>
      </c>
      <c r="T35">
        <f t="shared" si="9"/>
        <v>0.38980092186813209</v>
      </c>
      <c r="U35">
        <f t="shared" si="10"/>
        <v>0.24622181878237404</v>
      </c>
      <c r="V35">
        <f t="shared" si="11"/>
        <v>344.39729964470968</v>
      </c>
      <c r="W35">
        <f t="shared" si="12"/>
        <v>30.949492743168076</v>
      </c>
      <c r="X35">
        <f t="shared" si="13"/>
        <v>29.845099999999999</v>
      </c>
      <c r="Y35">
        <f t="shared" si="14"/>
        <v>4.2226897941310728</v>
      </c>
      <c r="Z35">
        <f t="shared" si="15"/>
        <v>65.941849419865889</v>
      </c>
      <c r="AA35">
        <f t="shared" si="16"/>
        <v>2.8659365670358001</v>
      </c>
      <c r="AB35">
        <f t="shared" si="17"/>
        <v>4.3461573981460058</v>
      </c>
      <c r="AC35">
        <f t="shared" si="18"/>
        <v>1.3567532270952727</v>
      </c>
      <c r="AD35">
        <f t="shared" si="19"/>
        <v>-242.33464672853151</v>
      </c>
      <c r="AE35">
        <f t="shared" si="20"/>
        <v>79.044721150722424</v>
      </c>
      <c r="AF35">
        <f t="shared" si="21"/>
        <v>6.0246029507068855</v>
      </c>
      <c r="AG35">
        <f t="shared" si="22"/>
        <v>187.13197701760748</v>
      </c>
      <c r="AH35">
        <v>0</v>
      </c>
      <c r="AI35">
        <v>0</v>
      </c>
      <c r="AJ35">
        <f t="shared" si="23"/>
        <v>1</v>
      </c>
      <c r="AK35">
        <f t="shared" si="24"/>
        <v>0</v>
      </c>
      <c r="AL35">
        <f t="shared" si="25"/>
        <v>52017.185146359923</v>
      </c>
      <c r="AM35" t="s">
        <v>416</v>
      </c>
      <c r="AN35">
        <v>10366.9</v>
      </c>
      <c r="AO35">
        <v>993.59653846153856</v>
      </c>
      <c r="AP35">
        <v>3431.87</v>
      </c>
      <c r="AQ35">
        <f t="shared" si="26"/>
        <v>0.71047955241266758</v>
      </c>
      <c r="AR35">
        <v>-3.9894345373445681</v>
      </c>
      <c r="AS35" t="s">
        <v>515</v>
      </c>
      <c r="AT35">
        <v>10396.4</v>
      </c>
      <c r="AU35">
        <v>658.0254799999999</v>
      </c>
      <c r="AV35">
        <v>726.60407197110135</v>
      </c>
      <c r="AW35">
        <f t="shared" si="27"/>
        <v>9.438233918104022E-2</v>
      </c>
      <c r="AX35">
        <v>0.5</v>
      </c>
      <c r="AY35">
        <f t="shared" si="28"/>
        <v>1513.3103998223548</v>
      </c>
      <c r="AZ35">
        <f t="shared" si="29"/>
        <v>8.5209131032546495</v>
      </c>
      <c r="BA35">
        <f t="shared" si="30"/>
        <v>71.414887721114539</v>
      </c>
      <c r="BB35">
        <f t="shared" si="31"/>
        <v>8.2668748209671905E-3</v>
      </c>
      <c r="BC35">
        <f t="shared" si="32"/>
        <v>3.7231637316457165</v>
      </c>
      <c r="BD35">
        <f t="shared" si="33"/>
        <v>478.16604398202213</v>
      </c>
      <c r="BE35" t="s">
        <v>516</v>
      </c>
      <c r="BF35">
        <v>551</v>
      </c>
      <c r="BG35">
        <f t="shared" si="34"/>
        <v>551</v>
      </c>
      <c r="BH35">
        <f t="shared" si="35"/>
        <v>0.24167779777882326</v>
      </c>
      <c r="BI35">
        <f t="shared" si="36"/>
        <v>0.39052962269797037</v>
      </c>
      <c r="BJ35">
        <f t="shared" si="37"/>
        <v>0.93904477745573334</v>
      </c>
      <c r="BK35">
        <f t="shared" si="38"/>
        <v>-0.25685590635778371</v>
      </c>
      <c r="BL35">
        <f t="shared" si="39"/>
        <v>1.10950062439755</v>
      </c>
      <c r="BM35">
        <f t="shared" si="40"/>
        <v>0.32701138276071273</v>
      </c>
      <c r="BN35">
        <f t="shared" si="41"/>
        <v>0.67298861723928727</v>
      </c>
      <c r="BO35">
        <v>2185</v>
      </c>
      <c r="BP35">
        <v>290.00000000000011</v>
      </c>
      <c r="BQ35">
        <v>708.73</v>
      </c>
      <c r="BR35">
        <v>145</v>
      </c>
      <c r="BS35">
        <v>10396.4</v>
      </c>
      <c r="BT35">
        <v>707.3</v>
      </c>
      <c r="BU35">
        <v>1.43</v>
      </c>
      <c r="BV35">
        <v>300.00000000000011</v>
      </c>
      <c r="BW35">
        <v>38.4</v>
      </c>
      <c r="BX35">
        <v>726.60407197110135</v>
      </c>
      <c r="BY35">
        <v>0.90331194466729481</v>
      </c>
      <c r="BZ35">
        <v>-20.070189032231671</v>
      </c>
      <c r="CA35">
        <v>0.76781555105289756</v>
      </c>
      <c r="CB35">
        <v>0.96063351421857368</v>
      </c>
      <c r="CC35">
        <v>-1.1300757508342609E-2</v>
      </c>
      <c r="CD35">
        <v>289.99999999999989</v>
      </c>
      <c r="CE35">
        <v>704.75</v>
      </c>
      <c r="CF35">
        <v>675</v>
      </c>
      <c r="CG35">
        <v>10363.6</v>
      </c>
      <c r="CH35">
        <v>707.24</v>
      </c>
      <c r="CI35">
        <v>-2.4900000000000002</v>
      </c>
      <c r="CW35">
        <f t="shared" si="42"/>
        <v>1800.15</v>
      </c>
      <c r="CX35">
        <f t="shared" si="43"/>
        <v>1513.3103998223548</v>
      </c>
      <c r="CY35">
        <f t="shared" si="44"/>
        <v>0.84065794507255209</v>
      </c>
      <c r="CZ35">
        <f t="shared" si="45"/>
        <v>0.19131589014510439</v>
      </c>
      <c r="DA35">
        <v>6</v>
      </c>
      <c r="DB35">
        <v>0.5</v>
      </c>
      <c r="DC35" t="s">
        <v>419</v>
      </c>
      <c r="DD35">
        <v>2</v>
      </c>
      <c r="DE35">
        <v>1693498538.5999999</v>
      </c>
      <c r="DF35">
        <v>59.369300000000003</v>
      </c>
      <c r="DG35">
        <v>69.991600000000005</v>
      </c>
      <c r="DH35">
        <v>28.720600000000001</v>
      </c>
      <c r="DI35">
        <v>22.3124</v>
      </c>
      <c r="DJ35">
        <v>58.105899999999998</v>
      </c>
      <c r="DK35">
        <v>27.756900000000002</v>
      </c>
      <c r="DL35">
        <v>499.73099999999999</v>
      </c>
      <c r="DM35">
        <v>99.686400000000006</v>
      </c>
      <c r="DN35">
        <v>0.100393</v>
      </c>
      <c r="DO35">
        <v>30.347200000000001</v>
      </c>
      <c r="DP35">
        <v>29.845099999999999</v>
      </c>
      <c r="DQ35">
        <v>999.9</v>
      </c>
      <c r="DR35">
        <v>0</v>
      </c>
      <c r="DS35">
        <v>0</v>
      </c>
      <c r="DT35">
        <v>9977.5</v>
      </c>
      <c r="DU35">
        <v>0</v>
      </c>
      <c r="DV35">
        <v>1833.22</v>
      </c>
      <c r="DW35">
        <v>-10.622299999999999</v>
      </c>
      <c r="DX35">
        <v>61.124899999999997</v>
      </c>
      <c r="DY35">
        <v>71.588899999999995</v>
      </c>
      <c r="DZ35">
        <v>6.4081700000000001</v>
      </c>
      <c r="EA35">
        <v>69.991600000000005</v>
      </c>
      <c r="EB35">
        <v>22.3124</v>
      </c>
      <c r="EC35">
        <v>2.8630499999999999</v>
      </c>
      <c r="ED35">
        <v>2.2242500000000001</v>
      </c>
      <c r="EE35">
        <v>23.252199999999998</v>
      </c>
      <c r="EF35">
        <v>19.138000000000002</v>
      </c>
      <c r="EG35">
        <v>1800.15</v>
      </c>
      <c r="EH35">
        <v>0.97800600000000004</v>
      </c>
      <c r="EI35">
        <v>2.1993800000000001E-2</v>
      </c>
      <c r="EJ35">
        <v>0</v>
      </c>
      <c r="EK35">
        <v>657.77599999999995</v>
      </c>
      <c r="EL35">
        <v>5.0002700000000004</v>
      </c>
      <c r="EM35">
        <v>12710</v>
      </c>
      <c r="EN35">
        <v>16250</v>
      </c>
      <c r="EO35">
        <v>48.375</v>
      </c>
      <c r="EP35">
        <v>50.25</v>
      </c>
      <c r="EQ35">
        <v>49.625</v>
      </c>
      <c r="ER35">
        <v>49.061999999999998</v>
      </c>
      <c r="ES35">
        <v>50.125</v>
      </c>
      <c r="ET35">
        <v>1755.67</v>
      </c>
      <c r="EU35">
        <v>39.479999999999997</v>
      </c>
      <c r="EV35">
        <v>0</v>
      </c>
      <c r="EW35">
        <v>102.7999999523163</v>
      </c>
      <c r="EX35">
        <v>0</v>
      </c>
      <c r="EY35">
        <v>658.0254799999999</v>
      </c>
      <c r="EZ35">
        <v>-1.4838461654606541</v>
      </c>
      <c r="FA35">
        <v>-31.869230842016751</v>
      </c>
      <c r="FB35">
        <v>12717.2</v>
      </c>
      <c r="FC35">
        <v>15</v>
      </c>
      <c r="FD35">
        <v>1693498511.0999999</v>
      </c>
      <c r="FE35" t="s">
        <v>517</v>
      </c>
      <c r="FF35">
        <v>1693498495.0999999</v>
      </c>
      <c r="FG35">
        <v>1693498511.0999999</v>
      </c>
      <c r="FH35">
        <v>22</v>
      </c>
      <c r="FI35">
        <v>0.104</v>
      </c>
      <c r="FJ35">
        <v>-3.0000000000000001E-3</v>
      </c>
      <c r="FK35">
        <v>1.2729999999999999</v>
      </c>
      <c r="FL35">
        <v>0.63600000000000001</v>
      </c>
      <c r="FM35">
        <v>70</v>
      </c>
      <c r="FN35">
        <v>23</v>
      </c>
      <c r="FO35">
        <v>0.35</v>
      </c>
      <c r="FP35">
        <v>0.04</v>
      </c>
      <c r="FQ35">
        <v>8.5185191924121355</v>
      </c>
      <c r="FR35">
        <v>-4.8954181303840202E-2</v>
      </c>
      <c r="FS35">
        <v>6.0143987915625009E-2</v>
      </c>
      <c r="FT35">
        <v>1</v>
      </c>
      <c r="FU35">
        <v>0.42189061278205181</v>
      </c>
      <c r="FV35">
        <v>3.496245488941422E-2</v>
      </c>
      <c r="FW35">
        <v>4.7624118840544566E-3</v>
      </c>
      <c r="FX35">
        <v>1</v>
      </c>
      <c r="FY35">
        <v>2</v>
      </c>
      <c r="FZ35">
        <v>2</v>
      </c>
      <c r="GA35" t="s">
        <v>421</v>
      </c>
      <c r="GB35">
        <v>3.1177100000000002</v>
      </c>
      <c r="GC35">
        <v>2.8653499999999998</v>
      </c>
      <c r="GD35">
        <v>1.63489E-2</v>
      </c>
      <c r="GE35">
        <v>2.0219999999999998E-2</v>
      </c>
      <c r="GF35">
        <v>0.13023999999999999</v>
      </c>
      <c r="GG35">
        <v>0.114484</v>
      </c>
      <c r="GH35">
        <v>29907.8</v>
      </c>
      <c r="GI35">
        <v>23035.7</v>
      </c>
      <c r="GJ35">
        <v>29300.3</v>
      </c>
      <c r="GK35">
        <v>21906.1</v>
      </c>
      <c r="GL35">
        <v>34094.400000000001</v>
      </c>
      <c r="GM35">
        <v>26664.400000000001</v>
      </c>
      <c r="GN35">
        <v>40661.599999999999</v>
      </c>
      <c r="GO35">
        <v>31108.7</v>
      </c>
      <c r="GP35">
        <v>2.0529000000000002</v>
      </c>
      <c r="GQ35">
        <v>1.8966000000000001</v>
      </c>
      <c r="GR35">
        <v>4.0411900000000001E-2</v>
      </c>
      <c r="GS35">
        <v>0</v>
      </c>
      <c r="GT35">
        <v>29.186900000000001</v>
      </c>
      <c r="GU35">
        <v>999.9</v>
      </c>
      <c r="GV35">
        <v>50.1</v>
      </c>
      <c r="GW35">
        <v>34.700000000000003</v>
      </c>
      <c r="GX35">
        <v>27.920999999999999</v>
      </c>
      <c r="GY35">
        <v>62.015099999999997</v>
      </c>
      <c r="GZ35">
        <v>13.2652</v>
      </c>
      <c r="HA35">
        <v>1</v>
      </c>
      <c r="HB35">
        <v>5.8069099999999998E-2</v>
      </c>
      <c r="HC35">
        <v>0.55880200000000002</v>
      </c>
      <c r="HD35">
        <v>20.3355</v>
      </c>
      <c r="HE35">
        <v>5.2346599999999999</v>
      </c>
      <c r="HF35">
        <v>11.9734</v>
      </c>
      <c r="HG35">
        <v>4.9756</v>
      </c>
      <c r="HH35">
        <v>3.2835000000000001</v>
      </c>
      <c r="HI35">
        <v>9999</v>
      </c>
      <c r="HJ35">
        <v>9999</v>
      </c>
      <c r="HK35">
        <v>9999</v>
      </c>
      <c r="HL35">
        <v>999.9</v>
      </c>
      <c r="HM35">
        <v>1.86066</v>
      </c>
      <c r="HN35">
        <v>1.86232</v>
      </c>
      <c r="HO35">
        <v>1.86768</v>
      </c>
      <c r="HP35">
        <v>1.85833</v>
      </c>
      <c r="HQ35">
        <v>1.8567100000000001</v>
      </c>
      <c r="HR35">
        <v>1.8603799999999999</v>
      </c>
      <c r="HS35">
        <v>1.86432</v>
      </c>
      <c r="HT35">
        <v>1.86635</v>
      </c>
      <c r="HU35">
        <v>5</v>
      </c>
      <c r="HV35">
        <v>0</v>
      </c>
      <c r="HW35">
        <v>0</v>
      </c>
      <c r="HX35">
        <v>0</v>
      </c>
      <c r="HY35" t="s">
        <v>422</v>
      </c>
      <c r="HZ35" t="s">
        <v>423</v>
      </c>
      <c r="IA35" t="s">
        <v>424</v>
      </c>
      <c r="IB35" t="s">
        <v>424</v>
      </c>
      <c r="IC35" t="s">
        <v>424</v>
      </c>
      <c r="ID35" t="s">
        <v>424</v>
      </c>
      <c r="IE35">
        <v>0</v>
      </c>
      <c r="IF35">
        <v>100</v>
      </c>
      <c r="IG35">
        <v>100</v>
      </c>
      <c r="IH35">
        <v>1.2629999999999999</v>
      </c>
      <c r="II35">
        <v>0.9637</v>
      </c>
      <c r="IJ35">
        <v>1.20401760816835</v>
      </c>
      <c r="IK35">
        <v>1.118558698776514E-3</v>
      </c>
      <c r="IL35">
        <v>-1.6939696309573479E-6</v>
      </c>
      <c r="IM35">
        <v>5.4698917449866148E-10</v>
      </c>
      <c r="IN35">
        <v>7.2261068747645818E-2</v>
      </c>
      <c r="IO35">
        <v>-7.6058941998734366E-3</v>
      </c>
      <c r="IP35">
        <v>1.6984902717538061E-3</v>
      </c>
      <c r="IQ35">
        <v>-9.6352527008986976E-6</v>
      </c>
      <c r="IR35">
        <v>2</v>
      </c>
      <c r="IS35">
        <v>2021</v>
      </c>
      <c r="IT35">
        <v>2</v>
      </c>
      <c r="IU35">
        <v>40</v>
      </c>
      <c r="IV35">
        <v>0.7</v>
      </c>
      <c r="IW35">
        <v>0.5</v>
      </c>
      <c r="IX35">
        <v>0.30761699999999997</v>
      </c>
      <c r="IY35">
        <v>2.5427200000000001</v>
      </c>
      <c r="IZ35">
        <v>1.34399</v>
      </c>
      <c r="JA35">
        <v>2.2375500000000001</v>
      </c>
      <c r="JB35">
        <v>1.5918000000000001</v>
      </c>
      <c r="JC35">
        <v>2.35229</v>
      </c>
      <c r="JD35">
        <v>37.027000000000001</v>
      </c>
      <c r="JE35">
        <v>16.040800000000001</v>
      </c>
      <c r="JF35">
        <v>18</v>
      </c>
      <c r="JG35">
        <v>510.56099999999998</v>
      </c>
      <c r="JH35">
        <v>448.57499999999999</v>
      </c>
      <c r="JI35">
        <v>26.5945</v>
      </c>
      <c r="JJ35">
        <v>28.359000000000002</v>
      </c>
      <c r="JK35">
        <v>30.0001</v>
      </c>
      <c r="JL35">
        <v>28.1753</v>
      </c>
      <c r="JM35">
        <v>28.121600000000001</v>
      </c>
      <c r="JN35">
        <v>6.2347299999999999</v>
      </c>
      <c r="JO35">
        <v>27.841200000000001</v>
      </c>
      <c r="JP35">
        <v>73.974199999999996</v>
      </c>
      <c r="JQ35">
        <v>26.633199999999999</v>
      </c>
      <c r="JR35">
        <v>70</v>
      </c>
      <c r="JS35">
        <v>22.199300000000001</v>
      </c>
      <c r="JT35">
        <v>99.899000000000001</v>
      </c>
      <c r="JU35">
        <v>98.306899999999999</v>
      </c>
    </row>
    <row r="36" spans="1:281" x14ac:dyDescent="0.25">
      <c r="A36">
        <v>20</v>
      </c>
      <c r="B36">
        <v>1693498647.5999999</v>
      </c>
      <c r="C36">
        <v>3721</v>
      </c>
      <c r="D36" t="s">
        <v>518</v>
      </c>
      <c r="E36" t="s">
        <v>519</v>
      </c>
      <c r="F36" t="s">
        <v>413</v>
      </c>
      <c r="G36" t="s">
        <v>493</v>
      </c>
      <c r="H36" t="s">
        <v>494</v>
      </c>
      <c r="I36" t="s">
        <v>31</v>
      </c>
      <c r="J36">
        <v>1693498647.5999999</v>
      </c>
      <c r="K36">
        <f t="shared" si="0"/>
        <v>5.5134962078339286E-3</v>
      </c>
      <c r="L36">
        <f t="shared" si="1"/>
        <v>5.5134962078339287</v>
      </c>
      <c r="M36">
        <f t="shared" si="2"/>
        <v>3.7013739893571378</v>
      </c>
      <c r="N36">
        <f t="shared" si="3"/>
        <v>25.4315</v>
      </c>
      <c r="O36">
        <f t="shared" si="4"/>
        <v>9.5418188876799661</v>
      </c>
      <c r="P36">
        <f t="shared" si="5"/>
        <v>0.9521304120198737</v>
      </c>
      <c r="Q36">
        <f t="shared" si="6"/>
        <v>2.5376822656472502</v>
      </c>
      <c r="R36">
        <f t="shared" si="7"/>
        <v>0.40752919546525856</v>
      </c>
      <c r="S36">
        <f t="shared" si="8"/>
        <v>2.9371491450768517</v>
      </c>
      <c r="T36">
        <f t="shared" si="9"/>
        <v>0.37852102824531464</v>
      </c>
      <c r="U36">
        <f t="shared" si="10"/>
        <v>0.23900961844626487</v>
      </c>
      <c r="V36">
        <f t="shared" si="11"/>
        <v>344.34409964465436</v>
      </c>
      <c r="W36">
        <f t="shared" si="12"/>
        <v>31.125296794825715</v>
      </c>
      <c r="X36">
        <f t="shared" si="13"/>
        <v>30.005700000000001</v>
      </c>
      <c r="Y36">
        <f t="shared" si="14"/>
        <v>4.2618448568767686</v>
      </c>
      <c r="Z36">
        <f t="shared" si="15"/>
        <v>65.120772034875358</v>
      </c>
      <c r="AA36">
        <f t="shared" si="16"/>
        <v>2.8602572399963</v>
      </c>
      <c r="AB36">
        <f t="shared" si="17"/>
        <v>4.3922348439979988</v>
      </c>
      <c r="AC36">
        <f t="shared" si="18"/>
        <v>1.4015876168804686</v>
      </c>
      <c r="AD36">
        <f t="shared" si="19"/>
        <v>-243.14518276547625</v>
      </c>
      <c r="AE36">
        <f t="shared" si="20"/>
        <v>83.243325281722846</v>
      </c>
      <c r="AF36">
        <f t="shared" si="21"/>
        <v>6.3185449419413224</v>
      </c>
      <c r="AG36">
        <f t="shared" si="22"/>
        <v>190.76078710284224</v>
      </c>
      <c r="AH36">
        <v>0</v>
      </c>
      <c r="AI36">
        <v>0</v>
      </c>
      <c r="AJ36">
        <f t="shared" si="23"/>
        <v>1</v>
      </c>
      <c r="AK36">
        <f t="shared" si="24"/>
        <v>0</v>
      </c>
      <c r="AL36">
        <f t="shared" si="25"/>
        <v>52472.334812799418</v>
      </c>
      <c r="AM36" t="s">
        <v>416</v>
      </c>
      <c r="AN36">
        <v>10366.9</v>
      </c>
      <c r="AO36">
        <v>993.59653846153856</v>
      </c>
      <c r="AP36">
        <v>3431.87</v>
      </c>
      <c r="AQ36">
        <f t="shared" si="26"/>
        <v>0.71047955241266758</v>
      </c>
      <c r="AR36">
        <v>-3.9894345373445681</v>
      </c>
      <c r="AS36" t="s">
        <v>520</v>
      </c>
      <c r="AT36">
        <v>10400.5</v>
      </c>
      <c r="AU36">
        <v>664.53808000000004</v>
      </c>
      <c r="AV36">
        <v>712.54388652051875</v>
      </c>
      <c r="AW36">
        <f t="shared" si="27"/>
        <v>6.737242074300831E-2</v>
      </c>
      <c r="AX36">
        <v>0.5</v>
      </c>
      <c r="AY36">
        <f t="shared" si="28"/>
        <v>1513.075199822327</v>
      </c>
      <c r="AZ36">
        <f t="shared" si="29"/>
        <v>3.7013739893571378</v>
      </c>
      <c r="BA36">
        <f t="shared" si="30"/>
        <v>50.969769489120594</v>
      </c>
      <c r="BB36">
        <f t="shared" si="31"/>
        <v>5.0828990704525458E-3</v>
      </c>
      <c r="BC36">
        <f t="shared" si="32"/>
        <v>3.8163629846835745</v>
      </c>
      <c r="BD36">
        <f t="shared" si="33"/>
        <v>472.03639199778092</v>
      </c>
      <c r="BE36" t="s">
        <v>521</v>
      </c>
      <c r="BF36">
        <v>557.23</v>
      </c>
      <c r="BG36">
        <f t="shared" si="34"/>
        <v>557.23</v>
      </c>
      <c r="BH36">
        <f t="shared" si="35"/>
        <v>0.21797097618638572</v>
      </c>
      <c r="BI36">
        <f t="shared" si="36"/>
        <v>0.3090889526750501</v>
      </c>
      <c r="BJ36">
        <f t="shared" si="37"/>
        <v>0.94597101323278088</v>
      </c>
      <c r="BK36">
        <f t="shared" si="38"/>
        <v>-0.17080716438353677</v>
      </c>
      <c r="BL36">
        <f t="shared" si="39"/>
        <v>1.115267075811786</v>
      </c>
      <c r="BM36">
        <f t="shared" si="40"/>
        <v>0.25917797983693902</v>
      </c>
      <c r="BN36">
        <f t="shared" si="41"/>
        <v>0.74082202016306098</v>
      </c>
      <c r="BO36">
        <v>2187</v>
      </c>
      <c r="BP36">
        <v>290.00000000000011</v>
      </c>
      <c r="BQ36">
        <v>700.04</v>
      </c>
      <c r="BR36">
        <v>125</v>
      </c>
      <c r="BS36">
        <v>10400.5</v>
      </c>
      <c r="BT36">
        <v>698.12</v>
      </c>
      <c r="BU36">
        <v>1.92</v>
      </c>
      <c r="BV36">
        <v>300.00000000000011</v>
      </c>
      <c r="BW36">
        <v>38.4</v>
      </c>
      <c r="BX36">
        <v>712.54388652051875</v>
      </c>
      <c r="BY36">
        <v>0.94079774402584315</v>
      </c>
      <c r="BZ36">
        <v>-14.999029048076959</v>
      </c>
      <c r="CA36">
        <v>0.79967238815156783</v>
      </c>
      <c r="CB36">
        <v>0.92627797160140246</v>
      </c>
      <c r="CC36">
        <v>-1.130071234705228E-2</v>
      </c>
      <c r="CD36">
        <v>289.99999999999989</v>
      </c>
      <c r="CE36">
        <v>695.57</v>
      </c>
      <c r="CF36">
        <v>695</v>
      </c>
      <c r="CG36">
        <v>10361.6</v>
      </c>
      <c r="CH36">
        <v>698.07</v>
      </c>
      <c r="CI36">
        <v>-2.5</v>
      </c>
      <c r="CW36">
        <f t="shared" si="42"/>
        <v>1799.87</v>
      </c>
      <c r="CX36">
        <f t="shared" si="43"/>
        <v>1513.075199822327</v>
      </c>
      <c r="CY36">
        <f t="shared" si="44"/>
        <v>0.84065804742694028</v>
      </c>
      <c r="CZ36">
        <f t="shared" si="45"/>
        <v>0.19131609485388076</v>
      </c>
      <c r="DA36">
        <v>6</v>
      </c>
      <c r="DB36">
        <v>0.5</v>
      </c>
      <c r="DC36" t="s">
        <v>419</v>
      </c>
      <c r="DD36">
        <v>2</v>
      </c>
      <c r="DE36">
        <v>1693498647.5999999</v>
      </c>
      <c r="DF36">
        <v>25.4315</v>
      </c>
      <c r="DG36">
        <v>30.0474</v>
      </c>
      <c r="DH36">
        <v>28.664200000000001</v>
      </c>
      <c r="DI36">
        <v>22.229299999999999</v>
      </c>
      <c r="DJ36">
        <v>24.240400000000001</v>
      </c>
      <c r="DK36">
        <v>27.730699999999999</v>
      </c>
      <c r="DL36">
        <v>499.351</v>
      </c>
      <c r="DM36">
        <v>99.686199999999999</v>
      </c>
      <c r="DN36">
        <v>9.88015E-2</v>
      </c>
      <c r="DO36">
        <v>30.531400000000001</v>
      </c>
      <c r="DP36">
        <v>30.005700000000001</v>
      </c>
      <c r="DQ36">
        <v>999.9</v>
      </c>
      <c r="DR36">
        <v>0</v>
      </c>
      <c r="DS36">
        <v>0</v>
      </c>
      <c r="DT36">
        <v>10075</v>
      </c>
      <c r="DU36">
        <v>0</v>
      </c>
      <c r="DV36">
        <v>1844.65</v>
      </c>
      <c r="DW36">
        <v>-4.6158900000000003</v>
      </c>
      <c r="DX36">
        <v>26.181999999999999</v>
      </c>
      <c r="DY36">
        <v>30.730499999999999</v>
      </c>
      <c r="DZ36">
        <v>6.4349299999999996</v>
      </c>
      <c r="EA36">
        <v>30.0474</v>
      </c>
      <c r="EB36">
        <v>22.229299999999999</v>
      </c>
      <c r="EC36">
        <v>2.8574299999999999</v>
      </c>
      <c r="ED36">
        <v>2.2159499999999999</v>
      </c>
      <c r="EE36">
        <v>23.2196</v>
      </c>
      <c r="EF36">
        <v>19.078099999999999</v>
      </c>
      <c r="EG36">
        <v>1799.87</v>
      </c>
      <c r="EH36">
        <v>0.97800200000000004</v>
      </c>
      <c r="EI36">
        <v>2.19975E-2</v>
      </c>
      <c r="EJ36">
        <v>0</v>
      </c>
      <c r="EK36">
        <v>664.78800000000001</v>
      </c>
      <c r="EL36">
        <v>5.0002700000000004</v>
      </c>
      <c r="EM36">
        <v>12833.8</v>
      </c>
      <c r="EN36">
        <v>16247.4</v>
      </c>
      <c r="EO36">
        <v>48.436999999999998</v>
      </c>
      <c r="EP36">
        <v>50.186999999999998</v>
      </c>
      <c r="EQ36">
        <v>49.625</v>
      </c>
      <c r="ER36">
        <v>49.061999999999998</v>
      </c>
      <c r="ES36">
        <v>50.061999999999998</v>
      </c>
      <c r="ET36">
        <v>1755.39</v>
      </c>
      <c r="EU36">
        <v>39.479999999999997</v>
      </c>
      <c r="EV36">
        <v>0</v>
      </c>
      <c r="EW36">
        <v>106.7999999523163</v>
      </c>
      <c r="EX36">
        <v>0</v>
      </c>
      <c r="EY36">
        <v>664.53808000000004</v>
      </c>
      <c r="EZ36">
        <v>-0.22953845568170719</v>
      </c>
      <c r="FA36">
        <v>-12.892307901985999</v>
      </c>
      <c r="FB36">
        <v>12832.468000000001</v>
      </c>
      <c r="FC36">
        <v>15</v>
      </c>
      <c r="FD36">
        <v>1693498616.5999999</v>
      </c>
      <c r="FE36" t="s">
        <v>522</v>
      </c>
      <c r="FF36">
        <v>1693498602.5999999</v>
      </c>
      <c r="FG36">
        <v>1693498616.5999999</v>
      </c>
      <c r="FH36">
        <v>23</v>
      </c>
      <c r="FI36">
        <v>-3.9E-2</v>
      </c>
      <c r="FJ36">
        <v>-2.9000000000000001E-2</v>
      </c>
      <c r="FK36">
        <v>1.196</v>
      </c>
      <c r="FL36">
        <v>0.56399999999999995</v>
      </c>
      <c r="FM36">
        <v>30</v>
      </c>
      <c r="FN36">
        <v>22</v>
      </c>
      <c r="FO36">
        <v>0.72</v>
      </c>
      <c r="FP36">
        <v>0.03</v>
      </c>
      <c r="FQ36">
        <v>3.6580111466395442</v>
      </c>
      <c r="FR36">
        <v>-3.0418124976107769E-2</v>
      </c>
      <c r="FS36">
        <v>5.055490396476664E-2</v>
      </c>
      <c r="FT36">
        <v>1</v>
      </c>
      <c r="FU36">
        <v>0.41023121393717221</v>
      </c>
      <c r="FV36">
        <v>1.9197307888895111E-2</v>
      </c>
      <c r="FW36">
        <v>3.0327652330109688E-3</v>
      </c>
      <c r="FX36">
        <v>1</v>
      </c>
      <c r="FY36">
        <v>2</v>
      </c>
      <c r="FZ36">
        <v>2</v>
      </c>
      <c r="GA36" t="s">
        <v>421</v>
      </c>
      <c r="GB36">
        <v>3.1172499999999999</v>
      </c>
      <c r="GC36">
        <v>2.8646099999999999</v>
      </c>
      <c r="GD36">
        <v>6.8619500000000003E-3</v>
      </c>
      <c r="GE36">
        <v>8.7603799999999999E-3</v>
      </c>
      <c r="GF36">
        <v>0.130135</v>
      </c>
      <c r="GG36">
        <v>0.11416999999999999</v>
      </c>
      <c r="GH36">
        <v>30194.400000000001</v>
      </c>
      <c r="GI36">
        <v>23306.1</v>
      </c>
      <c r="GJ36">
        <v>29298.7</v>
      </c>
      <c r="GK36">
        <v>21907</v>
      </c>
      <c r="GL36">
        <v>34095</v>
      </c>
      <c r="GM36">
        <v>26673.599999999999</v>
      </c>
      <c r="GN36">
        <v>40657.599999999999</v>
      </c>
      <c r="GO36">
        <v>31109.3</v>
      </c>
      <c r="GP36">
        <v>2.0522</v>
      </c>
      <c r="GQ36">
        <v>1.8985000000000001</v>
      </c>
      <c r="GR36">
        <v>5.7190699999999997E-2</v>
      </c>
      <c r="GS36">
        <v>0</v>
      </c>
      <c r="GT36">
        <v>29.074300000000001</v>
      </c>
      <c r="GU36">
        <v>999.9</v>
      </c>
      <c r="GV36">
        <v>50.3</v>
      </c>
      <c r="GW36">
        <v>34.4</v>
      </c>
      <c r="GX36">
        <v>27.566400000000002</v>
      </c>
      <c r="GY36">
        <v>61.795099999999998</v>
      </c>
      <c r="GZ36">
        <v>13.3133</v>
      </c>
      <c r="HA36">
        <v>1</v>
      </c>
      <c r="HB36">
        <v>6.2540700000000005E-2</v>
      </c>
      <c r="HC36">
        <v>0.71570800000000001</v>
      </c>
      <c r="HD36">
        <v>20.334900000000001</v>
      </c>
      <c r="HE36">
        <v>5.2346599999999999</v>
      </c>
      <c r="HF36">
        <v>11.972200000000001</v>
      </c>
      <c r="HG36">
        <v>4.9736000000000002</v>
      </c>
      <c r="HH36">
        <v>3.2835000000000001</v>
      </c>
      <c r="HI36">
        <v>9999</v>
      </c>
      <c r="HJ36">
        <v>9999</v>
      </c>
      <c r="HK36">
        <v>9999</v>
      </c>
      <c r="HL36">
        <v>999.9</v>
      </c>
      <c r="HM36">
        <v>1.86066</v>
      </c>
      <c r="HN36">
        <v>1.8623400000000001</v>
      </c>
      <c r="HO36">
        <v>1.8677299999999999</v>
      </c>
      <c r="HP36">
        <v>1.8583400000000001</v>
      </c>
      <c r="HQ36">
        <v>1.85669</v>
      </c>
      <c r="HR36">
        <v>1.8603499999999999</v>
      </c>
      <c r="HS36">
        <v>1.86432</v>
      </c>
      <c r="HT36">
        <v>1.86633</v>
      </c>
      <c r="HU36">
        <v>5</v>
      </c>
      <c r="HV36">
        <v>0</v>
      </c>
      <c r="HW36">
        <v>0</v>
      </c>
      <c r="HX36">
        <v>0</v>
      </c>
      <c r="HY36" t="s">
        <v>422</v>
      </c>
      <c r="HZ36" t="s">
        <v>423</v>
      </c>
      <c r="IA36" t="s">
        <v>424</v>
      </c>
      <c r="IB36" t="s">
        <v>424</v>
      </c>
      <c r="IC36" t="s">
        <v>424</v>
      </c>
      <c r="ID36" t="s">
        <v>424</v>
      </c>
      <c r="IE36">
        <v>0</v>
      </c>
      <c r="IF36">
        <v>100</v>
      </c>
      <c r="IG36">
        <v>100</v>
      </c>
      <c r="IH36">
        <v>1.1910000000000001</v>
      </c>
      <c r="II36">
        <v>0.9335</v>
      </c>
      <c r="IJ36">
        <v>1.1650015589040279</v>
      </c>
      <c r="IK36">
        <v>1.118558698776514E-3</v>
      </c>
      <c r="IL36">
        <v>-1.6939696309573479E-6</v>
      </c>
      <c r="IM36">
        <v>5.4698917449866148E-10</v>
      </c>
      <c r="IN36">
        <v>4.3751810363262138E-2</v>
      </c>
      <c r="IO36">
        <v>-7.6058941998734366E-3</v>
      </c>
      <c r="IP36">
        <v>1.6984902717538061E-3</v>
      </c>
      <c r="IQ36">
        <v>-9.6352527008986976E-6</v>
      </c>
      <c r="IR36">
        <v>2</v>
      </c>
      <c r="IS36">
        <v>2021</v>
      </c>
      <c r="IT36">
        <v>2</v>
      </c>
      <c r="IU36">
        <v>40</v>
      </c>
      <c r="IV36">
        <v>0.8</v>
      </c>
      <c r="IW36">
        <v>0.5</v>
      </c>
      <c r="IX36">
        <v>0.21728500000000001</v>
      </c>
      <c r="IY36">
        <v>2.5647000000000002</v>
      </c>
      <c r="IZ36">
        <v>1.34399</v>
      </c>
      <c r="JA36">
        <v>2.2387700000000001</v>
      </c>
      <c r="JB36">
        <v>1.5918000000000001</v>
      </c>
      <c r="JC36">
        <v>2.3889200000000002</v>
      </c>
      <c r="JD36">
        <v>36.8842</v>
      </c>
      <c r="JE36">
        <v>16.0321</v>
      </c>
      <c r="JF36">
        <v>18</v>
      </c>
      <c r="JG36">
        <v>510.67099999999999</v>
      </c>
      <c r="JH36">
        <v>450.31700000000001</v>
      </c>
      <c r="JI36">
        <v>27.269100000000002</v>
      </c>
      <c r="JJ36">
        <v>28.409800000000001</v>
      </c>
      <c r="JK36">
        <v>30.000299999999999</v>
      </c>
      <c r="JL36">
        <v>28.235099999999999</v>
      </c>
      <c r="JM36">
        <v>28.178899999999999</v>
      </c>
      <c r="JN36">
        <v>4.4286700000000003</v>
      </c>
      <c r="JO36">
        <v>27.1343</v>
      </c>
      <c r="JP36">
        <v>73.549499999999995</v>
      </c>
      <c r="JQ36">
        <v>27.265000000000001</v>
      </c>
      <c r="JR36">
        <v>30</v>
      </c>
      <c r="JS36">
        <v>22.177700000000002</v>
      </c>
      <c r="JT36">
        <v>99.891099999999994</v>
      </c>
      <c r="JU36">
        <v>98.309799999999996</v>
      </c>
    </row>
    <row r="37" spans="1:281" x14ac:dyDescent="0.25">
      <c r="A37">
        <v>21</v>
      </c>
      <c r="B37">
        <v>1693498747.0999999</v>
      </c>
      <c r="C37">
        <v>3820.5</v>
      </c>
      <c r="D37" t="s">
        <v>523</v>
      </c>
      <c r="E37" t="s">
        <v>524</v>
      </c>
      <c r="F37" t="s">
        <v>413</v>
      </c>
      <c r="G37" t="s">
        <v>493</v>
      </c>
      <c r="H37" t="s">
        <v>494</v>
      </c>
      <c r="I37" t="s">
        <v>31</v>
      </c>
      <c r="J37">
        <v>1693498747.0999999</v>
      </c>
      <c r="K37">
        <f t="shared" si="0"/>
        <v>5.604856019181698E-3</v>
      </c>
      <c r="L37">
        <f t="shared" si="1"/>
        <v>5.6048560191816978</v>
      </c>
      <c r="M37">
        <f t="shared" si="2"/>
        <v>0.9698395811429632</v>
      </c>
      <c r="N37">
        <f t="shared" si="3"/>
        <v>8.7163900000000005</v>
      </c>
      <c r="O37">
        <f t="shared" si="4"/>
        <v>4.6230636206309867</v>
      </c>
      <c r="P37">
        <f t="shared" si="5"/>
        <v>0.46134574954255864</v>
      </c>
      <c r="Q37">
        <f t="shared" si="6"/>
        <v>0.86982784747107011</v>
      </c>
      <c r="R37">
        <f t="shared" si="7"/>
        <v>0.42056354516262928</v>
      </c>
      <c r="S37">
        <f t="shared" si="8"/>
        <v>2.9171127547722495</v>
      </c>
      <c r="T37">
        <f t="shared" si="9"/>
        <v>0.38955035867742016</v>
      </c>
      <c r="U37">
        <f t="shared" si="10"/>
        <v>0.24606453193632727</v>
      </c>
      <c r="V37">
        <f t="shared" si="11"/>
        <v>344.39349964470568</v>
      </c>
      <c r="W37">
        <f t="shared" si="12"/>
        <v>31.162459188540353</v>
      </c>
      <c r="X37">
        <f t="shared" si="13"/>
        <v>30.0242</v>
      </c>
      <c r="Y37">
        <f t="shared" si="14"/>
        <v>4.2663755059005002</v>
      </c>
      <c r="Z37">
        <f t="shared" si="15"/>
        <v>65.40233185256686</v>
      </c>
      <c r="AA37">
        <f t="shared" si="16"/>
        <v>2.8819891322186999</v>
      </c>
      <c r="AB37">
        <f t="shared" si="17"/>
        <v>4.4065540946084623</v>
      </c>
      <c r="AC37">
        <f t="shared" si="18"/>
        <v>1.3843863736818003</v>
      </c>
      <c r="AD37">
        <f t="shared" si="19"/>
        <v>-247.17415044591289</v>
      </c>
      <c r="AE37">
        <f t="shared" si="20"/>
        <v>88.714530657382298</v>
      </c>
      <c r="AF37">
        <f t="shared" si="21"/>
        <v>6.7826156118638439</v>
      </c>
      <c r="AG37">
        <f t="shared" si="22"/>
        <v>192.71649546803894</v>
      </c>
      <c r="AH37">
        <v>0</v>
      </c>
      <c r="AI37">
        <v>0</v>
      </c>
      <c r="AJ37">
        <f t="shared" si="23"/>
        <v>1</v>
      </c>
      <c r="AK37">
        <f t="shared" si="24"/>
        <v>0</v>
      </c>
      <c r="AL37">
        <f t="shared" si="25"/>
        <v>51891.020776932055</v>
      </c>
      <c r="AM37" t="s">
        <v>416</v>
      </c>
      <c r="AN37">
        <v>10366.9</v>
      </c>
      <c r="AO37">
        <v>993.59653846153856</v>
      </c>
      <c r="AP37">
        <v>3431.87</v>
      </c>
      <c r="AQ37">
        <f t="shared" si="26"/>
        <v>0.71047955241266758</v>
      </c>
      <c r="AR37">
        <v>-3.9894345373445681</v>
      </c>
      <c r="AS37" t="s">
        <v>525</v>
      </c>
      <c r="AT37">
        <v>10409.4</v>
      </c>
      <c r="AU37">
        <v>667.72248000000002</v>
      </c>
      <c r="AV37">
        <v>708.21188403134488</v>
      </c>
      <c r="AW37">
        <f t="shared" si="27"/>
        <v>5.7171314043570676E-2</v>
      </c>
      <c r="AX37">
        <v>0.5</v>
      </c>
      <c r="AY37">
        <f t="shared" si="28"/>
        <v>1513.2935998223527</v>
      </c>
      <c r="AZ37">
        <f t="shared" si="29"/>
        <v>0.9698395811429632</v>
      </c>
      <c r="BA37">
        <f t="shared" si="30"/>
        <v>43.258491817784645</v>
      </c>
      <c r="BB37">
        <f t="shared" si="31"/>
        <v>3.2771394256010246E-3</v>
      </c>
      <c r="BC37">
        <f t="shared" si="32"/>
        <v>3.8458237956482919</v>
      </c>
      <c r="BD37">
        <f t="shared" si="33"/>
        <v>470.13133248381666</v>
      </c>
      <c r="BE37" t="s">
        <v>526</v>
      </c>
      <c r="BF37">
        <v>567.15</v>
      </c>
      <c r="BG37">
        <f t="shared" si="34"/>
        <v>567.15</v>
      </c>
      <c r="BH37">
        <f t="shared" si="35"/>
        <v>0.19918034025125397</v>
      </c>
      <c r="BI37">
        <f t="shared" si="36"/>
        <v>0.28703291686043159</v>
      </c>
      <c r="BJ37">
        <f t="shared" si="37"/>
        <v>0.95075892791220606</v>
      </c>
      <c r="BK37">
        <f t="shared" si="38"/>
        <v>-0.14187659848840523</v>
      </c>
      <c r="BL37">
        <f t="shared" si="39"/>
        <v>1.1170437438342646</v>
      </c>
      <c r="BM37">
        <f t="shared" si="40"/>
        <v>0.24379996731185952</v>
      </c>
      <c r="BN37">
        <f t="shared" si="41"/>
        <v>0.75620003268814051</v>
      </c>
      <c r="BO37">
        <v>2189</v>
      </c>
      <c r="BP37">
        <v>290.00000000000011</v>
      </c>
      <c r="BQ37">
        <v>697.37</v>
      </c>
      <c r="BR37">
        <v>85</v>
      </c>
      <c r="BS37">
        <v>10409.4</v>
      </c>
      <c r="BT37">
        <v>694.87</v>
      </c>
      <c r="BU37">
        <v>2.5</v>
      </c>
      <c r="BV37">
        <v>300.00000000000011</v>
      </c>
      <c r="BW37">
        <v>38.4</v>
      </c>
      <c r="BX37">
        <v>708.21188403134488</v>
      </c>
      <c r="BY37">
        <v>0.82338163856761026</v>
      </c>
      <c r="BZ37">
        <v>-13.884522841718329</v>
      </c>
      <c r="CA37">
        <v>0.69985891950047974</v>
      </c>
      <c r="CB37">
        <v>0.93358431400524544</v>
      </c>
      <c r="CC37">
        <v>-1.130038420467187E-2</v>
      </c>
      <c r="CD37">
        <v>289.99999999999989</v>
      </c>
      <c r="CE37">
        <v>693.51</v>
      </c>
      <c r="CF37">
        <v>645</v>
      </c>
      <c r="CG37">
        <v>10366.1</v>
      </c>
      <c r="CH37">
        <v>694.82</v>
      </c>
      <c r="CI37">
        <v>-1.31</v>
      </c>
      <c r="CW37">
        <f t="shared" si="42"/>
        <v>1800.13</v>
      </c>
      <c r="CX37">
        <f t="shared" si="43"/>
        <v>1513.2935998223527</v>
      </c>
      <c r="CY37">
        <f t="shared" si="44"/>
        <v>0.84065795238252383</v>
      </c>
      <c r="CZ37">
        <f t="shared" si="45"/>
        <v>0.19131590476504789</v>
      </c>
      <c r="DA37">
        <v>6</v>
      </c>
      <c r="DB37">
        <v>0.5</v>
      </c>
      <c r="DC37" t="s">
        <v>419</v>
      </c>
      <c r="DD37">
        <v>2</v>
      </c>
      <c r="DE37">
        <v>1693498747.0999999</v>
      </c>
      <c r="DF37">
        <v>8.7163900000000005</v>
      </c>
      <c r="DG37">
        <v>9.9381699999999995</v>
      </c>
      <c r="DH37">
        <v>28.879899999999999</v>
      </c>
      <c r="DI37">
        <v>22.351800000000001</v>
      </c>
      <c r="DJ37">
        <v>7.4774799999999999</v>
      </c>
      <c r="DK37">
        <v>27.930900000000001</v>
      </c>
      <c r="DL37">
        <v>500.267</v>
      </c>
      <c r="DM37">
        <v>99.691500000000005</v>
      </c>
      <c r="DN37">
        <v>0.100713</v>
      </c>
      <c r="DO37">
        <v>30.5883</v>
      </c>
      <c r="DP37">
        <v>30.0242</v>
      </c>
      <c r="DQ37">
        <v>999.9</v>
      </c>
      <c r="DR37">
        <v>0</v>
      </c>
      <c r="DS37">
        <v>0</v>
      </c>
      <c r="DT37">
        <v>9960</v>
      </c>
      <c r="DU37">
        <v>0</v>
      </c>
      <c r="DV37">
        <v>1838.96</v>
      </c>
      <c r="DW37">
        <v>-1.2217800000000001</v>
      </c>
      <c r="DX37">
        <v>8.9756</v>
      </c>
      <c r="DY37">
        <v>10.1654</v>
      </c>
      <c r="DZ37">
        <v>6.52813</v>
      </c>
      <c r="EA37">
        <v>9.9381699999999995</v>
      </c>
      <c r="EB37">
        <v>22.351800000000001</v>
      </c>
      <c r="EC37">
        <v>2.8790800000000001</v>
      </c>
      <c r="ED37">
        <v>2.2282799999999998</v>
      </c>
      <c r="EE37">
        <v>23.3446</v>
      </c>
      <c r="EF37">
        <v>19.167100000000001</v>
      </c>
      <c r="EG37">
        <v>1800.13</v>
      </c>
      <c r="EH37">
        <v>0.97800600000000004</v>
      </c>
      <c r="EI37">
        <v>2.19939E-2</v>
      </c>
      <c r="EJ37">
        <v>0</v>
      </c>
      <c r="EK37">
        <v>667.36500000000001</v>
      </c>
      <c r="EL37">
        <v>5.0002700000000004</v>
      </c>
      <c r="EM37">
        <v>12883.1</v>
      </c>
      <c r="EN37">
        <v>16249.9</v>
      </c>
      <c r="EO37">
        <v>48.5</v>
      </c>
      <c r="EP37">
        <v>50.25</v>
      </c>
      <c r="EQ37">
        <v>49.686999999999998</v>
      </c>
      <c r="ER37">
        <v>49.125</v>
      </c>
      <c r="ES37">
        <v>50.186999999999998</v>
      </c>
      <c r="ET37">
        <v>1755.65</v>
      </c>
      <c r="EU37">
        <v>39.479999999999997</v>
      </c>
      <c r="EV37">
        <v>0</v>
      </c>
      <c r="EW37">
        <v>97.799999952316284</v>
      </c>
      <c r="EX37">
        <v>0</v>
      </c>
      <c r="EY37">
        <v>667.72248000000002</v>
      </c>
      <c r="EZ37">
        <v>5.5923057949417522E-2</v>
      </c>
      <c r="FA37">
        <v>-7.9153846318793546</v>
      </c>
      <c r="FB37">
        <v>12887.528</v>
      </c>
      <c r="FC37">
        <v>15</v>
      </c>
      <c r="FD37">
        <v>1693498717.5999999</v>
      </c>
      <c r="FE37" t="s">
        <v>527</v>
      </c>
      <c r="FF37">
        <v>1693498708.5999999</v>
      </c>
      <c r="FG37">
        <v>1693498717.5999999</v>
      </c>
      <c r="FH37">
        <v>24</v>
      </c>
      <c r="FI37">
        <v>6.6000000000000003E-2</v>
      </c>
      <c r="FJ37">
        <v>3.0000000000000001E-3</v>
      </c>
      <c r="FK37">
        <v>1.24</v>
      </c>
      <c r="FL37">
        <v>0.57699999999999996</v>
      </c>
      <c r="FM37">
        <v>10</v>
      </c>
      <c r="FN37">
        <v>22</v>
      </c>
      <c r="FO37">
        <v>0.64</v>
      </c>
      <c r="FP37">
        <v>0.04</v>
      </c>
      <c r="FQ37">
        <v>1.0118051446365941</v>
      </c>
      <c r="FR37">
        <v>-0.21922383478162799</v>
      </c>
      <c r="FS37">
        <v>4.2622718439260181E-2</v>
      </c>
      <c r="FT37">
        <v>1</v>
      </c>
      <c r="FU37">
        <v>0.42282603770618199</v>
      </c>
      <c r="FV37">
        <v>2.1271368404193639E-2</v>
      </c>
      <c r="FW37">
        <v>4.1713126595275003E-3</v>
      </c>
      <c r="FX37">
        <v>1</v>
      </c>
      <c r="FY37">
        <v>2</v>
      </c>
      <c r="FZ37">
        <v>2</v>
      </c>
      <c r="GA37" t="s">
        <v>421</v>
      </c>
      <c r="GB37">
        <v>3.1183299999999998</v>
      </c>
      <c r="GC37">
        <v>2.8655200000000001</v>
      </c>
      <c r="GD37">
        <v>2.1186099999999999E-3</v>
      </c>
      <c r="GE37">
        <v>2.90223E-3</v>
      </c>
      <c r="GF37">
        <v>0.13078200000000001</v>
      </c>
      <c r="GG37">
        <v>0.11459999999999999</v>
      </c>
      <c r="GH37">
        <v>30334.9</v>
      </c>
      <c r="GI37">
        <v>23441</v>
      </c>
      <c r="GJ37">
        <v>29295.4</v>
      </c>
      <c r="GK37">
        <v>21904.400000000001</v>
      </c>
      <c r="GL37">
        <v>34064.800000000003</v>
      </c>
      <c r="GM37">
        <v>26657.9</v>
      </c>
      <c r="GN37">
        <v>40652.9</v>
      </c>
      <c r="GO37">
        <v>31106.5</v>
      </c>
      <c r="GP37">
        <v>2.052</v>
      </c>
      <c r="GQ37">
        <v>1.8982000000000001</v>
      </c>
      <c r="GR37">
        <v>5.2183899999999998E-2</v>
      </c>
      <c r="GS37">
        <v>0</v>
      </c>
      <c r="GT37">
        <v>29.174399999999999</v>
      </c>
      <c r="GU37">
        <v>999.9</v>
      </c>
      <c r="GV37">
        <v>50.5</v>
      </c>
      <c r="GW37">
        <v>34.299999999999997</v>
      </c>
      <c r="GX37">
        <v>27.520700000000001</v>
      </c>
      <c r="GY37">
        <v>62.085099999999997</v>
      </c>
      <c r="GZ37">
        <v>13.177099999999999</v>
      </c>
      <c r="HA37">
        <v>1</v>
      </c>
      <c r="HB37">
        <v>6.8699200000000002E-2</v>
      </c>
      <c r="HC37">
        <v>1.61046</v>
      </c>
      <c r="HD37">
        <v>20.327999999999999</v>
      </c>
      <c r="HE37">
        <v>5.2346599999999999</v>
      </c>
      <c r="HF37">
        <v>11.9734</v>
      </c>
      <c r="HG37">
        <v>4.9752000000000001</v>
      </c>
      <c r="HH37">
        <v>3.2839</v>
      </c>
      <c r="HI37">
        <v>9999</v>
      </c>
      <c r="HJ37">
        <v>9999</v>
      </c>
      <c r="HK37">
        <v>9999</v>
      </c>
      <c r="HL37">
        <v>999.9</v>
      </c>
      <c r="HM37">
        <v>1.86066</v>
      </c>
      <c r="HN37">
        <v>1.8623400000000001</v>
      </c>
      <c r="HO37">
        <v>1.8677699999999999</v>
      </c>
      <c r="HP37">
        <v>1.8582799999999999</v>
      </c>
      <c r="HQ37">
        <v>1.85669</v>
      </c>
      <c r="HR37">
        <v>1.86036</v>
      </c>
      <c r="HS37">
        <v>1.86432</v>
      </c>
      <c r="HT37">
        <v>1.86633</v>
      </c>
      <c r="HU37">
        <v>5</v>
      </c>
      <c r="HV37">
        <v>0</v>
      </c>
      <c r="HW37">
        <v>0</v>
      </c>
      <c r="HX37">
        <v>0</v>
      </c>
      <c r="HY37" t="s">
        <v>422</v>
      </c>
      <c r="HZ37" t="s">
        <v>423</v>
      </c>
      <c r="IA37" t="s">
        <v>424</v>
      </c>
      <c r="IB37" t="s">
        <v>424</v>
      </c>
      <c r="IC37" t="s">
        <v>424</v>
      </c>
      <c r="ID37" t="s">
        <v>424</v>
      </c>
      <c r="IE37">
        <v>0</v>
      </c>
      <c r="IF37">
        <v>100</v>
      </c>
      <c r="IG37">
        <v>100</v>
      </c>
      <c r="IH37">
        <v>1.2390000000000001</v>
      </c>
      <c r="II37">
        <v>0.94899999999999995</v>
      </c>
      <c r="IJ37">
        <v>1.230640904745427</v>
      </c>
      <c r="IK37">
        <v>1.118558698776514E-3</v>
      </c>
      <c r="IL37">
        <v>-1.6939696309573479E-6</v>
      </c>
      <c r="IM37">
        <v>5.4698917449866148E-10</v>
      </c>
      <c r="IN37">
        <v>4.6322663479964721E-2</v>
      </c>
      <c r="IO37">
        <v>-7.6058941998734366E-3</v>
      </c>
      <c r="IP37">
        <v>1.6984902717538061E-3</v>
      </c>
      <c r="IQ37">
        <v>-9.6352527008986976E-6</v>
      </c>
      <c r="IR37">
        <v>2</v>
      </c>
      <c r="IS37">
        <v>2021</v>
      </c>
      <c r="IT37">
        <v>2</v>
      </c>
      <c r="IU37">
        <v>40</v>
      </c>
      <c r="IV37">
        <v>0.6</v>
      </c>
      <c r="IW37">
        <v>0.5</v>
      </c>
      <c r="IX37">
        <v>0.17333999999999999</v>
      </c>
      <c r="IY37">
        <v>2.5585900000000001</v>
      </c>
      <c r="IZ37">
        <v>1.34399</v>
      </c>
      <c r="JA37">
        <v>2.2375500000000001</v>
      </c>
      <c r="JB37">
        <v>1.5918000000000001</v>
      </c>
      <c r="JC37">
        <v>2.47681</v>
      </c>
      <c r="JD37">
        <v>36.718000000000004</v>
      </c>
      <c r="JE37">
        <v>16.0321</v>
      </c>
      <c r="JF37">
        <v>18</v>
      </c>
      <c r="JG37">
        <v>511.06099999999998</v>
      </c>
      <c r="JH37">
        <v>450.62799999999999</v>
      </c>
      <c r="JI37">
        <v>26.529299999999999</v>
      </c>
      <c r="JJ37">
        <v>28.470500000000001</v>
      </c>
      <c r="JK37">
        <v>29.9999</v>
      </c>
      <c r="JL37">
        <v>28.290400000000002</v>
      </c>
      <c r="JM37">
        <v>28.2364</v>
      </c>
      <c r="JN37">
        <v>3.5463</v>
      </c>
      <c r="JO37">
        <v>26.311599999999999</v>
      </c>
      <c r="JP37">
        <v>73.386099999999999</v>
      </c>
      <c r="JQ37">
        <v>26.5288</v>
      </c>
      <c r="JR37">
        <v>10</v>
      </c>
      <c r="JS37">
        <v>22.3552</v>
      </c>
      <c r="JT37">
        <v>99.8797</v>
      </c>
      <c r="JU37">
        <v>98.299700000000001</v>
      </c>
    </row>
    <row r="38" spans="1:281" x14ac:dyDescent="0.25">
      <c r="A38">
        <v>22</v>
      </c>
      <c r="B38">
        <v>1693498936.5999999</v>
      </c>
      <c r="C38">
        <v>4010</v>
      </c>
      <c r="D38" t="s">
        <v>528</v>
      </c>
      <c r="E38" t="s">
        <v>529</v>
      </c>
      <c r="F38" t="s">
        <v>413</v>
      </c>
      <c r="G38" t="s">
        <v>493</v>
      </c>
      <c r="H38" t="s">
        <v>494</v>
      </c>
      <c r="I38" t="s">
        <v>31</v>
      </c>
      <c r="J38">
        <v>1693498936.5999999</v>
      </c>
      <c r="K38">
        <f t="shared" si="0"/>
        <v>5.5270411070934876E-3</v>
      </c>
      <c r="L38">
        <f t="shared" si="1"/>
        <v>5.5270411070934875</v>
      </c>
      <c r="M38">
        <f t="shared" si="2"/>
        <v>38.824730147873282</v>
      </c>
      <c r="N38">
        <f t="shared" si="3"/>
        <v>351.23200000000003</v>
      </c>
      <c r="O38">
        <f t="shared" si="4"/>
        <v>182.61958387972285</v>
      </c>
      <c r="P38">
        <f t="shared" si="5"/>
        <v>18.223559698548229</v>
      </c>
      <c r="Q38">
        <f t="shared" si="6"/>
        <v>35.049347852288001</v>
      </c>
      <c r="R38">
        <f t="shared" si="7"/>
        <v>0.40772928748827003</v>
      </c>
      <c r="S38">
        <f t="shared" si="8"/>
        <v>2.9153110416649395</v>
      </c>
      <c r="T38">
        <f t="shared" si="9"/>
        <v>0.37849293035618853</v>
      </c>
      <c r="U38">
        <f t="shared" si="10"/>
        <v>0.23900991931531868</v>
      </c>
      <c r="V38">
        <f t="shared" si="11"/>
        <v>344.4105996447235</v>
      </c>
      <c r="W38">
        <f t="shared" si="12"/>
        <v>31.221451990386807</v>
      </c>
      <c r="X38">
        <f t="shared" si="13"/>
        <v>30.044899999999998</v>
      </c>
      <c r="Y38">
        <f t="shared" si="14"/>
        <v>4.2714499101429544</v>
      </c>
      <c r="Z38">
        <f t="shared" si="15"/>
        <v>64.905355507158674</v>
      </c>
      <c r="AA38">
        <f t="shared" si="16"/>
        <v>2.8663603194160001</v>
      </c>
      <c r="AB38">
        <f t="shared" si="17"/>
        <v>4.4162154216994587</v>
      </c>
      <c r="AC38">
        <f t="shared" si="18"/>
        <v>1.4050895907269543</v>
      </c>
      <c r="AD38">
        <f t="shared" si="19"/>
        <v>-243.74251282282282</v>
      </c>
      <c r="AE38">
        <f t="shared" si="20"/>
        <v>91.425933772472561</v>
      </c>
      <c r="AF38">
        <f t="shared" si="21"/>
        <v>6.9962755691973033</v>
      </c>
      <c r="AG38">
        <f t="shared" si="22"/>
        <v>199.09029616357054</v>
      </c>
      <c r="AH38">
        <v>0</v>
      </c>
      <c r="AI38">
        <v>0</v>
      </c>
      <c r="AJ38">
        <f t="shared" si="23"/>
        <v>1</v>
      </c>
      <c r="AK38">
        <f t="shared" si="24"/>
        <v>0</v>
      </c>
      <c r="AL38">
        <f t="shared" si="25"/>
        <v>51833.154010237136</v>
      </c>
      <c r="AM38" t="s">
        <v>416</v>
      </c>
      <c r="AN38">
        <v>10366.9</v>
      </c>
      <c r="AO38">
        <v>993.59653846153856</v>
      </c>
      <c r="AP38">
        <v>3431.87</v>
      </c>
      <c r="AQ38">
        <f t="shared" si="26"/>
        <v>0.71047955241266758</v>
      </c>
      <c r="AR38">
        <v>-3.9894345373445681</v>
      </c>
      <c r="AS38" t="s">
        <v>530</v>
      </c>
      <c r="AT38">
        <v>10387.6</v>
      </c>
      <c r="AU38">
        <v>689.24469230769239</v>
      </c>
      <c r="AV38">
        <v>968.28388470827872</v>
      </c>
      <c r="AW38">
        <f t="shared" si="27"/>
        <v>0.28817911441813815</v>
      </c>
      <c r="AX38">
        <v>0.5</v>
      </c>
      <c r="AY38">
        <f t="shared" si="28"/>
        <v>1513.3691998223615</v>
      </c>
      <c r="AZ38">
        <f t="shared" si="29"/>
        <v>38.824730147873282</v>
      </c>
      <c r="BA38">
        <f t="shared" si="30"/>
        <v>218.06069789624723</v>
      </c>
      <c r="BB38">
        <f t="shared" si="31"/>
        <v>2.829062775312419E-2</v>
      </c>
      <c r="BC38">
        <f t="shared" si="32"/>
        <v>2.5442808190843147</v>
      </c>
      <c r="BD38">
        <f t="shared" si="33"/>
        <v>572.14346394563563</v>
      </c>
      <c r="BE38" t="s">
        <v>531</v>
      </c>
      <c r="BF38">
        <v>563.58000000000004</v>
      </c>
      <c r="BG38">
        <f t="shared" si="34"/>
        <v>563.58000000000004</v>
      </c>
      <c r="BH38">
        <f t="shared" si="35"/>
        <v>0.41795995069174008</v>
      </c>
      <c r="BI38">
        <f t="shared" si="36"/>
        <v>0.68948977992075666</v>
      </c>
      <c r="BJ38">
        <f t="shared" si="37"/>
        <v>0.85890412590488463</v>
      </c>
      <c r="BK38">
        <f t="shared" si="38"/>
        <v>-11.023703603761847</v>
      </c>
      <c r="BL38">
        <f t="shared" si="39"/>
        <v>1.0103813842674105</v>
      </c>
      <c r="BM38">
        <f t="shared" si="40"/>
        <v>0.56378040267050633</v>
      </c>
      <c r="BN38">
        <f t="shared" si="41"/>
        <v>0.43621959732949367</v>
      </c>
      <c r="BO38">
        <v>2191</v>
      </c>
      <c r="BP38">
        <v>290.00000000000011</v>
      </c>
      <c r="BQ38">
        <v>880.02</v>
      </c>
      <c r="BR38">
        <v>205</v>
      </c>
      <c r="BS38">
        <v>10387.6</v>
      </c>
      <c r="BT38">
        <v>878.19</v>
      </c>
      <c r="BU38">
        <v>1.83</v>
      </c>
      <c r="BV38">
        <v>300.00000000000011</v>
      </c>
      <c r="BW38">
        <v>38.4</v>
      </c>
      <c r="BX38">
        <v>968.28388470827872</v>
      </c>
      <c r="BY38">
        <v>0.8690534116378138</v>
      </c>
      <c r="BZ38">
        <v>-93.589043376843065</v>
      </c>
      <c r="CA38">
        <v>0.7387926212283854</v>
      </c>
      <c r="CB38">
        <v>0.99825820915393471</v>
      </c>
      <c r="CC38">
        <v>-1.1303028253615141E-2</v>
      </c>
      <c r="CD38">
        <v>289.99999999999989</v>
      </c>
      <c r="CE38">
        <v>859.66</v>
      </c>
      <c r="CF38">
        <v>635</v>
      </c>
      <c r="CG38">
        <v>10368.799999999999</v>
      </c>
      <c r="CH38">
        <v>878.02</v>
      </c>
      <c r="CI38">
        <v>-18.36</v>
      </c>
      <c r="CW38">
        <f t="shared" si="42"/>
        <v>1800.22</v>
      </c>
      <c r="CX38">
        <f t="shared" si="43"/>
        <v>1513.3691998223615</v>
      </c>
      <c r="CY38">
        <f t="shared" si="44"/>
        <v>0.84065791948892998</v>
      </c>
      <c r="CZ38">
        <f t="shared" si="45"/>
        <v>0.1913158389778602</v>
      </c>
      <c r="DA38">
        <v>6</v>
      </c>
      <c r="DB38">
        <v>0.5</v>
      </c>
      <c r="DC38" t="s">
        <v>419</v>
      </c>
      <c r="DD38">
        <v>2</v>
      </c>
      <c r="DE38">
        <v>1693498936.5999999</v>
      </c>
      <c r="DF38">
        <v>351.23200000000003</v>
      </c>
      <c r="DG38">
        <v>400.13799999999998</v>
      </c>
      <c r="DH38">
        <v>28.724</v>
      </c>
      <c r="DI38">
        <v>22.283799999999999</v>
      </c>
      <c r="DJ38">
        <v>349.61399999999998</v>
      </c>
      <c r="DK38">
        <v>27.790600000000001</v>
      </c>
      <c r="DL38">
        <v>500.13499999999999</v>
      </c>
      <c r="DM38">
        <v>99.688999999999993</v>
      </c>
      <c r="DN38">
        <v>0.100734</v>
      </c>
      <c r="DO38">
        <v>30.6266</v>
      </c>
      <c r="DP38">
        <v>30.044899999999998</v>
      </c>
      <c r="DQ38">
        <v>999.9</v>
      </c>
      <c r="DR38">
        <v>0</v>
      </c>
      <c r="DS38">
        <v>0</v>
      </c>
      <c r="DT38">
        <v>9950</v>
      </c>
      <c r="DU38">
        <v>0</v>
      </c>
      <c r="DV38">
        <v>1847.82</v>
      </c>
      <c r="DW38">
        <v>-48.905700000000003</v>
      </c>
      <c r="DX38">
        <v>361.61900000000003</v>
      </c>
      <c r="DY38">
        <v>409.25700000000001</v>
      </c>
      <c r="DZ38">
        <v>6.4401900000000003</v>
      </c>
      <c r="EA38">
        <v>400.13799999999998</v>
      </c>
      <c r="EB38">
        <v>22.283799999999999</v>
      </c>
      <c r="EC38">
        <v>2.86347</v>
      </c>
      <c r="ED38">
        <v>2.2214499999999999</v>
      </c>
      <c r="EE38">
        <v>23.2546</v>
      </c>
      <c r="EF38">
        <v>19.117799999999999</v>
      </c>
      <c r="EG38">
        <v>1800.22</v>
      </c>
      <c r="EH38">
        <v>0.97800600000000004</v>
      </c>
      <c r="EI38">
        <v>2.1993800000000001E-2</v>
      </c>
      <c r="EJ38">
        <v>0</v>
      </c>
      <c r="EK38">
        <v>690.50699999999995</v>
      </c>
      <c r="EL38">
        <v>5.0002700000000004</v>
      </c>
      <c r="EM38">
        <v>13323.2</v>
      </c>
      <c r="EN38">
        <v>16250.6</v>
      </c>
      <c r="EO38">
        <v>48.5</v>
      </c>
      <c r="EP38">
        <v>50.25</v>
      </c>
      <c r="EQ38">
        <v>49.686999999999998</v>
      </c>
      <c r="ER38">
        <v>49.125</v>
      </c>
      <c r="ES38">
        <v>50.186999999999998</v>
      </c>
      <c r="ET38">
        <v>1755.74</v>
      </c>
      <c r="EU38">
        <v>39.479999999999997</v>
      </c>
      <c r="EV38">
        <v>0</v>
      </c>
      <c r="EW38">
        <v>187.79999995231631</v>
      </c>
      <c r="EX38">
        <v>0</v>
      </c>
      <c r="EY38">
        <v>689.24469230769239</v>
      </c>
      <c r="EZ38">
        <v>10.843350423518871</v>
      </c>
      <c r="FA38">
        <v>216.40000025412141</v>
      </c>
      <c r="FB38">
        <v>13295.83461538462</v>
      </c>
      <c r="FC38">
        <v>15</v>
      </c>
      <c r="FD38">
        <v>1693498824.5999999</v>
      </c>
      <c r="FE38" t="s">
        <v>532</v>
      </c>
      <c r="FF38">
        <v>1693498817.5999999</v>
      </c>
      <c r="FG38">
        <v>1693498824.5999999</v>
      </c>
      <c r="FH38">
        <v>25</v>
      </c>
      <c r="FI38">
        <v>0.18</v>
      </c>
      <c r="FJ38">
        <v>-7.0000000000000001E-3</v>
      </c>
      <c r="FK38">
        <v>1.6220000000000001</v>
      </c>
      <c r="FL38">
        <v>0.56200000000000006</v>
      </c>
      <c r="FM38">
        <v>400</v>
      </c>
      <c r="FN38">
        <v>22</v>
      </c>
      <c r="FO38">
        <v>0.22</v>
      </c>
      <c r="FP38">
        <v>0.04</v>
      </c>
      <c r="FQ38">
        <v>38.097000635644321</v>
      </c>
      <c r="FR38">
        <v>3.4589634668313942</v>
      </c>
      <c r="FS38">
        <v>0.26330590240970669</v>
      </c>
      <c r="FT38">
        <v>0</v>
      </c>
      <c r="FU38">
        <v>0.40670517815091928</v>
      </c>
      <c r="FV38">
        <v>5.33784948348622E-4</v>
      </c>
      <c r="FW38">
        <v>7.2200082981392871E-4</v>
      </c>
      <c r="FX38">
        <v>1</v>
      </c>
      <c r="FY38">
        <v>1</v>
      </c>
      <c r="FZ38">
        <v>2</v>
      </c>
      <c r="GA38" t="s">
        <v>460</v>
      </c>
      <c r="GB38">
        <v>3.11816</v>
      </c>
      <c r="GC38">
        <v>2.8654500000000001</v>
      </c>
      <c r="GD38">
        <v>8.4245600000000004E-2</v>
      </c>
      <c r="GE38">
        <v>9.6050200000000002E-2</v>
      </c>
      <c r="GF38">
        <v>0.130296</v>
      </c>
      <c r="GG38">
        <v>0.114332</v>
      </c>
      <c r="GH38">
        <v>27834</v>
      </c>
      <c r="GI38">
        <v>21250.7</v>
      </c>
      <c r="GJ38">
        <v>29291.599999999999</v>
      </c>
      <c r="GK38">
        <v>21904.5</v>
      </c>
      <c r="GL38">
        <v>34089.300000000003</v>
      </c>
      <c r="GM38">
        <v>26672.400000000001</v>
      </c>
      <c r="GN38">
        <v>40647.5</v>
      </c>
      <c r="GO38">
        <v>31105.200000000001</v>
      </c>
      <c r="GP38">
        <v>2.0516999999999999</v>
      </c>
      <c r="GQ38">
        <v>1.9009</v>
      </c>
      <c r="GR38">
        <v>4.9144E-2</v>
      </c>
      <c r="GS38">
        <v>0</v>
      </c>
      <c r="GT38">
        <v>29.244700000000002</v>
      </c>
      <c r="GU38">
        <v>999.9</v>
      </c>
      <c r="GV38">
        <v>51</v>
      </c>
      <c r="GW38">
        <v>33.9</v>
      </c>
      <c r="GX38">
        <v>27.182300000000001</v>
      </c>
      <c r="GY38">
        <v>61.875100000000003</v>
      </c>
      <c r="GZ38">
        <v>13.004799999999999</v>
      </c>
      <c r="HA38">
        <v>1</v>
      </c>
      <c r="HB38">
        <v>7.3851600000000003E-2</v>
      </c>
      <c r="HC38">
        <v>1.49342</v>
      </c>
      <c r="HD38">
        <v>20.3294</v>
      </c>
      <c r="HE38">
        <v>5.2346599999999999</v>
      </c>
      <c r="HF38">
        <v>11.972799999999999</v>
      </c>
      <c r="HG38">
        <v>4.9740000000000002</v>
      </c>
      <c r="HH38">
        <v>3.2837000000000001</v>
      </c>
      <c r="HI38">
        <v>9999</v>
      </c>
      <c r="HJ38">
        <v>9999</v>
      </c>
      <c r="HK38">
        <v>9999</v>
      </c>
      <c r="HL38">
        <v>999.9</v>
      </c>
      <c r="HM38">
        <v>1.86066</v>
      </c>
      <c r="HN38">
        <v>1.86229</v>
      </c>
      <c r="HO38">
        <v>1.8676999999999999</v>
      </c>
      <c r="HP38">
        <v>1.8582399999999999</v>
      </c>
      <c r="HQ38">
        <v>1.85669</v>
      </c>
      <c r="HR38">
        <v>1.8603499999999999</v>
      </c>
      <c r="HS38">
        <v>1.86432</v>
      </c>
      <c r="HT38">
        <v>1.8663000000000001</v>
      </c>
      <c r="HU38">
        <v>5</v>
      </c>
      <c r="HV38">
        <v>0</v>
      </c>
      <c r="HW38">
        <v>0</v>
      </c>
      <c r="HX38">
        <v>0</v>
      </c>
      <c r="HY38" t="s">
        <v>422</v>
      </c>
      <c r="HZ38" t="s">
        <v>423</v>
      </c>
      <c r="IA38" t="s">
        <v>424</v>
      </c>
      <c r="IB38" t="s">
        <v>424</v>
      </c>
      <c r="IC38" t="s">
        <v>424</v>
      </c>
      <c r="ID38" t="s">
        <v>424</v>
      </c>
      <c r="IE38">
        <v>0</v>
      </c>
      <c r="IF38">
        <v>100</v>
      </c>
      <c r="IG38">
        <v>100</v>
      </c>
      <c r="IH38">
        <v>1.6180000000000001</v>
      </c>
      <c r="II38">
        <v>0.93340000000000001</v>
      </c>
      <c r="IJ38">
        <v>1.4109395661748501</v>
      </c>
      <c r="IK38">
        <v>1.118558698776514E-3</v>
      </c>
      <c r="IL38">
        <v>-1.6939696309573479E-6</v>
      </c>
      <c r="IM38">
        <v>5.4698917449866148E-10</v>
      </c>
      <c r="IN38">
        <v>3.9761071729104591E-2</v>
      </c>
      <c r="IO38">
        <v>-7.6058941998734366E-3</v>
      </c>
      <c r="IP38">
        <v>1.6984902717538061E-3</v>
      </c>
      <c r="IQ38">
        <v>-9.6352527008986976E-6</v>
      </c>
      <c r="IR38">
        <v>2</v>
      </c>
      <c r="IS38">
        <v>2021</v>
      </c>
      <c r="IT38">
        <v>2</v>
      </c>
      <c r="IU38">
        <v>40</v>
      </c>
      <c r="IV38">
        <v>2</v>
      </c>
      <c r="IW38">
        <v>1.9</v>
      </c>
      <c r="IX38">
        <v>1.0363800000000001</v>
      </c>
      <c r="IY38">
        <v>2.49878</v>
      </c>
      <c r="IZ38">
        <v>1.34399</v>
      </c>
      <c r="JA38">
        <v>2.2387700000000001</v>
      </c>
      <c r="JB38">
        <v>1.5918000000000001</v>
      </c>
      <c r="JC38">
        <v>2.4719199999999999</v>
      </c>
      <c r="JD38">
        <v>36.410699999999999</v>
      </c>
      <c r="JE38">
        <v>16.023299999999999</v>
      </c>
      <c r="JF38">
        <v>18</v>
      </c>
      <c r="JG38">
        <v>511.589</v>
      </c>
      <c r="JH38">
        <v>453.09500000000003</v>
      </c>
      <c r="JI38">
        <v>26.696100000000001</v>
      </c>
      <c r="JJ38">
        <v>28.548500000000001</v>
      </c>
      <c r="JK38">
        <v>30.000599999999999</v>
      </c>
      <c r="JL38">
        <v>28.3674</v>
      </c>
      <c r="JM38">
        <v>28.3155</v>
      </c>
      <c r="JN38">
        <v>20.823899999999998</v>
      </c>
      <c r="JO38">
        <v>25.815000000000001</v>
      </c>
      <c r="JP38">
        <v>72.862300000000005</v>
      </c>
      <c r="JQ38">
        <v>26.6799</v>
      </c>
      <c r="JR38">
        <v>400</v>
      </c>
      <c r="JS38">
        <v>22.315000000000001</v>
      </c>
      <c r="JT38">
        <v>99.866500000000002</v>
      </c>
      <c r="JU38">
        <v>98.297600000000003</v>
      </c>
    </row>
    <row r="39" spans="1:281" x14ac:dyDescent="0.25">
      <c r="A39">
        <v>23</v>
      </c>
      <c r="B39">
        <v>1693499076.0999999</v>
      </c>
      <c r="C39">
        <v>4149.5</v>
      </c>
      <c r="D39" t="s">
        <v>533</v>
      </c>
      <c r="E39" t="s">
        <v>534</v>
      </c>
      <c r="F39" t="s">
        <v>413</v>
      </c>
      <c r="G39" t="s">
        <v>493</v>
      </c>
      <c r="H39" t="s">
        <v>494</v>
      </c>
      <c r="I39" t="s">
        <v>31</v>
      </c>
      <c r="J39">
        <v>1693499076.0999999</v>
      </c>
      <c r="K39">
        <f t="shared" si="0"/>
        <v>5.4061035280800109E-3</v>
      </c>
      <c r="L39">
        <f t="shared" si="1"/>
        <v>5.4061035280800107</v>
      </c>
      <c r="M39">
        <f t="shared" si="2"/>
        <v>43.572556538903946</v>
      </c>
      <c r="N39">
        <f t="shared" si="3"/>
        <v>345.43700000000001</v>
      </c>
      <c r="O39">
        <f t="shared" si="4"/>
        <v>158.52826610955768</v>
      </c>
      <c r="P39">
        <f t="shared" si="5"/>
        <v>15.820432897500462</v>
      </c>
      <c r="Q39">
        <f t="shared" si="6"/>
        <v>34.473113299788899</v>
      </c>
      <c r="R39">
        <f t="shared" si="7"/>
        <v>0.41015336014518045</v>
      </c>
      <c r="S39">
        <f t="shared" si="8"/>
        <v>2.9285977165374835</v>
      </c>
      <c r="T39">
        <f t="shared" si="9"/>
        <v>0.38070568161462021</v>
      </c>
      <c r="U39">
        <f t="shared" si="10"/>
        <v>0.24041038535318032</v>
      </c>
      <c r="V39">
        <f t="shared" si="11"/>
        <v>344.36939964459003</v>
      </c>
      <c r="W39">
        <f t="shared" si="12"/>
        <v>31.006590922533192</v>
      </c>
      <c r="X39">
        <f t="shared" si="13"/>
        <v>29.843699999999998</v>
      </c>
      <c r="Y39">
        <f t="shared" si="14"/>
        <v>4.2223498505203851</v>
      </c>
      <c r="Z39">
        <f t="shared" si="15"/>
        <v>65.566726782066482</v>
      </c>
      <c r="AA39">
        <f t="shared" si="16"/>
        <v>2.8554831496940101</v>
      </c>
      <c r="AB39">
        <f t="shared" si="17"/>
        <v>4.3550796110124397</v>
      </c>
      <c r="AC39">
        <f t="shared" si="18"/>
        <v>1.3668667008263751</v>
      </c>
      <c r="AD39">
        <f t="shared" si="19"/>
        <v>-238.40916558832848</v>
      </c>
      <c r="AE39">
        <f t="shared" si="20"/>
        <v>85.148221858677516</v>
      </c>
      <c r="AF39">
        <f t="shared" si="21"/>
        <v>6.472061095740683</v>
      </c>
      <c r="AG39">
        <f t="shared" si="22"/>
        <v>197.58051701067976</v>
      </c>
      <c r="AH39">
        <v>0</v>
      </c>
      <c r="AI39">
        <v>0</v>
      </c>
      <c r="AJ39">
        <f t="shared" si="23"/>
        <v>1</v>
      </c>
      <c r="AK39">
        <f t="shared" si="24"/>
        <v>0</v>
      </c>
      <c r="AL39">
        <f t="shared" si="25"/>
        <v>52253.799442839416</v>
      </c>
      <c r="AM39" t="s">
        <v>416</v>
      </c>
      <c r="AN39">
        <v>10366.9</v>
      </c>
      <c r="AO39">
        <v>993.59653846153856</v>
      </c>
      <c r="AP39">
        <v>3431.87</v>
      </c>
      <c r="AQ39">
        <f t="shared" si="26"/>
        <v>0.71047955241266758</v>
      </c>
      <c r="AR39">
        <v>-3.9894345373445681</v>
      </c>
      <c r="AS39" t="s">
        <v>535</v>
      </c>
      <c r="AT39">
        <v>10392.9</v>
      </c>
      <c r="AU39">
        <v>731.40440000000001</v>
      </c>
      <c r="AV39">
        <v>1050.6174811082451</v>
      </c>
      <c r="AW39">
        <f t="shared" si="27"/>
        <v>0.30383378046548659</v>
      </c>
      <c r="AX39">
        <v>0.5</v>
      </c>
      <c r="AY39">
        <f t="shared" si="28"/>
        <v>1513.184699822295</v>
      </c>
      <c r="AZ39">
        <f t="shared" si="29"/>
        <v>43.572556538903946</v>
      </c>
      <c r="BA39">
        <f t="shared" si="30"/>
        <v>229.87831394477021</v>
      </c>
      <c r="BB39">
        <f t="shared" si="31"/>
        <v>3.1431715561116957E-2</v>
      </c>
      <c r="BC39">
        <f t="shared" si="32"/>
        <v>2.2665266490520297</v>
      </c>
      <c r="BD39">
        <f t="shared" si="33"/>
        <v>599.92335041997876</v>
      </c>
      <c r="BE39" t="s">
        <v>536</v>
      </c>
      <c r="BF39">
        <v>583.75</v>
      </c>
      <c r="BG39">
        <f t="shared" si="34"/>
        <v>583.75</v>
      </c>
      <c r="BH39">
        <f t="shared" si="35"/>
        <v>0.44437436983798273</v>
      </c>
      <c r="BI39">
        <f t="shared" si="36"/>
        <v>0.68373380889690683</v>
      </c>
      <c r="BJ39">
        <f t="shared" si="37"/>
        <v>0.8360787182042031</v>
      </c>
      <c r="BK39">
        <f t="shared" si="38"/>
        <v>5.5981726413406188</v>
      </c>
      <c r="BL39">
        <f t="shared" si="39"/>
        <v>0.97661421348090771</v>
      </c>
      <c r="BM39">
        <f t="shared" si="40"/>
        <v>0.54570304874235009</v>
      </c>
      <c r="BN39">
        <f t="shared" si="41"/>
        <v>0.45429695125764991</v>
      </c>
      <c r="BO39">
        <v>2193</v>
      </c>
      <c r="BP39">
        <v>290.00000000000011</v>
      </c>
      <c r="BQ39">
        <v>957.03</v>
      </c>
      <c r="BR39">
        <v>175</v>
      </c>
      <c r="BS39">
        <v>10392.9</v>
      </c>
      <c r="BT39">
        <v>954.12</v>
      </c>
      <c r="BU39">
        <v>2.91</v>
      </c>
      <c r="BV39">
        <v>300.00000000000011</v>
      </c>
      <c r="BW39">
        <v>38.4</v>
      </c>
      <c r="BX39">
        <v>1050.6174811082451</v>
      </c>
      <c r="BY39">
        <v>1.318219124862217</v>
      </c>
      <c r="BZ39">
        <v>-100.2888196058241</v>
      </c>
      <c r="CA39">
        <v>1.12066316739843</v>
      </c>
      <c r="CB39">
        <v>0.99651592550654045</v>
      </c>
      <c r="CC39">
        <v>-1.1303126362625159E-2</v>
      </c>
      <c r="CD39">
        <v>289.99999999999989</v>
      </c>
      <c r="CE39">
        <v>939.87</v>
      </c>
      <c r="CF39">
        <v>635</v>
      </c>
      <c r="CG39">
        <v>10369.1</v>
      </c>
      <c r="CH39">
        <v>953.9</v>
      </c>
      <c r="CI39">
        <v>-14.03</v>
      </c>
      <c r="CW39">
        <f t="shared" si="42"/>
        <v>1800</v>
      </c>
      <c r="CX39">
        <f t="shared" si="43"/>
        <v>1513.184699822295</v>
      </c>
      <c r="CY39">
        <f t="shared" si="44"/>
        <v>0.84065816656794168</v>
      </c>
      <c r="CZ39">
        <f t="shared" si="45"/>
        <v>0.19131633313588337</v>
      </c>
      <c r="DA39">
        <v>6</v>
      </c>
      <c r="DB39">
        <v>0.5</v>
      </c>
      <c r="DC39" t="s">
        <v>419</v>
      </c>
      <c r="DD39">
        <v>2</v>
      </c>
      <c r="DE39">
        <v>1693499076.0999999</v>
      </c>
      <c r="DF39">
        <v>345.43700000000001</v>
      </c>
      <c r="DG39">
        <v>400.02300000000002</v>
      </c>
      <c r="DH39">
        <v>28.613299999999999</v>
      </c>
      <c r="DI39">
        <v>22.3049</v>
      </c>
      <c r="DJ39">
        <v>343.81400000000002</v>
      </c>
      <c r="DK39">
        <v>27.682400000000001</v>
      </c>
      <c r="DL39">
        <v>499.46899999999999</v>
      </c>
      <c r="DM39">
        <v>99.6965</v>
      </c>
      <c r="DN39">
        <v>9.9159700000000003E-2</v>
      </c>
      <c r="DO39">
        <v>30.382999999999999</v>
      </c>
      <c r="DP39">
        <v>29.843699999999998</v>
      </c>
      <c r="DQ39">
        <v>999.9</v>
      </c>
      <c r="DR39">
        <v>0</v>
      </c>
      <c r="DS39">
        <v>0</v>
      </c>
      <c r="DT39">
        <v>10025</v>
      </c>
      <c r="DU39">
        <v>0</v>
      </c>
      <c r="DV39">
        <v>1820.79</v>
      </c>
      <c r="DW39">
        <v>-54.5854</v>
      </c>
      <c r="DX39">
        <v>355.61200000000002</v>
      </c>
      <c r="DY39">
        <v>409.14800000000002</v>
      </c>
      <c r="DZ39">
        <v>6.3084499999999997</v>
      </c>
      <c r="EA39">
        <v>400.02300000000002</v>
      </c>
      <c r="EB39">
        <v>22.3049</v>
      </c>
      <c r="EC39">
        <v>2.8526500000000001</v>
      </c>
      <c r="ED39">
        <v>2.2237200000000001</v>
      </c>
      <c r="EE39">
        <v>23.1919</v>
      </c>
      <c r="EF39">
        <v>19.1342</v>
      </c>
      <c r="EG39">
        <v>1800</v>
      </c>
      <c r="EH39">
        <v>0.97800200000000004</v>
      </c>
      <c r="EI39">
        <v>2.19975E-2</v>
      </c>
      <c r="EJ39">
        <v>0</v>
      </c>
      <c r="EK39">
        <v>733.55700000000002</v>
      </c>
      <c r="EL39">
        <v>5.0002700000000004</v>
      </c>
      <c r="EM39">
        <v>14108.3</v>
      </c>
      <c r="EN39">
        <v>16248.6</v>
      </c>
      <c r="EO39">
        <v>48.561999999999998</v>
      </c>
      <c r="EP39">
        <v>50.375</v>
      </c>
      <c r="EQ39">
        <v>49.75</v>
      </c>
      <c r="ER39">
        <v>49.186999999999998</v>
      </c>
      <c r="ES39">
        <v>50.25</v>
      </c>
      <c r="ET39">
        <v>1755.51</v>
      </c>
      <c r="EU39">
        <v>39.49</v>
      </c>
      <c r="EV39">
        <v>0</v>
      </c>
      <c r="EW39">
        <v>137.39999985694891</v>
      </c>
      <c r="EX39">
        <v>0</v>
      </c>
      <c r="EY39">
        <v>731.40440000000001</v>
      </c>
      <c r="EZ39">
        <v>15.843153872011269</v>
      </c>
      <c r="FA39">
        <v>275.08461590143258</v>
      </c>
      <c r="FB39">
        <v>14067.036</v>
      </c>
      <c r="FC39">
        <v>15</v>
      </c>
      <c r="FD39">
        <v>1693499003.5999999</v>
      </c>
      <c r="FE39" t="s">
        <v>537</v>
      </c>
      <c r="FF39">
        <v>1693498996.0999999</v>
      </c>
      <c r="FG39">
        <v>1693499003.5999999</v>
      </c>
      <c r="FH39">
        <v>26</v>
      </c>
      <c r="FI39">
        <v>6.0000000000000001E-3</v>
      </c>
      <c r="FJ39">
        <v>5.0000000000000001E-3</v>
      </c>
      <c r="FK39">
        <v>1.6279999999999999</v>
      </c>
      <c r="FL39">
        <v>0.57999999999999996</v>
      </c>
      <c r="FM39">
        <v>400</v>
      </c>
      <c r="FN39">
        <v>22</v>
      </c>
      <c r="FO39">
        <v>0.09</v>
      </c>
      <c r="FP39">
        <v>0.05</v>
      </c>
      <c r="FQ39">
        <v>43.513493186448727</v>
      </c>
      <c r="FR39">
        <v>0.65180282849865545</v>
      </c>
      <c r="FS39">
        <v>0.1103800626229169</v>
      </c>
      <c r="FT39">
        <v>1</v>
      </c>
      <c r="FU39">
        <v>0.40981578023765519</v>
      </c>
      <c r="FV39">
        <v>7.8972106641603899E-3</v>
      </c>
      <c r="FW39">
        <v>9.3992677667324427E-4</v>
      </c>
      <c r="FX39">
        <v>1</v>
      </c>
      <c r="FY39">
        <v>2</v>
      </c>
      <c r="FZ39">
        <v>2</v>
      </c>
      <c r="GA39" t="s">
        <v>421</v>
      </c>
      <c r="GB39">
        <v>3.1173999999999999</v>
      </c>
      <c r="GC39">
        <v>2.8645299999999998</v>
      </c>
      <c r="GD39">
        <v>8.3121399999999998E-2</v>
      </c>
      <c r="GE39">
        <v>9.6018599999999996E-2</v>
      </c>
      <c r="GF39">
        <v>0.12992699999999999</v>
      </c>
      <c r="GG39">
        <v>0.114397</v>
      </c>
      <c r="GH39">
        <v>27863.4</v>
      </c>
      <c r="GI39">
        <v>21250.2</v>
      </c>
      <c r="GJ39">
        <v>29287.1</v>
      </c>
      <c r="GK39">
        <v>21903.5</v>
      </c>
      <c r="GL39">
        <v>34099.599999999999</v>
      </c>
      <c r="GM39">
        <v>26670.3</v>
      </c>
      <c r="GN39">
        <v>40640.699999999997</v>
      </c>
      <c r="GO39">
        <v>31104.9</v>
      </c>
      <c r="GP39">
        <v>2.0503999999999998</v>
      </c>
      <c r="GQ39">
        <v>1.9020999999999999</v>
      </c>
      <c r="GR39">
        <v>4.7206900000000003E-2</v>
      </c>
      <c r="GS39">
        <v>0</v>
      </c>
      <c r="GT39">
        <v>29.0748</v>
      </c>
      <c r="GU39">
        <v>999.9</v>
      </c>
      <c r="GV39">
        <v>51.5</v>
      </c>
      <c r="GW39">
        <v>33.700000000000003</v>
      </c>
      <c r="GX39">
        <v>27.142900000000001</v>
      </c>
      <c r="GY39">
        <v>61.6751</v>
      </c>
      <c r="GZ39">
        <v>13.132999999999999</v>
      </c>
      <c r="HA39">
        <v>1</v>
      </c>
      <c r="HB39">
        <v>7.7459399999999998E-2</v>
      </c>
      <c r="HC39">
        <v>7.8050099999999997E-2</v>
      </c>
      <c r="HD39">
        <v>20.3371</v>
      </c>
      <c r="HE39">
        <v>5.2352600000000002</v>
      </c>
      <c r="HF39">
        <v>11.9716</v>
      </c>
      <c r="HG39">
        <v>4.9749999999999996</v>
      </c>
      <c r="HH39">
        <v>3.2831999999999999</v>
      </c>
      <c r="HI39">
        <v>9999</v>
      </c>
      <c r="HJ39">
        <v>9999</v>
      </c>
      <c r="HK39">
        <v>9999</v>
      </c>
      <c r="HL39">
        <v>999.9</v>
      </c>
      <c r="HM39">
        <v>1.86063</v>
      </c>
      <c r="HN39">
        <v>1.86232</v>
      </c>
      <c r="HO39">
        <v>1.8676999999999999</v>
      </c>
      <c r="HP39">
        <v>1.85822</v>
      </c>
      <c r="HQ39">
        <v>1.85669</v>
      </c>
      <c r="HR39">
        <v>1.8603499999999999</v>
      </c>
      <c r="HS39">
        <v>1.86429</v>
      </c>
      <c r="HT39">
        <v>1.8663000000000001</v>
      </c>
      <c r="HU39">
        <v>5</v>
      </c>
      <c r="HV39">
        <v>0</v>
      </c>
      <c r="HW39">
        <v>0</v>
      </c>
      <c r="HX39">
        <v>0</v>
      </c>
      <c r="HY39" t="s">
        <v>422</v>
      </c>
      <c r="HZ39" t="s">
        <v>423</v>
      </c>
      <c r="IA39" t="s">
        <v>424</v>
      </c>
      <c r="IB39" t="s">
        <v>424</v>
      </c>
      <c r="IC39" t="s">
        <v>424</v>
      </c>
      <c r="ID39" t="s">
        <v>424</v>
      </c>
      <c r="IE39">
        <v>0</v>
      </c>
      <c r="IF39">
        <v>100</v>
      </c>
      <c r="IG39">
        <v>100</v>
      </c>
      <c r="IH39">
        <v>1.623</v>
      </c>
      <c r="II39">
        <v>0.93089999999999995</v>
      </c>
      <c r="IJ39">
        <v>1.416846261810661</v>
      </c>
      <c r="IK39">
        <v>1.118558698776514E-3</v>
      </c>
      <c r="IL39">
        <v>-1.6939696309573479E-6</v>
      </c>
      <c r="IM39">
        <v>5.4698917449866148E-10</v>
      </c>
      <c r="IN39">
        <v>4.4296829336384902E-2</v>
      </c>
      <c r="IO39">
        <v>-7.6058941998734366E-3</v>
      </c>
      <c r="IP39">
        <v>1.6984902717538061E-3</v>
      </c>
      <c r="IQ39">
        <v>-9.6352527008986976E-6</v>
      </c>
      <c r="IR39">
        <v>2</v>
      </c>
      <c r="IS39">
        <v>2021</v>
      </c>
      <c r="IT39">
        <v>2</v>
      </c>
      <c r="IU39">
        <v>40</v>
      </c>
      <c r="IV39">
        <v>1.3</v>
      </c>
      <c r="IW39">
        <v>1.2</v>
      </c>
      <c r="IX39">
        <v>1.0363800000000001</v>
      </c>
      <c r="IY39">
        <v>2.50488</v>
      </c>
      <c r="IZ39">
        <v>1.34399</v>
      </c>
      <c r="JA39">
        <v>2.2375500000000001</v>
      </c>
      <c r="JB39">
        <v>1.5918000000000001</v>
      </c>
      <c r="JC39">
        <v>2.4487299999999999</v>
      </c>
      <c r="JD39">
        <v>36.245899999999999</v>
      </c>
      <c r="JE39">
        <v>16.014600000000002</v>
      </c>
      <c r="JF39">
        <v>18</v>
      </c>
      <c r="JG39">
        <v>511.452</v>
      </c>
      <c r="JH39">
        <v>454.52300000000002</v>
      </c>
      <c r="JI39">
        <v>27.2636</v>
      </c>
      <c r="JJ39">
        <v>28.631499999999999</v>
      </c>
      <c r="JK39">
        <v>29.9999</v>
      </c>
      <c r="JL39">
        <v>28.442299999999999</v>
      </c>
      <c r="JM39">
        <v>28.387699999999999</v>
      </c>
      <c r="JN39">
        <v>20.8155</v>
      </c>
      <c r="JO39">
        <v>25.718</v>
      </c>
      <c r="JP39">
        <v>72.989999999999995</v>
      </c>
      <c r="JQ39">
        <v>27.3218</v>
      </c>
      <c r="JR39">
        <v>400</v>
      </c>
      <c r="JS39">
        <v>22.302299999999999</v>
      </c>
      <c r="JT39">
        <v>99.850300000000004</v>
      </c>
      <c r="JU39">
        <v>98.295199999999994</v>
      </c>
    </row>
    <row r="40" spans="1:281" x14ac:dyDescent="0.25">
      <c r="A40">
        <v>24</v>
      </c>
      <c r="B40">
        <v>1693499218.5999999</v>
      </c>
      <c r="C40">
        <v>4292</v>
      </c>
      <c r="D40" t="s">
        <v>538</v>
      </c>
      <c r="E40" t="s">
        <v>539</v>
      </c>
      <c r="F40" t="s">
        <v>413</v>
      </c>
      <c r="G40" t="s">
        <v>493</v>
      </c>
      <c r="H40" t="s">
        <v>494</v>
      </c>
      <c r="I40" t="s">
        <v>31</v>
      </c>
      <c r="J40">
        <v>1693499218.5999999</v>
      </c>
      <c r="K40">
        <f t="shared" si="0"/>
        <v>5.3982571562355723E-3</v>
      </c>
      <c r="L40">
        <f t="shared" si="1"/>
        <v>5.3982571562355721</v>
      </c>
      <c r="M40">
        <f t="shared" si="2"/>
        <v>47.74140875139026</v>
      </c>
      <c r="N40">
        <f t="shared" si="3"/>
        <v>439.95800000000003</v>
      </c>
      <c r="O40">
        <f t="shared" si="4"/>
        <v>230.37341842437917</v>
      </c>
      <c r="P40">
        <f t="shared" si="5"/>
        <v>22.989957578018668</v>
      </c>
      <c r="Q40">
        <f t="shared" si="6"/>
        <v>43.905307414753203</v>
      </c>
      <c r="R40">
        <f t="shared" si="7"/>
        <v>0.40291116615423267</v>
      </c>
      <c r="S40">
        <f t="shared" si="8"/>
        <v>2.9285625309614032</v>
      </c>
      <c r="T40">
        <f t="shared" si="9"/>
        <v>0.37445525796996043</v>
      </c>
      <c r="U40">
        <f t="shared" si="10"/>
        <v>0.23642349578941327</v>
      </c>
      <c r="V40">
        <f t="shared" si="11"/>
        <v>344.39029964461179</v>
      </c>
      <c r="W40">
        <f t="shared" si="12"/>
        <v>31.282537206531991</v>
      </c>
      <c r="X40">
        <f t="shared" si="13"/>
        <v>30.054600000000001</v>
      </c>
      <c r="Y40">
        <f t="shared" si="14"/>
        <v>4.2738295803631754</v>
      </c>
      <c r="Z40">
        <f t="shared" si="15"/>
        <v>65.254605899792168</v>
      </c>
      <c r="AA40">
        <f t="shared" si="16"/>
        <v>2.8867800998704203</v>
      </c>
      <c r="AB40">
        <f t="shared" si="17"/>
        <v>4.4238717866191495</v>
      </c>
      <c r="AC40">
        <f t="shared" si="18"/>
        <v>1.3870494804927551</v>
      </c>
      <c r="AD40">
        <f t="shared" si="19"/>
        <v>-238.06314058998873</v>
      </c>
      <c r="AE40">
        <f t="shared" si="20"/>
        <v>95.093932626803792</v>
      </c>
      <c r="AF40">
        <f t="shared" si="21"/>
        <v>7.2454712266315537</v>
      </c>
      <c r="AG40">
        <f t="shared" si="22"/>
        <v>208.66656290805838</v>
      </c>
      <c r="AH40">
        <v>0</v>
      </c>
      <c r="AI40">
        <v>0</v>
      </c>
      <c r="AJ40">
        <f t="shared" si="23"/>
        <v>1</v>
      </c>
      <c r="AK40">
        <f t="shared" si="24"/>
        <v>0</v>
      </c>
      <c r="AL40">
        <f t="shared" si="25"/>
        <v>52205.618949798045</v>
      </c>
      <c r="AM40" t="s">
        <v>416</v>
      </c>
      <c r="AN40">
        <v>10366.9</v>
      </c>
      <c r="AO40">
        <v>993.59653846153856</v>
      </c>
      <c r="AP40">
        <v>3431.87</v>
      </c>
      <c r="AQ40">
        <f t="shared" si="26"/>
        <v>0.71047955241266758</v>
      </c>
      <c r="AR40">
        <v>-3.9894345373445681</v>
      </c>
      <c r="AS40" t="s">
        <v>540</v>
      </c>
      <c r="AT40">
        <v>10396</v>
      </c>
      <c r="AU40">
        <v>775.78859999999997</v>
      </c>
      <c r="AV40">
        <v>1151.6090929961099</v>
      </c>
      <c r="AW40">
        <f t="shared" si="27"/>
        <v>0.32634380475265967</v>
      </c>
      <c r="AX40">
        <v>0.5</v>
      </c>
      <c r="AY40">
        <f t="shared" si="28"/>
        <v>1513.2770998223057</v>
      </c>
      <c r="AZ40">
        <f t="shared" si="29"/>
        <v>47.74140875139026</v>
      </c>
      <c r="BA40">
        <f t="shared" si="30"/>
        <v>246.92430320054081</v>
      </c>
      <c r="BB40">
        <f t="shared" si="31"/>
        <v>3.4184646879814179E-2</v>
      </c>
      <c r="BC40">
        <f t="shared" si="32"/>
        <v>1.9800650419244237</v>
      </c>
      <c r="BD40">
        <f t="shared" si="33"/>
        <v>631.54892020407397</v>
      </c>
      <c r="BE40" t="s">
        <v>541</v>
      </c>
      <c r="BF40">
        <v>598.83000000000004</v>
      </c>
      <c r="BG40">
        <f t="shared" si="34"/>
        <v>598.83000000000004</v>
      </c>
      <c r="BH40">
        <f t="shared" si="35"/>
        <v>0.48000584257107559</v>
      </c>
      <c r="BI40">
        <f t="shared" si="36"/>
        <v>0.67987465111809997</v>
      </c>
      <c r="BJ40">
        <f t="shared" si="37"/>
        <v>0.8048812960649655</v>
      </c>
      <c r="BK40">
        <f t="shared" si="38"/>
        <v>2.3784217279639304</v>
      </c>
      <c r="BL40">
        <f t="shared" si="39"/>
        <v>0.93519490039690967</v>
      </c>
      <c r="BM40">
        <f t="shared" si="40"/>
        <v>0.52479417373373605</v>
      </c>
      <c r="BN40">
        <f t="shared" si="41"/>
        <v>0.47520582626626395</v>
      </c>
      <c r="BO40">
        <v>2195</v>
      </c>
      <c r="BP40">
        <v>290.00000000000011</v>
      </c>
      <c r="BQ40">
        <v>1044.8399999999999</v>
      </c>
      <c r="BR40">
        <v>165</v>
      </c>
      <c r="BS40">
        <v>10396</v>
      </c>
      <c r="BT40">
        <v>1041.96</v>
      </c>
      <c r="BU40">
        <v>2.88</v>
      </c>
      <c r="BV40">
        <v>300.00000000000011</v>
      </c>
      <c r="BW40">
        <v>38.4</v>
      </c>
      <c r="BX40">
        <v>1151.6090929961099</v>
      </c>
      <c r="BY40">
        <v>1.1409627970163321</v>
      </c>
      <c r="BZ40">
        <v>-113.99178269311651</v>
      </c>
      <c r="CA40">
        <v>0.97010086005693419</v>
      </c>
      <c r="CB40">
        <v>0.99797621249995083</v>
      </c>
      <c r="CC40">
        <v>-1.130502046718577E-2</v>
      </c>
      <c r="CD40">
        <v>289.99999999999989</v>
      </c>
      <c r="CE40">
        <v>1027.46</v>
      </c>
      <c r="CF40">
        <v>655</v>
      </c>
      <c r="CG40">
        <v>10368.5</v>
      </c>
      <c r="CH40">
        <v>1041.67</v>
      </c>
      <c r="CI40">
        <v>-14.21</v>
      </c>
      <c r="CW40">
        <f t="shared" si="42"/>
        <v>1800.11</v>
      </c>
      <c r="CX40">
        <f t="shared" si="43"/>
        <v>1513.2770998223057</v>
      </c>
      <c r="CY40">
        <f t="shared" si="44"/>
        <v>0.84065812634911519</v>
      </c>
      <c r="CZ40">
        <f t="shared" si="45"/>
        <v>0.19131625269823055</v>
      </c>
      <c r="DA40">
        <v>6</v>
      </c>
      <c r="DB40">
        <v>0.5</v>
      </c>
      <c r="DC40" t="s">
        <v>419</v>
      </c>
      <c r="DD40">
        <v>2</v>
      </c>
      <c r="DE40">
        <v>1693499218.5999999</v>
      </c>
      <c r="DF40">
        <v>439.95800000000003</v>
      </c>
      <c r="DG40">
        <v>500.065</v>
      </c>
      <c r="DH40">
        <v>28.927299999999999</v>
      </c>
      <c r="DI40">
        <v>22.6402</v>
      </c>
      <c r="DJ40">
        <v>438.20600000000002</v>
      </c>
      <c r="DK40">
        <v>27.974</v>
      </c>
      <c r="DL40">
        <v>500.27199999999999</v>
      </c>
      <c r="DM40">
        <v>99.694500000000005</v>
      </c>
      <c r="DN40">
        <v>9.9815399999999999E-2</v>
      </c>
      <c r="DO40">
        <v>30.6569</v>
      </c>
      <c r="DP40">
        <v>30.054600000000001</v>
      </c>
      <c r="DQ40">
        <v>999.9</v>
      </c>
      <c r="DR40">
        <v>0</v>
      </c>
      <c r="DS40">
        <v>0</v>
      </c>
      <c r="DT40">
        <v>10025</v>
      </c>
      <c r="DU40">
        <v>0</v>
      </c>
      <c r="DV40">
        <v>1851.75</v>
      </c>
      <c r="DW40">
        <v>-60.106099999999998</v>
      </c>
      <c r="DX40">
        <v>453.06400000000002</v>
      </c>
      <c r="DY40">
        <v>511.64800000000002</v>
      </c>
      <c r="DZ40">
        <v>6.2870499999999998</v>
      </c>
      <c r="EA40">
        <v>500.065</v>
      </c>
      <c r="EB40">
        <v>22.6402</v>
      </c>
      <c r="EC40">
        <v>2.8838900000000001</v>
      </c>
      <c r="ED40">
        <v>2.2571099999999999</v>
      </c>
      <c r="EE40">
        <v>23.372299999999999</v>
      </c>
      <c r="EF40">
        <v>19.3735</v>
      </c>
      <c r="EG40">
        <v>1800.11</v>
      </c>
      <c r="EH40">
        <v>0.97800200000000004</v>
      </c>
      <c r="EI40">
        <v>2.19975E-2</v>
      </c>
      <c r="EJ40">
        <v>0</v>
      </c>
      <c r="EK40">
        <v>776.48500000000001</v>
      </c>
      <c r="EL40">
        <v>5.0002700000000004</v>
      </c>
      <c r="EM40">
        <v>14910.3</v>
      </c>
      <c r="EN40">
        <v>16249.6</v>
      </c>
      <c r="EO40">
        <v>48.436999999999998</v>
      </c>
      <c r="EP40">
        <v>50.061999999999998</v>
      </c>
      <c r="EQ40">
        <v>49.625</v>
      </c>
      <c r="ER40">
        <v>48.936999999999998</v>
      </c>
      <c r="ES40">
        <v>50.125</v>
      </c>
      <c r="ET40">
        <v>1755.62</v>
      </c>
      <c r="EU40">
        <v>39.49</v>
      </c>
      <c r="EV40">
        <v>0</v>
      </c>
      <c r="EW40">
        <v>140.5999999046326</v>
      </c>
      <c r="EX40">
        <v>0</v>
      </c>
      <c r="EY40">
        <v>775.78859999999997</v>
      </c>
      <c r="EZ40">
        <v>7.6802307642382948</v>
      </c>
      <c r="FA40">
        <v>158.2615381928847</v>
      </c>
      <c r="FB40">
        <v>14889.7</v>
      </c>
      <c r="FC40">
        <v>15</v>
      </c>
      <c r="FD40">
        <v>1693499189.5999999</v>
      </c>
      <c r="FE40" t="s">
        <v>542</v>
      </c>
      <c r="FF40">
        <v>1693499183.5999999</v>
      </c>
      <c r="FG40">
        <v>1693499189.5999999</v>
      </c>
      <c r="FH40">
        <v>27</v>
      </c>
      <c r="FI40">
        <v>0.125</v>
      </c>
      <c r="FJ40">
        <v>4.0000000000000001E-3</v>
      </c>
      <c r="FK40">
        <v>1.746</v>
      </c>
      <c r="FL40">
        <v>0.59199999999999997</v>
      </c>
      <c r="FM40">
        <v>500</v>
      </c>
      <c r="FN40">
        <v>22</v>
      </c>
      <c r="FO40">
        <v>0.08</v>
      </c>
      <c r="FP40">
        <v>0.04</v>
      </c>
      <c r="FQ40">
        <v>47.677869203467949</v>
      </c>
      <c r="FR40">
        <v>-6.420365777757242E-2</v>
      </c>
      <c r="FS40">
        <v>9.4185918517181097E-2</v>
      </c>
      <c r="FT40">
        <v>1</v>
      </c>
      <c r="FU40">
        <v>0.41123724669124417</v>
      </c>
      <c r="FV40">
        <v>-3.627669960534987E-2</v>
      </c>
      <c r="FW40">
        <v>4.0910338361690966E-3</v>
      </c>
      <c r="FX40">
        <v>1</v>
      </c>
      <c r="FY40">
        <v>2</v>
      </c>
      <c r="FZ40">
        <v>2</v>
      </c>
      <c r="GA40" t="s">
        <v>421</v>
      </c>
      <c r="GB40">
        <v>3.1183999999999998</v>
      </c>
      <c r="GC40">
        <v>2.8651900000000001</v>
      </c>
      <c r="GD40">
        <v>0.100344</v>
      </c>
      <c r="GE40">
        <v>0.11350200000000001</v>
      </c>
      <c r="GF40">
        <v>0.13087799999999999</v>
      </c>
      <c r="GG40">
        <v>0.115592</v>
      </c>
      <c r="GH40">
        <v>27340.799999999999</v>
      </c>
      <c r="GI40">
        <v>20840.2</v>
      </c>
      <c r="GJ40">
        <v>29287.7</v>
      </c>
      <c r="GK40">
        <v>21904.400000000001</v>
      </c>
      <c r="GL40">
        <v>34062.800000000003</v>
      </c>
      <c r="GM40">
        <v>26637.1</v>
      </c>
      <c r="GN40">
        <v>40641.4</v>
      </c>
      <c r="GO40">
        <v>31106.5</v>
      </c>
      <c r="GP40">
        <v>2.0499000000000001</v>
      </c>
      <c r="GQ40">
        <v>1.9043000000000001</v>
      </c>
      <c r="GR40">
        <v>5.8203900000000003E-2</v>
      </c>
      <c r="GS40">
        <v>0</v>
      </c>
      <c r="GT40">
        <v>29.1068</v>
      </c>
      <c r="GU40">
        <v>999.9</v>
      </c>
      <c r="GV40">
        <v>51.9</v>
      </c>
      <c r="GW40">
        <v>33.5</v>
      </c>
      <c r="GX40">
        <v>27.0488</v>
      </c>
      <c r="GY40">
        <v>61.905099999999997</v>
      </c>
      <c r="GZ40">
        <v>12.804500000000001</v>
      </c>
      <c r="HA40">
        <v>1</v>
      </c>
      <c r="HB40">
        <v>7.8993900000000006E-2</v>
      </c>
      <c r="HC40">
        <v>1.3144</v>
      </c>
      <c r="HD40">
        <v>20.331</v>
      </c>
      <c r="HE40">
        <v>5.2352600000000002</v>
      </c>
      <c r="HF40">
        <v>11.972200000000001</v>
      </c>
      <c r="HG40">
        <v>4.9757999999999996</v>
      </c>
      <c r="HH40">
        <v>3.2831999999999999</v>
      </c>
      <c r="HI40">
        <v>9999</v>
      </c>
      <c r="HJ40">
        <v>9999</v>
      </c>
      <c r="HK40">
        <v>9999</v>
      </c>
      <c r="HL40">
        <v>999.9</v>
      </c>
      <c r="HM40">
        <v>1.86066</v>
      </c>
      <c r="HN40">
        <v>1.8622799999999999</v>
      </c>
      <c r="HO40">
        <v>1.86768</v>
      </c>
      <c r="HP40">
        <v>1.85822</v>
      </c>
      <c r="HQ40">
        <v>1.85669</v>
      </c>
      <c r="HR40">
        <v>1.8603499999999999</v>
      </c>
      <c r="HS40">
        <v>1.8642700000000001</v>
      </c>
      <c r="HT40">
        <v>1.8663000000000001</v>
      </c>
      <c r="HU40">
        <v>5</v>
      </c>
      <c r="HV40">
        <v>0</v>
      </c>
      <c r="HW40">
        <v>0</v>
      </c>
      <c r="HX40">
        <v>0</v>
      </c>
      <c r="HY40" t="s">
        <v>422</v>
      </c>
      <c r="HZ40" t="s">
        <v>423</v>
      </c>
      <c r="IA40" t="s">
        <v>424</v>
      </c>
      <c r="IB40" t="s">
        <v>424</v>
      </c>
      <c r="IC40" t="s">
        <v>424</v>
      </c>
      <c r="ID40" t="s">
        <v>424</v>
      </c>
      <c r="IE40">
        <v>0</v>
      </c>
      <c r="IF40">
        <v>100</v>
      </c>
      <c r="IG40">
        <v>100</v>
      </c>
      <c r="IH40">
        <v>1.752</v>
      </c>
      <c r="II40">
        <v>0.95330000000000004</v>
      </c>
      <c r="IJ40">
        <v>1.541833185257357</v>
      </c>
      <c r="IK40">
        <v>1.118558698776514E-3</v>
      </c>
      <c r="IL40">
        <v>-1.6939696309573479E-6</v>
      </c>
      <c r="IM40">
        <v>5.4698917449866148E-10</v>
      </c>
      <c r="IN40">
        <v>4.7827375777520387E-2</v>
      </c>
      <c r="IO40">
        <v>-7.6058941998734366E-3</v>
      </c>
      <c r="IP40">
        <v>1.6984902717538061E-3</v>
      </c>
      <c r="IQ40">
        <v>-9.6352527008986976E-6</v>
      </c>
      <c r="IR40">
        <v>2</v>
      </c>
      <c r="IS40">
        <v>2021</v>
      </c>
      <c r="IT40">
        <v>2</v>
      </c>
      <c r="IU40">
        <v>40</v>
      </c>
      <c r="IV40">
        <v>0.6</v>
      </c>
      <c r="IW40">
        <v>0.5</v>
      </c>
      <c r="IX40">
        <v>1.2390099999999999</v>
      </c>
      <c r="IY40">
        <v>2.4865699999999999</v>
      </c>
      <c r="IZ40">
        <v>1.34399</v>
      </c>
      <c r="JA40">
        <v>2.2387700000000001</v>
      </c>
      <c r="JB40">
        <v>1.5918000000000001</v>
      </c>
      <c r="JC40">
        <v>2.4597199999999999</v>
      </c>
      <c r="JD40">
        <v>36.034700000000001</v>
      </c>
      <c r="JE40">
        <v>16.005800000000001</v>
      </c>
      <c r="JF40">
        <v>18</v>
      </c>
      <c r="JG40">
        <v>511.31099999999998</v>
      </c>
      <c r="JH40">
        <v>456.14499999999998</v>
      </c>
      <c r="JI40">
        <v>26.9239</v>
      </c>
      <c r="JJ40">
        <v>28.619299999999999</v>
      </c>
      <c r="JK40">
        <v>30.0002</v>
      </c>
      <c r="JL40">
        <v>28.4617</v>
      </c>
      <c r="JM40">
        <v>28.407</v>
      </c>
      <c r="JN40">
        <v>24.881</v>
      </c>
      <c r="JO40">
        <v>24.445599999999999</v>
      </c>
      <c r="JP40">
        <v>73.536699999999996</v>
      </c>
      <c r="JQ40">
        <v>26.885000000000002</v>
      </c>
      <c r="JR40">
        <v>500</v>
      </c>
      <c r="JS40">
        <v>22.641200000000001</v>
      </c>
      <c r="JT40">
        <v>99.852199999999996</v>
      </c>
      <c r="JU40">
        <v>98.299899999999994</v>
      </c>
    </row>
    <row r="41" spans="1:281" x14ac:dyDescent="0.25">
      <c r="A41">
        <v>25</v>
      </c>
      <c r="B41">
        <v>1693499345.5999999</v>
      </c>
      <c r="C41">
        <v>4419</v>
      </c>
      <c r="D41" t="s">
        <v>543</v>
      </c>
      <c r="E41" t="s">
        <v>544</v>
      </c>
      <c r="F41" t="s">
        <v>413</v>
      </c>
      <c r="G41" t="s">
        <v>493</v>
      </c>
      <c r="H41" t="s">
        <v>494</v>
      </c>
      <c r="I41" t="s">
        <v>31</v>
      </c>
      <c r="J41">
        <v>1693499345.5999999</v>
      </c>
      <c r="K41">
        <f t="shared" si="0"/>
        <v>5.3887205655462241E-3</v>
      </c>
      <c r="L41">
        <f t="shared" si="1"/>
        <v>5.3887205655462243</v>
      </c>
      <c r="M41">
        <f t="shared" si="2"/>
        <v>48.872062863747452</v>
      </c>
      <c r="N41">
        <f t="shared" si="3"/>
        <v>637.23500000000001</v>
      </c>
      <c r="O41">
        <f t="shared" si="4"/>
        <v>417.65879442412023</v>
      </c>
      <c r="P41">
        <f t="shared" si="5"/>
        <v>41.680058495674956</v>
      </c>
      <c r="Q41">
        <f t="shared" si="6"/>
        <v>63.592560314964999</v>
      </c>
      <c r="R41">
        <f t="shared" si="7"/>
        <v>0.40119290415650904</v>
      </c>
      <c r="S41">
        <f t="shared" si="8"/>
        <v>2.9373006869011311</v>
      </c>
      <c r="T41">
        <f t="shared" si="9"/>
        <v>0.37304772022218469</v>
      </c>
      <c r="U41">
        <f t="shared" si="10"/>
        <v>0.23551881074890196</v>
      </c>
      <c r="V41">
        <f t="shared" si="11"/>
        <v>344.38079964460189</v>
      </c>
      <c r="W41">
        <f t="shared" si="12"/>
        <v>31.21405012664945</v>
      </c>
      <c r="X41">
        <f t="shared" si="13"/>
        <v>30.003299999999999</v>
      </c>
      <c r="Y41">
        <f t="shared" si="14"/>
        <v>4.261257404379255</v>
      </c>
      <c r="Z41">
        <f t="shared" si="15"/>
        <v>65.160360874589614</v>
      </c>
      <c r="AA41">
        <f t="shared" si="16"/>
        <v>2.8712280239565997</v>
      </c>
      <c r="AB41">
        <f t="shared" si="17"/>
        <v>4.4064028888401747</v>
      </c>
      <c r="AC41">
        <f t="shared" si="18"/>
        <v>1.3900293804226553</v>
      </c>
      <c r="AD41">
        <f t="shared" si="19"/>
        <v>-237.64257694058847</v>
      </c>
      <c r="AE41">
        <f t="shared" si="20"/>
        <v>92.543103007066108</v>
      </c>
      <c r="AF41">
        <f t="shared" si="21"/>
        <v>7.0259517292241132</v>
      </c>
      <c r="AG41">
        <f t="shared" si="22"/>
        <v>206.30727744030366</v>
      </c>
      <c r="AH41">
        <v>0</v>
      </c>
      <c r="AI41">
        <v>0</v>
      </c>
      <c r="AJ41">
        <f t="shared" si="23"/>
        <v>1</v>
      </c>
      <c r="AK41">
        <f t="shared" si="24"/>
        <v>0</v>
      </c>
      <c r="AL41">
        <f t="shared" si="25"/>
        <v>52467.129863374357</v>
      </c>
      <c r="AM41" t="s">
        <v>416</v>
      </c>
      <c r="AN41">
        <v>10366.9</v>
      </c>
      <c r="AO41">
        <v>993.59653846153856</v>
      </c>
      <c r="AP41">
        <v>3431.87</v>
      </c>
      <c r="AQ41">
        <f t="shared" si="26"/>
        <v>0.71047955241266758</v>
      </c>
      <c r="AR41">
        <v>-3.9894345373445681</v>
      </c>
      <c r="AS41" t="s">
        <v>545</v>
      </c>
      <c r="AT41">
        <v>10394.200000000001</v>
      </c>
      <c r="AU41">
        <v>789.39980769230772</v>
      </c>
      <c r="AV41">
        <v>1186.7391227504261</v>
      </c>
      <c r="AW41">
        <f t="shared" si="27"/>
        <v>0.33481605808800807</v>
      </c>
      <c r="AX41">
        <v>0.5</v>
      </c>
      <c r="AY41">
        <f t="shared" si="28"/>
        <v>1513.235099822301</v>
      </c>
      <c r="AZ41">
        <f t="shared" si="29"/>
        <v>48.872062863747452</v>
      </c>
      <c r="BA41">
        <f t="shared" si="30"/>
        <v>253.3277055414581</v>
      </c>
      <c r="BB41">
        <f t="shared" si="31"/>
        <v>3.4932772447123082E-2</v>
      </c>
      <c r="BC41">
        <f t="shared" si="32"/>
        <v>1.8918487089615652</v>
      </c>
      <c r="BD41">
        <f t="shared" si="33"/>
        <v>641.97066301471887</v>
      </c>
      <c r="BE41" t="s">
        <v>546</v>
      </c>
      <c r="BF41">
        <v>608.21</v>
      </c>
      <c r="BG41">
        <f t="shared" si="34"/>
        <v>608.21</v>
      </c>
      <c r="BH41">
        <f t="shared" si="35"/>
        <v>0.48749477594503476</v>
      </c>
      <c r="BI41">
        <f t="shared" si="36"/>
        <v>0.68680953029486147</v>
      </c>
      <c r="BJ41">
        <f t="shared" si="37"/>
        <v>0.79511374501518395</v>
      </c>
      <c r="BK41">
        <f t="shared" si="38"/>
        <v>2.0572330877783505</v>
      </c>
      <c r="BL41">
        <f t="shared" si="39"/>
        <v>0.92078715232908226</v>
      </c>
      <c r="BM41">
        <f t="shared" si="40"/>
        <v>0.52916712209722039</v>
      </c>
      <c r="BN41">
        <f t="shared" si="41"/>
        <v>0.47083287790277961</v>
      </c>
      <c r="BO41">
        <v>2197</v>
      </c>
      <c r="BP41">
        <v>290.00000000000011</v>
      </c>
      <c r="BQ41">
        <v>1073.97</v>
      </c>
      <c r="BR41">
        <v>175</v>
      </c>
      <c r="BS41">
        <v>10394.200000000001</v>
      </c>
      <c r="BT41">
        <v>1071.71</v>
      </c>
      <c r="BU41">
        <v>2.2599999999999998</v>
      </c>
      <c r="BV41">
        <v>300.00000000000011</v>
      </c>
      <c r="BW41">
        <v>38.4</v>
      </c>
      <c r="BX41">
        <v>1186.7391227504261</v>
      </c>
      <c r="BY41">
        <v>1.250941553528842</v>
      </c>
      <c r="BZ41">
        <v>-119.55934265666809</v>
      </c>
      <c r="CA41">
        <v>1.0636079056426011</v>
      </c>
      <c r="CB41">
        <v>0.99778897929071531</v>
      </c>
      <c r="CC41">
        <v>-1.130514349276975E-2</v>
      </c>
      <c r="CD41">
        <v>289.99999999999989</v>
      </c>
      <c r="CE41">
        <v>1058.17</v>
      </c>
      <c r="CF41">
        <v>655</v>
      </c>
      <c r="CG41">
        <v>10368.5</v>
      </c>
      <c r="CH41">
        <v>1071.43</v>
      </c>
      <c r="CI41">
        <v>-13.26</v>
      </c>
      <c r="CW41">
        <f t="shared" si="42"/>
        <v>1800.06</v>
      </c>
      <c r="CX41">
        <f t="shared" si="43"/>
        <v>1513.235099822301</v>
      </c>
      <c r="CY41">
        <f t="shared" si="44"/>
        <v>0.84065814462979072</v>
      </c>
      <c r="CZ41">
        <f t="shared" si="45"/>
        <v>0.1913162892595813</v>
      </c>
      <c r="DA41">
        <v>6</v>
      </c>
      <c r="DB41">
        <v>0.5</v>
      </c>
      <c r="DC41" t="s">
        <v>419</v>
      </c>
      <c r="DD41">
        <v>2</v>
      </c>
      <c r="DE41">
        <v>1693499345.5999999</v>
      </c>
      <c r="DF41">
        <v>637.23500000000001</v>
      </c>
      <c r="DG41">
        <v>699.96600000000001</v>
      </c>
      <c r="DH41">
        <v>28.7714</v>
      </c>
      <c r="DI41">
        <v>22.494599999999998</v>
      </c>
      <c r="DJ41">
        <v>635.34299999999996</v>
      </c>
      <c r="DK41">
        <v>27.819700000000001</v>
      </c>
      <c r="DL41">
        <v>500.28800000000001</v>
      </c>
      <c r="DM41">
        <v>99.694800000000001</v>
      </c>
      <c r="DN41">
        <v>9.9719000000000002E-2</v>
      </c>
      <c r="DO41">
        <v>30.587700000000002</v>
      </c>
      <c r="DP41">
        <v>30.003299999999999</v>
      </c>
      <c r="DQ41">
        <v>999.9</v>
      </c>
      <c r="DR41">
        <v>0</v>
      </c>
      <c r="DS41">
        <v>0</v>
      </c>
      <c r="DT41">
        <v>10075</v>
      </c>
      <c r="DU41">
        <v>0</v>
      </c>
      <c r="DV41">
        <v>1853.14</v>
      </c>
      <c r="DW41">
        <v>-62.731400000000001</v>
      </c>
      <c r="DX41">
        <v>656.11199999999997</v>
      </c>
      <c r="DY41">
        <v>716.07399999999996</v>
      </c>
      <c r="DZ41">
        <v>6.2767999999999997</v>
      </c>
      <c r="EA41">
        <v>699.96600000000001</v>
      </c>
      <c r="EB41">
        <v>22.494599999999998</v>
      </c>
      <c r="EC41">
        <v>2.86836</v>
      </c>
      <c r="ED41">
        <v>2.2425899999999999</v>
      </c>
      <c r="EE41">
        <v>23.282800000000002</v>
      </c>
      <c r="EF41">
        <v>19.2699</v>
      </c>
      <c r="EG41">
        <v>1800.06</v>
      </c>
      <c r="EH41">
        <v>0.97800200000000004</v>
      </c>
      <c r="EI41">
        <v>2.19975E-2</v>
      </c>
      <c r="EJ41">
        <v>0</v>
      </c>
      <c r="EK41">
        <v>789.58299999999997</v>
      </c>
      <c r="EL41">
        <v>5.0002700000000004</v>
      </c>
      <c r="EM41">
        <v>15144.7</v>
      </c>
      <c r="EN41">
        <v>16249.2</v>
      </c>
      <c r="EO41">
        <v>48.5</v>
      </c>
      <c r="EP41">
        <v>50.125</v>
      </c>
      <c r="EQ41">
        <v>49.625</v>
      </c>
      <c r="ER41">
        <v>49</v>
      </c>
      <c r="ES41">
        <v>50.125</v>
      </c>
      <c r="ET41">
        <v>1755.57</v>
      </c>
      <c r="EU41">
        <v>39.49</v>
      </c>
      <c r="EV41">
        <v>0</v>
      </c>
      <c r="EW41">
        <v>125</v>
      </c>
      <c r="EX41">
        <v>0</v>
      </c>
      <c r="EY41">
        <v>789.39980769230772</v>
      </c>
      <c r="EZ41">
        <v>0.75326495154546436</v>
      </c>
      <c r="FA41">
        <v>10.044444426513479</v>
      </c>
      <c r="FB41">
        <v>15142.6</v>
      </c>
      <c r="FC41">
        <v>15</v>
      </c>
      <c r="FD41">
        <v>1693499307.0999999</v>
      </c>
      <c r="FE41" t="s">
        <v>547</v>
      </c>
      <c r="FF41">
        <v>1693499305.0999999</v>
      </c>
      <c r="FG41">
        <v>1693499307.0999999</v>
      </c>
      <c r="FH41">
        <v>28</v>
      </c>
      <c r="FI41">
        <v>0.183</v>
      </c>
      <c r="FJ41">
        <v>8.0000000000000002E-3</v>
      </c>
      <c r="FK41">
        <v>1.8660000000000001</v>
      </c>
      <c r="FL41">
        <v>0.60399999999999998</v>
      </c>
      <c r="FM41">
        <v>700</v>
      </c>
      <c r="FN41">
        <v>23</v>
      </c>
      <c r="FO41">
        <v>0.13</v>
      </c>
      <c r="FP41">
        <v>0.04</v>
      </c>
      <c r="FQ41">
        <v>48.851725378228473</v>
      </c>
      <c r="FR41">
        <v>0.63029128831893033</v>
      </c>
      <c r="FS41">
        <v>0.10422198142626909</v>
      </c>
      <c r="FT41">
        <v>1</v>
      </c>
      <c r="FU41">
        <v>0.40825384364796408</v>
      </c>
      <c r="FV41">
        <v>-4.6938301065633299E-2</v>
      </c>
      <c r="FW41">
        <v>3.5458580106886429E-3</v>
      </c>
      <c r="FX41">
        <v>1</v>
      </c>
      <c r="FY41">
        <v>2</v>
      </c>
      <c r="FZ41">
        <v>2</v>
      </c>
      <c r="GA41" t="s">
        <v>421</v>
      </c>
      <c r="GB41">
        <v>3.1183800000000002</v>
      </c>
      <c r="GC41">
        <v>2.8655300000000001</v>
      </c>
      <c r="GD41">
        <v>0.13149</v>
      </c>
      <c r="GE41">
        <v>0.143987</v>
      </c>
      <c r="GF41">
        <v>0.13036300000000001</v>
      </c>
      <c r="GG41">
        <v>0.115063</v>
      </c>
      <c r="GH41">
        <v>26393</v>
      </c>
      <c r="GI41">
        <v>20123.900000000001</v>
      </c>
      <c r="GJ41">
        <v>29286.1</v>
      </c>
      <c r="GK41">
        <v>21904.6</v>
      </c>
      <c r="GL41">
        <v>34086</v>
      </c>
      <c r="GM41">
        <v>26655.3</v>
      </c>
      <c r="GN41">
        <v>40639.800000000003</v>
      </c>
      <c r="GO41">
        <v>31106.400000000001</v>
      </c>
      <c r="GP41">
        <v>2.0497000000000001</v>
      </c>
      <c r="GQ41">
        <v>1.9063000000000001</v>
      </c>
      <c r="GR41">
        <v>5.58197E-2</v>
      </c>
      <c r="GS41">
        <v>0</v>
      </c>
      <c r="GT41">
        <v>29.0943</v>
      </c>
      <c r="GU41">
        <v>999.9</v>
      </c>
      <c r="GV41">
        <v>52.4</v>
      </c>
      <c r="GW41">
        <v>33.200000000000003</v>
      </c>
      <c r="GX41">
        <v>26.8551</v>
      </c>
      <c r="GY41">
        <v>61.775100000000002</v>
      </c>
      <c r="GZ41">
        <v>12.4199</v>
      </c>
      <c r="HA41">
        <v>1</v>
      </c>
      <c r="HB41">
        <v>7.9420699999999997E-2</v>
      </c>
      <c r="HC41">
        <v>0.81611100000000003</v>
      </c>
      <c r="HD41">
        <v>20.334800000000001</v>
      </c>
      <c r="HE41">
        <v>5.2346599999999999</v>
      </c>
      <c r="HF41">
        <v>11.974</v>
      </c>
      <c r="HG41">
        <v>4.9753999999999996</v>
      </c>
      <c r="HH41">
        <v>3.2837000000000001</v>
      </c>
      <c r="HI41">
        <v>9999</v>
      </c>
      <c r="HJ41">
        <v>9999</v>
      </c>
      <c r="HK41">
        <v>9999</v>
      </c>
      <c r="HL41">
        <v>999.9</v>
      </c>
      <c r="HM41">
        <v>1.8606100000000001</v>
      </c>
      <c r="HN41">
        <v>1.8622300000000001</v>
      </c>
      <c r="HO41">
        <v>1.86768</v>
      </c>
      <c r="HP41">
        <v>1.85822</v>
      </c>
      <c r="HQ41">
        <v>1.85669</v>
      </c>
      <c r="HR41">
        <v>1.8603499999999999</v>
      </c>
      <c r="HS41">
        <v>1.86425</v>
      </c>
      <c r="HT41">
        <v>1.8663000000000001</v>
      </c>
      <c r="HU41">
        <v>5</v>
      </c>
      <c r="HV41">
        <v>0</v>
      </c>
      <c r="HW41">
        <v>0</v>
      </c>
      <c r="HX41">
        <v>0</v>
      </c>
      <c r="HY41" t="s">
        <v>422</v>
      </c>
      <c r="HZ41" t="s">
        <v>423</v>
      </c>
      <c r="IA41" t="s">
        <v>424</v>
      </c>
      <c r="IB41" t="s">
        <v>424</v>
      </c>
      <c r="IC41" t="s">
        <v>424</v>
      </c>
      <c r="ID41" t="s">
        <v>424</v>
      </c>
      <c r="IE41">
        <v>0</v>
      </c>
      <c r="IF41">
        <v>100</v>
      </c>
      <c r="IG41">
        <v>100</v>
      </c>
      <c r="IH41">
        <v>1.8919999999999999</v>
      </c>
      <c r="II41">
        <v>0.95169999999999999</v>
      </c>
      <c r="IJ41">
        <v>1.7248457830293309</v>
      </c>
      <c r="IK41">
        <v>1.118558698776514E-3</v>
      </c>
      <c r="IL41">
        <v>-1.6939696309573479E-6</v>
      </c>
      <c r="IM41">
        <v>5.4698917449866148E-10</v>
      </c>
      <c r="IN41">
        <v>5.621681659273059E-2</v>
      </c>
      <c r="IO41">
        <v>-7.6058941998734366E-3</v>
      </c>
      <c r="IP41">
        <v>1.6984902717538061E-3</v>
      </c>
      <c r="IQ41">
        <v>-9.6352527008986976E-6</v>
      </c>
      <c r="IR41">
        <v>2</v>
      </c>
      <c r="IS41">
        <v>2021</v>
      </c>
      <c r="IT41">
        <v>2</v>
      </c>
      <c r="IU41">
        <v>40</v>
      </c>
      <c r="IV41">
        <v>0.7</v>
      </c>
      <c r="IW41">
        <v>0.6</v>
      </c>
      <c r="IX41">
        <v>1.62964</v>
      </c>
      <c r="IY41">
        <v>2.49756</v>
      </c>
      <c r="IZ41">
        <v>1.34399</v>
      </c>
      <c r="JA41">
        <v>2.2387700000000001</v>
      </c>
      <c r="JB41">
        <v>1.5918000000000001</v>
      </c>
      <c r="JC41">
        <v>2.2570800000000002</v>
      </c>
      <c r="JD41">
        <v>35.9178</v>
      </c>
      <c r="JE41">
        <v>15.988300000000001</v>
      </c>
      <c r="JF41">
        <v>18</v>
      </c>
      <c r="JG41">
        <v>511.38499999999999</v>
      </c>
      <c r="JH41">
        <v>457.68099999999998</v>
      </c>
      <c r="JI41">
        <v>27.085799999999999</v>
      </c>
      <c r="JJ41">
        <v>28.643699999999999</v>
      </c>
      <c r="JK41">
        <v>30</v>
      </c>
      <c r="JL41">
        <v>28.483499999999999</v>
      </c>
      <c r="JM41">
        <v>28.4312</v>
      </c>
      <c r="JN41">
        <v>32.700299999999999</v>
      </c>
      <c r="JO41">
        <v>25.093</v>
      </c>
      <c r="JP41">
        <v>74.119</v>
      </c>
      <c r="JQ41">
        <v>27.0808</v>
      </c>
      <c r="JR41">
        <v>700</v>
      </c>
      <c r="JS41">
        <v>22.533999999999999</v>
      </c>
      <c r="JT41">
        <v>99.8476</v>
      </c>
      <c r="JU41">
        <v>98.299800000000005</v>
      </c>
    </row>
    <row r="42" spans="1:281" x14ac:dyDescent="0.25">
      <c r="A42">
        <v>26</v>
      </c>
      <c r="B42">
        <v>1693499461.5</v>
      </c>
      <c r="C42">
        <v>4534.9000000953674</v>
      </c>
      <c r="D42" t="s">
        <v>548</v>
      </c>
      <c r="E42" t="s">
        <v>549</v>
      </c>
      <c r="F42" t="s">
        <v>413</v>
      </c>
      <c r="G42" t="s">
        <v>493</v>
      </c>
      <c r="H42" t="s">
        <v>494</v>
      </c>
      <c r="I42" t="s">
        <v>31</v>
      </c>
      <c r="J42">
        <v>1693499461.5</v>
      </c>
      <c r="K42">
        <f t="shared" si="0"/>
        <v>5.223969322414093E-3</v>
      </c>
      <c r="L42">
        <f t="shared" si="1"/>
        <v>5.2239693224140931</v>
      </c>
      <c r="M42">
        <f t="shared" si="2"/>
        <v>48.649723523205381</v>
      </c>
      <c r="N42">
        <f t="shared" si="3"/>
        <v>836.44799999999998</v>
      </c>
      <c r="O42">
        <f t="shared" si="4"/>
        <v>606.19457575967817</v>
      </c>
      <c r="P42">
        <f t="shared" si="5"/>
        <v>60.496857147798721</v>
      </c>
      <c r="Q42">
        <f t="shared" si="6"/>
        <v>83.475631737791986</v>
      </c>
      <c r="R42">
        <f t="shared" si="7"/>
        <v>0.38711340659442806</v>
      </c>
      <c r="S42">
        <f t="shared" si="8"/>
        <v>2.9189624811365071</v>
      </c>
      <c r="T42">
        <f t="shared" si="9"/>
        <v>0.36068668985784064</v>
      </c>
      <c r="U42">
        <f t="shared" si="10"/>
        <v>0.22765300440432934</v>
      </c>
      <c r="V42">
        <f t="shared" si="11"/>
        <v>344.35741280517601</v>
      </c>
      <c r="W42">
        <f t="shared" si="12"/>
        <v>31.224167844289259</v>
      </c>
      <c r="X42">
        <f t="shared" si="13"/>
        <v>30.009399999999999</v>
      </c>
      <c r="Y42">
        <f t="shared" si="14"/>
        <v>4.2627506510885631</v>
      </c>
      <c r="Z42">
        <f t="shared" si="15"/>
        <v>65.244803569986686</v>
      </c>
      <c r="AA42">
        <f t="shared" si="16"/>
        <v>2.8689858319920001</v>
      </c>
      <c r="AB42">
        <f t="shared" si="17"/>
        <v>4.3972633451405843</v>
      </c>
      <c r="AC42">
        <f t="shared" si="18"/>
        <v>1.393764819096563</v>
      </c>
      <c r="AD42">
        <f t="shared" si="19"/>
        <v>-230.37704711846149</v>
      </c>
      <c r="AE42">
        <f t="shared" si="20"/>
        <v>85.292971063403257</v>
      </c>
      <c r="AF42">
        <f t="shared" si="21"/>
        <v>6.5152234798982152</v>
      </c>
      <c r="AG42">
        <f t="shared" si="22"/>
        <v>205.788560230016</v>
      </c>
      <c r="AH42">
        <v>0</v>
      </c>
      <c r="AI42">
        <v>0</v>
      </c>
      <c r="AJ42">
        <f t="shared" si="23"/>
        <v>1</v>
      </c>
      <c r="AK42">
        <f t="shared" si="24"/>
        <v>0</v>
      </c>
      <c r="AL42">
        <f t="shared" si="25"/>
        <v>51950.109478282575</v>
      </c>
      <c r="AM42" t="s">
        <v>416</v>
      </c>
      <c r="AN42">
        <v>10366.9</v>
      </c>
      <c r="AO42">
        <v>993.59653846153856</v>
      </c>
      <c r="AP42">
        <v>3431.87</v>
      </c>
      <c r="AQ42">
        <f t="shared" si="26"/>
        <v>0.71047955241266758</v>
      </c>
      <c r="AR42">
        <v>-3.9894345373445681</v>
      </c>
      <c r="AS42" t="s">
        <v>550</v>
      </c>
      <c r="AT42">
        <v>10399</v>
      </c>
      <c r="AU42">
        <v>789.39291999999989</v>
      </c>
      <c r="AV42">
        <v>1196.57088770472</v>
      </c>
      <c r="AW42">
        <f t="shared" si="27"/>
        <v>0.340287376108385</v>
      </c>
      <c r="AX42">
        <v>0.5</v>
      </c>
      <c r="AY42">
        <f t="shared" si="28"/>
        <v>1513.1340064025878</v>
      </c>
      <c r="AZ42">
        <f t="shared" si="29"/>
        <v>48.649723523205381</v>
      </c>
      <c r="BA42">
        <f t="shared" si="30"/>
        <v>257.45020036955242</v>
      </c>
      <c r="BB42">
        <f t="shared" si="31"/>
        <v>3.4788166704214994E-2</v>
      </c>
      <c r="BC42">
        <f t="shared" si="32"/>
        <v>1.8680874950777582</v>
      </c>
      <c r="BD42">
        <f t="shared" si="33"/>
        <v>644.83683876647785</v>
      </c>
      <c r="BE42" t="s">
        <v>551</v>
      </c>
      <c r="BF42">
        <v>607.42999999999995</v>
      </c>
      <c r="BG42">
        <f t="shared" si="34"/>
        <v>607.42999999999995</v>
      </c>
      <c r="BH42">
        <f t="shared" si="35"/>
        <v>0.49235769795036455</v>
      </c>
      <c r="BI42">
        <f t="shared" si="36"/>
        <v>0.69113853104149081</v>
      </c>
      <c r="BJ42">
        <f t="shared" si="37"/>
        <v>0.79141320484601541</v>
      </c>
      <c r="BK42">
        <f t="shared" si="38"/>
        <v>2.0060562786526512</v>
      </c>
      <c r="BL42">
        <f t="shared" si="39"/>
        <v>0.91675488724094456</v>
      </c>
      <c r="BM42">
        <f t="shared" si="40"/>
        <v>0.53182422501399274</v>
      </c>
      <c r="BN42">
        <f t="shared" si="41"/>
        <v>0.46817577498600726</v>
      </c>
      <c r="BO42">
        <v>2199</v>
      </c>
      <c r="BP42">
        <v>290.00000000000011</v>
      </c>
      <c r="BQ42">
        <v>1079.75</v>
      </c>
      <c r="BR42">
        <v>145</v>
      </c>
      <c r="BS42">
        <v>10399</v>
      </c>
      <c r="BT42">
        <v>1078.01</v>
      </c>
      <c r="BU42">
        <v>1.74</v>
      </c>
      <c r="BV42">
        <v>300.00000000000011</v>
      </c>
      <c r="BW42">
        <v>38.4</v>
      </c>
      <c r="BX42">
        <v>1196.57088770472</v>
      </c>
      <c r="BY42">
        <v>1.5964084249104711</v>
      </c>
      <c r="BZ42">
        <v>-123.29010890865089</v>
      </c>
      <c r="CA42">
        <v>1.357245527434876</v>
      </c>
      <c r="CB42">
        <v>0.99661820549932734</v>
      </c>
      <c r="CC42">
        <v>-1.130463070077864E-2</v>
      </c>
      <c r="CD42">
        <v>289.99999999999989</v>
      </c>
      <c r="CE42">
        <v>1063.04</v>
      </c>
      <c r="CF42">
        <v>645</v>
      </c>
      <c r="CG42">
        <v>10368.799999999999</v>
      </c>
      <c r="CH42">
        <v>1077.67</v>
      </c>
      <c r="CI42">
        <v>-14.63</v>
      </c>
      <c r="CW42">
        <f t="shared" si="42"/>
        <v>1799.94</v>
      </c>
      <c r="CX42">
        <f t="shared" si="43"/>
        <v>1513.1340064025878</v>
      </c>
      <c r="CY42">
        <f t="shared" si="44"/>
        <v>0.8406580254911763</v>
      </c>
      <c r="CZ42">
        <f t="shared" si="45"/>
        <v>0.19131605098235274</v>
      </c>
      <c r="DA42">
        <v>6</v>
      </c>
      <c r="DB42">
        <v>0.5</v>
      </c>
      <c r="DC42" t="s">
        <v>419</v>
      </c>
      <c r="DD42">
        <v>2</v>
      </c>
      <c r="DE42">
        <v>1693499461.5</v>
      </c>
      <c r="DF42">
        <v>836.44799999999998</v>
      </c>
      <c r="DG42">
        <v>900.00900000000001</v>
      </c>
      <c r="DH42">
        <v>28.748000000000001</v>
      </c>
      <c r="DI42">
        <v>22.665400000000002</v>
      </c>
      <c r="DJ42">
        <v>834.49699999999996</v>
      </c>
      <c r="DK42">
        <v>27.7956</v>
      </c>
      <c r="DL42">
        <v>500.48899999999998</v>
      </c>
      <c r="DM42">
        <v>99.696799999999996</v>
      </c>
      <c r="DN42">
        <v>0.100954</v>
      </c>
      <c r="DO42">
        <v>30.551400000000001</v>
      </c>
      <c r="DP42">
        <v>30.009399999999999</v>
      </c>
      <c r="DQ42">
        <v>999.9</v>
      </c>
      <c r="DR42">
        <v>0</v>
      </c>
      <c r="DS42">
        <v>0</v>
      </c>
      <c r="DT42">
        <v>9970</v>
      </c>
      <c r="DU42">
        <v>0</v>
      </c>
      <c r="DV42">
        <v>1850.25</v>
      </c>
      <c r="DW42">
        <v>-63.561300000000003</v>
      </c>
      <c r="DX42">
        <v>861.20600000000002</v>
      </c>
      <c r="DY42">
        <v>920.88099999999997</v>
      </c>
      <c r="DZ42">
        <v>6.08256</v>
      </c>
      <c r="EA42">
        <v>900.00900000000001</v>
      </c>
      <c r="EB42">
        <v>22.665400000000002</v>
      </c>
      <c r="EC42">
        <v>2.8660800000000002</v>
      </c>
      <c r="ED42">
        <v>2.2596699999999998</v>
      </c>
      <c r="EE42">
        <v>23.2697</v>
      </c>
      <c r="EF42">
        <v>19.3917</v>
      </c>
      <c r="EG42">
        <v>1799.94</v>
      </c>
      <c r="EH42">
        <v>0.97800200000000004</v>
      </c>
      <c r="EI42">
        <v>2.19975E-2</v>
      </c>
      <c r="EJ42">
        <v>0</v>
      </c>
      <c r="EK42">
        <v>789.37</v>
      </c>
      <c r="EL42">
        <v>5.0002700000000004</v>
      </c>
      <c r="EM42">
        <v>15141.4</v>
      </c>
      <c r="EN42">
        <v>16248.1</v>
      </c>
      <c r="EO42">
        <v>48.561999999999998</v>
      </c>
      <c r="EP42">
        <v>50.25</v>
      </c>
      <c r="EQ42">
        <v>49.75</v>
      </c>
      <c r="ER42">
        <v>49.186999999999998</v>
      </c>
      <c r="ES42">
        <v>50.25</v>
      </c>
      <c r="ET42">
        <v>1755.45</v>
      </c>
      <c r="EU42">
        <v>39.479999999999997</v>
      </c>
      <c r="EV42">
        <v>0</v>
      </c>
      <c r="EW42">
        <v>114.19999980926509</v>
      </c>
      <c r="EX42">
        <v>0</v>
      </c>
      <c r="EY42">
        <v>789.39291999999989</v>
      </c>
      <c r="EZ42">
        <v>-1.8843076852091769</v>
      </c>
      <c r="FA42">
        <v>-42.215384655152128</v>
      </c>
      <c r="FB42">
        <v>15144.72</v>
      </c>
      <c r="FC42">
        <v>15</v>
      </c>
      <c r="FD42">
        <v>1693499424.0999999</v>
      </c>
      <c r="FE42" t="s">
        <v>552</v>
      </c>
      <c r="FF42">
        <v>1693499412.0999999</v>
      </c>
      <c r="FG42">
        <v>1693499424.0999999</v>
      </c>
      <c r="FH42">
        <v>29</v>
      </c>
      <c r="FI42">
        <v>0.154</v>
      </c>
      <c r="FJ42">
        <v>2E-3</v>
      </c>
      <c r="FK42">
        <v>1.913</v>
      </c>
      <c r="FL42">
        <v>0.60299999999999998</v>
      </c>
      <c r="FM42">
        <v>900</v>
      </c>
      <c r="FN42">
        <v>22</v>
      </c>
      <c r="FO42">
        <v>0.11</v>
      </c>
      <c r="FP42">
        <v>0.04</v>
      </c>
      <c r="FQ42">
        <v>48.530675385062082</v>
      </c>
      <c r="FR42">
        <v>0.53352577052775652</v>
      </c>
      <c r="FS42">
        <v>0.12503405912976881</v>
      </c>
      <c r="FT42">
        <v>1</v>
      </c>
      <c r="FU42">
        <v>0.39143315168070969</v>
      </c>
      <c r="FV42">
        <v>-4.8448486678556883E-2</v>
      </c>
      <c r="FW42">
        <v>3.7401814791217019E-3</v>
      </c>
      <c r="FX42">
        <v>1</v>
      </c>
      <c r="FY42">
        <v>2</v>
      </c>
      <c r="FZ42">
        <v>2</v>
      </c>
      <c r="GA42" t="s">
        <v>421</v>
      </c>
      <c r="GB42">
        <v>3.1186600000000002</v>
      </c>
      <c r="GC42">
        <v>2.86585</v>
      </c>
      <c r="GD42">
        <v>0.15843399999999999</v>
      </c>
      <c r="GE42">
        <v>0.170381</v>
      </c>
      <c r="GF42">
        <v>0.130272</v>
      </c>
      <c r="GG42">
        <v>0.115661</v>
      </c>
      <c r="GH42">
        <v>25572.400000000001</v>
      </c>
      <c r="GI42">
        <v>19502.400000000001</v>
      </c>
      <c r="GJ42">
        <v>29283.9</v>
      </c>
      <c r="GK42">
        <v>21903.1</v>
      </c>
      <c r="GL42">
        <v>34089.800000000003</v>
      </c>
      <c r="GM42">
        <v>26638.6</v>
      </c>
      <c r="GN42">
        <v>40635.9</v>
      </c>
      <c r="GO42">
        <v>31105.200000000001</v>
      </c>
      <c r="GP42">
        <v>2.0489000000000002</v>
      </c>
      <c r="GQ42">
        <v>1.9075</v>
      </c>
      <c r="GR42">
        <v>4.51207E-2</v>
      </c>
      <c r="GS42">
        <v>0</v>
      </c>
      <c r="GT42">
        <v>29.274699999999999</v>
      </c>
      <c r="GU42">
        <v>999.9</v>
      </c>
      <c r="GV42">
        <v>52.9</v>
      </c>
      <c r="GW42">
        <v>33.1</v>
      </c>
      <c r="GX42">
        <v>26.9575</v>
      </c>
      <c r="GY42">
        <v>61.755099999999999</v>
      </c>
      <c r="GZ42">
        <v>12.447900000000001</v>
      </c>
      <c r="HA42">
        <v>1</v>
      </c>
      <c r="HB42">
        <v>8.5823200000000002E-2</v>
      </c>
      <c r="HC42">
        <v>1.5668599999999999</v>
      </c>
      <c r="HD42">
        <v>20.328900000000001</v>
      </c>
      <c r="HE42">
        <v>5.2346599999999999</v>
      </c>
      <c r="HF42">
        <v>11.9734</v>
      </c>
      <c r="HG42">
        <v>4.9756</v>
      </c>
      <c r="HH42">
        <v>3.2833999999999999</v>
      </c>
      <c r="HI42">
        <v>9999</v>
      </c>
      <c r="HJ42">
        <v>9999</v>
      </c>
      <c r="HK42">
        <v>9999</v>
      </c>
      <c r="HL42">
        <v>999.9</v>
      </c>
      <c r="HM42">
        <v>1.8606</v>
      </c>
      <c r="HN42">
        <v>1.8622099999999999</v>
      </c>
      <c r="HO42">
        <v>1.86768</v>
      </c>
      <c r="HP42">
        <v>1.85822</v>
      </c>
      <c r="HQ42">
        <v>1.85669</v>
      </c>
      <c r="HR42">
        <v>1.8603499999999999</v>
      </c>
      <c r="HS42">
        <v>1.8643099999999999</v>
      </c>
      <c r="HT42">
        <v>1.8663000000000001</v>
      </c>
      <c r="HU42">
        <v>5</v>
      </c>
      <c r="HV42">
        <v>0</v>
      </c>
      <c r="HW42">
        <v>0</v>
      </c>
      <c r="HX42">
        <v>0</v>
      </c>
      <c r="HY42" t="s">
        <v>422</v>
      </c>
      <c r="HZ42" t="s">
        <v>423</v>
      </c>
      <c r="IA42" t="s">
        <v>424</v>
      </c>
      <c r="IB42" t="s">
        <v>424</v>
      </c>
      <c r="IC42" t="s">
        <v>424</v>
      </c>
      <c r="ID42" t="s">
        <v>424</v>
      </c>
      <c r="IE42">
        <v>0</v>
      </c>
      <c r="IF42">
        <v>100</v>
      </c>
      <c r="IG42">
        <v>100</v>
      </c>
      <c r="IH42">
        <v>1.9510000000000001</v>
      </c>
      <c r="II42">
        <v>0.95240000000000002</v>
      </c>
      <c r="IJ42">
        <v>1.878899531680654</v>
      </c>
      <c r="IK42">
        <v>1.118558698776514E-3</v>
      </c>
      <c r="IL42">
        <v>-1.6939696309573479E-6</v>
      </c>
      <c r="IM42">
        <v>5.4698917449866148E-10</v>
      </c>
      <c r="IN42">
        <v>5.8418137304093287E-2</v>
      </c>
      <c r="IO42">
        <v>-7.6058941998734366E-3</v>
      </c>
      <c r="IP42">
        <v>1.6984902717538061E-3</v>
      </c>
      <c r="IQ42">
        <v>-9.6352527008986976E-6</v>
      </c>
      <c r="IR42">
        <v>2</v>
      </c>
      <c r="IS42">
        <v>2021</v>
      </c>
      <c r="IT42">
        <v>2</v>
      </c>
      <c r="IU42">
        <v>40</v>
      </c>
      <c r="IV42">
        <v>0.8</v>
      </c>
      <c r="IW42">
        <v>0.6</v>
      </c>
      <c r="IX42">
        <v>2.0031699999999999</v>
      </c>
      <c r="IY42">
        <v>2.47559</v>
      </c>
      <c r="IZ42">
        <v>1.34399</v>
      </c>
      <c r="JA42">
        <v>2.2399900000000001</v>
      </c>
      <c r="JB42">
        <v>1.5918000000000001</v>
      </c>
      <c r="JC42">
        <v>2.3547400000000001</v>
      </c>
      <c r="JD42">
        <v>35.777700000000003</v>
      </c>
      <c r="JE42">
        <v>15.970800000000001</v>
      </c>
      <c r="JF42">
        <v>18</v>
      </c>
      <c r="JG42">
        <v>511.34199999999998</v>
      </c>
      <c r="JH42">
        <v>458.93</v>
      </c>
      <c r="JI42">
        <v>26.334</v>
      </c>
      <c r="JJ42">
        <v>28.7026</v>
      </c>
      <c r="JK42">
        <v>30.000499999999999</v>
      </c>
      <c r="JL42">
        <v>28.534500000000001</v>
      </c>
      <c r="JM42">
        <v>28.4819</v>
      </c>
      <c r="JN42">
        <v>40.187399999999997</v>
      </c>
      <c r="JO42">
        <v>24.514900000000001</v>
      </c>
      <c r="JP42">
        <v>74.547399999999996</v>
      </c>
      <c r="JQ42">
        <v>26.338100000000001</v>
      </c>
      <c r="JR42">
        <v>900</v>
      </c>
      <c r="JS42">
        <v>22.6739</v>
      </c>
      <c r="JT42">
        <v>99.838899999999995</v>
      </c>
      <c r="JU42">
        <v>98.295100000000005</v>
      </c>
    </row>
    <row r="43" spans="1:281" x14ac:dyDescent="0.25">
      <c r="A43">
        <v>27</v>
      </c>
      <c r="B43">
        <v>1693499573</v>
      </c>
      <c r="C43">
        <v>4646.4000000953674</v>
      </c>
      <c r="D43" t="s">
        <v>553</v>
      </c>
      <c r="E43" t="s">
        <v>554</v>
      </c>
      <c r="F43" t="s">
        <v>413</v>
      </c>
      <c r="G43" t="s">
        <v>493</v>
      </c>
      <c r="H43" t="s">
        <v>494</v>
      </c>
      <c r="I43" t="s">
        <v>31</v>
      </c>
      <c r="J43">
        <v>1693499573</v>
      </c>
      <c r="K43">
        <f t="shared" si="0"/>
        <v>5.0819811807899266E-3</v>
      </c>
      <c r="L43">
        <f t="shared" si="1"/>
        <v>5.0819811807899269</v>
      </c>
      <c r="M43">
        <f t="shared" si="2"/>
        <v>47.636539008810587</v>
      </c>
      <c r="N43">
        <f t="shared" si="3"/>
        <v>1136.01</v>
      </c>
      <c r="O43">
        <f t="shared" si="4"/>
        <v>894.43645468470208</v>
      </c>
      <c r="P43">
        <f t="shared" si="5"/>
        <v>89.259687259497099</v>
      </c>
      <c r="Q43">
        <f t="shared" si="6"/>
        <v>113.36735750490601</v>
      </c>
      <c r="R43">
        <f t="shared" si="7"/>
        <v>0.3706350479190173</v>
      </c>
      <c r="S43">
        <f t="shared" si="8"/>
        <v>2.9285625309614032</v>
      </c>
      <c r="T43">
        <f t="shared" si="9"/>
        <v>0.34640862733296668</v>
      </c>
      <c r="U43">
        <f t="shared" si="10"/>
        <v>0.21854994211206735</v>
      </c>
      <c r="V43">
        <f t="shared" si="11"/>
        <v>344.38209964469382</v>
      </c>
      <c r="W43">
        <f t="shared" si="12"/>
        <v>31.206936956943483</v>
      </c>
      <c r="X43">
        <f t="shared" si="13"/>
        <v>30.026199999999999</v>
      </c>
      <c r="Y43">
        <f t="shared" si="14"/>
        <v>4.2668655571199645</v>
      </c>
      <c r="Z43">
        <f t="shared" si="15"/>
        <v>65.122685522145957</v>
      </c>
      <c r="AA43">
        <f t="shared" si="16"/>
        <v>2.8550758807337604</v>
      </c>
      <c r="AB43">
        <f t="shared" si="17"/>
        <v>4.3841494831518411</v>
      </c>
      <c r="AC43">
        <f t="shared" si="18"/>
        <v>1.4117896763862041</v>
      </c>
      <c r="AD43">
        <f t="shared" si="19"/>
        <v>-224.11537007283576</v>
      </c>
      <c r="AE43">
        <f t="shared" si="20"/>
        <v>74.679445679027268</v>
      </c>
      <c r="AF43">
        <f t="shared" si="21"/>
        <v>5.6847981366761751</v>
      </c>
      <c r="AG43">
        <f t="shared" si="22"/>
        <v>200.63097338756154</v>
      </c>
      <c r="AH43">
        <v>0</v>
      </c>
      <c r="AI43">
        <v>0</v>
      </c>
      <c r="AJ43">
        <f t="shared" si="23"/>
        <v>1</v>
      </c>
      <c r="AK43">
        <f t="shared" si="24"/>
        <v>0</v>
      </c>
      <c r="AL43">
        <f t="shared" si="25"/>
        <v>52232.745301723808</v>
      </c>
      <c r="AM43" t="s">
        <v>416</v>
      </c>
      <c r="AN43">
        <v>10366.9</v>
      </c>
      <c r="AO43">
        <v>993.59653846153856</v>
      </c>
      <c r="AP43">
        <v>3431.87</v>
      </c>
      <c r="AQ43">
        <f t="shared" si="26"/>
        <v>0.71047955241266758</v>
      </c>
      <c r="AR43">
        <v>-3.9894345373445681</v>
      </c>
      <c r="AS43" t="s">
        <v>555</v>
      </c>
      <c r="AT43">
        <v>10387.700000000001</v>
      </c>
      <c r="AU43">
        <v>785.13423076923073</v>
      </c>
      <c r="AV43">
        <v>1194.71702051129</v>
      </c>
      <c r="AW43">
        <f t="shared" si="27"/>
        <v>0.34282828712591251</v>
      </c>
      <c r="AX43">
        <v>0.5</v>
      </c>
      <c r="AY43">
        <f t="shared" si="28"/>
        <v>1513.2431998223467</v>
      </c>
      <c r="AZ43">
        <f t="shared" si="29"/>
        <v>47.636539008810587</v>
      </c>
      <c r="BA43">
        <f t="shared" si="30"/>
        <v>259.39128710001506</v>
      </c>
      <c r="BB43">
        <f t="shared" si="31"/>
        <v>3.411611137734899E-2</v>
      </c>
      <c r="BC43">
        <f t="shared" si="32"/>
        <v>1.8725379659622663</v>
      </c>
      <c r="BD43">
        <f t="shared" si="33"/>
        <v>644.29805835371508</v>
      </c>
      <c r="BE43" t="s">
        <v>556</v>
      </c>
      <c r="BF43">
        <v>605.11</v>
      </c>
      <c r="BG43">
        <f t="shared" si="34"/>
        <v>605.11</v>
      </c>
      <c r="BH43">
        <f t="shared" si="35"/>
        <v>0.49351186129328128</v>
      </c>
      <c r="BI43">
        <f t="shared" si="36"/>
        <v>0.69467081546430887</v>
      </c>
      <c r="BJ43">
        <f t="shared" si="37"/>
        <v>0.79141949776023091</v>
      </c>
      <c r="BK43">
        <f t="shared" si="38"/>
        <v>2.0365046143870131</v>
      </c>
      <c r="BL43">
        <f t="shared" si="39"/>
        <v>0.91751520687804566</v>
      </c>
      <c r="BM43">
        <f t="shared" si="40"/>
        <v>0.53538903371181545</v>
      </c>
      <c r="BN43">
        <f t="shared" si="41"/>
        <v>0.46461096628818455</v>
      </c>
      <c r="BO43">
        <v>2201</v>
      </c>
      <c r="BP43">
        <v>290.00000000000011</v>
      </c>
      <c r="BQ43">
        <v>1078.26</v>
      </c>
      <c r="BR43">
        <v>205</v>
      </c>
      <c r="BS43">
        <v>10387.700000000001</v>
      </c>
      <c r="BT43">
        <v>1075.67</v>
      </c>
      <c r="BU43">
        <v>2.59</v>
      </c>
      <c r="BV43">
        <v>300.00000000000011</v>
      </c>
      <c r="BW43">
        <v>38.4</v>
      </c>
      <c r="BX43">
        <v>1194.71702051129</v>
      </c>
      <c r="BY43">
        <v>1.2018507082042249</v>
      </c>
      <c r="BZ43">
        <v>-123.6584873055193</v>
      </c>
      <c r="CA43">
        <v>1.0216992039243871</v>
      </c>
      <c r="CB43">
        <v>0.9980922258708419</v>
      </c>
      <c r="CC43">
        <v>-1.130329899888766E-2</v>
      </c>
      <c r="CD43">
        <v>289.99999999999989</v>
      </c>
      <c r="CE43">
        <v>1062.27</v>
      </c>
      <c r="CF43">
        <v>645</v>
      </c>
      <c r="CG43">
        <v>10367.799999999999</v>
      </c>
      <c r="CH43">
        <v>1075.45</v>
      </c>
      <c r="CI43">
        <v>-13.18</v>
      </c>
      <c r="CW43">
        <f t="shared" si="42"/>
        <v>1800.07</v>
      </c>
      <c r="CX43">
        <f t="shared" si="43"/>
        <v>1513.2431998223467</v>
      </c>
      <c r="CY43">
        <f t="shared" si="44"/>
        <v>0.84065797431341382</v>
      </c>
      <c r="CZ43">
        <f t="shared" si="45"/>
        <v>0.19131594862682777</v>
      </c>
      <c r="DA43">
        <v>6</v>
      </c>
      <c r="DB43">
        <v>0.5</v>
      </c>
      <c r="DC43" t="s">
        <v>419</v>
      </c>
      <c r="DD43">
        <v>2</v>
      </c>
      <c r="DE43">
        <v>1693499573</v>
      </c>
      <c r="DF43">
        <v>1136.01</v>
      </c>
      <c r="DG43">
        <v>1200.1199999999999</v>
      </c>
      <c r="DH43">
        <v>28.6096</v>
      </c>
      <c r="DI43">
        <v>22.684000000000001</v>
      </c>
      <c r="DJ43">
        <v>1134.1400000000001</v>
      </c>
      <c r="DK43">
        <v>27.674099999999999</v>
      </c>
      <c r="DL43">
        <v>499.85700000000003</v>
      </c>
      <c r="DM43">
        <v>99.694500000000005</v>
      </c>
      <c r="DN43">
        <v>9.9830600000000005E-2</v>
      </c>
      <c r="DO43">
        <v>30.499199999999998</v>
      </c>
      <c r="DP43">
        <v>30.026199999999999</v>
      </c>
      <c r="DQ43">
        <v>999.9</v>
      </c>
      <c r="DR43">
        <v>0</v>
      </c>
      <c r="DS43">
        <v>0</v>
      </c>
      <c r="DT43">
        <v>10025</v>
      </c>
      <c r="DU43">
        <v>0</v>
      </c>
      <c r="DV43">
        <v>1852.52</v>
      </c>
      <c r="DW43">
        <v>-64.105000000000004</v>
      </c>
      <c r="DX43">
        <v>1169.47</v>
      </c>
      <c r="DY43">
        <v>1227.97</v>
      </c>
      <c r="DZ43">
        <v>5.9256599999999997</v>
      </c>
      <c r="EA43">
        <v>1200.1199999999999</v>
      </c>
      <c r="EB43">
        <v>22.684000000000001</v>
      </c>
      <c r="EC43">
        <v>2.85222</v>
      </c>
      <c r="ED43">
        <v>2.2614700000000001</v>
      </c>
      <c r="EE43">
        <v>23.189499999999999</v>
      </c>
      <c r="EF43">
        <v>19.404499999999999</v>
      </c>
      <c r="EG43">
        <v>1800.07</v>
      </c>
      <c r="EH43">
        <v>0.97800600000000004</v>
      </c>
      <c r="EI43">
        <v>2.1993800000000001E-2</v>
      </c>
      <c r="EJ43">
        <v>0</v>
      </c>
      <c r="EK43">
        <v>784.72900000000004</v>
      </c>
      <c r="EL43">
        <v>5.0002700000000004</v>
      </c>
      <c r="EM43">
        <v>15062.2</v>
      </c>
      <c r="EN43">
        <v>16249.2</v>
      </c>
      <c r="EO43">
        <v>48.686999999999998</v>
      </c>
      <c r="EP43">
        <v>50.436999999999998</v>
      </c>
      <c r="EQ43">
        <v>49.875</v>
      </c>
      <c r="ER43">
        <v>49.311999999999998</v>
      </c>
      <c r="ES43">
        <v>50.375</v>
      </c>
      <c r="ET43">
        <v>1755.59</v>
      </c>
      <c r="EU43">
        <v>39.479999999999997</v>
      </c>
      <c r="EV43">
        <v>0</v>
      </c>
      <c r="EW43">
        <v>109.3999998569489</v>
      </c>
      <c r="EX43">
        <v>0</v>
      </c>
      <c r="EY43">
        <v>785.13423076923073</v>
      </c>
      <c r="EZ43">
        <v>-2.197128207218817</v>
      </c>
      <c r="FA43">
        <v>-46.420512741357811</v>
      </c>
      <c r="FB43">
        <v>15070.68461538462</v>
      </c>
      <c r="FC43">
        <v>15</v>
      </c>
      <c r="FD43">
        <v>1693499538</v>
      </c>
      <c r="FE43" t="s">
        <v>557</v>
      </c>
      <c r="FF43">
        <v>1693499535</v>
      </c>
      <c r="FG43">
        <v>1693499538</v>
      </c>
      <c r="FH43">
        <v>30</v>
      </c>
      <c r="FI43">
        <v>0.105</v>
      </c>
      <c r="FJ43">
        <v>-8.9999999999999993E-3</v>
      </c>
      <c r="FK43">
        <v>1.8320000000000001</v>
      </c>
      <c r="FL43">
        <v>0.59299999999999997</v>
      </c>
      <c r="FM43">
        <v>1200</v>
      </c>
      <c r="FN43">
        <v>22</v>
      </c>
      <c r="FO43">
        <v>0.11</v>
      </c>
      <c r="FP43">
        <v>0.04</v>
      </c>
      <c r="FQ43">
        <v>47.35479279304348</v>
      </c>
      <c r="FR43">
        <v>0.30839996902864109</v>
      </c>
      <c r="FS43">
        <v>0.14264253057860729</v>
      </c>
      <c r="FT43">
        <v>1</v>
      </c>
      <c r="FU43">
        <v>0.37630074974397948</v>
      </c>
      <c r="FV43">
        <v>-4.8727623912236742E-2</v>
      </c>
      <c r="FW43">
        <v>3.6628743525371531E-3</v>
      </c>
      <c r="FX43">
        <v>1</v>
      </c>
      <c r="FY43">
        <v>2</v>
      </c>
      <c r="FZ43">
        <v>2</v>
      </c>
      <c r="GA43" t="s">
        <v>421</v>
      </c>
      <c r="GB43">
        <v>3.1179299999999999</v>
      </c>
      <c r="GC43">
        <v>2.8652000000000002</v>
      </c>
      <c r="GD43">
        <v>0.19343199999999999</v>
      </c>
      <c r="GE43">
        <v>0.20480799999999999</v>
      </c>
      <c r="GF43">
        <v>0.12984699999999999</v>
      </c>
      <c r="GG43">
        <v>0.115705</v>
      </c>
      <c r="GH43">
        <v>24505.599999999999</v>
      </c>
      <c r="GI43">
        <v>18691.400000000001</v>
      </c>
      <c r="GJ43">
        <v>29279.5</v>
      </c>
      <c r="GK43">
        <v>21900.9</v>
      </c>
      <c r="GL43">
        <v>34107.300000000003</v>
      </c>
      <c r="GM43">
        <v>26638.5</v>
      </c>
      <c r="GN43">
        <v>40630.6</v>
      </c>
      <c r="GO43">
        <v>31103.3</v>
      </c>
      <c r="GP43">
        <v>2.0486</v>
      </c>
      <c r="GQ43">
        <v>1.9074</v>
      </c>
      <c r="GR43">
        <v>4.1186800000000003E-2</v>
      </c>
      <c r="GS43">
        <v>0</v>
      </c>
      <c r="GT43">
        <v>29.355699999999999</v>
      </c>
      <c r="GU43">
        <v>999.9</v>
      </c>
      <c r="GV43">
        <v>53.4</v>
      </c>
      <c r="GW43">
        <v>32.9</v>
      </c>
      <c r="GX43">
        <v>26.906500000000001</v>
      </c>
      <c r="GY43">
        <v>61.745100000000001</v>
      </c>
      <c r="GZ43">
        <v>12.660299999999999</v>
      </c>
      <c r="HA43">
        <v>1</v>
      </c>
      <c r="HB43">
        <v>9.3871999999999997E-2</v>
      </c>
      <c r="HC43">
        <v>1.74248</v>
      </c>
      <c r="HD43">
        <v>20.327000000000002</v>
      </c>
      <c r="HE43">
        <v>5.2352600000000002</v>
      </c>
      <c r="HF43">
        <v>11.974</v>
      </c>
      <c r="HG43">
        <v>4.9753999999999996</v>
      </c>
      <c r="HH43">
        <v>3.2839999999999998</v>
      </c>
      <c r="HI43">
        <v>9999</v>
      </c>
      <c r="HJ43">
        <v>9999</v>
      </c>
      <c r="HK43">
        <v>9999</v>
      </c>
      <c r="HL43">
        <v>999.9</v>
      </c>
      <c r="HM43">
        <v>1.8606</v>
      </c>
      <c r="HN43">
        <v>1.8622000000000001</v>
      </c>
      <c r="HO43">
        <v>1.86768</v>
      </c>
      <c r="HP43">
        <v>1.85822</v>
      </c>
      <c r="HQ43">
        <v>1.8566400000000001</v>
      </c>
      <c r="HR43">
        <v>1.8603499999999999</v>
      </c>
      <c r="HS43">
        <v>1.86425</v>
      </c>
      <c r="HT43">
        <v>1.8663000000000001</v>
      </c>
      <c r="HU43">
        <v>5</v>
      </c>
      <c r="HV43">
        <v>0</v>
      </c>
      <c r="HW43">
        <v>0</v>
      </c>
      <c r="HX43">
        <v>0</v>
      </c>
      <c r="HY43" t="s">
        <v>422</v>
      </c>
      <c r="HZ43" t="s">
        <v>423</v>
      </c>
      <c r="IA43" t="s">
        <v>424</v>
      </c>
      <c r="IB43" t="s">
        <v>424</v>
      </c>
      <c r="IC43" t="s">
        <v>424</v>
      </c>
      <c r="ID43" t="s">
        <v>424</v>
      </c>
      <c r="IE43">
        <v>0</v>
      </c>
      <c r="IF43">
        <v>100</v>
      </c>
      <c r="IG43">
        <v>100</v>
      </c>
      <c r="IH43">
        <v>1.87</v>
      </c>
      <c r="II43">
        <v>0.9355</v>
      </c>
      <c r="IJ43">
        <v>1.982895343311893</v>
      </c>
      <c r="IK43">
        <v>1.118558698776514E-3</v>
      </c>
      <c r="IL43">
        <v>-1.6939696309573479E-6</v>
      </c>
      <c r="IM43">
        <v>5.4698917449866148E-10</v>
      </c>
      <c r="IN43">
        <v>4.9435274968473109E-2</v>
      </c>
      <c r="IO43">
        <v>-7.6058941998734366E-3</v>
      </c>
      <c r="IP43">
        <v>1.6984902717538061E-3</v>
      </c>
      <c r="IQ43">
        <v>-9.6352527008986976E-6</v>
      </c>
      <c r="IR43">
        <v>2</v>
      </c>
      <c r="IS43">
        <v>2021</v>
      </c>
      <c r="IT43">
        <v>2</v>
      </c>
      <c r="IU43">
        <v>40</v>
      </c>
      <c r="IV43">
        <v>0.6</v>
      </c>
      <c r="IW43">
        <v>0.6</v>
      </c>
      <c r="IX43">
        <v>2.5415000000000001</v>
      </c>
      <c r="IY43">
        <v>2.4841299999999999</v>
      </c>
      <c r="IZ43">
        <v>1.34399</v>
      </c>
      <c r="JA43">
        <v>2.2399900000000001</v>
      </c>
      <c r="JB43">
        <v>1.5918000000000001</v>
      </c>
      <c r="JC43">
        <v>2.4047900000000002</v>
      </c>
      <c r="JD43">
        <v>35.6845</v>
      </c>
      <c r="JE43">
        <v>15.970800000000001</v>
      </c>
      <c r="JF43">
        <v>18</v>
      </c>
      <c r="JG43">
        <v>511.85399999999998</v>
      </c>
      <c r="JH43">
        <v>459.53500000000003</v>
      </c>
      <c r="JI43">
        <v>26.184000000000001</v>
      </c>
      <c r="JJ43">
        <v>28.797499999999999</v>
      </c>
      <c r="JK43">
        <v>30.000800000000002</v>
      </c>
      <c r="JL43">
        <v>28.6099</v>
      </c>
      <c r="JM43">
        <v>28.557099999999998</v>
      </c>
      <c r="JN43">
        <v>50.937600000000003</v>
      </c>
      <c r="JO43">
        <v>24.975200000000001</v>
      </c>
      <c r="JP43">
        <v>75.091099999999997</v>
      </c>
      <c r="JQ43">
        <v>26.192299999999999</v>
      </c>
      <c r="JR43">
        <v>1200</v>
      </c>
      <c r="JS43">
        <v>22.7136</v>
      </c>
      <c r="JT43">
        <v>99.825000000000003</v>
      </c>
      <c r="JU43">
        <v>98.287199999999999</v>
      </c>
    </row>
    <row r="44" spans="1:281" x14ac:dyDescent="0.25">
      <c r="A44">
        <v>28</v>
      </c>
      <c r="B44">
        <v>1693499703</v>
      </c>
      <c r="C44">
        <v>4776.4000000953674</v>
      </c>
      <c r="D44" t="s">
        <v>558</v>
      </c>
      <c r="E44" t="s">
        <v>559</v>
      </c>
      <c r="F44" t="s">
        <v>413</v>
      </c>
      <c r="G44" t="s">
        <v>493</v>
      </c>
      <c r="H44" t="s">
        <v>494</v>
      </c>
      <c r="I44" t="s">
        <v>31</v>
      </c>
      <c r="J44">
        <v>1693499703</v>
      </c>
      <c r="K44">
        <f t="shared" si="0"/>
        <v>4.7722643544391386E-3</v>
      </c>
      <c r="L44">
        <f t="shared" si="1"/>
        <v>4.7722643544391383</v>
      </c>
      <c r="M44">
        <f t="shared" si="2"/>
        <v>46.489800814724788</v>
      </c>
      <c r="N44">
        <f t="shared" si="3"/>
        <v>1435.87</v>
      </c>
      <c r="O44">
        <f t="shared" si="4"/>
        <v>1180.340920476742</v>
      </c>
      <c r="P44">
        <f t="shared" si="5"/>
        <v>117.78744682859048</v>
      </c>
      <c r="Q44">
        <f t="shared" si="6"/>
        <v>143.28695916893003</v>
      </c>
      <c r="R44">
        <f t="shared" si="7"/>
        <v>0.34885324952099089</v>
      </c>
      <c r="S44">
        <f t="shared" si="8"/>
        <v>2.9223650815759177</v>
      </c>
      <c r="T44">
        <f t="shared" si="9"/>
        <v>0.32725920096416006</v>
      </c>
      <c r="U44">
        <f t="shared" si="10"/>
        <v>0.20636565502779852</v>
      </c>
      <c r="V44">
        <f t="shared" si="11"/>
        <v>344.37449964468595</v>
      </c>
      <c r="W44">
        <f t="shared" si="12"/>
        <v>31.118715720048087</v>
      </c>
      <c r="X44">
        <f t="shared" si="13"/>
        <v>29.8871</v>
      </c>
      <c r="Y44">
        <f t="shared" si="14"/>
        <v>4.2328992008518664</v>
      </c>
      <c r="Z44">
        <f t="shared" si="15"/>
        <v>65.164172611520883</v>
      </c>
      <c r="AA44">
        <f t="shared" si="16"/>
        <v>2.8291857257928998</v>
      </c>
      <c r="AB44">
        <f t="shared" si="17"/>
        <v>4.3416276343432099</v>
      </c>
      <c r="AC44">
        <f t="shared" si="18"/>
        <v>1.4037134750589666</v>
      </c>
      <c r="AD44">
        <f t="shared" si="19"/>
        <v>-210.45685803076603</v>
      </c>
      <c r="AE44">
        <f t="shared" si="20"/>
        <v>69.621586400213303</v>
      </c>
      <c r="AF44">
        <f t="shared" si="21"/>
        <v>5.3028982642563571</v>
      </c>
      <c r="AG44">
        <f t="shared" si="22"/>
        <v>208.84212627838963</v>
      </c>
      <c r="AH44">
        <v>0</v>
      </c>
      <c r="AI44">
        <v>0</v>
      </c>
      <c r="AJ44">
        <f t="shared" si="23"/>
        <v>1</v>
      </c>
      <c r="AK44">
        <f t="shared" si="24"/>
        <v>0</v>
      </c>
      <c r="AL44">
        <f t="shared" si="25"/>
        <v>52085.085034766118</v>
      </c>
      <c r="AM44" t="s">
        <v>416</v>
      </c>
      <c r="AN44">
        <v>10366.9</v>
      </c>
      <c r="AO44">
        <v>993.59653846153856</v>
      </c>
      <c r="AP44">
        <v>3431.87</v>
      </c>
      <c r="AQ44">
        <f t="shared" si="26"/>
        <v>0.71047955241266758</v>
      </c>
      <c r="AR44">
        <v>-3.9894345373445681</v>
      </c>
      <c r="AS44" t="s">
        <v>560</v>
      </c>
      <c r="AT44">
        <v>10381.1</v>
      </c>
      <c r="AU44">
        <v>779.55992000000003</v>
      </c>
      <c r="AV44">
        <v>1189.0527695862479</v>
      </c>
      <c r="AW44">
        <f t="shared" si="27"/>
        <v>0.34438576660372966</v>
      </c>
      <c r="AX44">
        <v>0.5</v>
      </c>
      <c r="AY44">
        <f t="shared" si="28"/>
        <v>1513.2095998223431</v>
      </c>
      <c r="AZ44">
        <f t="shared" si="29"/>
        <v>46.489800814724788</v>
      </c>
      <c r="BA44">
        <f t="shared" si="30"/>
        <v>260.5639240334703</v>
      </c>
      <c r="BB44">
        <f t="shared" si="31"/>
        <v>3.3359050430287925E-2</v>
      </c>
      <c r="BC44">
        <f t="shared" si="32"/>
        <v>1.886221779033558</v>
      </c>
      <c r="BD44">
        <f t="shared" si="33"/>
        <v>642.64710166424265</v>
      </c>
      <c r="BE44" t="s">
        <v>561</v>
      </c>
      <c r="BF44">
        <v>600.59</v>
      </c>
      <c r="BG44">
        <f t="shared" si="34"/>
        <v>600.59</v>
      </c>
      <c r="BH44">
        <f t="shared" si="35"/>
        <v>0.49490046584813385</v>
      </c>
      <c r="BI44">
        <f t="shared" si="36"/>
        <v>0.69586874607915306</v>
      </c>
      <c r="BJ44">
        <f t="shared" si="37"/>
        <v>0.79215663248204071</v>
      </c>
      <c r="BK44">
        <f t="shared" si="38"/>
        <v>2.0950616269939948</v>
      </c>
      <c r="BL44">
        <f t="shared" si="39"/>
        <v>0.91983826498222898</v>
      </c>
      <c r="BM44">
        <f t="shared" si="40"/>
        <v>0.53611249050320409</v>
      </c>
      <c r="BN44">
        <f t="shared" si="41"/>
        <v>0.46388750949679591</v>
      </c>
      <c r="BO44">
        <v>2203</v>
      </c>
      <c r="BP44">
        <v>290.00000000000011</v>
      </c>
      <c r="BQ44">
        <v>1071.4000000000001</v>
      </c>
      <c r="BR44">
        <v>245</v>
      </c>
      <c r="BS44">
        <v>10381.1</v>
      </c>
      <c r="BT44">
        <v>1070.23</v>
      </c>
      <c r="BU44">
        <v>1.17</v>
      </c>
      <c r="BV44">
        <v>300.00000000000011</v>
      </c>
      <c r="BW44">
        <v>38.4</v>
      </c>
      <c r="BX44">
        <v>1189.0527695862479</v>
      </c>
      <c r="BY44">
        <v>1.060129108357591</v>
      </c>
      <c r="BZ44">
        <v>-123.3535560456581</v>
      </c>
      <c r="CA44">
        <v>0.90115569713270338</v>
      </c>
      <c r="CB44">
        <v>0.99850787281659126</v>
      </c>
      <c r="CC44">
        <v>-1.130240467185761E-2</v>
      </c>
      <c r="CD44">
        <v>289.99999999999989</v>
      </c>
      <c r="CE44">
        <v>1056.95</v>
      </c>
      <c r="CF44">
        <v>645</v>
      </c>
      <c r="CG44">
        <v>10367</v>
      </c>
      <c r="CH44">
        <v>1070.07</v>
      </c>
      <c r="CI44">
        <v>-13.12</v>
      </c>
      <c r="CW44">
        <f t="shared" si="42"/>
        <v>1800.03</v>
      </c>
      <c r="CX44">
        <f t="shared" si="43"/>
        <v>1513.2095998223431</v>
      </c>
      <c r="CY44">
        <f t="shared" si="44"/>
        <v>0.84065798893481947</v>
      </c>
      <c r="CZ44">
        <f t="shared" si="45"/>
        <v>0.19131597786963883</v>
      </c>
      <c r="DA44">
        <v>6</v>
      </c>
      <c r="DB44">
        <v>0.5</v>
      </c>
      <c r="DC44" t="s">
        <v>419</v>
      </c>
      <c r="DD44">
        <v>2</v>
      </c>
      <c r="DE44">
        <v>1693499703</v>
      </c>
      <c r="DF44">
        <v>1435.87</v>
      </c>
      <c r="DG44">
        <v>1499.85</v>
      </c>
      <c r="DH44">
        <v>28.351099999999999</v>
      </c>
      <c r="DI44">
        <v>22.789400000000001</v>
      </c>
      <c r="DJ44">
        <v>1433.98</v>
      </c>
      <c r="DK44">
        <v>27.4236</v>
      </c>
      <c r="DL44">
        <v>500.23899999999998</v>
      </c>
      <c r="DM44">
        <v>99.690700000000007</v>
      </c>
      <c r="DN44">
        <v>0.100339</v>
      </c>
      <c r="DO44">
        <v>30.329000000000001</v>
      </c>
      <c r="DP44">
        <v>29.8871</v>
      </c>
      <c r="DQ44">
        <v>999.9</v>
      </c>
      <c r="DR44">
        <v>0</v>
      </c>
      <c r="DS44">
        <v>0</v>
      </c>
      <c r="DT44">
        <v>9990</v>
      </c>
      <c r="DU44">
        <v>0</v>
      </c>
      <c r="DV44">
        <v>1857.68</v>
      </c>
      <c r="DW44">
        <v>-63.977699999999999</v>
      </c>
      <c r="DX44">
        <v>1477.76</v>
      </c>
      <c r="DY44">
        <v>1534.82</v>
      </c>
      <c r="DZ44">
        <v>5.5616700000000003</v>
      </c>
      <c r="EA44">
        <v>1499.85</v>
      </c>
      <c r="EB44">
        <v>22.789400000000001</v>
      </c>
      <c r="EC44">
        <v>2.8263400000000001</v>
      </c>
      <c r="ED44">
        <v>2.27189</v>
      </c>
      <c r="EE44">
        <v>23.038699999999999</v>
      </c>
      <c r="EF44">
        <v>19.4785</v>
      </c>
      <c r="EG44">
        <v>1800.03</v>
      </c>
      <c r="EH44">
        <v>0.97800600000000004</v>
      </c>
      <c r="EI44">
        <v>2.1993800000000001E-2</v>
      </c>
      <c r="EJ44">
        <v>0</v>
      </c>
      <c r="EK44">
        <v>779.15800000000002</v>
      </c>
      <c r="EL44">
        <v>5.0002700000000004</v>
      </c>
      <c r="EM44">
        <v>14971.5</v>
      </c>
      <c r="EN44">
        <v>16248.9</v>
      </c>
      <c r="EO44">
        <v>48.75</v>
      </c>
      <c r="EP44">
        <v>50.561999999999998</v>
      </c>
      <c r="EQ44">
        <v>49.936999999999998</v>
      </c>
      <c r="ER44">
        <v>49.311999999999998</v>
      </c>
      <c r="ES44">
        <v>50.375</v>
      </c>
      <c r="ET44">
        <v>1755.55</v>
      </c>
      <c r="EU44">
        <v>39.479999999999997</v>
      </c>
      <c r="EV44">
        <v>0</v>
      </c>
      <c r="EW44">
        <v>128</v>
      </c>
      <c r="EX44">
        <v>0</v>
      </c>
      <c r="EY44">
        <v>779.55992000000003</v>
      </c>
      <c r="EZ44">
        <v>-2.0582307724617821</v>
      </c>
      <c r="FA44">
        <v>-63.70769203586255</v>
      </c>
      <c r="FB44">
        <v>14977.088</v>
      </c>
      <c r="FC44">
        <v>15</v>
      </c>
      <c r="FD44">
        <v>1693499653</v>
      </c>
      <c r="FE44" t="s">
        <v>562</v>
      </c>
      <c r="FF44">
        <v>1693499651.5</v>
      </c>
      <c r="FG44">
        <v>1693499653</v>
      </c>
      <c r="FH44">
        <v>31</v>
      </c>
      <c r="FI44">
        <v>0.17499999999999999</v>
      </c>
      <c r="FJ44">
        <v>8.0000000000000002E-3</v>
      </c>
      <c r="FK44">
        <v>1.87</v>
      </c>
      <c r="FL44">
        <v>0.60599999999999998</v>
      </c>
      <c r="FM44">
        <v>1501</v>
      </c>
      <c r="FN44">
        <v>23</v>
      </c>
      <c r="FO44">
        <v>0.13</v>
      </c>
      <c r="FP44">
        <v>0.03</v>
      </c>
      <c r="FQ44">
        <v>46.657343148399043</v>
      </c>
      <c r="FR44">
        <v>0.34033458952955359</v>
      </c>
      <c r="FS44">
        <v>0.16854288331285411</v>
      </c>
      <c r="FT44">
        <v>1</v>
      </c>
      <c r="FU44">
        <v>0.35037417059916898</v>
      </c>
      <c r="FV44">
        <v>-3.1560392473308073E-2</v>
      </c>
      <c r="FW44">
        <v>2.6118238665622131E-3</v>
      </c>
      <c r="FX44">
        <v>1</v>
      </c>
      <c r="FY44">
        <v>2</v>
      </c>
      <c r="FZ44">
        <v>2</v>
      </c>
      <c r="GA44" t="s">
        <v>421</v>
      </c>
      <c r="GB44">
        <v>3.1183900000000002</v>
      </c>
      <c r="GC44">
        <v>2.8654099999999998</v>
      </c>
      <c r="GD44">
        <v>0.223824</v>
      </c>
      <c r="GE44">
        <v>0.234764</v>
      </c>
      <c r="GF44">
        <v>0.128997</v>
      </c>
      <c r="GG44">
        <v>0.11605799999999999</v>
      </c>
      <c r="GH44">
        <v>23580.3</v>
      </c>
      <c r="GI44">
        <v>17986.3</v>
      </c>
      <c r="GJ44">
        <v>29276.5</v>
      </c>
      <c r="GK44">
        <v>21899</v>
      </c>
      <c r="GL44">
        <v>34142.400000000001</v>
      </c>
      <c r="GM44">
        <v>26628.400000000001</v>
      </c>
      <c r="GN44">
        <v>40626.300000000003</v>
      </c>
      <c r="GO44">
        <v>31101</v>
      </c>
      <c r="GP44">
        <v>2.0478999999999998</v>
      </c>
      <c r="GQ44">
        <v>1.9093</v>
      </c>
      <c r="GR44">
        <v>4.8726800000000001E-2</v>
      </c>
      <c r="GS44">
        <v>0</v>
      </c>
      <c r="GT44">
        <v>29.093499999999999</v>
      </c>
      <c r="GU44">
        <v>999.9</v>
      </c>
      <c r="GV44">
        <v>54</v>
      </c>
      <c r="GW44">
        <v>32.700000000000003</v>
      </c>
      <c r="GX44">
        <v>26.908799999999999</v>
      </c>
      <c r="GY44">
        <v>62.065100000000001</v>
      </c>
      <c r="GZ44">
        <v>12.223599999999999</v>
      </c>
      <c r="HA44">
        <v>1</v>
      </c>
      <c r="HB44">
        <v>9.5833299999999996E-2</v>
      </c>
      <c r="HC44">
        <v>0.72174300000000002</v>
      </c>
      <c r="HD44">
        <v>20.3353</v>
      </c>
      <c r="HE44">
        <v>5.2346599999999999</v>
      </c>
      <c r="HF44">
        <v>11.974</v>
      </c>
      <c r="HG44">
        <v>4.9744000000000002</v>
      </c>
      <c r="HH44">
        <v>3.2833999999999999</v>
      </c>
      <c r="HI44">
        <v>9999</v>
      </c>
      <c r="HJ44">
        <v>9999</v>
      </c>
      <c r="HK44">
        <v>9999</v>
      </c>
      <c r="HL44">
        <v>999.9</v>
      </c>
      <c r="HM44">
        <v>1.86052</v>
      </c>
      <c r="HN44">
        <v>1.8621799999999999</v>
      </c>
      <c r="HO44">
        <v>1.86768</v>
      </c>
      <c r="HP44">
        <v>1.85822</v>
      </c>
      <c r="HQ44">
        <v>1.85666</v>
      </c>
      <c r="HR44">
        <v>1.8603499999999999</v>
      </c>
      <c r="HS44">
        <v>1.8642000000000001</v>
      </c>
      <c r="HT44">
        <v>1.8662799999999999</v>
      </c>
      <c r="HU44">
        <v>5</v>
      </c>
      <c r="HV44">
        <v>0</v>
      </c>
      <c r="HW44">
        <v>0</v>
      </c>
      <c r="HX44">
        <v>0</v>
      </c>
      <c r="HY44" t="s">
        <v>422</v>
      </c>
      <c r="HZ44" t="s">
        <v>423</v>
      </c>
      <c r="IA44" t="s">
        <v>424</v>
      </c>
      <c r="IB44" t="s">
        <v>424</v>
      </c>
      <c r="IC44" t="s">
        <v>424</v>
      </c>
      <c r="ID44" t="s">
        <v>424</v>
      </c>
      <c r="IE44">
        <v>0</v>
      </c>
      <c r="IF44">
        <v>100</v>
      </c>
      <c r="IG44">
        <v>100</v>
      </c>
      <c r="IH44">
        <v>1.89</v>
      </c>
      <c r="II44">
        <v>0.92749999999999999</v>
      </c>
      <c r="IJ44">
        <v>2.1571707273916112</v>
      </c>
      <c r="IK44">
        <v>1.118558698776514E-3</v>
      </c>
      <c r="IL44">
        <v>-1.6939696309573479E-6</v>
      </c>
      <c r="IM44">
        <v>5.4698917449866148E-10</v>
      </c>
      <c r="IN44">
        <v>5.7380223507720977E-2</v>
      </c>
      <c r="IO44">
        <v>-7.6058941998734366E-3</v>
      </c>
      <c r="IP44">
        <v>1.6984902717538061E-3</v>
      </c>
      <c r="IQ44">
        <v>-9.6352527008986976E-6</v>
      </c>
      <c r="IR44">
        <v>2</v>
      </c>
      <c r="IS44">
        <v>2021</v>
      </c>
      <c r="IT44">
        <v>2</v>
      </c>
      <c r="IU44">
        <v>40</v>
      </c>
      <c r="IV44">
        <v>0.9</v>
      </c>
      <c r="IW44">
        <v>0.8</v>
      </c>
      <c r="IX44">
        <v>3.0529799999999998</v>
      </c>
      <c r="IY44">
        <v>2.48291</v>
      </c>
      <c r="IZ44">
        <v>1.34399</v>
      </c>
      <c r="JA44">
        <v>2.2399900000000001</v>
      </c>
      <c r="JB44">
        <v>1.5918000000000001</v>
      </c>
      <c r="JC44">
        <v>2.2705099999999998</v>
      </c>
      <c r="JD44">
        <v>35.591500000000003</v>
      </c>
      <c r="JE44">
        <v>15.9533</v>
      </c>
      <c r="JF44">
        <v>18</v>
      </c>
      <c r="JG44">
        <v>512.03899999999999</v>
      </c>
      <c r="JH44">
        <v>461.38799999999998</v>
      </c>
      <c r="JI44">
        <v>26.799499999999998</v>
      </c>
      <c r="JJ44">
        <v>28.867599999999999</v>
      </c>
      <c r="JK44">
        <v>30</v>
      </c>
      <c r="JL44">
        <v>28.6782</v>
      </c>
      <c r="JM44">
        <v>28.622699999999998</v>
      </c>
      <c r="JN44">
        <v>61.162700000000001</v>
      </c>
      <c r="JO44">
        <v>24.4939</v>
      </c>
      <c r="JP44">
        <v>75.868300000000005</v>
      </c>
      <c r="JQ44">
        <v>26.816400000000002</v>
      </c>
      <c r="JR44">
        <v>1500</v>
      </c>
      <c r="JS44">
        <v>22.8416</v>
      </c>
      <c r="JT44">
        <v>99.814700000000002</v>
      </c>
      <c r="JU44">
        <v>98.279600000000002</v>
      </c>
    </row>
    <row r="45" spans="1:281" x14ac:dyDescent="0.25">
      <c r="A45">
        <v>29</v>
      </c>
      <c r="B45">
        <v>1693501556.5999999</v>
      </c>
      <c r="C45">
        <v>6630</v>
      </c>
      <c r="D45" t="s">
        <v>563</v>
      </c>
      <c r="E45" t="s">
        <v>564</v>
      </c>
      <c r="F45" t="s">
        <v>413</v>
      </c>
      <c r="G45" t="s">
        <v>565</v>
      </c>
      <c r="H45" t="s">
        <v>31</v>
      </c>
      <c r="I45">
        <v>3</v>
      </c>
      <c r="J45">
        <v>1693501556.5999999</v>
      </c>
      <c r="K45">
        <f t="shared" si="0"/>
        <v>4.0825416584484879E-3</v>
      </c>
      <c r="L45">
        <f t="shared" si="1"/>
        <v>4.0825416584484877</v>
      </c>
      <c r="M45">
        <f t="shared" si="2"/>
        <v>38.128749554230438</v>
      </c>
      <c r="N45">
        <f t="shared" si="3"/>
        <v>352.52800000000002</v>
      </c>
      <c r="O45">
        <f t="shared" si="4"/>
        <v>131.52097246539893</v>
      </c>
      <c r="P45">
        <f t="shared" si="5"/>
        <v>13.123094162779241</v>
      </c>
      <c r="Q45">
        <f t="shared" si="6"/>
        <v>35.175060313923204</v>
      </c>
      <c r="R45">
        <f t="shared" si="7"/>
        <v>0.29678601248161274</v>
      </c>
      <c r="S45">
        <f t="shared" si="8"/>
        <v>2.9296350219655563</v>
      </c>
      <c r="T45">
        <f t="shared" si="9"/>
        <v>0.2810372609611152</v>
      </c>
      <c r="U45">
        <f t="shared" si="10"/>
        <v>0.17699357815902872</v>
      </c>
      <c r="V45">
        <f t="shared" si="11"/>
        <v>344.39089964452177</v>
      </c>
      <c r="W45">
        <f t="shared" si="12"/>
        <v>31.42216054071131</v>
      </c>
      <c r="X45">
        <f t="shared" si="13"/>
        <v>29.9541</v>
      </c>
      <c r="Y45">
        <f t="shared" si="14"/>
        <v>4.2492301699138366</v>
      </c>
      <c r="Z45">
        <f t="shared" si="15"/>
        <v>65.201060159216453</v>
      </c>
      <c r="AA45">
        <f t="shared" si="16"/>
        <v>2.85133831512616</v>
      </c>
      <c r="AB45">
        <f t="shared" si="17"/>
        <v>4.3731471668764135</v>
      </c>
      <c r="AC45">
        <f t="shared" si="18"/>
        <v>1.3978918547876766</v>
      </c>
      <c r="AD45">
        <f t="shared" si="19"/>
        <v>-180.04008713757833</v>
      </c>
      <c r="AE45">
        <f t="shared" si="20"/>
        <v>79.160772632068714</v>
      </c>
      <c r="AF45">
        <f t="shared" si="21"/>
        <v>6.0202676178837322</v>
      </c>
      <c r="AG45">
        <f t="shared" si="22"/>
        <v>249.53185275689589</v>
      </c>
      <c r="AH45">
        <v>0</v>
      </c>
      <c r="AI45">
        <v>0</v>
      </c>
      <c r="AJ45">
        <f t="shared" si="23"/>
        <v>1</v>
      </c>
      <c r="AK45">
        <f t="shared" si="24"/>
        <v>0</v>
      </c>
      <c r="AL45">
        <f t="shared" si="25"/>
        <v>52270.627621977183</v>
      </c>
      <c r="AM45" t="s">
        <v>416</v>
      </c>
      <c r="AN45">
        <v>10366.9</v>
      </c>
      <c r="AO45">
        <v>993.59653846153856</v>
      </c>
      <c r="AP45">
        <v>3431.87</v>
      </c>
      <c r="AQ45">
        <f t="shared" si="26"/>
        <v>0.71047955241266758</v>
      </c>
      <c r="AR45">
        <v>-3.9894345373445681</v>
      </c>
      <c r="AS45" t="s">
        <v>566</v>
      </c>
      <c r="AT45">
        <v>10369.6</v>
      </c>
      <c r="AU45">
        <v>828.13588461538473</v>
      </c>
      <c r="AV45">
        <v>1129.9032567025549</v>
      </c>
      <c r="AW45">
        <f t="shared" si="27"/>
        <v>0.26707363687740038</v>
      </c>
      <c r="AX45">
        <v>0.5</v>
      </c>
      <c r="AY45">
        <f t="shared" si="28"/>
        <v>1513.2773998222608</v>
      </c>
      <c r="AZ45">
        <f t="shared" si="29"/>
        <v>38.128749554230438</v>
      </c>
      <c r="BA45">
        <f t="shared" si="30"/>
        <v>202.07824938745355</v>
      </c>
      <c r="BB45">
        <f t="shared" si="31"/>
        <v>2.783242787906693E-2</v>
      </c>
      <c r="BC45">
        <f t="shared" si="32"/>
        <v>2.0373131324670863</v>
      </c>
      <c r="BD45">
        <f t="shared" si="33"/>
        <v>624.96487530394563</v>
      </c>
      <c r="BE45" t="s">
        <v>567</v>
      </c>
      <c r="BF45">
        <v>613.63</v>
      </c>
      <c r="BG45">
        <f t="shared" si="34"/>
        <v>613.63</v>
      </c>
      <c r="BH45">
        <f t="shared" si="35"/>
        <v>0.45691810660783228</v>
      </c>
      <c r="BI45">
        <f t="shared" si="36"/>
        <v>0.58451095068251835</v>
      </c>
      <c r="BJ45">
        <f t="shared" si="37"/>
        <v>0.81681004573685878</v>
      </c>
      <c r="BK45">
        <f t="shared" si="38"/>
        <v>2.2138848031950098</v>
      </c>
      <c r="BL45">
        <f t="shared" si="39"/>
        <v>0.94409703407303125</v>
      </c>
      <c r="BM45">
        <f t="shared" si="40"/>
        <v>0.43310942241549427</v>
      </c>
      <c r="BN45">
        <f t="shared" si="41"/>
        <v>0.56689057758450567</v>
      </c>
      <c r="BO45">
        <v>2205</v>
      </c>
      <c r="BP45">
        <v>290.00000000000011</v>
      </c>
      <c r="BQ45">
        <v>1050.54</v>
      </c>
      <c r="BR45">
        <v>195</v>
      </c>
      <c r="BS45">
        <v>10369.6</v>
      </c>
      <c r="BT45">
        <v>1049.29</v>
      </c>
      <c r="BU45">
        <v>1.25</v>
      </c>
      <c r="BV45">
        <v>300.00000000000011</v>
      </c>
      <c r="BW45">
        <v>38.4</v>
      </c>
      <c r="BX45">
        <v>1129.9032567025549</v>
      </c>
      <c r="BY45">
        <v>1.1510715467752231</v>
      </c>
      <c r="BZ45">
        <v>-83.594482059133099</v>
      </c>
      <c r="CA45">
        <v>0.97675303803475455</v>
      </c>
      <c r="CB45">
        <v>0.99619183874911721</v>
      </c>
      <c r="CC45">
        <v>-1.1281476307007789E-2</v>
      </c>
      <c r="CD45">
        <v>289.99999999999989</v>
      </c>
      <c r="CE45">
        <v>1044.08</v>
      </c>
      <c r="CF45">
        <v>685</v>
      </c>
      <c r="CG45">
        <v>10345.200000000001</v>
      </c>
      <c r="CH45">
        <v>1049.0999999999999</v>
      </c>
      <c r="CI45">
        <v>-5.0199999999999996</v>
      </c>
      <c r="CW45">
        <f t="shared" si="42"/>
        <v>1800.11</v>
      </c>
      <c r="CX45">
        <f t="shared" si="43"/>
        <v>1513.2773998222608</v>
      </c>
      <c r="CY45">
        <f t="shared" si="44"/>
        <v>0.84065829300557238</v>
      </c>
      <c r="CZ45">
        <f t="shared" si="45"/>
        <v>0.19131658601114476</v>
      </c>
      <c r="DA45">
        <v>6</v>
      </c>
      <c r="DB45">
        <v>0.5</v>
      </c>
      <c r="DC45" t="s">
        <v>419</v>
      </c>
      <c r="DD45">
        <v>2</v>
      </c>
      <c r="DE45">
        <v>1693501556.5999999</v>
      </c>
      <c r="DF45">
        <v>352.52800000000002</v>
      </c>
      <c r="DG45">
        <v>400.02</v>
      </c>
      <c r="DH45">
        <v>28.5764</v>
      </c>
      <c r="DI45">
        <v>23.816299999999998</v>
      </c>
      <c r="DJ45">
        <v>350.77800000000002</v>
      </c>
      <c r="DK45">
        <v>27.599699999999999</v>
      </c>
      <c r="DL45">
        <v>499.89</v>
      </c>
      <c r="DM45">
        <v>99.680899999999994</v>
      </c>
      <c r="DN45">
        <v>9.8579399999999998E-2</v>
      </c>
      <c r="DO45">
        <v>30.455300000000001</v>
      </c>
      <c r="DP45">
        <v>29.9541</v>
      </c>
      <c r="DQ45">
        <v>999.9</v>
      </c>
      <c r="DR45">
        <v>0</v>
      </c>
      <c r="DS45">
        <v>0</v>
      </c>
      <c r="DT45">
        <v>10032.5</v>
      </c>
      <c r="DU45">
        <v>0</v>
      </c>
      <c r="DV45">
        <v>1553.26</v>
      </c>
      <c r="DW45">
        <v>-47.491900000000001</v>
      </c>
      <c r="DX45">
        <v>362.89800000000002</v>
      </c>
      <c r="DY45">
        <v>409.779</v>
      </c>
      <c r="DZ45">
        <v>4.7601199999999997</v>
      </c>
      <c r="EA45">
        <v>400.02</v>
      </c>
      <c r="EB45">
        <v>23.816299999999998</v>
      </c>
      <c r="EC45">
        <v>2.8485200000000002</v>
      </c>
      <c r="ED45">
        <v>2.3740299999999999</v>
      </c>
      <c r="EE45">
        <v>23.167999999999999</v>
      </c>
      <c r="EF45">
        <v>20.1877</v>
      </c>
      <c r="EG45">
        <v>1800.11</v>
      </c>
      <c r="EH45">
        <v>0.97799599999999998</v>
      </c>
      <c r="EI45">
        <v>2.2003999999999999E-2</v>
      </c>
      <c r="EJ45">
        <v>0</v>
      </c>
      <c r="EK45">
        <v>828.15</v>
      </c>
      <c r="EL45">
        <v>5.0002700000000004</v>
      </c>
      <c r="EM45">
        <v>15578</v>
      </c>
      <c r="EN45">
        <v>16249.6</v>
      </c>
      <c r="EO45">
        <v>47.25</v>
      </c>
      <c r="EP45">
        <v>47.125</v>
      </c>
      <c r="EQ45">
        <v>48.125</v>
      </c>
      <c r="ER45">
        <v>46.625</v>
      </c>
      <c r="ES45">
        <v>48.686999999999998</v>
      </c>
      <c r="ET45">
        <v>1755.61</v>
      </c>
      <c r="EU45">
        <v>39.5</v>
      </c>
      <c r="EV45">
        <v>0</v>
      </c>
      <c r="EW45">
        <v>1851.7999999523161</v>
      </c>
      <c r="EX45">
        <v>0</v>
      </c>
      <c r="EY45">
        <v>828.13588461538473</v>
      </c>
      <c r="EZ45">
        <v>-1.083247867969003</v>
      </c>
      <c r="FA45">
        <v>-11.64786323842859</v>
      </c>
      <c r="FB45">
        <v>15580.65769230769</v>
      </c>
      <c r="FC45">
        <v>15</v>
      </c>
      <c r="FD45">
        <v>1693501524.5999999</v>
      </c>
      <c r="FE45" t="s">
        <v>568</v>
      </c>
      <c r="FF45">
        <v>1693501514.5999999</v>
      </c>
      <c r="FG45">
        <v>1693501524.5999999</v>
      </c>
      <c r="FH45">
        <v>33</v>
      </c>
      <c r="FI45">
        <v>0.219</v>
      </c>
      <c r="FJ45">
        <v>-6.4000000000000001E-2</v>
      </c>
      <c r="FK45">
        <v>1.7529999999999999</v>
      </c>
      <c r="FL45">
        <v>0.71099999999999997</v>
      </c>
      <c r="FM45">
        <v>400</v>
      </c>
      <c r="FN45">
        <v>24</v>
      </c>
      <c r="FO45">
        <v>0.09</v>
      </c>
      <c r="FP45">
        <v>0.05</v>
      </c>
      <c r="FQ45">
        <v>38.096706433682378</v>
      </c>
      <c r="FR45">
        <v>3.8692221524355218E-2</v>
      </c>
      <c r="FS45">
        <v>8.1151060297085978E-2</v>
      </c>
      <c r="FT45">
        <v>1</v>
      </c>
      <c r="FU45">
        <v>0.30237983757621051</v>
      </c>
      <c r="FV45">
        <v>-3.1063831589710149E-2</v>
      </c>
      <c r="FW45">
        <v>3.059825479620944E-3</v>
      </c>
      <c r="FX45">
        <v>1</v>
      </c>
      <c r="FY45">
        <v>2</v>
      </c>
      <c r="FZ45">
        <v>2</v>
      </c>
      <c r="GA45" t="s">
        <v>421</v>
      </c>
      <c r="GB45">
        <v>3.1182500000000002</v>
      </c>
      <c r="GC45">
        <v>2.86402</v>
      </c>
      <c r="GD45">
        <v>8.4436499999999998E-2</v>
      </c>
      <c r="GE45">
        <v>9.6007300000000004E-2</v>
      </c>
      <c r="GF45">
        <v>0.12962599999999999</v>
      </c>
      <c r="GG45">
        <v>0.119716</v>
      </c>
      <c r="GH45">
        <v>27810.7</v>
      </c>
      <c r="GI45">
        <v>21264.799999999999</v>
      </c>
      <c r="GJ45">
        <v>29273.5</v>
      </c>
      <c r="GK45">
        <v>21918.2</v>
      </c>
      <c r="GL45">
        <v>34095.699999999997</v>
      </c>
      <c r="GM45">
        <v>26530.6</v>
      </c>
      <c r="GN45">
        <v>40621.599999999999</v>
      </c>
      <c r="GO45">
        <v>31128.6</v>
      </c>
      <c r="GP45">
        <v>2.0499999999999998</v>
      </c>
      <c r="GQ45">
        <v>1.9286000000000001</v>
      </c>
      <c r="GR45">
        <v>0.14249999999999999</v>
      </c>
      <c r="GS45">
        <v>0</v>
      </c>
      <c r="GT45">
        <v>27.630500000000001</v>
      </c>
      <c r="GU45">
        <v>999.9</v>
      </c>
      <c r="GV45">
        <v>62.5</v>
      </c>
      <c r="GW45">
        <v>30.6</v>
      </c>
      <c r="GX45">
        <v>27.648599999999998</v>
      </c>
      <c r="GY45">
        <v>61.824399999999997</v>
      </c>
      <c r="GZ45">
        <v>12.572100000000001</v>
      </c>
      <c r="HA45">
        <v>1</v>
      </c>
      <c r="HB45">
        <v>7.8495899999999993E-2</v>
      </c>
      <c r="HC45">
        <v>-0.57724399999999998</v>
      </c>
      <c r="HD45">
        <v>20.278099999999998</v>
      </c>
      <c r="HE45">
        <v>5.2256799999999997</v>
      </c>
      <c r="HF45">
        <v>11.972200000000001</v>
      </c>
      <c r="HG45">
        <v>4.9725999999999999</v>
      </c>
      <c r="HH45">
        <v>3.2816000000000001</v>
      </c>
      <c r="HI45">
        <v>9999</v>
      </c>
      <c r="HJ45">
        <v>9999</v>
      </c>
      <c r="HK45">
        <v>9999</v>
      </c>
      <c r="HL45">
        <v>999.9</v>
      </c>
      <c r="HM45">
        <v>1.86111</v>
      </c>
      <c r="HN45">
        <v>1.8627899999999999</v>
      </c>
      <c r="HO45">
        <v>1.86829</v>
      </c>
      <c r="HP45">
        <v>1.85877</v>
      </c>
      <c r="HQ45">
        <v>1.8571899999999999</v>
      </c>
      <c r="HR45">
        <v>1.86093</v>
      </c>
      <c r="HS45">
        <v>1.8647800000000001</v>
      </c>
      <c r="HT45">
        <v>1.8668499999999999</v>
      </c>
      <c r="HU45">
        <v>5</v>
      </c>
      <c r="HV45">
        <v>0</v>
      </c>
      <c r="HW45">
        <v>0</v>
      </c>
      <c r="HX45">
        <v>0</v>
      </c>
      <c r="HY45" t="s">
        <v>422</v>
      </c>
      <c r="HZ45" t="s">
        <v>423</v>
      </c>
      <c r="IA45" t="s">
        <v>424</v>
      </c>
      <c r="IB45" t="s">
        <v>424</v>
      </c>
      <c r="IC45" t="s">
        <v>424</v>
      </c>
      <c r="ID45" t="s">
        <v>424</v>
      </c>
      <c r="IE45">
        <v>0</v>
      </c>
      <c r="IF45">
        <v>100</v>
      </c>
      <c r="IG45">
        <v>100</v>
      </c>
      <c r="IH45">
        <v>1.75</v>
      </c>
      <c r="II45">
        <v>0.97670000000000001</v>
      </c>
      <c r="IJ45">
        <v>1.542151028619126</v>
      </c>
      <c r="IK45">
        <v>1.118558698776514E-3</v>
      </c>
      <c r="IL45">
        <v>-1.6939696309573479E-6</v>
      </c>
      <c r="IM45">
        <v>5.4698917449866148E-10</v>
      </c>
      <c r="IN45">
        <v>9.5363610525039832E-2</v>
      </c>
      <c r="IO45">
        <v>-7.6058941998734366E-3</v>
      </c>
      <c r="IP45">
        <v>1.6984902717538061E-3</v>
      </c>
      <c r="IQ45">
        <v>-9.6352527008986976E-6</v>
      </c>
      <c r="IR45">
        <v>2</v>
      </c>
      <c r="IS45">
        <v>2021</v>
      </c>
      <c r="IT45">
        <v>2</v>
      </c>
      <c r="IU45">
        <v>40</v>
      </c>
      <c r="IV45">
        <v>0.7</v>
      </c>
      <c r="IW45">
        <v>0.5</v>
      </c>
      <c r="IX45">
        <v>1.03027</v>
      </c>
      <c r="IY45">
        <v>2.49268</v>
      </c>
      <c r="IZ45">
        <v>1.34399</v>
      </c>
      <c r="JA45">
        <v>2.2473100000000001</v>
      </c>
      <c r="JB45">
        <v>1.5918000000000001</v>
      </c>
      <c r="JC45">
        <v>2.2839399999999999</v>
      </c>
      <c r="JD45">
        <v>35.429099999999998</v>
      </c>
      <c r="JE45">
        <v>23.816099999999999</v>
      </c>
      <c r="JF45">
        <v>18</v>
      </c>
      <c r="JG45">
        <v>511.48700000000002</v>
      </c>
      <c r="JH45">
        <v>472.59399999999999</v>
      </c>
      <c r="JI45">
        <v>28.976900000000001</v>
      </c>
      <c r="JJ45">
        <v>28.599900000000002</v>
      </c>
      <c r="JK45">
        <v>30.000299999999999</v>
      </c>
      <c r="JL45">
        <v>28.473800000000001</v>
      </c>
      <c r="JM45">
        <v>28.4285</v>
      </c>
      <c r="JN45">
        <v>20.695799999999998</v>
      </c>
      <c r="JO45">
        <v>24.7118</v>
      </c>
      <c r="JP45">
        <v>100</v>
      </c>
      <c r="JQ45">
        <v>28.962199999999999</v>
      </c>
      <c r="JR45">
        <v>400</v>
      </c>
      <c r="JS45">
        <v>23.7987</v>
      </c>
      <c r="JT45">
        <v>99.803600000000003</v>
      </c>
      <c r="JU45">
        <v>98.366299999999995</v>
      </c>
    </row>
    <row r="46" spans="1:281" x14ac:dyDescent="0.25">
      <c r="A46">
        <v>30</v>
      </c>
      <c r="B46">
        <v>1693501659.0999999</v>
      </c>
      <c r="C46">
        <v>6732.5</v>
      </c>
      <c r="D46" t="s">
        <v>569</v>
      </c>
      <c r="E46" t="s">
        <v>570</v>
      </c>
      <c r="F46" t="s">
        <v>413</v>
      </c>
      <c r="G46" t="s">
        <v>565</v>
      </c>
      <c r="H46" t="s">
        <v>31</v>
      </c>
      <c r="I46">
        <v>3</v>
      </c>
      <c r="J46">
        <v>1693501659.0999999</v>
      </c>
      <c r="K46">
        <f t="shared" si="0"/>
        <v>4.1237624252226787E-3</v>
      </c>
      <c r="L46">
        <f t="shared" si="1"/>
        <v>4.1237624252226786</v>
      </c>
      <c r="M46">
        <f t="shared" si="2"/>
        <v>30.105265360496364</v>
      </c>
      <c r="N46">
        <f t="shared" si="3"/>
        <v>262.73200000000003</v>
      </c>
      <c r="O46">
        <f t="shared" si="4"/>
        <v>89.356198952462378</v>
      </c>
      <c r="P46">
        <f t="shared" si="5"/>
        <v>8.916312031167088</v>
      </c>
      <c r="Q46">
        <f t="shared" si="6"/>
        <v>26.216429526270005</v>
      </c>
      <c r="R46">
        <f t="shared" si="7"/>
        <v>0.29828166320989219</v>
      </c>
      <c r="S46">
        <f t="shared" si="8"/>
        <v>2.9240003806023882</v>
      </c>
      <c r="T46">
        <f t="shared" si="9"/>
        <v>0.28234945893073649</v>
      </c>
      <c r="U46">
        <f t="shared" si="10"/>
        <v>0.17782890816836106</v>
      </c>
      <c r="V46">
        <f t="shared" si="11"/>
        <v>344.38519964451581</v>
      </c>
      <c r="W46">
        <f t="shared" si="12"/>
        <v>31.505182686660319</v>
      </c>
      <c r="X46">
        <f t="shared" si="13"/>
        <v>30.035</v>
      </c>
      <c r="Y46">
        <f t="shared" si="14"/>
        <v>4.2690223653089738</v>
      </c>
      <c r="Z46">
        <f t="shared" si="15"/>
        <v>65.140607679259659</v>
      </c>
      <c r="AA46">
        <f t="shared" si="16"/>
        <v>2.8637486837887498</v>
      </c>
      <c r="AB46">
        <f t="shared" si="17"/>
        <v>4.3962572438521308</v>
      </c>
      <c r="AC46">
        <f t="shared" si="18"/>
        <v>1.405273681520224</v>
      </c>
      <c r="AD46">
        <f t="shared" si="19"/>
        <v>-181.85792295232014</v>
      </c>
      <c r="AE46">
        <f t="shared" si="20"/>
        <v>80.774074245153955</v>
      </c>
      <c r="AF46">
        <f t="shared" si="21"/>
        <v>6.1600680587437973</v>
      </c>
      <c r="AG46">
        <f t="shared" si="22"/>
        <v>249.46141899609341</v>
      </c>
      <c r="AH46">
        <v>0</v>
      </c>
      <c r="AI46">
        <v>0</v>
      </c>
      <c r="AJ46">
        <f t="shared" si="23"/>
        <v>1</v>
      </c>
      <c r="AK46">
        <f t="shared" si="24"/>
        <v>0</v>
      </c>
      <c r="AL46">
        <f t="shared" si="25"/>
        <v>52094.084362078618</v>
      </c>
      <c r="AM46" t="s">
        <v>416</v>
      </c>
      <c r="AN46">
        <v>10366.9</v>
      </c>
      <c r="AO46">
        <v>993.59653846153856</v>
      </c>
      <c r="AP46">
        <v>3431.87</v>
      </c>
      <c r="AQ46">
        <f t="shared" si="26"/>
        <v>0.71047955241266758</v>
      </c>
      <c r="AR46">
        <v>-3.9894345373445681</v>
      </c>
      <c r="AS46" t="s">
        <v>571</v>
      </c>
      <c r="AT46">
        <v>10388.1</v>
      </c>
      <c r="AU46">
        <v>814.89667999999995</v>
      </c>
      <c r="AV46">
        <v>1058.889028189049</v>
      </c>
      <c r="AW46">
        <f t="shared" si="27"/>
        <v>0.23042296377962646</v>
      </c>
      <c r="AX46">
        <v>0.5</v>
      </c>
      <c r="AY46">
        <f t="shared" si="28"/>
        <v>1513.2521998222578</v>
      </c>
      <c r="AZ46">
        <f t="shared" si="29"/>
        <v>30.105265360496364</v>
      </c>
      <c r="BA46">
        <f t="shared" si="30"/>
        <v>174.34402841454209</v>
      </c>
      <c r="BB46">
        <f t="shared" si="31"/>
        <v>2.2530745305934859E-2</v>
      </c>
      <c r="BC46">
        <f t="shared" si="32"/>
        <v>2.2410100668143764</v>
      </c>
      <c r="BD46">
        <f t="shared" si="33"/>
        <v>602.61132234486774</v>
      </c>
      <c r="BE46" t="s">
        <v>572</v>
      </c>
      <c r="BF46">
        <v>604.47</v>
      </c>
      <c r="BG46">
        <f t="shared" si="34"/>
        <v>604.47</v>
      </c>
      <c r="BH46">
        <f t="shared" si="35"/>
        <v>0.42914697960957549</v>
      </c>
      <c r="BI46">
        <f t="shared" si="36"/>
        <v>0.53693250734109332</v>
      </c>
      <c r="BJ46">
        <f t="shared" si="37"/>
        <v>0.83928024751041641</v>
      </c>
      <c r="BK46">
        <f t="shared" si="38"/>
        <v>3.7369129161304593</v>
      </c>
      <c r="BL46">
        <f t="shared" si="39"/>
        <v>0.97322183472959856</v>
      </c>
      <c r="BM46">
        <f t="shared" si="40"/>
        <v>0.39828312064355292</v>
      </c>
      <c r="BN46">
        <f t="shared" si="41"/>
        <v>0.60171687935644713</v>
      </c>
      <c r="BO46">
        <v>2207</v>
      </c>
      <c r="BP46">
        <v>290.00000000000011</v>
      </c>
      <c r="BQ46">
        <v>995.17</v>
      </c>
      <c r="BR46">
        <v>95</v>
      </c>
      <c r="BS46">
        <v>10388.1</v>
      </c>
      <c r="BT46">
        <v>994</v>
      </c>
      <c r="BU46">
        <v>1.17</v>
      </c>
      <c r="BV46">
        <v>300.00000000000011</v>
      </c>
      <c r="BW46">
        <v>38.4</v>
      </c>
      <c r="BX46">
        <v>1058.889028189049</v>
      </c>
      <c r="BY46">
        <v>1.4027082497354371</v>
      </c>
      <c r="BZ46">
        <v>-67.405296127500378</v>
      </c>
      <c r="CA46">
        <v>1.190230163859185</v>
      </c>
      <c r="CB46">
        <v>0.99134520462783005</v>
      </c>
      <c r="CC46">
        <v>-1.128076195773082E-2</v>
      </c>
      <c r="CD46">
        <v>289.99999999999989</v>
      </c>
      <c r="CE46">
        <v>991.52</v>
      </c>
      <c r="CF46">
        <v>655</v>
      </c>
      <c r="CG46">
        <v>10347.5</v>
      </c>
      <c r="CH46">
        <v>993.75</v>
      </c>
      <c r="CI46">
        <v>-2.23</v>
      </c>
      <c r="CW46">
        <f t="shared" si="42"/>
        <v>1800.08</v>
      </c>
      <c r="CX46">
        <f t="shared" si="43"/>
        <v>1513.2521998222578</v>
      </c>
      <c r="CY46">
        <f t="shared" si="44"/>
        <v>0.84065830397663321</v>
      </c>
      <c r="CZ46">
        <f t="shared" si="45"/>
        <v>0.19131660795326644</v>
      </c>
      <c r="DA46">
        <v>6</v>
      </c>
      <c r="DB46">
        <v>0.5</v>
      </c>
      <c r="DC46" t="s">
        <v>419</v>
      </c>
      <c r="DD46">
        <v>2</v>
      </c>
      <c r="DE46">
        <v>1693501659.0999999</v>
      </c>
      <c r="DF46">
        <v>262.73200000000003</v>
      </c>
      <c r="DG46">
        <v>300.11799999999999</v>
      </c>
      <c r="DH46">
        <v>28.6995</v>
      </c>
      <c r="DI46">
        <v>23.898199999999999</v>
      </c>
      <c r="DJ46">
        <v>261.18</v>
      </c>
      <c r="DK46">
        <v>27.7197</v>
      </c>
      <c r="DL46">
        <v>500.541</v>
      </c>
      <c r="DM46">
        <v>99.683999999999997</v>
      </c>
      <c r="DN46">
        <v>9.9922499999999997E-2</v>
      </c>
      <c r="DO46">
        <v>30.5474</v>
      </c>
      <c r="DP46">
        <v>30.035</v>
      </c>
      <c r="DQ46">
        <v>999.9</v>
      </c>
      <c r="DR46">
        <v>0</v>
      </c>
      <c r="DS46">
        <v>0</v>
      </c>
      <c r="DT46">
        <v>10000</v>
      </c>
      <c r="DU46">
        <v>0</v>
      </c>
      <c r="DV46">
        <v>1547.03</v>
      </c>
      <c r="DW46">
        <v>-37.386000000000003</v>
      </c>
      <c r="DX46">
        <v>270.495</v>
      </c>
      <c r="DY46">
        <v>307.46600000000001</v>
      </c>
      <c r="DZ46">
        <v>4.8012499999999996</v>
      </c>
      <c r="EA46">
        <v>300.11799999999999</v>
      </c>
      <c r="EB46">
        <v>23.898199999999999</v>
      </c>
      <c r="EC46">
        <v>2.8608799999999999</v>
      </c>
      <c r="ED46">
        <v>2.3822700000000001</v>
      </c>
      <c r="EE46">
        <v>23.239599999999999</v>
      </c>
      <c r="EF46">
        <v>20.2438</v>
      </c>
      <c r="EG46">
        <v>1800.08</v>
      </c>
      <c r="EH46">
        <v>0.97799599999999998</v>
      </c>
      <c r="EI46">
        <v>2.2003999999999999E-2</v>
      </c>
      <c r="EJ46">
        <v>0</v>
      </c>
      <c r="EK46">
        <v>814.51800000000003</v>
      </c>
      <c r="EL46">
        <v>5.0002700000000004</v>
      </c>
      <c r="EM46">
        <v>15329.9</v>
      </c>
      <c r="EN46">
        <v>16249.3</v>
      </c>
      <c r="EO46">
        <v>47.25</v>
      </c>
      <c r="EP46">
        <v>47.125</v>
      </c>
      <c r="EQ46">
        <v>48.125</v>
      </c>
      <c r="ER46">
        <v>46.625</v>
      </c>
      <c r="ES46">
        <v>48.75</v>
      </c>
      <c r="ET46">
        <v>1755.58</v>
      </c>
      <c r="EU46">
        <v>39.5</v>
      </c>
      <c r="EV46">
        <v>0</v>
      </c>
      <c r="EW46">
        <v>100.7999999523163</v>
      </c>
      <c r="EX46">
        <v>0</v>
      </c>
      <c r="EY46">
        <v>814.89667999999995</v>
      </c>
      <c r="EZ46">
        <v>-3.829000006140038</v>
      </c>
      <c r="FA46">
        <v>-72.423077002029913</v>
      </c>
      <c r="FB46">
        <v>15338.004000000001</v>
      </c>
      <c r="FC46">
        <v>15</v>
      </c>
      <c r="FD46">
        <v>1693501628.0999999</v>
      </c>
      <c r="FE46" t="s">
        <v>573</v>
      </c>
      <c r="FF46">
        <v>1693501625.0999999</v>
      </c>
      <c r="FG46">
        <v>1693501628.0999999</v>
      </c>
      <c r="FH46">
        <v>34</v>
      </c>
      <c r="FI46">
        <v>-0.17599999999999999</v>
      </c>
      <c r="FJ46">
        <v>-5.0000000000000001E-3</v>
      </c>
      <c r="FK46">
        <v>1.5629999999999999</v>
      </c>
      <c r="FL46">
        <v>0.71</v>
      </c>
      <c r="FM46">
        <v>300</v>
      </c>
      <c r="FN46">
        <v>24</v>
      </c>
      <c r="FO46">
        <v>0.18</v>
      </c>
      <c r="FP46">
        <v>0.08</v>
      </c>
      <c r="FQ46">
        <v>29.90929482424902</v>
      </c>
      <c r="FR46">
        <v>-0.62765084324859388</v>
      </c>
      <c r="FS46">
        <v>9.3709414073988792E-2</v>
      </c>
      <c r="FT46">
        <v>1</v>
      </c>
      <c r="FU46">
        <v>0.30223368609017731</v>
      </c>
      <c r="FV46">
        <v>2.1753675740524461E-2</v>
      </c>
      <c r="FW46">
        <v>5.8708496932104734E-3</v>
      </c>
      <c r="FX46">
        <v>1</v>
      </c>
      <c r="FY46">
        <v>2</v>
      </c>
      <c r="FZ46">
        <v>2</v>
      </c>
      <c r="GA46" t="s">
        <v>421</v>
      </c>
      <c r="GB46">
        <v>3.1190199999999999</v>
      </c>
      <c r="GC46">
        <v>2.8650899999999999</v>
      </c>
      <c r="GD46">
        <v>6.6326300000000005E-2</v>
      </c>
      <c r="GE46">
        <v>7.6462699999999995E-2</v>
      </c>
      <c r="GF46">
        <v>0.13000999999999999</v>
      </c>
      <c r="GG46">
        <v>0.119993</v>
      </c>
      <c r="GH46">
        <v>28358.1</v>
      </c>
      <c r="GI46">
        <v>21723.9</v>
      </c>
      <c r="GJ46">
        <v>29270.9</v>
      </c>
      <c r="GK46">
        <v>21917.8</v>
      </c>
      <c r="GL46">
        <v>34076.5</v>
      </c>
      <c r="GM46">
        <v>26520.1</v>
      </c>
      <c r="GN46">
        <v>40618.800000000003</v>
      </c>
      <c r="GO46">
        <v>31127.7</v>
      </c>
      <c r="GP46">
        <v>2.0493999999999999</v>
      </c>
      <c r="GQ46">
        <v>1.9277</v>
      </c>
      <c r="GR46">
        <v>0.14501800000000001</v>
      </c>
      <c r="GS46">
        <v>0</v>
      </c>
      <c r="GT46">
        <v>27.670500000000001</v>
      </c>
      <c r="GU46">
        <v>999.9</v>
      </c>
      <c r="GV46">
        <v>62.5</v>
      </c>
      <c r="GW46">
        <v>30.5</v>
      </c>
      <c r="GX46">
        <v>27.488600000000002</v>
      </c>
      <c r="GY46">
        <v>61.574399999999997</v>
      </c>
      <c r="GZ46">
        <v>12.1995</v>
      </c>
      <c r="HA46">
        <v>1</v>
      </c>
      <c r="HB46">
        <v>8.2713400000000006E-2</v>
      </c>
      <c r="HC46">
        <v>0.21945500000000001</v>
      </c>
      <c r="HD46">
        <v>20.281099999999999</v>
      </c>
      <c r="HE46">
        <v>5.2352600000000002</v>
      </c>
      <c r="HF46">
        <v>11.9734</v>
      </c>
      <c r="HG46">
        <v>4.9756</v>
      </c>
      <c r="HH46">
        <v>3.2837000000000001</v>
      </c>
      <c r="HI46">
        <v>9999</v>
      </c>
      <c r="HJ46">
        <v>9999</v>
      </c>
      <c r="HK46">
        <v>9999</v>
      </c>
      <c r="HL46">
        <v>999.9</v>
      </c>
      <c r="HM46">
        <v>1.8611</v>
      </c>
      <c r="HN46">
        <v>1.8627199999999999</v>
      </c>
      <c r="HO46">
        <v>1.8682300000000001</v>
      </c>
      <c r="HP46">
        <v>1.85867</v>
      </c>
      <c r="HQ46">
        <v>1.8571500000000001</v>
      </c>
      <c r="HR46">
        <v>1.8608199999999999</v>
      </c>
      <c r="HS46">
        <v>1.8647499999999999</v>
      </c>
      <c r="HT46">
        <v>1.86677</v>
      </c>
      <c r="HU46">
        <v>5</v>
      </c>
      <c r="HV46">
        <v>0</v>
      </c>
      <c r="HW46">
        <v>0</v>
      </c>
      <c r="HX46">
        <v>0</v>
      </c>
      <c r="HY46" t="s">
        <v>422</v>
      </c>
      <c r="HZ46" t="s">
        <v>423</v>
      </c>
      <c r="IA46" t="s">
        <v>424</v>
      </c>
      <c r="IB46" t="s">
        <v>424</v>
      </c>
      <c r="IC46" t="s">
        <v>424</v>
      </c>
      <c r="ID46" t="s">
        <v>424</v>
      </c>
      <c r="IE46">
        <v>0</v>
      </c>
      <c r="IF46">
        <v>100</v>
      </c>
      <c r="IG46">
        <v>100</v>
      </c>
      <c r="IH46">
        <v>1.552</v>
      </c>
      <c r="II46">
        <v>0.9798</v>
      </c>
      <c r="IJ46">
        <v>1.3657637652081469</v>
      </c>
      <c r="IK46">
        <v>1.118558698776514E-3</v>
      </c>
      <c r="IL46">
        <v>-1.6939696309573479E-6</v>
      </c>
      <c r="IM46">
        <v>5.4698917449866148E-10</v>
      </c>
      <c r="IN46">
        <v>9.0769670462688801E-2</v>
      </c>
      <c r="IO46">
        <v>-7.6058941998734366E-3</v>
      </c>
      <c r="IP46">
        <v>1.6984902717538061E-3</v>
      </c>
      <c r="IQ46">
        <v>-9.6352527008986976E-6</v>
      </c>
      <c r="IR46">
        <v>2</v>
      </c>
      <c r="IS46">
        <v>2021</v>
      </c>
      <c r="IT46">
        <v>2</v>
      </c>
      <c r="IU46">
        <v>40</v>
      </c>
      <c r="IV46">
        <v>0.6</v>
      </c>
      <c r="IW46">
        <v>0.5</v>
      </c>
      <c r="IX46">
        <v>0.82031200000000004</v>
      </c>
      <c r="IY46">
        <v>2.48169</v>
      </c>
      <c r="IZ46">
        <v>1.34399</v>
      </c>
      <c r="JA46">
        <v>2.2473100000000001</v>
      </c>
      <c r="JB46">
        <v>1.5918000000000001</v>
      </c>
      <c r="JC46">
        <v>2.3925800000000002</v>
      </c>
      <c r="JD46">
        <v>35.3596</v>
      </c>
      <c r="JE46">
        <v>23.851099999999999</v>
      </c>
      <c r="JF46">
        <v>18</v>
      </c>
      <c r="JG46">
        <v>511.553</v>
      </c>
      <c r="JH46">
        <v>472.43400000000003</v>
      </c>
      <c r="JI46">
        <v>28.2654</v>
      </c>
      <c r="JJ46">
        <v>28.6511</v>
      </c>
      <c r="JK46">
        <v>30.0002</v>
      </c>
      <c r="JL46">
        <v>28.522300000000001</v>
      </c>
      <c r="JM46">
        <v>28.4771</v>
      </c>
      <c r="JN46">
        <v>16.493500000000001</v>
      </c>
      <c r="JO46">
        <v>23.988399999999999</v>
      </c>
      <c r="JP46">
        <v>100</v>
      </c>
      <c r="JQ46">
        <v>28.235499999999998</v>
      </c>
      <c r="JR46">
        <v>300</v>
      </c>
      <c r="JS46">
        <v>23.985099999999999</v>
      </c>
      <c r="JT46">
        <v>99.796099999999996</v>
      </c>
      <c r="JU46">
        <v>98.363799999999998</v>
      </c>
    </row>
    <row r="47" spans="1:281" x14ac:dyDescent="0.25">
      <c r="A47">
        <v>31</v>
      </c>
      <c r="B47">
        <v>1693501803.5999999</v>
      </c>
      <c r="C47">
        <v>6877</v>
      </c>
      <c r="D47" t="s">
        <v>574</v>
      </c>
      <c r="E47" t="s">
        <v>575</v>
      </c>
      <c r="F47" t="s">
        <v>413</v>
      </c>
      <c r="G47" t="s">
        <v>565</v>
      </c>
      <c r="H47" t="s">
        <v>31</v>
      </c>
      <c r="I47">
        <v>3</v>
      </c>
      <c r="J47">
        <v>1693501803.5999999</v>
      </c>
      <c r="K47">
        <f t="shared" si="0"/>
        <v>4.4992860238261007E-3</v>
      </c>
      <c r="L47">
        <f t="shared" si="1"/>
        <v>4.4992860238261008</v>
      </c>
      <c r="M47">
        <f t="shared" si="2"/>
        <v>21.763501554290873</v>
      </c>
      <c r="N47">
        <f t="shared" si="3"/>
        <v>173.05099999999999</v>
      </c>
      <c r="O47">
        <f t="shared" si="4"/>
        <v>59.298030211600739</v>
      </c>
      <c r="P47">
        <f t="shared" si="5"/>
        <v>5.9169629162584014</v>
      </c>
      <c r="Q47">
        <f t="shared" si="6"/>
        <v>17.2676283844099</v>
      </c>
      <c r="R47">
        <f t="shared" si="7"/>
        <v>0.33022412500023629</v>
      </c>
      <c r="S47">
        <f t="shared" si="8"/>
        <v>2.9266259629944593</v>
      </c>
      <c r="T47">
        <f t="shared" si="9"/>
        <v>0.31083239918402322</v>
      </c>
      <c r="U47">
        <f t="shared" si="10"/>
        <v>0.19591755685928444</v>
      </c>
      <c r="V47">
        <f t="shared" si="11"/>
        <v>344.32439964445268</v>
      </c>
      <c r="W47">
        <f t="shared" si="12"/>
        <v>31.353247333787021</v>
      </c>
      <c r="X47">
        <f t="shared" si="13"/>
        <v>29.9712</v>
      </c>
      <c r="Y47">
        <f t="shared" si="14"/>
        <v>4.2534070085267306</v>
      </c>
      <c r="Z47">
        <f t="shared" si="15"/>
        <v>65.266194391494125</v>
      </c>
      <c r="AA47">
        <f t="shared" si="16"/>
        <v>2.86053250167426</v>
      </c>
      <c r="AB47">
        <f t="shared" si="17"/>
        <v>4.3828700728520822</v>
      </c>
      <c r="AC47">
        <f t="shared" si="18"/>
        <v>1.3928745068524706</v>
      </c>
      <c r="AD47">
        <f t="shared" si="19"/>
        <v>-198.41851365073103</v>
      </c>
      <c r="AE47">
        <f t="shared" si="20"/>
        <v>82.503297387676966</v>
      </c>
      <c r="AF47">
        <f t="shared" si="21"/>
        <v>6.2826591645174821</v>
      </c>
      <c r="AG47">
        <f t="shared" si="22"/>
        <v>234.69184254591613</v>
      </c>
      <c r="AH47">
        <v>0</v>
      </c>
      <c r="AI47">
        <v>0</v>
      </c>
      <c r="AJ47">
        <f t="shared" si="23"/>
        <v>1</v>
      </c>
      <c r="AK47">
        <f t="shared" si="24"/>
        <v>0</v>
      </c>
      <c r="AL47">
        <f t="shared" si="25"/>
        <v>52178.124885232712</v>
      </c>
      <c r="AM47" t="s">
        <v>416</v>
      </c>
      <c r="AN47">
        <v>10366.9</v>
      </c>
      <c r="AO47">
        <v>993.59653846153856</v>
      </c>
      <c r="AP47">
        <v>3431.87</v>
      </c>
      <c r="AQ47">
        <f t="shared" si="26"/>
        <v>0.71047955241266758</v>
      </c>
      <c r="AR47">
        <v>-3.9894345373445681</v>
      </c>
      <c r="AS47" t="s">
        <v>576</v>
      </c>
      <c r="AT47">
        <v>10375.5</v>
      </c>
      <c r="AU47">
        <v>814.8929599999999</v>
      </c>
      <c r="AV47">
        <v>990.5389626952674</v>
      </c>
      <c r="AW47">
        <f t="shared" si="27"/>
        <v>0.1773236685383206</v>
      </c>
      <c r="AX47">
        <v>0.5</v>
      </c>
      <c r="AY47">
        <f t="shared" si="28"/>
        <v>1512.9833998222261</v>
      </c>
      <c r="AZ47">
        <f t="shared" si="29"/>
        <v>21.763501554290873</v>
      </c>
      <c r="BA47">
        <f t="shared" si="30"/>
        <v>134.14388344702891</v>
      </c>
      <c r="BB47">
        <f t="shared" si="31"/>
        <v>1.7021294546034928E-2</v>
      </c>
      <c r="BC47">
        <f t="shared" si="32"/>
        <v>2.4646491750933692</v>
      </c>
      <c r="BD47">
        <f t="shared" si="33"/>
        <v>579.84130507338637</v>
      </c>
      <c r="BE47" t="s">
        <v>577</v>
      </c>
      <c r="BF47">
        <v>599.83000000000004</v>
      </c>
      <c r="BG47">
        <f t="shared" si="34"/>
        <v>599.83000000000004</v>
      </c>
      <c r="BH47">
        <f t="shared" si="35"/>
        <v>0.3944407816449178</v>
      </c>
      <c r="BI47">
        <f t="shared" si="36"/>
        <v>0.44955713706588868</v>
      </c>
      <c r="BJ47">
        <f t="shared" si="37"/>
        <v>0.8620397442496337</v>
      </c>
      <c r="BK47">
        <f t="shared" si="38"/>
        <v>-57.446165237460413</v>
      </c>
      <c r="BL47">
        <f t="shared" si="39"/>
        <v>1.0012539921442372</v>
      </c>
      <c r="BM47">
        <f t="shared" si="40"/>
        <v>0.33091199797115939</v>
      </c>
      <c r="BN47">
        <f t="shared" si="41"/>
        <v>0.66908800202884056</v>
      </c>
      <c r="BO47">
        <v>2209</v>
      </c>
      <c r="BP47">
        <v>290.00000000000011</v>
      </c>
      <c r="BQ47">
        <v>945.28</v>
      </c>
      <c r="BR47">
        <v>155</v>
      </c>
      <c r="BS47">
        <v>10375.5</v>
      </c>
      <c r="BT47">
        <v>944.25</v>
      </c>
      <c r="BU47">
        <v>1.03</v>
      </c>
      <c r="BV47">
        <v>300.00000000000011</v>
      </c>
      <c r="BW47">
        <v>38.4</v>
      </c>
      <c r="BX47">
        <v>990.5389626952674</v>
      </c>
      <c r="BY47">
        <v>1.261700673503992</v>
      </c>
      <c r="BZ47">
        <v>-48.022443725561509</v>
      </c>
      <c r="CA47">
        <v>1.0705428205916969</v>
      </c>
      <c r="CB47">
        <v>0.98627614457937152</v>
      </c>
      <c r="CC47">
        <v>-1.128031078976641E-2</v>
      </c>
      <c r="CD47">
        <v>289.99999999999989</v>
      </c>
      <c r="CE47">
        <v>941.4</v>
      </c>
      <c r="CF47">
        <v>645</v>
      </c>
      <c r="CG47">
        <v>10348.1</v>
      </c>
      <c r="CH47">
        <v>944.13</v>
      </c>
      <c r="CI47">
        <v>-2.73</v>
      </c>
      <c r="CW47">
        <f t="shared" si="42"/>
        <v>1799.76</v>
      </c>
      <c r="CX47">
        <f t="shared" si="43"/>
        <v>1512.9833998222261</v>
      </c>
      <c r="CY47">
        <f t="shared" si="44"/>
        <v>0.84065842102403998</v>
      </c>
      <c r="CZ47">
        <f t="shared" si="45"/>
        <v>0.19131684204808011</v>
      </c>
      <c r="DA47">
        <v>6</v>
      </c>
      <c r="DB47">
        <v>0.5</v>
      </c>
      <c r="DC47" t="s">
        <v>419</v>
      </c>
      <c r="DD47">
        <v>2</v>
      </c>
      <c r="DE47">
        <v>1693501803.5999999</v>
      </c>
      <c r="DF47">
        <v>173.05099999999999</v>
      </c>
      <c r="DG47">
        <v>200.11099999999999</v>
      </c>
      <c r="DH47">
        <v>28.667400000000001</v>
      </c>
      <c r="DI47">
        <v>23.421199999999999</v>
      </c>
      <c r="DJ47">
        <v>171.666</v>
      </c>
      <c r="DK47">
        <v>27.692599999999999</v>
      </c>
      <c r="DL47">
        <v>499.82499999999999</v>
      </c>
      <c r="DM47">
        <v>99.683899999999994</v>
      </c>
      <c r="DN47">
        <v>9.9564899999999998E-2</v>
      </c>
      <c r="DO47">
        <v>30.4941</v>
      </c>
      <c r="DP47">
        <v>29.9712</v>
      </c>
      <c r="DQ47">
        <v>999.9</v>
      </c>
      <c r="DR47">
        <v>0</v>
      </c>
      <c r="DS47">
        <v>0</v>
      </c>
      <c r="DT47">
        <v>10015</v>
      </c>
      <c r="DU47">
        <v>0</v>
      </c>
      <c r="DV47">
        <v>1551.59</v>
      </c>
      <c r="DW47">
        <v>-27.059799999999999</v>
      </c>
      <c r="DX47">
        <v>178.15799999999999</v>
      </c>
      <c r="DY47">
        <v>204.91</v>
      </c>
      <c r="DZ47">
        <v>5.2462</v>
      </c>
      <c r="EA47">
        <v>200.11099999999999</v>
      </c>
      <c r="EB47">
        <v>23.421199999999999</v>
      </c>
      <c r="EC47">
        <v>2.8576700000000002</v>
      </c>
      <c r="ED47">
        <v>2.3347099999999998</v>
      </c>
      <c r="EE47">
        <v>23.2211</v>
      </c>
      <c r="EF47">
        <v>19.917899999999999</v>
      </c>
      <c r="EG47">
        <v>1799.76</v>
      </c>
      <c r="EH47">
        <v>0.97799199999999997</v>
      </c>
      <c r="EI47">
        <v>2.2007700000000002E-2</v>
      </c>
      <c r="EJ47">
        <v>0</v>
      </c>
      <c r="EK47">
        <v>814.88499999999999</v>
      </c>
      <c r="EL47">
        <v>5.0002700000000004</v>
      </c>
      <c r="EM47">
        <v>15337.5</v>
      </c>
      <c r="EN47">
        <v>16246.4</v>
      </c>
      <c r="EO47">
        <v>47.311999999999998</v>
      </c>
      <c r="EP47">
        <v>47.125</v>
      </c>
      <c r="EQ47">
        <v>48.125</v>
      </c>
      <c r="ER47">
        <v>46.686999999999998</v>
      </c>
      <c r="ES47">
        <v>48.811999999999998</v>
      </c>
      <c r="ET47">
        <v>1755.26</v>
      </c>
      <c r="EU47">
        <v>39.5</v>
      </c>
      <c r="EV47">
        <v>0</v>
      </c>
      <c r="EW47">
        <v>142.79999995231631</v>
      </c>
      <c r="EX47">
        <v>0</v>
      </c>
      <c r="EY47">
        <v>814.8929599999999</v>
      </c>
      <c r="EZ47">
        <v>-2.2917692538936469</v>
      </c>
      <c r="FA47">
        <v>-50.684615370176857</v>
      </c>
      <c r="FB47">
        <v>15343.932000000001</v>
      </c>
      <c r="FC47">
        <v>15</v>
      </c>
      <c r="FD47">
        <v>1693501734.0999999</v>
      </c>
      <c r="FE47" t="s">
        <v>578</v>
      </c>
      <c r="FF47">
        <v>1693501725.0999999</v>
      </c>
      <c r="FG47">
        <v>1693501734.0999999</v>
      </c>
      <c r="FH47">
        <v>35</v>
      </c>
      <c r="FI47">
        <v>-0.125</v>
      </c>
      <c r="FJ47">
        <v>-3.0000000000000001E-3</v>
      </c>
      <c r="FK47">
        <v>1.4</v>
      </c>
      <c r="FL47">
        <v>0.70199999999999996</v>
      </c>
      <c r="FM47">
        <v>200</v>
      </c>
      <c r="FN47">
        <v>24</v>
      </c>
      <c r="FO47">
        <v>0.16</v>
      </c>
      <c r="FP47">
        <v>0.06</v>
      </c>
      <c r="FQ47">
        <v>21.572589083934702</v>
      </c>
      <c r="FR47">
        <v>0.5248789464879503</v>
      </c>
      <c r="FS47">
        <v>8.0839265413699915E-2</v>
      </c>
      <c r="FT47">
        <v>1</v>
      </c>
      <c r="FU47">
        <v>0.32763066563064669</v>
      </c>
      <c r="FV47">
        <v>2.9708797207737579E-2</v>
      </c>
      <c r="FW47">
        <v>2.316982468146914E-3</v>
      </c>
      <c r="FX47">
        <v>1</v>
      </c>
      <c r="FY47">
        <v>2</v>
      </c>
      <c r="FZ47">
        <v>2</v>
      </c>
      <c r="GA47" t="s">
        <v>421</v>
      </c>
      <c r="GB47">
        <v>3.11808</v>
      </c>
      <c r="GC47">
        <v>2.8648500000000001</v>
      </c>
      <c r="GD47">
        <v>4.59187E-2</v>
      </c>
      <c r="GE47">
        <v>5.4168399999999998E-2</v>
      </c>
      <c r="GF47">
        <v>0.12989300000000001</v>
      </c>
      <c r="GG47">
        <v>0.118299</v>
      </c>
      <c r="GH47">
        <v>28972</v>
      </c>
      <c r="GI47">
        <v>22245.5</v>
      </c>
      <c r="GJ47">
        <v>29265.5</v>
      </c>
      <c r="GK47">
        <v>21915.3</v>
      </c>
      <c r="GL47">
        <v>34073.4</v>
      </c>
      <c r="GM47">
        <v>26567.4</v>
      </c>
      <c r="GN47">
        <v>40610.5</v>
      </c>
      <c r="GO47">
        <v>31125.3</v>
      </c>
      <c r="GP47">
        <v>2.0484</v>
      </c>
      <c r="GQ47">
        <v>1.9263999999999999</v>
      </c>
      <c r="GR47">
        <v>0.134021</v>
      </c>
      <c r="GS47">
        <v>0</v>
      </c>
      <c r="GT47">
        <v>27.786200000000001</v>
      </c>
      <c r="GU47">
        <v>999.9</v>
      </c>
      <c r="GV47">
        <v>62.7</v>
      </c>
      <c r="GW47">
        <v>30.4</v>
      </c>
      <c r="GX47">
        <v>27.417899999999999</v>
      </c>
      <c r="GY47">
        <v>61.754399999999997</v>
      </c>
      <c r="GZ47">
        <v>12.552099999999999</v>
      </c>
      <c r="HA47">
        <v>1</v>
      </c>
      <c r="HB47">
        <v>9.0091500000000005E-2</v>
      </c>
      <c r="HC47">
        <v>-0.111558</v>
      </c>
      <c r="HD47">
        <v>20.281400000000001</v>
      </c>
      <c r="HE47">
        <v>5.2322600000000001</v>
      </c>
      <c r="HF47">
        <v>11.974</v>
      </c>
      <c r="HG47">
        <v>4.9740000000000002</v>
      </c>
      <c r="HH47">
        <v>3.2837000000000001</v>
      </c>
      <c r="HI47">
        <v>9999</v>
      </c>
      <c r="HJ47">
        <v>9999</v>
      </c>
      <c r="HK47">
        <v>9999</v>
      </c>
      <c r="HL47">
        <v>999.9</v>
      </c>
      <c r="HM47">
        <v>1.86111</v>
      </c>
      <c r="HN47">
        <v>1.86276</v>
      </c>
      <c r="HO47">
        <v>1.86816</v>
      </c>
      <c r="HP47">
        <v>1.85867</v>
      </c>
      <c r="HQ47">
        <v>1.8571500000000001</v>
      </c>
      <c r="HR47">
        <v>1.8608100000000001</v>
      </c>
      <c r="HS47">
        <v>1.8646799999999999</v>
      </c>
      <c r="HT47">
        <v>1.86676</v>
      </c>
      <c r="HU47">
        <v>5</v>
      </c>
      <c r="HV47">
        <v>0</v>
      </c>
      <c r="HW47">
        <v>0</v>
      </c>
      <c r="HX47">
        <v>0</v>
      </c>
      <c r="HY47" t="s">
        <v>422</v>
      </c>
      <c r="HZ47" t="s">
        <v>423</v>
      </c>
      <c r="IA47" t="s">
        <v>424</v>
      </c>
      <c r="IB47" t="s">
        <v>424</v>
      </c>
      <c r="IC47" t="s">
        <v>424</v>
      </c>
      <c r="ID47" t="s">
        <v>424</v>
      </c>
      <c r="IE47">
        <v>0</v>
      </c>
      <c r="IF47">
        <v>100</v>
      </c>
      <c r="IG47">
        <v>100</v>
      </c>
      <c r="IH47">
        <v>1.385</v>
      </c>
      <c r="II47">
        <v>0.9748</v>
      </c>
      <c r="IJ47">
        <v>1.240596731310136</v>
      </c>
      <c r="IK47">
        <v>1.118558698776514E-3</v>
      </c>
      <c r="IL47">
        <v>-1.6939696309573479E-6</v>
      </c>
      <c r="IM47">
        <v>5.4698917449866148E-10</v>
      </c>
      <c r="IN47">
        <v>8.7430005153317558E-2</v>
      </c>
      <c r="IO47">
        <v>-7.6058941998734366E-3</v>
      </c>
      <c r="IP47">
        <v>1.6984902717538061E-3</v>
      </c>
      <c r="IQ47">
        <v>-9.6352527008986976E-6</v>
      </c>
      <c r="IR47">
        <v>2</v>
      </c>
      <c r="IS47">
        <v>2021</v>
      </c>
      <c r="IT47">
        <v>2</v>
      </c>
      <c r="IU47">
        <v>40</v>
      </c>
      <c r="IV47">
        <v>1.3</v>
      </c>
      <c r="IW47">
        <v>1.2</v>
      </c>
      <c r="IX47">
        <v>0.60180699999999998</v>
      </c>
      <c r="IY47">
        <v>2.49634</v>
      </c>
      <c r="IZ47">
        <v>1.34399</v>
      </c>
      <c r="JA47">
        <v>2.2473100000000001</v>
      </c>
      <c r="JB47">
        <v>1.5918000000000001</v>
      </c>
      <c r="JC47">
        <v>2.2778299999999998</v>
      </c>
      <c r="JD47">
        <v>35.244</v>
      </c>
      <c r="JE47">
        <v>23.877400000000002</v>
      </c>
      <c r="JF47">
        <v>18</v>
      </c>
      <c r="JG47">
        <v>511.74700000000001</v>
      </c>
      <c r="JH47">
        <v>472.35599999999999</v>
      </c>
      <c r="JI47">
        <v>28.3995</v>
      </c>
      <c r="JJ47">
        <v>28.756599999999999</v>
      </c>
      <c r="JK47">
        <v>30.000299999999999</v>
      </c>
      <c r="JL47">
        <v>28.612300000000001</v>
      </c>
      <c r="JM47">
        <v>28.564399999999999</v>
      </c>
      <c r="JN47">
        <v>12.1106</v>
      </c>
      <c r="JO47">
        <v>25.728300000000001</v>
      </c>
      <c r="JP47">
        <v>100</v>
      </c>
      <c r="JQ47">
        <v>28.411799999999999</v>
      </c>
      <c r="JR47">
        <v>200</v>
      </c>
      <c r="JS47">
        <v>23.314699999999998</v>
      </c>
      <c r="JT47">
        <v>99.776399999999995</v>
      </c>
      <c r="JU47">
        <v>98.354699999999994</v>
      </c>
    </row>
    <row r="48" spans="1:281" x14ac:dyDescent="0.25">
      <c r="A48">
        <v>32</v>
      </c>
      <c r="B48">
        <v>1693501910.5999999</v>
      </c>
      <c r="C48">
        <v>6984</v>
      </c>
      <c r="D48" t="s">
        <v>579</v>
      </c>
      <c r="E48" t="s">
        <v>580</v>
      </c>
      <c r="F48" t="s">
        <v>413</v>
      </c>
      <c r="G48" t="s">
        <v>565</v>
      </c>
      <c r="H48" t="s">
        <v>31</v>
      </c>
      <c r="I48">
        <v>3</v>
      </c>
      <c r="J48">
        <v>1693501910.5999999</v>
      </c>
      <c r="K48">
        <f t="shared" si="0"/>
        <v>4.9319254399456556E-3</v>
      </c>
      <c r="L48">
        <f t="shared" si="1"/>
        <v>4.9319254399456556</v>
      </c>
      <c r="M48">
        <f t="shared" si="2"/>
        <v>13.978377959335187</v>
      </c>
      <c r="N48">
        <f t="shared" si="3"/>
        <v>102.66</v>
      </c>
      <c r="O48">
        <f t="shared" si="4"/>
        <v>37.778448935037098</v>
      </c>
      <c r="P48">
        <f t="shared" si="5"/>
        <v>3.7696932751296668</v>
      </c>
      <c r="Q48">
        <f t="shared" si="6"/>
        <v>10.243848610361999</v>
      </c>
      <c r="R48">
        <f t="shared" si="7"/>
        <v>0.37471133244458366</v>
      </c>
      <c r="S48">
        <f t="shared" si="8"/>
        <v>2.9205036452779236</v>
      </c>
      <c r="T48">
        <f t="shared" si="9"/>
        <v>0.34990473845150971</v>
      </c>
      <c r="U48">
        <f t="shared" si="10"/>
        <v>0.22078223630192106</v>
      </c>
      <c r="V48">
        <f t="shared" si="11"/>
        <v>344.38709964451783</v>
      </c>
      <c r="W48">
        <f t="shared" si="12"/>
        <v>31.293098526139936</v>
      </c>
      <c r="X48">
        <f t="shared" si="13"/>
        <v>29.942699999999999</v>
      </c>
      <c r="Y48">
        <f t="shared" si="14"/>
        <v>4.246447597181092</v>
      </c>
      <c r="Z48">
        <f t="shared" si="15"/>
        <v>65.755014375622338</v>
      </c>
      <c r="AA48">
        <f t="shared" si="16"/>
        <v>2.8902800326682101</v>
      </c>
      <c r="AB48">
        <f t="shared" si="17"/>
        <v>4.3955279458348615</v>
      </c>
      <c r="AC48">
        <f t="shared" si="18"/>
        <v>1.3561675645128819</v>
      </c>
      <c r="AD48">
        <f t="shared" si="19"/>
        <v>-217.4979119016034</v>
      </c>
      <c r="AE48">
        <f t="shared" si="20"/>
        <v>94.753525861077776</v>
      </c>
      <c r="AF48">
        <f t="shared" si="21"/>
        <v>7.2314301156361607</v>
      </c>
      <c r="AG48">
        <f t="shared" si="22"/>
        <v>228.87414371962836</v>
      </c>
      <c r="AH48">
        <v>0</v>
      </c>
      <c r="AI48">
        <v>0</v>
      </c>
      <c r="AJ48">
        <f t="shared" si="23"/>
        <v>1</v>
      </c>
      <c r="AK48">
        <f t="shared" si="24"/>
        <v>0</v>
      </c>
      <c r="AL48">
        <f t="shared" si="25"/>
        <v>51994.935165395174</v>
      </c>
      <c r="AM48" t="s">
        <v>416</v>
      </c>
      <c r="AN48">
        <v>10366.9</v>
      </c>
      <c r="AO48">
        <v>993.59653846153856</v>
      </c>
      <c r="AP48">
        <v>3431.87</v>
      </c>
      <c r="AQ48">
        <f t="shared" si="26"/>
        <v>0.71047955241266758</v>
      </c>
      <c r="AR48">
        <v>-3.9894345373445681</v>
      </c>
      <c r="AS48" t="s">
        <v>581</v>
      </c>
      <c r="AT48">
        <v>10377.1</v>
      </c>
      <c r="AU48">
        <v>820.02250000000015</v>
      </c>
      <c r="AV48">
        <v>938.44464600375352</v>
      </c>
      <c r="AW48">
        <f t="shared" si="27"/>
        <v>0.12618980406360558</v>
      </c>
      <c r="AX48">
        <v>0.5</v>
      </c>
      <c r="AY48">
        <f t="shared" si="28"/>
        <v>1513.2605998222587</v>
      </c>
      <c r="AZ48">
        <f t="shared" si="29"/>
        <v>13.978377959335187</v>
      </c>
      <c r="BA48">
        <f t="shared" si="30"/>
        <v>95.479029294372538</v>
      </c>
      <c r="BB48">
        <f t="shared" si="31"/>
        <v>1.1873574517693899E-2</v>
      </c>
      <c r="BC48">
        <f t="shared" si="32"/>
        <v>2.6569764818992567</v>
      </c>
      <c r="BD48">
        <f t="shared" si="33"/>
        <v>561.59225020272015</v>
      </c>
      <c r="BE48" t="s">
        <v>582</v>
      </c>
      <c r="BF48">
        <v>599.45000000000005</v>
      </c>
      <c r="BG48">
        <f t="shared" si="34"/>
        <v>599.45000000000005</v>
      </c>
      <c r="BH48">
        <f t="shared" si="35"/>
        <v>0.36123030532202283</v>
      </c>
      <c r="BI48">
        <f t="shared" si="36"/>
        <v>0.34933338151435628</v>
      </c>
      <c r="BJ48">
        <f t="shared" si="37"/>
        <v>0.88031625041351436</v>
      </c>
      <c r="BK48">
        <f t="shared" si="38"/>
        <v>-2.1472000456629359</v>
      </c>
      <c r="BL48">
        <f t="shared" si="39"/>
        <v>1.0226192399366829</v>
      </c>
      <c r="BM48">
        <f t="shared" si="40"/>
        <v>0.25536847531473933</v>
      </c>
      <c r="BN48">
        <f t="shared" si="41"/>
        <v>0.74463152468526062</v>
      </c>
      <c r="BO48">
        <v>2211</v>
      </c>
      <c r="BP48">
        <v>290.00000000000011</v>
      </c>
      <c r="BQ48">
        <v>908.32</v>
      </c>
      <c r="BR48">
        <v>145</v>
      </c>
      <c r="BS48">
        <v>10377.1</v>
      </c>
      <c r="BT48">
        <v>907.44</v>
      </c>
      <c r="BU48">
        <v>0.88</v>
      </c>
      <c r="BV48">
        <v>300.00000000000011</v>
      </c>
      <c r="BW48">
        <v>38.4</v>
      </c>
      <c r="BX48">
        <v>938.44464600375352</v>
      </c>
      <c r="BY48">
        <v>0.87020786441757236</v>
      </c>
      <c r="BZ48">
        <v>-32.172764058285601</v>
      </c>
      <c r="CA48">
        <v>0.73834419216523961</v>
      </c>
      <c r="CB48">
        <v>0.9854674675552193</v>
      </c>
      <c r="CC48">
        <v>-1.1279750834260289E-2</v>
      </c>
      <c r="CD48">
        <v>289.99999999999989</v>
      </c>
      <c r="CE48">
        <v>903.69</v>
      </c>
      <c r="CF48">
        <v>625</v>
      </c>
      <c r="CG48">
        <v>10349.9</v>
      </c>
      <c r="CH48">
        <v>907.36</v>
      </c>
      <c r="CI48">
        <v>-3.67</v>
      </c>
      <c r="CW48">
        <f t="shared" si="42"/>
        <v>1800.09</v>
      </c>
      <c r="CX48">
        <f t="shared" si="43"/>
        <v>1513.2605998222587</v>
      </c>
      <c r="CY48">
        <f t="shared" si="44"/>
        <v>0.84065830031957223</v>
      </c>
      <c r="CZ48">
        <f t="shared" si="45"/>
        <v>0.19131660063914463</v>
      </c>
      <c r="DA48">
        <v>6</v>
      </c>
      <c r="DB48">
        <v>0.5</v>
      </c>
      <c r="DC48" t="s">
        <v>419</v>
      </c>
      <c r="DD48">
        <v>2</v>
      </c>
      <c r="DE48">
        <v>1693501910.5999999</v>
      </c>
      <c r="DF48">
        <v>102.66</v>
      </c>
      <c r="DG48">
        <v>120.045</v>
      </c>
      <c r="DH48">
        <v>28.965299999999999</v>
      </c>
      <c r="DI48">
        <v>23.217300000000002</v>
      </c>
      <c r="DJ48">
        <v>101.264</v>
      </c>
      <c r="DK48">
        <v>27.992899999999999</v>
      </c>
      <c r="DL48">
        <v>499.90300000000002</v>
      </c>
      <c r="DM48">
        <v>99.684600000000003</v>
      </c>
      <c r="DN48">
        <v>9.9625699999999998E-2</v>
      </c>
      <c r="DO48">
        <v>30.544499999999999</v>
      </c>
      <c r="DP48">
        <v>29.942699999999999</v>
      </c>
      <c r="DQ48">
        <v>999.9</v>
      </c>
      <c r="DR48">
        <v>0</v>
      </c>
      <c r="DS48">
        <v>0</v>
      </c>
      <c r="DT48">
        <v>9980</v>
      </c>
      <c r="DU48">
        <v>0</v>
      </c>
      <c r="DV48">
        <v>1543.47</v>
      </c>
      <c r="DW48">
        <v>-17.384599999999999</v>
      </c>
      <c r="DX48">
        <v>105.72199999999999</v>
      </c>
      <c r="DY48">
        <v>122.898</v>
      </c>
      <c r="DZ48">
        <v>5.7480399999999996</v>
      </c>
      <c r="EA48">
        <v>120.045</v>
      </c>
      <c r="EB48">
        <v>23.217300000000002</v>
      </c>
      <c r="EC48">
        <v>2.8874</v>
      </c>
      <c r="ED48">
        <v>2.3144</v>
      </c>
      <c r="EE48">
        <v>23.392399999999999</v>
      </c>
      <c r="EF48">
        <v>19.777000000000001</v>
      </c>
      <c r="EG48">
        <v>1800.09</v>
      </c>
      <c r="EH48">
        <v>0.97799599999999998</v>
      </c>
      <c r="EI48">
        <v>2.2003999999999999E-2</v>
      </c>
      <c r="EJ48">
        <v>0</v>
      </c>
      <c r="EK48">
        <v>819.64099999999996</v>
      </c>
      <c r="EL48">
        <v>5.0002700000000004</v>
      </c>
      <c r="EM48">
        <v>15434.8</v>
      </c>
      <c r="EN48">
        <v>16249.4</v>
      </c>
      <c r="EO48">
        <v>47.311999999999998</v>
      </c>
      <c r="EP48">
        <v>47.25</v>
      </c>
      <c r="EQ48">
        <v>48.186999999999998</v>
      </c>
      <c r="ER48">
        <v>46.75</v>
      </c>
      <c r="ES48">
        <v>48.875</v>
      </c>
      <c r="ET48">
        <v>1755.59</v>
      </c>
      <c r="EU48">
        <v>39.5</v>
      </c>
      <c r="EV48">
        <v>0</v>
      </c>
      <c r="EW48">
        <v>105</v>
      </c>
      <c r="EX48">
        <v>0</v>
      </c>
      <c r="EY48">
        <v>820.02250000000015</v>
      </c>
      <c r="EZ48">
        <v>-4.1099828969502354</v>
      </c>
      <c r="FA48">
        <v>-14.348717808062229</v>
      </c>
      <c r="FB48">
        <v>15439.642307692309</v>
      </c>
      <c r="FC48">
        <v>15</v>
      </c>
      <c r="FD48">
        <v>1693501879.0999999</v>
      </c>
      <c r="FE48" t="s">
        <v>583</v>
      </c>
      <c r="FF48">
        <v>1693501867.0999999</v>
      </c>
      <c r="FG48">
        <v>1693501879.0999999</v>
      </c>
      <c r="FH48">
        <v>36</v>
      </c>
      <c r="FI48">
        <v>5.8999999999999997E-2</v>
      </c>
      <c r="FJ48">
        <v>-2.1999999999999999E-2</v>
      </c>
      <c r="FK48">
        <v>1.409</v>
      </c>
      <c r="FL48">
        <v>0.64900000000000002</v>
      </c>
      <c r="FM48">
        <v>120</v>
      </c>
      <c r="FN48">
        <v>23</v>
      </c>
      <c r="FO48">
        <v>0.22</v>
      </c>
      <c r="FP48">
        <v>0.05</v>
      </c>
      <c r="FQ48">
        <v>13.874903566391289</v>
      </c>
      <c r="FR48">
        <v>0.25367960514530691</v>
      </c>
      <c r="FS48">
        <v>6.8307990725977347E-2</v>
      </c>
      <c r="FT48">
        <v>1</v>
      </c>
      <c r="FU48">
        <v>0.36812145763477833</v>
      </c>
      <c r="FV48">
        <v>3.6988468262095293E-2</v>
      </c>
      <c r="FW48">
        <v>2.9213028250904519E-3</v>
      </c>
      <c r="FX48">
        <v>1</v>
      </c>
      <c r="FY48">
        <v>2</v>
      </c>
      <c r="FZ48">
        <v>2</v>
      </c>
      <c r="GA48" t="s">
        <v>421</v>
      </c>
      <c r="GB48">
        <v>3.1181199999999998</v>
      </c>
      <c r="GC48">
        <v>2.8646099999999999</v>
      </c>
      <c r="GD48">
        <v>2.8031E-2</v>
      </c>
      <c r="GE48">
        <v>3.3932700000000003E-2</v>
      </c>
      <c r="GF48">
        <v>0.130859</v>
      </c>
      <c r="GG48">
        <v>0.117564</v>
      </c>
      <c r="GH48">
        <v>29511.5</v>
      </c>
      <c r="GI48">
        <v>22721</v>
      </c>
      <c r="GJ48">
        <v>29262.1</v>
      </c>
      <c r="GK48">
        <v>21915</v>
      </c>
      <c r="GL48">
        <v>34029.699999999997</v>
      </c>
      <c r="GM48">
        <v>26588.6</v>
      </c>
      <c r="GN48">
        <v>40606.6</v>
      </c>
      <c r="GO48">
        <v>31126</v>
      </c>
      <c r="GP48">
        <v>2.0476000000000001</v>
      </c>
      <c r="GQ48">
        <v>1.9248000000000001</v>
      </c>
      <c r="GR48">
        <v>0.12762799999999999</v>
      </c>
      <c r="GS48">
        <v>0</v>
      </c>
      <c r="GT48">
        <v>27.861999999999998</v>
      </c>
      <c r="GU48">
        <v>999.9</v>
      </c>
      <c r="GV48">
        <v>62.8</v>
      </c>
      <c r="GW48">
        <v>30.3</v>
      </c>
      <c r="GX48">
        <v>27.308</v>
      </c>
      <c r="GY48">
        <v>61.584400000000002</v>
      </c>
      <c r="GZ48">
        <v>12.4559</v>
      </c>
      <c r="HA48">
        <v>1</v>
      </c>
      <c r="HB48">
        <v>9.4918699999999995E-2</v>
      </c>
      <c r="HC48">
        <v>-0.163551</v>
      </c>
      <c r="HD48">
        <v>20.280200000000001</v>
      </c>
      <c r="HE48">
        <v>5.2268699999999999</v>
      </c>
      <c r="HF48">
        <v>11.9734</v>
      </c>
      <c r="HG48">
        <v>4.9736000000000002</v>
      </c>
      <c r="HH48">
        <v>3.2822</v>
      </c>
      <c r="HI48">
        <v>9999</v>
      </c>
      <c r="HJ48">
        <v>9999</v>
      </c>
      <c r="HK48">
        <v>9999</v>
      </c>
      <c r="HL48">
        <v>999.9</v>
      </c>
      <c r="HM48">
        <v>1.8609800000000001</v>
      </c>
      <c r="HN48">
        <v>1.86266</v>
      </c>
      <c r="HO48">
        <v>1.8681300000000001</v>
      </c>
      <c r="HP48">
        <v>1.8586499999999999</v>
      </c>
      <c r="HQ48">
        <v>1.8570500000000001</v>
      </c>
      <c r="HR48">
        <v>1.8607800000000001</v>
      </c>
      <c r="HS48">
        <v>1.8646199999999999</v>
      </c>
      <c r="HT48">
        <v>1.8667</v>
      </c>
      <c r="HU48">
        <v>5</v>
      </c>
      <c r="HV48">
        <v>0</v>
      </c>
      <c r="HW48">
        <v>0</v>
      </c>
      <c r="HX48">
        <v>0</v>
      </c>
      <c r="HY48" t="s">
        <v>422</v>
      </c>
      <c r="HZ48" t="s">
        <v>423</v>
      </c>
      <c r="IA48" t="s">
        <v>424</v>
      </c>
      <c r="IB48" t="s">
        <v>424</v>
      </c>
      <c r="IC48" t="s">
        <v>424</v>
      </c>
      <c r="ID48" t="s">
        <v>424</v>
      </c>
      <c r="IE48">
        <v>0</v>
      </c>
      <c r="IF48">
        <v>100</v>
      </c>
      <c r="IG48">
        <v>100</v>
      </c>
      <c r="IH48">
        <v>1.3959999999999999</v>
      </c>
      <c r="II48">
        <v>0.97240000000000004</v>
      </c>
      <c r="IJ48">
        <v>1.29955974028099</v>
      </c>
      <c r="IK48">
        <v>1.118558698776514E-3</v>
      </c>
      <c r="IL48">
        <v>-1.6939696309573479E-6</v>
      </c>
      <c r="IM48">
        <v>5.4698917449866148E-10</v>
      </c>
      <c r="IN48">
        <v>6.5754958689964726E-2</v>
      </c>
      <c r="IO48">
        <v>-7.6058941998734366E-3</v>
      </c>
      <c r="IP48">
        <v>1.6984902717538061E-3</v>
      </c>
      <c r="IQ48">
        <v>-9.6352527008986976E-6</v>
      </c>
      <c r="IR48">
        <v>2</v>
      </c>
      <c r="IS48">
        <v>2021</v>
      </c>
      <c r="IT48">
        <v>2</v>
      </c>
      <c r="IU48">
        <v>40</v>
      </c>
      <c r="IV48">
        <v>0.7</v>
      </c>
      <c r="IW48">
        <v>0.5</v>
      </c>
      <c r="IX48">
        <v>0.41992200000000002</v>
      </c>
      <c r="IY48">
        <v>2.5122100000000001</v>
      </c>
      <c r="IZ48">
        <v>1.34399</v>
      </c>
      <c r="JA48">
        <v>2.2473100000000001</v>
      </c>
      <c r="JB48">
        <v>1.5918000000000001</v>
      </c>
      <c r="JC48">
        <v>2.2497600000000002</v>
      </c>
      <c r="JD48">
        <v>35.151600000000002</v>
      </c>
      <c r="JE48">
        <v>23.8949</v>
      </c>
      <c r="JF48">
        <v>18</v>
      </c>
      <c r="JG48">
        <v>511.84500000000003</v>
      </c>
      <c r="JH48">
        <v>471.84800000000001</v>
      </c>
      <c r="JI48">
        <v>28.5336</v>
      </c>
      <c r="JJ48">
        <v>28.8232</v>
      </c>
      <c r="JK48">
        <v>30.000399999999999</v>
      </c>
      <c r="JL48">
        <v>28.6782</v>
      </c>
      <c r="JM48">
        <v>28.627300000000002</v>
      </c>
      <c r="JN48">
        <v>8.4862000000000002</v>
      </c>
      <c r="JO48">
        <v>26.932500000000001</v>
      </c>
      <c r="JP48">
        <v>100</v>
      </c>
      <c r="JQ48">
        <v>28.509899999999998</v>
      </c>
      <c r="JR48">
        <v>120</v>
      </c>
      <c r="JS48">
        <v>23.059699999999999</v>
      </c>
      <c r="JT48">
        <v>99.766000000000005</v>
      </c>
      <c r="JU48">
        <v>98.355599999999995</v>
      </c>
    </row>
    <row r="49" spans="1:281" x14ac:dyDescent="0.25">
      <c r="A49">
        <v>33</v>
      </c>
      <c r="B49">
        <v>1693502031.5999999</v>
      </c>
      <c r="C49">
        <v>7105</v>
      </c>
      <c r="D49" t="s">
        <v>584</v>
      </c>
      <c r="E49" t="s">
        <v>585</v>
      </c>
      <c r="F49" t="s">
        <v>413</v>
      </c>
      <c r="G49" t="s">
        <v>565</v>
      </c>
      <c r="H49" t="s">
        <v>31</v>
      </c>
      <c r="I49">
        <v>3</v>
      </c>
      <c r="J49">
        <v>1693502031.5999999</v>
      </c>
      <c r="K49">
        <f t="shared" ref="K49:K80" si="46">(L49)/1000</f>
        <v>5.4316029990024873E-3</v>
      </c>
      <c r="L49">
        <f t="shared" ref="L49:L80" si="47">1000*DL49*AJ49*(DH49-DI49)/(100*DA49*(1000-AJ49*DH49))</f>
        <v>5.4316029990024877</v>
      </c>
      <c r="M49">
        <f t="shared" ref="M49:M80" si="48">DL49*AJ49*(DG49-DF49*(1000-AJ49*DI49)/(1000-AJ49*DH49))/(100*DA49)</f>
        <v>8.7191531282469832</v>
      </c>
      <c r="N49">
        <f t="shared" ref="N49:N80" si="49">DF49 - IF(AJ49&gt;1, M49*DA49*100/(AL49*DT49), 0)</f>
        <v>59.230699999999999</v>
      </c>
      <c r="O49">
        <f t="shared" ref="O49:O80" si="50">((U49-K49/2)*N49-M49)/(U49+K49/2)</f>
        <v>22.266948367220618</v>
      </c>
      <c r="P49">
        <f t="shared" ref="P49:P80" si="51">O49*(DM49+DN49)/1000</f>
        <v>2.221836722995095</v>
      </c>
      <c r="Q49">
        <f t="shared" ref="Q49:Q80" si="52">(DF49 - IF(AJ49&gt;1, M49*DA49*100/(AL49*DT49), 0))*(DM49+DN49)/1000</f>
        <v>5.9101472827968005</v>
      </c>
      <c r="R49">
        <f t="shared" ref="R49:R80" si="53">2/((1/T49-1/S49)+SIGN(T49)*SQRT((1/T49-1/S49)*(1/T49-1/S49) + 4*DB49/((DB49+1)*(DB49+1))*(2*1/T49*1/S49-1/S49*1/S49)))</f>
        <v>0.41291312384321477</v>
      </c>
      <c r="S49">
        <f t="shared" ref="S49:S80" si="54">IF(LEFT(DC49,1)&lt;&gt;"0",IF(LEFT(DC49,1)="1",3,DD49),$D$5+$E$5*(DT49*DM49/($K$5*1000))+$F$5*(DT49*DM49/($K$5*1000))*MAX(MIN(DA49,$J$5),$I$5)*MAX(MIN(DA49,$J$5),$I$5)+$G$5*MAX(MIN(DA49,$J$5),$I$5)*(DT49*DM49/($K$5*1000))+$H$5*(DT49*DM49/($K$5*1000))*(DT49*DM49/($K$5*1000)))</f>
        <v>2.917815630038668</v>
      </c>
      <c r="T49">
        <f t="shared" ref="T49:T80" si="55">K49*(1000-(1000*0.61365*EXP(17.502*X49/(240.97+X49))/(DM49+DN49)+DH49)/2)/(1000*0.61365*EXP(17.502*X49/(240.97+X49))/(DM49+DN49)-DH49)</f>
        <v>0.38298160593999248</v>
      </c>
      <c r="U49">
        <f t="shared" ref="U49:U80" si="56">1/((DB49+1)/(R49/1.6)+1/(S49/1.37)) + DB49/((DB49+1)/(R49/1.6) + DB49/(S49/1.37))</f>
        <v>0.24187167614123078</v>
      </c>
      <c r="V49">
        <f t="shared" ref="V49:V80" si="57">(CW49*CZ49)</f>
        <v>344.34529964447438</v>
      </c>
      <c r="W49">
        <f t="shared" ref="W49:W80" si="58">(DO49+(V49+2*0.95*0.0000000567*(((DO49+$B$7)+273)^4-(DO49+273)^4)-44100*K49)/(1.84*29.3*S49+8*0.95*0.0000000567*(DO49+273)^3))</f>
        <v>31.277328573115696</v>
      </c>
      <c r="X49">
        <f t="shared" ref="X49:X80" si="59">($C$7*DP49+$D$7*DQ49+$E$7*W49)</f>
        <v>29.983899999999998</v>
      </c>
      <c r="Y49">
        <f t="shared" ref="Y49:Y80" si="60">0.61365*EXP(17.502*X49/(240.97+X49))</f>
        <v>4.2565114201725756</v>
      </c>
      <c r="Z49">
        <f t="shared" ref="Z49:Z80" si="61">(AA49/AB49*100)</f>
        <v>65.367896716450986</v>
      </c>
      <c r="AA49">
        <f t="shared" ref="AA49:AA80" si="62">DH49*(DM49+DN49)/1000</f>
        <v>2.8920564304511998</v>
      </c>
      <c r="AB49">
        <f t="shared" ref="AB49:AB80" si="63">0.61365*EXP(17.502*DO49/(240.97+DO49))</f>
        <v>4.4242764043582303</v>
      </c>
      <c r="AC49">
        <f t="shared" ref="AC49:AC80" si="64">(Y49-DH49*(DM49+DN49)/1000)</f>
        <v>1.3644549897213758</v>
      </c>
      <c r="AD49">
        <f t="shared" ref="AD49:AD80" si="65">(-K49*44100)</f>
        <v>-239.53369225600969</v>
      </c>
      <c r="AE49">
        <f t="shared" ref="AE49:AE80" si="66">2*29.3*S49*0.92*(DO49-X49)</f>
        <v>106.11813935598677</v>
      </c>
      <c r="AF49">
        <f t="shared" ref="AF49:AF80" si="67">2*0.95*0.0000000567*(((DO49+$B$7)+273)^4-(X49+273)^4)</f>
        <v>8.11244604731972</v>
      </c>
      <c r="AG49">
        <f t="shared" ref="AG49:AG80" si="68">V49+AF49+AD49+AE49</f>
        <v>219.04219279177119</v>
      </c>
      <c r="AH49">
        <v>0</v>
      </c>
      <c r="AI49">
        <v>0</v>
      </c>
      <c r="AJ49">
        <f t="shared" ref="AJ49:AJ80" si="69">IF(AH49*$H$13&gt;=AL49,1,(AL49/(AL49-AH49*$H$13)))</f>
        <v>1</v>
      </c>
      <c r="AK49">
        <f t="shared" ref="AK49:AK80" si="70">(AJ49-1)*100</f>
        <v>0</v>
      </c>
      <c r="AL49">
        <f t="shared" ref="AL49:AL80" si="71">MAX(0,($B$13+$C$13*DT49)/(1+$D$13*DT49)*DM49/(DO49+273)*$E$13)</f>
        <v>51898.820636550299</v>
      </c>
      <c r="AM49" t="s">
        <v>416</v>
      </c>
      <c r="AN49">
        <v>10366.9</v>
      </c>
      <c r="AO49">
        <v>993.59653846153856</v>
      </c>
      <c r="AP49">
        <v>3431.87</v>
      </c>
      <c r="AQ49">
        <f t="shared" ref="AQ49:AQ80" si="72">1-AO49/AP49</f>
        <v>0.71047955241266758</v>
      </c>
      <c r="AR49">
        <v>-3.9894345373445681</v>
      </c>
      <c r="AS49" t="s">
        <v>586</v>
      </c>
      <c r="AT49">
        <v>10370.200000000001</v>
      </c>
      <c r="AU49">
        <v>824.19126923076931</v>
      </c>
      <c r="AV49">
        <v>899.89636105575505</v>
      </c>
      <c r="AW49">
        <f t="shared" ref="AW49:AW80" si="73">1-AU49/AV49</f>
        <v>8.412645622454662E-2</v>
      </c>
      <c r="AX49">
        <v>0.5</v>
      </c>
      <c r="AY49">
        <f t="shared" ref="AY49:AY80" si="74">CX49</f>
        <v>1513.0757998222371</v>
      </c>
      <c r="AZ49">
        <f t="shared" ref="AZ49:AZ80" si="75">M49</f>
        <v>8.7191531282469832</v>
      </c>
      <c r="BA49">
        <f t="shared" ref="BA49:BA80" si="76">AW49*AX49*AY49</f>
        <v>63.644852519083145</v>
      </c>
      <c r="BB49">
        <f t="shared" ref="BB49:BB80" si="77">(AZ49-AR49)/AY49</f>
        <v>8.3991744941559528E-3</v>
      </c>
      <c r="BC49">
        <f t="shared" ref="BC49:BC80" si="78">(AP49-AV49)/AV49</f>
        <v>2.8136280448714595</v>
      </c>
      <c r="BD49">
        <f t="shared" ref="BD49:BD80" si="79">AO49/(AQ49+AO49/AV49)</f>
        <v>547.55592275809897</v>
      </c>
      <c r="BE49" t="s">
        <v>587</v>
      </c>
      <c r="BF49">
        <v>601.91</v>
      </c>
      <c r="BG49">
        <f t="shared" ref="BG49:BG80" si="80">IF(BF49&lt;&gt;0, BF49, BD49)</f>
        <v>601.91</v>
      </c>
      <c r="BH49">
        <f t="shared" ref="BH49:BH80" si="81">1-BG49/AV49</f>
        <v>0.33113408827007429</v>
      </c>
      <c r="BI49">
        <f t="shared" ref="BI49:BI80" si="82">(AV49-AU49)/(AV49-BG49)</f>
        <v>0.25405555998189078</v>
      </c>
      <c r="BJ49">
        <f t="shared" ref="BJ49:BJ80" si="83">(AP49-AV49)/(AP49-BG49)</f>
        <v>0.89470297776090302</v>
      </c>
      <c r="BK49">
        <f t="shared" ref="BK49:BK80" si="84">(AV49-AU49)/(AV49-AO49)</f>
        <v>-0.80795035741643062</v>
      </c>
      <c r="BL49">
        <f t="shared" ref="BL49:BL80" si="85">(AP49-AV49)/(AP49-AO49)</f>
        <v>1.0384289042569745</v>
      </c>
      <c r="BM49">
        <f t="shared" ref="BM49:BM80" si="86">(BI49*BG49/AU49)</f>
        <v>0.18553773598138354</v>
      </c>
      <c r="BN49">
        <f t="shared" ref="BN49:BN80" si="87">(1-BM49)</f>
        <v>0.81446226401861643</v>
      </c>
      <c r="BO49">
        <v>2213</v>
      </c>
      <c r="BP49">
        <v>290.00000000000011</v>
      </c>
      <c r="BQ49">
        <v>882.66</v>
      </c>
      <c r="BR49">
        <v>185</v>
      </c>
      <c r="BS49">
        <v>10370.200000000001</v>
      </c>
      <c r="BT49">
        <v>879.72</v>
      </c>
      <c r="BU49">
        <v>2.94</v>
      </c>
      <c r="BV49">
        <v>300.00000000000011</v>
      </c>
      <c r="BW49">
        <v>38.4</v>
      </c>
      <c r="BX49">
        <v>899.89636105575505</v>
      </c>
      <c r="BY49">
        <v>1.17057799374896</v>
      </c>
      <c r="BZ49">
        <v>-20.919476915486872</v>
      </c>
      <c r="CA49">
        <v>0.99321759988093294</v>
      </c>
      <c r="CB49">
        <v>0.94063038837215907</v>
      </c>
      <c r="CC49">
        <v>-1.1280069187986659E-2</v>
      </c>
      <c r="CD49">
        <v>289.99999999999989</v>
      </c>
      <c r="CE49">
        <v>877.14</v>
      </c>
      <c r="CF49">
        <v>665</v>
      </c>
      <c r="CG49">
        <v>10346</v>
      </c>
      <c r="CH49">
        <v>879.68</v>
      </c>
      <c r="CI49">
        <v>-2.54</v>
      </c>
      <c r="CW49">
        <f t="shared" ref="CW49:CW80" si="88">$B$11*DU49+$C$11*DV49+$F$11*EG49*(1-EJ49)</f>
        <v>1799.87</v>
      </c>
      <c r="CX49">
        <f t="shared" ref="CX49:CX80" si="89">CW49*CY49</f>
        <v>1513.0757998222371</v>
      </c>
      <c r="CY49">
        <f t="shared" ref="CY49:CY80" si="90">($B$11*$D$9+$C$11*$D$9+$F$11*((ET49+EL49)/MAX(ET49+EL49+EU49, 0.1)*$I$9+EU49/MAX(ET49+EL49+EU49, 0.1)*$J$9))/($B$11+$C$11+$F$11)</f>
        <v>0.84065838078429955</v>
      </c>
      <c r="CZ49">
        <f t="shared" ref="CZ49:CZ80" si="91">($B$11*$K$9+$C$11*$K$9+$F$11*((ET49+EL49)/MAX(ET49+EL49+EU49, 0.1)*$P$9+EU49/MAX(ET49+EL49+EU49, 0.1)*$Q$9))/($B$11+$C$11+$F$11)</f>
        <v>0.19131676156859906</v>
      </c>
      <c r="DA49">
        <v>6</v>
      </c>
      <c r="DB49">
        <v>0.5</v>
      </c>
      <c r="DC49" t="s">
        <v>419</v>
      </c>
      <c r="DD49">
        <v>2</v>
      </c>
      <c r="DE49">
        <v>1693502031.5999999</v>
      </c>
      <c r="DF49">
        <v>59.230699999999999</v>
      </c>
      <c r="DG49">
        <v>70.083500000000001</v>
      </c>
      <c r="DH49">
        <v>28.983799999999999</v>
      </c>
      <c r="DI49">
        <v>22.6526</v>
      </c>
      <c r="DJ49">
        <v>57.765599999999999</v>
      </c>
      <c r="DK49">
        <v>28.0185</v>
      </c>
      <c r="DL49">
        <v>499.827</v>
      </c>
      <c r="DM49">
        <v>99.6815</v>
      </c>
      <c r="DN49">
        <v>0.100324</v>
      </c>
      <c r="DO49">
        <v>30.6585</v>
      </c>
      <c r="DP49">
        <v>29.983899999999998</v>
      </c>
      <c r="DQ49">
        <v>999.9</v>
      </c>
      <c r="DR49">
        <v>0</v>
      </c>
      <c r="DS49">
        <v>0</v>
      </c>
      <c r="DT49">
        <v>9965</v>
      </c>
      <c r="DU49">
        <v>0</v>
      </c>
      <c r="DV49">
        <v>1543.42</v>
      </c>
      <c r="DW49">
        <v>-10.8528</v>
      </c>
      <c r="DX49">
        <v>60.998699999999999</v>
      </c>
      <c r="DY49">
        <v>71.707899999999995</v>
      </c>
      <c r="DZ49">
        <v>6.3312499999999998</v>
      </c>
      <c r="EA49">
        <v>70.083500000000001</v>
      </c>
      <c r="EB49">
        <v>22.6526</v>
      </c>
      <c r="EC49">
        <v>2.8891499999999999</v>
      </c>
      <c r="ED49">
        <v>2.2580399999999998</v>
      </c>
      <c r="EE49">
        <v>23.4025</v>
      </c>
      <c r="EF49">
        <v>19.380199999999999</v>
      </c>
      <c r="EG49">
        <v>1799.87</v>
      </c>
      <c r="EH49">
        <v>0.97799199999999997</v>
      </c>
      <c r="EI49">
        <v>2.2007700000000002E-2</v>
      </c>
      <c r="EJ49">
        <v>0</v>
      </c>
      <c r="EK49">
        <v>824.33</v>
      </c>
      <c r="EL49">
        <v>5.0002700000000004</v>
      </c>
      <c r="EM49">
        <v>15507.8</v>
      </c>
      <c r="EN49">
        <v>16247.4</v>
      </c>
      <c r="EO49">
        <v>47.375</v>
      </c>
      <c r="EP49">
        <v>47.25</v>
      </c>
      <c r="EQ49">
        <v>48.186999999999998</v>
      </c>
      <c r="ER49">
        <v>46.75</v>
      </c>
      <c r="ES49">
        <v>48.875</v>
      </c>
      <c r="ET49">
        <v>1755.37</v>
      </c>
      <c r="EU49">
        <v>39.5</v>
      </c>
      <c r="EV49">
        <v>0</v>
      </c>
      <c r="EW49">
        <v>119</v>
      </c>
      <c r="EX49">
        <v>0</v>
      </c>
      <c r="EY49">
        <v>824.19126923076931</v>
      </c>
      <c r="EZ49">
        <v>-0.6958974419938273</v>
      </c>
      <c r="FA49">
        <v>-53.517948706179673</v>
      </c>
      <c r="FB49">
        <v>15515.2</v>
      </c>
      <c r="FC49">
        <v>15</v>
      </c>
      <c r="FD49">
        <v>1693501997.5999999</v>
      </c>
      <c r="FE49" t="s">
        <v>588</v>
      </c>
      <c r="FF49">
        <v>1693501972.0999999</v>
      </c>
      <c r="FG49">
        <v>1693501997.5999999</v>
      </c>
      <c r="FH49">
        <v>37</v>
      </c>
      <c r="FI49">
        <v>0.107</v>
      </c>
      <c r="FJ49">
        <v>-8.9999999999999993E-3</v>
      </c>
      <c r="FK49">
        <v>1.4750000000000001</v>
      </c>
      <c r="FL49">
        <v>0.61599999999999999</v>
      </c>
      <c r="FM49">
        <v>70</v>
      </c>
      <c r="FN49">
        <v>23</v>
      </c>
      <c r="FO49">
        <v>0.38</v>
      </c>
      <c r="FP49">
        <v>0.04</v>
      </c>
      <c r="FQ49">
        <v>8.6322588177733355</v>
      </c>
      <c r="FR49">
        <v>0.31419200870266489</v>
      </c>
      <c r="FS49">
        <v>4.7876795913701732E-2</v>
      </c>
      <c r="FT49">
        <v>1</v>
      </c>
      <c r="FU49">
        <v>0.4170790276635275</v>
      </c>
      <c r="FV49">
        <v>1.6177400348653469E-2</v>
      </c>
      <c r="FW49">
        <v>4.0710066304072024E-3</v>
      </c>
      <c r="FX49">
        <v>1</v>
      </c>
      <c r="FY49">
        <v>2</v>
      </c>
      <c r="FZ49">
        <v>2</v>
      </c>
      <c r="GA49" t="s">
        <v>421</v>
      </c>
      <c r="GB49">
        <v>3.1178900000000001</v>
      </c>
      <c r="GC49">
        <v>2.86517</v>
      </c>
      <c r="GD49">
        <v>1.6224700000000002E-2</v>
      </c>
      <c r="GE49">
        <v>2.0208899999999998E-2</v>
      </c>
      <c r="GF49">
        <v>0.13092400000000001</v>
      </c>
      <c r="GG49">
        <v>0.115547</v>
      </c>
      <c r="GH49">
        <v>29868.3</v>
      </c>
      <c r="GI49">
        <v>23044.400000000001</v>
      </c>
      <c r="GJ49">
        <v>29260.5</v>
      </c>
      <c r="GK49">
        <v>21915.599999999999</v>
      </c>
      <c r="GL49">
        <v>34024.1</v>
      </c>
      <c r="GM49">
        <v>26648.3</v>
      </c>
      <c r="GN49">
        <v>40604</v>
      </c>
      <c r="GO49">
        <v>31126</v>
      </c>
      <c r="GP49">
        <v>2.048</v>
      </c>
      <c r="GQ49">
        <v>1.9239999999999999</v>
      </c>
      <c r="GR49">
        <v>0.13175600000000001</v>
      </c>
      <c r="GS49">
        <v>0</v>
      </c>
      <c r="GT49">
        <v>27.835899999999999</v>
      </c>
      <c r="GU49">
        <v>999.9</v>
      </c>
      <c r="GV49">
        <v>63</v>
      </c>
      <c r="GW49">
        <v>30.2</v>
      </c>
      <c r="GX49">
        <v>27.236499999999999</v>
      </c>
      <c r="GY49">
        <v>61.8444</v>
      </c>
      <c r="GZ49">
        <v>12.0913</v>
      </c>
      <c r="HA49">
        <v>1</v>
      </c>
      <c r="HB49">
        <v>9.7134100000000001E-2</v>
      </c>
      <c r="HC49">
        <v>-0.21654699999999999</v>
      </c>
      <c r="HD49">
        <v>20.280899999999999</v>
      </c>
      <c r="HE49">
        <v>5.2346599999999999</v>
      </c>
      <c r="HF49">
        <v>11.974</v>
      </c>
      <c r="HG49">
        <v>4.9753999999999996</v>
      </c>
      <c r="HH49">
        <v>3.2833999999999999</v>
      </c>
      <c r="HI49">
        <v>9999</v>
      </c>
      <c r="HJ49">
        <v>9999</v>
      </c>
      <c r="HK49">
        <v>9999</v>
      </c>
      <c r="HL49">
        <v>999.9</v>
      </c>
      <c r="HM49">
        <v>1.8609599999999999</v>
      </c>
      <c r="HN49">
        <v>1.8626400000000001</v>
      </c>
      <c r="HO49">
        <v>1.8681300000000001</v>
      </c>
      <c r="HP49">
        <v>1.8585400000000001</v>
      </c>
      <c r="HQ49">
        <v>1.85701</v>
      </c>
      <c r="HR49">
        <v>1.8607100000000001</v>
      </c>
      <c r="HS49">
        <v>1.8646199999999999</v>
      </c>
      <c r="HT49">
        <v>1.8666400000000001</v>
      </c>
      <c r="HU49">
        <v>5</v>
      </c>
      <c r="HV49">
        <v>0</v>
      </c>
      <c r="HW49">
        <v>0</v>
      </c>
      <c r="HX49">
        <v>0</v>
      </c>
      <c r="HY49" t="s">
        <v>422</v>
      </c>
      <c r="HZ49" t="s">
        <v>423</v>
      </c>
      <c r="IA49" t="s">
        <v>424</v>
      </c>
      <c r="IB49" t="s">
        <v>424</v>
      </c>
      <c r="IC49" t="s">
        <v>424</v>
      </c>
      <c r="ID49" t="s">
        <v>424</v>
      </c>
      <c r="IE49">
        <v>0</v>
      </c>
      <c r="IF49">
        <v>100</v>
      </c>
      <c r="IG49">
        <v>100</v>
      </c>
      <c r="IH49">
        <v>1.4650000000000001</v>
      </c>
      <c r="II49">
        <v>0.96530000000000005</v>
      </c>
      <c r="IJ49">
        <v>1.406063198642086</v>
      </c>
      <c r="IK49">
        <v>1.118558698776514E-3</v>
      </c>
      <c r="IL49">
        <v>-1.6939696309573479E-6</v>
      </c>
      <c r="IM49">
        <v>5.4698917449866148E-10</v>
      </c>
      <c r="IN49">
        <v>5.7004926847647241E-2</v>
      </c>
      <c r="IO49">
        <v>-7.6058941998734366E-3</v>
      </c>
      <c r="IP49">
        <v>1.6984902717538061E-3</v>
      </c>
      <c r="IQ49">
        <v>-9.6352527008986976E-6</v>
      </c>
      <c r="IR49">
        <v>2</v>
      </c>
      <c r="IS49">
        <v>2021</v>
      </c>
      <c r="IT49">
        <v>2</v>
      </c>
      <c r="IU49">
        <v>40</v>
      </c>
      <c r="IV49">
        <v>1</v>
      </c>
      <c r="IW49">
        <v>0.6</v>
      </c>
      <c r="IX49">
        <v>0.305176</v>
      </c>
      <c r="IY49">
        <v>2.50488</v>
      </c>
      <c r="IZ49">
        <v>1.34399</v>
      </c>
      <c r="JA49">
        <v>2.2473100000000001</v>
      </c>
      <c r="JB49">
        <v>1.5918000000000001</v>
      </c>
      <c r="JC49">
        <v>2.4304199999999998</v>
      </c>
      <c r="JD49">
        <v>35.013399999999997</v>
      </c>
      <c r="JE49">
        <v>23.9299</v>
      </c>
      <c r="JF49">
        <v>18</v>
      </c>
      <c r="JG49">
        <v>512.53700000000003</v>
      </c>
      <c r="JH49">
        <v>471.73399999999998</v>
      </c>
      <c r="JI49">
        <v>28.826899999999998</v>
      </c>
      <c r="JJ49">
        <v>28.857700000000001</v>
      </c>
      <c r="JK49">
        <v>30.0001</v>
      </c>
      <c r="JL49">
        <v>28.724699999999999</v>
      </c>
      <c r="JM49">
        <v>28.6739</v>
      </c>
      <c r="JN49">
        <v>6.2072399999999996</v>
      </c>
      <c r="JO49">
        <v>28.0351</v>
      </c>
      <c r="JP49">
        <v>100</v>
      </c>
      <c r="JQ49">
        <v>28.823799999999999</v>
      </c>
      <c r="JR49">
        <v>70</v>
      </c>
      <c r="JS49">
        <v>22.6387</v>
      </c>
      <c r="JT49">
        <v>99.76</v>
      </c>
      <c r="JU49">
        <v>98.356700000000004</v>
      </c>
    </row>
    <row r="50" spans="1:281" x14ac:dyDescent="0.25">
      <c r="A50">
        <v>34</v>
      </c>
      <c r="B50">
        <v>1693502149.0999999</v>
      </c>
      <c r="C50">
        <v>7222.5</v>
      </c>
      <c r="D50" t="s">
        <v>589</v>
      </c>
      <c r="E50" t="s">
        <v>590</v>
      </c>
      <c r="F50" t="s">
        <v>413</v>
      </c>
      <c r="G50" t="s">
        <v>565</v>
      </c>
      <c r="H50" t="s">
        <v>31</v>
      </c>
      <c r="I50">
        <v>3</v>
      </c>
      <c r="J50">
        <v>1693502149.0999999</v>
      </c>
      <c r="K50">
        <f t="shared" si="46"/>
        <v>5.7432908266342409E-3</v>
      </c>
      <c r="L50">
        <f t="shared" si="47"/>
        <v>5.7432908266342411</v>
      </c>
      <c r="M50">
        <f t="shared" si="48"/>
        <v>3.7537713325553055</v>
      </c>
      <c r="N50">
        <f t="shared" si="49"/>
        <v>25.322800000000001</v>
      </c>
      <c r="O50">
        <f t="shared" si="50"/>
        <v>10.495195069413318</v>
      </c>
      <c r="P50">
        <f t="shared" si="51"/>
        <v>1.0472051044255859</v>
      </c>
      <c r="Q50">
        <f t="shared" si="52"/>
        <v>2.5266958110794402</v>
      </c>
      <c r="R50">
        <f t="shared" si="53"/>
        <v>0.44610501860188989</v>
      </c>
      <c r="S50">
        <f t="shared" si="54"/>
        <v>2.932675603325249</v>
      </c>
      <c r="T50">
        <f t="shared" si="55"/>
        <v>0.41154610120355561</v>
      </c>
      <c r="U50">
        <f t="shared" si="56"/>
        <v>0.26009783318781798</v>
      </c>
      <c r="V50">
        <f t="shared" si="57"/>
        <v>344.4098996445415</v>
      </c>
      <c r="W50">
        <f t="shared" si="58"/>
        <v>31.194321066299395</v>
      </c>
      <c r="X50">
        <f t="shared" si="59"/>
        <v>29.945499999999999</v>
      </c>
      <c r="Y50">
        <f t="shared" si="60"/>
        <v>4.247130888933059</v>
      </c>
      <c r="Z50">
        <f t="shared" si="61"/>
        <v>65.649625059190015</v>
      </c>
      <c r="AA50">
        <f t="shared" si="62"/>
        <v>2.9045706790300199</v>
      </c>
      <c r="AB50">
        <f t="shared" si="63"/>
        <v>4.4243522737734535</v>
      </c>
      <c r="AC50">
        <f t="shared" si="64"/>
        <v>1.3425602099030391</v>
      </c>
      <c r="AD50">
        <f t="shared" si="65"/>
        <v>-253.27912545457002</v>
      </c>
      <c r="AE50">
        <f t="shared" si="66"/>
        <v>112.77730020331168</v>
      </c>
      <c r="AF50">
        <f t="shared" si="67"/>
        <v>8.5762205762791606</v>
      </c>
      <c r="AG50">
        <f t="shared" si="68"/>
        <v>212.48429496956234</v>
      </c>
      <c r="AH50">
        <v>0</v>
      </c>
      <c r="AI50">
        <v>0</v>
      </c>
      <c r="AJ50">
        <f t="shared" si="69"/>
        <v>1</v>
      </c>
      <c r="AK50">
        <f t="shared" si="70"/>
        <v>0</v>
      </c>
      <c r="AL50">
        <f t="shared" si="71"/>
        <v>52322.371586168338</v>
      </c>
      <c r="AM50" t="s">
        <v>416</v>
      </c>
      <c r="AN50">
        <v>10366.9</v>
      </c>
      <c r="AO50">
        <v>993.59653846153856</v>
      </c>
      <c r="AP50">
        <v>3431.87</v>
      </c>
      <c r="AQ50">
        <f t="shared" si="72"/>
        <v>0.71047955241266758</v>
      </c>
      <c r="AR50">
        <v>-3.9894345373445681</v>
      </c>
      <c r="AS50" t="s">
        <v>591</v>
      </c>
      <c r="AT50">
        <v>10372</v>
      </c>
      <c r="AU50">
        <v>832.24891999999988</v>
      </c>
      <c r="AV50">
        <v>885.71285379047151</v>
      </c>
      <c r="AW50">
        <f t="shared" si="73"/>
        <v>6.0362603479975352E-2</v>
      </c>
      <c r="AX50">
        <v>0.5</v>
      </c>
      <c r="AY50">
        <f t="shared" si="74"/>
        <v>1513.3613998222706</v>
      </c>
      <c r="AZ50">
        <f t="shared" si="75"/>
        <v>3.7537713325553055</v>
      </c>
      <c r="BA50">
        <f t="shared" si="76"/>
        <v>45.675217049686083</v>
      </c>
      <c r="BB50">
        <f t="shared" si="77"/>
        <v>5.1165609687211771E-3</v>
      </c>
      <c r="BC50">
        <f t="shared" si="78"/>
        <v>2.8746981996626411</v>
      </c>
      <c r="BD50">
        <f t="shared" si="79"/>
        <v>542.27215189735182</v>
      </c>
      <c r="BE50" t="s">
        <v>592</v>
      </c>
      <c r="BF50">
        <v>613.73</v>
      </c>
      <c r="BG50">
        <f t="shared" si="80"/>
        <v>613.73</v>
      </c>
      <c r="BH50">
        <f t="shared" si="81"/>
        <v>0.30707791201911705</v>
      </c>
      <c r="BI50">
        <f t="shared" si="82"/>
        <v>0.19657097146152769</v>
      </c>
      <c r="BJ50">
        <f t="shared" si="83"/>
        <v>0.90348852300081917</v>
      </c>
      <c r="BK50">
        <f t="shared" si="84"/>
        <v>-0.49557014995808663</v>
      </c>
      <c r="BL50">
        <f t="shared" si="85"/>
        <v>1.0442459331870824</v>
      </c>
      <c r="BM50">
        <f t="shared" si="86"/>
        <v>0.14495843661182931</v>
      </c>
      <c r="BN50">
        <f t="shared" si="87"/>
        <v>0.85504156338817072</v>
      </c>
      <c r="BO50">
        <v>2215</v>
      </c>
      <c r="BP50">
        <v>290.00000000000011</v>
      </c>
      <c r="BQ50">
        <v>872.6</v>
      </c>
      <c r="BR50">
        <v>175</v>
      </c>
      <c r="BS50">
        <v>10372</v>
      </c>
      <c r="BT50">
        <v>869.66</v>
      </c>
      <c r="BU50">
        <v>2.94</v>
      </c>
      <c r="BV50">
        <v>300.00000000000011</v>
      </c>
      <c r="BW50">
        <v>38.4</v>
      </c>
      <c r="BX50">
        <v>885.71285379047151</v>
      </c>
      <c r="BY50">
        <v>1.101384271376934</v>
      </c>
      <c r="BZ50">
        <v>-16.64828645357958</v>
      </c>
      <c r="CA50">
        <v>0.93451713027117311</v>
      </c>
      <c r="CB50">
        <v>0.91892729960799779</v>
      </c>
      <c r="CC50">
        <v>-1.127994505005561E-2</v>
      </c>
      <c r="CD50">
        <v>289.99999999999989</v>
      </c>
      <c r="CE50">
        <v>867.34</v>
      </c>
      <c r="CF50">
        <v>635</v>
      </c>
      <c r="CG50">
        <v>10349.1</v>
      </c>
      <c r="CH50">
        <v>869.63</v>
      </c>
      <c r="CI50">
        <v>-2.29</v>
      </c>
      <c r="CW50">
        <f t="shared" si="88"/>
        <v>1800.21</v>
      </c>
      <c r="CX50">
        <f t="shared" si="89"/>
        <v>1513.3613998222706</v>
      </c>
      <c r="CY50">
        <f t="shared" si="90"/>
        <v>0.8406582564380104</v>
      </c>
      <c r="CZ50">
        <f t="shared" si="91"/>
        <v>0.19131651287602086</v>
      </c>
      <c r="DA50">
        <v>6</v>
      </c>
      <c r="DB50">
        <v>0.5</v>
      </c>
      <c r="DC50" t="s">
        <v>419</v>
      </c>
      <c r="DD50">
        <v>2</v>
      </c>
      <c r="DE50">
        <v>1693502149.0999999</v>
      </c>
      <c r="DF50">
        <v>25.322800000000001</v>
      </c>
      <c r="DG50">
        <v>30.003299999999999</v>
      </c>
      <c r="DH50">
        <v>29.1099</v>
      </c>
      <c r="DI50">
        <v>22.416499999999999</v>
      </c>
      <c r="DJ50">
        <v>23.871400000000001</v>
      </c>
      <c r="DK50">
        <v>28.1449</v>
      </c>
      <c r="DL50">
        <v>499.84500000000003</v>
      </c>
      <c r="DM50">
        <v>99.679900000000004</v>
      </c>
      <c r="DN50">
        <v>9.9579799999999996E-2</v>
      </c>
      <c r="DO50">
        <v>30.658799999999999</v>
      </c>
      <c r="DP50">
        <v>29.945499999999999</v>
      </c>
      <c r="DQ50">
        <v>999.9</v>
      </c>
      <c r="DR50">
        <v>0</v>
      </c>
      <c r="DS50">
        <v>0</v>
      </c>
      <c r="DT50">
        <v>10050</v>
      </c>
      <c r="DU50">
        <v>0</v>
      </c>
      <c r="DV50">
        <v>1541.75</v>
      </c>
      <c r="DW50">
        <v>-4.6805099999999999</v>
      </c>
      <c r="DX50">
        <v>26.082000000000001</v>
      </c>
      <c r="DY50">
        <v>30.691299999999998</v>
      </c>
      <c r="DZ50">
        <v>6.69346</v>
      </c>
      <c r="EA50">
        <v>30.003299999999999</v>
      </c>
      <c r="EB50">
        <v>22.416499999999999</v>
      </c>
      <c r="EC50">
        <v>2.9016700000000002</v>
      </c>
      <c r="ED50">
        <v>2.23447</v>
      </c>
      <c r="EE50">
        <v>23.4742</v>
      </c>
      <c r="EF50">
        <v>19.211600000000001</v>
      </c>
      <c r="EG50">
        <v>1800.21</v>
      </c>
      <c r="EH50">
        <v>0.97799599999999998</v>
      </c>
      <c r="EI50">
        <v>2.2003999999999999E-2</v>
      </c>
      <c r="EJ50">
        <v>0</v>
      </c>
      <c r="EK50">
        <v>832.06399999999996</v>
      </c>
      <c r="EL50">
        <v>5.0002700000000004</v>
      </c>
      <c r="EM50">
        <v>15651.5</v>
      </c>
      <c r="EN50">
        <v>16250.5</v>
      </c>
      <c r="EO50">
        <v>47.436999999999998</v>
      </c>
      <c r="EP50">
        <v>47.311999999999998</v>
      </c>
      <c r="EQ50">
        <v>48.311999999999998</v>
      </c>
      <c r="ER50">
        <v>46.811999999999998</v>
      </c>
      <c r="ES50">
        <v>48.936999999999998</v>
      </c>
      <c r="ET50">
        <v>1755.71</v>
      </c>
      <c r="EU50">
        <v>39.5</v>
      </c>
      <c r="EV50">
        <v>0</v>
      </c>
      <c r="EW50">
        <v>115.4000000953674</v>
      </c>
      <c r="EX50">
        <v>0</v>
      </c>
      <c r="EY50">
        <v>832.24891999999988</v>
      </c>
      <c r="EZ50">
        <v>-0.16938459761232749</v>
      </c>
      <c r="FA50">
        <v>-32.938461428588049</v>
      </c>
      <c r="FB50">
        <v>15654.404</v>
      </c>
      <c r="FC50">
        <v>15</v>
      </c>
      <c r="FD50">
        <v>1693502116.5999999</v>
      </c>
      <c r="FE50" t="s">
        <v>593</v>
      </c>
      <c r="FF50">
        <v>1693502101.0999999</v>
      </c>
      <c r="FG50">
        <v>1693502116.5999999</v>
      </c>
      <c r="FH50">
        <v>38</v>
      </c>
      <c r="FI50">
        <v>0.02</v>
      </c>
      <c r="FJ50">
        <v>-8.9999999999999993E-3</v>
      </c>
      <c r="FK50">
        <v>1.456</v>
      </c>
      <c r="FL50">
        <v>0.6</v>
      </c>
      <c r="FM50">
        <v>30</v>
      </c>
      <c r="FN50">
        <v>23</v>
      </c>
      <c r="FO50">
        <v>0.94</v>
      </c>
      <c r="FP50">
        <v>0.05</v>
      </c>
      <c r="FQ50">
        <v>3.764088631635691</v>
      </c>
      <c r="FR50">
        <v>0.19061965105499251</v>
      </c>
      <c r="FS50">
        <v>4.4052892785895782E-2</v>
      </c>
      <c r="FT50">
        <v>1</v>
      </c>
      <c r="FU50">
        <v>0.44935272382043823</v>
      </c>
      <c r="FV50">
        <v>3.6599811953522722E-2</v>
      </c>
      <c r="FW50">
        <v>5.0004931765218214E-3</v>
      </c>
      <c r="FX50">
        <v>1</v>
      </c>
      <c r="FY50">
        <v>2</v>
      </c>
      <c r="FZ50">
        <v>2</v>
      </c>
      <c r="GA50" t="s">
        <v>421</v>
      </c>
      <c r="GB50">
        <v>3.1178599999999999</v>
      </c>
      <c r="GC50">
        <v>2.86517</v>
      </c>
      <c r="GD50">
        <v>6.7454799999999999E-3</v>
      </c>
      <c r="GE50">
        <v>8.7315699999999993E-3</v>
      </c>
      <c r="GF50">
        <v>0.13132199999999999</v>
      </c>
      <c r="GG50">
        <v>0.114691</v>
      </c>
      <c r="GH50">
        <v>30155.200000000001</v>
      </c>
      <c r="GI50">
        <v>23315.1</v>
      </c>
      <c r="GJ50">
        <v>29259.8</v>
      </c>
      <c r="GK50">
        <v>21916.3</v>
      </c>
      <c r="GL50">
        <v>34007</v>
      </c>
      <c r="GM50">
        <v>26674.6</v>
      </c>
      <c r="GN50">
        <v>40603.5</v>
      </c>
      <c r="GO50">
        <v>31127.7</v>
      </c>
      <c r="GP50">
        <v>2.0478999999999998</v>
      </c>
      <c r="GQ50">
        <v>1.9235</v>
      </c>
      <c r="GR50">
        <v>0.119492</v>
      </c>
      <c r="GS50">
        <v>0</v>
      </c>
      <c r="GT50">
        <v>27.997699999999998</v>
      </c>
      <c r="GU50">
        <v>999.9</v>
      </c>
      <c r="GV50">
        <v>63.1</v>
      </c>
      <c r="GW50">
        <v>30.1</v>
      </c>
      <c r="GX50">
        <v>27.126200000000001</v>
      </c>
      <c r="GY50">
        <v>61.6845</v>
      </c>
      <c r="GZ50">
        <v>12.083299999999999</v>
      </c>
      <c r="HA50">
        <v>1</v>
      </c>
      <c r="HB50">
        <v>9.9481700000000006E-2</v>
      </c>
      <c r="HC50">
        <v>-0.46952100000000002</v>
      </c>
      <c r="HD50">
        <v>20.28</v>
      </c>
      <c r="HE50">
        <v>5.2322600000000001</v>
      </c>
      <c r="HF50">
        <v>11.974</v>
      </c>
      <c r="HG50">
        <v>4.9749999999999996</v>
      </c>
      <c r="HH50">
        <v>3.2831999999999999</v>
      </c>
      <c r="HI50">
        <v>9999</v>
      </c>
      <c r="HJ50">
        <v>9999</v>
      </c>
      <c r="HK50">
        <v>9999</v>
      </c>
      <c r="HL50">
        <v>999.9</v>
      </c>
      <c r="HM50">
        <v>1.8609599999999999</v>
      </c>
      <c r="HN50">
        <v>1.8626100000000001</v>
      </c>
      <c r="HO50">
        <v>1.86808</v>
      </c>
      <c r="HP50">
        <v>1.8585199999999999</v>
      </c>
      <c r="HQ50">
        <v>1.8569899999999999</v>
      </c>
      <c r="HR50">
        <v>1.8606799999999999</v>
      </c>
      <c r="HS50">
        <v>1.8646199999999999</v>
      </c>
      <c r="HT50">
        <v>1.8666100000000001</v>
      </c>
      <c r="HU50">
        <v>5</v>
      </c>
      <c r="HV50">
        <v>0</v>
      </c>
      <c r="HW50">
        <v>0</v>
      </c>
      <c r="HX50">
        <v>0</v>
      </c>
      <c r="HY50" t="s">
        <v>422</v>
      </c>
      <c r="HZ50" t="s">
        <v>423</v>
      </c>
      <c r="IA50" t="s">
        <v>424</v>
      </c>
      <c r="IB50" t="s">
        <v>424</v>
      </c>
      <c r="IC50" t="s">
        <v>424</v>
      </c>
      <c r="ID50" t="s">
        <v>424</v>
      </c>
      <c r="IE50">
        <v>0</v>
      </c>
      <c r="IF50">
        <v>100</v>
      </c>
      <c r="IG50">
        <v>100</v>
      </c>
      <c r="IH50">
        <v>1.4510000000000001</v>
      </c>
      <c r="II50">
        <v>0.96499999999999997</v>
      </c>
      <c r="IJ50">
        <v>1.425659093324539</v>
      </c>
      <c r="IK50">
        <v>1.118558698776514E-3</v>
      </c>
      <c r="IL50">
        <v>-1.6939696309573479E-6</v>
      </c>
      <c r="IM50">
        <v>5.4698917449866148E-10</v>
      </c>
      <c r="IN50">
        <v>4.8490288418522882E-2</v>
      </c>
      <c r="IO50">
        <v>-7.6058941998734366E-3</v>
      </c>
      <c r="IP50">
        <v>1.6984902717538061E-3</v>
      </c>
      <c r="IQ50">
        <v>-9.6352527008986976E-6</v>
      </c>
      <c r="IR50">
        <v>2</v>
      </c>
      <c r="IS50">
        <v>2021</v>
      </c>
      <c r="IT50">
        <v>2</v>
      </c>
      <c r="IU50">
        <v>40</v>
      </c>
      <c r="IV50">
        <v>0.8</v>
      </c>
      <c r="IW50">
        <v>0.5</v>
      </c>
      <c r="IX50">
        <v>0.21606400000000001</v>
      </c>
      <c r="IY50">
        <v>2.52441</v>
      </c>
      <c r="IZ50">
        <v>1.34399</v>
      </c>
      <c r="JA50">
        <v>2.2473100000000001</v>
      </c>
      <c r="JB50">
        <v>1.5918000000000001</v>
      </c>
      <c r="JC50">
        <v>2.4121100000000002</v>
      </c>
      <c r="JD50">
        <v>34.921399999999998</v>
      </c>
      <c r="JE50">
        <v>23.956199999999999</v>
      </c>
      <c r="JF50">
        <v>18</v>
      </c>
      <c r="JG50">
        <v>512.86099999999999</v>
      </c>
      <c r="JH50">
        <v>471.77600000000001</v>
      </c>
      <c r="JI50">
        <v>28.5655</v>
      </c>
      <c r="JJ50">
        <v>28.899699999999999</v>
      </c>
      <c r="JK50">
        <v>30</v>
      </c>
      <c r="JL50">
        <v>28.766400000000001</v>
      </c>
      <c r="JM50">
        <v>28.715399999999999</v>
      </c>
      <c r="JN50">
        <v>4.4194399999999998</v>
      </c>
      <c r="JO50">
        <v>28.895299999999999</v>
      </c>
      <c r="JP50">
        <v>100</v>
      </c>
      <c r="JQ50">
        <v>28.552399999999999</v>
      </c>
      <c r="JR50">
        <v>30</v>
      </c>
      <c r="JS50">
        <v>22.291399999999999</v>
      </c>
      <c r="JT50">
        <v>99.758200000000002</v>
      </c>
      <c r="JU50">
        <v>98.361199999999997</v>
      </c>
    </row>
    <row r="51" spans="1:281" x14ac:dyDescent="0.25">
      <c r="A51">
        <v>35</v>
      </c>
      <c r="B51">
        <v>1693502267.5999999</v>
      </c>
      <c r="C51">
        <v>7341</v>
      </c>
      <c r="D51" t="s">
        <v>594</v>
      </c>
      <c r="E51" t="s">
        <v>595</v>
      </c>
      <c r="F51" t="s">
        <v>413</v>
      </c>
      <c r="G51" t="s">
        <v>565</v>
      </c>
      <c r="H51" t="s">
        <v>31</v>
      </c>
      <c r="I51">
        <v>3</v>
      </c>
      <c r="J51">
        <v>1693502267.5999999</v>
      </c>
      <c r="K51">
        <f t="shared" si="46"/>
        <v>5.9156931532479704E-3</v>
      </c>
      <c r="L51">
        <f t="shared" si="47"/>
        <v>5.91569315324797</v>
      </c>
      <c r="M51">
        <f t="shared" si="48"/>
        <v>1.1035570573852242</v>
      </c>
      <c r="N51">
        <f t="shared" si="49"/>
        <v>8.5938400000000001</v>
      </c>
      <c r="O51">
        <f t="shared" si="50"/>
        <v>4.3116605158022656</v>
      </c>
      <c r="P51">
        <f t="shared" si="51"/>
        <v>0.43019985502456887</v>
      </c>
      <c r="Q51">
        <f t="shared" si="52"/>
        <v>0.85745821326947202</v>
      </c>
      <c r="R51">
        <f t="shared" si="53"/>
        <v>0.45824144251222659</v>
      </c>
      <c r="S51">
        <f t="shared" si="54"/>
        <v>2.9221207972629388</v>
      </c>
      <c r="T51">
        <f t="shared" si="55"/>
        <v>0.42173848998307667</v>
      </c>
      <c r="U51">
        <f t="shared" si="56"/>
        <v>0.26662346875434906</v>
      </c>
      <c r="V51">
        <f t="shared" si="57"/>
        <v>344.35859964448821</v>
      </c>
      <c r="W51">
        <f t="shared" si="58"/>
        <v>31.221163173553737</v>
      </c>
      <c r="X51">
        <f t="shared" si="59"/>
        <v>29.976800000000001</v>
      </c>
      <c r="Y51">
        <f t="shared" si="60"/>
        <v>4.2547756396540564</v>
      </c>
      <c r="Z51">
        <f t="shared" si="61"/>
        <v>65.406461969942015</v>
      </c>
      <c r="AA51">
        <f t="shared" si="62"/>
        <v>2.9054445897227601</v>
      </c>
      <c r="AB51">
        <f t="shared" si="63"/>
        <v>4.4421369115760712</v>
      </c>
      <c r="AC51">
        <f t="shared" si="64"/>
        <v>1.3493310499312963</v>
      </c>
      <c r="AD51">
        <f t="shared" si="65"/>
        <v>-260.88206805823552</v>
      </c>
      <c r="AE51">
        <f t="shared" si="66"/>
        <v>118.4996145446579</v>
      </c>
      <c r="AF51">
        <f t="shared" si="67"/>
        <v>9.0484689629220085</v>
      </c>
      <c r="AG51">
        <f t="shared" si="68"/>
        <v>211.02461509383261</v>
      </c>
      <c r="AH51">
        <v>0</v>
      </c>
      <c r="AI51">
        <v>0</v>
      </c>
      <c r="AJ51">
        <f t="shared" si="69"/>
        <v>1</v>
      </c>
      <c r="AK51">
        <f t="shared" si="70"/>
        <v>0</v>
      </c>
      <c r="AL51">
        <f t="shared" si="71"/>
        <v>52009.238155152256</v>
      </c>
      <c r="AM51" t="s">
        <v>416</v>
      </c>
      <c r="AN51">
        <v>10366.9</v>
      </c>
      <c r="AO51">
        <v>993.59653846153856</v>
      </c>
      <c r="AP51">
        <v>3431.87</v>
      </c>
      <c r="AQ51">
        <f t="shared" si="72"/>
        <v>0.71047955241266758</v>
      </c>
      <c r="AR51">
        <v>-3.9894345373445681</v>
      </c>
      <c r="AS51" t="s">
        <v>596</v>
      </c>
      <c r="AT51">
        <v>10395</v>
      </c>
      <c r="AU51">
        <v>835.17787999999996</v>
      </c>
      <c r="AV51">
        <v>878.80806301618804</v>
      </c>
      <c r="AW51">
        <f t="shared" si="73"/>
        <v>4.9646998989111957E-2</v>
      </c>
      <c r="AX51">
        <v>0.5</v>
      </c>
      <c r="AY51">
        <f t="shared" si="74"/>
        <v>1513.1345998222441</v>
      </c>
      <c r="AZ51">
        <f t="shared" si="75"/>
        <v>1.1035570573852242</v>
      </c>
      <c r="BA51">
        <f t="shared" si="76"/>
        <v>37.561295973882636</v>
      </c>
      <c r="BB51">
        <f t="shared" si="77"/>
        <v>3.3658549578656732E-3</v>
      </c>
      <c r="BC51">
        <f t="shared" si="78"/>
        <v>2.905141685001567</v>
      </c>
      <c r="BD51">
        <f t="shared" si="79"/>
        <v>539.67609607144573</v>
      </c>
      <c r="BE51" t="s">
        <v>597</v>
      </c>
      <c r="BF51">
        <v>623.83000000000004</v>
      </c>
      <c r="BG51">
        <f t="shared" si="80"/>
        <v>623.83000000000004</v>
      </c>
      <c r="BH51">
        <f t="shared" si="81"/>
        <v>0.29014078698944668</v>
      </c>
      <c r="BI51">
        <f t="shared" si="82"/>
        <v>0.17111347737165178</v>
      </c>
      <c r="BJ51">
        <f t="shared" si="83"/>
        <v>0.90919713999224083</v>
      </c>
      <c r="BK51">
        <f t="shared" si="84"/>
        <v>-0.38009201574386198</v>
      </c>
      <c r="BL51">
        <f t="shared" si="85"/>
        <v>1.0470777692724109</v>
      </c>
      <c r="BM51">
        <f t="shared" si="86"/>
        <v>0.12781195855996275</v>
      </c>
      <c r="BN51">
        <f t="shared" si="87"/>
        <v>0.87218804144003725</v>
      </c>
      <c r="BO51">
        <v>2217</v>
      </c>
      <c r="BP51">
        <v>290.00000000000011</v>
      </c>
      <c r="BQ51">
        <v>868.26</v>
      </c>
      <c r="BR51">
        <v>65</v>
      </c>
      <c r="BS51">
        <v>10395</v>
      </c>
      <c r="BT51">
        <v>864.87</v>
      </c>
      <c r="BU51">
        <v>3.39</v>
      </c>
      <c r="BV51">
        <v>300.00000000000011</v>
      </c>
      <c r="BW51">
        <v>38.4</v>
      </c>
      <c r="BX51">
        <v>878.80806301618804</v>
      </c>
      <c r="BY51">
        <v>1.011140300347839</v>
      </c>
      <c r="BZ51">
        <v>-14.49217141123289</v>
      </c>
      <c r="CA51">
        <v>0.85795129983171137</v>
      </c>
      <c r="CB51">
        <v>0.91063626319933788</v>
      </c>
      <c r="CC51">
        <v>-1.1280163070077859E-2</v>
      </c>
      <c r="CD51">
        <v>289.99999999999989</v>
      </c>
      <c r="CE51">
        <v>862.18</v>
      </c>
      <c r="CF51">
        <v>685</v>
      </c>
      <c r="CG51">
        <v>10344.299999999999</v>
      </c>
      <c r="CH51">
        <v>864.8</v>
      </c>
      <c r="CI51">
        <v>-2.62</v>
      </c>
      <c r="CW51">
        <f t="shared" si="88"/>
        <v>1799.94</v>
      </c>
      <c r="CX51">
        <f t="shared" si="89"/>
        <v>1513.1345998222441</v>
      </c>
      <c r="CY51">
        <f t="shared" si="90"/>
        <v>0.84065835517975274</v>
      </c>
      <c r="CZ51">
        <f t="shared" si="91"/>
        <v>0.19131671035950543</v>
      </c>
      <c r="DA51">
        <v>6</v>
      </c>
      <c r="DB51">
        <v>0.5</v>
      </c>
      <c r="DC51" t="s">
        <v>419</v>
      </c>
      <c r="DD51">
        <v>2</v>
      </c>
      <c r="DE51">
        <v>1693502267.5999999</v>
      </c>
      <c r="DF51">
        <v>8.5938400000000001</v>
      </c>
      <c r="DG51">
        <v>9.9788099999999993</v>
      </c>
      <c r="DH51">
        <v>29.119700000000002</v>
      </c>
      <c r="DI51">
        <v>22.229099999999999</v>
      </c>
      <c r="DJ51">
        <v>7.1231200000000001</v>
      </c>
      <c r="DK51">
        <v>28.1647</v>
      </c>
      <c r="DL51">
        <v>500.11</v>
      </c>
      <c r="DM51">
        <v>99.6768</v>
      </c>
      <c r="DN51">
        <v>9.9110799999999999E-2</v>
      </c>
      <c r="DO51">
        <v>30.728999999999999</v>
      </c>
      <c r="DP51">
        <v>29.976800000000001</v>
      </c>
      <c r="DQ51">
        <v>999.9</v>
      </c>
      <c r="DR51">
        <v>0</v>
      </c>
      <c r="DS51">
        <v>0</v>
      </c>
      <c r="DT51">
        <v>9990</v>
      </c>
      <c r="DU51">
        <v>0</v>
      </c>
      <c r="DV51">
        <v>1532.86</v>
      </c>
      <c r="DW51">
        <v>-1.38497</v>
      </c>
      <c r="DX51">
        <v>8.8515899999999998</v>
      </c>
      <c r="DY51">
        <v>10.2057</v>
      </c>
      <c r="DZ51">
        <v>6.8905900000000004</v>
      </c>
      <c r="EA51">
        <v>9.9788099999999993</v>
      </c>
      <c r="EB51">
        <v>22.229099999999999</v>
      </c>
      <c r="EC51">
        <v>2.9025599999999998</v>
      </c>
      <c r="ED51">
        <v>2.2157300000000002</v>
      </c>
      <c r="EE51">
        <v>23.479299999999999</v>
      </c>
      <c r="EF51">
        <v>19.076499999999999</v>
      </c>
      <c r="EG51">
        <v>1799.94</v>
      </c>
      <c r="EH51">
        <v>0.97799199999999997</v>
      </c>
      <c r="EI51">
        <v>2.2007700000000002E-2</v>
      </c>
      <c r="EJ51">
        <v>0</v>
      </c>
      <c r="EK51">
        <v>834.97900000000004</v>
      </c>
      <c r="EL51">
        <v>5.0002700000000004</v>
      </c>
      <c r="EM51">
        <v>15692.3</v>
      </c>
      <c r="EN51">
        <v>16248.1</v>
      </c>
      <c r="EO51">
        <v>47.436999999999998</v>
      </c>
      <c r="EP51">
        <v>47.311999999999998</v>
      </c>
      <c r="EQ51">
        <v>48.311999999999998</v>
      </c>
      <c r="ER51">
        <v>46.875</v>
      </c>
      <c r="ES51">
        <v>48.936999999999998</v>
      </c>
      <c r="ET51">
        <v>1755.44</v>
      </c>
      <c r="EU51">
        <v>39.5</v>
      </c>
      <c r="EV51">
        <v>0</v>
      </c>
      <c r="EW51">
        <v>116.5999999046326</v>
      </c>
      <c r="EX51">
        <v>0</v>
      </c>
      <c r="EY51">
        <v>835.17787999999996</v>
      </c>
      <c r="EZ51">
        <v>-1.3099230700310791</v>
      </c>
      <c r="FA51">
        <v>-28.176923122105119</v>
      </c>
      <c r="FB51">
        <v>15696.232</v>
      </c>
      <c r="FC51">
        <v>15</v>
      </c>
      <c r="FD51">
        <v>1693502235.5999999</v>
      </c>
      <c r="FE51" t="s">
        <v>598</v>
      </c>
      <c r="FF51">
        <v>1693502217.5999999</v>
      </c>
      <c r="FG51">
        <v>1693502235.5999999</v>
      </c>
      <c r="FH51">
        <v>39</v>
      </c>
      <c r="FI51">
        <v>3.6999999999999998E-2</v>
      </c>
      <c r="FJ51">
        <v>-1.0999999999999999E-2</v>
      </c>
      <c r="FK51">
        <v>1.472</v>
      </c>
      <c r="FL51">
        <v>0.56599999999999995</v>
      </c>
      <c r="FM51">
        <v>10</v>
      </c>
      <c r="FN51">
        <v>22</v>
      </c>
      <c r="FO51">
        <v>0.91</v>
      </c>
      <c r="FP51">
        <v>0.03</v>
      </c>
      <c r="FQ51">
        <v>1.122091411337711</v>
      </c>
      <c r="FR51">
        <v>3.0858341115141821E-2</v>
      </c>
      <c r="FS51">
        <v>4.0433929868582727E-2</v>
      </c>
      <c r="FT51">
        <v>1</v>
      </c>
      <c r="FU51">
        <v>0.46222102793423958</v>
      </c>
      <c r="FV51">
        <v>2.537716299568438E-2</v>
      </c>
      <c r="FW51">
        <v>5.0003232571783022E-3</v>
      </c>
      <c r="FX51">
        <v>1</v>
      </c>
      <c r="FY51">
        <v>2</v>
      </c>
      <c r="FZ51">
        <v>2</v>
      </c>
      <c r="GA51" t="s">
        <v>421</v>
      </c>
      <c r="GB51">
        <v>3.1181100000000002</v>
      </c>
      <c r="GC51">
        <v>2.8641800000000002</v>
      </c>
      <c r="GD51">
        <v>2.0145900000000001E-3</v>
      </c>
      <c r="GE51">
        <v>2.90881E-3</v>
      </c>
      <c r="GF51">
        <v>0.13137499999999999</v>
      </c>
      <c r="GG51">
        <v>0.11401</v>
      </c>
      <c r="GH51">
        <v>30297.9</v>
      </c>
      <c r="GI51">
        <v>23453.1</v>
      </c>
      <c r="GJ51">
        <v>29259</v>
      </c>
      <c r="GK51">
        <v>21917.3</v>
      </c>
      <c r="GL51">
        <v>34002.800000000003</v>
      </c>
      <c r="GM51">
        <v>26695.7</v>
      </c>
      <c r="GN51">
        <v>40601.4</v>
      </c>
      <c r="GO51">
        <v>31128.799999999999</v>
      </c>
      <c r="GP51">
        <v>2.0466000000000002</v>
      </c>
      <c r="GQ51">
        <v>1.9240999999999999</v>
      </c>
      <c r="GR51">
        <v>0.12302399999999999</v>
      </c>
      <c r="GS51">
        <v>0</v>
      </c>
      <c r="GT51">
        <v>27.971399999999999</v>
      </c>
      <c r="GU51">
        <v>999.9</v>
      </c>
      <c r="GV51">
        <v>63.3</v>
      </c>
      <c r="GW51">
        <v>30</v>
      </c>
      <c r="GX51">
        <v>27.055800000000001</v>
      </c>
      <c r="GY51">
        <v>61.6145</v>
      </c>
      <c r="GZ51">
        <v>12.2035</v>
      </c>
      <c r="HA51">
        <v>1</v>
      </c>
      <c r="HB51">
        <v>0.10063999999999999</v>
      </c>
      <c r="HC51">
        <v>-0.86263599999999996</v>
      </c>
      <c r="HD51">
        <v>20.276900000000001</v>
      </c>
      <c r="HE51">
        <v>5.2208800000000002</v>
      </c>
      <c r="HF51">
        <v>11.974</v>
      </c>
      <c r="HG51">
        <v>4.9715999999999996</v>
      </c>
      <c r="HH51">
        <v>3.2810999999999999</v>
      </c>
      <c r="HI51">
        <v>9999</v>
      </c>
      <c r="HJ51">
        <v>9999</v>
      </c>
      <c r="HK51">
        <v>9999</v>
      </c>
      <c r="HL51">
        <v>999.9</v>
      </c>
      <c r="HM51">
        <v>1.8609599999999999</v>
      </c>
      <c r="HN51">
        <v>1.8626400000000001</v>
      </c>
      <c r="HO51">
        <v>1.86805</v>
      </c>
      <c r="HP51">
        <v>1.8585199999999999</v>
      </c>
      <c r="HQ51">
        <v>1.8569899999999999</v>
      </c>
      <c r="HR51">
        <v>1.8606799999999999</v>
      </c>
      <c r="HS51">
        <v>1.8646</v>
      </c>
      <c r="HT51">
        <v>1.8666100000000001</v>
      </c>
      <c r="HU51">
        <v>5</v>
      </c>
      <c r="HV51">
        <v>0</v>
      </c>
      <c r="HW51">
        <v>0</v>
      </c>
      <c r="HX51">
        <v>0</v>
      </c>
      <c r="HY51" t="s">
        <v>422</v>
      </c>
      <c r="HZ51" t="s">
        <v>423</v>
      </c>
      <c r="IA51" t="s">
        <v>424</v>
      </c>
      <c r="IB51" t="s">
        <v>424</v>
      </c>
      <c r="IC51" t="s">
        <v>424</v>
      </c>
      <c r="ID51" t="s">
        <v>424</v>
      </c>
      <c r="IE51">
        <v>0</v>
      </c>
      <c r="IF51">
        <v>100</v>
      </c>
      <c r="IG51">
        <v>100</v>
      </c>
      <c r="IH51">
        <v>1.4710000000000001</v>
      </c>
      <c r="II51">
        <v>0.95499999999999996</v>
      </c>
      <c r="IJ51">
        <v>1.4628384980414051</v>
      </c>
      <c r="IK51">
        <v>1.118558698776514E-3</v>
      </c>
      <c r="IL51">
        <v>-1.6939696309573479E-6</v>
      </c>
      <c r="IM51">
        <v>5.4698917449866148E-10</v>
      </c>
      <c r="IN51">
        <v>3.7159917540114051E-2</v>
      </c>
      <c r="IO51">
        <v>-7.6058941998734366E-3</v>
      </c>
      <c r="IP51">
        <v>1.6984902717538061E-3</v>
      </c>
      <c r="IQ51">
        <v>-9.6352527008986976E-6</v>
      </c>
      <c r="IR51">
        <v>2</v>
      </c>
      <c r="IS51">
        <v>2021</v>
      </c>
      <c r="IT51">
        <v>2</v>
      </c>
      <c r="IU51">
        <v>40</v>
      </c>
      <c r="IV51">
        <v>0.8</v>
      </c>
      <c r="IW51">
        <v>0.5</v>
      </c>
      <c r="IX51">
        <v>0.17333999999999999</v>
      </c>
      <c r="IY51">
        <v>2.5524900000000001</v>
      </c>
      <c r="IZ51">
        <v>1.34399</v>
      </c>
      <c r="JA51">
        <v>2.2473100000000001</v>
      </c>
      <c r="JB51">
        <v>1.5918000000000001</v>
      </c>
      <c r="JC51">
        <v>2.4072300000000002</v>
      </c>
      <c r="JD51">
        <v>34.829599999999999</v>
      </c>
      <c r="JE51">
        <v>23.947399999999998</v>
      </c>
      <c r="JF51">
        <v>18</v>
      </c>
      <c r="JG51">
        <v>512.24699999999996</v>
      </c>
      <c r="JH51">
        <v>472.40800000000002</v>
      </c>
      <c r="JI51">
        <v>28.594200000000001</v>
      </c>
      <c r="JJ51">
        <v>28.919599999999999</v>
      </c>
      <c r="JK51">
        <v>29.9999</v>
      </c>
      <c r="JL51">
        <v>28.790900000000001</v>
      </c>
      <c r="JM51">
        <v>28.739899999999999</v>
      </c>
      <c r="JN51">
        <v>3.5421499999999999</v>
      </c>
      <c r="JO51">
        <v>29.076499999999999</v>
      </c>
      <c r="JP51">
        <v>100</v>
      </c>
      <c r="JQ51">
        <v>28.763999999999999</v>
      </c>
      <c r="JR51">
        <v>10</v>
      </c>
      <c r="JS51">
        <v>22.2561</v>
      </c>
      <c r="JT51">
        <v>99.754000000000005</v>
      </c>
      <c r="JU51">
        <v>98.365200000000002</v>
      </c>
    </row>
    <row r="52" spans="1:281" x14ac:dyDescent="0.25">
      <c r="A52">
        <v>36</v>
      </c>
      <c r="B52">
        <v>1693502457.0999999</v>
      </c>
      <c r="C52">
        <v>7530.5</v>
      </c>
      <c r="D52" t="s">
        <v>599</v>
      </c>
      <c r="E52" t="s">
        <v>600</v>
      </c>
      <c r="F52" t="s">
        <v>413</v>
      </c>
      <c r="G52" t="s">
        <v>565</v>
      </c>
      <c r="H52" t="s">
        <v>31</v>
      </c>
      <c r="I52">
        <v>3</v>
      </c>
      <c r="J52">
        <v>1693502457.0999999</v>
      </c>
      <c r="K52">
        <f t="shared" si="46"/>
        <v>5.6142241072217281E-3</v>
      </c>
      <c r="L52">
        <f t="shared" si="47"/>
        <v>5.6142241072217285</v>
      </c>
      <c r="M52">
        <f t="shared" si="48"/>
        <v>36.638974021785749</v>
      </c>
      <c r="N52">
        <f t="shared" si="49"/>
        <v>353.84199999999998</v>
      </c>
      <c r="O52">
        <f t="shared" si="50"/>
        <v>196.65957442186343</v>
      </c>
      <c r="P52">
        <f t="shared" si="51"/>
        <v>19.621110799516032</v>
      </c>
      <c r="Q52">
        <f t="shared" si="52"/>
        <v>35.303509162636004</v>
      </c>
      <c r="R52">
        <f t="shared" si="53"/>
        <v>0.41470099271943128</v>
      </c>
      <c r="S52">
        <f t="shared" si="54"/>
        <v>2.9325435352906739</v>
      </c>
      <c r="T52">
        <f t="shared" si="55"/>
        <v>0.38465967429130193</v>
      </c>
      <c r="U52">
        <f t="shared" si="56"/>
        <v>0.24292978993313366</v>
      </c>
      <c r="V52">
        <f t="shared" si="57"/>
        <v>344.39089964452177</v>
      </c>
      <c r="W52">
        <f t="shared" si="58"/>
        <v>31.146013322057605</v>
      </c>
      <c r="X52">
        <f t="shared" si="59"/>
        <v>30.033999999999999</v>
      </c>
      <c r="Y52">
        <f t="shared" si="60"/>
        <v>4.2687772256300054</v>
      </c>
      <c r="Z52">
        <f t="shared" si="61"/>
        <v>65.05010494784203</v>
      </c>
      <c r="AA52">
        <f t="shared" si="62"/>
        <v>2.8646325037043998</v>
      </c>
      <c r="AB52">
        <f t="shared" si="63"/>
        <v>4.4037323321788593</v>
      </c>
      <c r="AC52">
        <f t="shared" si="64"/>
        <v>1.4041447219256056</v>
      </c>
      <c r="AD52">
        <f t="shared" si="65"/>
        <v>-247.58728312847822</v>
      </c>
      <c r="AE52">
        <f t="shared" si="66"/>
        <v>85.863722810210689</v>
      </c>
      <c r="AF52">
        <f t="shared" si="67"/>
        <v>6.5300705579363365</v>
      </c>
      <c r="AG52">
        <f t="shared" si="68"/>
        <v>189.19740988419056</v>
      </c>
      <c r="AH52">
        <v>0</v>
      </c>
      <c r="AI52">
        <v>0</v>
      </c>
      <c r="AJ52">
        <f t="shared" si="69"/>
        <v>1</v>
      </c>
      <c r="AK52">
        <f t="shared" si="70"/>
        <v>0</v>
      </c>
      <c r="AL52">
        <f t="shared" si="71"/>
        <v>52332.514973201527</v>
      </c>
      <c r="AM52" t="s">
        <v>416</v>
      </c>
      <c r="AN52">
        <v>10366.9</v>
      </c>
      <c r="AO52">
        <v>993.59653846153856</v>
      </c>
      <c r="AP52">
        <v>3431.87</v>
      </c>
      <c r="AQ52">
        <f t="shared" si="72"/>
        <v>0.71047955241266758</v>
      </c>
      <c r="AR52">
        <v>-3.9894345373445681</v>
      </c>
      <c r="AS52" t="s">
        <v>601</v>
      </c>
      <c r="AT52">
        <v>10367.700000000001</v>
      </c>
      <c r="AU52">
        <v>796.22159999999985</v>
      </c>
      <c r="AV52">
        <v>1048.7248920760139</v>
      </c>
      <c r="AW52">
        <f t="shared" si="73"/>
        <v>0.2407717161897136</v>
      </c>
      <c r="AX52">
        <v>0.5</v>
      </c>
      <c r="AY52">
        <f t="shared" si="74"/>
        <v>1513.2773998222608</v>
      </c>
      <c r="AZ52">
        <f t="shared" si="75"/>
        <v>36.638974021785749</v>
      </c>
      <c r="BA52">
        <f t="shared" si="76"/>
        <v>182.17719831315657</v>
      </c>
      <c r="BB52">
        <f t="shared" si="77"/>
        <v>2.6847958321390551E-2</v>
      </c>
      <c r="BC52">
        <f t="shared" si="78"/>
        <v>2.2724216102150554</v>
      </c>
      <c r="BD52">
        <f t="shared" si="79"/>
        <v>599.30576882594664</v>
      </c>
      <c r="BE52" t="s">
        <v>602</v>
      </c>
      <c r="BF52">
        <v>605.22</v>
      </c>
      <c r="BG52">
        <f t="shared" si="80"/>
        <v>605.22</v>
      </c>
      <c r="BH52">
        <f t="shared" si="81"/>
        <v>0.42289917539581745</v>
      </c>
      <c r="BI52">
        <f t="shared" si="82"/>
        <v>0.56933597934864855</v>
      </c>
      <c r="BJ52">
        <f t="shared" si="83"/>
        <v>0.84309875928183053</v>
      </c>
      <c r="BK52">
        <f t="shared" si="84"/>
        <v>4.5802799380120218</v>
      </c>
      <c r="BL52">
        <f t="shared" si="85"/>
        <v>0.97739041396132342</v>
      </c>
      <c r="BM52">
        <f t="shared" si="86"/>
        <v>0.43276083118241099</v>
      </c>
      <c r="BN52">
        <f t="shared" si="87"/>
        <v>0.56723916881758907</v>
      </c>
      <c r="BO52">
        <v>2219</v>
      </c>
      <c r="BP52">
        <v>290.00000000000011</v>
      </c>
      <c r="BQ52">
        <v>974.98</v>
      </c>
      <c r="BR52">
        <v>205</v>
      </c>
      <c r="BS52">
        <v>10367.700000000001</v>
      </c>
      <c r="BT52">
        <v>972.92</v>
      </c>
      <c r="BU52">
        <v>2.06</v>
      </c>
      <c r="BV52">
        <v>300.00000000000011</v>
      </c>
      <c r="BW52">
        <v>38.4</v>
      </c>
      <c r="BX52">
        <v>1048.7248920760139</v>
      </c>
      <c r="BY52">
        <v>1.127007473258681</v>
      </c>
      <c r="BZ52">
        <v>-78.589843117808414</v>
      </c>
      <c r="CA52">
        <v>0.95629024920006578</v>
      </c>
      <c r="CB52">
        <v>0.99587135176683017</v>
      </c>
      <c r="CC52">
        <v>-1.128104404894327E-2</v>
      </c>
      <c r="CD52">
        <v>289.99999999999989</v>
      </c>
      <c r="CE52">
        <v>961.39</v>
      </c>
      <c r="CF52">
        <v>655</v>
      </c>
      <c r="CG52">
        <v>10347.4</v>
      </c>
      <c r="CH52">
        <v>972.77</v>
      </c>
      <c r="CI52">
        <v>-11.38</v>
      </c>
      <c r="CW52">
        <f t="shared" si="88"/>
        <v>1800.11</v>
      </c>
      <c r="CX52">
        <f t="shared" si="89"/>
        <v>1513.2773998222608</v>
      </c>
      <c r="CY52">
        <f t="shared" si="90"/>
        <v>0.84065829300557238</v>
      </c>
      <c r="CZ52">
        <f t="shared" si="91"/>
        <v>0.19131658601114476</v>
      </c>
      <c r="DA52">
        <v>6</v>
      </c>
      <c r="DB52">
        <v>0.5</v>
      </c>
      <c r="DC52" t="s">
        <v>419</v>
      </c>
      <c r="DD52">
        <v>2</v>
      </c>
      <c r="DE52">
        <v>1693502457.0999999</v>
      </c>
      <c r="DF52">
        <v>353.84199999999998</v>
      </c>
      <c r="DG52">
        <v>400.16899999999998</v>
      </c>
      <c r="DH52">
        <v>28.7118</v>
      </c>
      <c r="DI52">
        <v>22.171500000000002</v>
      </c>
      <c r="DJ52">
        <v>351.96199999999999</v>
      </c>
      <c r="DK52">
        <v>27.783899999999999</v>
      </c>
      <c r="DL52">
        <v>500.255</v>
      </c>
      <c r="DM52">
        <v>99.672399999999996</v>
      </c>
      <c r="DN52">
        <v>9.9557999999999994E-2</v>
      </c>
      <c r="DO52">
        <v>30.577100000000002</v>
      </c>
      <c r="DP52">
        <v>30.033999999999999</v>
      </c>
      <c r="DQ52">
        <v>999.9</v>
      </c>
      <c r="DR52">
        <v>0</v>
      </c>
      <c r="DS52">
        <v>0</v>
      </c>
      <c r="DT52">
        <v>10050</v>
      </c>
      <c r="DU52">
        <v>0</v>
      </c>
      <c r="DV52">
        <v>1530.26</v>
      </c>
      <c r="DW52">
        <v>-46.326599999999999</v>
      </c>
      <c r="DX52">
        <v>364.30200000000002</v>
      </c>
      <c r="DY52">
        <v>409.24200000000002</v>
      </c>
      <c r="DZ52">
        <v>6.5403500000000001</v>
      </c>
      <c r="EA52">
        <v>400.16899999999998</v>
      </c>
      <c r="EB52">
        <v>22.171500000000002</v>
      </c>
      <c r="EC52">
        <v>2.86178</v>
      </c>
      <c r="ED52">
        <v>2.2098800000000001</v>
      </c>
      <c r="EE52">
        <v>23.244800000000001</v>
      </c>
      <c r="EF52">
        <v>19.034099999999999</v>
      </c>
      <c r="EG52">
        <v>1800.11</v>
      </c>
      <c r="EH52">
        <v>0.97799599999999998</v>
      </c>
      <c r="EI52">
        <v>2.2003999999999999E-2</v>
      </c>
      <c r="EJ52">
        <v>0</v>
      </c>
      <c r="EK52">
        <v>795.01</v>
      </c>
      <c r="EL52">
        <v>5.0002700000000004</v>
      </c>
      <c r="EM52">
        <v>14974.7</v>
      </c>
      <c r="EN52">
        <v>16249.6</v>
      </c>
      <c r="EO52">
        <v>47.625</v>
      </c>
      <c r="EP52">
        <v>47.561999999999998</v>
      </c>
      <c r="EQ52">
        <v>48.5</v>
      </c>
      <c r="ER52">
        <v>47.125</v>
      </c>
      <c r="ES52">
        <v>49.125</v>
      </c>
      <c r="ET52">
        <v>1755.61</v>
      </c>
      <c r="EU52">
        <v>39.5</v>
      </c>
      <c r="EV52">
        <v>0</v>
      </c>
      <c r="EW52">
        <v>187.4000000953674</v>
      </c>
      <c r="EX52">
        <v>0</v>
      </c>
      <c r="EY52">
        <v>796.22159999999985</v>
      </c>
      <c r="EZ52">
        <v>-13.34107690003594</v>
      </c>
      <c r="FA52">
        <v>-260.09999956800118</v>
      </c>
      <c r="FB52">
        <v>15005.36</v>
      </c>
      <c r="FC52">
        <v>15</v>
      </c>
      <c r="FD52">
        <v>1693502367.0999999</v>
      </c>
      <c r="FE52" t="s">
        <v>603</v>
      </c>
      <c r="FF52">
        <v>1693502351.0999999</v>
      </c>
      <c r="FG52">
        <v>1693502367.0999999</v>
      </c>
      <c r="FH52">
        <v>40</v>
      </c>
      <c r="FI52">
        <v>0.21</v>
      </c>
      <c r="FJ52">
        <v>-2E-3</v>
      </c>
      <c r="FK52">
        <v>1.8839999999999999</v>
      </c>
      <c r="FL52">
        <v>0.55900000000000005</v>
      </c>
      <c r="FM52">
        <v>400</v>
      </c>
      <c r="FN52">
        <v>22</v>
      </c>
      <c r="FO52">
        <v>0.28999999999999998</v>
      </c>
      <c r="FP52">
        <v>0.02</v>
      </c>
      <c r="FQ52">
        <v>36.170595579813551</v>
      </c>
      <c r="FR52">
        <v>2.5328664056038899</v>
      </c>
      <c r="FS52">
        <v>0.20349999945155331</v>
      </c>
      <c r="FT52">
        <v>0</v>
      </c>
      <c r="FU52">
        <v>0.41852932042322089</v>
      </c>
      <c r="FV52">
        <v>-2.3104678983981611E-2</v>
      </c>
      <c r="FW52">
        <v>1.980754776285812E-3</v>
      </c>
      <c r="FX52">
        <v>1</v>
      </c>
      <c r="FY52">
        <v>1</v>
      </c>
      <c r="FZ52">
        <v>2</v>
      </c>
      <c r="GA52" t="s">
        <v>460</v>
      </c>
      <c r="GB52">
        <v>3.1182599999999998</v>
      </c>
      <c r="GC52">
        <v>2.8651499999999999</v>
      </c>
      <c r="GD52">
        <v>8.4572499999999995E-2</v>
      </c>
      <c r="GE52">
        <v>9.5919299999999999E-2</v>
      </c>
      <c r="GF52">
        <v>0.130106</v>
      </c>
      <c r="GG52">
        <v>0.11378000000000001</v>
      </c>
      <c r="GH52">
        <v>27787.200000000001</v>
      </c>
      <c r="GI52">
        <v>21264.3</v>
      </c>
      <c r="GJ52">
        <v>29255.1</v>
      </c>
      <c r="GK52">
        <v>21916.7</v>
      </c>
      <c r="GL52">
        <v>34059.699999999997</v>
      </c>
      <c r="GM52">
        <v>26708.799999999999</v>
      </c>
      <c r="GN52">
        <v>40596.6</v>
      </c>
      <c r="GO52">
        <v>31127.5</v>
      </c>
      <c r="GP52">
        <v>2.0472000000000001</v>
      </c>
      <c r="GQ52">
        <v>1.9238999999999999</v>
      </c>
      <c r="GR52">
        <v>0.117674</v>
      </c>
      <c r="GS52">
        <v>0</v>
      </c>
      <c r="GT52">
        <v>28.116099999999999</v>
      </c>
      <c r="GU52">
        <v>999.9</v>
      </c>
      <c r="GV52">
        <v>63.5</v>
      </c>
      <c r="GW52">
        <v>29.9</v>
      </c>
      <c r="GX52">
        <v>26.985700000000001</v>
      </c>
      <c r="GY52">
        <v>61.7545</v>
      </c>
      <c r="GZ52">
        <v>11.927099999999999</v>
      </c>
      <c r="HA52">
        <v>1</v>
      </c>
      <c r="HB52">
        <v>0.10564999999999999</v>
      </c>
      <c r="HC52">
        <v>-0.184978</v>
      </c>
      <c r="HD52">
        <v>20.281400000000001</v>
      </c>
      <c r="HE52">
        <v>5.2340600000000004</v>
      </c>
      <c r="HF52">
        <v>11.974</v>
      </c>
      <c r="HG52">
        <v>4.9749999999999996</v>
      </c>
      <c r="HH52">
        <v>3.2837000000000001</v>
      </c>
      <c r="HI52">
        <v>9999</v>
      </c>
      <c r="HJ52">
        <v>9999</v>
      </c>
      <c r="HK52">
        <v>9999</v>
      </c>
      <c r="HL52">
        <v>999.9</v>
      </c>
      <c r="HM52">
        <v>1.86094</v>
      </c>
      <c r="HN52">
        <v>1.8625700000000001</v>
      </c>
      <c r="HO52">
        <v>1.8680099999999999</v>
      </c>
      <c r="HP52">
        <v>1.8585100000000001</v>
      </c>
      <c r="HQ52">
        <v>1.85697</v>
      </c>
      <c r="HR52">
        <v>1.86066</v>
      </c>
      <c r="HS52">
        <v>1.8645799999999999</v>
      </c>
      <c r="HT52">
        <v>1.8666</v>
      </c>
      <c r="HU52">
        <v>5</v>
      </c>
      <c r="HV52">
        <v>0</v>
      </c>
      <c r="HW52">
        <v>0</v>
      </c>
      <c r="HX52">
        <v>0</v>
      </c>
      <c r="HY52" t="s">
        <v>422</v>
      </c>
      <c r="HZ52" t="s">
        <v>423</v>
      </c>
      <c r="IA52" t="s">
        <v>424</v>
      </c>
      <c r="IB52" t="s">
        <v>424</v>
      </c>
      <c r="IC52" t="s">
        <v>424</v>
      </c>
      <c r="ID52" t="s">
        <v>424</v>
      </c>
      <c r="IE52">
        <v>0</v>
      </c>
      <c r="IF52">
        <v>100</v>
      </c>
      <c r="IG52">
        <v>100</v>
      </c>
      <c r="IH52">
        <v>1.88</v>
      </c>
      <c r="II52">
        <v>0.92789999999999995</v>
      </c>
      <c r="IJ52">
        <v>1.6726026480420071</v>
      </c>
      <c r="IK52">
        <v>1.118558698776514E-3</v>
      </c>
      <c r="IL52">
        <v>-1.6939696309573479E-6</v>
      </c>
      <c r="IM52">
        <v>5.4698917449866148E-10</v>
      </c>
      <c r="IN52">
        <v>3.4716143996719739E-2</v>
      </c>
      <c r="IO52">
        <v>-7.6058941998734366E-3</v>
      </c>
      <c r="IP52">
        <v>1.6984902717538061E-3</v>
      </c>
      <c r="IQ52">
        <v>-9.6352527008986976E-6</v>
      </c>
      <c r="IR52">
        <v>2</v>
      </c>
      <c r="IS52">
        <v>2021</v>
      </c>
      <c r="IT52">
        <v>2</v>
      </c>
      <c r="IU52">
        <v>40</v>
      </c>
      <c r="IV52">
        <v>1.8</v>
      </c>
      <c r="IW52">
        <v>1.5</v>
      </c>
      <c r="IX52">
        <v>1.02783</v>
      </c>
      <c r="IY52">
        <v>2.48291</v>
      </c>
      <c r="IZ52">
        <v>1.34399</v>
      </c>
      <c r="JA52">
        <v>2.2473100000000001</v>
      </c>
      <c r="JB52">
        <v>1.5918000000000001</v>
      </c>
      <c r="JC52">
        <v>2.4475099999999999</v>
      </c>
      <c r="JD52">
        <v>34.737900000000003</v>
      </c>
      <c r="JE52">
        <v>23.991199999999999</v>
      </c>
      <c r="JF52">
        <v>18</v>
      </c>
      <c r="JG52">
        <v>513.20799999999997</v>
      </c>
      <c r="JH52">
        <v>472.88200000000001</v>
      </c>
      <c r="JI52">
        <v>28.365600000000001</v>
      </c>
      <c r="JJ52">
        <v>28.996500000000001</v>
      </c>
      <c r="JK52">
        <v>30</v>
      </c>
      <c r="JL52">
        <v>28.8523</v>
      </c>
      <c r="JM52">
        <v>28.806699999999999</v>
      </c>
      <c r="JN52">
        <v>20.652200000000001</v>
      </c>
      <c r="JO52">
        <v>28.729399999999998</v>
      </c>
      <c r="JP52">
        <v>100</v>
      </c>
      <c r="JQ52">
        <v>28.309100000000001</v>
      </c>
      <c r="JR52">
        <v>400</v>
      </c>
      <c r="JS52">
        <v>22.2</v>
      </c>
      <c r="JT52">
        <v>99.741699999999994</v>
      </c>
      <c r="JU52">
        <v>98.361400000000003</v>
      </c>
    </row>
    <row r="53" spans="1:281" x14ac:dyDescent="0.25">
      <c r="A53">
        <v>37</v>
      </c>
      <c r="B53">
        <v>1693502600.5999999</v>
      </c>
      <c r="C53">
        <v>7674</v>
      </c>
      <c r="D53" t="s">
        <v>604</v>
      </c>
      <c r="E53" t="s">
        <v>605</v>
      </c>
      <c r="F53" t="s">
        <v>413</v>
      </c>
      <c r="G53" t="s">
        <v>565</v>
      </c>
      <c r="H53" t="s">
        <v>31</v>
      </c>
      <c r="I53">
        <v>3</v>
      </c>
      <c r="J53">
        <v>1693502600.5999999</v>
      </c>
      <c r="K53">
        <f t="shared" si="46"/>
        <v>5.1358918098420728E-3</v>
      </c>
      <c r="L53">
        <f t="shared" si="47"/>
        <v>5.1358918098420725</v>
      </c>
      <c r="M53">
        <f t="shared" si="48"/>
        <v>38.371459945127633</v>
      </c>
      <c r="N53">
        <f t="shared" si="49"/>
        <v>351.70600000000002</v>
      </c>
      <c r="O53">
        <f t="shared" si="50"/>
        <v>169.44153931693958</v>
      </c>
      <c r="P53">
        <f t="shared" si="51"/>
        <v>16.904089801661392</v>
      </c>
      <c r="Q53">
        <f t="shared" si="52"/>
        <v>35.087439784541409</v>
      </c>
      <c r="R53">
        <f t="shared" si="53"/>
        <v>0.36939231374376419</v>
      </c>
      <c r="S53">
        <f t="shared" si="54"/>
        <v>2.9310872345065686</v>
      </c>
      <c r="T53">
        <f t="shared" si="55"/>
        <v>0.34534170972970518</v>
      </c>
      <c r="U53">
        <f t="shared" si="56"/>
        <v>0.21786879617539642</v>
      </c>
      <c r="V53">
        <f t="shared" si="57"/>
        <v>344.36619964449613</v>
      </c>
      <c r="W53">
        <f t="shared" si="58"/>
        <v>31.205491128358986</v>
      </c>
      <c r="X53">
        <f t="shared" si="59"/>
        <v>30.071400000000001</v>
      </c>
      <c r="Y53">
        <f t="shared" si="60"/>
        <v>4.2779538044777752</v>
      </c>
      <c r="Z53">
        <f t="shared" si="61"/>
        <v>64.895410650915451</v>
      </c>
      <c r="AA53">
        <f t="shared" si="62"/>
        <v>2.8472617475811903</v>
      </c>
      <c r="AB53">
        <f t="shared" si="63"/>
        <v>4.3874624091634828</v>
      </c>
      <c r="AC53">
        <f t="shared" si="64"/>
        <v>1.4306920568965849</v>
      </c>
      <c r="AD53">
        <f t="shared" si="65"/>
        <v>-226.49282881403542</v>
      </c>
      <c r="AE53">
        <f t="shared" si="66"/>
        <v>69.687161769142534</v>
      </c>
      <c r="AF53">
        <f t="shared" si="67"/>
        <v>5.3017336477747525</v>
      </c>
      <c r="AG53">
        <f t="shared" si="68"/>
        <v>192.86226624737802</v>
      </c>
      <c r="AH53">
        <v>0</v>
      </c>
      <c r="AI53">
        <v>0</v>
      </c>
      <c r="AJ53">
        <f t="shared" si="69"/>
        <v>1</v>
      </c>
      <c r="AK53">
        <f t="shared" si="70"/>
        <v>0</v>
      </c>
      <c r="AL53">
        <f t="shared" si="71"/>
        <v>52301.891991099837</v>
      </c>
      <c r="AM53" t="s">
        <v>416</v>
      </c>
      <c r="AN53">
        <v>10366.9</v>
      </c>
      <c r="AO53">
        <v>993.59653846153856</v>
      </c>
      <c r="AP53">
        <v>3431.87</v>
      </c>
      <c r="AQ53">
        <f t="shared" si="72"/>
        <v>0.71047955241266758</v>
      </c>
      <c r="AR53">
        <v>-3.9894345373445681</v>
      </c>
      <c r="AS53" t="s">
        <v>606</v>
      </c>
      <c r="AT53">
        <v>10383.299999999999</v>
      </c>
      <c r="AU53">
        <v>792.6418799999999</v>
      </c>
      <c r="AV53">
        <v>1069.08820153996</v>
      </c>
      <c r="AW53">
        <f t="shared" si="73"/>
        <v>0.25858139781334699</v>
      </c>
      <c r="AX53">
        <v>0.5</v>
      </c>
      <c r="AY53">
        <f t="shared" si="74"/>
        <v>1513.168199822248</v>
      </c>
      <c r="AZ53">
        <f t="shared" si="75"/>
        <v>38.371459945127633</v>
      </c>
      <c r="BA53">
        <f t="shared" si="76"/>
        <v>195.63857411837142</v>
      </c>
      <c r="BB53">
        <f t="shared" si="77"/>
        <v>2.7994835265139951E-2</v>
      </c>
      <c r="BC53">
        <f t="shared" si="78"/>
        <v>2.2100906127825457</v>
      </c>
      <c r="BD53">
        <f t="shared" si="79"/>
        <v>605.90089794541359</v>
      </c>
      <c r="BE53" t="s">
        <v>607</v>
      </c>
      <c r="BF53">
        <v>606.29</v>
      </c>
      <c r="BG53">
        <f t="shared" si="80"/>
        <v>606.29</v>
      </c>
      <c r="BH53">
        <f t="shared" si="81"/>
        <v>0.43289057055659752</v>
      </c>
      <c r="BI53">
        <f t="shared" si="82"/>
        <v>0.59733663748062449</v>
      </c>
      <c r="BJ53">
        <f t="shared" si="83"/>
        <v>0.83621125519717709</v>
      </c>
      <c r="BK53">
        <f t="shared" si="84"/>
        <v>3.6619450448824411</v>
      </c>
      <c r="BL53">
        <f t="shared" si="85"/>
        <v>0.9690388858061928</v>
      </c>
      <c r="BM53">
        <f t="shared" si="86"/>
        <v>0.4569014571096443</v>
      </c>
      <c r="BN53">
        <f t="shared" si="87"/>
        <v>0.54309854289035564</v>
      </c>
      <c r="BO53">
        <v>2221</v>
      </c>
      <c r="BP53">
        <v>290.00000000000011</v>
      </c>
      <c r="BQ53">
        <v>992.76</v>
      </c>
      <c r="BR53">
        <v>115</v>
      </c>
      <c r="BS53">
        <v>10383.299999999999</v>
      </c>
      <c r="BT53">
        <v>990.75</v>
      </c>
      <c r="BU53">
        <v>2.0099999999999998</v>
      </c>
      <c r="BV53">
        <v>300.00000000000011</v>
      </c>
      <c r="BW53">
        <v>38.4</v>
      </c>
      <c r="BX53">
        <v>1069.08820153996</v>
      </c>
      <c r="BY53">
        <v>1.299674275459098</v>
      </c>
      <c r="BZ53">
        <v>-81.342067758764017</v>
      </c>
      <c r="CA53">
        <v>1.1027229375594989</v>
      </c>
      <c r="CB53">
        <v>0.99488045539997827</v>
      </c>
      <c r="CC53">
        <v>-1.128033437152391E-2</v>
      </c>
      <c r="CD53">
        <v>289.99999999999989</v>
      </c>
      <c r="CE53">
        <v>982.71</v>
      </c>
      <c r="CF53">
        <v>635</v>
      </c>
      <c r="CG53">
        <v>10348.700000000001</v>
      </c>
      <c r="CH53">
        <v>990.49</v>
      </c>
      <c r="CI53">
        <v>-7.78</v>
      </c>
      <c r="CW53">
        <f t="shared" si="88"/>
        <v>1799.98</v>
      </c>
      <c r="CX53">
        <f t="shared" si="89"/>
        <v>1513.168199822248</v>
      </c>
      <c r="CY53">
        <f t="shared" si="90"/>
        <v>0.84065834054947719</v>
      </c>
      <c r="CZ53">
        <f t="shared" si="91"/>
        <v>0.1913166810989545</v>
      </c>
      <c r="DA53">
        <v>6</v>
      </c>
      <c r="DB53">
        <v>0.5</v>
      </c>
      <c r="DC53" t="s">
        <v>419</v>
      </c>
      <c r="DD53">
        <v>2</v>
      </c>
      <c r="DE53">
        <v>1693502600.5999999</v>
      </c>
      <c r="DF53">
        <v>351.70600000000002</v>
      </c>
      <c r="DG53">
        <v>399.86799999999999</v>
      </c>
      <c r="DH53">
        <v>28.540099999999999</v>
      </c>
      <c r="DI53">
        <v>22.5593</v>
      </c>
      <c r="DJ53">
        <v>349.827</v>
      </c>
      <c r="DK53">
        <v>27.6219</v>
      </c>
      <c r="DL53">
        <v>500.53300000000002</v>
      </c>
      <c r="DM53">
        <v>99.664100000000005</v>
      </c>
      <c r="DN53">
        <v>9.9451899999999996E-2</v>
      </c>
      <c r="DO53">
        <v>30.5124</v>
      </c>
      <c r="DP53">
        <v>30.071400000000001</v>
      </c>
      <c r="DQ53">
        <v>999.9</v>
      </c>
      <c r="DR53">
        <v>0</v>
      </c>
      <c r="DS53">
        <v>0</v>
      </c>
      <c r="DT53">
        <v>10042.5</v>
      </c>
      <c r="DU53">
        <v>0</v>
      </c>
      <c r="DV53">
        <v>1527.35</v>
      </c>
      <c r="DW53">
        <v>-48.161700000000003</v>
      </c>
      <c r="DX53">
        <v>362.03800000000001</v>
      </c>
      <c r="DY53">
        <v>409.096</v>
      </c>
      <c r="DZ53">
        <v>5.9808300000000001</v>
      </c>
      <c r="EA53">
        <v>399.86799999999999</v>
      </c>
      <c r="EB53">
        <v>22.5593</v>
      </c>
      <c r="EC53">
        <v>2.8444199999999999</v>
      </c>
      <c r="ED53">
        <v>2.2483499999999998</v>
      </c>
      <c r="EE53">
        <v>23.144200000000001</v>
      </c>
      <c r="EF53">
        <v>19.311</v>
      </c>
      <c r="EG53">
        <v>1799.98</v>
      </c>
      <c r="EH53">
        <v>0.97799599999999998</v>
      </c>
      <c r="EI53">
        <v>2.2003999999999999E-2</v>
      </c>
      <c r="EJ53">
        <v>0</v>
      </c>
      <c r="EK53">
        <v>793.35699999999997</v>
      </c>
      <c r="EL53">
        <v>5.0002700000000004</v>
      </c>
      <c r="EM53">
        <v>14953.9</v>
      </c>
      <c r="EN53">
        <v>16248.4</v>
      </c>
      <c r="EO53">
        <v>47.75</v>
      </c>
      <c r="EP53">
        <v>47.686999999999998</v>
      </c>
      <c r="EQ53">
        <v>48.561999999999998</v>
      </c>
      <c r="ER53">
        <v>47.25</v>
      </c>
      <c r="ES53">
        <v>49.25</v>
      </c>
      <c r="ET53">
        <v>1755.48</v>
      </c>
      <c r="EU53">
        <v>39.5</v>
      </c>
      <c r="EV53">
        <v>0</v>
      </c>
      <c r="EW53">
        <v>141.79999995231631</v>
      </c>
      <c r="EX53">
        <v>0</v>
      </c>
      <c r="EY53">
        <v>792.6418799999999</v>
      </c>
      <c r="EZ53">
        <v>5.4751538542201921</v>
      </c>
      <c r="FA53">
        <v>98.961538606912256</v>
      </c>
      <c r="FB53">
        <v>14940.964</v>
      </c>
      <c r="FC53">
        <v>15</v>
      </c>
      <c r="FD53">
        <v>1693502533.0999999</v>
      </c>
      <c r="FE53" t="s">
        <v>608</v>
      </c>
      <c r="FF53">
        <v>1693502517.0999999</v>
      </c>
      <c r="FG53">
        <v>1693502533.0999999</v>
      </c>
      <c r="FH53">
        <v>41</v>
      </c>
      <c r="FI53">
        <v>-1E-3</v>
      </c>
      <c r="FJ53">
        <v>1E-3</v>
      </c>
      <c r="FK53">
        <v>1.883</v>
      </c>
      <c r="FL53">
        <v>0.56999999999999995</v>
      </c>
      <c r="FM53">
        <v>400</v>
      </c>
      <c r="FN53">
        <v>22</v>
      </c>
      <c r="FO53">
        <v>0.18</v>
      </c>
      <c r="FP53">
        <v>0.04</v>
      </c>
      <c r="FQ53">
        <v>38.270500383268377</v>
      </c>
      <c r="FR53">
        <v>0.57067117014555602</v>
      </c>
      <c r="FS53">
        <v>8.2724116402244002E-2</v>
      </c>
      <c r="FT53">
        <v>1</v>
      </c>
      <c r="FU53">
        <v>0.37341056870284428</v>
      </c>
      <c r="FV53">
        <v>-2.4492280638401451E-2</v>
      </c>
      <c r="FW53">
        <v>1.8485838958692111E-3</v>
      </c>
      <c r="FX53">
        <v>1</v>
      </c>
      <c r="FY53">
        <v>2</v>
      </c>
      <c r="FZ53">
        <v>2</v>
      </c>
      <c r="GA53" t="s">
        <v>421</v>
      </c>
      <c r="GB53">
        <v>3.1186799999999999</v>
      </c>
      <c r="GC53">
        <v>2.8649800000000001</v>
      </c>
      <c r="GD53">
        <v>8.4136600000000006E-2</v>
      </c>
      <c r="GE53">
        <v>9.5837699999999998E-2</v>
      </c>
      <c r="GF53">
        <v>0.12953500000000001</v>
      </c>
      <c r="GG53">
        <v>0.115135</v>
      </c>
      <c r="GH53">
        <v>27794.7</v>
      </c>
      <c r="GI53">
        <v>21261.4</v>
      </c>
      <c r="GJ53">
        <v>29249.7</v>
      </c>
      <c r="GK53">
        <v>21912.1</v>
      </c>
      <c r="GL53">
        <v>34078.5</v>
      </c>
      <c r="GM53">
        <v>26664</v>
      </c>
      <c r="GN53">
        <v>40589.599999999999</v>
      </c>
      <c r="GO53">
        <v>31122.400000000001</v>
      </c>
      <c r="GP53">
        <v>2.0453000000000001</v>
      </c>
      <c r="GQ53">
        <v>1.9232</v>
      </c>
      <c r="GR53">
        <v>0.123844</v>
      </c>
      <c r="GS53">
        <v>0</v>
      </c>
      <c r="GT53">
        <v>28.052900000000001</v>
      </c>
      <c r="GU53">
        <v>999.9</v>
      </c>
      <c r="GV53">
        <v>63.6</v>
      </c>
      <c r="GW53">
        <v>29.8</v>
      </c>
      <c r="GX53">
        <v>26.8766</v>
      </c>
      <c r="GY53">
        <v>61.374499999999998</v>
      </c>
      <c r="GZ53">
        <v>11.891</v>
      </c>
      <c r="HA53">
        <v>1</v>
      </c>
      <c r="HB53">
        <v>0.11594500000000001</v>
      </c>
      <c r="HC53">
        <v>0.78646000000000005</v>
      </c>
      <c r="HD53">
        <v>20.279299999999999</v>
      </c>
      <c r="HE53">
        <v>5.2340600000000004</v>
      </c>
      <c r="HF53">
        <v>11.974</v>
      </c>
      <c r="HG53">
        <v>4.9736000000000002</v>
      </c>
      <c r="HH53">
        <v>3.2837000000000001</v>
      </c>
      <c r="HI53">
        <v>9999</v>
      </c>
      <c r="HJ53">
        <v>9999</v>
      </c>
      <c r="HK53">
        <v>9999</v>
      </c>
      <c r="HL53">
        <v>999.9</v>
      </c>
      <c r="HM53">
        <v>1.86093</v>
      </c>
      <c r="HN53">
        <v>1.8625400000000001</v>
      </c>
      <c r="HO53">
        <v>1.86798</v>
      </c>
      <c r="HP53">
        <v>1.8585100000000001</v>
      </c>
      <c r="HQ53">
        <v>1.85697</v>
      </c>
      <c r="HR53">
        <v>1.8606400000000001</v>
      </c>
      <c r="HS53">
        <v>1.8645</v>
      </c>
      <c r="HT53">
        <v>1.8665799999999999</v>
      </c>
      <c r="HU53">
        <v>5</v>
      </c>
      <c r="HV53">
        <v>0</v>
      </c>
      <c r="HW53">
        <v>0</v>
      </c>
      <c r="HX53">
        <v>0</v>
      </c>
      <c r="HY53" t="s">
        <v>422</v>
      </c>
      <c r="HZ53" t="s">
        <v>423</v>
      </c>
      <c r="IA53" t="s">
        <v>424</v>
      </c>
      <c r="IB53" t="s">
        <v>424</v>
      </c>
      <c r="IC53" t="s">
        <v>424</v>
      </c>
      <c r="ID53" t="s">
        <v>424</v>
      </c>
      <c r="IE53">
        <v>0</v>
      </c>
      <c r="IF53">
        <v>100</v>
      </c>
      <c r="IG53">
        <v>100</v>
      </c>
      <c r="IH53">
        <v>1.879</v>
      </c>
      <c r="II53">
        <v>0.91820000000000002</v>
      </c>
      <c r="IJ53">
        <v>1.6716088182644611</v>
      </c>
      <c r="IK53">
        <v>1.118558698776514E-3</v>
      </c>
      <c r="IL53">
        <v>-1.6939696309573479E-6</v>
      </c>
      <c r="IM53">
        <v>5.4698917449866148E-10</v>
      </c>
      <c r="IN53">
        <v>3.5506867894380179E-2</v>
      </c>
      <c r="IO53">
        <v>-7.6058941998734366E-3</v>
      </c>
      <c r="IP53">
        <v>1.6984902717538061E-3</v>
      </c>
      <c r="IQ53">
        <v>-9.6352527008986976E-6</v>
      </c>
      <c r="IR53">
        <v>2</v>
      </c>
      <c r="IS53">
        <v>2021</v>
      </c>
      <c r="IT53">
        <v>2</v>
      </c>
      <c r="IU53">
        <v>40</v>
      </c>
      <c r="IV53">
        <v>1.4</v>
      </c>
      <c r="IW53">
        <v>1.1000000000000001</v>
      </c>
      <c r="IX53">
        <v>1.02783</v>
      </c>
      <c r="IY53">
        <v>2.48169</v>
      </c>
      <c r="IZ53">
        <v>1.34399</v>
      </c>
      <c r="JA53">
        <v>2.2473100000000001</v>
      </c>
      <c r="JB53">
        <v>1.5918000000000001</v>
      </c>
      <c r="JC53">
        <v>2.4706999999999999</v>
      </c>
      <c r="JD53">
        <v>34.669199999999996</v>
      </c>
      <c r="JE53">
        <v>23.9999</v>
      </c>
      <c r="JF53">
        <v>18</v>
      </c>
      <c r="JG53">
        <v>512.84699999999998</v>
      </c>
      <c r="JH53">
        <v>473.23500000000001</v>
      </c>
      <c r="JI53">
        <v>27.8447</v>
      </c>
      <c r="JJ53">
        <v>29.1143</v>
      </c>
      <c r="JK53">
        <v>30.000499999999999</v>
      </c>
      <c r="JL53">
        <v>28.946000000000002</v>
      </c>
      <c r="JM53">
        <v>28.896899999999999</v>
      </c>
      <c r="JN53">
        <v>20.6571</v>
      </c>
      <c r="JO53">
        <v>27.21</v>
      </c>
      <c r="JP53">
        <v>100</v>
      </c>
      <c r="JQ53">
        <v>27.796199999999999</v>
      </c>
      <c r="JR53">
        <v>400</v>
      </c>
      <c r="JS53">
        <v>22.5185</v>
      </c>
      <c r="JT53">
        <v>99.724000000000004</v>
      </c>
      <c r="JU53">
        <v>98.343500000000006</v>
      </c>
    </row>
    <row r="54" spans="1:281" x14ac:dyDescent="0.25">
      <c r="A54">
        <v>38</v>
      </c>
      <c r="B54">
        <v>1693502709.5999999</v>
      </c>
      <c r="C54">
        <v>7783</v>
      </c>
      <c r="D54" t="s">
        <v>609</v>
      </c>
      <c r="E54" t="s">
        <v>610</v>
      </c>
      <c r="F54" t="s">
        <v>413</v>
      </c>
      <c r="G54" t="s">
        <v>565</v>
      </c>
      <c r="H54" t="s">
        <v>31</v>
      </c>
      <c r="I54">
        <v>3</v>
      </c>
      <c r="J54">
        <v>1693502709.5999999</v>
      </c>
      <c r="K54">
        <f t="shared" si="46"/>
        <v>4.89288833773582E-3</v>
      </c>
      <c r="L54">
        <f t="shared" si="47"/>
        <v>4.8928883377358199</v>
      </c>
      <c r="M54">
        <f t="shared" si="48"/>
        <v>41.633564070692785</v>
      </c>
      <c r="N54">
        <f t="shared" si="49"/>
        <v>447.59399999999999</v>
      </c>
      <c r="O54">
        <f t="shared" si="50"/>
        <v>240.20543982257325</v>
      </c>
      <c r="P54">
        <f t="shared" si="51"/>
        <v>23.964198031416384</v>
      </c>
      <c r="Q54">
        <f t="shared" si="52"/>
        <v>44.654406085044002</v>
      </c>
      <c r="R54">
        <f t="shared" si="53"/>
        <v>0.35333144812119993</v>
      </c>
      <c r="S54">
        <f t="shared" si="54"/>
        <v>2.9206014343609894</v>
      </c>
      <c r="T54">
        <f t="shared" si="55"/>
        <v>0.33118584062879908</v>
      </c>
      <c r="U54">
        <f t="shared" si="56"/>
        <v>0.20886507415133737</v>
      </c>
      <c r="V54">
        <f t="shared" si="57"/>
        <v>344.38839964460976</v>
      </c>
      <c r="W54">
        <f t="shared" si="58"/>
        <v>31.181304039626031</v>
      </c>
      <c r="X54">
        <f t="shared" si="59"/>
        <v>30.034199999999998</v>
      </c>
      <c r="Y54">
        <f t="shared" si="60"/>
        <v>4.268826252584371</v>
      </c>
      <c r="Z54">
        <f t="shared" si="61"/>
        <v>65.235106324016257</v>
      </c>
      <c r="AA54">
        <f t="shared" si="62"/>
        <v>2.8474748592641999</v>
      </c>
      <c r="AB54">
        <f t="shared" si="63"/>
        <v>4.3649424668997652</v>
      </c>
      <c r="AC54">
        <f t="shared" si="64"/>
        <v>1.4213513933201711</v>
      </c>
      <c r="AD54">
        <f t="shared" si="65"/>
        <v>-215.77637569414966</v>
      </c>
      <c r="AE54">
        <f t="shared" si="66"/>
        <v>61.139956876715566</v>
      </c>
      <c r="AF54">
        <f t="shared" si="67"/>
        <v>4.6652361044080148</v>
      </c>
      <c r="AG54">
        <f t="shared" si="68"/>
        <v>194.41721693158365</v>
      </c>
      <c r="AH54">
        <v>0</v>
      </c>
      <c r="AI54">
        <v>0</v>
      </c>
      <c r="AJ54">
        <f t="shared" si="69"/>
        <v>1</v>
      </c>
      <c r="AK54">
        <f t="shared" si="70"/>
        <v>0</v>
      </c>
      <c r="AL54">
        <f t="shared" si="71"/>
        <v>52018.219108102057</v>
      </c>
      <c r="AM54" t="s">
        <v>416</v>
      </c>
      <c r="AN54">
        <v>10366.9</v>
      </c>
      <c r="AO54">
        <v>993.59653846153856</v>
      </c>
      <c r="AP54">
        <v>3431.87</v>
      </c>
      <c r="AQ54">
        <f t="shared" si="72"/>
        <v>0.71047955241266758</v>
      </c>
      <c r="AR54">
        <v>-3.9894345373445681</v>
      </c>
      <c r="AS54" t="s">
        <v>611</v>
      </c>
      <c r="AT54">
        <v>10380.4</v>
      </c>
      <c r="AU54">
        <v>805.5718461538462</v>
      </c>
      <c r="AV54">
        <v>1116.5513221408439</v>
      </c>
      <c r="AW54">
        <f t="shared" si="73"/>
        <v>0.27851785208648938</v>
      </c>
      <c r="AX54">
        <v>0.5</v>
      </c>
      <c r="AY54">
        <f t="shared" si="74"/>
        <v>1513.2686998223048</v>
      </c>
      <c r="AZ54">
        <f t="shared" si="75"/>
        <v>41.633564070692785</v>
      </c>
      <c r="BA54">
        <f t="shared" si="76"/>
        <v>210.73617395211139</v>
      </c>
      <c r="BB54">
        <f t="shared" si="77"/>
        <v>3.0148643537921994E-2</v>
      </c>
      <c r="BC54">
        <f t="shared" si="78"/>
        <v>2.0736339046375671</v>
      </c>
      <c r="BD54">
        <f t="shared" si="79"/>
        <v>620.85836993978353</v>
      </c>
      <c r="BE54" t="s">
        <v>612</v>
      </c>
      <c r="BF54">
        <v>611.38</v>
      </c>
      <c r="BG54">
        <f t="shared" si="80"/>
        <v>611.38</v>
      </c>
      <c r="BH54">
        <f t="shared" si="81"/>
        <v>0.45243896283445595</v>
      </c>
      <c r="BI54">
        <f t="shared" si="82"/>
        <v>0.61559210184202684</v>
      </c>
      <c r="BJ54">
        <f t="shared" si="83"/>
        <v>0.82089235482457179</v>
      </c>
      <c r="BK54">
        <f t="shared" si="84"/>
        <v>2.5292181945364924</v>
      </c>
      <c r="BL54">
        <f t="shared" si="85"/>
        <v>0.94957301319199638</v>
      </c>
      <c r="BM54">
        <f t="shared" si="86"/>
        <v>0.4671969372081331</v>
      </c>
      <c r="BN54">
        <f t="shared" si="87"/>
        <v>0.53280306279186695</v>
      </c>
      <c r="BO54">
        <v>2223</v>
      </c>
      <c r="BP54">
        <v>290.00000000000011</v>
      </c>
      <c r="BQ54">
        <v>1030.73</v>
      </c>
      <c r="BR54">
        <v>125</v>
      </c>
      <c r="BS54">
        <v>10380.4</v>
      </c>
      <c r="BT54">
        <v>1027.8399999999999</v>
      </c>
      <c r="BU54">
        <v>2.89</v>
      </c>
      <c r="BV54">
        <v>300.00000000000011</v>
      </c>
      <c r="BW54">
        <v>38.4</v>
      </c>
      <c r="BX54">
        <v>1116.5513221408439</v>
      </c>
      <c r="BY54">
        <v>1.166733742986894</v>
      </c>
      <c r="BZ54">
        <v>-92.087758932226706</v>
      </c>
      <c r="CA54">
        <v>0.98983286983288421</v>
      </c>
      <c r="CB54">
        <v>0.99677540423358457</v>
      </c>
      <c r="CC54">
        <v>-1.127951568409344E-2</v>
      </c>
      <c r="CD54">
        <v>289.99999999999989</v>
      </c>
      <c r="CE54">
        <v>1019.08</v>
      </c>
      <c r="CF54">
        <v>665</v>
      </c>
      <c r="CG54">
        <v>10344.700000000001</v>
      </c>
      <c r="CH54">
        <v>1027.53</v>
      </c>
      <c r="CI54">
        <v>-8.4499999999999993</v>
      </c>
      <c r="CW54">
        <f t="shared" si="88"/>
        <v>1800.1</v>
      </c>
      <c r="CX54">
        <f t="shared" si="89"/>
        <v>1513.2686998223048</v>
      </c>
      <c r="CY54">
        <f t="shared" si="90"/>
        <v>0.84065813000516909</v>
      </c>
      <c r="CZ54">
        <f t="shared" si="91"/>
        <v>0.19131626001033819</v>
      </c>
      <c r="DA54">
        <v>6</v>
      </c>
      <c r="DB54">
        <v>0.5</v>
      </c>
      <c r="DC54" t="s">
        <v>419</v>
      </c>
      <c r="DD54">
        <v>2</v>
      </c>
      <c r="DE54">
        <v>1693502709.5999999</v>
      </c>
      <c r="DF54">
        <v>447.59399999999999</v>
      </c>
      <c r="DG54">
        <v>500.17599999999999</v>
      </c>
      <c r="DH54">
        <v>28.541699999999999</v>
      </c>
      <c r="DI54">
        <v>22.8385</v>
      </c>
      <c r="DJ54">
        <v>445.55799999999999</v>
      </c>
      <c r="DK54">
        <v>27.616299999999999</v>
      </c>
      <c r="DL54">
        <v>500.06</v>
      </c>
      <c r="DM54">
        <v>99.665199999999999</v>
      </c>
      <c r="DN54">
        <v>0.100226</v>
      </c>
      <c r="DO54">
        <v>30.422499999999999</v>
      </c>
      <c r="DP54">
        <v>30.034199999999998</v>
      </c>
      <c r="DQ54">
        <v>999.9</v>
      </c>
      <c r="DR54">
        <v>0</v>
      </c>
      <c r="DS54">
        <v>0</v>
      </c>
      <c r="DT54">
        <v>9982.5</v>
      </c>
      <c r="DU54">
        <v>0</v>
      </c>
      <c r="DV54">
        <v>1524.74</v>
      </c>
      <c r="DW54">
        <v>-52.5824</v>
      </c>
      <c r="DX54">
        <v>460.74400000000003</v>
      </c>
      <c r="DY54">
        <v>511.86599999999999</v>
      </c>
      <c r="DZ54">
        <v>5.7032100000000003</v>
      </c>
      <c r="EA54">
        <v>500.17599999999999</v>
      </c>
      <c r="EB54">
        <v>22.8385</v>
      </c>
      <c r="EC54">
        <v>2.8446199999999999</v>
      </c>
      <c r="ED54">
        <v>2.2761999999999998</v>
      </c>
      <c r="EE54">
        <v>23.145299999999999</v>
      </c>
      <c r="EF54">
        <v>19.509</v>
      </c>
      <c r="EG54">
        <v>1800.1</v>
      </c>
      <c r="EH54">
        <v>0.97799999999999998</v>
      </c>
      <c r="EI54">
        <v>2.20004E-2</v>
      </c>
      <c r="EJ54">
        <v>0</v>
      </c>
      <c r="EK54">
        <v>805.89499999999998</v>
      </c>
      <c r="EL54">
        <v>5.0002700000000004</v>
      </c>
      <c r="EM54">
        <v>15195.7</v>
      </c>
      <c r="EN54">
        <v>16249.5</v>
      </c>
      <c r="EO54">
        <v>47.875</v>
      </c>
      <c r="EP54">
        <v>47.811999999999998</v>
      </c>
      <c r="EQ54">
        <v>48.75</v>
      </c>
      <c r="ER54">
        <v>47.311999999999998</v>
      </c>
      <c r="ES54">
        <v>49.311999999999998</v>
      </c>
      <c r="ET54">
        <v>1755.61</v>
      </c>
      <c r="EU54">
        <v>39.49</v>
      </c>
      <c r="EV54">
        <v>0</v>
      </c>
      <c r="EW54">
        <v>106.7999999523163</v>
      </c>
      <c r="EX54">
        <v>0</v>
      </c>
      <c r="EY54">
        <v>805.5718461538462</v>
      </c>
      <c r="EZ54">
        <v>3.6116239375794419</v>
      </c>
      <c r="FA54">
        <v>67.531624043328961</v>
      </c>
      <c r="FB54">
        <v>15186.68076923077</v>
      </c>
      <c r="FC54">
        <v>15</v>
      </c>
      <c r="FD54">
        <v>1693502681.0999999</v>
      </c>
      <c r="FE54" t="s">
        <v>613</v>
      </c>
      <c r="FF54">
        <v>1693502673.0999999</v>
      </c>
      <c r="FG54">
        <v>1693502681.0999999</v>
      </c>
      <c r="FH54">
        <v>42</v>
      </c>
      <c r="FI54">
        <v>0.154</v>
      </c>
      <c r="FJ54">
        <v>7.0000000000000001E-3</v>
      </c>
      <c r="FK54">
        <v>2.0299999999999998</v>
      </c>
      <c r="FL54">
        <v>0.60299999999999998</v>
      </c>
      <c r="FM54">
        <v>500</v>
      </c>
      <c r="FN54">
        <v>23</v>
      </c>
      <c r="FO54">
        <v>0.16</v>
      </c>
      <c r="FP54">
        <v>0.06</v>
      </c>
      <c r="FQ54">
        <v>41.437246430286613</v>
      </c>
      <c r="FR54">
        <v>-0.39884338744301651</v>
      </c>
      <c r="FS54">
        <v>0.10441152979394271</v>
      </c>
      <c r="FT54">
        <v>1</v>
      </c>
      <c r="FU54">
        <v>0.3596625705884044</v>
      </c>
      <c r="FV54">
        <v>2.1470003789553559E-2</v>
      </c>
      <c r="FW54">
        <v>4.7163252922822691E-3</v>
      </c>
      <c r="FX54">
        <v>1</v>
      </c>
      <c r="FY54">
        <v>2</v>
      </c>
      <c r="FZ54">
        <v>2</v>
      </c>
      <c r="GA54" t="s">
        <v>421</v>
      </c>
      <c r="GB54">
        <v>3.1181999999999999</v>
      </c>
      <c r="GC54">
        <v>2.8652299999999999</v>
      </c>
      <c r="GD54">
        <v>0.101433</v>
      </c>
      <c r="GE54">
        <v>0.113332</v>
      </c>
      <c r="GF54">
        <v>0.129493</v>
      </c>
      <c r="GG54">
        <v>0.116108</v>
      </c>
      <c r="GH54">
        <v>27267.1</v>
      </c>
      <c r="GI54">
        <v>20847.8</v>
      </c>
      <c r="GJ54">
        <v>29247.200000000001</v>
      </c>
      <c r="GK54">
        <v>21909.9</v>
      </c>
      <c r="GL54">
        <v>34080</v>
      </c>
      <c r="GM54">
        <v>26633.599999999999</v>
      </c>
      <c r="GN54">
        <v>40586</v>
      </c>
      <c r="GO54">
        <v>31119.3</v>
      </c>
      <c r="GP54">
        <v>2.0432999999999999</v>
      </c>
      <c r="GQ54">
        <v>1.9234</v>
      </c>
      <c r="GR54">
        <v>0.118509</v>
      </c>
      <c r="GS54">
        <v>0</v>
      </c>
      <c r="GT54">
        <v>28.102699999999999</v>
      </c>
      <c r="GU54">
        <v>999.9</v>
      </c>
      <c r="GV54">
        <v>63.7</v>
      </c>
      <c r="GW54">
        <v>29.8</v>
      </c>
      <c r="GX54">
        <v>26.918900000000001</v>
      </c>
      <c r="GY54">
        <v>61.634500000000003</v>
      </c>
      <c r="GZ54">
        <v>12.2155</v>
      </c>
      <c r="HA54">
        <v>1</v>
      </c>
      <c r="HB54">
        <v>0.122236</v>
      </c>
      <c r="HC54">
        <v>0.78176500000000004</v>
      </c>
      <c r="HD54">
        <v>20.279</v>
      </c>
      <c r="HE54">
        <v>5.2328599999999996</v>
      </c>
      <c r="HF54">
        <v>11.974</v>
      </c>
      <c r="HG54">
        <v>4.9748000000000001</v>
      </c>
      <c r="HH54">
        <v>3.2835000000000001</v>
      </c>
      <c r="HI54">
        <v>9999</v>
      </c>
      <c r="HJ54">
        <v>9999</v>
      </c>
      <c r="HK54">
        <v>9999</v>
      </c>
      <c r="HL54">
        <v>999.9</v>
      </c>
      <c r="HM54">
        <v>1.86093</v>
      </c>
      <c r="HN54">
        <v>1.8625400000000001</v>
      </c>
      <c r="HO54">
        <v>1.86798</v>
      </c>
      <c r="HP54">
        <v>1.8585199999999999</v>
      </c>
      <c r="HQ54">
        <v>1.8569899999999999</v>
      </c>
      <c r="HR54">
        <v>1.86066</v>
      </c>
      <c r="HS54">
        <v>1.8645099999999999</v>
      </c>
      <c r="HT54">
        <v>1.8666100000000001</v>
      </c>
      <c r="HU54">
        <v>5</v>
      </c>
      <c r="HV54">
        <v>0</v>
      </c>
      <c r="HW54">
        <v>0</v>
      </c>
      <c r="HX54">
        <v>0</v>
      </c>
      <c r="HY54" t="s">
        <v>422</v>
      </c>
      <c r="HZ54" t="s">
        <v>423</v>
      </c>
      <c r="IA54" t="s">
        <v>424</v>
      </c>
      <c r="IB54" t="s">
        <v>424</v>
      </c>
      <c r="IC54" t="s">
        <v>424</v>
      </c>
      <c r="ID54" t="s">
        <v>424</v>
      </c>
      <c r="IE54">
        <v>0</v>
      </c>
      <c r="IF54">
        <v>100</v>
      </c>
      <c r="IG54">
        <v>100</v>
      </c>
      <c r="IH54">
        <v>2.036</v>
      </c>
      <c r="II54">
        <v>0.9254</v>
      </c>
      <c r="IJ54">
        <v>1.82512447530946</v>
      </c>
      <c r="IK54">
        <v>1.118558698776514E-3</v>
      </c>
      <c r="IL54">
        <v>-1.6939696309573479E-6</v>
      </c>
      <c r="IM54">
        <v>5.4698917449866148E-10</v>
      </c>
      <c r="IN54">
        <v>4.3005965467709413E-2</v>
      </c>
      <c r="IO54">
        <v>-7.6058941998734366E-3</v>
      </c>
      <c r="IP54">
        <v>1.6984902717538061E-3</v>
      </c>
      <c r="IQ54">
        <v>-9.6352527008986976E-6</v>
      </c>
      <c r="IR54">
        <v>2</v>
      </c>
      <c r="IS54">
        <v>2021</v>
      </c>
      <c r="IT54">
        <v>2</v>
      </c>
      <c r="IU54">
        <v>40</v>
      </c>
      <c r="IV54">
        <v>0.6</v>
      </c>
      <c r="IW54">
        <v>0.5</v>
      </c>
      <c r="IX54">
        <v>1.23047</v>
      </c>
      <c r="IY54">
        <v>2.4841299999999999</v>
      </c>
      <c r="IZ54">
        <v>1.34399</v>
      </c>
      <c r="JA54">
        <v>2.2473100000000001</v>
      </c>
      <c r="JB54">
        <v>1.5918000000000001</v>
      </c>
      <c r="JC54">
        <v>2.3925800000000002</v>
      </c>
      <c r="JD54">
        <v>34.646299999999997</v>
      </c>
      <c r="JE54">
        <v>23.982399999999998</v>
      </c>
      <c r="JF54">
        <v>18</v>
      </c>
      <c r="JG54">
        <v>512.33100000000002</v>
      </c>
      <c r="JH54">
        <v>474.09399999999999</v>
      </c>
      <c r="JI54">
        <v>27.601600000000001</v>
      </c>
      <c r="JJ54">
        <v>29.2044</v>
      </c>
      <c r="JK54">
        <v>30.000599999999999</v>
      </c>
      <c r="JL54">
        <v>29.030200000000001</v>
      </c>
      <c r="JM54">
        <v>28.975899999999999</v>
      </c>
      <c r="JN54">
        <v>24.6967</v>
      </c>
      <c r="JO54">
        <v>25.91</v>
      </c>
      <c r="JP54">
        <v>100</v>
      </c>
      <c r="JQ54">
        <v>27.559000000000001</v>
      </c>
      <c r="JR54">
        <v>500</v>
      </c>
      <c r="JS54">
        <v>22.872699999999998</v>
      </c>
      <c r="JT54">
        <v>99.715199999999996</v>
      </c>
      <c r="JU54">
        <v>98.333699999999993</v>
      </c>
    </row>
    <row r="55" spans="1:281" x14ac:dyDescent="0.25">
      <c r="A55">
        <v>39</v>
      </c>
      <c r="B55">
        <v>1693502816.5999999</v>
      </c>
      <c r="C55">
        <v>7890</v>
      </c>
      <c r="D55" t="s">
        <v>614</v>
      </c>
      <c r="E55" t="s">
        <v>615</v>
      </c>
      <c r="F55" t="s">
        <v>413</v>
      </c>
      <c r="G55" t="s">
        <v>565</v>
      </c>
      <c r="H55" t="s">
        <v>31</v>
      </c>
      <c r="I55">
        <v>3</v>
      </c>
      <c r="J55">
        <v>1693502816.5999999</v>
      </c>
      <c r="K55">
        <f t="shared" si="46"/>
        <v>4.2190763492556804E-3</v>
      </c>
      <c r="L55">
        <f t="shared" si="47"/>
        <v>4.2190763492556806</v>
      </c>
      <c r="M55">
        <f t="shared" si="48"/>
        <v>42.390595210525973</v>
      </c>
      <c r="N55">
        <f t="shared" si="49"/>
        <v>645.62699999999995</v>
      </c>
      <c r="O55">
        <f t="shared" si="50"/>
        <v>397.19192592614939</v>
      </c>
      <c r="P55">
        <f t="shared" si="51"/>
        <v>39.626696920056816</v>
      </c>
      <c r="Q55">
        <f t="shared" si="52"/>
        <v>64.412350258001993</v>
      </c>
      <c r="R55">
        <f t="shared" si="53"/>
        <v>0.30119235480131595</v>
      </c>
      <c r="S55">
        <f t="shared" si="54"/>
        <v>2.9245792897512111</v>
      </c>
      <c r="T55">
        <f t="shared" si="55"/>
        <v>0.28495980895318612</v>
      </c>
      <c r="U55">
        <f t="shared" si="56"/>
        <v>0.17948537142036752</v>
      </c>
      <c r="V55">
        <f t="shared" si="57"/>
        <v>344.35799964457823</v>
      </c>
      <c r="W55">
        <f t="shared" si="58"/>
        <v>31.15749142563973</v>
      </c>
      <c r="X55">
        <f t="shared" si="59"/>
        <v>29.926500000000001</v>
      </c>
      <c r="Y55">
        <f t="shared" si="60"/>
        <v>4.2424961467197821</v>
      </c>
      <c r="Z55">
        <f t="shared" si="61"/>
        <v>65.28739452489981</v>
      </c>
      <c r="AA55">
        <f t="shared" si="62"/>
        <v>2.8176231724920004</v>
      </c>
      <c r="AB55">
        <f t="shared" si="63"/>
        <v>4.3157231085663765</v>
      </c>
      <c r="AC55">
        <f t="shared" si="64"/>
        <v>1.4248729742277817</v>
      </c>
      <c r="AD55">
        <f t="shared" si="65"/>
        <v>-186.0612670021755</v>
      </c>
      <c r="AE55">
        <f t="shared" si="66"/>
        <v>47.001402755248655</v>
      </c>
      <c r="AF55">
        <f t="shared" si="67"/>
        <v>3.5761146856580472</v>
      </c>
      <c r="AG55">
        <f t="shared" si="68"/>
        <v>208.87425008330945</v>
      </c>
      <c r="AH55">
        <v>0</v>
      </c>
      <c r="AI55">
        <v>0</v>
      </c>
      <c r="AJ55">
        <f t="shared" si="69"/>
        <v>1</v>
      </c>
      <c r="AK55">
        <f t="shared" si="70"/>
        <v>0</v>
      </c>
      <c r="AL55">
        <f t="shared" si="71"/>
        <v>52165.703255147855</v>
      </c>
      <c r="AM55" t="s">
        <v>416</v>
      </c>
      <c r="AN55">
        <v>10366.9</v>
      </c>
      <c r="AO55">
        <v>993.59653846153856</v>
      </c>
      <c r="AP55">
        <v>3431.87</v>
      </c>
      <c r="AQ55">
        <f t="shared" si="72"/>
        <v>0.71047955241266758</v>
      </c>
      <c r="AR55">
        <v>-3.9894345373445681</v>
      </c>
      <c r="AS55" t="s">
        <v>616</v>
      </c>
      <c r="AT55">
        <v>10379.5</v>
      </c>
      <c r="AU55">
        <v>811.65173076923077</v>
      </c>
      <c r="AV55">
        <v>1135.5020844258679</v>
      </c>
      <c r="AW55">
        <f t="shared" si="73"/>
        <v>0.28520454352171642</v>
      </c>
      <c r="AX55">
        <v>0.5</v>
      </c>
      <c r="AY55">
        <f t="shared" si="74"/>
        <v>1513.134299822289</v>
      </c>
      <c r="AZ55">
        <f t="shared" si="75"/>
        <v>42.390595210525973</v>
      </c>
      <c r="BA55">
        <f t="shared" si="76"/>
        <v>215.77638863393398</v>
      </c>
      <c r="BB55">
        <f t="shared" si="77"/>
        <v>3.0651628050013584E-2</v>
      </c>
      <c r="BC55">
        <f t="shared" si="78"/>
        <v>2.0223370322875458</v>
      </c>
      <c r="BD55">
        <f t="shared" si="79"/>
        <v>626.67396624023991</v>
      </c>
      <c r="BE55" t="s">
        <v>617</v>
      </c>
      <c r="BF55">
        <v>614.30999999999995</v>
      </c>
      <c r="BG55">
        <f t="shared" si="80"/>
        <v>614.30999999999995</v>
      </c>
      <c r="BH55">
        <f t="shared" si="81"/>
        <v>0.45899703010179227</v>
      </c>
      <c r="BI55">
        <f t="shared" si="82"/>
        <v>0.62136468172455561</v>
      </c>
      <c r="BJ55">
        <f t="shared" si="83"/>
        <v>0.81502005833917712</v>
      </c>
      <c r="BK55">
        <f t="shared" si="84"/>
        <v>2.2821543122637578</v>
      </c>
      <c r="BL55">
        <f t="shared" si="85"/>
        <v>0.94180080774254404</v>
      </c>
      <c r="BM55">
        <f t="shared" si="86"/>
        <v>0.47028857718131306</v>
      </c>
      <c r="BN55">
        <f t="shared" si="87"/>
        <v>0.52971142281868699</v>
      </c>
      <c r="BO55">
        <v>2225</v>
      </c>
      <c r="BP55">
        <v>290.00000000000011</v>
      </c>
      <c r="BQ55">
        <v>1046</v>
      </c>
      <c r="BR55">
        <v>125</v>
      </c>
      <c r="BS55">
        <v>10379.5</v>
      </c>
      <c r="BT55">
        <v>1043.22</v>
      </c>
      <c r="BU55">
        <v>2.78</v>
      </c>
      <c r="BV55">
        <v>300.00000000000011</v>
      </c>
      <c r="BW55">
        <v>38.4</v>
      </c>
      <c r="BX55">
        <v>1135.5020844258679</v>
      </c>
      <c r="BY55">
        <v>1.2992505064544371</v>
      </c>
      <c r="BZ55">
        <v>-95.77964425194476</v>
      </c>
      <c r="CA55">
        <v>1.102158336175431</v>
      </c>
      <c r="CB55">
        <v>0.99630603875893409</v>
      </c>
      <c r="CC55">
        <v>-1.127845561735261E-2</v>
      </c>
      <c r="CD55">
        <v>289.99999999999989</v>
      </c>
      <c r="CE55">
        <v>1034.18</v>
      </c>
      <c r="CF55">
        <v>645</v>
      </c>
      <c r="CG55">
        <v>10345.799999999999</v>
      </c>
      <c r="CH55">
        <v>1042.92</v>
      </c>
      <c r="CI55">
        <v>-8.74</v>
      </c>
      <c r="CW55">
        <f t="shared" si="88"/>
        <v>1799.94</v>
      </c>
      <c r="CX55">
        <f t="shared" si="89"/>
        <v>1513.134299822289</v>
      </c>
      <c r="CY55">
        <f t="shared" si="90"/>
        <v>0.84065818850755525</v>
      </c>
      <c r="CZ55">
        <f t="shared" si="91"/>
        <v>0.19131637701511062</v>
      </c>
      <c r="DA55">
        <v>6</v>
      </c>
      <c r="DB55">
        <v>0.5</v>
      </c>
      <c r="DC55" t="s">
        <v>419</v>
      </c>
      <c r="DD55">
        <v>2</v>
      </c>
      <c r="DE55">
        <v>1693502816.5999999</v>
      </c>
      <c r="DF55">
        <v>645.62699999999995</v>
      </c>
      <c r="DG55">
        <v>699.78200000000004</v>
      </c>
      <c r="DH55">
        <v>28.242000000000001</v>
      </c>
      <c r="DI55">
        <v>23.320499999999999</v>
      </c>
      <c r="DJ55">
        <v>643.423</v>
      </c>
      <c r="DK55">
        <v>27.331</v>
      </c>
      <c r="DL55">
        <v>499.83800000000002</v>
      </c>
      <c r="DM55">
        <v>99.667100000000005</v>
      </c>
      <c r="DN55">
        <v>0.100026</v>
      </c>
      <c r="DO55">
        <v>30.224599999999999</v>
      </c>
      <c r="DP55">
        <v>29.926500000000001</v>
      </c>
      <c r="DQ55">
        <v>999.9</v>
      </c>
      <c r="DR55">
        <v>0</v>
      </c>
      <c r="DS55">
        <v>0</v>
      </c>
      <c r="DT55">
        <v>10005</v>
      </c>
      <c r="DU55">
        <v>0</v>
      </c>
      <c r="DV55">
        <v>1521.26</v>
      </c>
      <c r="DW55">
        <v>-54.155799999999999</v>
      </c>
      <c r="DX55">
        <v>664.39</v>
      </c>
      <c r="DY55">
        <v>716.49099999999999</v>
      </c>
      <c r="DZ55">
        <v>4.9215200000000001</v>
      </c>
      <c r="EA55">
        <v>699.78200000000004</v>
      </c>
      <c r="EB55">
        <v>23.320499999999999</v>
      </c>
      <c r="EC55">
        <v>2.8148</v>
      </c>
      <c r="ED55">
        <v>2.3242799999999999</v>
      </c>
      <c r="EE55">
        <v>22.9711</v>
      </c>
      <c r="EF55">
        <v>19.845700000000001</v>
      </c>
      <c r="EG55">
        <v>1799.94</v>
      </c>
      <c r="EH55">
        <v>0.97799999999999998</v>
      </c>
      <c r="EI55">
        <v>2.20003E-2</v>
      </c>
      <c r="EJ55">
        <v>0</v>
      </c>
      <c r="EK55">
        <v>811.55700000000002</v>
      </c>
      <c r="EL55">
        <v>5.0002700000000004</v>
      </c>
      <c r="EM55">
        <v>15291.6</v>
      </c>
      <c r="EN55">
        <v>16248.1</v>
      </c>
      <c r="EO55">
        <v>47.936999999999998</v>
      </c>
      <c r="EP55">
        <v>47.936999999999998</v>
      </c>
      <c r="EQ55">
        <v>48.811999999999998</v>
      </c>
      <c r="ER55">
        <v>47.375</v>
      </c>
      <c r="ES55">
        <v>49.375</v>
      </c>
      <c r="ET55">
        <v>1755.45</v>
      </c>
      <c r="EU55">
        <v>39.49</v>
      </c>
      <c r="EV55">
        <v>0</v>
      </c>
      <c r="EW55">
        <v>105</v>
      </c>
      <c r="EX55">
        <v>0</v>
      </c>
      <c r="EY55">
        <v>811.65173076923077</v>
      </c>
      <c r="EZ55">
        <v>-0.17883759718853631</v>
      </c>
      <c r="FA55">
        <v>-20.29401716327471</v>
      </c>
      <c r="FB55">
        <v>15300.938461538461</v>
      </c>
      <c r="FC55">
        <v>15</v>
      </c>
      <c r="FD55">
        <v>1693502786.5999999</v>
      </c>
      <c r="FE55" t="s">
        <v>618</v>
      </c>
      <c r="FF55">
        <v>1693502786.5999999</v>
      </c>
      <c r="FG55">
        <v>1693502786.0999999</v>
      </c>
      <c r="FH55">
        <v>43</v>
      </c>
      <c r="FI55">
        <v>0.215</v>
      </c>
      <c r="FJ55">
        <v>4.0000000000000001E-3</v>
      </c>
      <c r="FK55">
        <v>2.181</v>
      </c>
      <c r="FL55">
        <v>0.621</v>
      </c>
      <c r="FM55">
        <v>700</v>
      </c>
      <c r="FN55">
        <v>23</v>
      </c>
      <c r="FO55">
        <v>0.11</v>
      </c>
      <c r="FP55">
        <v>0.05</v>
      </c>
      <c r="FQ55">
        <v>42.724866674782113</v>
      </c>
      <c r="FR55">
        <v>-0.67788120636901372</v>
      </c>
      <c r="FS55">
        <v>0.142261657295745</v>
      </c>
      <c r="FT55">
        <v>1</v>
      </c>
      <c r="FU55">
        <v>0.30905790657911097</v>
      </c>
      <c r="FV55">
        <v>-3.6620389133657463E-2</v>
      </c>
      <c r="FW55">
        <v>4.0395925544002322E-3</v>
      </c>
      <c r="FX55">
        <v>1</v>
      </c>
      <c r="FY55">
        <v>2</v>
      </c>
      <c r="FZ55">
        <v>2</v>
      </c>
      <c r="GA55" t="s">
        <v>421</v>
      </c>
      <c r="GB55">
        <v>3.1180599999999998</v>
      </c>
      <c r="GC55">
        <v>2.86524</v>
      </c>
      <c r="GD55">
        <v>0.13242799999999999</v>
      </c>
      <c r="GE55">
        <v>0.14374000000000001</v>
      </c>
      <c r="GF55">
        <v>0.12853700000000001</v>
      </c>
      <c r="GG55">
        <v>0.117797</v>
      </c>
      <c r="GH55">
        <v>26324.3</v>
      </c>
      <c r="GI55">
        <v>20131.3</v>
      </c>
      <c r="GJ55">
        <v>29244.7</v>
      </c>
      <c r="GK55">
        <v>21908.2</v>
      </c>
      <c r="GL55">
        <v>34119.5</v>
      </c>
      <c r="GM55">
        <v>26583.9</v>
      </c>
      <c r="GN55">
        <v>40582.199999999997</v>
      </c>
      <c r="GO55">
        <v>31117.599999999999</v>
      </c>
      <c r="GP55">
        <v>2.0419999999999998</v>
      </c>
      <c r="GQ55">
        <v>1.9238999999999999</v>
      </c>
      <c r="GR55">
        <v>0.126079</v>
      </c>
      <c r="GS55">
        <v>0</v>
      </c>
      <c r="GT55">
        <v>27.870999999999999</v>
      </c>
      <c r="GU55">
        <v>999.9</v>
      </c>
      <c r="GV55">
        <v>63.7</v>
      </c>
      <c r="GW55">
        <v>29.7</v>
      </c>
      <c r="GX55">
        <v>26.764900000000001</v>
      </c>
      <c r="GY55">
        <v>61.6145</v>
      </c>
      <c r="GZ55">
        <v>11.7308</v>
      </c>
      <c r="HA55">
        <v>1</v>
      </c>
      <c r="HB55">
        <v>0.125671</v>
      </c>
      <c r="HC55">
        <v>0.285414</v>
      </c>
      <c r="HD55">
        <v>20.281400000000001</v>
      </c>
      <c r="HE55">
        <v>5.2352600000000002</v>
      </c>
      <c r="HF55">
        <v>11.974</v>
      </c>
      <c r="HG55">
        <v>4.9740000000000002</v>
      </c>
      <c r="HH55">
        <v>3.2837999999999998</v>
      </c>
      <c r="HI55">
        <v>9999</v>
      </c>
      <c r="HJ55">
        <v>9999</v>
      </c>
      <c r="HK55">
        <v>9999</v>
      </c>
      <c r="HL55">
        <v>999.9</v>
      </c>
      <c r="HM55">
        <v>1.86084</v>
      </c>
      <c r="HN55">
        <v>1.86249</v>
      </c>
      <c r="HO55">
        <v>1.86798</v>
      </c>
      <c r="HP55">
        <v>1.85846</v>
      </c>
      <c r="HQ55">
        <v>1.85687</v>
      </c>
      <c r="HR55">
        <v>1.8605799999999999</v>
      </c>
      <c r="HS55">
        <v>1.8644700000000001</v>
      </c>
      <c r="HT55">
        <v>1.8666</v>
      </c>
      <c r="HU55">
        <v>5</v>
      </c>
      <c r="HV55">
        <v>0</v>
      </c>
      <c r="HW55">
        <v>0</v>
      </c>
      <c r="HX55">
        <v>0</v>
      </c>
      <c r="HY55" t="s">
        <v>422</v>
      </c>
      <c r="HZ55" t="s">
        <v>423</v>
      </c>
      <c r="IA55" t="s">
        <v>424</v>
      </c>
      <c r="IB55" t="s">
        <v>424</v>
      </c>
      <c r="IC55" t="s">
        <v>424</v>
      </c>
      <c r="ID55" t="s">
        <v>424</v>
      </c>
      <c r="IE55">
        <v>0</v>
      </c>
      <c r="IF55">
        <v>100</v>
      </c>
      <c r="IG55">
        <v>100</v>
      </c>
      <c r="IH55">
        <v>2.2040000000000002</v>
      </c>
      <c r="II55">
        <v>0.91100000000000003</v>
      </c>
      <c r="IJ55">
        <v>2.039684127923528</v>
      </c>
      <c r="IK55">
        <v>1.118558698776514E-3</v>
      </c>
      <c r="IL55">
        <v>-1.6939696309573479E-6</v>
      </c>
      <c r="IM55">
        <v>5.4698917449866148E-10</v>
      </c>
      <c r="IN55">
        <v>4.6872290603226063E-2</v>
      </c>
      <c r="IO55">
        <v>-7.6058941998734366E-3</v>
      </c>
      <c r="IP55">
        <v>1.6984902717538061E-3</v>
      </c>
      <c r="IQ55">
        <v>-9.6352527008986976E-6</v>
      </c>
      <c r="IR55">
        <v>2</v>
      </c>
      <c r="IS55">
        <v>2021</v>
      </c>
      <c r="IT55">
        <v>2</v>
      </c>
      <c r="IU55">
        <v>40</v>
      </c>
      <c r="IV55">
        <v>0.5</v>
      </c>
      <c r="IW55">
        <v>0.5</v>
      </c>
      <c r="IX55">
        <v>1.6186499999999999</v>
      </c>
      <c r="IY55">
        <v>2.4597199999999999</v>
      </c>
      <c r="IZ55">
        <v>1.34399</v>
      </c>
      <c r="JA55">
        <v>2.2473100000000001</v>
      </c>
      <c r="JB55">
        <v>1.5918000000000001</v>
      </c>
      <c r="JC55">
        <v>2.4084500000000002</v>
      </c>
      <c r="JD55">
        <v>34.6235</v>
      </c>
      <c r="JE55">
        <v>24.026199999999999</v>
      </c>
      <c r="JF55">
        <v>18</v>
      </c>
      <c r="JG55">
        <v>512.06200000000001</v>
      </c>
      <c r="JH55">
        <v>474.98</v>
      </c>
      <c r="JI55">
        <v>27.8169</v>
      </c>
      <c r="JJ55">
        <v>29.261399999999998</v>
      </c>
      <c r="JK55">
        <v>30</v>
      </c>
      <c r="JL55">
        <v>29.092300000000002</v>
      </c>
      <c r="JM55">
        <v>29.0352</v>
      </c>
      <c r="JN55">
        <v>32.467500000000001</v>
      </c>
      <c r="JO55">
        <v>23.6311</v>
      </c>
      <c r="JP55">
        <v>100</v>
      </c>
      <c r="JQ55">
        <v>27.813400000000001</v>
      </c>
      <c r="JR55">
        <v>700</v>
      </c>
      <c r="JS55">
        <v>23.3721</v>
      </c>
      <c r="JT55">
        <v>99.706400000000002</v>
      </c>
      <c r="JU55">
        <v>98.327299999999994</v>
      </c>
    </row>
    <row r="56" spans="1:281" x14ac:dyDescent="0.25">
      <c r="A56">
        <v>40</v>
      </c>
      <c r="B56">
        <v>1693502917.0999999</v>
      </c>
      <c r="C56">
        <v>7990.5</v>
      </c>
      <c r="D56" t="s">
        <v>619</v>
      </c>
      <c r="E56" t="s">
        <v>620</v>
      </c>
      <c r="F56" t="s">
        <v>413</v>
      </c>
      <c r="G56" t="s">
        <v>565</v>
      </c>
      <c r="H56" t="s">
        <v>31</v>
      </c>
      <c r="I56">
        <v>3</v>
      </c>
      <c r="J56">
        <v>1693502917.0999999</v>
      </c>
      <c r="K56">
        <f t="shared" si="46"/>
        <v>3.3100324909312814E-3</v>
      </c>
      <c r="L56">
        <f t="shared" si="47"/>
        <v>3.3100324909312815</v>
      </c>
      <c r="M56">
        <f t="shared" si="48"/>
        <v>42.590832841276161</v>
      </c>
      <c r="N56">
        <f t="shared" si="49"/>
        <v>845.53</v>
      </c>
      <c r="O56">
        <f t="shared" si="50"/>
        <v>516.413861034825</v>
      </c>
      <c r="P56">
        <f t="shared" si="51"/>
        <v>51.519759794517711</v>
      </c>
      <c r="Q56">
        <f t="shared" si="52"/>
        <v>84.353859928869994</v>
      </c>
      <c r="R56">
        <f t="shared" si="53"/>
        <v>0.22603502497720818</v>
      </c>
      <c r="S56">
        <f t="shared" si="54"/>
        <v>2.9139964606991131</v>
      </c>
      <c r="T56">
        <f t="shared" si="55"/>
        <v>0.21672659014281781</v>
      </c>
      <c r="U56">
        <f t="shared" si="56"/>
        <v>0.13625850193097391</v>
      </c>
      <c r="V56">
        <f t="shared" si="57"/>
        <v>344.39789964461971</v>
      </c>
      <c r="W56">
        <f t="shared" si="58"/>
        <v>31.406520498906264</v>
      </c>
      <c r="X56">
        <f t="shared" si="59"/>
        <v>29.957899999999999</v>
      </c>
      <c r="Y56">
        <f t="shared" si="60"/>
        <v>4.2501580472196565</v>
      </c>
      <c r="Z56">
        <f t="shared" si="61"/>
        <v>64.387495241185761</v>
      </c>
      <c r="AA56">
        <f t="shared" si="62"/>
        <v>2.7801566891888001</v>
      </c>
      <c r="AB56">
        <f t="shared" si="63"/>
        <v>4.3178519039679308</v>
      </c>
      <c r="AC56">
        <f t="shared" si="64"/>
        <v>1.4700013580308564</v>
      </c>
      <c r="AD56">
        <f t="shared" si="65"/>
        <v>-145.97243285006951</v>
      </c>
      <c r="AE56">
        <f t="shared" si="66"/>
        <v>43.249458540189906</v>
      </c>
      <c r="AF56">
        <f t="shared" si="67"/>
        <v>3.303251437514485</v>
      </c>
      <c r="AG56">
        <f t="shared" si="68"/>
        <v>244.97817677225459</v>
      </c>
      <c r="AH56">
        <v>0</v>
      </c>
      <c r="AI56">
        <v>0</v>
      </c>
      <c r="AJ56">
        <f t="shared" si="69"/>
        <v>1</v>
      </c>
      <c r="AK56">
        <f t="shared" si="70"/>
        <v>0</v>
      </c>
      <c r="AL56">
        <f t="shared" si="71"/>
        <v>51862.44665846249</v>
      </c>
      <c r="AM56" t="s">
        <v>416</v>
      </c>
      <c r="AN56">
        <v>10366.9</v>
      </c>
      <c r="AO56">
        <v>993.59653846153856</v>
      </c>
      <c r="AP56">
        <v>3431.87</v>
      </c>
      <c r="AQ56">
        <f t="shared" si="72"/>
        <v>0.71047955241266758</v>
      </c>
      <c r="AR56">
        <v>-3.9894345373445681</v>
      </c>
      <c r="AS56" t="s">
        <v>621</v>
      </c>
      <c r="AT56">
        <v>10385.6</v>
      </c>
      <c r="AU56">
        <v>812.02568000000019</v>
      </c>
      <c r="AV56">
        <v>1136.6119499877759</v>
      </c>
      <c r="AW56">
        <f t="shared" si="73"/>
        <v>0.28557351521006491</v>
      </c>
      <c r="AX56">
        <v>0.5</v>
      </c>
      <c r="AY56">
        <f t="shared" si="74"/>
        <v>1513.31069982231</v>
      </c>
      <c r="AZ56">
        <f t="shared" si="75"/>
        <v>42.590832841276161</v>
      </c>
      <c r="BA56">
        <f t="shared" si="76"/>
        <v>216.08072807663021</v>
      </c>
      <c r="BB56">
        <f t="shared" si="77"/>
        <v>3.0780372717968688E-2</v>
      </c>
      <c r="BC56">
        <f t="shared" si="78"/>
        <v>2.0193858159215283</v>
      </c>
      <c r="BD56">
        <f t="shared" si="79"/>
        <v>627.01186580723447</v>
      </c>
      <c r="BE56" t="s">
        <v>622</v>
      </c>
      <c r="BF56">
        <v>615.25</v>
      </c>
      <c r="BG56">
        <f t="shared" si="80"/>
        <v>615.25</v>
      </c>
      <c r="BH56">
        <f t="shared" si="81"/>
        <v>0.45869828308015159</v>
      </c>
      <c r="BI56">
        <f t="shared" si="82"/>
        <v>0.62257376088797067</v>
      </c>
      <c r="BJ56">
        <f t="shared" si="83"/>
        <v>0.81489801606614454</v>
      </c>
      <c r="BK56">
        <f t="shared" si="84"/>
        <v>2.2695894555967326</v>
      </c>
      <c r="BL56">
        <f t="shared" si="85"/>
        <v>0.94134562271944666</v>
      </c>
      <c r="BM56">
        <f t="shared" si="86"/>
        <v>0.47170738046895738</v>
      </c>
      <c r="BN56">
        <f t="shared" si="87"/>
        <v>0.52829261953104267</v>
      </c>
      <c r="BO56">
        <v>2227</v>
      </c>
      <c r="BP56">
        <v>290.00000000000011</v>
      </c>
      <c r="BQ56">
        <v>1049.1600000000001</v>
      </c>
      <c r="BR56">
        <v>95</v>
      </c>
      <c r="BS56">
        <v>10385.6</v>
      </c>
      <c r="BT56">
        <v>1045.45</v>
      </c>
      <c r="BU56">
        <v>3.71</v>
      </c>
      <c r="BV56">
        <v>300.00000000000011</v>
      </c>
      <c r="BW56">
        <v>38.4</v>
      </c>
      <c r="BX56">
        <v>1136.6119499877759</v>
      </c>
      <c r="BY56">
        <v>1.3356877620988601</v>
      </c>
      <c r="BZ56">
        <v>-94.678348561437545</v>
      </c>
      <c r="CA56">
        <v>1.1330201301349749</v>
      </c>
      <c r="CB56">
        <v>0.9960061297996633</v>
      </c>
      <c r="CC56">
        <v>-1.127802558398221E-2</v>
      </c>
      <c r="CD56">
        <v>289.99999999999989</v>
      </c>
      <c r="CE56">
        <v>1037.4100000000001</v>
      </c>
      <c r="CF56">
        <v>655</v>
      </c>
      <c r="CG56">
        <v>10344.299999999999</v>
      </c>
      <c r="CH56">
        <v>1045.08</v>
      </c>
      <c r="CI56">
        <v>-7.67</v>
      </c>
      <c r="CW56">
        <f t="shared" si="88"/>
        <v>1800.15</v>
      </c>
      <c r="CX56">
        <f t="shared" si="89"/>
        <v>1513.31069982231</v>
      </c>
      <c r="CY56">
        <f t="shared" si="90"/>
        <v>0.84065811172530613</v>
      </c>
      <c r="CZ56">
        <f t="shared" si="91"/>
        <v>0.19131622345061228</v>
      </c>
      <c r="DA56">
        <v>6</v>
      </c>
      <c r="DB56">
        <v>0.5</v>
      </c>
      <c r="DC56" t="s">
        <v>419</v>
      </c>
      <c r="DD56">
        <v>2</v>
      </c>
      <c r="DE56">
        <v>1693502917.0999999</v>
      </c>
      <c r="DF56">
        <v>845.53</v>
      </c>
      <c r="DG56">
        <v>899.94600000000003</v>
      </c>
      <c r="DH56">
        <v>27.8672</v>
      </c>
      <c r="DI56">
        <v>24.009499999999999</v>
      </c>
      <c r="DJ56">
        <v>843.35599999999999</v>
      </c>
      <c r="DK56">
        <v>27.164200000000001</v>
      </c>
      <c r="DL56">
        <v>500.47300000000001</v>
      </c>
      <c r="DM56">
        <v>99.664199999999994</v>
      </c>
      <c r="DN56">
        <v>0.10027899999999999</v>
      </c>
      <c r="DO56">
        <v>30.2332</v>
      </c>
      <c r="DP56">
        <v>29.957899999999999</v>
      </c>
      <c r="DQ56">
        <v>999.9</v>
      </c>
      <c r="DR56">
        <v>0</v>
      </c>
      <c r="DS56">
        <v>0</v>
      </c>
      <c r="DT56">
        <v>9945</v>
      </c>
      <c r="DU56">
        <v>0</v>
      </c>
      <c r="DV56">
        <v>1517.66</v>
      </c>
      <c r="DW56">
        <v>-54.483899999999998</v>
      </c>
      <c r="DX56">
        <v>869.875</v>
      </c>
      <c r="DY56">
        <v>922.08500000000004</v>
      </c>
      <c r="DZ56">
        <v>4.0550800000000002</v>
      </c>
      <c r="EA56">
        <v>899.94600000000003</v>
      </c>
      <c r="EB56">
        <v>24.009499999999999</v>
      </c>
      <c r="EC56">
        <v>2.7970299999999999</v>
      </c>
      <c r="ED56">
        <v>2.39289</v>
      </c>
      <c r="EE56">
        <v>22.866599999999998</v>
      </c>
      <c r="EF56">
        <v>20.3157</v>
      </c>
      <c r="EG56">
        <v>1800.15</v>
      </c>
      <c r="EH56">
        <v>0.97800299999999996</v>
      </c>
      <c r="EI56">
        <v>2.1996700000000001E-2</v>
      </c>
      <c r="EJ56">
        <v>0</v>
      </c>
      <c r="EK56">
        <v>811.91800000000001</v>
      </c>
      <c r="EL56">
        <v>5.0002700000000004</v>
      </c>
      <c r="EM56">
        <v>15311.8</v>
      </c>
      <c r="EN56">
        <v>16250</v>
      </c>
      <c r="EO56">
        <v>47.875</v>
      </c>
      <c r="EP56">
        <v>47.811999999999998</v>
      </c>
      <c r="EQ56">
        <v>48.75</v>
      </c>
      <c r="ER56">
        <v>47.25</v>
      </c>
      <c r="ES56">
        <v>49.311999999999998</v>
      </c>
      <c r="ET56">
        <v>1755.66</v>
      </c>
      <c r="EU56">
        <v>39.49</v>
      </c>
      <c r="EV56">
        <v>0</v>
      </c>
      <c r="EW56">
        <v>98.599999904632568</v>
      </c>
      <c r="EX56">
        <v>0</v>
      </c>
      <c r="EY56">
        <v>812.02568000000019</v>
      </c>
      <c r="EZ56">
        <v>-0.44746152620953722</v>
      </c>
      <c r="FA56">
        <v>-31.069231323302731</v>
      </c>
      <c r="FB56">
        <v>15305.912</v>
      </c>
      <c r="FC56">
        <v>15</v>
      </c>
      <c r="FD56">
        <v>1693502940.0999999</v>
      </c>
      <c r="FE56" t="s">
        <v>623</v>
      </c>
      <c r="FF56">
        <v>1693502939.5999999</v>
      </c>
      <c r="FG56">
        <v>1693502940.0999999</v>
      </c>
      <c r="FH56">
        <v>44</v>
      </c>
      <c r="FI56">
        <v>0.1</v>
      </c>
      <c r="FJ56">
        <v>0.03</v>
      </c>
      <c r="FK56">
        <v>2.1739999999999999</v>
      </c>
      <c r="FL56">
        <v>0.70299999999999996</v>
      </c>
      <c r="FM56">
        <v>900</v>
      </c>
      <c r="FN56">
        <v>24</v>
      </c>
      <c r="FO56">
        <v>0.18</v>
      </c>
      <c r="FP56">
        <v>0.03</v>
      </c>
      <c r="FQ56">
        <v>42.610751815316412</v>
      </c>
      <c r="FR56">
        <v>-0.55148277676260149</v>
      </c>
      <c r="FS56">
        <v>0.15676706448058</v>
      </c>
      <c r="FT56">
        <v>1</v>
      </c>
      <c r="FU56">
        <v>0.2461614061772327</v>
      </c>
      <c r="FV56">
        <v>-1.6595295169668539E-2</v>
      </c>
      <c r="FW56">
        <v>1.329730224676163E-3</v>
      </c>
      <c r="FX56">
        <v>1</v>
      </c>
      <c r="FY56">
        <v>2</v>
      </c>
      <c r="FZ56">
        <v>2</v>
      </c>
      <c r="GA56" t="s">
        <v>421</v>
      </c>
      <c r="GB56">
        <v>3.11896</v>
      </c>
      <c r="GC56">
        <v>2.86496</v>
      </c>
      <c r="GD56">
        <v>0.15929299999999999</v>
      </c>
      <c r="GE56">
        <v>0.17014499999999999</v>
      </c>
      <c r="GF56">
        <v>0.12798300000000001</v>
      </c>
      <c r="GG56">
        <v>0.120201</v>
      </c>
      <c r="GH56">
        <v>25509.200000000001</v>
      </c>
      <c r="GI56">
        <v>19511.7</v>
      </c>
      <c r="GJ56">
        <v>29244.3</v>
      </c>
      <c r="GK56">
        <v>21909.200000000001</v>
      </c>
      <c r="GL56">
        <v>34144</v>
      </c>
      <c r="GM56">
        <v>26514.799999999999</v>
      </c>
      <c r="GN56">
        <v>40581.599999999999</v>
      </c>
      <c r="GO56">
        <v>31118.799999999999</v>
      </c>
      <c r="GP56">
        <v>2.0426000000000002</v>
      </c>
      <c r="GQ56">
        <v>1.9271</v>
      </c>
      <c r="GR56">
        <v>0.14296200000000001</v>
      </c>
      <c r="GS56">
        <v>0</v>
      </c>
      <c r="GT56">
        <v>27.626799999999999</v>
      </c>
      <c r="GU56">
        <v>999.9</v>
      </c>
      <c r="GV56">
        <v>63.7</v>
      </c>
      <c r="GW56">
        <v>29.7</v>
      </c>
      <c r="GX56">
        <v>26.766100000000002</v>
      </c>
      <c r="GY56">
        <v>61.714500000000001</v>
      </c>
      <c r="GZ56">
        <v>11.8429</v>
      </c>
      <c r="HA56">
        <v>1</v>
      </c>
      <c r="HB56">
        <v>0.12439</v>
      </c>
      <c r="HC56">
        <v>0.12850800000000001</v>
      </c>
      <c r="HD56">
        <v>20.2818</v>
      </c>
      <c r="HE56">
        <v>5.2352600000000002</v>
      </c>
      <c r="HF56">
        <v>11.974</v>
      </c>
      <c r="HG56">
        <v>4.9748000000000001</v>
      </c>
      <c r="HH56">
        <v>3.2837000000000001</v>
      </c>
      <c r="HI56">
        <v>9999</v>
      </c>
      <c r="HJ56">
        <v>9999</v>
      </c>
      <c r="HK56">
        <v>9999</v>
      </c>
      <c r="HL56">
        <v>999.9</v>
      </c>
      <c r="HM56">
        <v>1.8608100000000001</v>
      </c>
      <c r="HN56">
        <v>1.86249</v>
      </c>
      <c r="HO56">
        <v>1.86795</v>
      </c>
      <c r="HP56">
        <v>1.8583700000000001</v>
      </c>
      <c r="HQ56">
        <v>1.85684</v>
      </c>
      <c r="HR56">
        <v>1.8605</v>
      </c>
      <c r="HS56">
        <v>1.8644499999999999</v>
      </c>
      <c r="HT56">
        <v>1.8664700000000001</v>
      </c>
      <c r="HU56">
        <v>5</v>
      </c>
      <c r="HV56">
        <v>0</v>
      </c>
      <c r="HW56">
        <v>0</v>
      </c>
      <c r="HX56">
        <v>0</v>
      </c>
      <c r="HY56" t="s">
        <v>422</v>
      </c>
      <c r="HZ56" t="s">
        <v>423</v>
      </c>
      <c r="IA56" t="s">
        <v>424</v>
      </c>
      <c r="IB56" t="s">
        <v>424</v>
      </c>
      <c r="IC56" t="s">
        <v>424</v>
      </c>
      <c r="ID56" t="s">
        <v>424</v>
      </c>
      <c r="IE56">
        <v>0</v>
      </c>
      <c r="IF56">
        <v>100</v>
      </c>
      <c r="IG56">
        <v>100</v>
      </c>
      <c r="IH56">
        <v>2.1739999999999999</v>
      </c>
      <c r="II56">
        <v>0.70299999999999996</v>
      </c>
      <c r="IJ56">
        <v>2.039684127923528</v>
      </c>
      <c r="IK56">
        <v>1.118558698776514E-3</v>
      </c>
      <c r="IL56">
        <v>-1.6939696309573479E-6</v>
      </c>
      <c r="IM56">
        <v>5.4698917449866148E-10</v>
      </c>
      <c r="IN56">
        <v>4.6872290603226063E-2</v>
      </c>
      <c r="IO56">
        <v>-7.6058941998734366E-3</v>
      </c>
      <c r="IP56">
        <v>1.6984902717538061E-3</v>
      </c>
      <c r="IQ56">
        <v>-9.6352527008986976E-6</v>
      </c>
      <c r="IR56">
        <v>2</v>
      </c>
      <c r="IS56">
        <v>2021</v>
      </c>
      <c r="IT56">
        <v>2</v>
      </c>
      <c r="IU56">
        <v>40</v>
      </c>
      <c r="IV56">
        <v>2.2000000000000002</v>
      </c>
      <c r="IW56">
        <v>2.2000000000000002</v>
      </c>
      <c r="IX56">
        <v>1.9909699999999999</v>
      </c>
      <c r="IY56">
        <v>2.4694799999999999</v>
      </c>
      <c r="IZ56">
        <v>1.34399</v>
      </c>
      <c r="JA56">
        <v>2.2473100000000001</v>
      </c>
      <c r="JB56">
        <v>1.5918000000000001</v>
      </c>
      <c r="JC56">
        <v>2.4597199999999999</v>
      </c>
      <c r="JD56">
        <v>34.5092</v>
      </c>
      <c r="JE56">
        <v>24.043700000000001</v>
      </c>
      <c r="JF56">
        <v>18</v>
      </c>
      <c r="JG56">
        <v>512.452</v>
      </c>
      <c r="JH56">
        <v>477.21499999999997</v>
      </c>
      <c r="JI56">
        <v>28.129899999999999</v>
      </c>
      <c r="JJ56">
        <v>29.238700000000001</v>
      </c>
      <c r="JK56">
        <v>29.9999</v>
      </c>
      <c r="JL56">
        <v>29.092300000000002</v>
      </c>
      <c r="JM56">
        <v>29.040199999999999</v>
      </c>
      <c r="JN56">
        <v>39.9148</v>
      </c>
      <c r="JO56">
        <v>20.5383</v>
      </c>
      <c r="JP56">
        <v>100</v>
      </c>
      <c r="JQ56">
        <v>28.141200000000001</v>
      </c>
      <c r="JR56">
        <v>900</v>
      </c>
      <c r="JS56">
        <v>24.097100000000001</v>
      </c>
      <c r="JT56">
        <v>99.704899999999995</v>
      </c>
      <c r="JU56">
        <v>98.331500000000005</v>
      </c>
    </row>
    <row r="57" spans="1:281" x14ac:dyDescent="0.25">
      <c r="A57">
        <v>41</v>
      </c>
      <c r="B57">
        <v>1693503100</v>
      </c>
      <c r="C57">
        <v>8173.4000000953674</v>
      </c>
      <c r="D57" t="s">
        <v>624</v>
      </c>
      <c r="E57" t="s">
        <v>625</v>
      </c>
      <c r="F57" t="s">
        <v>413</v>
      </c>
      <c r="G57" t="s">
        <v>565</v>
      </c>
      <c r="H57" t="s">
        <v>31</v>
      </c>
      <c r="I57">
        <v>3</v>
      </c>
      <c r="J57">
        <v>1693503100</v>
      </c>
      <c r="K57">
        <f t="shared" si="46"/>
        <v>2.7196352924567808E-3</v>
      </c>
      <c r="L57">
        <f t="shared" si="47"/>
        <v>2.7196352924567808</v>
      </c>
      <c r="M57">
        <f t="shared" si="48"/>
        <v>41.567789008021556</v>
      </c>
      <c r="N57">
        <f t="shared" si="49"/>
        <v>1146.42</v>
      </c>
      <c r="O57">
        <f t="shared" si="50"/>
        <v>752.34309882684431</v>
      </c>
      <c r="P57">
        <f t="shared" si="51"/>
        <v>75.055741774818046</v>
      </c>
      <c r="Q57">
        <f t="shared" si="52"/>
        <v>114.369898015494</v>
      </c>
      <c r="R57">
        <f t="shared" si="53"/>
        <v>0.18461558393474017</v>
      </c>
      <c r="S57">
        <f t="shared" si="54"/>
        <v>2.9288828292189355</v>
      </c>
      <c r="T57">
        <f t="shared" si="55"/>
        <v>0.17838585497159043</v>
      </c>
      <c r="U57">
        <f t="shared" si="56"/>
        <v>0.11203336314404883</v>
      </c>
      <c r="V57">
        <f t="shared" si="57"/>
        <v>344.371299644592</v>
      </c>
      <c r="W57">
        <f t="shared" si="58"/>
        <v>31.609601504004466</v>
      </c>
      <c r="X57">
        <f t="shared" si="59"/>
        <v>30.06</v>
      </c>
      <c r="Y57">
        <f t="shared" si="60"/>
        <v>4.2751548457844599</v>
      </c>
      <c r="Z57">
        <f t="shared" si="61"/>
        <v>64.829739559077822</v>
      </c>
      <c r="AA57">
        <f t="shared" si="62"/>
        <v>2.8081889257590902</v>
      </c>
      <c r="AB57">
        <f t="shared" si="63"/>
        <v>4.3316369074721539</v>
      </c>
      <c r="AC57">
        <f t="shared" si="64"/>
        <v>1.4669659200253697</v>
      </c>
      <c r="AD57">
        <f t="shared" si="65"/>
        <v>-119.93591639734403</v>
      </c>
      <c r="AE57">
        <f t="shared" si="66"/>
        <v>36.127961833129113</v>
      </c>
      <c r="AF57">
        <f t="shared" si="67"/>
        <v>2.7474532630897945</v>
      </c>
      <c r="AG57">
        <f t="shared" si="68"/>
        <v>263.31079834346684</v>
      </c>
      <c r="AH57">
        <v>0</v>
      </c>
      <c r="AI57">
        <v>0</v>
      </c>
      <c r="AJ57">
        <f t="shared" si="69"/>
        <v>1</v>
      </c>
      <c r="AK57">
        <f t="shared" si="70"/>
        <v>0</v>
      </c>
      <c r="AL57">
        <f t="shared" si="71"/>
        <v>52277.443855514837</v>
      </c>
      <c r="AM57" t="s">
        <v>416</v>
      </c>
      <c r="AN57">
        <v>10366.9</v>
      </c>
      <c r="AO57">
        <v>993.59653846153856</v>
      </c>
      <c r="AP57">
        <v>3431.87</v>
      </c>
      <c r="AQ57">
        <f t="shared" si="72"/>
        <v>0.71047955241266758</v>
      </c>
      <c r="AR57">
        <v>-3.9894345373445681</v>
      </c>
      <c r="AS57" t="s">
        <v>626</v>
      </c>
      <c r="AT57">
        <v>10372.299999999999</v>
      </c>
      <c r="AU57">
        <v>810.96346153846162</v>
      </c>
      <c r="AV57">
        <v>1137.809268322211</v>
      </c>
      <c r="AW57">
        <f t="shared" si="73"/>
        <v>0.28725887183684939</v>
      </c>
      <c r="AX57">
        <v>0.5</v>
      </c>
      <c r="AY57">
        <f t="shared" si="74"/>
        <v>1513.1930998222956</v>
      </c>
      <c r="AZ57">
        <f t="shared" si="75"/>
        <v>41.567789008021556</v>
      </c>
      <c r="BA57">
        <f t="shared" si="76"/>
        <v>217.33907136312882</v>
      </c>
      <c r="BB57">
        <f t="shared" si="77"/>
        <v>3.0106682055790646E-2</v>
      </c>
      <c r="BC57">
        <f t="shared" si="78"/>
        <v>2.0162085118717314</v>
      </c>
      <c r="BD57">
        <f t="shared" si="79"/>
        <v>627.37605885350422</v>
      </c>
      <c r="BE57" t="s">
        <v>627</v>
      </c>
      <c r="BF57">
        <v>615.95000000000005</v>
      </c>
      <c r="BG57">
        <f t="shared" si="80"/>
        <v>615.95000000000005</v>
      </c>
      <c r="BH57">
        <f t="shared" si="81"/>
        <v>0.45865267831025258</v>
      </c>
      <c r="BI57">
        <f t="shared" si="82"/>
        <v>0.62631024612165243</v>
      </c>
      <c r="BJ57">
        <f t="shared" si="83"/>
        <v>0.81467539265241506</v>
      </c>
      <c r="BK57">
        <f t="shared" si="84"/>
        <v>2.2664143942044741</v>
      </c>
      <c r="BL57">
        <f t="shared" si="85"/>
        <v>0.94085457101695236</v>
      </c>
      <c r="BM57">
        <f t="shared" si="86"/>
        <v>0.47570058873772775</v>
      </c>
      <c r="BN57">
        <f t="shared" si="87"/>
        <v>0.52429941126227231</v>
      </c>
      <c r="BO57">
        <v>2229</v>
      </c>
      <c r="BP57">
        <v>290.00000000000011</v>
      </c>
      <c r="BQ57">
        <v>1049.3499999999999</v>
      </c>
      <c r="BR57">
        <v>165</v>
      </c>
      <c r="BS57">
        <v>10372.299999999999</v>
      </c>
      <c r="BT57">
        <v>1046.43</v>
      </c>
      <c r="BU57">
        <v>2.92</v>
      </c>
      <c r="BV57">
        <v>300.00000000000011</v>
      </c>
      <c r="BW57">
        <v>38.4</v>
      </c>
      <c r="BX57">
        <v>1137.809268322211</v>
      </c>
      <c r="BY57">
        <v>1.1851542994552819</v>
      </c>
      <c r="BZ57">
        <v>-94.784792134759996</v>
      </c>
      <c r="CA57">
        <v>1.005430539858498</v>
      </c>
      <c r="CB57">
        <v>0.9968593557742832</v>
      </c>
      <c r="CC57">
        <v>-1.127897308120134E-2</v>
      </c>
      <c r="CD57">
        <v>289.99999999999989</v>
      </c>
      <c r="CE57">
        <v>1038.8399999999999</v>
      </c>
      <c r="CF57">
        <v>675</v>
      </c>
      <c r="CG57">
        <v>10343.6</v>
      </c>
      <c r="CH57">
        <v>1046.17</v>
      </c>
      <c r="CI57">
        <v>-7.33</v>
      </c>
      <c r="CW57">
        <f t="shared" si="88"/>
        <v>1800.01</v>
      </c>
      <c r="CX57">
        <f t="shared" si="89"/>
        <v>1513.1930998222956</v>
      </c>
      <c r="CY57">
        <f t="shared" si="90"/>
        <v>0.84065816291148143</v>
      </c>
      <c r="CZ57">
        <f t="shared" si="91"/>
        <v>0.19131632582296321</v>
      </c>
      <c r="DA57">
        <v>6</v>
      </c>
      <c r="DB57">
        <v>0.5</v>
      </c>
      <c r="DC57" t="s">
        <v>419</v>
      </c>
      <c r="DD57">
        <v>2</v>
      </c>
      <c r="DE57">
        <v>1693503100</v>
      </c>
      <c r="DF57">
        <v>1146.42</v>
      </c>
      <c r="DG57">
        <v>1200.08</v>
      </c>
      <c r="DH57">
        <v>28.148700000000002</v>
      </c>
      <c r="DI57">
        <v>24.974799999999998</v>
      </c>
      <c r="DJ57">
        <v>1144.31</v>
      </c>
      <c r="DK57">
        <v>27.196999999999999</v>
      </c>
      <c r="DL57">
        <v>499.65300000000002</v>
      </c>
      <c r="DM57">
        <v>99.662999999999997</v>
      </c>
      <c r="DN57">
        <v>9.9650699999999995E-2</v>
      </c>
      <c r="DO57">
        <v>30.288799999999998</v>
      </c>
      <c r="DP57">
        <v>30.06</v>
      </c>
      <c r="DQ57">
        <v>999.9</v>
      </c>
      <c r="DR57">
        <v>0</v>
      </c>
      <c r="DS57">
        <v>0</v>
      </c>
      <c r="DT57">
        <v>10030</v>
      </c>
      <c r="DU57">
        <v>0</v>
      </c>
      <c r="DV57">
        <v>1515.42</v>
      </c>
      <c r="DW57">
        <v>-53.6661</v>
      </c>
      <c r="DX57">
        <v>1179.6199999999999</v>
      </c>
      <c r="DY57">
        <v>1230.82</v>
      </c>
      <c r="DZ57">
        <v>3.1738900000000001</v>
      </c>
      <c r="EA57">
        <v>1200.08</v>
      </c>
      <c r="EB57">
        <v>24.974799999999998</v>
      </c>
      <c r="EC57">
        <v>2.80538</v>
      </c>
      <c r="ED57">
        <v>2.4890599999999998</v>
      </c>
      <c r="EE57">
        <v>22.915800000000001</v>
      </c>
      <c r="EF57">
        <v>20.955200000000001</v>
      </c>
      <c r="EG57">
        <v>1800.01</v>
      </c>
      <c r="EH57">
        <v>0.97799999999999998</v>
      </c>
      <c r="EI57">
        <v>2.20004E-2</v>
      </c>
      <c r="EJ57">
        <v>0</v>
      </c>
      <c r="EK57">
        <v>811.41300000000001</v>
      </c>
      <c r="EL57">
        <v>5.0002700000000004</v>
      </c>
      <c r="EM57">
        <v>15278.4</v>
      </c>
      <c r="EN57">
        <v>16248.7</v>
      </c>
      <c r="EO57">
        <v>47.686999999999998</v>
      </c>
      <c r="EP57">
        <v>47.5</v>
      </c>
      <c r="EQ57">
        <v>48.561999999999998</v>
      </c>
      <c r="ER57">
        <v>47</v>
      </c>
      <c r="ES57">
        <v>49.125</v>
      </c>
      <c r="ET57">
        <v>1755.52</v>
      </c>
      <c r="EU57">
        <v>39.49</v>
      </c>
      <c r="EV57">
        <v>0</v>
      </c>
      <c r="EW57">
        <v>180.79999995231631</v>
      </c>
      <c r="EX57">
        <v>0</v>
      </c>
      <c r="EY57">
        <v>810.96346153846162</v>
      </c>
      <c r="EZ57">
        <v>-0.64553846605639309</v>
      </c>
      <c r="FA57">
        <v>-0.1333333695128647</v>
      </c>
      <c r="FB57">
        <v>15281.780769230771</v>
      </c>
      <c r="FC57">
        <v>15</v>
      </c>
      <c r="FD57">
        <v>1693503059.5999999</v>
      </c>
      <c r="FE57" t="s">
        <v>628</v>
      </c>
      <c r="FF57">
        <v>1693503059.5999999</v>
      </c>
      <c r="FG57">
        <v>1693503044.5999999</v>
      </c>
      <c r="FH57">
        <v>45</v>
      </c>
      <c r="FI57">
        <v>8.5000000000000006E-2</v>
      </c>
      <c r="FJ57">
        <v>0.02</v>
      </c>
      <c r="FK57">
        <v>2.0739999999999998</v>
      </c>
      <c r="FL57">
        <v>0.745</v>
      </c>
      <c r="FM57">
        <v>1200</v>
      </c>
      <c r="FN57">
        <v>25</v>
      </c>
      <c r="FO57">
        <v>0.14000000000000001</v>
      </c>
      <c r="FP57">
        <v>0.06</v>
      </c>
      <c r="FQ57">
        <v>41.598946923544887</v>
      </c>
      <c r="FR57">
        <v>-0.35072775306099202</v>
      </c>
      <c r="FS57">
        <v>0.1228131710987503</v>
      </c>
      <c r="FT57">
        <v>1</v>
      </c>
      <c r="FU57">
        <v>0.18805645038865759</v>
      </c>
      <c r="FV57">
        <v>-5.1575543225549011E-3</v>
      </c>
      <c r="FW57">
        <v>6.0628574412444688E-4</v>
      </c>
      <c r="FX57">
        <v>1</v>
      </c>
      <c r="FY57">
        <v>2</v>
      </c>
      <c r="FZ57">
        <v>2</v>
      </c>
      <c r="GA57" t="s">
        <v>421</v>
      </c>
      <c r="GB57">
        <v>3.1182500000000002</v>
      </c>
      <c r="GC57">
        <v>2.8650600000000002</v>
      </c>
      <c r="GD57">
        <v>0.19428400000000001</v>
      </c>
      <c r="GE57">
        <v>0.20463000000000001</v>
      </c>
      <c r="GF57">
        <v>0.128108</v>
      </c>
      <c r="GG57">
        <v>0.123541</v>
      </c>
      <c r="GH57">
        <v>24451.7</v>
      </c>
      <c r="GI57">
        <v>18704.400000000001</v>
      </c>
      <c r="GJ57">
        <v>29248</v>
      </c>
      <c r="GK57">
        <v>21912.400000000001</v>
      </c>
      <c r="GL57">
        <v>34145.300000000003</v>
      </c>
      <c r="GM57">
        <v>26422.1</v>
      </c>
      <c r="GN57">
        <v>40586.5</v>
      </c>
      <c r="GO57">
        <v>31124.799999999999</v>
      </c>
      <c r="GP57">
        <v>2.0423</v>
      </c>
      <c r="GQ57">
        <v>1.9327000000000001</v>
      </c>
      <c r="GR57">
        <v>0.155807</v>
      </c>
      <c r="GS57">
        <v>0</v>
      </c>
      <c r="GT57">
        <v>27.519400000000001</v>
      </c>
      <c r="GU57">
        <v>999.9</v>
      </c>
      <c r="GV57">
        <v>63.8</v>
      </c>
      <c r="GW57">
        <v>29.5</v>
      </c>
      <c r="GX57">
        <v>26.499300000000002</v>
      </c>
      <c r="GY57">
        <v>61.474600000000002</v>
      </c>
      <c r="GZ57">
        <v>12.0633</v>
      </c>
      <c r="HA57">
        <v>1</v>
      </c>
      <c r="HB57">
        <v>0.117896</v>
      </c>
      <c r="HC57">
        <v>0.87458599999999997</v>
      </c>
      <c r="HD57">
        <v>20.2791</v>
      </c>
      <c r="HE57">
        <v>5.2352600000000002</v>
      </c>
      <c r="HF57">
        <v>11.974</v>
      </c>
      <c r="HG57">
        <v>4.9720000000000004</v>
      </c>
      <c r="HH57">
        <v>3.2837000000000001</v>
      </c>
      <c r="HI57">
        <v>9999</v>
      </c>
      <c r="HJ57">
        <v>9999</v>
      </c>
      <c r="HK57">
        <v>9999</v>
      </c>
      <c r="HL57">
        <v>999.9</v>
      </c>
      <c r="HM57">
        <v>1.8608100000000001</v>
      </c>
      <c r="HN57">
        <v>1.8624099999999999</v>
      </c>
      <c r="HO57">
        <v>1.8678600000000001</v>
      </c>
      <c r="HP57">
        <v>1.8583700000000001</v>
      </c>
      <c r="HQ57">
        <v>1.85684</v>
      </c>
      <c r="HR57">
        <v>1.8605</v>
      </c>
      <c r="HS57">
        <v>1.8644400000000001</v>
      </c>
      <c r="HT57">
        <v>1.86646</v>
      </c>
      <c r="HU57">
        <v>5</v>
      </c>
      <c r="HV57">
        <v>0</v>
      </c>
      <c r="HW57">
        <v>0</v>
      </c>
      <c r="HX57">
        <v>0</v>
      </c>
      <c r="HY57" t="s">
        <v>422</v>
      </c>
      <c r="HZ57" t="s">
        <v>423</v>
      </c>
      <c r="IA57" t="s">
        <v>424</v>
      </c>
      <c r="IB57" t="s">
        <v>424</v>
      </c>
      <c r="IC57" t="s">
        <v>424</v>
      </c>
      <c r="ID57" t="s">
        <v>424</v>
      </c>
      <c r="IE57">
        <v>0</v>
      </c>
      <c r="IF57">
        <v>100</v>
      </c>
      <c r="IG57">
        <v>100</v>
      </c>
      <c r="IH57">
        <v>2.11</v>
      </c>
      <c r="II57">
        <v>0.95169999999999999</v>
      </c>
      <c r="IJ57">
        <v>2.2244101635681148</v>
      </c>
      <c r="IK57">
        <v>1.118558698776514E-3</v>
      </c>
      <c r="IL57">
        <v>-1.6939696309573479E-6</v>
      </c>
      <c r="IM57">
        <v>5.4698917449866148E-10</v>
      </c>
      <c r="IN57">
        <v>9.6037286448284021E-2</v>
      </c>
      <c r="IO57">
        <v>-7.6058941998734366E-3</v>
      </c>
      <c r="IP57">
        <v>1.6984902717538061E-3</v>
      </c>
      <c r="IQ57">
        <v>-9.6352527008986976E-6</v>
      </c>
      <c r="IR57">
        <v>2</v>
      </c>
      <c r="IS57">
        <v>2021</v>
      </c>
      <c r="IT57">
        <v>2</v>
      </c>
      <c r="IU57">
        <v>40</v>
      </c>
      <c r="IV57">
        <v>0.7</v>
      </c>
      <c r="IW57">
        <v>0.9</v>
      </c>
      <c r="IX57">
        <v>2.5268600000000001</v>
      </c>
      <c r="IY57">
        <v>2.4731399999999999</v>
      </c>
      <c r="IZ57">
        <v>1.34399</v>
      </c>
      <c r="JA57">
        <v>2.2460900000000001</v>
      </c>
      <c r="JB57">
        <v>1.5918000000000001</v>
      </c>
      <c r="JC57">
        <v>2.2644000000000002</v>
      </c>
      <c r="JD57">
        <v>34.1678</v>
      </c>
      <c r="JE57">
        <v>24.035</v>
      </c>
      <c r="JF57">
        <v>18</v>
      </c>
      <c r="JG57">
        <v>511.70600000000002</v>
      </c>
      <c r="JH57">
        <v>480.60599999999999</v>
      </c>
      <c r="JI57">
        <v>27.724499999999999</v>
      </c>
      <c r="JJ57">
        <v>29.131</v>
      </c>
      <c r="JK57">
        <v>30.0001</v>
      </c>
      <c r="JL57">
        <v>29.032699999999998</v>
      </c>
      <c r="JM57">
        <v>28.9907</v>
      </c>
      <c r="JN57">
        <v>50.635100000000001</v>
      </c>
      <c r="JO57">
        <v>16.9757</v>
      </c>
      <c r="JP57">
        <v>100</v>
      </c>
      <c r="JQ57">
        <v>27.711099999999998</v>
      </c>
      <c r="JR57">
        <v>1200</v>
      </c>
      <c r="JS57">
        <v>25.01</v>
      </c>
      <c r="JT57">
        <v>99.717200000000005</v>
      </c>
      <c r="JU57">
        <v>98.348699999999994</v>
      </c>
    </row>
    <row r="58" spans="1:281" x14ac:dyDescent="0.25">
      <c r="A58">
        <v>42</v>
      </c>
      <c r="B58">
        <v>1693503213</v>
      </c>
      <c r="C58">
        <v>8286.4000000953674</v>
      </c>
      <c r="D58" t="s">
        <v>629</v>
      </c>
      <c r="E58" t="s">
        <v>630</v>
      </c>
      <c r="F58" t="s">
        <v>413</v>
      </c>
      <c r="G58" t="s">
        <v>565</v>
      </c>
      <c r="H58" t="s">
        <v>31</v>
      </c>
      <c r="I58">
        <v>3</v>
      </c>
      <c r="J58">
        <v>1693503213</v>
      </c>
      <c r="K58">
        <f t="shared" si="46"/>
        <v>2.37356779502185E-3</v>
      </c>
      <c r="L58">
        <f t="shared" si="47"/>
        <v>2.3735677950218501</v>
      </c>
      <c r="M58">
        <f t="shared" si="48"/>
        <v>41.123763546478422</v>
      </c>
      <c r="N58">
        <f t="shared" si="49"/>
        <v>1446.52</v>
      </c>
      <c r="O58">
        <f t="shared" si="50"/>
        <v>990.50246147905227</v>
      </c>
      <c r="P58">
        <f t="shared" si="51"/>
        <v>98.816450324103613</v>
      </c>
      <c r="Q58">
        <f t="shared" si="52"/>
        <v>144.31056689084798</v>
      </c>
      <c r="R58">
        <f t="shared" si="53"/>
        <v>0.15838552228630623</v>
      </c>
      <c r="S58">
        <f t="shared" si="54"/>
        <v>2.9402618157998983</v>
      </c>
      <c r="T58">
        <f t="shared" si="55"/>
        <v>0.15379376352566171</v>
      </c>
      <c r="U58">
        <f t="shared" si="56"/>
        <v>9.6522565128517035E-2</v>
      </c>
      <c r="V58">
        <f t="shared" si="57"/>
        <v>344.3294996445486</v>
      </c>
      <c r="W58">
        <f t="shared" si="58"/>
        <v>31.678911286367011</v>
      </c>
      <c r="X58">
        <f t="shared" si="59"/>
        <v>30.089500000000001</v>
      </c>
      <c r="Y58">
        <f t="shared" si="60"/>
        <v>4.2824010458399169</v>
      </c>
      <c r="Z58">
        <f t="shared" si="61"/>
        <v>64.635378409997145</v>
      </c>
      <c r="AA58">
        <f t="shared" si="62"/>
        <v>2.7973316237148</v>
      </c>
      <c r="AB58">
        <f t="shared" si="63"/>
        <v>4.3278645418777915</v>
      </c>
      <c r="AC58">
        <f t="shared" si="64"/>
        <v>1.4850694221251168</v>
      </c>
      <c r="AD58">
        <f t="shared" si="65"/>
        <v>-104.67433976046358</v>
      </c>
      <c r="AE58">
        <f t="shared" si="66"/>
        <v>29.182684221967271</v>
      </c>
      <c r="AF58">
        <f t="shared" si="67"/>
        <v>2.2108474984878246</v>
      </c>
      <c r="AG58">
        <f t="shared" si="68"/>
        <v>271.04869160454018</v>
      </c>
      <c r="AH58">
        <v>0</v>
      </c>
      <c r="AI58">
        <v>0</v>
      </c>
      <c r="AJ58">
        <f t="shared" si="69"/>
        <v>1</v>
      </c>
      <c r="AK58">
        <f t="shared" si="70"/>
        <v>0</v>
      </c>
      <c r="AL58">
        <f t="shared" si="71"/>
        <v>52605.5766635115</v>
      </c>
      <c r="AM58" t="s">
        <v>416</v>
      </c>
      <c r="AN58">
        <v>10366.9</v>
      </c>
      <c r="AO58">
        <v>993.59653846153856</v>
      </c>
      <c r="AP58">
        <v>3431.87</v>
      </c>
      <c r="AQ58">
        <f t="shared" si="72"/>
        <v>0.71047955241266758</v>
      </c>
      <c r="AR58">
        <v>-3.9894345373445681</v>
      </c>
      <c r="AS58" t="s">
        <v>631</v>
      </c>
      <c r="AT58">
        <v>10378.299999999999</v>
      </c>
      <c r="AU58">
        <v>811.99732000000006</v>
      </c>
      <c r="AV58">
        <v>1140.841436946823</v>
      </c>
      <c r="AW58">
        <f t="shared" si="73"/>
        <v>0.2882469958549998</v>
      </c>
      <c r="AX58">
        <v>0.5</v>
      </c>
      <c r="AY58">
        <f t="shared" si="74"/>
        <v>1513.0082998222742</v>
      </c>
      <c r="AZ58">
        <f t="shared" si="75"/>
        <v>41.123763546478422</v>
      </c>
      <c r="BA58">
        <f t="shared" si="76"/>
        <v>218.0600485637257</v>
      </c>
      <c r="BB58">
        <f t="shared" si="77"/>
        <v>2.981688738199402E-2</v>
      </c>
      <c r="BC58">
        <f t="shared" si="78"/>
        <v>2.0081919264648578</v>
      </c>
      <c r="BD58">
        <f t="shared" si="79"/>
        <v>628.29682937155007</v>
      </c>
      <c r="BE58" t="s">
        <v>632</v>
      </c>
      <c r="BF58">
        <v>613.74</v>
      </c>
      <c r="BG58">
        <f t="shared" si="80"/>
        <v>613.74</v>
      </c>
      <c r="BH58">
        <f t="shared" si="81"/>
        <v>0.46202865698626649</v>
      </c>
      <c r="BI58">
        <f t="shared" si="82"/>
        <v>0.62387254880505782</v>
      </c>
      <c r="BJ58">
        <f t="shared" si="83"/>
        <v>0.81296056713252296</v>
      </c>
      <c r="BK58">
        <f t="shared" si="84"/>
        <v>2.2333141611672702</v>
      </c>
      <c r="BL58">
        <f t="shared" si="85"/>
        <v>0.93961099900895517</v>
      </c>
      <c r="BM58">
        <f t="shared" si="86"/>
        <v>0.47154778553162735</v>
      </c>
      <c r="BN58">
        <f t="shared" si="87"/>
        <v>0.52845221446837265</v>
      </c>
      <c r="BO58">
        <v>2231</v>
      </c>
      <c r="BP58">
        <v>290.00000000000011</v>
      </c>
      <c r="BQ58">
        <v>1050.74</v>
      </c>
      <c r="BR58">
        <v>135</v>
      </c>
      <c r="BS58">
        <v>10378.299999999999</v>
      </c>
      <c r="BT58">
        <v>1048.7</v>
      </c>
      <c r="BU58">
        <v>2.04</v>
      </c>
      <c r="BV58">
        <v>300.00000000000011</v>
      </c>
      <c r="BW58">
        <v>38.4</v>
      </c>
      <c r="BX58">
        <v>1140.841436946823</v>
      </c>
      <c r="BY58">
        <v>1.0674677879500909</v>
      </c>
      <c r="BZ58">
        <v>-95.628034508125921</v>
      </c>
      <c r="CA58">
        <v>0.90563414573450518</v>
      </c>
      <c r="CB58">
        <v>0.99749502216999619</v>
      </c>
      <c r="CC58">
        <v>-1.127951167964404E-2</v>
      </c>
      <c r="CD58">
        <v>289.99999999999989</v>
      </c>
      <c r="CE58">
        <v>1040.46</v>
      </c>
      <c r="CF58">
        <v>655</v>
      </c>
      <c r="CG58">
        <v>10345.9</v>
      </c>
      <c r="CH58">
        <v>1048.4100000000001</v>
      </c>
      <c r="CI58">
        <v>-7.95</v>
      </c>
      <c r="CW58">
        <f t="shared" si="88"/>
        <v>1799.79</v>
      </c>
      <c r="CX58">
        <f t="shared" si="89"/>
        <v>1513.0082998222742</v>
      </c>
      <c r="CY58">
        <f t="shared" si="90"/>
        <v>0.84065824336298911</v>
      </c>
      <c r="CZ58">
        <f t="shared" si="91"/>
        <v>0.19131648672597837</v>
      </c>
      <c r="DA58">
        <v>6</v>
      </c>
      <c r="DB58">
        <v>0.5</v>
      </c>
      <c r="DC58" t="s">
        <v>419</v>
      </c>
      <c r="DD58">
        <v>2</v>
      </c>
      <c r="DE58">
        <v>1693503213</v>
      </c>
      <c r="DF58">
        <v>1446.52</v>
      </c>
      <c r="DG58">
        <v>1499.94</v>
      </c>
      <c r="DH58">
        <v>28.0395</v>
      </c>
      <c r="DI58">
        <v>25.273599999999998</v>
      </c>
      <c r="DJ58">
        <v>1444.33</v>
      </c>
      <c r="DK58">
        <v>27.0688</v>
      </c>
      <c r="DL58">
        <v>500.45499999999998</v>
      </c>
      <c r="DM58">
        <v>99.665099999999995</v>
      </c>
      <c r="DN58">
        <v>9.8862400000000003E-2</v>
      </c>
      <c r="DO58">
        <v>30.273599999999998</v>
      </c>
      <c r="DP58">
        <v>30.089500000000001</v>
      </c>
      <c r="DQ58">
        <v>999.9</v>
      </c>
      <c r="DR58">
        <v>0</v>
      </c>
      <c r="DS58">
        <v>0</v>
      </c>
      <c r="DT58">
        <v>10095</v>
      </c>
      <c r="DU58">
        <v>0</v>
      </c>
      <c r="DV58">
        <v>1509.57</v>
      </c>
      <c r="DW58">
        <v>-53.423999999999999</v>
      </c>
      <c r="DX58">
        <v>1488.25</v>
      </c>
      <c r="DY58">
        <v>1538.84</v>
      </c>
      <c r="DZ58">
        <v>2.7658700000000001</v>
      </c>
      <c r="EA58">
        <v>1499.94</v>
      </c>
      <c r="EB58">
        <v>25.273599999999998</v>
      </c>
      <c r="EC58">
        <v>2.7945600000000002</v>
      </c>
      <c r="ED58">
        <v>2.5188899999999999</v>
      </c>
      <c r="EE58">
        <v>22.852</v>
      </c>
      <c r="EF58">
        <v>21.149100000000001</v>
      </c>
      <c r="EG58">
        <v>1799.79</v>
      </c>
      <c r="EH58">
        <v>0.97799599999999998</v>
      </c>
      <c r="EI58">
        <v>2.2003999999999999E-2</v>
      </c>
      <c r="EJ58">
        <v>0</v>
      </c>
      <c r="EK58">
        <v>811.98099999999999</v>
      </c>
      <c r="EL58">
        <v>5.0002700000000004</v>
      </c>
      <c r="EM58">
        <v>15281.1</v>
      </c>
      <c r="EN58">
        <v>16246.7</v>
      </c>
      <c r="EO58">
        <v>47.625</v>
      </c>
      <c r="EP58">
        <v>47.436999999999998</v>
      </c>
      <c r="EQ58">
        <v>48.5</v>
      </c>
      <c r="ER58">
        <v>46.936999999999998</v>
      </c>
      <c r="ES58">
        <v>49.061999999999998</v>
      </c>
      <c r="ET58">
        <v>1755.3</v>
      </c>
      <c r="EU58">
        <v>39.49</v>
      </c>
      <c r="EV58">
        <v>0</v>
      </c>
      <c r="EW58">
        <v>111</v>
      </c>
      <c r="EX58">
        <v>0</v>
      </c>
      <c r="EY58">
        <v>811.99732000000006</v>
      </c>
      <c r="EZ58">
        <v>-0.96992307922067278</v>
      </c>
      <c r="FA58">
        <v>-40.792307704653737</v>
      </c>
      <c r="FB58">
        <v>15291.82</v>
      </c>
      <c r="FC58">
        <v>15</v>
      </c>
      <c r="FD58">
        <v>1693503175</v>
      </c>
      <c r="FE58" t="s">
        <v>633</v>
      </c>
      <c r="FF58">
        <v>1693503175</v>
      </c>
      <c r="FG58">
        <v>1693503169</v>
      </c>
      <c r="FH58">
        <v>46</v>
      </c>
      <c r="FI58">
        <v>0.23499999999999999</v>
      </c>
      <c r="FJ58">
        <v>2.7E-2</v>
      </c>
      <c r="FK58">
        <v>2.173</v>
      </c>
      <c r="FL58">
        <v>0.80800000000000005</v>
      </c>
      <c r="FM58">
        <v>1500</v>
      </c>
      <c r="FN58">
        <v>25</v>
      </c>
      <c r="FO58">
        <v>0.15</v>
      </c>
      <c r="FP58">
        <v>0.06</v>
      </c>
      <c r="FQ58">
        <v>41.201466806507959</v>
      </c>
      <c r="FR58">
        <v>-0.45215505640584353</v>
      </c>
      <c r="FS58">
        <v>0.1103436392064775</v>
      </c>
      <c r="FT58">
        <v>1</v>
      </c>
      <c r="FU58">
        <v>0.16356931324716251</v>
      </c>
      <c r="FV58">
        <v>-3.6059498644406628E-2</v>
      </c>
      <c r="FW58">
        <v>2.6338200727037912E-3</v>
      </c>
      <c r="FX58">
        <v>1</v>
      </c>
      <c r="FY58">
        <v>2</v>
      </c>
      <c r="FZ58">
        <v>2</v>
      </c>
      <c r="GA58" t="s">
        <v>421</v>
      </c>
      <c r="GB58">
        <v>3.1192500000000001</v>
      </c>
      <c r="GC58">
        <v>2.8648600000000002</v>
      </c>
      <c r="GD58">
        <v>0.22459699999999999</v>
      </c>
      <c r="GE58">
        <v>0.23465800000000001</v>
      </c>
      <c r="GF58">
        <v>0.12769900000000001</v>
      </c>
      <c r="GG58">
        <v>0.124574</v>
      </c>
      <c r="GH58">
        <v>23534.400000000001</v>
      </c>
      <c r="GI58">
        <v>17999.099999999999</v>
      </c>
      <c r="GJ58">
        <v>29250</v>
      </c>
      <c r="GK58">
        <v>21912.6</v>
      </c>
      <c r="GL58">
        <v>34166.5</v>
      </c>
      <c r="GM58">
        <v>26393.7</v>
      </c>
      <c r="GN58">
        <v>40589.1</v>
      </c>
      <c r="GO58">
        <v>31125.3</v>
      </c>
      <c r="GP58">
        <v>2.0432000000000001</v>
      </c>
      <c r="GQ58">
        <v>1.9357</v>
      </c>
      <c r="GR58">
        <v>0.158995</v>
      </c>
      <c r="GS58">
        <v>0</v>
      </c>
      <c r="GT58">
        <v>27.4969</v>
      </c>
      <c r="GU58">
        <v>999.9</v>
      </c>
      <c r="GV58">
        <v>64</v>
      </c>
      <c r="GW58">
        <v>29.5</v>
      </c>
      <c r="GX58">
        <v>26.585000000000001</v>
      </c>
      <c r="GY58">
        <v>61.244599999999998</v>
      </c>
      <c r="GZ58">
        <v>11.6546</v>
      </c>
      <c r="HA58">
        <v>1</v>
      </c>
      <c r="HB58">
        <v>0.11362800000000001</v>
      </c>
      <c r="HC58">
        <v>0.77630699999999997</v>
      </c>
      <c r="HD58">
        <v>20.279800000000002</v>
      </c>
      <c r="HE58">
        <v>5.2352600000000002</v>
      </c>
      <c r="HF58">
        <v>11.974</v>
      </c>
      <c r="HG58">
        <v>4.9757999999999996</v>
      </c>
      <c r="HH58">
        <v>3.2835999999999999</v>
      </c>
      <c r="HI58">
        <v>9999</v>
      </c>
      <c r="HJ58">
        <v>9999</v>
      </c>
      <c r="HK58">
        <v>9999</v>
      </c>
      <c r="HL58">
        <v>999.9</v>
      </c>
      <c r="HM58">
        <v>1.8607199999999999</v>
      </c>
      <c r="HN58">
        <v>1.8624099999999999</v>
      </c>
      <c r="HO58">
        <v>1.8678300000000001</v>
      </c>
      <c r="HP58">
        <v>1.8583700000000001</v>
      </c>
      <c r="HQ58">
        <v>1.85684</v>
      </c>
      <c r="HR58">
        <v>1.8605</v>
      </c>
      <c r="HS58">
        <v>1.8643799999999999</v>
      </c>
      <c r="HT58">
        <v>1.86646</v>
      </c>
      <c r="HU58">
        <v>5</v>
      </c>
      <c r="HV58">
        <v>0</v>
      </c>
      <c r="HW58">
        <v>0</v>
      </c>
      <c r="HX58">
        <v>0</v>
      </c>
      <c r="HY58" t="s">
        <v>422</v>
      </c>
      <c r="HZ58" t="s">
        <v>423</v>
      </c>
      <c r="IA58" t="s">
        <v>424</v>
      </c>
      <c r="IB58" t="s">
        <v>424</v>
      </c>
      <c r="IC58" t="s">
        <v>424</v>
      </c>
      <c r="ID58" t="s">
        <v>424</v>
      </c>
      <c r="IE58">
        <v>0</v>
      </c>
      <c r="IF58">
        <v>100</v>
      </c>
      <c r="IG58">
        <v>100</v>
      </c>
      <c r="IH58">
        <v>2.19</v>
      </c>
      <c r="II58">
        <v>0.97070000000000001</v>
      </c>
      <c r="IJ58">
        <v>2.4603814080307149</v>
      </c>
      <c r="IK58">
        <v>1.118558698776514E-3</v>
      </c>
      <c r="IL58">
        <v>-1.6939696309573479E-6</v>
      </c>
      <c r="IM58">
        <v>5.4698917449866148E-10</v>
      </c>
      <c r="IN58">
        <v>0.1231171565390482</v>
      </c>
      <c r="IO58">
        <v>-7.6058941998734366E-3</v>
      </c>
      <c r="IP58">
        <v>1.6984902717538061E-3</v>
      </c>
      <c r="IQ58">
        <v>-9.6352527008986976E-6</v>
      </c>
      <c r="IR58">
        <v>2</v>
      </c>
      <c r="IS58">
        <v>2021</v>
      </c>
      <c r="IT58">
        <v>2</v>
      </c>
      <c r="IU58">
        <v>40</v>
      </c>
      <c r="IV58">
        <v>0.6</v>
      </c>
      <c r="IW58">
        <v>0.7</v>
      </c>
      <c r="IX58">
        <v>3.0358900000000002</v>
      </c>
      <c r="IY58">
        <v>2.4621599999999999</v>
      </c>
      <c r="IZ58">
        <v>1.34399</v>
      </c>
      <c r="JA58">
        <v>2.2473100000000001</v>
      </c>
      <c r="JB58">
        <v>1.5918000000000001</v>
      </c>
      <c r="JC58">
        <v>2.4658199999999999</v>
      </c>
      <c r="JD58">
        <v>34.031799999999997</v>
      </c>
      <c r="JE58">
        <v>24.043700000000001</v>
      </c>
      <c r="JF58">
        <v>18</v>
      </c>
      <c r="JG58">
        <v>511.899</v>
      </c>
      <c r="JH58">
        <v>482.28500000000003</v>
      </c>
      <c r="JI58">
        <v>27.9513</v>
      </c>
      <c r="JJ58">
        <v>29.076599999999999</v>
      </c>
      <c r="JK58">
        <v>30.0001</v>
      </c>
      <c r="JL58">
        <v>28.990600000000001</v>
      </c>
      <c r="JM58">
        <v>28.948699999999999</v>
      </c>
      <c r="JN58">
        <v>60.833799999999997</v>
      </c>
      <c r="JO58">
        <v>15.8437</v>
      </c>
      <c r="JP58">
        <v>100</v>
      </c>
      <c r="JQ58">
        <v>27.8995</v>
      </c>
      <c r="JR58">
        <v>1500</v>
      </c>
      <c r="JS58">
        <v>25.307300000000001</v>
      </c>
      <c r="JT58">
        <v>99.723799999999997</v>
      </c>
      <c r="JU58">
        <v>98.349800000000002</v>
      </c>
    </row>
    <row r="59" spans="1:281" x14ac:dyDescent="0.25">
      <c r="A59">
        <v>43</v>
      </c>
      <c r="B59">
        <v>1693504794.5</v>
      </c>
      <c r="C59">
        <v>9867.9000000953674</v>
      </c>
      <c r="D59" t="s">
        <v>634</v>
      </c>
      <c r="E59" t="s">
        <v>635</v>
      </c>
      <c r="F59" t="s">
        <v>413</v>
      </c>
      <c r="G59" t="s">
        <v>493</v>
      </c>
      <c r="H59" t="s">
        <v>636</v>
      </c>
      <c r="I59" t="s">
        <v>494</v>
      </c>
      <c r="J59">
        <v>1693504794.5</v>
      </c>
      <c r="K59">
        <f t="shared" si="46"/>
        <v>4.7370274862425068E-3</v>
      </c>
      <c r="L59">
        <f t="shared" si="47"/>
        <v>4.737027486242507</v>
      </c>
      <c r="M59">
        <f t="shared" si="48"/>
        <v>45.086130609954992</v>
      </c>
      <c r="N59">
        <f t="shared" si="49"/>
        <v>343.81</v>
      </c>
      <c r="O59">
        <f t="shared" si="50"/>
        <v>127.00257554634172</v>
      </c>
      <c r="P59">
        <f t="shared" si="51"/>
        <v>12.667233582925157</v>
      </c>
      <c r="Q59">
        <f t="shared" si="52"/>
        <v>34.291600460939996</v>
      </c>
      <c r="R59">
        <f t="shared" si="53"/>
        <v>0.36090332239894213</v>
      </c>
      <c r="S59">
        <f t="shared" si="54"/>
        <v>2.9214704317876485</v>
      </c>
      <c r="T59">
        <f t="shared" si="55"/>
        <v>0.33783802074978647</v>
      </c>
      <c r="U59">
        <f t="shared" si="56"/>
        <v>0.21309812974345876</v>
      </c>
      <c r="V59">
        <f t="shared" si="57"/>
        <v>344.33709964455647</v>
      </c>
      <c r="W59">
        <f t="shared" si="58"/>
        <v>31.591825550204927</v>
      </c>
      <c r="X59">
        <f t="shared" si="59"/>
        <v>30.008700000000001</v>
      </c>
      <c r="Y59">
        <f t="shared" si="60"/>
        <v>4.2625792717491553</v>
      </c>
      <c r="Z59">
        <f t="shared" si="61"/>
        <v>65.367519678774542</v>
      </c>
      <c r="AA59">
        <f t="shared" si="62"/>
        <v>2.9143820922851997</v>
      </c>
      <c r="AB59">
        <f t="shared" si="63"/>
        <v>4.4584559833490625</v>
      </c>
      <c r="AC59">
        <f t="shared" si="64"/>
        <v>1.3481971794639556</v>
      </c>
      <c r="AD59">
        <f t="shared" si="65"/>
        <v>-208.90291214329454</v>
      </c>
      <c r="AE59">
        <f t="shared" si="66"/>
        <v>123.56056526909092</v>
      </c>
      <c r="AF59">
        <f t="shared" si="67"/>
        <v>9.4415029659808258</v>
      </c>
      <c r="AG59">
        <f t="shared" si="68"/>
        <v>268.43625573633369</v>
      </c>
      <c r="AH59">
        <v>0</v>
      </c>
      <c r="AI59">
        <v>0</v>
      </c>
      <c r="AJ59">
        <f t="shared" si="69"/>
        <v>1</v>
      </c>
      <c r="AK59">
        <f t="shared" si="70"/>
        <v>0</v>
      </c>
      <c r="AL59">
        <f t="shared" si="71"/>
        <v>51978.945413824134</v>
      </c>
      <c r="AM59" t="s">
        <v>416</v>
      </c>
      <c r="AN59">
        <v>10366.9</v>
      </c>
      <c r="AO59">
        <v>993.59653846153856</v>
      </c>
      <c r="AP59">
        <v>3431.87</v>
      </c>
      <c r="AQ59">
        <f t="shared" si="72"/>
        <v>0.71047955241266758</v>
      </c>
      <c r="AR59">
        <v>-3.9894345373445681</v>
      </c>
      <c r="AS59" t="s">
        <v>637</v>
      </c>
      <c r="AT59">
        <v>10383.5</v>
      </c>
      <c r="AU59">
        <v>778.58357692307686</v>
      </c>
      <c r="AV59">
        <v>1134.350937665806</v>
      </c>
      <c r="AW59">
        <f t="shared" si="73"/>
        <v>0.3136307723911298</v>
      </c>
      <c r="AX59">
        <v>0.5</v>
      </c>
      <c r="AY59">
        <f t="shared" si="74"/>
        <v>1513.0418998222781</v>
      </c>
      <c r="AZ59">
        <f t="shared" si="75"/>
        <v>45.086130609954992</v>
      </c>
      <c r="BA59">
        <f t="shared" si="76"/>
        <v>237.26824985070175</v>
      </c>
      <c r="BB59">
        <f t="shared" si="77"/>
        <v>3.2435033790580402E-2</v>
      </c>
      <c r="BC59">
        <f t="shared" si="78"/>
        <v>2.0254041197002759</v>
      </c>
      <c r="BD59">
        <f t="shared" si="79"/>
        <v>626.32318572014265</v>
      </c>
      <c r="BE59" t="s">
        <v>638</v>
      </c>
      <c r="BF59">
        <v>598.83000000000004</v>
      </c>
      <c r="BG59">
        <f t="shared" si="80"/>
        <v>598.83000000000004</v>
      </c>
      <c r="BH59">
        <f t="shared" si="81"/>
        <v>0.47209458720752351</v>
      </c>
      <c r="BI59">
        <f t="shared" si="82"/>
        <v>0.66433884414197675</v>
      </c>
      <c r="BJ59">
        <f t="shared" si="83"/>
        <v>0.81097304038566143</v>
      </c>
      <c r="BK59">
        <f t="shared" si="84"/>
        <v>2.5275754275106372</v>
      </c>
      <c r="BL59">
        <f t="shared" si="85"/>
        <v>0.9422729232694611</v>
      </c>
      <c r="BM59">
        <f t="shared" si="86"/>
        <v>0.51096124016605693</v>
      </c>
      <c r="BN59">
        <f t="shared" si="87"/>
        <v>0.48903875983394307</v>
      </c>
      <c r="BO59">
        <v>2233</v>
      </c>
      <c r="BP59">
        <v>290.00000000000011</v>
      </c>
      <c r="BQ59">
        <v>1030.57</v>
      </c>
      <c r="BR59">
        <v>105</v>
      </c>
      <c r="BS59">
        <v>10383.5</v>
      </c>
      <c r="BT59">
        <v>1029.53</v>
      </c>
      <c r="BU59">
        <v>1.04</v>
      </c>
      <c r="BV59">
        <v>300.00000000000011</v>
      </c>
      <c r="BW59">
        <v>38.4</v>
      </c>
      <c r="BX59">
        <v>1134.350937665806</v>
      </c>
      <c r="BY59">
        <v>1.231710373641183</v>
      </c>
      <c r="BZ59">
        <v>-108.8459259846266</v>
      </c>
      <c r="CA59">
        <v>1.0446861634099549</v>
      </c>
      <c r="CB59">
        <v>0.99742731498318016</v>
      </c>
      <c r="CC59">
        <v>-1.1276873637374859E-2</v>
      </c>
      <c r="CD59">
        <v>289.99999999999989</v>
      </c>
      <c r="CE59">
        <v>1018.1</v>
      </c>
      <c r="CF59">
        <v>655</v>
      </c>
      <c r="CG59">
        <v>10342.700000000001</v>
      </c>
      <c r="CH59">
        <v>1029.1099999999999</v>
      </c>
      <c r="CI59">
        <v>-11.01</v>
      </c>
      <c r="CW59">
        <f t="shared" si="88"/>
        <v>1799.83</v>
      </c>
      <c r="CX59">
        <f t="shared" si="89"/>
        <v>1513.0418998222781</v>
      </c>
      <c r="CY59">
        <f t="shared" si="90"/>
        <v>0.84065822873397944</v>
      </c>
      <c r="CZ59">
        <f t="shared" si="91"/>
        <v>0.19131645746795892</v>
      </c>
      <c r="DA59">
        <v>6</v>
      </c>
      <c r="DB59">
        <v>0.5</v>
      </c>
      <c r="DC59" t="s">
        <v>419</v>
      </c>
      <c r="DD59">
        <v>2</v>
      </c>
      <c r="DE59">
        <v>1693504794.5</v>
      </c>
      <c r="DF59">
        <v>343.81</v>
      </c>
      <c r="DG59">
        <v>399.90800000000002</v>
      </c>
      <c r="DH59">
        <v>29.219799999999999</v>
      </c>
      <c r="DI59">
        <v>23.697500000000002</v>
      </c>
      <c r="DJ59">
        <v>341.75</v>
      </c>
      <c r="DK59">
        <v>28.284800000000001</v>
      </c>
      <c r="DL59">
        <v>499.64100000000002</v>
      </c>
      <c r="DM59">
        <v>99.639799999999994</v>
      </c>
      <c r="DN59">
        <v>0.100174</v>
      </c>
      <c r="DO59">
        <v>30.793199999999999</v>
      </c>
      <c r="DP59">
        <v>30.008700000000001</v>
      </c>
      <c r="DQ59">
        <v>999.9</v>
      </c>
      <c r="DR59">
        <v>0</v>
      </c>
      <c r="DS59">
        <v>0</v>
      </c>
      <c r="DT59">
        <v>9990</v>
      </c>
      <c r="DU59">
        <v>0</v>
      </c>
      <c r="DV59">
        <v>166.63</v>
      </c>
      <c r="DW59">
        <v>-56.098300000000002</v>
      </c>
      <c r="DX59">
        <v>354.15800000000002</v>
      </c>
      <c r="DY59">
        <v>409.61500000000001</v>
      </c>
      <c r="DZ59">
        <v>5.5222899999999999</v>
      </c>
      <c r="EA59">
        <v>399.90800000000002</v>
      </c>
      <c r="EB59">
        <v>23.697500000000002</v>
      </c>
      <c r="EC59">
        <v>2.9114599999999999</v>
      </c>
      <c r="ED59">
        <v>2.3612199999999999</v>
      </c>
      <c r="EE59">
        <v>23.53</v>
      </c>
      <c r="EF59">
        <v>20.100200000000001</v>
      </c>
      <c r="EG59">
        <v>1799.83</v>
      </c>
      <c r="EH59">
        <v>0.97799599999999998</v>
      </c>
      <c r="EI59">
        <v>2.2003999999999999E-2</v>
      </c>
      <c r="EJ59">
        <v>0</v>
      </c>
      <c r="EK59">
        <v>779.21699999999998</v>
      </c>
      <c r="EL59">
        <v>5.0002700000000004</v>
      </c>
      <c r="EM59">
        <v>14983.4</v>
      </c>
      <c r="EN59">
        <v>16247</v>
      </c>
      <c r="EO59">
        <v>49.875</v>
      </c>
      <c r="EP59">
        <v>51.811999999999998</v>
      </c>
      <c r="EQ59">
        <v>51.186999999999998</v>
      </c>
      <c r="ER59">
        <v>50.25</v>
      </c>
      <c r="ES59">
        <v>51.436999999999998</v>
      </c>
      <c r="ET59">
        <v>1755.34</v>
      </c>
      <c r="EU59">
        <v>39.49</v>
      </c>
      <c r="EV59">
        <v>0</v>
      </c>
      <c r="EW59">
        <v>1579.400000095367</v>
      </c>
      <c r="EX59">
        <v>0</v>
      </c>
      <c r="EY59">
        <v>778.58357692307686</v>
      </c>
      <c r="EZ59">
        <v>5.1732991392947092</v>
      </c>
      <c r="FA59">
        <v>65.62051280604355</v>
      </c>
      <c r="FB59">
        <v>14977.58461538462</v>
      </c>
      <c r="FC59">
        <v>15</v>
      </c>
      <c r="FD59">
        <v>1693504764</v>
      </c>
      <c r="FE59" t="s">
        <v>639</v>
      </c>
      <c r="FF59">
        <v>1693504759</v>
      </c>
      <c r="FG59">
        <v>1693504764</v>
      </c>
      <c r="FH59">
        <v>49</v>
      </c>
      <c r="FI59">
        <v>0.214</v>
      </c>
      <c r="FJ59">
        <v>-0.16400000000000001</v>
      </c>
      <c r="FK59">
        <v>2.0649999999999999</v>
      </c>
      <c r="FL59">
        <v>0.60699999999999998</v>
      </c>
      <c r="FM59">
        <v>400</v>
      </c>
      <c r="FN59">
        <v>23</v>
      </c>
      <c r="FO59">
        <v>0.11</v>
      </c>
      <c r="FP59">
        <v>0.05</v>
      </c>
      <c r="FQ59">
        <v>45.224672769192082</v>
      </c>
      <c r="FR59">
        <v>-0.12048063852527791</v>
      </c>
      <c r="FS59">
        <v>0.1054043491618174</v>
      </c>
      <c r="FT59">
        <v>1</v>
      </c>
      <c r="FU59">
        <v>0.36250185782606092</v>
      </c>
      <c r="FV59">
        <v>4.7280361323613893E-2</v>
      </c>
      <c r="FW59">
        <v>5.9714143205040456E-3</v>
      </c>
      <c r="FX59">
        <v>1</v>
      </c>
      <c r="FY59">
        <v>2</v>
      </c>
      <c r="FZ59">
        <v>2</v>
      </c>
      <c r="GA59" t="s">
        <v>421</v>
      </c>
      <c r="GB59">
        <v>3.1179100000000002</v>
      </c>
      <c r="GC59">
        <v>2.86524</v>
      </c>
      <c r="GD59">
        <v>8.2272100000000001E-2</v>
      </c>
      <c r="GE59">
        <v>9.5500100000000004E-2</v>
      </c>
      <c r="GF59">
        <v>0.13125300000000001</v>
      </c>
      <c r="GG59">
        <v>0.11874999999999999</v>
      </c>
      <c r="GH59">
        <v>27775.9</v>
      </c>
      <c r="GI59">
        <v>21225.4</v>
      </c>
      <c r="GJ59">
        <v>29177.8</v>
      </c>
      <c r="GK59">
        <v>21870.9</v>
      </c>
      <c r="GL59">
        <v>33942.800000000003</v>
      </c>
      <c r="GM59">
        <v>26516</v>
      </c>
      <c r="GN59">
        <v>40491.199999999997</v>
      </c>
      <c r="GO59">
        <v>31073.4</v>
      </c>
      <c r="GP59">
        <v>2.0259999999999998</v>
      </c>
      <c r="GQ59">
        <v>1.9116</v>
      </c>
      <c r="GR59">
        <v>4.9233399999999997E-2</v>
      </c>
      <c r="GS59">
        <v>0</v>
      </c>
      <c r="GT59">
        <v>29.207000000000001</v>
      </c>
      <c r="GU59">
        <v>999.9</v>
      </c>
      <c r="GV59">
        <v>64.7</v>
      </c>
      <c r="GW59">
        <v>29.3</v>
      </c>
      <c r="GX59">
        <v>26.572500000000002</v>
      </c>
      <c r="GY59">
        <v>61.7547</v>
      </c>
      <c r="GZ59">
        <v>11.7949</v>
      </c>
      <c r="HA59">
        <v>1</v>
      </c>
      <c r="HB59">
        <v>0.22670699999999999</v>
      </c>
      <c r="HC59">
        <v>1.64303</v>
      </c>
      <c r="HD59">
        <v>20.3279</v>
      </c>
      <c r="HE59">
        <v>5.2346599999999999</v>
      </c>
      <c r="HF59">
        <v>11.974</v>
      </c>
      <c r="HG59">
        <v>4.9756</v>
      </c>
      <c r="HH59">
        <v>3.2839999999999998</v>
      </c>
      <c r="HI59">
        <v>9999</v>
      </c>
      <c r="HJ59">
        <v>9999</v>
      </c>
      <c r="HK59">
        <v>9999</v>
      </c>
      <c r="HL59">
        <v>999.9</v>
      </c>
      <c r="HM59">
        <v>1.8604499999999999</v>
      </c>
      <c r="HN59">
        <v>1.86212</v>
      </c>
      <c r="HO59">
        <v>1.8675200000000001</v>
      </c>
      <c r="HP59">
        <v>1.8579699999999999</v>
      </c>
      <c r="HQ59">
        <v>1.8565199999999999</v>
      </c>
      <c r="HR59">
        <v>1.8602000000000001</v>
      </c>
      <c r="HS59">
        <v>1.8640600000000001</v>
      </c>
      <c r="HT59">
        <v>1.86615</v>
      </c>
      <c r="HU59">
        <v>5</v>
      </c>
      <c r="HV59">
        <v>0</v>
      </c>
      <c r="HW59">
        <v>0</v>
      </c>
      <c r="HX59">
        <v>0</v>
      </c>
      <c r="HY59" t="s">
        <v>422</v>
      </c>
      <c r="HZ59" t="s">
        <v>423</v>
      </c>
      <c r="IA59" t="s">
        <v>424</v>
      </c>
      <c r="IB59" t="s">
        <v>424</v>
      </c>
      <c r="IC59" t="s">
        <v>424</v>
      </c>
      <c r="ID59" t="s">
        <v>424</v>
      </c>
      <c r="IE59">
        <v>0</v>
      </c>
      <c r="IF59">
        <v>100</v>
      </c>
      <c r="IG59">
        <v>100</v>
      </c>
      <c r="IH59">
        <v>2.06</v>
      </c>
      <c r="II59">
        <v>0.93500000000000005</v>
      </c>
      <c r="IJ59">
        <v>1.8538046354660209</v>
      </c>
      <c r="IK59">
        <v>1.118558698776514E-3</v>
      </c>
      <c r="IL59">
        <v>-1.6939696309573479E-6</v>
      </c>
      <c r="IM59">
        <v>5.4698917449866148E-10</v>
      </c>
      <c r="IN59">
        <v>9.297111125207036E-3</v>
      </c>
      <c r="IO59">
        <v>-7.6058941998734366E-3</v>
      </c>
      <c r="IP59">
        <v>1.6984902717538061E-3</v>
      </c>
      <c r="IQ59">
        <v>-9.6352527008986976E-6</v>
      </c>
      <c r="IR59">
        <v>2</v>
      </c>
      <c r="IS59">
        <v>2021</v>
      </c>
      <c r="IT59">
        <v>2</v>
      </c>
      <c r="IU59">
        <v>40</v>
      </c>
      <c r="IV59">
        <v>0.6</v>
      </c>
      <c r="IW59">
        <v>0.5</v>
      </c>
      <c r="IX59">
        <v>1.02783</v>
      </c>
      <c r="IY59">
        <v>2.4670399999999999</v>
      </c>
      <c r="IZ59">
        <v>1.34399</v>
      </c>
      <c r="JA59">
        <v>2.2485400000000002</v>
      </c>
      <c r="JB59">
        <v>1.5918000000000001</v>
      </c>
      <c r="JC59">
        <v>2.35229</v>
      </c>
      <c r="JD59">
        <v>33.266300000000001</v>
      </c>
      <c r="JE59">
        <v>16.014600000000002</v>
      </c>
      <c r="JF59">
        <v>18</v>
      </c>
      <c r="JG59">
        <v>512.91899999999998</v>
      </c>
      <c r="JH59">
        <v>477.72500000000002</v>
      </c>
      <c r="JI59">
        <v>26.861899999999999</v>
      </c>
      <c r="JJ59">
        <v>30.5336</v>
      </c>
      <c r="JK59">
        <v>30.000299999999999</v>
      </c>
      <c r="JL59">
        <v>30.3247</v>
      </c>
      <c r="JM59">
        <v>30.267499999999998</v>
      </c>
      <c r="JN59">
        <v>20.643999999999998</v>
      </c>
      <c r="JO59">
        <v>21.258500000000002</v>
      </c>
      <c r="JP59">
        <v>100</v>
      </c>
      <c r="JQ59">
        <v>26.869800000000001</v>
      </c>
      <c r="JR59">
        <v>400</v>
      </c>
      <c r="JS59">
        <v>23.668099999999999</v>
      </c>
      <c r="JT59">
        <v>99.480900000000005</v>
      </c>
      <c r="JU59">
        <v>98.176199999999994</v>
      </c>
    </row>
    <row r="60" spans="1:281" x14ac:dyDescent="0.25">
      <c r="A60">
        <v>44</v>
      </c>
      <c r="B60">
        <v>1693504919.0999999</v>
      </c>
      <c r="C60">
        <v>9992.5</v>
      </c>
      <c r="D60" t="s">
        <v>640</v>
      </c>
      <c r="E60" t="s">
        <v>641</v>
      </c>
      <c r="F60" t="s">
        <v>413</v>
      </c>
      <c r="G60" t="s">
        <v>493</v>
      </c>
      <c r="H60" t="s">
        <v>636</v>
      </c>
      <c r="I60" t="s">
        <v>494</v>
      </c>
      <c r="J60">
        <v>1693504919.0999999</v>
      </c>
      <c r="K60">
        <f t="shared" si="46"/>
        <v>4.9773121119816481E-3</v>
      </c>
      <c r="L60">
        <f t="shared" si="47"/>
        <v>4.9773121119816484</v>
      </c>
      <c r="M60">
        <f t="shared" si="48"/>
        <v>35.96826848858904</v>
      </c>
      <c r="N60">
        <f t="shared" si="49"/>
        <v>255.21100000000001</v>
      </c>
      <c r="O60">
        <f t="shared" si="50"/>
        <v>90.37808908030425</v>
      </c>
      <c r="P60">
        <f t="shared" si="51"/>
        <v>9.0148641706651613</v>
      </c>
      <c r="Q60">
        <f t="shared" si="52"/>
        <v>25.456308307375</v>
      </c>
      <c r="R60">
        <f t="shared" si="53"/>
        <v>0.3794476000575262</v>
      </c>
      <c r="S60">
        <f t="shared" si="54"/>
        <v>2.9242064626113855</v>
      </c>
      <c r="T60">
        <f t="shared" si="55"/>
        <v>0.35406262142811112</v>
      </c>
      <c r="U60">
        <f t="shared" si="56"/>
        <v>0.22342820170151168</v>
      </c>
      <c r="V60">
        <f t="shared" si="57"/>
        <v>344.38969964470169</v>
      </c>
      <c r="W60">
        <f t="shared" si="58"/>
        <v>31.456247825625667</v>
      </c>
      <c r="X60">
        <f t="shared" si="59"/>
        <v>29.977799999999998</v>
      </c>
      <c r="Y60">
        <f t="shared" si="60"/>
        <v>4.2550200784528753</v>
      </c>
      <c r="Z60">
        <f t="shared" si="61"/>
        <v>65.386496753521058</v>
      </c>
      <c r="AA60">
        <f t="shared" si="62"/>
        <v>2.90313091735</v>
      </c>
      <c r="AB60">
        <f t="shared" si="63"/>
        <v>4.4399548247607656</v>
      </c>
      <c r="AC60">
        <f t="shared" si="64"/>
        <v>1.3518891611028754</v>
      </c>
      <c r="AD60">
        <f t="shared" si="65"/>
        <v>-219.49946413839069</v>
      </c>
      <c r="AE60">
        <f t="shared" si="66"/>
        <v>117.0707554500182</v>
      </c>
      <c r="AF60">
        <f t="shared" si="67"/>
        <v>8.9326512610858693</v>
      </c>
      <c r="AG60">
        <f t="shared" si="68"/>
        <v>250.89364221741508</v>
      </c>
      <c r="AH60">
        <v>0</v>
      </c>
      <c r="AI60">
        <v>0</v>
      </c>
      <c r="AJ60">
        <f t="shared" si="69"/>
        <v>1</v>
      </c>
      <c r="AK60">
        <f t="shared" si="70"/>
        <v>0</v>
      </c>
      <c r="AL60">
        <f t="shared" si="71"/>
        <v>52069.468835515545</v>
      </c>
      <c r="AM60" t="s">
        <v>416</v>
      </c>
      <c r="AN60">
        <v>10366.9</v>
      </c>
      <c r="AO60">
        <v>993.59653846153856</v>
      </c>
      <c r="AP60">
        <v>3431.87</v>
      </c>
      <c r="AQ60">
        <f t="shared" si="72"/>
        <v>0.71047955241266758</v>
      </c>
      <c r="AR60">
        <v>-3.9894345373445681</v>
      </c>
      <c r="AS60" t="s">
        <v>642</v>
      </c>
      <c r="AT60">
        <v>10374.299999999999</v>
      </c>
      <c r="AU60">
        <v>725.06291999999996</v>
      </c>
      <c r="AV60">
        <v>997.33737794262197</v>
      </c>
      <c r="AW60">
        <f t="shared" si="73"/>
        <v>0.27300135737847209</v>
      </c>
      <c r="AX60">
        <v>0.5</v>
      </c>
      <c r="AY60">
        <f t="shared" si="74"/>
        <v>1513.2767998223508</v>
      </c>
      <c r="AZ60">
        <f t="shared" si="75"/>
        <v>35.96826848858904</v>
      </c>
      <c r="BA60">
        <f t="shared" si="76"/>
        <v>206.56331022042608</v>
      </c>
      <c r="BB60">
        <f t="shared" si="77"/>
        <v>2.6404754920332087E-2</v>
      </c>
      <c r="BC60">
        <f t="shared" si="78"/>
        <v>2.4410321681510663</v>
      </c>
      <c r="BD60">
        <f t="shared" si="79"/>
        <v>582.16430261268044</v>
      </c>
      <c r="BE60" t="s">
        <v>643</v>
      </c>
      <c r="BF60">
        <v>574.63</v>
      </c>
      <c r="BG60">
        <f t="shared" si="80"/>
        <v>574.63</v>
      </c>
      <c r="BH60">
        <f t="shared" si="81"/>
        <v>0.42383589273933819</v>
      </c>
      <c r="BI60">
        <f t="shared" si="82"/>
        <v>0.64412042975881145</v>
      </c>
      <c r="BJ60">
        <f t="shared" si="83"/>
        <v>0.85205744776685821</v>
      </c>
      <c r="BK60">
        <f t="shared" si="84"/>
        <v>72.784320022137535</v>
      </c>
      <c r="BL60">
        <f t="shared" si="85"/>
        <v>0.99846578345698633</v>
      </c>
      <c r="BM60">
        <f t="shared" si="86"/>
        <v>0.51048110769794408</v>
      </c>
      <c r="BN60">
        <f t="shared" si="87"/>
        <v>0.48951889230205592</v>
      </c>
      <c r="BO60">
        <v>2235</v>
      </c>
      <c r="BP60">
        <v>290.00000000000011</v>
      </c>
      <c r="BQ60">
        <v>918.19</v>
      </c>
      <c r="BR60">
        <v>175</v>
      </c>
      <c r="BS60">
        <v>10374.299999999999</v>
      </c>
      <c r="BT60">
        <v>916.03</v>
      </c>
      <c r="BU60">
        <v>2.16</v>
      </c>
      <c r="BV60">
        <v>300.00000000000011</v>
      </c>
      <c r="BW60">
        <v>38.4</v>
      </c>
      <c r="BX60">
        <v>997.33737794262197</v>
      </c>
      <c r="BY60">
        <v>1.5310996993579811</v>
      </c>
      <c r="BZ60">
        <v>-84.354009467802328</v>
      </c>
      <c r="CA60">
        <v>1.2993173429908069</v>
      </c>
      <c r="CB60">
        <v>0.99340064517338489</v>
      </c>
      <c r="CC60">
        <v>-1.1282433592880991E-2</v>
      </c>
      <c r="CD60">
        <v>289.99999999999989</v>
      </c>
      <c r="CE60">
        <v>908.57</v>
      </c>
      <c r="CF60">
        <v>665</v>
      </c>
      <c r="CG60">
        <v>10347.4</v>
      </c>
      <c r="CH60">
        <v>915.82</v>
      </c>
      <c r="CI60">
        <v>-7.25</v>
      </c>
      <c r="CW60">
        <f t="shared" si="88"/>
        <v>1800.11</v>
      </c>
      <c r="CX60">
        <f t="shared" si="89"/>
        <v>1513.2767998223508</v>
      </c>
      <c r="CY60">
        <f t="shared" si="90"/>
        <v>0.84065795969265811</v>
      </c>
      <c r="CZ60">
        <f t="shared" si="91"/>
        <v>0.19131591938531631</v>
      </c>
      <c r="DA60">
        <v>6</v>
      </c>
      <c r="DB60">
        <v>0.5</v>
      </c>
      <c r="DC60" t="s">
        <v>419</v>
      </c>
      <c r="DD60">
        <v>2</v>
      </c>
      <c r="DE60">
        <v>1693504919.0999999</v>
      </c>
      <c r="DF60">
        <v>255.21100000000001</v>
      </c>
      <c r="DG60">
        <v>299.91699999999997</v>
      </c>
      <c r="DH60">
        <v>29.1052</v>
      </c>
      <c r="DI60">
        <v>23.303699999999999</v>
      </c>
      <c r="DJ60">
        <v>253.32300000000001</v>
      </c>
      <c r="DK60">
        <v>28.1861</v>
      </c>
      <c r="DL60">
        <v>499.779</v>
      </c>
      <c r="DM60">
        <v>99.645899999999997</v>
      </c>
      <c r="DN60">
        <v>0.10022499999999999</v>
      </c>
      <c r="DO60">
        <v>30.720400000000001</v>
      </c>
      <c r="DP60">
        <v>29.977799999999998</v>
      </c>
      <c r="DQ60">
        <v>999.9</v>
      </c>
      <c r="DR60">
        <v>0</v>
      </c>
      <c r="DS60">
        <v>0</v>
      </c>
      <c r="DT60">
        <v>10005</v>
      </c>
      <c r="DU60">
        <v>0</v>
      </c>
      <c r="DV60">
        <v>167.66900000000001</v>
      </c>
      <c r="DW60">
        <v>-44.705300000000001</v>
      </c>
      <c r="DX60">
        <v>262.86200000000002</v>
      </c>
      <c r="DY60">
        <v>307.072</v>
      </c>
      <c r="DZ60">
        <v>5.8015100000000004</v>
      </c>
      <c r="EA60">
        <v>299.91699999999997</v>
      </c>
      <c r="EB60">
        <v>23.303699999999999</v>
      </c>
      <c r="EC60">
        <v>2.90021</v>
      </c>
      <c r="ED60">
        <v>2.3221099999999999</v>
      </c>
      <c r="EE60">
        <v>23.465800000000002</v>
      </c>
      <c r="EF60">
        <v>19.8306</v>
      </c>
      <c r="EG60">
        <v>1800.11</v>
      </c>
      <c r="EH60">
        <v>0.97800500000000001</v>
      </c>
      <c r="EI60">
        <v>2.19945E-2</v>
      </c>
      <c r="EJ60">
        <v>0</v>
      </c>
      <c r="EK60">
        <v>724.42899999999997</v>
      </c>
      <c r="EL60">
        <v>5.0002700000000004</v>
      </c>
      <c r="EM60">
        <v>13925.9</v>
      </c>
      <c r="EN60">
        <v>16249.7</v>
      </c>
      <c r="EO60">
        <v>48.875</v>
      </c>
      <c r="EP60">
        <v>50.936999999999998</v>
      </c>
      <c r="EQ60">
        <v>50.25</v>
      </c>
      <c r="ER60">
        <v>49.25</v>
      </c>
      <c r="ES60">
        <v>50.561999999999998</v>
      </c>
      <c r="ET60">
        <v>1755.63</v>
      </c>
      <c r="EU60">
        <v>39.479999999999997</v>
      </c>
      <c r="EV60">
        <v>0</v>
      </c>
      <c r="EW60">
        <v>122.5999999046326</v>
      </c>
      <c r="EX60">
        <v>0</v>
      </c>
      <c r="EY60">
        <v>725.06291999999996</v>
      </c>
      <c r="EZ60">
        <v>-2.949615381796205</v>
      </c>
      <c r="FA60">
        <v>-69.084615504091104</v>
      </c>
      <c r="FB60">
        <v>13933.255999999999</v>
      </c>
      <c r="FC60">
        <v>15</v>
      </c>
      <c r="FD60">
        <v>1693504888.5999999</v>
      </c>
      <c r="FE60" t="s">
        <v>644</v>
      </c>
      <c r="FF60">
        <v>1693504881.5999999</v>
      </c>
      <c r="FG60">
        <v>1693504888.5999999</v>
      </c>
      <c r="FH60">
        <v>50</v>
      </c>
      <c r="FI60">
        <v>-0.15</v>
      </c>
      <c r="FJ60">
        <v>-8.9999999999999993E-3</v>
      </c>
      <c r="FK60">
        <v>1.9019999999999999</v>
      </c>
      <c r="FL60">
        <v>0.59099999999999997</v>
      </c>
      <c r="FM60">
        <v>300</v>
      </c>
      <c r="FN60">
        <v>23</v>
      </c>
      <c r="FO60">
        <v>0.14000000000000001</v>
      </c>
      <c r="FP60">
        <v>0.06</v>
      </c>
      <c r="FQ60">
        <v>35.878364691579272</v>
      </c>
      <c r="FR60">
        <v>0.26172885008403007</v>
      </c>
      <c r="FS60">
        <v>8.0726445415889928E-2</v>
      </c>
      <c r="FT60">
        <v>1</v>
      </c>
      <c r="FU60">
        <v>0.38604437296873167</v>
      </c>
      <c r="FV60">
        <v>2.0777378084918759E-2</v>
      </c>
      <c r="FW60">
        <v>5.5798464160555479E-3</v>
      </c>
      <c r="FX60">
        <v>1</v>
      </c>
      <c r="FY60">
        <v>2</v>
      </c>
      <c r="FZ60">
        <v>2</v>
      </c>
      <c r="GA60" t="s">
        <v>421</v>
      </c>
      <c r="GB60">
        <v>3.1179600000000001</v>
      </c>
      <c r="GC60">
        <v>2.8654199999999999</v>
      </c>
      <c r="GD60">
        <v>6.4270599999999997E-2</v>
      </c>
      <c r="GE60">
        <v>7.6000300000000007E-2</v>
      </c>
      <c r="GF60">
        <v>0.130912</v>
      </c>
      <c r="GG60">
        <v>0.117353</v>
      </c>
      <c r="GH60">
        <v>28317.9</v>
      </c>
      <c r="GI60">
        <v>21681.7</v>
      </c>
      <c r="GJ60">
        <v>29175.200000000001</v>
      </c>
      <c r="GK60">
        <v>21869.8</v>
      </c>
      <c r="GL60">
        <v>33952.5</v>
      </c>
      <c r="GM60">
        <v>26555.7</v>
      </c>
      <c r="GN60">
        <v>40487.5</v>
      </c>
      <c r="GO60">
        <v>31072.400000000001</v>
      </c>
      <c r="GP60">
        <v>2.0255999999999998</v>
      </c>
      <c r="GQ60">
        <v>1.9097999999999999</v>
      </c>
      <c r="GR60">
        <v>5.3882600000000003E-2</v>
      </c>
      <c r="GS60">
        <v>0</v>
      </c>
      <c r="GT60">
        <v>29.100200000000001</v>
      </c>
      <c r="GU60">
        <v>999.9</v>
      </c>
      <c r="GV60">
        <v>64.7</v>
      </c>
      <c r="GW60">
        <v>29.2</v>
      </c>
      <c r="GX60">
        <v>26.415299999999998</v>
      </c>
      <c r="GY60">
        <v>61.737400000000001</v>
      </c>
      <c r="GZ60">
        <v>11.5184</v>
      </c>
      <c r="HA60">
        <v>1</v>
      </c>
      <c r="HB60">
        <v>0.23020299999999999</v>
      </c>
      <c r="HC60">
        <v>0.93132899999999996</v>
      </c>
      <c r="HD60">
        <v>20.333200000000001</v>
      </c>
      <c r="HE60">
        <v>5.2346599999999999</v>
      </c>
      <c r="HF60">
        <v>11.974</v>
      </c>
      <c r="HG60">
        <v>4.9718</v>
      </c>
      <c r="HH60">
        <v>3.2839999999999998</v>
      </c>
      <c r="HI60">
        <v>9999</v>
      </c>
      <c r="HJ60">
        <v>9999</v>
      </c>
      <c r="HK60">
        <v>9999</v>
      </c>
      <c r="HL60">
        <v>999.9</v>
      </c>
      <c r="HM60">
        <v>1.8604700000000001</v>
      </c>
      <c r="HN60">
        <v>1.8621099999999999</v>
      </c>
      <c r="HO60">
        <v>1.86754</v>
      </c>
      <c r="HP60">
        <v>1.85806</v>
      </c>
      <c r="HQ60">
        <v>1.8565400000000001</v>
      </c>
      <c r="HR60">
        <v>1.8602000000000001</v>
      </c>
      <c r="HS60">
        <v>1.86412</v>
      </c>
      <c r="HT60">
        <v>1.86615</v>
      </c>
      <c r="HU60">
        <v>5</v>
      </c>
      <c r="HV60">
        <v>0</v>
      </c>
      <c r="HW60">
        <v>0</v>
      </c>
      <c r="HX60">
        <v>0</v>
      </c>
      <c r="HY60" t="s">
        <v>422</v>
      </c>
      <c r="HZ60" t="s">
        <v>423</v>
      </c>
      <c r="IA60" t="s">
        <v>424</v>
      </c>
      <c r="IB60" t="s">
        <v>424</v>
      </c>
      <c r="IC60" t="s">
        <v>424</v>
      </c>
      <c r="ID60" t="s">
        <v>424</v>
      </c>
      <c r="IE60">
        <v>0</v>
      </c>
      <c r="IF60">
        <v>100</v>
      </c>
      <c r="IG60">
        <v>100</v>
      </c>
      <c r="IH60">
        <v>1.8879999999999999</v>
      </c>
      <c r="II60">
        <v>0.91910000000000003</v>
      </c>
      <c r="IJ60">
        <v>1.7042980356003681</v>
      </c>
      <c r="IK60">
        <v>1.118558698776514E-3</v>
      </c>
      <c r="IL60">
        <v>-1.6939696309573479E-6</v>
      </c>
      <c r="IM60">
        <v>5.4698917449866148E-10</v>
      </c>
      <c r="IN60">
        <v>-1.329388837271184E-4</v>
      </c>
      <c r="IO60">
        <v>-7.6058941998734366E-3</v>
      </c>
      <c r="IP60">
        <v>1.6984902717538061E-3</v>
      </c>
      <c r="IQ60">
        <v>-9.6352527008986976E-6</v>
      </c>
      <c r="IR60">
        <v>2</v>
      </c>
      <c r="IS60">
        <v>2021</v>
      </c>
      <c r="IT60">
        <v>2</v>
      </c>
      <c r="IU60">
        <v>40</v>
      </c>
      <c r="IV60">
        <v>0.6</v>
      </c>
      <c r="IW60">
        <v>0.5</v>
      </c>
      <c r="IX60">
        <v>0.81787100000000001</v>
      </c>
      <c r="IY60">
        <v>2.4706999999999999</v>
      </c>
      <c r="IZ60">
        <v>1.34399</v>
      </c>
      <c r="JA60">
        <v>2.2497600000000002</v>
      </c>
      <c r="JB60">
        <v>1.5918000000000001</v>
      </c>
      <c r="JC60">
        <v>2.4645999999999999</v>
      </c>
      <c r="JD60">
        <v>33.288699999999999</v>
      </c>
      <c r="JE60">
        <v>16.023299999999999</v>
      </c>
      <c r="JF60">
        <v>18</v>
      </c>
      <c r="JG60">
        <v>513.51099999999997</v>
      </c>
      <c r="JH60">
        <v>477.36599999999999</v>
      </c>
      <c r="JI60">
        <v>27.529800000000002</v>
      </c>
      <c r="JJ60">
        <v>30.6021</v>
      </c>
      <c r="JK60">
        <v>30.000299999999999</v>
      </c>
      <c r="JL60">
        <v>30.4192</v>
      </c>
      <c r="JM60">
        <v>30.3657</v>
      </c>
      <c r="JN60">
        <v>16.448399999999999</v>
      </c>
      <c r="JO60">
        <v>22.475999999999999</v>
      </c>
      <c r="JP60">
        <v>100</v>
      </c>
      <c r="JQ60">
        <v>27.543199999999999</v>
      </c>
      <c r="JR60">
        <v>300</v>
      </c>
      <c r="JS60">
        <v>23.338200000000001</v>
      </c>
      <c r="JT60">
        <v>99.471900000000005</v>
      </c>
      <c r="JU60">
        <v>98.172300000000007</v>
      </c>
    </row>
    <row r="61" spans="1:281" x14ac:dyDescent="0.25">
      <c r="A61">
        <v>45</v>
      </c>
      <c r="B61">
        <v>1693505028.5999999</v>
      </c>
      <c r="C61">
        <v>10102</v>
      </c>
      <c r="D61" t="s">
        <v>645</v>
      </c>
      <c r="E61" t="s">
        <v>646</v>
      </c>
      <c r="F61" t="s">
        <v>413</v>
      </c>
      <c r="G61" t="s">
        <v>493</v>
      </c>
      <c r="H61" t="s">
        <v>636</v>
      </c>
      <c r="I61" t="s">
        <v>494</v>
      </c>
      <c r="J61">
        <v>1693505028.5999999</v>
      </c>
      <c r="K61">
        <f t="shared" si="46"/>
        <v>5.3189202181023404E-3</v>
      </c>
      <c r="L61">
        <f t="shared" si="47"/>
        <v>5.3189202181023401</v>
      </c>
      <c r="M61">
        <f t="shared" si="48"/>
        <v>25.478799174920731</v>
      </c>
      <c r="N61">
        <f t="shared" si="49"/>
        <v>168.358</v>
      </c>
      <c r="O61">
        <f t="shared" si="50"/>
        <v>60.109787296932311</v>
      </c>
      <c r="P61">
        <f t="shared" si="51"/>
        <v>5.9953116906882435</v>
      </c>
      <c r="Q61">
        <f t="shared" si="52"/>
        <v>16.791919103536802</v>
      </c>
      <c r="R61">
        <f t="shared" si="53"/>
        <v>0.41123567150105511</v>
      </c>
      <c r="S61">
        <f t="shared" si="54"/>
        <v>2.9249677958597955</v>
      </c>
      <c r="T61">
        <f t="shared" si="55"/>
        <v>0.38160449044730654</v>
      </c>
      <c r="U61">
        <f t="shared" si="56"/>
        <v>0.24098689012997287</v>
      </c>
      <c r="V61">
        <f t="shared" si="57"/>
        <v>344.34149964447039</v>
      </c>
      <c r="W61">
        <f t="shared" si="58"/>
        <v>31.401230077779964</v>
      </c>
      <c r="X61">
        <f t="shared" si="59"/>
        <v>29.9861</v>
      </c>
      <c r="Y61">
        <f t="shared" si="60"/>
        <v>4.2570493928821191</v>
      </c>
      <c r="Z61">
        <f t="shared" si="61"/>
        <v>65.567206822440625</v>
      </c>
      <c r="AA61">
        <f t="shared" si="62"/>
        <v>2.9168476496941205</v>
      </c>
      <c r="AB61">
        <f t="shared" si="63"/>
        <v>4.4486379564606038</v>
      </c>
      <c r="AC61">
        <f t="shared" si="64"/>
        <v>1.3402017431879987</v>
      </c>
      <c r="AD61">
        <f t="shared" si="65"/>
        <v>-234.56438161831321</v>
      </c>
      <c r="AE61">
        <f t="shared" si="66"/>
        <v>121.18542883828717</v>
      </c>
      <c r="AF61">
        <f t="shared" si="67"/>
        <v>9.2461432483409585</v>
      </c>
      <c r="AG61">
        <f t="shared" si="68"/>
        <v>240.20869011278529</v>
      </c>
      <c r="AH61">
        <v>0</v>
      </c>
      <c r="AI61">
        <v>0</v>
      </c>
      <c r="AJ61">
        <f t="shared" si="69"/>
        <v>1</v>
      </c>
      <c r="AK61">
        <f t="shared" si="70"/>
        <v>0</v>
      </c>
      <c r="AL61">
        <f t="shared" si="71"/>
        <v>52085.158882837444</v>
      </c>
      <c r="AM61" t="s">
        <v>416</v>
      </c>
      <c r="AN61">
        <v>10366.9</v>
      </c>
      <c r="AO61">
        <v>993.59653846153856</v>
      </c>
      <c r="AP61">
        <v>3431.87</v>
      </c>
      <c r="AQ61">
        <f t="shared" si="72"/>
        <v>0.71047955241266758</v>
      </c>
      <c r="AR61">
        <v>-3.9894345373445681</v>
      </c>
      <c r="AS61" t="s">
        <v>647</v>
      </c>
      <c r="AT61">
        <v>10379.9</v>
      </c>
      <c r="AU61">
        <v>701.33992307692324</v>
      </c>
      <c r="AV61">
        <v>894.53757619190401</v>
      </c>
      <c r="AW61">
        <f t="shared" si="73"/>
        <v>0.21597488831875999</v>
      </c>
      <c r="AX61">
        <v>0.5</v>
      </c>
      <c r="AY61">
        <f t="shared" si="74"/>
        <v>1513.0589998222349</v>
      </c>
      <c r="AZ61">
        <f t="shared" si="75"/>
        <v>25.478799174920731</v>
      </c>
      <c r="BA61">
        <f t="shared" si="76"/>
        <v>163.39137425315093</v>
      </c>
      <c r="BB61">
        <f t="shared" si="77"/>
        <v>1.9475931682589667E-2</v>
      </c>
      <c r="BC61">
        <f t="shared" si="78"/>
        <v>2.8364738288688334</v>
      </c>
      <c r="BD61">
        <f t="shared" si="79"/>
        <v>545.56730161703592</v>
      </c>
      <c r="BE61" t="s">
        <v>648</v>
      </c>
      <c r="BF61">
        <v>562.99</v>
      </c>
      <c r="BG61">
        <f t="shared" si="80"/>
        <v>562.99</v>
      </c>
      <c r="BH61">
        <f t="shared" si="81"/>
        <v>0.37063571728682476</v>
      </c>
      <c r="BI61">
        <f t="shared" si="82"/>
        <v>0.58271472026432636</v>
      </c>
      <c r="BJ61">
        <f t="shared" si="83"/>
        <v>0.88443309716966056</v>
      </c>
      <c r="BK61">
        <f t="shared" si="84"/>
        <v>-1.9503298711034793</v>
      </c>
      <c r="BL61">
        <f t="shared" si="85"/>
        <v>1.0406266827048725</v>
      </c>
      <c r="BM61">
        <f t="shared" si="86"/>
        <v>0.46776541526729981</v>
      </c>
      <c r="BN61">
        <f t="shared" si="87"/>
        <v>0.53223458473270013</v>
      </c>
      <c r="BO61">
        <v>2237</v>
      </c>
      <c r="BP61">
        <v>290.00000000000011</v>
      </c>
      <c r="BQ61">
        <v>840.17</v>
      </c>
      <c r="BR61">
        <v>165</v>
      </c>
      <c r="BS61">
        <v>10379.9</v>
      </c>
      <c r="BT61">
        <v>839.89</v>
      </c>
      <c r="BU61">
        <v>0.28000000000000003</v>
      </c>
      <c r="BV61">
        <v>300.00000000000011</v>
      </c>
      <c r="BW61">
        <v>38.4</v>
      </c>
      <c r="BX61">
        <v>894.53757619190401</v>
      </c>
      <c r="BY61">
        <v>1.0338337010125691</v>
      </c>
      <c r="BZ61">
        <v>-56.724922926094443</v>
      </c>
      <c r="CA61">
        <v>0.87768554610036364</v>
      </c>
      <c r="CB61">
        <v>0.99334134357497084</v>
      </c>
      <c r="CC61">
        <v>-1.128645672969966E-2</v>
      </c>
      <c r="CD61">
        <v>289.99999999999989</v>
      </c>
      <c r="CE61">
        <v>836.86</v>
      </c>
      <c r="CF61">
        <v>665</v>
      </c>
      <c r="CG61">
        <v>10351.700000000001</v>
      </c>
      <c r="CH61">
        <v>839.74</v>
      </c>
      <c r="CI61">
        <v>-2.88</v>
      </c>
      <c r="CW61">
        <f t="shared" si="88"/>
        <v>1799.85</v>
      </c>
      <c r="CX61">
        <f t="shared" si="89"/>
        <v>1513.0589998222349</v>
      </c>
      <c r="CY61">
        <f t="shared" si="90"/>
        <v>0.84065838810025006</v>
      </c>
      <c r="CZ61">
        <f t="shared" si="91"/>
        <v>0.19131677620050028</v>
      </c>
      <c r="DA61">
        <v>6</v>
      </c>
      <c r="DB61">
        <v>0.5</v>
      </c>
      <c r="DC61" t="s">
        <v>419</v>
      </c>
      <c r="DD61">
        <v>2</v>
      </c>
      <c r="DE61">
        <v>1693505028.5999999</v>
      </c>
      <c r="DF61">
        <v>168.358</v>
      </c>
      <c r="DG61">
        <v>200.011</v>
      </c>
      <c r="DH61">
        <v>29.244700000000002</v>
      </c>
      <c r="DI61">
        <v>23.047899999999998</v>
      </c>
      <c r="DJ61">
        <v>166.70400000000001</v>
      </c>
      <c r="DK61">
        <v>28.317499999999999</v>
      </c>
      <c r="DL61">
        <v>499.93900000000002</v>
      </c>
      <c r="DM61">
        <v>99.639399999999995</v>
      </c>
      <c r="DN61">
        <v>9.9959599999999996E-2</v>
      </c>
      <c r="DO61">
        <v>30.7546</v>
      </c>
      <c r="DP61">
        <v>29.9861</v>
      </c>
      <c r="DQ61">
        <v>999.9</v>
      </c>
      <c r="DR61">
        <v>0</v>
      </c>
      <c r="DS61">
        <v>0</v>
      </c>
      <c r="DT61">
        <v>10010</v>
      </c>
      <c r="DU61">
        <v>0</v>
      </c>
      <c r="DV61">
        <v>168.59200000000001</v>
      </c>
      <c r="DW61">
        <v>-31.653500000000001</v>
      </c>
      <c r="DX61">
        <v>173.429</v>
      </c>
      <c r="DY61">
        <v>204.73</v>
      </c>
      <c r="DZ61">
        <v>6.19686</v>
      </c>
      <c r="EA61">
        <v>200.011</v>
      </c>
      <c r="EB61">
        <v>23.047899999999998</v>
      </c>
      <c r="EC61">
        <v>2.9139300000000001</v>
      </c>
      <c r="ED61">
        <v>2.2964699999999998</v>
      </c>
      <c r="EE61">
        <v>23.5441</v>
      </c>
      <c r="EF61">
        <v>19.651700000000002</v>
      </c>
      <c r="EG61">
        <v>1799.85</v>
      </c>
      <c r="EH61">
        <v>0.97799400000000003</v>
      </c>
      <c r="EI61">
        <v>2.2005500000000001E-2</v>
      </c>
      <c r="EJ61">
        <v>0</v>
      </c>
      <c r="EK61">
        <v>701.24</v>
      </c>
      <c r="EL61">
        <v>5.0002700000000004</v>
      </c>
      <c r="EM61">
        <v>13456.3</v>
      </c>
      <c r="EN61">
        <v>16247.2</v>
      </c>
      <c r="EO61">
        <v>48.186999999999998</v>
      </c>
      <c r="EP61">
        <v>50.311999999999998</v>
      </c>
      <c r="EQ61">
        <v>49.561999999999998</v>
      </c>
      <c r="ER61">
        <v>48.686999999999998</v>
      </c>
      <c r="ES61">
        <v>49.875</v>
      </c>
      <c r="ET61">
        <v>1755.35</v>
      </c>
      <c r="EU61">
        <v>39.5</v>
      </c>
      <c r="EV61">
        <v>0</v>
      </c>
      <c r="EW61">
        <v>107.6000001430511</v>
      </c>
      <c r="EX61">
        <v>0</v>
      </c>
      <c r="EY61">
        <v>701.33992307692324</v>
      </c>
      <c r="EZ61">
        <v>-2.3355213714163501</v>
      </c>
      <c r="FA61">
        <v>-70.940171016482395</v>
      </c>
      <c r="FB61">
        <v>13466.30769230769</v>
      </c>
      <c r="FC61">
        <v>15</v>
      </c>
      <c r="FD61">
        <v>1693504999.5999999</v>
      </c>
      <c r="FE61" t="s">
        <v>649</v>
      </c>
      <c r="FF61">
        <v>1693504983.5999999</v>
      </c>
      <c r="FG61">
        <v>1693504999.5999999</v>
      </c>
      <c r="FH61">
        <v>51</v>
      </c>
      <c r="FI61">
        <v>-0.192</v>
      </c>
      <c r="FJ61">
        <v>0</v>
      </c>
      <c r="FK61">
        <v>1.671</v>
      </c>
      <c r="FL61">
        <v>0.58499999999999996</v>
      </c>
      <c r="FM61">
        <v>200</v>
      </c>
      <c r="FN61">
        <v>23</v>
      </c>
      <c r="FO61">
        <v>0.15</v>
      </c>
      <c r="FP61">
        <v>0.05</v>
      </c>
      <c r="FQ61">
        <v>25.353736018635949</v>
      </c>
      <c r="FR61">
        <v>3.8128207611766787E-2</v>
      </c>
      <c r="FS61">
        <v>8.4224443575981175E-2</v>
      </c>
      <c r="FT61">
        <v>1</v>
      </c>
      <c r="FU61">
        <v>0.4182433547021373</v>
      </c>
      <c r="FV61">
        <v>-6.3647391257521599E-3</v>
      </c>
      <c r="FW61">
        <v>6.0672183253980454E-3</v>
      </c>
      <c r="FX61">
        <v>1</v>
      </c>
      <c r="FY61">
        <v>2</v>
      </c>
      <c r="FZ61">
        <v>2</v>
      </c>
      <c r="GA61" t="s">
        <v>421</v>
      </c>
      <c r="GB61">
        <v>3.11808</v>
      </c>
      <c r="GC61">
        <v>2.8652000000000002</v>
      </c>
      <c r="GD61">
        <v>4.4443099999999999E-2</v>
      </c>
      <c r="GE61">
        <v>5.3825699999999997E-2</v>
      </c>
      <c r="GF61">
        <v>0.13131100000000001</v>
      </c>
      <c r="GG61">
        <v>0.116429</v>
      </c>
      <c r="GH61">
        <v>28915.1</v>
      </c>
      <c r="GI61">
        <v>22200.5</v>
      </c>
      <c r="GJ61">
        <v>29172.7</v>
      </c>
      <c r="GK61">
        <v>21868.5</v>
      </c>
      <c r="GL61">
        <v>33931.9</v>
      </c>
      <c r="GM61">
        <v>26580.7</v>
      </c>
      <c r="GN61">
        <v>40483.699999999997</v>
      </c>
      <c r="GO61">
        <v>31071.1</v>
      </c>
      <c r="GP61">
        <v>2.0251999999999999</v>
      </c>
      <c r="GQ61">
        <v>1.9078999999999999</v>
      </c>
      <c r="GR61">
        <v>5.1230199999999997E-2</v>
      </c>
      <c r="GS61">
        <v>0</v>
      </c>
      <c r="GT61">
        <v>29.151900000000001</v>
      </c>
      <c r="GU61">
        <v>999.9</v>
      </c>
      <c r="GV61">
        <v>64.900000000000006</v>
      </c>
      <c r="GW61">
        <v>29.2</v>
      </c>
      <c r="GX61">
        <v>26.500800000000002</v>
      </c>
      <c r="GY61">
        <v>61.487499999999997</v>
      </c>
      <c r="GZ61">
        <v>11.995200000000001</v>
      </c>
      <c r="HA61">
        <v>1</v>
      </c>
      <c r="HB61">
        <v>0.234705</v>
      </c>
      <c r="HC61">
        <v>0.10488</v>
      </c>
      <c r="HD61">
        <v>20.335699999999999</v>
      </c>
      <c r="HE61">
        <v>5.2340600000000004</v>
      </c>
      <c r="HF61">
        <v>11.974</v>
      </c>
      <c r="HG61">
        <v>4.9753999999999996</v>
      </c>
      <c r="HH61">
        <v>3.2839999999999998</v>
      </c>
      <c r="HI61">
        <v>9999</v>
      </c>
      <c r="HJ61">
        <v>9999</v>
      </c>
      <c r="HK61">
        <v>9999</v>
      </c>
      <c r="HL61">
        <v>999.9</v>
      </c>
      <c r="HM61">
        <v>1.8604499999999999</v>
      </c>
      <c r="HN61">
        <v>1.86208</v>
      </c>
      <c r="HO61">
        <v>1.86754</v>
      </c>
      <c r="HP61">
        <v>1.8580399999999999</v>
      </c>
      <c r="HQ61">
        <v>1.8565400000000001</v>
      </c>
      <c r="HR61">
        <v>1.8602000000000001</v>
      </c>
      <c r="HS61">
        <v>1.86409</v>
      </c>
      <c r="HT61">
        <v>1.86615</v>
      </c>
      <c r="HU61">
        <v>5</v>
      </c>
      <c r="HV61">
        <v>0</v>
      </c>
      <c r="HW61">
        <v>0</v>
      </c>
      <c r="HX61">
        <v>0</v>
      </c>
      <c r="HY61" t="s">
        <v>422</v>
      </c>
      <c r="HZ61" t="s">
        <v>423</v>
      </c>
      <c r="IA61" t="s">
        <v>424</v>
      </c>
      <c r="IB61" t="s">
        <v>424</v>
      </c>
      <c r="IC61" t="s">
        <v>424</v>
      </c>
      <c r="ID61" t="s">
        <v>424</v>
      </c>
      <c r="IE61">
        <v>0</v>
      </c>
      <c r="IF61">
        <v>100</v>
      </c>
      <c r="IG61">
        <v>100</v>
      </c>
      <c r="IH61">
        <v>1.6539999999999999</v>
      </c>
      <c r="II61">
        <v>0.92720000000000002</v>
      </c>
      <c r="IJ61">
        <v>1.51199339928263</v>
      </c>
      <c r="IK61">
        <v>1.118558698776514E-3</v>
      </c>
      <c r="IL61">
        <v>-1.6939696309573479E-6</v>
      </c>
      <c r="IM61">
        <v>5.4698917449866148E-10</v>
      </c>
      <c r="IN61">
        <v>-6.2798701860555806E-4</v>
      </c>
      <c r="IO61">
        <v>-7.6058941998734366E-3</v>
      </c>
      <c r="IP61">
        <v>1.6984902717538061E-3</v>
      </c>
      <c r="IQ61">
        <v>-9.6352527008986976E-6</v>
      </c>
      <c r="IR61">
        <v>2</v>
      </c>
      <c r="IS61">
        <v>2021</v>
      </c>
      <c r="IT61">
        <v>2</v>
      </c>
      <c r="IU61">
        <v>40</v>
      </c>
      <c r="IV61">
        <v>0.8</v>
      </c>
      <c r="IW61">
        <v>0.5</v>
      </c>
      <c r="IX61">
        <v>0.59936500000000004</v>
      </c>
      <c r="IY61">
        <v>2.4890099999999999</v>
      </c>
      <c r="IZ61">
        <v>1.34399</v>
      </c>
      <c r="JA61">
        <v>2.2485400000000002</v>
      </c>
      <c r="JB61">
        <v>1.5918000000000001</v>
      </c>
      <c r="JC61">
        <v>2.2509800000000002</v>
      </c>
      <c r="JD61">
        <v>33.266300000000001</v>
      </c>
      <c r="JE61">
        <v>16.005800000000001</v>
      </c>
      <c r="JF61">
        <v>18</v>
      </c>
      <c r="JG61">
        <v>513.91899999999998</v>
      </c>
      <c r="JH61">
        <v>476.75099999999998</v>
      </c>
      <c r="JI61">
        <v>27.287500000000001</v>
      </c>
      <c r="JJ61">
        <v>30.6585</v>
      </c>
      <c r="JK61">
        <v>29.998899999999999</v>
      </c>
      <c r="JL61">
        <v>30.493400000000001</v>
      </c>
      <c r="JM61">
        <v>30.4434</v>
      </c>
      <c r="JN61">
        <v>12.0829</v>
      </c>
      <c r="JO61">
        <v>23.4846</v>
      </c>
      <c r="JP61">
        <v>100</v>
      </c>
      <c r="JQ61">
        <v>27.482099999999999</v>
      </c>
      <c r="JR61">
        <v>200</v>
      </c>
      <c r="JS61">
        <v>22.998100000000001</v>
      </c>
      <c r="JT61">
        <v>99.462699999999998</v>
      </c>
      <c r="JU61">
        <v>98.167500000000004</v>
      </c>
    </row>
    <row r="62" spans="1:281" x14ac:dyDescent="0.25">
      <c r="A62">
        <v>46</v>
      </c>
      <c r="B62">
        <v>1693505131.5999999</v>
      </c>
      <c r="C62">
        <v>10205</v>
      </c>
      <c r="D62" t="s">
        <v>650</v>
      </c>
      <c r="E62" t="s">
        <v>651</v>
      </c>
      <c r="F62" t="s">
        <v>413</v>
      </c>
      <c r="G62" t="s">
        <v>493</v>
      </c>
      <c r="H62" t="s">
        <v>636</v>
      </c>
      <c r="I62" t="s">
        <v>494</v>
      </c>
      <c r="J62">
        <v>1693505131.5999999</v>
      </c>
      <c r="K62">
        <f t="shared" si="46"/>
        <v>5.7537794209204587E-3</v>
      </c>
      <c r="L62">
        <f t="shared" si="47"/>
        <v>5.7537794209204591</v>
      </c>
      <c r="M62">
        <f t="shared" si="48"/>
        <v>16.147096756123599</v>
      </c>
      <c r="N62">
        <f t="shared" si="49"/>
        <v>100.004</v>
      </c>
      <c r="O62">
        <f t="shared" si="50"/>
        <v>36.80871542523932</v>
      </c>
      <c r="P62">
        <f t="shared" si="51"/>
        <v>3.6711730717575439</v>
      </c>
      <c r="Q62">
        <f t="shared" si="52"/>
        <v>9.974050646068001</v>
      </c>
      <c r="R62">
        <f t="shared" si="53"/>
        <v>0.44934618212171701</v>
      </c>
      <c r="S62">
        <f t="shared" si="54"/>
        <v>2.9126184705226694</v>
      </c>
      <c r="T62">
        <f t="shared" si="55"/>
        <v>0.41408336465165241</v>
      </c>
      <c r="U62">
        <f t="shared" si="56"/>
        <v>0.26173933641872887</v>
      </c>
      <c r="V62">
        <f t="shared" si="57"/>
        <v>344.38589964469782</v>
      </c>
      <c r="W62">
        <f t="shared" si="58"/>
        <v>31.287433240890351</v>
      </c>
      <c r="X62">
        <f t="shared" si="59"/>
        <v>29.979800000000001</v>
      </c>
      <c r="Y62">
        <f t="shared" si="60"/>
        <v>4.2555089927669734</v>
      </c>
      <c r="Z62">
        <f t="shared" si="61"/>
        <v>65.638764626159599</v>
      </c>
      <c r="AA62">
        <f t="shared" si="62"/>
        <v>2.9194972992757</v>
      </c>
      <c r="AB62">
        <f t="shared" si="63"/>
        <v>4.4478248728529044</v>
      </c>
      <c r="AC62">
        <f t="shared" si="64"/>
        <v>1.3360116934912734</v>
      </c>
      <c r="AD62">
        <f t="shared" si="65"/>
        <v>-253.74167246259222</v>
      </c>
      <c r="AE62">
        <f t="shared" si="66"/>
        <v>121.16055711594241</v>
      </c>
      <c r="AF62">
        <f t="shared" si="67"/>
        <v>9.2830047013765427</v>
      </c>
      <c r="AG62">
        <f t="shared" si="68"/>
        <v>221.08778899942456</v>
      </c>
      <c r="AH62">
        <v>0</v>
      </c>
      <c r="AI62">
        <v>0</v>
      </c>
      <c r="AJ62">
        <f t="shared" si="69"/>
        <v>1</v>
      </c>
      <c r="AK62">
        <f t="shared" si="70"/>
        <v>0</v>
      </c>
      <c r="AL62">
        <f t="shared" si="71"/>
        <v>51734.220440177283</v>
      </c>
      <c r="AM62" t="s">
        <v>416</v>
      </c>
      <c r="AN62">
        <v>10366.9</v>
      </c>
      <c r="AO62">
        <v>993.59653846153856</v>
      </c>
      <c r="AP62">
        <v>3431.87</v>
      </c>
      <c r="AQ62">
        <f t="shared" si="72"/>
        <v>0.71047955241266758</v>
      </c>
      <c r="AR62">
        <v>-3.9894345373445681</v>
      </c>
      <c r="AS62" t="s">
        <v>652</v>
      </c>
      <c r="AT62">
        <v>10372.1</v>
      </c>
      <c r="AU62">
        <v>704.21123076923072</v>
      </c>
      <c r="AV62">
        <v>834.12550688034082</v>
      </c>
      <c r="AW62">
        <f t="shared" si="73"/>
        <v>0.15574907497673118</v>
      </c>
      <c r="AX62">
        <v>0.5</v>
      </c>
      <c r="AY62">
        <f t="shared" si="74"/>
        <v>1513.2599998223488</v>
      </c>
      <c r="AZ62">
        <f t="shared" si="75"/>
        <v>16.147096756123599</v>
      </c>
      <c r="BA62">
        <f t="shared" si="76"/>
        <v>117.84442258580961</v>
      </c>
      <c r="BB62">
        <f t="shared" si="77"/>
        <v>1.3306722767952712E-2</v>
      </c>
      <c r="BC62">
        <f t="shared" si="78"/>
        <v>3.1143328811935223</v>
      </c>
      <c r="BD62">
        <f t="shared" si="79"/>
        <v>522.48821820393357</v>
      </c>
      <c r="BE62" t="s">
        <v>653</v>
      </c>
      <c r="BF62">
        <v>562.84</v>
      </c>
      <c r="BG62">
        <f t="shared" si="80"/>
        <v>562.84</v>
      </c>
      <c r="BH62">
        <f t="shared" si="81"/>
        <v>0.32523343866435428</v>
      </c>
      <c r="BI62">
        <f t="shared" si="82"/>
        <v>0.47888395368062536</v>
      </c>
      <c r="BJ62">
        <f t="shared" si="83"/>
        <v>0.90544347501408473</v>
      </c>
      <c r="BK62">
        <f t="shared" si="84"/>
        <v>-0.8146575263417779</v>
      </c>
      <c r="BL62">
        <f t="shared" si="85"/>
        <v>1.0654032593540912</v>
      </c>
      <c r="BM62">
        <f t="shared" si="86"/>
        <v>0.38274743814463469</v>
      </c>
      <c r="BN62">
        <f t="shared" si="87"/>
        <v>0.61725256185536526</v>
      </c>
      <c r="BO62">
        <v>2239</v>
      </c>
      <c r="BP62">
        <v>290.00000000000011</v>
      </c>
      <c r="BQ62">
        <v>801.15</v>
      </c>
      <c r="BR62">
        <v>235</v>
      </c>
      <c r="BS62">
        <v>10372.1</v>
      </c>
      <c r="BT62">
        <v>800.34</v>
      </c>
      <c r="BU62">
        <v>0.81</v>
      </c>
      <c r="BV62">
        <v>300.00000000000011</v>
      </c>
      <c r="BW62">
        <v>38.4</v>
      </c>
      <c r="BX62">
        <v>834.12550688034082</v>
      </c>
      <c r="BY62">
        <v>1.0332010710853039</v>
      </c>
      <c r="BZ62">
        <v>-35.042248610316342</v>
      </c>
      <c r="CA62">
        <v>0.8774357296850005</v>
      </c>
      <c r="CB62">
        <v>0.98274770923801491</v>
      </c>
      <c r="CC62">
        <v>-1.128989032258066E-2</v>
      </c>
      <c r="CD62">
        <v>289.99999999999989</v>
      </c>
      <c r="CE62">
        <v>798.48</v>
      </c>
      <c r="CF62">
        <v>655</v>
      </c>
      <c r="CG62">
        <v>10356.1</v>
      </c>
      <c r="CH62">
        <v>800.29</v>
      </c>
      <c r="CI62">
        <v>-1.81</v>
      </c>
      <c r="CW62">
        <f t="shared" si="88"/>
        <v>1800.09</v>
      </c>
      <c r="CX62">
        <f t="shared" si="89"/>
        <v>1513.2599998223488</v>
      </c>
      <c r="CY62">
        <f t="shared" si="90"/>
        <v>0.84065796700295481</v>
      </c>
      <c r="CZ62">
        <f t="shared" si="91"/>
        <v>0.1913159340059096</v>
      </c>
      <c r="DA62">
        <v>6</v>
      </c>
      <c r="DB62">
        <v>0.5</v>
      </c>
      <c r="DC62" t="s">
        <v>419</v>
      </c>
      <c r="DD62">
        <v>2</v>
      </c>
      <c r="DE62">
        <v>1693505131.5999999</v>
      </c>
      <c r="DF62">
        <v>100.004</v>
      </c>
      <c r="DG62">
        <v>120.08199999999999</v>
      </c>
      <c r="DH62">
        <v>29.272099999999998</v>
      </c>
      <c r="DI62">
        <v>22.565999999999999</v>
      </c>
      <c r="DJ62">
        <v>98.422600000000003</v>
      </c>
      <c r="DK62">
        <v>28.3553</v>
      </c>
      <c r="DL62">
        <v>499.726</v>
      </c>
      <c r="DM62">
        <v>99.635800000000003</v>
      </c>
      <c r="DN62">
        <v>0.100717</v>
      </c>
      <c r="DO62">
        <v>30.7514</v>
      </c>
      <c r="DP62">
        <v>29.979800000000001</v>
      </c>
      <c r="DQ62">
        <v>999.9</v>
      </c>
      <c r="DR62">
        <v>0</v>
      </c>
      <c r="DS62">
        <v>0</v>
      </c>
      <c r="DT62">
        <v>9940</v>
      </c>
      <c r="DU62">
        <v>0</v>
      </c>
      <c r="DV62">
        <v>167.62299999999999</v>
      </c>
      <c r="DW62">
        <v>-20.0776</v>
      </c>
      <c r="DX62">
        <v>103.02</v>
      </c>
      <c r="DY62">
        <v>122.854</v>
      </c>
      <c r="DZ62">
        <v>6.7060300000000002</v>
      </c>
      <c r="EA62">
        <v>120.08199999999999</v>
      </c>
      <c r="EB62">
        <v>22.565999999999999</v>
      </c>
      <c r="EC62">
        <v>2.91655</v>
      </c>
      <c r="ED62">
        <v>2.2483900000000001</v>
      </c>
      <c r="EE62">
        <v>23.559000000000001</v>
      </c>
      <c r="EF62">
        <v>19.311299999999999</v>
      </c>
      <c r="EG62">
        <v>1800.09</v>
      </c>
      <c r="EH62">
        <v>0.97800799999999999</v>
      </c>
      <c r="EI62">
        <v>2.1992399999999999E-2</v>
      </c>
      <c r="EJ62">
        <v>0</v>
      </c>
      <c r="EK62">
        <v>704.18799999999999</v>
      </c>
      <c r="EL62">
        <v>5.0002700000000004</v>
      </c>
      <c r="EM62">
        <v>13479.1</v>
      </c>
      <c r="EN62">
        <v>16249.5</v>
      </c>
      <c r="EO62">
        <v>47.75</v>
      </c>
      <c r="EP62">
        <v>49.936999999999998</v>
      </c>
      <c r="EQ62">
        <v>49.125</v>
      </c>
      <c r="ER62">
        <v>48.375</v>
      </c>
      <c r="ES62">
        <v>49.5</v>
      </c>
      <c r="ET62">
        <v>1755.61</v>
      </c>
      <c r="EU62">
        <v>39.479999999999997</v>
      </c>
      <c r="EV62">
        <v>0</v>
      </c>
      <c r="EW62">
        <v>101</v>
      </c>
      <c r="EX62">
        <v>0</v>
      </c>
      <c r="EY62">
        <v>704.21123076923072</v>
      </c>
      <c r="EZ62">
        <v>-2.0044444521972582</v>
      </c>
      <c r="FA62">
        <v>-72.37264957116264</v>
      </c>
      <c r="FB62">
        <v>13488.642307692309</v>
      </c>
      <c r="FC62">
        <v>15</v>
      </c>
      <c r="FD62">
        <v>1693505103.0999999</v>
      </c>
      <c r="FE62" t="s">
        <v>654</v>
      </c>
      <c r="FF62">
        <v>1693505095.0999999</v>
      </c>
      <c r="FG62">
        <v>1693505103.0999999</v>
      </c>
      <c r="FH62">
        <v>52</v>
      </c>
      <c r="FI62">
        <v>-2.5000000000000001E-2</v>
      </c>
      <c r="FJ62">
        <v>-1.2999999999999999E-2</v>
      </c>
      <c r="FK62">
        <v>1.597</v>
      </c>
      <c r="FL62">
        <v>0.54600000000000004</v>
      </c>
      <c r="FM62">
        <v>120</v>
      </c>
      <c r="FN62">
        <v>23</v>
      </c>
      <c r="FO62">
        <v>0.27</v>
      </c>
      <c r="FP62">
        <v>0.04</v>
      </c>
      <c r="FQ62">
        <v>16.028336885797081</v>
      </c>
      <c r="FR62">
        <v>6.8379742277147937E-2</v>
      </c>
      <c r="FS62">
        <v>5.6042237850910767E-2</v>
      </c>
      <c r="FT62">
        <v>1</v>
      </c>
      <c r="FU62">
        <v>0.45288393192232829</v>
      </c>
      <c r="FV62">
        <v>3.5444121216104241E-2</v>
      </c>
      <c r="FW62">
        <v>5.512353658333656E-3</v>
      </c>
      <c r="FX62">
        <v>1</v>
      </c>
      <c r="FY62">
        <v>2</v>
      </c>
      <c r="FZ62">
        <v>2</v>
      </c>
      <c r="GA62" t="s">
        <v>421</v>
      </c>
      <c r="GB62">
        <v>3.1177199999999998</v>
      </c>
      <c r="GC62">
        <v>2.8653499999999998</v>
      </c>
      <c r="GD62">
        <v>2.70999E-2</v>
      </c>
      <c r="GE62">
        <v>3.3726399999999997E-2</v>
      </c>
      <c r="GF62">
        <v>0.13140199999999999</v>
      </c>
      <c r="GG62">
        <v>0.11469699999999999</v>
      </c>
      <c r="GH62">
        <v>29434.6</v>
      </c>
      <c r="GI62">
        <v>22670.5</v>
      </c>
      <c r="GJ62">
        <v>29167.8</v>
      </c>
      <c r="GK62">
        <v>21867.200000000001</v>
      </c>
      <c r="GL62">
        <v>33922</v>
      </c>
      <c r="GM62">
        <v>26629.599999999999</v>
      </c>
      <c r="GN62">
        <v>40477.199999999997</v>
      </c>
      <c r="GO62">
        <v>31069.200000000001</v>
      </c>
      <c r="GP62">
        <v>2.0247999999999999</v>
      </c>
      <c r="GQ62">
        <v>1.9058999999999999</v>
      </c>
      <c r="GR62">
        <v>4.7147300000000003E-2</v>
      </c>
      <c r="GS62">
        <v>0</v>
      </c>
      <c r="GT62">
        <v>29.212</v>
      </c>
      <c r="GU62">
        <v>999.9</v>
      </c>
      <c r="GV62">
        <v>65</v>
      </c>
      <c r="GW62">
        <v>29.2</v>
      </c>
      <c r="GX62">
        <v>26.540600000000001</v>
      </c>
      <c r="GY62">
        <v>61.807499999999997</v>
      </c>
      <c r="GZ62">
        <v>11.5585</v>
      </c>
      <c r="HA62">
        <v>1</v>
      </c>
      <c r="HB62">
        <v>0.24170700000000001</v>
      </c>
      <c r="HC62">
        <v>0.97189499999999995</v>
      </c>
      <c r="HD62">
        <v>20.332000000000001</v>
      </c>
      <c r="HE62">
        <v>5.2346599999999999</v>
      </c>
      <c r="HF62">
        <v>11.974</v>
      </c>
      <c r="HG62">
        <v>4.9756</v>
      </c>
      <c r="HH62">
        <v>3.2839999999999998</v>
      </c>
      <c r="HI62">
        <v>9999</v>
      </c>
      <c r="HJ62">
        <v>9999</v>
      </c>
      <c r="HK62">
        <v>9999</v>
      </c>
      <c r="HL62">
        <v>999.9</v>
      </c>
      <c r="HM62">
        <v>1.8604000000000001</v>
      </c>
      <c r="HN62">
        <v>1.86208</v>
      </c>
      <c r="HO62">
        <v>1.86754</v>
      </c>
      <c r="HP62">
        <v>1.85806</v>
      </c>
      <c r="HQ62">
        <v>1.8565100000000001</v>
      </c>
      <c r="HR62">
        <v>1.8602000000000001</v>
      </c>
      <c r="HS62">
        <v>1.86412</v>
      </c>
      <c r="HT62">
        <v>1.8661399999999999</v>
      </c>
      <c r="HU62">
        <v>5</v>
      </c>
      <c r="HV62">
        <v>0</v>
      </c>
      <c r="HW62">
        <v>0</v>
      </c>
      <c r="HX62">
        <v>0</v>
      </c>
      <c r="HY62" t="s">
        <v>422</v>
      </c>
      <c r="HZ62" t="s">
        <v>423</v>
      </c>
      <c r="IA62" t="s">
        <v>424</v>
      </c>
      <c r="IB62" t="s">
        <v>424</v>
      </c>
      <c r="IC62" t="s">
        <v>424</v>
      </c>
      <c r="ID62" t="s">
        <v>424</v>
      </c>
      <c r="IE62">
        <v>0</v>
      </c>
      <c r="IF62">
        <v>100</v>
      </c>
      <c r="IG62">
        <v>100</v>
      </c>
      <c r="IH62">
        <v>1.581</v>
      </c>
      <c r="II62">
        <v>0.91679999999999995</v>
      </c>
      <c r="IJ62">
        <v>1.487125765236788</v>
      </c>
      <c r="IK62">
        <v>1.118558698776514E-3</v>
      </c>
      <c r="IL62">
        <v>-1.6939696309573479E-6</v>
      </c>
      <c r="IM62">
        <v>5.4698917449866148E-10</v>
      </c>
      <c r="IN62">
        <v>-1.34762616564994E-2</v>
      </c>
      <c r="IO62">
        <v>-7.6058941998734366E-3</v>
      </c>
      <c r="IP62">
        <v>1.6984902717538061E-3</v>
      </c>
      <c r="IQ62">
        <v>-9.6352527008986976E-6</v>
      </c>
      <c r="IR62">
        <v>2</v>
      </c>
      <c r="IS62">
        <v>2021</v>
      </c>
      <c r="IT62">
        <v>2</v>
      </c>
      <c r="IU62">
        <v>40</v>
      </c>
      <c r="IV62">
        <v>0.6</v>
      </c>
      <c r="IW62">
        <v>0.5</v>
      </c>
      <c r="IX62">
        <v>0.41870099999999999</v>
      </c>
      <c r="IY62">
        <v>2.48169</v>
      </c>
      <c r="IZ62">
        <v>1.34399</v>
      </c>
      <c r="JA62">
        <v>2.2497600000000002</v>
      </c>
      <c r="JB62">
        <v>1.5918000000000001</v>
      </c>
      <c r="JC62">
        <v>2.48047</v>
      </c>
      <c r="JD62">
        <v>33.288699999999999</v>
      </c>
      <c r="JE62">
        <v>16.005800000000001</v>
      </c>
      <c r="JF62">
        <v>18</v>
      </c>
      <c r="JG62">
        <v>514.37099999999998</v>
      </c>
      <c r="JH62">
        <v>476.05599999999998</v>
      </c>
      <c r="JI62">
        <v>27.345700000000001</v>
      </c>
      <c r="JJ62">
        <v>30.735900000000001</v>
      </c>
      <c r="JK62">
        <v>30.0002</v>
      </c>
      <c r="JL62">
        <v>30.572099999999999</v>
      </c>
      <c r="JM62">
        <v>30.5197</v>
      </c>
      <c r="JN62">
        <v>8.4730299999999996</v>
      </c>
      <c r="JO62">
        <v>25.5489</v>
      </c>
      <c r="JP62">
        <v>100</v>
      </c>
      <c r="JQ62">
        <v>27.491099999999999</v>
      </c>
      <c r="JR62">
        <v>120</v>
      </c>
      <c r="JS62">
        <v>22.507899999999999</v>
      </c>
      <c r="JT62">
        <v>99.446600000000004</v>
      </c>
      <c r="JU62">
        <v>98.161500000000004</v>
      </c>
    </row>
    <row r="63" spans="1:281" x14ac:dyDescent="0.25">
      <c r="A63">
        <v>47</v>
      </c>
      <c r="B63">
        <v>1693505235.5999999</v>
      </c>
      <c r="C63">
        <v>10309</v>
      </c>
      <c r="D63" t="s">
        <v>655</v>
      </c>
      <c r="E63" t="s">
        <v>656</v>
      </c>
      <c r="F63" t="s">
        <v>413</v>
      </c>
      <c r="G63" t="s">
        <v>493</v>
      </c>
      <c r="H63" t="s">
        <v>636</v>
      </c>
      <c r="I63" t="s">
        <v>494</v>
      </c>
      <c r="J63">
        <v>1693505235.5999999</v>
      </c>
      <c r="K63">
        <f t="shared" si="46"/>
        <v>6.1415778229994026E-3</v>
      </c>
      <c r="L63">
        <f t="shared" si="47"/>
        <v>6.1415778229994027</v>
      </c>
      <c r="M63">
        <f t="shared" si="48"/>
        <v>9.8083039110701691</v>
      </c>
      <c r="N63">
        <f t="shared" si="49"/>
        <v>57.810200000000002</v>
      </c>
      <c r="O63">
        <f t="shared" si="50"/>
        <v>21.612354036883229</v>
      </c>
      <c r="P63">
        <f t="shared" si="51"/>
        <v>2.155559403017266</v>
      </c>
      <c r="Q63">
        <f t="shared" si="52"/>
        <v>5.7658374459184794</v>
      </c>
      <c r="R63">
        <f t="shared" si="53"/>
        <v>0.47864066219958423</v>
      </c>
      <c r="S63">
        <f t="shared" si="54"/>
        <v>2.9306259067668572</v>
      </c>
      <c r="T63">
        <f t="shared" si="55"/>
        <v>0.43907100023509482</v>
      </c>
      <c r="U63">
        <f t="shared" si="56"/>
        <v>0.2777014361454585</v>
      </c>
      <c r="V63">
        <f t="shared" si="57"/>
        <v>344.37319964459402</v>
      </c>
      <c r="W63">
        <f t="shared" si="58"/>
        <v>31.189640499201747</v>
      </c>
      <c r="X63">
        <f t="shared" si="59"/>
        <v>29.997299999999999</v>
      </c>
      <c r="Y63">
        <f t="shared" si="60"/>
        <v>4.2597890818653408</v>
      </c>
      <c r="Z63">
        <f t="shared" si="61"/>
        <v>65.512750113899259</v>
      </c>
      <c r="AA63">
        <f t="shared" si="62"/>
        <v>2.9148745770761999</v>
      </c>
      <c r="AB63">
        <f t="shared" si="63"/>
        <v>4.449324096467409</v>
      </c>
      <c r="AC63">
        <f t="shared" si="64"/>
        <v>1.3449145047891409</v>
      </c>
      <c r="AD63">
        <f t="shared" si="65"/>
        <v>-270.84358199427368</v>
      </c>
      <c r="AE63">
        <f t="shared" si="66"/>
        <v>120.0768869530675</v>
      </c>
      <c r="AF63">
        <f t="shared" si="67"/>
        <v>9.1445043419700553</v>
      </c>
      <c r="AG63">
        <f t="shared" si="68"/>
        <v>202.75100894535791</v>
      </c>
      <c r="AH63">
        <v>0</v>
      </c>
      <c r="AI63">
        <v>0</v>
      </c>
      <c r="AJ63">
        <f t="shared" si="69"/>
        <v>1</v>
      </c>
      <c r="AK63">
        <f t="shared" si="70"/>
        <v>0</v>
      </c>
      <c r="AL63">
        <f t="shared" si="71"/>
        <v>52245.986140680674</v>
      </c>
      <c r="AM63" t="s">
        <v>416</v>
      </c>
      <c r="AN63">
        <v>10366.9</v>
      </c>
      <c r="AO63">
        <v>993.59653846153856</v>
      </c>
      <c r="AP63">
        <v>3431.87</v>
      </c>
      <c r="AQ63">
        <f t="shared" si="72"/>
        <v>0.71047955241266758</v>
      </c>
      <c r="AR63">
        <v>-3.9894345373445681</v>
      </c>
      <c r="AS63" t="s">
        <v>657</v>
      </c>
      <c r="AT63">
        <v>10373.799999999999</v>
      </c>
      <c r="AU63">
        <v>709.16236000000004</v>
      </c>
      <c r="AV63">
        <v>792.42456934183065</v>
      </c>
      <c r="AW63">
        <f t="shared" si="73"/>
        <v>0.10507272561095149</v>
      </c>
      <c r="AX63">
        <v>0.5</v>
      </c>
      <c r="AY63">
        <f t="shared" si="74"/>
        <v>1513.2014998222969</v>
      </c>
      <c r="AZ63">
        <f t="shared" si="75"/>
        <v>9.8083039110701691</v>
      </c>
      <c r="BA63">
        <f t="shared" si="76"/>
        <v>79.498102992454236</v>
      </c>
      <c r="BB63">
        <f t="shared" si="77"/>
        <v>9.1182426464916123E-3</v>
      </c>
      <c r="BC63">
        <f t="shared" si="78"/>
        <v>3.3308475440765686</v>
      </c>
      <c r="BD63">
        <f t="shared" si="79"/>
        <v>505.81480461454385</v>
      </c>
      <c r="BE63" t="s">
        <v>658</v>
      </c>
      <c r="BF63">
        <v>571.53</v>
      </c>
      <c r="BG63">
        <f t="shared" si="80"/>
        <v>571.53</v>
      </c>
      <c r="BH63">
        <f t="shared" si="81"/>
        <v>0.27875785013241139</v>
      </c>
      <c r="BI63">
        <f t="shared" si="82"/>
        <v>0.3769318982803227</v>
      </c>
      <c r="BJ63">
        <f t="shared" si="83"/>
        <v>0.92277331738820179</v>
      </c>
      <c r="BK63">
        <f t="shared" si="84"/>
        <v>-0.41388574017628277</v>
      </c>
      <c r="BL63">
        <f t="shared" si="85"/>
        <v>1.0825059093219083</v>
      </c>
      <c r="BM63">
        <f t="shared" si="86"/>
        <v>0.30377794983951606</v>
      </c>
      <c r="BN63">
        <f t="shared" si="87"/>
        <v>0.69622205016048389</v>
      </c>
      <c r="BO63">
        <v>2241</v>
      </c>
      <c r="BP63">
        <v>290.00000000000011</v>
      </c>
      <c r="BQ63">
        <v>771.78</v>
      </c>
      <c r="BR63">
        <v>245</v>
      </c>
      <c r="BS63">
        <v>10373.799999999999</v>
      </c>
      <c r="BT63">
        <v>770.55</v>
      </c>
      <c r="BU63">
        <v>1.23</v>
      </c>
      <c r="BV63">
        <v>300.00000000000011</v>
      </c>
      <c r="BW63">
        <v>38.4</v>
      </c>
      <c r="BX63">
        <v>792.42456934183065</v>
      </c>
      <c r="BY63">
        <v>1.0189966705613269</v>
      </c>
      <c r="BZ63">
        <v>-22.688458480368411</v>
      </c>
      <c r="CA63">
        <v>0.86563249557858446</v>
      </c>
      <c r="CB63">
        <v>0.96083795995326804</v>
      </c>
      <c r="CC63">
        <v>-1.1293170856507219E-2</v>
      </c>
      <c r="CD63">
        <v>289.99999999999989</v>
      </c>
      <c r="CE63">
        <v>769.41</v>
      </c>
      <c r="CF63">
        <v>655</v>
      </c>
      <c r="CG63">
        <v>10359.200000000001</v>
      </c>
      <c r="CH63">
        <v>770.52</v>
      </c>
      <c r="CI63">
        <v>-1.1100000000000001</v>
      </c>
      <c r="CW63">
        <f t="shared" si="88"/>
        <v>1800.02</v>
      </c>
      <c r="CX63">
        <f t="shared" si="89"/>
        <v>1513.2014998222969</v>
      </c>
      <c r="CY63">
        <f t="shared" si="90"/>
        <v>0.84065815925506215</v>
      </c>
      <c r="CZ63">
        <f t="shared" si="91"/>
        <v>0.19131631851012434</v>
      </c>
      <c r="DA63">
        <v>6</v>
      </c>
      <c r="DB63">
        <v>0.5</v>
      </c>
      <c r="DC63" t="s">
        <v>419</v>
      </c>
      <c r="DD63">
        <v>2</v>
      </c>
      <c r="DE63">
        <v>1693505235.5999999</v>
      </c>
      <c r="DF63">
        <v>57.810200000000002</v>
      </c>
      <c r="DG63">
        <v>69.998199999999997</v>
      </c>
      <c r="DH63">
        <v>29.2255</v>
      </c>
      <c r="DI63">
        <v>22.075700000000001</v>
      </c>
      <c r="DJ63">
        <v>56.206200000000003</v>
      </c>
      <c r="DK63">
        <v>28.3171</v>
      </c>
      <c r="DL63">
        <v>500.32900000000001</v>
      </c>
      <c r="DM63">
        <v>99.637900000000002</v>
      </c>
      <c r="DN63">
        <v>9.9472400000000002E-2</v>
      </c>
      <c r="DO63">
        <v>30.757300000000001</v>
      </c>
      <c r="DP63">
        <v>29.997299999999999</v>
      </c>
      <c r="DQ63">
        <v>999.9</v>
      </c>
      <c r="DR63">
        <v>0</v>
      </c>
      <c r="DS63">
        <v>0</v>
      </c>
      <c r="DT63">
        <v>10042.5</v>
      </c>
      <c r="DU63">
        <v>0</v>
      </c>
      <c r="DV63">
        <v>167.63399999999999</v>
      </c>
      <c r="DW63">
        <v>-12.188000000000001</v>
      </c>
      <c r="DX63">
        <v>59.550600000000003</v>
      </c>
      <c r="DY63">
        <v>71.578299999999999</v>
      </c>
      <c r="DZ63">
        <v>7.1497700000000002</v>
      </c>
      <c r="EA63">
        <v>69.998199999999997</v>
      </c>
      <c r="EB63">
        <v>22.075700000000001</v>
      </c>
      <c r="EC63">
        <v>2.9119700000000002</v>
      </c>
      <c r="ED63">
        <v>2.1995800000000001</v>
      </c>
      <c r="EE63">
        <v>23.532900000000001</v>
      </c>
      <c r="EF63">
        <v>18.959299999999999</v>
      </c>
      <c r="EG63">
        <v>1800.02</v>
      </c>
      <c r="EH63">
        <v>0.97799999999999998</v>
      </c>
      <c r="EI63">
        <v>2.1999700000000001E-2</v>
      </c>
      <c r="EJ63">
        <v>0</v>
      </c>
      <c r="EK63">
        <v>709.28800000000001</v>
      </c>
      <c r="EL63">
        <v>5.0002700000000004</v>
      </c>
      <c r="EM63">
        <v>13553.2</v>
      </c>
      <c r="EN63">
        <v>16248.8</v>
      </c>
      <c r="EO63">
        <v>47.375</v>
      </c>
      <c r="EP63">
        <v>49.625</v>
      </c>
      <c r="EQ63">
        <v>48.686999999999998</v>
      </c>
      <c r="ER63">
        <v>48.061999999999998</v>
      </c>
      <c r="ES63">
        <v>49.186999999999998</v>
      </c>
      <c r="ET63">
        <v>1755.53</v>
      </c>
      <c r="EU63">
        <v>39.49</v>
      </c>
      <c r="EV63">
        <v>0</v>
      </c>
      <c r="EW63">
        <v>102.2000000476837</v>
      </c>
      <c r="EX63">
        <v>0</v>
      </c>
      <c r="EY63">
        <v>709.16236000000004</v>
      </c>
      <c r="EZ63">
        <v>-2.8249230714056992</v>
      </c>
      <c r="FA63">
        <v>-48.992307773568449</v>
      </c>
      <c r="FB63">
        <v>13557.272000000001</v>
      </c>
      <c r="FC63">
        <v>15</v>
      </c>
      <c r="FD63">
        <v>1693505206.0999999</v>
      </c>
      <c r="FE63" t="s">
        <v>659</v>
      </c>
      <c r="FF63">
        <v>1693505191.5999999</v>
      </c>
      <c r="FG63">
        <v>1693505206.0999999</v>
      </c>
      <c r="FH63">
        <v>53</v>
      </c>
      <c r="FI63">
        <v>5.8999999999999997E-2</v>
      </c>
      <c r="FJ63">
        <v>-6.0000000000000001E-3</v>
      </c>
      <c r="FK63">
        <v>1.615</v>
      </c>
      <c r="FL63">
        <v>0.51900000000000002</v>
      </c>
      <c r="FM63">
        <v>70</v>
      </c>
      <c r="FN63">
        <v>22</v>
      </c>
      <c r="FO63">
        <v>0.38</v>
      </c>
      <c r="FP63">
        <v>0.03</v>
      </c>
      <c r="FQ63">
        <v>9.7904771906312842</v>
      </c>
      <c r="FR63">
        <v>0.13419517768999289</v>
      </c>
      <c r="FS63">
        <v>5.3924472288383568E-2</v>
      </c>
      <c r="FT63">
        <v>1</v>
      </c>
      <c r="FU63">
        <v>0.48344581011827759</v>
      </c>
      <c r="FV63">
        <v>6.276866194319948E-3</v>
      </c>
      <c r="FW63">
        <v>2.526609447492919E-3</v>
      </c>
      <c r="FX63">
        <v>1</v>
      </c>
      <c r="FY63">
        <v>2</v>
      </c>
      <c r="FZ63">
        <v>2</v>
      </c>
      <c r="GA63" t="s">
        <v>421</v>
      </c>
      <c r="GB63">
        <v>3.11829</v>
      </c>
      <c r="GC63">
        <v>2.8650000000000002</v>
      </c>
      <c r="GD63">
        <v>1.5688500000000001E-2</v>
      </c>
      <c r="GE63">
        <v>2.0052199999999999E-2</v>
      </c>
      <c r="GF63">
        <v>0.13126099999999999</v>
      </c>
      <c r="GG63">
        <v>0.11293300000000001</v>
      </c>
      <c r="GH63">
        <v>29777.1</v>
      </c>
      <c r="GI63">
        <v>22989.5</v>
      </c>
      <c r="GJ63">
        <v>29165.4</v>
      </c>
      <c r="GK63">
        <v>21865.599999999999</v>
      </c>
      <c r="GL63">
        <v>33923.800000000003</v>
      </c>
      <c r="GM63">
        <v>26680</v>
      </c>
      <c r="GN63">
        <v>40473.199999999997</v>
      </c>
      <c r="GO63">
        <v>31067.200000000001</v>
      </c>
      <c r="GP63">
        <v>2.024</v>
      </c>
      <c r="GQ63">
        <v>1.9034</v>
      </c>
      <c r="GR63">
        <v>4.7296299999999999E-2</v>
      </c>
      <c r="GS63">
        <v>0</v>
      </c>
      <c r="GT63">
        <v>29.2271</v>
      </c>
      <c r="GU63">
        <v>999.9</v>
      </c>
      <c r="GV63">
        <v>65.2</v>
      </c>
      <c r="GW63">
        <v>29.2</v>
      </c>
      <c r="GX63">
        <v>26.622599999999998</v>
      </c>
      <c r="GY63">
        <v>61.7575</v>
      </c>
      <c r="GZ63">
        <v>11.666700000000001</v>
      </c>
      <c r="HA63">
        <v>1</v>
      </c>
      <c r="HB63">
        <v>0.24673800000000001</v>
      </c>
      <c r="HC63">
        <v>1.16666</v>
      </c>
      <c r="HD63">
        <v>20.279199999999999</v>
      </c>
      <c r="HE63">
        <v>5.2340600000000004</v>
      </c>
      <c r="HF63">
        <v>11.974</v>
      </c>
      <c r="HG63">
        <v>4.9752000000000001</v>
      </c>
      <c r="HH63">
        <v>3.2839999999999998</v>
      </c>
      <c r="HI63">
        <v>9999</v>
      </c>
      <c r="HJ63">
        <v>9999</v>
      </c>
      <c r="HK63">
        <v>9999</v>
      </c>
      <c r="HL63">
        <v>999.9</v>
      </c>
      <c r="HM63">
        <v>1.8606100000000001</v>
      </c>
      <c r="HN63">
        <v>1.86229</v>
      </c>
      <c r="HO63">
        <v>1.86774</v>
      </c>
      <c r="HP63">
        <v>1.85822</v>
      </c>
      <c r="HQ63">
        <v>1.85669</v>
      </c>
      <c r="HR63">
        <v>1.8603499999999999</v>
      </c>
      <c r="HS63">
        <v>1.8643099999999999</v>
      </c>
      <c r="HT63">
        <v>1.8663000000000001</v>
      </c>
      <c r="HU63">
        <v>5</v>
      </c>
      <c r="HV63">
        <v>0</v>
      </c>
      <c r="HW63">
        <v>0</v>
      </c>
      <c r="HX63">
        <v>0</v>
      </c>
      <c r="HY63" t="s">
        <v>422</v>
      </c>
      <c r="HZ63" t="s">
        <v>423</v>
      </c>
      <c r="IA63" t="s">
        <v>424</v>
      </c>
      <c r="IB63" t="s">
        <v>424</v>
      </c>
      <c r="IC63" t="s">
        <v>424</v>
      </c>
      <c r="ID63" t="s">
        <v>424</v>
      </c>
      <c r="IE63">
        <v>0</v>
      </c>
      <c r="IF63">
        <v>100</v>
      </c>
      <c r="IG63">
        <v>100</v>
      </c>
      <c r="IH63">
        <v>1.6040000000000001</v>
      </c>
      <c r="II63">
        <v>0.90839999999999999</v>
      </c>
      <c r="IJ63">
        <v>1.546320449992018</v>
      </c>
      <c r="IK63">
        <v>1.118558698776514E-3</v>
      </c>
      <c r="IL63">
        <v>-1.6939696309573479E-6</v>
      </c>
      <c r="IM63">
        <v>5.4698917449866148E-10</v>
      </c>
      <c r="IN63">
        <v>-1.941486720116015E-2</v>
      </c>
      <c r="IO63">
        <v>-7.6058941998734366E-3</v>
      </c>
      <c r="IP63">
        <v>1.6984902717538061E-3</v>
      </c>
      <c r="IQ63">
        <v>-9.6352527008986976E-6</v>
      </c>
      <c r="IR63">
        <v>2</v>
      </c>
      <c r="IS63">
        <v>2021</v>
      </c>
      <c r="IT63">
        <v>2</v>
      </c>
      <c r="IU63">
        <v>40</v>
      </c>
      <c r="IV63">
        <v>0.7</v>
      </c>
      <c r="IW63">
        <v>0.5</v>
      </c>
      <c r="IX63">
        <v>0.306396</v>
      </c>
      <c r="IY63">
        <v>2.52319</v>
      </c>
      <c r="IZ63">
        <v>1.34399</v>
      </c>
      <c r="JA63">
        <v>2.2497600000000002</v>
      </c>
      <c r="JB63">
        <v>1.5918000000000001</v>
      </c>
      <c r="JC63">
        <v>2.3852500000000001</v>
      </c>
      <c r="JD63">
        <v>33.311100000000003</v>
      </c>
      <c r="JE63">
        <v>24.07</v>
      </c>
      <c r="JF63">
        <v>18</v>
      </c>
      <c r="JG63">
        <v>514.41899999999998</v>
      </c>
      <c r="JH63">
        <v>474.89800000000002</v>
      </c>
      <c r="JI63">
        <v>27.5943</v>
      </c>
      <c r="JJ63">
        <v>30.792100000000001</v>
      </c>
      <c r="JK63">
        <v>30.0002</v>
      </c>
      <c r="JL63">
        <v>30.6357</v>
      </c>
      <c r="JM63">
        <v>30.583100000000002</v>
      </c>
      <c r="JN63">
        <v>6.2013800000000003</v>
      </c>
      <c r="JO63">
        <v>28.0002</v>
      </c>
      <c r="JP63">
        <v>100</v>
      </c>
      <c r="JQ63">
        <v>27.596699999999998</v>
      </c>
      <c r="JR63">
        <v>70</v>
      </c>
      <c r="JS63">
        <v>21.9925</v>
      </c>
      <c r="JT63">
        <v>99.437399999999997</v>
      </c>
      <c r="JU63">
        <v>98.154899999999998</v>
      </c>
    </row>
    <row r="64" spans="1:281" x14ac:dyDescent="0.25">
      <c r="A64">
        <v>48</v>
      </c>
      <c r="B64">
        <v>1693505335.0999999</v>
      </c>
      <c r="C64">
        <v>10408.5</v>
      </c>
      <c r="D64" t="s">
        <v>660</v>
      </c>
      <c r="E64" t="s">
        <v>661</v>
      </c>
      <c r="F64" t="s">
        <v>413</v>
      </c>
      <c r="G64" t="s">
        <v>493</v>
      </c>
      <c r="H64" t="s">
        <v>636</v>
      </c>
      <c r="I64" t="s">
        <v>494</v>
      </c>
      <c r="J64">
        <v>1693505335.0999999</v>
      </c>
      <c r="K64">
        <f t="shared" si="46"/>
        <v>6.3167342863666258E-3</v>
      </c>
      <c r="L64">
        <f t="shared" si="47"/>
        <v>6.3167342863666258</v>
      </c>
      <c r="M64">
        <f t="shared" si="48"/>
        <v>4.1844472380186906</v>
      </c>
      <c r="N64">
        <f t="shared" si="49"/>
        <v>24.785399999999999</v>
      </c>
      <c r="O64">
        <f t="shared" si="50"/>
        <v>9.7727657657545546</v>
      </c>
      <c r="P64">
        <f t="shared" si="51"/>
        <v>0.97465610032208994</v>
      </c>
      <c r="Q64">
        <f t="shared" si="52"/>
        <v>2.4718940254942199</v>
      </c>
      <c r="R64">
        <f t="shared" si="53"/>
        <v>0.49413466626300007</v>
      </c>
      <c r="S64">
        <f t="shared" si="54"/>
        <v>2.9261610704272263</v>
      </c>
      <c r="T64">
        <f t="shared" si="55"/>
        <v>0.45202387513973408</v>
      </c>
      <c r="U64">
        <f t="shared" si="56"/>
        <v>0.28599874920736945</v>
      </c>
      <c r="V64">
        <f t="shared" si="57"/>
        <v>344.3471996444764</v>
      </c>
      <c r="W64">
        <f t="shared" si="58"/>
        <v>31.168711208231041</v>
      </c>
      <c r="X64">
        <f t="shared" si="59"/>
        <v>30.0138</v>
      </c>
      <c r="Y64">
        <f t="shared" si="60"/>
        <v>4.2638280301582858</v>
      </c>
      <c r="Z64">
        <f t="shared" si="61"/>
        <v>65.54526738899645</v>
      </c>
      <c r="AA64">
        <f t="shared" si="62"/>
        <v>2.9203383308366702</v>
      </c>
      <c r="AB64">
        <f t="shared" si="63"/>
        <v>4.4554526164415771</v>
      </c>
      <c r="AC64">
        <f t="shared" si="64"/>
        <v>1.3434896993216157</v>
      </c>
      <c r="AD64">
        <f t="shared" si="65"/>
        <v>-278.5679820287682</v>
      </c>
      <c r="AE64">
        <f t="shared" si="66"/>
        <v>121.09288816472288</v>
      </c>
      <c r="AF64">
        <f t="shared" si="67"/>
        <v>9.2378038245119853</v>
      </c>
      <c r="AG64">
        <f t="shared" si="68"/>
        <v>196.10990960494303</v>
      </c>
      <c r="AH64">
        <v>0</v>
      </c>
      <c r="AI64">
        <v>0</v>
      </c>
      <c r="AJ64">
        <f t="shared" si="69"/>
        <v>1</v>
      </c>
      <c r="AK64">
        <f t="shared" si="70"/>
        <v>0</v>
      </c>
      <c r="AL64">
        <f t="shared" si="71"/>
        <v>52114.420018299621</v>
      </c>
      <c r="AM64" t="s">
        <v>416</v>
      </c>
      <c r="AN64">
        <v>10366.9</v>
      </c>
      <c r="AO64">
        <v>993.59653846153856</v>
      </c>
      <c r="AP64">
        <v>3431.87</v>
      </c>
      <c r="AQ64">
        <f t="shared" si="72"/>
        <v>0.71047955241266758</v>
      </c>
      <c r="AR64">
        <v>-3.9894345373445681</v>
      </c>
      <c r="AS64" t="s">
        <v>662</v>
      </c>
      <c r="AT64">
        <v>10390.4</v>
      </c>
      <c r="AU64">
        <v>716.26119230769234</v>
      </c>
      <c r="AV64">
        <v>769.77639877709794</v>
      </c>
      <c r="AW64">
        <f t="shared" si="73"/>
        <v>6.9520456270707021E-2</v>
      </c>
      <c r="AX64">
        <v>0.5</v>
      </c>
      <c r="AY64">
        <f t="shared" si="74"/>
        <v>1513.0841998222381</v>
      </c>
      <c r="AZ64">
        <f t="shared" si="75"/>
        <v>4.1844472380186906</v>
      </c>
      <c r="BA64">
        <f t="shared" si="76"/>
        <v>52.595151973819817</v>
      </c>
      <c r="BB64">
        <f t="shared" si="77"/>
        <v>5.4021327936168741E-3</v>
      </c>
      <c r="BC64">
        <f t="shared" si="78"/>
        <v>3.4582686679560792</v>
      </c>
      <c r="BD64">
        <f t="shared" si="79"/>
        <v>496.4905710304572</v>
      </c>
      <c r="BE64" t="s">
        <v>663</v>
      </c>
      <c r="BF64">
        <v>588.07000000000005</v>
      </c>
      <c r="BG64">
        <f t="shared" si="80"/>
        <v>588.07000000000005</v>
      </c>
      <c r="BH64">
        <f t="shared" si="81"/>
        <v>0.23605088317304224</v>
      </c>
      <c r="BI64">
        <f t="shared" si="82"/>
        <v>0.29451470520338441</v>
      </c>
      <c r="BJ64">
        <f t="shared" si="83"/>
        <v>0.93610436782576212</v>
      </c>
      <c r="BK64">
        <f t="shared" si="84"/>
        <v>-0.23909915588854327</v>
      </c>
      <c r="BL64">
        <f t="shared" si="85"/>
        <v>1.0917945190377532</v>
      </c>
      <c r="BM64">
        <f t="shared" si="86"/>
        <v>0.24180461617771529</v>
      </c>
      <c r="BN64">
        <f t="shared" si="87"/>
        <v>0.75819538382228469</v>
      </c>
      <c r="BO64">
        <v>2243</v>
      </c>
      <c r="BP64">
        <v>290.00000000000011</v>
      </c>
      <c r="BQ64">
        <v>756.92</v>
      </c>
      <c r="BR64">
        <v>155</v>
      </c>
      <c r="BS64">
        <v>10390.4</v>
      </c>
      <c r="BT64">
        <v>755.09</v>
      </c>
      <c r="BU64">
        <v>1.83</v>
      </c>
      <c r="BV64">
        <v>300.00000000000011</v>
      </c>
      <c r="BW64">
        <v>38.4</v>
      </c>
      <c r="BX64">
        <v>769.77639877709794</v>
      </c>
      <c r="BY64">
        <v>1.1304677702254431</v>
      </c>
      <c r="BZ64">
        <v>-15.262602346620699</v>
      </c>
      <c r="CA64">
        <v>0.96058503607587642</v>
      </c>
      <c r="CB64">
        <v>0.90016256083522928</v>
      </c>
      <c r="CC64">
        <v>-1.129609877641824E-2</v>
      </c>
      <c r="CD64">
        <v>289.99999999999989</v>
      </c>
      <c r="CE64">
        <v>752.85</v>
      </c>
      <c r="CF64">
        <v>645</v>
      </c>
      <c r="CG64">
        <v>10363.1</v>
      </c>
      <c r="CH64">
        <v>755.05</v>
      </c>
      <c r="CI64">
        <v>-2.2000000000000002</v>
      </c>
      <c r="CW64">
        <f t="shared" si="88"/>
        <v>1799.88</v>
      </c>
      <c r="CX64">
        <f t="shared" si="89"/>
        <v>1513.0841998222381</v>
      </c>
      <c r="CY64">
        <f t="shared" si="90"/>
        <v>0.84065837712638514</v>
      </c>
      <c r="CZ64">
        <f t="shared" si="91"/>
        <v>0.19131675425277039</v>
      </c>
      <c r="DA64">
        <v>6</v>
      </c>
      <c r="DB64">
        <v>0.5</v>
      </c>
      <c r="DC64" t="s">
        <v>419</v>
      </c>
      <c r="DD64">
        <v>2</v>
      </c>
      <c r="DE64">
        <v>1693505335.0999999</v>
      </c>
      <c r="DF64">
        <v>24.785399999999999</v>
      </c>
      <c r="DG64">
        <v>29.995799999999999</v>
      </c>
      <c r="DH64">
        <v>29.2819</v>
      </c>
      <c r="DI64">
        <v>21.9221</v>
      </c>
      <c r="DJ64">
        <v>23.139199999999999</v>
      </c>
      <c r="DK64">
        <v>28.379899999999999</v>
      </c>
      <c r="DL64">
        <v>499.88600000000002</v>
      </c>
      <c r="DM64">
        <v>99.632599999999996</v>
      </c>
      <c r="DN64">
        <v>9.9259299999999995E-2</v>
      </c>
      <c r="DO64">
        <v>30.781400000000001</v>
      </c>
      <c r="DP64">
        <v>30.0138</v>
      </c>
      <c r="DQ64">
        <v>999.9</v>
      </c>
      <c r="DR64">
        <v>0</v>
      </c>
      <c r="DS64">
        <v>0</v>
      </c>
      <c r="DT64">
        <v>10017.5</v>
      </c>
      <c r="DU64">
        <v>0</v>
      </c>
      <c r="DV64">
        <v>168.37899999999999</v>
      </c>
      <c r="DW64">
        <v>-5.2103999999999999</v>
      </c>
      <c r="DX64">
        <v>25.533000000000001</v>
      </c>
      <c r="DY64">
        <v>30.668099999999999</v>
      </c>
      <c r="DZ64">
        <v>7.3598499999999998</v>
      </c>
      <c r="EA64">
        <v>29.995799999999999</v>
      </c>
      <c r="EB64">
        <v>21.9221</v>
      </c>
      <c r="EC64">
        <v>2.91743</v>
      </c>
      <c r="ED64">
        <v>2.1841499999999998</v>
      </c>
      <c r="EE64">
        <v>23.564</v>
      </c>
      <c r="EF64">
        <v>18.846599999999999</v>
      </c>
      <c r="EG64">
        <v>1799.88</v>
      </c>
      <c r="EH64">
        <v>0.977993</v>
      </c>
      <c r="EI64">
        <v>2.2006999999999999E-2</v>
      </c>
      <c r="EJ64">
        <v>0</v>
      </c>
      <c r="EK64">
        <v>715.81</v>
      </c>
      <c r="EL64">
        <v>5.0002700000000004</v>
      </c>
      <c r="EM64">
        <v>13660.3</v>
      </c>
      <c r="EN64">
        <v>16247.5</v>
      </c>
      <c r="EO64">
        <v>47.061999999999998</v>
      </c>
      <c r="EP64">
        <v>49.25</v>
      </c>
      <c r="EQ64">
        <v>48.375</v>
      </c>
      <c r="ER64">
        <v>47.811999999999998</v>
      </c>
      <c r="ES64">
        <v>48.875</v>
      </c>
      <c r="ET64">
        <v>1755.38</v>
      </c>
      <c r="EU64">
        <v>39.5</v>
      </c>
      <c r="EV64">
        <v>0</v>
      </c>
      <c r="EW64">
        <v>97.800000190734863</v>
      </c>
      <c r="EX64">
        <v>0</v>
      </c>
      <c r="EY64">
        <v>716.26119230769234</v>
      </c>
      <c r="EZ64">
        <v>-1.656307693247661</v>
      </c>
      <c r="FA64">
        <v>-32.188034314886082</v>
      </c>
      <c r="FB64">
        <v>13664.17307692308</v>
      </c>
      <c r="FC64">
        <v>15</v>
      </c>
      <c r="FD64">
        <v>1693505303.5999999</v>
      </c>
      <c r="FE64" t="s">
        <v>664</v>
      </c>
      <c r="FF64">
        <v>1693505299.5999999</v>
      </c>
      <c r="FG64">
        <v>1693505303.5999999</v>
      </c>
      <c r="FH64">
        <v>54</v>
      </c>
      <c r="FI64">
        <v>7.4999999999999997E-2</v>
      </c>
      <c r="FJ64">
        <v>-0.01</v>
      </c>
      <c r="FK64">
        <v>1.651</v>
      </c>
      <c r="FL64">
        <v>0.49</v>
      </c>
      <c r="FM64">
        <v>30</v>
      </c>
      <c r="FN64">
        <v>22</v>
      </c>
      <c r="FO64">
        <v>0.68</v>
      </c>
      <c r="FP64">
        <v>0.03</v>
      </c>
      <c r="FQ64">
        <v>4.204342744834884</v>
      </c>
      <c r="FR64">
        <v>-0.1242177294112175</v>
      </c>
      <c r="FS64">
        <v>6.471433862487809E-2</v>
      </c>
      <c r="FT64">
        <v>1</v>
      </c>
      <c r="FU64">
        <v>0.49874311946465533</v>
      </c>
      <c r="FV64">
        <v>-6.1311684859836017E-3</v>
      </c>
      <c r="FW64">
        <v>1.3736100494210659E-3</v>
      </c>
      <c r="FX64">
        <v>1</v>
      </c>
      <c r="FY64">
        <v>2</v>
      </c>
      <c r="FZ64">
        <v>2</v>
      </c>
      <c r="GA64" t="s">
        <v>421</v>
      </c>
      <c r="GB64">
        <v>3.11775</v>
      </c>
      <c r="GC64">
        <v>2.8645700000000001</v>
      </c>
      <c r="GD64">
        <v>6.4949200000000004E-3</v>
      </c>
      <c r="GE64">
        <v>8.6704799999999995E-3</v>
      </c>
      <c r="GF64">
        <v>0.13144400000000001</v>
      </c>
      <c r="GG64">
        <v>0.112362</v>
      </c>
      <c r="GH64">
        <v>30053.5</v>
      </c>
      <c r="GI64">
        <v>23256.5</v>
      </c>
      <c r="GJ64">
        <v>29164</v>
      </c>
      <c r="GK64">
        <v>21865.7</v>
      </c>
      <c r="GL64">
        <v>33914.400000000001</v>
      </c>
      <c r="GM64">
        <v>26696.7</v>
      </c>
      <c r="GN64">
        <v>40471.1</v>
      </c>
      <c r="GO64">
        <v>31067.7</v>
      </c>
      <c r="GP64">
        <v>2.024</v>
      </c>
      <c r="GQ64">
        <v>1.9020999999999999</v>
      </c>
      <c r="GR64">
        <v>4.5225000000000001E-2</v>
      </c>
      <c r="GS64">
        <v>0</v>
      </c>
      <c r="GT64">
        <v>29.2774</v>
      </c>
      <c r="GU64">
        <v>999.9</v>
      </c>
      <c r="GV64">
        <v>65.3</v>
      </c>
      <c r="GW64">
        <v>29.2</v>
      </c>
      <c r="GX64">
        <v>26.663399999999999</v>
      </c>
      <c r="GY64">
        <v>61.657499999999999</v>
      </c>
      <c r="GZ64">
        <v>11.5144</v>
      </c>
      <c r="HA64">
        <v>1</v>
      </c>
      <c r="HB64">
        <v>0.25085400000000002</v>
      </c>
      <c r="HC64">
        <v>1.35924</v>
      </c>
      <c r="HD64">
        <v>20.276</v>
      </c>
      <c r="HE64">
        <v>5.2292699999999996</v>
      </c>
      <c r="HF64">
        <v>11.974</v>
      </c>
      <c r="HG64">
        <v>4.9736000000000002</v>
      </c>
      <c r="HH64">
        <v>3.2831000000000001</v>
      </c>
      <c r="HI64">
        <v>9999</v>
      </c>
      <c r="HJ64">
        <v>9999</v>
      </c>
      <c r="HK64">
        <v>9999</v>
      </c>
      <c r="HL64">
        <v>999.9</v>
      </c>
      <c r="HM64">
        <v>1.86094</v>
      </c>
      <c r="HN64">
        <v>1.8626400000000001</v>
      </c>
      <c r="HO64">
        <v>1.86812</v>
      </c>
      <c r="HP64">
        <v>1.8585199999999999</v>
      </c>
      <c r="HQ64">
        <v>1.8569899999999999</v>
      </c>
      <c r="HR64">
        <v>1.86066</v>
      </c>
      <c r="HS64">
        <v>1.8646199999999999</v>
      </c>
      <c r="HT64">
        <v>1.8666400000000001</v>
      </c>
      <c r="HU64">
        <v>5</v>
      </c>
      <c r="HV64">
        <v>0</v>
      </c>
      <c r="HW64">
        <v>0</v>
      </c>
      <c r="HX64">
        <v>0</v>
      </c>
      <c r="HY64" t="s">
        <v>422</v>
      </c>
      <c r="HZ64" t="s">
        <v>423</v>
      </c>
      <c r="IA64" t="s">
        <v>424</v>
      </c>
      <c r="IB64" t="s">
        <v>424</v>
      </c>
      <c r="IC64" t="s">
        <v>424</v>
      </c>
      <c r="ID64" t="s">
        <v>424</v>
      </c>
      <c r="IE64">
        <v>0</v>
      </c>
      <c r="IF64">
        <v>100</v>
      </c>
      <c r="IG64">
        <v>100</v>
      </c>
      <c r="IH64">
        <v>1.6459999999999999</v>
      </c>
      <c r="II64">
        <v>0.90200000000000002</v>
      </c>
      <c r="IJ64">
        <v>1.6211757926657759</v>
      </c>
      <c r="IK64">
        <v>1.118558698776514E-3</v>
      </c>
      <c r="IL64">
        <v>-1.6939696309573479E-6</v>
      </c>
      <c r="IM64">
        <v>5.4698917449866148E-10</v>
      </c>
      <c r="IN64">
        <v>-2.98778866956575E-2</v>
      </c>
      <c r="IO64">
        <v>-7.6058941998734366E-3</v>
      </c>
      <c r="IP64">
        <v>1.6984902717538061E-3</v>
      </c>
      <c r="IQ64">
        <v>-9.6352527008986976E-6</v>
      </c>
      <c r="IR64">
        <v>2</v>
      </c>
      <c r="IS64">
        <v>2021</v>
      </c>
      <c r="IT64">
        <v>2</v>
      </c>
      <c r="IU64">
        <v>40</v>
      </c>
      <c r="IV64">
        <v>0.6</v>
      </c>
      <c r="IW64">
        <v>0.5</v>
      </c>
      <c r="IX64">
        <v>0.21606400000000001</v>
      </c>
      <c r="IY64">
        <v>2.51831</v>
      </c>
      <c r="IZ64">
        <v>1.34399</v>
      </c>
      <c r="JA64">
        <v>2.2497600000000002</v>
      </c>
      <c r="JB64">
        <v>1.5918000000000001</v>
      </c>
      <c r="JC64">
        <v>2.4560499999999998</v>
      </c>
      <c r="JD64">
        <v>33.602899999999998</v>
      </c>
      <c r="JE64">
        <v>23.956199999999999</v>
      </c>
      <c r="JF64">
        <v>18</v>
      </c>
      <c r="JG64">
        <v>514.85</v>
      </c>
      <c r="JH64">
        <v>474.46</v>
      </c>
      <c r="JI64">
        <v>27.501300000000001</v>
      </c>
      <c r="JJ64">
        <v>30.834800000000001</v>
      </c>
      <c r="JK64">
        <v>30.0002</v>
      </c>
      <c r="JL64">
        <v>30.683499999999999</v>
      </c>
      <c r="JM64">
        <v>30.634699999999999</v>
      </c>
      <c r="JN64">
        <v>4.4162999999999997</v>
      </c>
      <c r="JO64">
        <v>28.818899999999999</v>
      </c>
      <c r="JP64">
        <v>100</v>
      </c>
      <c r="JQ64">
        <v>27.504300000000001</v>
      </c>
      <c r="JR64">
        <v>30</v>
      </c>
      <c r="JS64">
        <v>21.829000000000001</v>
      </c>
      <c r="JT64">
        <v>99.432400000000001</v>
      </c>
      <c r="JU64">
        <v>98.156000000000006</v>
      </c>
    </row>
    <row r="65" spans="1:281" x14ac:dyDescent="0.25">
      <c r="A65">
        <v>49</v>
      </c>
      <c r="B65">
        <v>1693505438.5999999</v>
      </c>
      <c r="C65">
        <v>10512</v>
      </c>
      <c r="D65" t="s">
        <v>665</v>
      </c>
      <c r="E65" t="s">
        <v>666</v>
      </c>
      <c r="F65" t="s">
        <v>413</v>
      </c>
      <c r="G65" t="s">
        <v>493</v>
      </c>
      <c r="H65" t="s">
        <v>636</v>
      </c>
      <c r="I65" t="s">
        <v>494</v>
      </c>
      <c r="J65">
        <v>1693505438.5999999</v>
      </c>
      <c r="K65">
        <f t="shared" si="46"/>
        <v>6.5822214282319803E-3</v>
      </c>
      <c r="L65">
        <f t="shared" si="47"/>
        <v>6.5822214282319802</v>
      </c>
      <c r="M65">
        <f t="shared" si="48"/>
        <v>1.1911736048201313</v>
      </c>
      <c r="N65">
        <f t="shared" si="49"/>
        <v>8.4497499999999999</v>
      </c>
      <c r="O65">
        <f t="shared" si="50"/>
        <v>4.3065706889553361</v>
      </c>
      <c r="P65">
        <f t="shared" si="51"/>
        <v>0.42950205955646781</v>
      </c>
      <c r="Q65">
        <f t="shared" si="52"/>
        <v>0.84270880239924995</v>
      </c>
      <c r="R65">
        <f t="shared" si="53"/>
        <v>0.51594992110231297</v>
      </c>
      <c r="S65">
        <f t="shared" si="54"/>
        <v>2.9230755039430596</v>
      </c>
      <c r="T65">
        <f t="shared" si="55"/>
        <v>0.47017920226528198</v>
      </c>
      <c r="U65">
        <f t="shared" si="56"/>
        <v>0.29763521584136382</v>
      </c>
      <c r="V65">
        <f t="shared" si="57"/>
        <v>344.35929964467022</v>
      </c>
      <c r="W65">
        <f t="shared" si="58"/>
        <v>31.113554495260995</v>
      </c>
      <c r="X65">
        <f t="shared" si="59"/>
        <v>30.004799999999999</v>
      </c>
      <c r="Y65">
        <f t="shared" si="60"/>
        <v>4.2616245539197797</v>
      </c>
      <c r="Z65">
        <f t="shared" si="61"/>
        <v>65.390638257778832</v>
      </c>
      <c r="AA65">
        <f t="shared" si="62"/>
        <v>2.9156792070655997</v>
      </c>
      <c r="AB65">
        <f t="shared" si="63"/>
        <v>4.4588633552888624</v>
      </c>
      <c r="AC65">
        <f t="shared" si="64"/>
        <v>1.34594534685418</v>
      </c>
      <c r="AD65">
        <f t="shared" si="65"/>
        <v>-290.27596498503033</v>
      </c>
      <c r="AE65">
        <f t="shared" si="66"/>
        <v>124.49518878917667</v>
      </c>
      <c r="AF65">
        <f t="shared" si="67"/>
        <v>9.5075878959920956</v>
      </c>
      <c r="AG65">
        <f t="shared" si="68"/>
        <v>188.08611134480867</v>
      </c>
      <c r="AH65">
        <v>0</v>
      </c>
      <c r="AI65">
        <v>0</v>
      </c>
      <c r="AJ65">
        <f t="shared" si="69"/>
        <v>1</v>
      </c>
      <c r="AK65">
        <f t="shared" si="70"/>
        <v>0</v>
      </c>
      <c r="AL65">
        <f t="shared" si="71"/>
        <v>52024.194771739538</v>
      </c>
      <c r="AM65" t="s">
        <v>416</v>
      </c>
      <c r="AN65">
        <v>10366.9</v>
      </c>
      <c r="AO65">
        <v>993.59653846153856</v>
      </c>
      <c r="AP65">
        <v>3431.87</v>
      </c>
      <c r="AQ65">
        <f t="shared" si="72"/>
        <v>0.71047955241266758</v>
      </c>
      <c r="AR65">
        <v>-3.9894345373445681</v>
      </c>
      <c r="AS65" t="s">
        <v>667</v>
      </c>
      <c r="AT65">
        <v>10391</v>
      </c>
      <c r="AU65">
        <v>720.67439999999999</v>
      </c>
      <c r="AV65">
        <v>763.10850266569469</v>
      </c>
      <c r="AW65">
        <f t="shared" si="73"/>
        <v>5.5606905856065869E-2</v>
      </c>
      <c r="AX65">
        <v>0.5</v>
      </c>
      <c r="AY65">
        <f t="shared" si="74"/>
        <v>1513.1423998223349</v>
      </c>
      <c r="AZ65">
        <f t="shared" si="75"/>
        <v>1.1911736048201313</v>
      </c>
      <c r="BA65">
        <f t="shared" si="76"/>
        <v>42.07058348687108</v>
      </c>
      <c r="BB65">
        <f t="shared" si="77"/>
        <v>3.4237413099870695E-3</v>
      </c>
      <c r="BC65">
        <f t="shared" si="78"/>
        <v>3.4972241666968373</v>
      </c>
      <c r="BD65">
        <f t="shared" si="79"/>
        <v>493.70817296680218</v>
      </c>
      <c r="BE65" t="s">
        <v>668</v>
      </c>
      <c r="BF65">
        <v>597.36</v>
      </c>
      <c r="BG65">
        <f t="shared" si="80"/>
        <v>597.36</v>
      </c>
      <c r="BH65">
        <f t="shared" si="81"/>
        <v>0.21720175058553415</v>
      </c>
      <c r="BI65">
        <f t="shared" si="82"/>
        <v>0.25601499852630266</v>
      </c>
      <c r="BJ65">
        <f t="shared" si="83"/>
        <v>0.94152481287217382</v>
      </c>
      <c r="BK65">
        <f t="shared" si="84"/>
        <v>-0.18410544616415991</v>
      </c>
      <c r="BL65">
        <f t="shared" si="85"/>
        <v>1.0945291983986136</v>
      </c>
      <c r="BM65">
        <f t="shared" si="86"/>
        <v>0.21220834196368316</v>
      </c>
      <c r="BN65">
        <f t="shared" si="87"/>
        <v>0.7877916580363169</v>
      </c>
      <c r="BO65">
        <v>2245</v>
      </c>
      <c r="BP65">
        <v>290.00000000000011</v>
      </c>
      <c r="BQ65">
        <v>753.37</v>
      </c>
      <c r="BR65">
        <v>165</v>
      </c>
      <c r="BS65">
        <v>10391</v>
      </c>
      <c r="BT65">
        <v>750.76</v>
      </c>
      <c r="BU65">
        <v>2.61</v>
      </c>
      <c r="BV65">
        <v>300.00000000000011</v>
      </c>
      <c r="BW65">
        <v>38.4</v>
      </c>
      <c r="BX65">
        <v>763.10850266569469</v>
      </c>
      <c r="BY65">
        <v>0.94587187128080963</v>
      </c>
      <c r="BZ65">
        <v>-12.83208182022765</v>
      </c>
      <c r="CA65">
        <v>0.80392571765299792</v>
      </c>
      <c r="CB65">
        <v>0.90098249306956391</v>
      </c>
      <c r="CC65">
        <v>-1.1298715239154621E-2</v>
      </c>
      <c r="CD65">
        <v>289.99999999999989</v>
      </c>
      <c r="CE65">
        <v>749.58</v>
      </c>
      <c r="CF65">
        <v>705</v>
      </c>
      <c r="CG65">
        <v>10360.200000000001</v>
      </c>
      <c r="CH65">
        <v>750.72</v>
      </c>
      <c r="CI65">
        <v>-1.1399999999999999</v>
      </c>
      <c r="CW65">
        <f t="shared" si="88"/>
        <v>1799.95</v>
      </c>
      <c r="CX65">
        <f t="shared" si="89"/>
        <v>1513.1423998223349</v>
      </c>
      <c r="CY65">
        <f t="shared" si="90"/>
        <v>0.84065801817957997</v>
      </c>
      <c r="CZ65">
        <f t="shared" si="91"/>
        <v>0.19131603635916009</v>
      </c>
      <c r="DA65">
        <v>6</v>
      </c>
      <c r="DB65">
        <v>0.5</v>
      </c>
      <c r="DC65" t="s">
        <v>419</v>
      </c>
      <c r="DD65">
        <v>2</v>
      </c>
      <c r="DE65">
        <v>1693505438.5999999</v>
      </c>
      <c r="DF65">
        <v>8.4497499999999999</v>
      </c>
      <c r="DG65">
        <v>9.9459300000000006</v>
      </c>
      <c r="DH65">
        <v>29.235199999999999</v>
      </c>
      <c r="DI65">
        <v>21.567299999999999</v>
      </c>
      <c r="DJ65">
        <v>6.8215399999999997</v>
      </c>
      <c r="DK65">
        <v>28.337</v>
      </c>
      <c r="DL65">
        <v>499.99</v>
      </c>
      <c r="DM65">
        <v>99.631399999999999</v>
      </c>
      <c r="DN65">
        <v>0.10040300000000001</v>
      </c>
      <c r="DO65">
        <v>30.794799999999999</v>
      </c>
      <c r="DP65">
        <v>30.004799999999999</v>
      </c>
      <c r="DQ65">
        <v>999.9</v>
      </c>
      <c r="DR65">
        <v>0</v>
      </c>
      <c r="DS65">
        <v>0</v>
      </c>
      <c r="DT65">
        <v>10000</v>
      </c>
      <c r="DU65">
        <v>0</v>
      </c>
      <c r="DV65">
        <v>117.84699999999999</v>
      </c>
      <c r="DW65">
        <v>-1.4961800000000001</v>
      </c>
      <c r="DX65">
        <v>8.7042099999999998</v>
      </c>
      <c r="DY65">
        <v>10.1652</v>
      </c>
      <c r="DZ65">
        <v>7.6679300000000001</v>
      </c>
      <c r="EA65">
        <v>9.9459300000000006</v>
      </c>
      <c r="EB65">
        <v>21.567299999999999</v>
      </c>
      <c r="EC65">
        <v>2.9127399999999999</v>
      </c>
      <c r="ED65">
        <v>2.1487799999999999</v>
      </c>
      <c r="EE65">
        <v>23.537299999999998</v>
      </c>
      <c r="EF65">
        <v>18.5854</v>
      </c>
      <c r="EG65">
        <v>1799.95</v>
      </c>
      <c r="EH65">
        <v>0.97800600000000004</v>
      </c>
      <c r="EI65">
        <v>2.1993800000000001E-2</v>
      </c>
      <c r="EJ65">
        <v>0</v>
      </c>
      <c r="EK65">
        <v>720.74300000000005</v>
      </c>
      <c r="EL65">
        <v>5.0002700000000004</v>
      </c>
      <c r="EM65">
        <v>13719.4</v>
      </c>
      <c r="EN65">
        <v>16248.2</v>
      </c>
      <c r="EO65">
        <v>46.75</v>
      </c>
      <c r="EP65">
        <v>48.936999999999998</v>
      </c>
      <c r="EQ65">
        <v>48.061999999999998</v>
      </c>
      <c r="ER65">
        <v>47.5</v>
      </c>
      <c r="ES65">
        <v>48.561999999999998</v>
      </c>
      <c r="ET65">
        <v>1755.47</v>
      </c>
      <c r="EU65">
        <v>39.479999999999997</v>
      </c>
      <c r="EV65">
        <v>0</v>
      </c>
      <c r="EW65">
        <v>101.4000000953674</v>
      </c>
      <c r="EX65">
        <v>0</v>
      </c>
      <c r="EY65">
        <v>720.67439999999999</v>
      </c>
      <c r="EZ65">
        <v>-0.1270769216536172</v>
      </c>
      <c r="FA65">
        <v>-13.315384602772591</v>
      </c>
      <c r="FB65">
        <v>13721.928</v>
      </c>
      <c r="FC65">
        <v>15</v>
      </c>
      <c r="FD65">
        <v>1693505408.0999999</v>
      </c>
      <c r="FE65" t="s">
        <v>669</v>
      </c>
      <c r="FF65">
        <v>1693505392.5999999</v>
      </c>
      <c r="FG65">
        <v>1693505408.0999999</v>
      </c>
      <c r="FH65">
        <v>55</v>
      </c>
      <c r="FI65">
        <v>-1E-3</v>
      </c>
      <c r="FJ65">
        <v>-1E-3</v>
      </c>
      <c r="FK65">
        <v>1.63</v>
      </c>
      <c r="FL65">
        <v>0.47399999999999998</v>
      </c>
      <c r="FM65">
        <v>10</v>
      </c>
      <c r="FN65">
        <v>22</v>
      </c>
      <c r="FO65">
        <v>0.72</v>
      </c>
      <c r="FP65">
        <v>0.03</v>
      </c>
      <c r="FQ65">
        <v>1.24835958619156</v>
      </c>
      <c r="FR65">
        <v>-0.15121243105390539</v>
      </c>
      <c r="FS65">
        <v>4.9714439921458242E-2</v>
      </c>
      <c r="FT65">
        <v>1</v>
      </c>
      <c r="FU65">
        <v>0.52054850100854189</v>
      </c>
      <c r="FV65">
        <v>2.8571867115527699E-2</v>
      </c>
      <c r="FW65">
        <v>3.511182586473953E-3</v>
      </c>
      <c r="FX65">
        <v>1</v>
      </c>
      <c r="FY65">
        <v>2</v>
      </c>
      <c r="FZ65">
        <v>2</v>
      </c>
      <c r="GA65" t="s">
        <v>421</v>
      </c>
      <c r="GB65">
        <v>3.1177800000000002</v>
      </c>
      <c r="GC65">
        <v>2.8655599999999999</v>
      </c>
      <c r="GD65">
        <v>1.9161499999999999E-3</v>
      </c>
      <c r="GE65">
        <v>2.8794300000000001E-3</v>
      </c>
      <c r="GF65">
        <v>0.13128899999999999</v>
      </c>
      <c r="GG65">
        <v>0.111068</v>
      </c>
      <c r="GH65">
        <v>30189.1</v>
      </c>
      <c r="GI65">
        <v>23391.200000000001</v>
      </c>
      <c r="GJ65">
        <v>29161.4</v>
      </c>
      <c r="GK65">
        <v>21864.7</v>
      </c>
      <c r="GL65">
        <v>33918</v>
      </c>
      <c r="GM65">
        <v>26733.9</v>
      </c>
      <c r="GN65">
        <v>40468</v>
      </c>
      <c r="GO65">
        <v>31066.2</v>
      </c>
      <c r="GP65">
        <v>2.0236999999999998</v>
      </c>
      <c r="GQ65">
        <v>1.9009</v>
      </c>
      <c r="GR65">
        <v>4.48227E-2</v>
      </c>
      <c r="GS65">
        <v>0</v>
      </c>
      <c r="GT65">
        <v>29.274899999999999</v>
      </c>
      <c r="GU65">
        <v>999.9</v>
      </c>
      <c r="GV65">
        <v>65.3</v>
      </c>
      <c r="GW65">
        <v>29.2</v>
      </c>
      <c r="GX65">
        <v>26.6662</v>
      </c>
      <c r="GY65">
        <v>61.467500000000001</v>
      </c>
      <c r="GZ65">
        <v>11.995200000000001</v>
      </c>
      <c r="HA65">
        <v>1</v>
      </c>
      <c r="HB65">
        <v>0.25374999999999998</v>
      </c>
      <c r="HC65">
        <v>1.17039</v>
      </c>
      <c r="HD65">
        <v>20.277799999999999</v>
      </c>
      <c r="HE65">
        <v>5.2340600000000004</v>
      </c>
      <c r="HF65">
        <v>11.974</v>
      </c>
      <c r="HG65">
        <v>4.9752000000000001</v>
      </c>
      <c r="HH65">
        <v>3.2839999999999998</v>
      </c>
      <c r="HI65">
        <v>9999</v>
      </c>
      <c r="HJ65">
        <v>9999</v>
      </c>
      <c r="HK65">
        <v>9999</v>
      </c>
      <c r="HL65">
        <v>999.9</v>
      </c>
      <c r="HM65">
        <v>1.8610500000000001</v>
      </c>
      <c r="HN65">
        <v>1.86267</v>
      </c>
      <c r="HO65">
        <v>1.8681300000000001</v>
      </c>
      <c r="HP65">
        <v>1.8586400000000001</v>
      </c>
      <c r="HQ65">
        <v>1.8571500000000001</v>
      </c>
      <c r="HR65">
        <v>1.8608100000000001</v>
      </c>
      <c r="HS65">
        <v>1.86476</v>
      </c>
      <c r="HT65">
        <v>1.86676</v>
      </c>
      <c r="HU65">
        <v>5</v>
      </c>
      <c r="HV65">
        <v>0</v>
      </c>
      <c r="HW65">
        <v>0</v>
      </c>
      <c r="HX65">
        <v>0</v>
      </c>
      <c r="HY65" t="s">
        <v>422</v>
      </c>
      <c r="HZ65" t="s">
        <v>423</v>
      </c>
      <c r="IA65" t="s">
        <v>424</v>
      </c>
      <c r="IB65" t="s">
        <v>424</v>
      </c>
      <c r="IC65" t="s">
        <v>424</v>
      </c>
      <c r="ID65" t="s">
        <v>424</v>
      </c>
      <c r="IE65">
        <v>0</v>
      </c>
      <c r="IF65">
        <v>100</v>
      </c>
      <c r="IG65">
        <v>100</v>
      </c>
      <c r="IH65">
        <v>1.6279999999999999</v>
      </c>
      <c r="II65">
        <v>0.8982</v>
      </c>
      <c r="IJ65">
        <v>1.620658660529418</v>
      </c>
      <c r="IK65">
        <v>1.118558698776514E-3</v>
      </c>
      <c r="IL65">
        <v>-1.6939696309573479E-6</v>
      </c>
      <c r="IM65">
        <v>5.4698917449866148E-10</v>
      </c>
      <c r="IN65">
        <v>-3.0932140595751331E-2</v>
      </c>
      <c r="IO65">
        <v>-7.6058941998734366E-3</v>
      </c>
      <c r="IP65">
        <v>1.6984902717538061E-3</v>
      </c>
      <c r="IQ65">
        <v>-9.6352527008986976E-6</v>
      </c>
      <c r="IR65">
        <v>2</v>
      </c>
      <c r="IS65">
        <v>2021</v>
      </c>
      <c r="IT65">
        <v>2</v>
      </c>
      <c r="IU65">
        <v>40</v>
      </c>
      <c r="IV65">
        <v>0.8</v>
      </c>
      <c r="IW65">
        <v>0.5</v>
      </c>
      <c r="IX65">
        <v>0.17333999999999999</v>
      </c>
      <c r="IY65">
        <v>2.5598100000000001</v>
      </c>
      <c r="IZ65">
        <v>1.34399</v>
      </c>
      <c r="JA65">
        <v>2.2497600000000002</v>
      </c>
      <c r="JB65">
        <v>1.5918000000000001</v>
      </c>
      <c r="JC65">
        <v>2.2741699999999998</v>
      </c>
      <c r="JD65">
        <v>34.0092</v>
      </c>
      <c r="JE65">
        <v>23.947399999999998</v>
      </c>
      <c r="JF65">
        <v>18</v>
      </c>
      <c r="JG65">
        <v>515.08500000000004</v>
      </c>
      <c r="JH65">
        <v>474.072</v>
      </c>
      <c r="JI65">
        <v>27.7193</v>
      </c>
      <c r="JJ65">
        <v>30.8764</v>
      </c>
      <c r="JK65">
        <v>30.000499999999999</v>
      </c>
      <c r="JL65">
        <v>30.731400000000001</v>
      </c>
      <c r="JM65">
        <v>30.683800000000002</v>
      </c>
      <c r="JN65">
        <v>3.54386</v>
      </c>
      <c r="JO65">
        <v>29.5671</v>
      </c>
      <c r="JP65">
        <v>100</v>
      </c>
      <c r="JQ65">
        <v>27.721</v>
      </c>
      <c r="JR65">
        <v>10</v>
      </c>
      <c r="JS65">
        <v>21.5456</v>
      </c>
      <c r="JT65">
        <v>99.424199999999999</v>
      </c>
      <c r="JU65">
        <v>98.151399999999995</v>
      </c>
    </row>
    <row r="66" spans="1:281" x14ac:dyDescent="0.25">
      <c r="A66">
        <v>50</v>
      </c>
      <c r="B66">
        <v>1693505628.0999999</v>
      </c>
      <c r="C66">
        <v>10701.5</v>
      </c>
      <c r="D66" t="s">
        <v>670</v>
      </c>
      <c r="E66" t="s">
        <v>671</v>
      </c>
      <c r="F66" t="s">
        <v>413</v>
      </c>
      <c r="G66" t="s">
        <v>493</v>
      </c>
      <c r="H66" t="s">
        <v>636</v>
      </c>
      <c r="I66" t="s">
        <v>494</v>
      </c>
      <c r="J66">
        <v>1693505628.0999999</v>
      </c>
      <c r="K66">
        <f t="shared" si="46"/>
        <v>6.3826739095282593E-3</v>
      </c>
      <c r="L66">
        <f t="shared" si="47"/>
        <v>6.3826739095282594</v>
      </c>
      <c r="M66">
        <f t="shared" si="48"/>
        <v>44.059654812384316</v>
      </c>
      <c r="N66">
        <f t="shared" si="49"/>
        <v>344.33199999999999</v>
      </c>
      <c r="O66">
        <f t="shared" si="50"/>
        <v>184.13312747108657</v>
      </c>
      <c r="P66">
        <f t="shared" si="51"/>
        <v>18.363455204316438</v>
      </c>
      <c r="Q66">
        <f t="shared" si="52"/>
        <v>34.339965568692001</v>
      </c>
      <c r="R66">
        <f t="shared" si="53"/>
        <v>0.49343819006014916</v>
      </c>
      <c r="S66">
        <f t="shared" si="54"/>
        <v>2.9168900340604091</v>
      </c>
      <c r="T66">
        <f t="shared" si="55"/>
        <v>0.45131933448658917</v>
      </c>
      <c r="U66">
        <f t="shared" si="56"/>
        <v>0.28555859589292965</v>
      </c>
      <c r="V66">
        <f t="shared" si="57"/>
        <v>344.34339964447241</v>
      </c>
      <c r="W66">
        <f t="shared" si="58"/>
        <v>31.166855647008596</v>
      </c>
      <c r="X66">
        <f t="shared" si="59"/>
        <v>29.9925</v>
      </c>
      <c r="Y66">
        <f t="shared" si="60"/>
        <v>4.2586147413460793</v>
      </c>
      <c r="Z66">
        <f t="shared" si="61"/>
        <v>65.009777219095639</v>
      </c>
      <c r="AA66">
        <f t="shared" si="62"/>
        <v>2.8988295574769998</v>
      </c>
      <c r="AB66">
        <f t="shared" si="63"/>
        <v>4.459067053417793</v>
      </c>
      <c r="AC66">
        <f t="shared" si="64"/>
        <v>1.3597851838690795</v>
      </c>
      <c r="AD66">
        <f t="shared" si="65"/>
        <v>-281.47591941019624</v>
      </c>
      <c r="AE66">
        <f t="shared" si="66"/>
        <v>126.29179207711235</v>
      </c>
      <c r="AF66">
        <f t="shared" si="67"/>
        <v>9.6646964009721916</v>
      </c>
      <c r="AG66">
        <f t="shared" si="68"/>
        <v>198.82396871236074</v>
      </c>
      <c r="AH66">
        <v>0</v>
      </c>
      <c r="AI66">
        <v>0</v>
      </c>
      <c r="AJ66">
        <f t="shared" si="69"/>
        <v>1</v>
      </c>
      <c r="AK66">
        <f t="shared" si="70"/>
        <v>0</v>
      </c>
      <c r="AL66">
        <f t="shared" si="71"/>
        <v>51847.973517299717</v>
      </c>
      <c r="AM66" t="s">
        <v>416</v>
      </c>
      <c r="AN66">
        <v>10366.9</v>
      </c>
      <c r="AO66">
        <v>993.59653846153856</v>
      </c>
      <c r="AP66">
        <v>3431.87</v>
      </c>
      <c r="AQ66">
        <f t="shared" si="72"/>
        <v>0.71047955241266758</v>
      </c>
      <c r="AR66">
        <v>-3.9894345373445681</v>
      </c>
      <c r="AS66" t="s">
        <v>672</v>
      </c>
      <c r="AT66">
        <v>10398.799999999999</v>
      </c>
      <c r="AU66">
        <v>747.50551999999993</v>
      </c>
      <c r="AV66">
        <v>1093.6011934287569</v>
      </c>
      <c r="AW66">
        <f t="shared" si="73"/>
        <v>0.31647338674132808</v>
      </c>
      <c r="AX66">
        <v>0.5</v>
      </c>
      <c r="AY66">
        <f t="shared" si="74"/>
        <v>1513.067399822236</v>
      </c>
      <c r="AZ66">
        <f t="shared" si="75"/>
        <v>44.059654812384316</v>
      </c>
      <c r="BA66">
        <f t="shared" si="76"/>
        <v>239.42278219481909</v>
      </c>
      <c r="BB66">
        <f t="shared" si="77"/>
        <v>3.1756079970643725E-2</v>
      </c>
      <c r="BC66">
        <f t="shared" si="78"/>
        <v>2.1381366631834884</v>
      </c>
      <c r="BD66">
        <f t="shared" si="79"/>
        <v>613.69703436657176</v>
      </c>
      <c r="BE66" t="s">
        <v>673</v>
      </c>
      <c r="BF66">
        <v>589.79999999999995</v>
      </c>
      <c r="BG66">
        <f t="shared" si="80"/>
        <v>589.79999999999995</v>
      </c>
      <c r="BH66">
        <f t="shared" si="81"/>
        <v>0.46068091042329073</v>
      </c>
      <c r="BI66">
        <f t="shared" si="82"/>
        <v>0.68696874470127411</v>
      </c>
      <c r="BJ66">
        <f t="shared" si="83"/>
        <v>0.82273441772062017</v>
      </c>
      <c r="BK66">
        <f t="shared" si="84"/>
        <v>3.4607956353852485</v>
      </c>
      <c r="BL66">
        <f t="shared" si="85"/>
        <v>0.95898546387650896</v>
      </c>
      <c r="BM66">
        <f t="shared" si="86"/>
        <v>0.54203501483816663</v>
      </c>
      <c r="BN66">
        <f t="shared" si="87"/>
        <v>0.45796498516183337</v>
      </c>
      <c r="BO66">
        <v>2247</v>
      </c>
      <c r="BP66">
        <v>290.00000000000011</v>
      </c>
      <c r="BQ66">
        <v>976.2</v>
      </c>
      <c r="BR66">
        <v>155</v>
      </c>
      <c r="BS66">
        <v>10398.799999999999</v>
      </c>
      <c r="BT66">
        <v>974.73</v>
      </c>
      <c r="BU66">
        <v>1.47</v>
      </c>
      <c r="BV66">
        <v>300.00000000000011</v>
      </c>
      <c r="BW66">
        <v>38.4</v>
      </c>
      <c r="BX66">
        <v>1093.6011934287569</v>
      </c>
      <c r="BY66">
        <v>1.1576477217733869</v>
      </c>
      <c r="BZ66">
        <v>-123.6127852990344</v>
      </c>
      <c r="CA66">
        <v>0.98450531735094005</v>
      </c>
      <c r="CB66">
        <v>0.99822704908181414</v>
      </c>
      <c r="CC66">
        <v>-1.130626429365961E-2</v>
      </c>
      <c r="CD66">
        <v>289.99999999999989</v>
      </c>
      <c r="CE66">
        <v>949.44</v>
      </c>
      <c r="CF66">
        <v>635</v>
      </c>
      <c r="CG66">
        <v>10372.799999999999</v>
      </c>
      <c r="CH66">
        <v>974.43</v>
      </c>
      <c r="CI66">
        <v>-24.99</v>
      </c>
      <c r="CW66">
        <f t="shared" si="88"/>
        <v>1799.86</v>
      </c>
      <c r="CX66">
        <f t="shared" si="89"/>
        <v>1513.067399822236</v>
      </c>
      <c r="CY66">
        <f t="shared" si="90"/>
        <v>0.84065838444225449</v>
      </c>
      <c r="CZ66">
        <f t="shared" si="91"/>
        <v>0.19131676888450902</v>
      </c>
      <c r="DA66">
        <v>6</v>
      </c>
      <c r="DB66">
        <v>0.5</v>
      </c>
      <c r="DC66" t="s">
        <v>419</v>
      </c>
      <c r="DD66">
        <v>2</v>
      </c>
      <c r="DE66">
        <v>1693505628.0999999</v>
      </c>
      <c r="DF66">
        <v>344.33199999999999</v>
      </c>
      <c r="DG66">
        <v>399.85300000000001</v>
      </c>
      <c r="DH66">
        <v>29.067</v>
      </c>
      <c r="DI66">
        <v>21.628799999999998</v>
      </c>
      <c r="DJ66">
        <v>342.10199999999998</v>
      </c>
      <c r="DK66">
        <v>28.1784</v>
      </c>
      <c r="DL66">
        <v>499.89100000000002</v>
      </c>
      <c r="DM66">
        <v>99.628799999999998</v>
      </c>
      <c r="DN66">
        <v>0.10043100000000001</v>
      </c>
      <c r="DO66">
        <v>30.7956</v>
      </c>
      <c r="DP66">
        <v>29.9925</v>
      </c>
      <c r="DQ66">
        <v>999.9</v>
      </c>
      <c r="DR66">
        <v>0</v>
      </c>
      <c r="DS66">
        <v>0</v>
      </c>
      <c r="DT66">
        <v>9965</v>
      </c>
      <c r="DU66">
        <v>0</v>
      </c>
      <c r="DV66">
        <v>170.86600000000001</v>
      </c>
      <c r="DW66">
        <v>-55.520400000000002</v>
      </c>
      <c r="DX66">
        <v>354.64</v>
      </c>
      <c r="DY66">
        <v>408.69200000000001</v>
      </c>
      <c r="DZ66">
        <v>7.4382099999999998</v>
      </c>
      <c r="EA66">
        <v>399.85300000000001</v>
      </c>
      <c r="EB66">
        <v>21.628799999999998</v>
      </c>
      <c r="EC66">
        <v>2.8959199999999998</v>
      </c>
      <c r="ED66">
        <v>2.1548600000000002</v>
      </c>
      <c r="EE66">
        <v>23.441299999999998</v>
      </c>
      <c r="EF66">
        <v>18.630600000000001</v>
      </c>
      <c r="EG66">
        <v>1799.86</v>
      </c>
      <c r="EH66">
        <v>0.97799499999999995</v>
      </c>
      <c r="EI66">
        <v>2.2004699999999999E-2</v>
      </c>
      <c r="EJ66">
        <v>0</v>
      </c>
      <c r="EK66">
        <v>747.65300000000002</v>
      </c>
      <c r="EL66">
        <v>5.0002700000000004</v>
      </c>
      <c r="EM66">
        <v>14182.6</v>
      </c>
      <c r="EN66">
        <v>16247.4</v>
      </c>
      <c r="EO66">
        <v>46.311999999999998</v>
      </c>
      <c r="EP66">
        <v>48.5</v>
      </c>
      <c r="EQ66">
        <v>47.561999999999998</v>
      </c>
      <c r="ER66">
        <v>47.125</v>
      </c>
      <c r="ES66">
        <v>48.186999999999998</v>
      </c>
      <c r="ET66">
        <v>1755.36</v>
      </c>
      <c r="EU66">
        <v>39.5</v>
      </c>
      <c r="EV66">
        <v>0</v>
      </c>
      <c r="EW66">
        <v>187.4000000953674</v>
      </c>
      <c r="EX66">
        <v>0</v>
      </c>
      <c r="EY66">
        <v>747.50551999999993</v>
      </c>
      <c r="EZ66">
        <v>2.1906922923363812</v>
      </c>
      <c r="FA66">
        <v>52.330769192392481</v>
      </c>
      <c r="FB66">
        <v>14181.86</v>
      </c>
      <c r="FC66">
        <v>15</v>
      </c>
      <c r="FD66">
        <v>1693505519.0999999</v>
      </c>
      <c r="FE66" t="s">
        <v>674</v>
      </c>
      <c r="FF66">
        <v>1693505508.5999999</v>
      </c>
      <c r="FG66">
        <v>1693505519.0999999</v>
      </c>
      <c r="FH66">
        <v>56</v>
      </c>
      <c r="FI66">
        <v>0.40300000000000002</v>
      </c>
      <c r="FJ66">
        <v>1E-3</v>
      </c>
      <c r="FK66">
        <v>2.2349999999999999</v>
      </c>
      <c r="FL66">
        <v>0.47199999999999998</v>
      </c>
      <c r="FM66">
        <v>400</v>
      </c>
      <c r="FN66">
        <v>22</v>
      </c>
      <c r="FO66">
        <v>0.19</v>
      </c>
      <c r="FP66">
        <v>0.02</v>
      </c>
      <c r="FQ66">
        <v>43.738204749670658</v>
      </c>
      <c r="FR66">
        <v>3.8034822364104941</v>
      </c>
      <c r="FS66">
        <v>0.2904343889357871</v>
      </c>
      <c r="FT66">
        <v>0</v>
      </c>
      <c r="FU66">
        <v>0.49457133578644702</v>
      </c>
      <c r="FV66">
        <v>-6.054343988009395E-3</v>
      </c>
      <c r="FW66">
        <v>1.062898868616302E-3</v>
      </c>
      <c r="FX66">
        <v>1</v>
      </c>
      <c r="FY66">
        <v>1</v>
      </c>
      <c r="FZ66">
        <v>2</v>
      </c>
      <c r="GA66" t="s">
        <v>460</v>
      </c>
      <c r="GB66">
        <v>3.11768</v>
      </c>
      <c r="GC66">
        <v>2.8652799999999998</v>
      </c>
      <c r="GD66">
        <v>8.2227300000000003E-2</v>
      </c>
      <c r="GE66">
        <v>9.5342999999999997E-2</v>
      </c>
      <c r="GF66">
        <v>0.13075000000000001</v>
      </c>
      <c r="GG66">
        <v>0.11126999999999999</v>
      </c>
      <c r="GH66">
        <v>27758.7</v>
      </c>
      <c r="GI66">
        <v>21221.7</v>
      </c>
      <c r="GJ66">
        <v>29160.400000000001</v>
      </c>
      <c r="GK66">
        <v>21864.5</v>
      </c>
      <c r="GL66">
        <v>33947.199999999997</v>
      </c>
      <c r="GM66">
        <v>26735.1</v>
      </c>
      <c r="GN66">
        <v>40466.5</v>
      </c>
      <c r="GO66">
        <v>31066</v>
      </c>
      <c r="GP66">
        <v>2.0232999999999999</v>
      </c>
      <c r="GQ66">
        <v>1.9004000000000001</v>
      </c>
      <c r="GR66">
        <v>3.8340699999999998E-2</v>
      </c>
      <c r="GS66">
        <v>0</v>
      </c>
      <c r="GT66">
        <v>29.368300000000001</v>
      </c>
      <c r="GU66">
        <v>999.9</v>
      </c>
      <c r="GV66">
        <v>65.099999999999994</v>
      </c>
      <c r="GW66">
        <v>29.2</v>
      </c>
      <c r="GX66">
        <v>26.585699999999999</v>
      </c>
      <c r="GY66">
        <v>61.817500000000003</v>
      </c>
      <c r="GZ66">
        <v>11.4824</v>
      </c>
      <c r="HA66">
        <v>1</v>
      </c>
      <c r="HB66">
        <v>0.25794699999999998</v>
      </c>
      <c r="HC66">
        <v>0.82804999999999995</v>
      </c>
      <c r="HD66">
        <v>20.279</v>
      </c>
      <c r="HE66">
        <v>5.2316700000000003</v>
      </c>
      <c r="HF66">
        <v>11.974</v>
      </c>
      <c r="HG66">
        <v>4.9752000000000001</v>
      </c>
      <c r="HH66">
        <v>3.2839999999999998</v>
      </c>
      <c r="HI66">
        <v>9999</v>
      </c>
      <c r="HJ66">
        <v>9999</v>
      </c>
      <c r="HK66">
        <v>9999</v>
      </c>
      <c r="HL66">
        <v>999.9</v>
      </c>
      <c r="HM66">
        <v>1.86111</v>
      </c>
      <c r="HN66">
        <v>1.8627899999999999</v>
      </c>
      <c r="HO66">
        <v>1.8682700000000001</v>
      </c>
      <c r="HP66">
        <v>1.85873</v>
      </c>
      <c r="HQ66">
        <v>1.8571800000000001</v>
      </c>
      <c r="HR66">
        <v>1.8608199999999999</v>
      </c>
      <c r="HS66">
        <v>1.8647800000000001</v>
      </c>
      <c r="HT66">
        <v>1.8667899999999999</v>
      </c>
      <c r="HU66">
        <v>5</v>
      </c>
      <c r="HV66">
        <v>0</v>
      </c>
      <c r="HW66">
        <v>0</v>
      </c>
      <c r="HX66">
        <v>0</v>
      </c>
      <c r="HY66" t="s">
        <v>422</v>
      </c>
      <c r="HZ66" t="s">
        <v>423</v>
      </c>
      <c r="IA66" t="s">
        <v>424</v>
      </c>
      <c r="IB66" t="s">
        <v>424</v>
      </c>
      <c r="IC66" t="s">
        <v>424</v>
      </c>
      <c r="ID66" t="s">
        <v>424</v>
      </c>
      <c r="IE66">
        <v>0</v>
      </c>
      <c r="IF66">
        <v>100</v>
      </c>
      <c r="IG66">
        <v>100</v>
      </c>
      <c r="IH66">
        <v>2.23</v>
      </c>
      <c r="II66">
        <v>0.88859999999999995</v>
      </c>
      <c r="IJ66">
        <v>2.023513365799865</v>
      </c>
      <c r="IK66">
        <v>1.118558698776514E-3</v>
      </c>
      <c r="IL66">
        <v>-1.6939696309573479E-6</v>
      </c>
      <c r="IM66">
        <v>5.4698917449866148E-10</v>
      </c>
      <c r="IN66">
        <v>-3.010160018700192E-2</v>
      </c>
      <c r="IO66">
        <v>-7.6058941998734366E-3</v>
      </c>
      <c r="IP66">
        <v>1.6984902717538061E-3</v>
      </c>
      <c r="IQ66">
        <v>-9.6352527008986976E-6</v>
      </c>
      <c r="IR66">
        <v>2</v>
      </c>
      <c r="IS66">
        <v>2021</v>
      </c>
      <c r="IT66">
        <v>2</v>
      </c>
      <c r="IU66">
        <v>40</v>
      </c>
      <c r="IV66">
        <v>2</v>
      </c>
      <c r="IW66">
        <v>1.8</v>
      </c>
      <c r="IX66">
        <v>1.02539</v>
      </c>
      <c r="IY66">
        <v>2.49268</v>
      </c>
      <c r="IZ66">
        <v>1.34399</v>
      </c>
      <c r="JA66">
        <v>2.2497600000000002</v>
      </c>
      <c r="JB66">
        <v>1.5918000000000001</v>
      </c>
      <c r="JC66">
        <v>2.4414099999999999</v>
      </c>
      <c r="JD66">
        <v>34.554900000000004</v>
      </c>
      <c r="JE66">
        <v>23.947399999999998</v>
      </c>
      <c r="JF66">
        <v>18</v>
      </c>
      <c r="JG66">
        <v>515.44899999999996</v>
      </c>
      <c r="JH66">
        <v>474.363</v>
      </c>
      <c r="JI66">
        <v>27.6342</v>
      </c>
      <c r="JJ66">
        <v>30.942699999999999</v>
      </c>
      <c r="JK66">
        <v>29.9999</v>
      </c>
      <c r="JL66">
        <v>30.800799999999999</v>
      </c>
      <c r="JM66">
        <v>30.755600000000001</v>
      </c>
      <c r="JN66">
        <v>20.604600000000001</v>
      </c>
      <c r="JO66">
        <v>28.940999999999999</v>
      </c>
      <c r="JP66">
        <v>99.628600000000006</v>
      </c>
      <c r="JQ66">
        <v>27.695900000000002</v>
      </c>
      <c r="JR66">
        <v>400</v>
      </c>
      <c r="JS66">
        <v>21.718499999999999</v>
      </c>
      <c r="JT66">
        <v>99.420699999999997</v>
      </c>
      <c r="JU66">
        <v>98.150599999999997</v>
      </c>
    </row>
    <row r="67" spans="1:281" x14ac:dyDescent="0.25">
      <c r="A67">
        <v>51</v>
      </c>
      <c r="B67">
        <v>1693505796.5999999</v>
      </c>
      <c r="C67">
        <v>10870</v>
      </c>
      <c r="D67" t="s">
        <v>675</v>
      </c>
      <c r="E67" t="s">
        <v>676</v>
      </c>
      <c r="F67" t="s">
        <v>413</v>
      </c>
      <c r="G67" t="s">
        <v>493</v>
      </c>
      <c r="H67" t="s">
        <v>636</v>
      </c>
      <c r="I67" t="s">
        <v>494</v>
      </c>
      <c r="J67">
        <v>1693505796.5999999</v>
      </c>
      <c r="K67">
        <f t="shared" si="46"/>
        <v>6.2090136346825437E-3</v>
      </c>
      <c r="L67">
        <f t="shared" si="47"/>
        <v>6.2090136346825435</v>
      </c>
      <c r="M67">
        <f t="shared" si="48"/>
        <v>49.675816144059326</v>
      </c>
      <c r="N67">
        <f t="shared" si="49"/>
        <v>338.10399999999998</v>
      </c>
      <c r="O67">
        <f t="shared" si="50"/>
        <v>155.18958803499373</v>
      </c>
      <c r="P67">
        <f t="shared" si="51"/>
        <v>15.476579273862724</v>
      </c>
      <c r="Q67">
        <f t="shared" si="52"/>
        <v>33.7180697820408</v>
      </c>
      <c r="R67">
        <f t="shared" si="53"/>
        <v>0.48285038171580841</v>
      </c>
      <c r="S67">
        <f t="shared" si="54"/>
        <v>2.9282491695019566</v>
      </c>
      <c r="T67">
        <f t="shared" si="55"/>
        <v>0.44258319039008809</v>
      </c>
      <c r="U67">
        <f t="shared" si="56"/>
        <v>0.27995196715752096</v>
      </c>
      <c r="V67">
        <f t="shared" si="57"/>
        <v>344.38139964451187</v>
      </c>
      <c r="W67">
        <f t="shared" si="58"/>
        <v>31.128128385095732</v>
      </c>
      <c r="X67">
        <f t="shared" si="59"/>
        <v>29.937899999999999</v>
      </c>
      <c r="Y67">
        <f t="shared" si="60"/>
        <v>4.245276462788663</v>
      </c>
      <c r="Z67">
        <f t="shared" si="61"/>
        <v>65.260584316737308</v>
      </c>
      <c r="AA67">
        <f t="shared" si="62"/>
        <v>2.8962990619187101</v>
      </c>
      <c r="AB67">
        <f t="shared" si="63"/>
        <v>4.4380526044047377</v>
      </c>
      <c r="AC67">
        <f t="shared" si="64"/>
        <v>1.3489774008699529</v>
      </c>
      <c r="AD67">
        <f t="shared" si="65"/>
        <v>-273.81750128950017</v>
      </c>
      <c r="AE67">
        <f t="shared" si="66"/>
        <v>122.3475211502972</v>
      </c>
      <c r="AF67">
        <f t="shared" si="67"/>
        <v>9.3202035951741333</v>
      </c>
      <c r="AG67">
        <f t="shared" si="68"/>
        <v>202.23162310048303</v>
      </c>
      <c r="AH67">
        <v>0</v>
      </c>
      <c r="AI67">
        <v>0</v>
      </c>
      <c r="AJ67">
        <f t="shared" si="69"/>
        <v>1</v>
      </c>
      <c r="AK67">
        <f t="shared" si="70"/>
        <v>0</v>
      </c>
      <c r="AL67">
        <f t="shared" si="71"/>
        <v>52185.58729221789</v>
      </c>
      <c r="AM67" t="s">
        <v>416</v>
      </c>
      <c r="AN67">
        <v>10366.9</v>
      </c>
      <c r="AO67">
        <v>993.59653846153856</v>
      </c>
      <c r="AP67">
        <v>3431.87</v>
      </c>
      <c r="AQ67">
        <f t="shared" si="72"/>
        <v>0.71047955241266758</v>
      </c>
      <c r="AR67">
        <v>-3.9894345373445681</v>
      </c>
      <c r="AS67" t="s">
        <v>677</v>
      </c>
      <c r="AT67">
        <v>10392.700000000001</v>
      </c>
      <c r="AU67">
        <v>795.9963076923076</v>
      </c>
      <c r="AV67">
        <v>1181.248565243339</v>
      </c>
      <c r="AW67">
        <f t="shared" si="73"/>
        <v>0.32613987342424322</v>
      </c>
      <c r="AX67">
        <v>0.5</v>
      </c>
      <c r="AY67">
        <f t="shared" si="74"/>
        <v>1513.2353998222557</v>
      </c>
      <c r="AZ67">
        <f t="shared" si="75"/>
        <v>49.675816144059326</v>
      </c>
      <c r="BA67">
        <f t="shared" si="76"/>
        <v>246.76320087955727</v>
      </c>
      <c r="BB67">
        <f t="shared" si="77"/>
        <v>3.5463914396733909E-2</v>
      </c>
      <c r="BC67">
        <f t="shared" si="78"/>
        <v>1.9052903012779783</v>
      </c>
      <c r="BD67">
        <f t="shared" si="79"/>
        <v>640.36053786539446</v>
      </c>
      <c r="BE67" t="s">
        <v>678</v>
      </c>
      <c r="BF67">
        <v>608.91999999999996</v>
      </c>
      <c r="BG67">
        <f t="shared" si="80"/>
        <v>608.91999999999996</v>
      </c>
      <c r="BH67">
        <f t="shared" si="81"/>
        <v>0.48451154319534651</v>
      </c>
      <c r="BI67">
        <f t="shared" si="82"/>
        <v>0.67313127624030489</v>
      </c>
      <c r="BJ67">
        <f t="shared" si="83"/>
        <v>0.79725869560447804</v>
      </c>
      <c r="BK67">
        <f t="shared" si="84"/>
        <v>2.0530141035939788</v>
      </c>
      <c r="BL67">
        <f t="shared" si="85"/>
        <v>0.92303897419963765</v>
      </c>
      <c r="BM67">
        <f t="shared" si="86"/>
        <v>0.51493090202459424</v>
      </c>
      <c r="BN67">
        <f t="shared" si="87"/>
        <v>0.48506909797540576</v>
      </c>
      <c r="BO67">
        <v>2249</v>
      </c>
      <c r="BP67">
        <v>290.00000000000011</v>
      </c>
      <c r="BQ67">
        <v>1068.25</v>
      </c>
      <c r="BR67">
        <v>205</v>
      </c>
      <c r="BS67">
        <v>10392.700000000001</v>
      </c>
      <c r="BT67">
        <v>1065.3599999999999</v>
      </c>
      <c r="BU67">
        <v>2.89</v>
      </c>
      <c r="BV67">
        <v>300.00000000000011</v>
      </c>
      <c r="BW67">
        <v>38.299999999999997</v>
      </c>
      <c r="BX67">
        <v>1181.248565243339</v>
      </c>
      <c r="BY67">
        <v>1.402887428291381</v>
      </c>
      <c r="BZ67">
        <v>-120.43560715978811</v>
      </c>
      <c r="CA67">
        <v>1.1933109226402929</v>
      </c>
      <c r="CB67">
        <v>0.99725865771231503</v>
      </c>
      <c r="CC67">
        <v>-1.130856529477197E-2</v>
      </c>
      <c r="CD67">
        <v>289.99999999999989</v>
      </c>
      <c r="CE67">
        <v>1049.79</v>
      </c>
      <c r="CF67">
        <v>665</v>
      </c>
      <c r="CG67">
        <v>10372.1</v>
      </c>
      <c r="CH67">
        <v>1065.1300000000001</v>
      </c>
      <c r="CI67">
        <v>-15.34</v>
      </c>
      <c r="CW67">
        <f t="shared" si="88"/>
        <v>1800.06</v>
      </c>
      <c r="CX67">
        <f t="shared" si="89"/>
        <v>1513.2353998222557</v>
      </c>
      <c r="CY67">
        <f t="shared" si="90"/>
        <v>0.84065831129087687</v>
      </c>
      <c r="CZ67">
        <f t="shared" si="91"/>
        <v>0.19131662258175389</v>
      </c>
      <c r="DA67">
        <v>6</v>
      </c>
      <c r="DB67">
        <v>0.5</v>
      </c>
      <c r="DC67" t="s">
        <v>419</v>
      </c>
      <c r="DD67">
        <v>2</v>
      </c>
      <c r="DE67">
        <v>1693505796.5999999</v>
      </c>
      <c r="DF67">
        <v>338.10399999999998</v>
      </c>
      <c r="DG67">
        <v>400.21499999999997</v>
      </c>
      <c r="DH67">
        <v>29.042300000000001</v>
      </c>
      <c r="DI67">
        <v>21.810099999999998</v>
      </c>
      <c r="DJ67">
        <v>335.91500000000002</v>
      </c>
      <c r="DK67">
        <v>28.154299999999999</v>
      </c>
      <c r="DL67">
        <v>500.154</v>
      </c>
      <c r="DM67">
        <v>99.626999999999995</v>
      </c>
      <c r="DN67">
        <v>9.9917699999999998E-2</v>
      </c>
      <c r="DO67">
        <v>30.712900000000001</v>
      </c>
      <c r="DP67">
        <v>29.937899999999999</v>
      </c>
      <c r="DQ67">
        <v>999.9</v>
      </c>
      <c r="DR67">
        <v>0</v>
      </c>
      <c r="DS67">
        <v>0</v>
      </c>
      <c r="DT67">
        <v>10030</v>
      </c>
      <c r="DU67">
        <v>0</v>
      </c>
      <c r="DV67">
        <v>174.46799999999999</v>
      </c>
      <c r="DW67">
        <v>-62.1111</v>
      </c>
      <c r="DX67">
        <v>348.21699999999998</v>
      </c>
      <c r="DY67">
        <v>409.13900000000001</v>
      </c>
      <c r="DZ67">
        <v>7.23224</v>
      </c>
      <c r="EA67">
        <v>400.21499999999997</v>
      </c>
      <c r="EB67">
        <v>21.810099999999998</v>
      </c>
      <c r="EC67">
        <v>2.8934000000000002</v>
      </c>
      <c r="ED67">
        <v>2.1728700000000001</v>
      </c>
      <c r="EE67">
        <v>23.4268</v>
      </c>
      <c r="EF67">
        <v>18.7637</v>
      </c>
      <c r="EG67">
        <v>1800.06</v>
      </c>
      <c r="EH67">
        <v>0.97799499999999995</v>
      </c>
      <c r="EI67">
        <v>2.2004900000000001E-2</v>
      </c>
      <c r="EJ67">
        <v>0</v>
      </c>
      <c r="EK67">
        <v>798.67899999999997</v>
      </c>
      <c r="EL67">
        <v>5.0002700000000004</v>
      </c>
      <c r="EM67">
        <v>15113.4</v>
      </c>
      <c r="EN67">
        <v>16249.1</v>
      </c>
      <c r="EO67">
        <v>46.061999999999998</v>
      </c>
      <c r="EP67">
        <v>48.186999999999998</v>
      </c>
      <c r="EQ67">
        <v>47.25</v>
      </c>
      <c r="ER67">
        <v>46.811999999999998</v>
      </c>
      <c r="ES67">
        <v>47.875</v>
      </c>
      <c r="ET67">
        <v>1755.56</v>
      </c>
      <c r="EU67">
        <v>39.5</v>
      </c>
      <c r="EV67">
        <v>0</v>
      </c>
      <c r="EW67">
        <v>166.4000000953674</v>
      </c>
      <c r="EX67">
        <v>0</v>
      </c>
      <c r="EY67">
        <v>795.9963076923076</v>
      </c>
      <c r="EZ67">
        <v>20.929572631617042</v>
      </c>
      <c r="FA67">
        <v>386.90940129071589</v>
      </c>
      <c r="FB67">
        <v>15067.396153846161</v>
      </c>
      <c r="FC67">
        <v>15</v>
      </c>
      <c r="FD67">
        <v>1693505703.0999999</v>
      </c>
      <c r="FE67" t="s">
        <v>679</v>
      </c>
      <c r="FF67">
        <v>1693505692.0999999</v>
      </c>
      <c r="FG67">
        <v>1693505703.0999999</v>
      </c>
      <c r="FH67">
        <v>57</v>
      </c>
      <c r="FI67">
        <v>-3.9E-2</v>
      </c>
      <c r="FJ67">
        <v>1E-3</v>
      </c>
      <c r="FK67">
        <v>2.1960000000000002</v>
      </c>
      <c r="FL67">
        <v>0.48099999999999998</v>
      </c>
      <c r="FM67">
        <v>400</v>
      </c>
      <c r="FN67">
        <v>22</v>
      </c>
      <c r="FO67">
        <v>0.1</v>
      </c>
      <c r="FP67">
        <v>0.05</v>
      </c>
      <c r="FQ67">
        <v>49.34399364393748</v>
      </c>
      <c r="FR67">
        <v>0.69376831277547979</v>
      </c>
      <c r="FS67">
        <v>9.9512720464271939E-2</v>
      </c>
      <c r="FT67">
        <v>1</v>
      </c>
      <c r="FU67">
        <v>0.48358018012157139</v>
      </c>
      <c r="FV67">
        <v>3.3912688528999239E-4</v>
      </c>
      <c r="FW67">
        <v>8.2985811306958098E-4</v>
      </c>
      <c r="FX67">
        <v>1</v>
      </c>
      <c r="FY67">
        <v>2</v>
      </c>
      <c r="FZ67">
        <v>2</v>
      </c>
      <c r="GA67" t="s">
        <v>421</v>
      </c>
      <c r="GB67">
        <v>3.1180300000000001</v>
      </c>
      <c r="GC67">
        <v>2.8653400000000002</v>
      </c>
      <c r="GD67">
        <v>8.1034900000000007E-2</v>
      </c>
      <c r="GE67">
        <v>9.5409400000000005E-2</v>
      </c>
      <c r="GF67">
        <v>0.13067100000000001</v>
      </c>
      <c r="GG67">
        <v>0.11192199999999999</v>
      </c>
      <c r="GH67">
        <v>27795.599999999999</v>
      </c>
      <c r="GI67">
        <v>21223.4</v>
      </c>
      <c r="GJ67">
        <v>29161.1</v>
      </c>
      <c r="GK67">
        <v>21867.8</v>
      </c>
      <c r="GL67">
        <v>33950.199999999997</v>
      </c>
      <c r="GM67">
        <v>26718.9</v>
      </c>
      <c r="GN67">
        <v>40466.9</v>
      </c>
      <c r="GO67">
        <v>31070</v>
      </c>
      <c r="GP67">
        <v>2.0243000000000002</v>
      </c>
      <c r="GQ67">
        <v>1.8995</v>
      </c>
      <c r="GR67">
        <v>3.8117199999999997E-2</v>
      </c>
      <c r="GS67">
        <v>0</v>
      </c>
      <c r="GT67">
        <v>29.3172</v>
      </c>
      <c r="GU67">
        <v>999.9</v>
      </c>
      <c r="GV67">
        <v>64.900000000000006</v>
      </c>
      <c r="GW67">
        <v>29.3</v>
      </c>
      <c r="GX67">
        <v>26.655899999999999</v>
      </c>
      <c r="GY67">
        <v>61.667499999999997</v>
      </c>
      <c r="GZ67">
        <v>11.991199999999999</v>
      </c>
      <c r="HA67">
        <v>1</v>
      </c>
      <c r="HB67">
        <v>0.25517299999999998</v>
      </c>
      <c r="HC67">
        <v>0.70740700000000001</v>
      </c>
      <c r="HD67">
        <v>20.279399999999999</v>
      </c>
      <c r="HE67">
        <v>5.2352600000000002</v>
      </c>
      <c r="HF67">
        <v>11.974</v>
      </c>
      <c r="HG67">
        <v>4.9753999999999996</v>
      </c>
      <c r="HH67">
        <v>3.2839999999999998</v>
      </c>
      <c r="HI67">
        <v>9999</v>
      </c>
      <c r="HJ67">
        <v>9999</v>
      </c>
      <c r="HK67">
        <v>9999</v>
      </c>
      <c r="HL67">
        <v>999.9</v>
      </c>
      <c r="HM67">
        <v>1.86111</v>
      </c>
      <c r="HN67">
        <v>1.8627899999999999</v>
      </c>
      <c r="HO67">
        <v>1.86829</v>
      </c>
      <c r="HP67">
        <v>1.8587800000000001</v>
      </c>
      <c r="HQ67">
        <v>1.8571800000000001</v>
      </c>
      <c r="HR67">
        <v>1.8608899999999999</v>
      </c>
      <c r="HS67">
        <v>1.8647800000000001</v>
      </c>
      <c r="HT67">
        <v>1.8668199999999999</v>
      </c>
      <c r="HU67">
        <v>5</v>
      </c>
      <c r="HV67">
        <v>0</v>
      </c>
      <c r="HW67">
        <v>0</v>
      </c>
      <c r="HX67">
        <v>0</v>
      </c>
      <c r="HY67" t="s">
        <v>422</v>
      </c>
      <c r="HZ67" t="s">
        <v>423</v>
      </c>
      <c r="IA67" t="s">
        <v>424</v>
      </c>
      <c r="IB67" t="s">
        <v>424</v>
      </c>
      <c r="IC67" t="s">
        <v>424</v>
      </c>
      <c r="ID67" t="s">
        <v>424</v>
      </c>
      <c r="IE67">
        <v>0</v>
      </c>
      <c r="IF67">
        <v>100</v>
      </c>
      <c r="IG67">
        <v>100</v>
      </c>
      <c r="IH67">
        <v>2.1890000000000001</v>
      </c>
      <c r="II67">
        <v>0.88800000000000001</v>
      </c>
      <c r="IJ67">
        <v>1.984519875389297</v>
      </c>
      <c r="IK67">
        <v>1.118558698776514E-3</v>
      </c>
      <c r="IL67">
        <v>-1.6939696309573479E-6</v>
      </c>
      <c r="IM67">
        <v>5.4698917449866148E-10</v>
      </c>
      <c r="IN67">
        <v>-2.908919874154603E-2</v>
      </c>
      <c r="IO67">
        <v>-7.6058941998734366E-3</v>
      </c>
      <c r="IP67">
        <v>1.6984902717538061E-3</v>
      </c>
      <c r="IQ67">
        <v>-9.6352527008986976E-6</v>
      </c>
      <c r="IR67">
        <v>2</v>
      </c>
      <c r="IS67">
        <v>2021</v>
      </c>
      <c r="IT67">
        <v>2</v>
      </c>
      <c r="IU67">
        <v>40</v>
      </c>
      <c r="IV67">
        <v>1.7</v>
      </c>
      <c r="IW67">
        <v>1.6</v>
      </c>
      <c r="IX67">
        <v>1.02539</v>
      </c>
      <c r="IY67">
        <v>2.49146</v>
      </c>
      <c r="IZ67">
        <v>1.34399</v>
      </c>
      <c r="JA67">
        <v>2.2497600000000002</v>
      </c>
      <c r="JB67">
        <v>1.5918000000000001</v>
      </c>
      <c r="JC67">
        <v>2.2851599999999999</v>
      </c>
      <c r="JD67">
        <v>34.921399999999998</v>
      </c>
      <c r="JE67">
        <v>23.938700000000001</v>
      </c>
      <c r="JF67">
        <v>18</v>
      </c>
      <c r="JG67">
        <v>516.03399999999999</v>
      </c>
      <c r="JH67">
        <v>473.74400000000003</v>
      </c>
      <c r="JI67">
        <v>27.862400000000001</v>
      </c>
      <c r="JJ67">
        <v>30.907599999999999</v>
      </c>
      <c r="JK67">
        <v>30.000399999999999</v>
      </c>
      <c r="JL67">
        <v>30.7928</v>
      </c>
      <c r="JM67">
        <v>30.755600000000001</v>
      </c>
      <c r="JN67">
        <v>20.590199999999999</v>
      </c>
      <c r="JO67">
        <v>28.8171</v>
      </c>
      <c r="JP67">
        <v>100</v>
      </c>
      <c r="JQ67">
        <v>27.8932</v>
      </c>
      <c r="JR67">
        <v>400</v>
      </c>
      <c r="JS67">
        <v>21.723099999999999</v>
      </c>
      <c r="JT67">
        <v>99.422300000000007</v>
      </c>
      <c r="JU67">
        <v>98.164100000000005</v>
      </c>
    </row>
    <row r="68" spans="1:281" x14ac:dyDescent="0.25">
      <c r="A68">
        <v>52</v>
      </c>
      <c r="B68">
        <v>1693505902.0999999</v>
      </c>
      <c r="C68">
        <v>10975.5</v>
      </c>
      <c r="D68" t="s">
        <v>680</v>
      </c>
      <c r="E68" t="s">
        <v>681</v>
      </c>
      <c r="F68" t="s">
        <v>413</v>
      </c>
      <c r="G68" t="s">
        <v>493</v>
      </c>
      <c r="H68" t="s">
        <v>636</v>
      </c>
      <c r="I68" t="s">
        <v>494</v>
      </c>
      <c r="J68">
        <v>1693505902.0999999</v>
      </c>
      <c r="K68">
        <f t="shared" si="46"/>
        <v>6.2889490299747712E-3</v>
      </c>
      <c r="L68">
        <f t="shared" si="47"/>
        <v>6.2889490299747708</v>
      </c>
      <c r="M68">
        <f t="shared" si="48"/>
        <v>52.228024557391464</v>
      </c>
      <c r="N68">
        <f t="shared" si="49"/>
        <v>433.94900000000001</v>
      </c>
      <c r="O68">
        <f t="shared" si="50"/>
        <v>241.44505510830209</v>
      </c>
      <c r="P68">
        <f t="shared" si="51"/>
        <v>24.077441732323326</v>
      </c>
      <c r="Q68">
        <f t="shared" si="52"/>
        <v>43.274366325759999</v>
      </c>
      <c r="R68">
        <f t="shared" si="53"/>
        <v>0.48746654965129604</v>
      </c>
      <c r="S68">
        <f t="shared" si="54"/>
        <v>2.9150137367674551</v>
      </c>
      <c r="T68">
        <f t="shared" si="55"/>
        <v>0.4462913907753579</v>
      </c>
      <c r="U68">
        <f t="shared" si="56"/>
        <v>0.28234114361568874</v>
      </c>
      <c r="V68">
        <f t="shared" si="57"/>
        <v>344.3655996445861</v>
      </c>
      <c r="W68">
        <f t="shared" si="58"/>
        <v>31.193231338395883</v>
      </c>
      <c r="X68">
        <f t="shared" si="59"/>
        <v>30.021000000000001</v>
      </c>
      <c r="Y68">
        <f t="shared" si="60"/>
        <v>4.2655915259724431</v>
      </c>
      <c r="Z68">
        <f t="shared" si="61"/>
        <v>65.274779506479035</v>
      </c>
      <c r="AA68">
        <f t="shared" si="62"/>
        <v>2.9109121300480001</v>
      </c>
      <c r="AB68">
        <f t="shared" si="63"/>
        <v>4.4594744739950736</v>
      </c>
      <c r="AC68">
        <f t="shared" si="64"/>
        <v>1.354679395924443</v>
      </c>
      <c r="AD68">
        <f t="shared" si="65"/>
        <v>-277.34265222188742</v>
      </c>
      <c r="AE68">
        <f t="shared" si="66"/>
        <v>121.98310601156227</v>
      </c>
      <c r="AF68">
        <f t="shared" si="67"/>
        <v>9.3423644828599191</v>
      </c>
      <c r="AG68">
        <f t="shared" si="68"/>
        <v>198.34841791712086</v>
      </c>
      <c r="AH68">
        <v>0</v>
      </c>
      <c r="AI68">
        <v>0</v>
      </c>
      <c r="AJ68">
        <f t="shared" si="69"/>
        <v>1</v>
      </c>
      <c r="AK68">
        <f t="shared" si="70"/>
        <v>0</v>
      </c>
      <c r="AL68">
        <f t="shared" si="71"/>
        <v>51794.210640386336</v>
      </c>
      <c r="AM68" t="s">
        <v>416</v>
      </c>
      <c r="AN68">
        <v>10366.9</v>
      </c>
      <c r="AO68">
        <v>993.59653846153856</v>
      </c>
      <c r="AP68">
        <v>3431.87</v>
      </c>
      <c r="AQ68">
        <f t="shared" si="72"/>
        <v>0.71047955241266758</v>
      </c>
      <c r="AR68">
        <v>-3.9894345373445681</v>
      </c>
      <c r="AS68" t="s">
        <v>682</v>
      </c>
      <c r="AT68">
        <v>10404</v>
      </c>
      <c r="AU68">
        <v>826.91000000000008</v>
      </c>
      <c r="AV68">
        <v>1249.5464634624809</v>
      </c>
      <c r="AW68">
        <f t="shared" si="73"/>
        <v>0.33823189118663055</v>
      </c>
      <c r="AX68">
        <v>0.5</v>
      </c>
      <c r="AY68">
        <f t="shared" si="74"/>
        <v>1513.1678998222928</v>
      </c>
      <c r="AZ68">
        <f t="shared" si="75"/>
        <v>52.228024557391464</v>
      </c>
      <c r="BA68">
        <f t="shared" si="76"/>
        <v>255.90082021989801</v>
      </c>
      <c r="BB68">
        <f t="shared" si="77"/>
        <v>3.7152162097370843E-2</v>
      </c>
      <c r="BC68">
        <f t="shared" si="78"/>
        <v>1.7464925077618338</v>
      </c>
      <c r="BD68">
        <f t="shared" si="79"/>
        <v>659.9140869197505</v>
      </c>
      <c r="BE68" t="s">
        <v>683</v>
      </c>
      <c r="BF68">
        <v>624.57000000000005</v>
      </c>
      <c r="BG68">
        <f t="shared" si="80"/>
        <v>624.57000000000005</v>
      </c>
      <c r="BH68">
        <f t="shared" si="81"/>
        <v>0.50016264439713365</v>
      </c>
      <c r="BI68">
        <f t="shared" si="82"/>
        <v>0.67624380784037785</v>
      </c>
      <c r="BJ68">
        <f t="shared" si="83"/>
        <v>0.777374536578748</v>
      </c>
      <c r="BK68">
        <f t="shared" si="84"/>
        <v>1.6512466782747632</v>
      </c>
      <c r="BL68">
        <f t="shared" si="85"/>
        <v>0.89502821195476268</v>
      </c>
      <c r="BM68">
        <f t="shared" si="86"/>
        <v>0.51077093645362226</v>
      </c>
      <c r="BN68">
        <f t="shared" si="87"/>
        <v>0.48922906354637774</v>
      </c>
      <c r="BO68">
        <v>2251</v>
      </c>
      <c r="BP68">
        <v>290.00000000000011</v>
      </c>
      <c r="BQ68">
        <v>1129.42</v>
      </c>
      <c r="BR68">
        <v>135</v>
      </c>
      <c r="BS68">
        <v>10404</v>
      </c>
      <c r="BT68">
        <v>1125.8800000000001</v>
      </c>
      <c r="BU68">
        <v>3.54</v>
      </c>
      <c r="BV68">
        <v>300.00000000000011</v>
      </c>
      <c r="BW68">
        <v>38.4</v>
      </c>
      <c r="BX68">
        <v>1249.5464634624809</v>
      </c>
      <c r="BY68">
        <v>1.4979804534513019</v>
      </c>
      <c r="BZ68">
        <v>-128.6602859994604</v>
      </c>
      <c r="CA68">
        <v>1.27411552401354</v>
      </c>
      <c r="CB68">
        <v>0.9972616073479601</v>
      </c>
      <c r="CC68">
        <v>-1.1308550611790889E-2</v>
      </c>
      <c r="CD68">
        <v>289.99999999999989</v>
      </c>
      <c r="CE68">
        <v>1111.24</v>
      </c>
      <c r="CF68">
        <v>635</v>
      </c>
      <c r="CG68">
        <v>10374.5</v>
      </c>
      <c r="CH68">
        <v>1125.53</v>
      </c>
      <c r="CI68">
        <v>-14.29</v>
      </c>
      <c r="CW68">
        <f t="shared" si="88"/>
        <v>1799.98</v>
      </c>
      <c r="CX68">
        <f t="shared" si="89"/>
        <v>1513.1678998222928</v>
      </c>
      <c r="CY68">
        <f t="shared" si="90"/>
        <v>0.84065817388098363</v>
      </c>
      <c r="CZ68">
        <f t="shared" si="91"/>
        <v>0.1913163477619674</v>
      </c>
      <c r="DA68">
        <v>6</v>
      </c>
      <c r="DB68">
        <v>0.5</v>
      </c>
      <c r="DC68" t="s">
        <v>419</v>
      </c>
      <c r="DD68">
        <v>2</v>
      </c>
      <c r="DE68">
        <v>1693505902.0999999</v>
      </c>
      <c r="DF68">
        <v>433.94900000000001</v>
      </c>
      <c r="DG68">
        <v>499.916</v>
      </c>
      <c r="DH68">
        <v>29.190200000000001</v>
      </c>
      <c r="DI68">
        <v>21.861699999999999</v>
      </c>
      <c r="DJ68">
        <v>431.60599999999999</v>
      </c>
      <c r="DK68">
        <v>28.295200000000001</v>
      </c>
      <c r="DL68">
        <v>499.86</v>
      </c>
      <c r="DM68">
        <v>99.622</v>
      </c>
      <c r="DN68">
        <v>0.10024</v>
      </c>
      <c r="DO68">
        <v>30.7972</v>
      </c>
      <c r="DP68">
        <v>30.021000000000001</v>
      </c>
      <c r="DQ68">
        <v>999.9</v>
      </c>
      <c r="DR68">
        <v>0</v>
      </c>
      <c r="DS68">
        <v>0</v>
      </c>
      <c r="DT68">
        <v>9955</v>
      </c>
      <c r="DU68">
        <v>0</v>
      </c>
      <c r="DV68">
        <v>184.11799999999999</v>
      </c>
      <c r="DW68">
        <v>-65.967200000000005</v>
      </c>
      <c r="DX68">
        <v>446.99700000000001</v>
      </c>
      <c r="DY68">
        <v>511.09</v>
      </c>
      <c r="DZ68">
        <v>7.3285600000000004</v>
      </c>
      <c r="EA68">
        <v>499.916</v>
      </c>
      <c r="EB68">
        <v>21.861699999999999</v>
      </c>
      <c r="EC68">
        <v>2.9079899999999999</v>
      </c>
      <c r="ED68">
        <v>2.1779099999999998</v>
      </c>
      <c r="EE68">
        <v>23.510300000000001</v>
      </c>
      <c r="EF68">
        <v>18.800699999999999</v>
      </c>
      <c r="EG68">
        <v>1799.98</v>
      </c>
      <c r="EH68">
        <v>0.97799899999999995</v>
      </c>
      <c r="EI68">
        <v>2.2001199999999999E-2</v>
      </c>
      <c r="EJ68">
        <v>0</v>
      </c>
      <c r="EK68">
        <v>827.84699999999998</v>
      </c>
      <c r="EL68">
        <v>5.0002700000000004</v>
      </c>
      <c r="EM68">
        <v>15647.4</v>
      </c>
      <c r="EN68">
        <v>16248.4</v>
      </c>
      <c r="EO68">
        <v>46.125</v>
      </c>
      <c r="EP68">
        <v>48.125</v>
      </c>
      <c r="EQ68">
        <v>47.311999999999998</v>
      </c>
      <c r="ER68">
        <v>47</v>
      </c>
      <c r="ES68">
        <v>47.936999999999998</v>
      </c>
      <c r="ET68">
        <v>1755.49</v>
      </c>
      <c r="EU68">
        <v>39.49</v>
      </c>
      <c r="EV68">
        <v>0</v>
      </c>
      <c r="EW68">
        <v>103.4000000953674</v>
      </c>
      <c r="EX68">
        <v>0</v>
      </c>
      <c r="EY68">
        <v>826.91000000000008</v>
      </c>
      <c r="EZ68">
        <v>7.3975384563415476</v>
      </c>
      <c r="FA68">
        <v>128.97777765235179</v>
      </c>
      <c r="FB68">
        <v>15632.446153846149</v>
      </c>
      <c r="FC68">
        <v>15</v>
      </c>
      <c r="FD68">
        <v>1693505874.0999999</v>
      </c>
      <c r="FE68" t="s">
        <v>684</v>
      </c>
      <c r="FF68">
        <v>1693505874.0999999</v>
      </c>
      <c r="FG68">
        <v>1693505868.0999999</v>
      </c>
      <c r="FH68">
        <v>58</v>
      </c>
      <c r="FI68">
        <v>0.14799999999999999</v>
      </c>
      <c r="FJ68">
        <v>-2E-3</v>
      </c>
      <c r="FK68">
        <v>2.3370000000000002</v>
      </c>
      <c r="FL68">
        <v>0.48099999999999998</v>
      </c>
      <c r="FM68">
        <v>500</v>
      </c>
      <c r="FN68">
        <v>22</v>
      </c>
      <c r="FO68">
        <v>0.1</v>
      </c>
      <c r="FP68">
        <v>0.04</v>
      </c>
      <c r="FQ68">
        <v>52.384774004676771</v>
      </c>
      <c r="FR68">
        <v>7.7575853465981573E-2</v>
      </c>
      <c r="FS68">
        <v>0.1048115500618112</v>
      </c>
      <c r="FT68">
        <v>1</v>
      </c>
      <c r="FU68">
        <v>0.49105993063014908</v>
      </c>
      <c r="FV68">
        <v>3.1933141633864057E-2</v>
      </c>
      <c r="FW68">
        <v>5.6194294390113234E-3</v>
      </c>
      <c r="FX68">
        <v>1</v>
      </c>
      <c r="FY68">
        <v>2</v>
      </c>
      <c r="FZ68">
        <v>2</v>
      </c>
      <c r="GA68" t="s">
        <v>421</v>
      </c>
      <c r="GB68">
        <v>3.1177000000000001</v>
      </c>
      <c r="GC68">
        <v>2.8650000000000002</v>
      </c>
      <c r="GD68">
        <v>9.8538799999999996E-2</v>
      </c>
      <c r="GE68">
        <v>0.112732</v>
      </c>
      <c r="GF68">
        <v>0.13111</v>
      </c>
      <c r="GG68">
        <v>0.112092</v>
      </c>
      <c r="GH68">
        <v>27261.200000000001</v>
      </c>
      <c r="GI68">
        <v>20815.599999999999</v>
      </c>
      <c r="GJ68">
        <v>29156.1</v>
      </c>
      <c r="GK68">
        <v>21866.5</v>
      </c>
      <c r="GL68">
        <v>33929</v>
      </c>
      <c r="GM68">
        <v>26714.1</v>
      </c>
      <c r="GN68">
        <v>40460.1</v>
      </c>
      <c r="GO68">
        <v>31068.7</v>
      </c>
      <c r="GP68">
        <v>2.0230999999999999</v>
      </c>
      <c r="GQ68">
        <v>1.8991</v>
      </c>
      <c r="GR68">
        <v>4.6282999999999998E-2</v>
      </c>
      <c r="GS68">
        <v>0</v>
      </c>
      <c r="GT68">
        <v>29.267299999999999</v>
      </c>
      <c r="GU68">
        <v>999.9</v>
      </c>
      <c r="GV68">
        <v>64.7</v>
      </c>
      <c r="GW68">
        <v>29.4</v>
      </c>
      <c r="GX68">
        <v>26.731000000000002</v>
      </c>
      <c r="GY68">
        <v>61.747500000000002</v>
      </c>
      <c r="GZ68">
        <v>11.774800000000001</v>
      </c>
      <c r="HA68">
        <v>1</v>
      </c>
      <c r="HB68">
        <v>0.259654</v>
      </c>
      <c r="HC68">
        <v>1.0144299999999999</v>
      </c>
      <c r="HD68">
        <v>20.277799999999999</v>
      </c>
      <c r="HE68">
        <v>5.2346599999999999</v>
      </c>
      <c r="HF68">
        <v>11.974</v>
      </c>
      <c r="HG68">
        <v>4.9757999999999996</v>
      </c>
      <c r="HH68">
        <v>3.2839999999999998</v>
      </c>
      <c r="HI68">
        <v>9999</v>
      </c>
      <c r="HJ68">
        <v>9999</v>
      </c>
      <c r="HK68">
        <v>9999</v>
      </c>
      <c r="HL68">
        <v>999.9</v>
      </c>
      <c r="HM68">
        <v>1.8611899999999999</v>
      </c>
      <c r="HN68">
        <v>1.8628100000000001</v>
      </c>
      <c r="HO68">
        <v>1.86829</v>
      </c>
      <c r="HP68">
        <v>1.85877</v>
      </c>
      <c r="HQ68">
        <v>1.8572500000000001</v>
      </c>
      <c r="HR68">
        <v>1.8608899999999999</v>
      </c>
      <c r="HS68">
        <v>1.8647800000000001</v>
      </c>
      <c r="HT68">
        <v>1.8668800000000001</v>
      </c>
      <c r="HU68">
        <v>5</v>
      </c>
      <c r="HV68">
        <v>0</v>
      </c>
      <c r="HW68">
        <v>0</v>
      </c>
      <c r="HX68">
        <v>0</v>
      </c>
      <c r="HY68" t="s">
        <v>422</v>
      </c>
      <c r="HZ68" t="s">
        <v>423</v>
      </c>
      <c r="IA68" t="s">
        <v>424</v>
      </c>
      <c r="IB68" t="s">
        <v>424</v>
      </c>
      <c r="IC68" t="s">
        <v>424</v>
      </c>
      <c r="ID68" t="s">
        <v>424</v>
      </c>
      <c r="IE68">
        <v>0</v>
      </c>
      <c r="IF68">
        <v>100</v>
      </c>
      <c r="IG68">
        <v>100</v>
      </c>
      <c r="IH68">
        <v>2.343</v>
      </c>
      <c r="II68">
        <v>0.89500000000000002</v>
      </c>
      <c r="IJ68">
        <v>2.1323709357632601</v>
      </c>
      <c r="IK68">
        <v>1.118558698776514E-3</v>
      </c>
      <c r="IL68">
        <v>-1.6939696309573479E-6</v>
      </c>
      <c r="IM68">
        <v>5.4698917449866148E-10</v>
      </c>
      <c r="IN68">
        <v>-3.1325507016347398E-2</v>
      </c>
      <c r="IO68">
        <v>-7.6058941998734366E-3</v>
      </c>
      <c r="IP68">
        <v>1.6984902717538061E-3</v>
      </c>
      <c r="IQ68">
        <v>-9.6352527008986976E-6</v>
      </c>
      <c r="IR68">
        <v>2</v>
      </c>
      <c r="IS68">
        <v>2021</v>
      </c>
      <c r="IT68">
        <v>2</v>
      </c>
      <c r="IU68">
        <v>40</v>
      </c>
      <c r="IV68">
        <v>0.5</v>
      </c>
      <c r="IW68">
        <v>0.6</v>
      </c>
      <c r="IX68">
        <v>1.22559</v>
      </c>
      <c r="IY68">
        <v>2.4853499999999999</v>
      </c>
      <c r="IZ68">
        <v>1.34399</v>
      </c>
      <c r="JA68">
        <v>2.2497600000000002</v>
      </c>
      <c r="JB68">
        <v>1.5918000000000001</v>
      </c>
      <c r="JC68">
        <v>2.2692899999999998</v>
      </c>
      <c r="JD68">
        <v>35.082500000000003</v>
      </c>
      <c r="JE68">
        <v>23.938700000000001</v>
      </c>
      <c r="JF68">
        <v>18</v>
      </c>
      <c r="JG68">
        <v>515.62900000000002</v>
      </c>
      <c r="JH68">
        <v>473.798</v>
      </c>
      <c r="JI68">
        <v>28.0808</v>
      </c>
      <c r="JJ68">
        <v>30.9481</v>
      </c>
      <c r="JK68">
        <v>30.000399999999999</v>
      </c>
      <c r="JL68">
        <v>30.835599999999999</v>
      </c>
      <c r="JM68">
        <v>30.7928</v>
      </c>
      <c r="JN68">
        <v>24.616399999999999</v>
      </c>
      <c r="JO68">
        <v>28.593499999999999</v>
      </c>
      <c r="JP68">
        <v>100</v>
      </c>
      <c r="JQ68">
        <v>28.069299999999998</v>
      </c>
      <c r="JR68">
        <v>500</v>
      </c>
      <c r="JS68">
        <v>21.798300000000001</v>
      </c>
      <c r="JT68">
        <v>99.405299999999997</v>
      </c>
      <c r="JU68">
        <v>98.159400000000005</v>
      </c>
    </row>
    <row r="69" spans="1:281" x14ac:dyDescent="0.25">
      <c r="A69">
        <v>53</v>
      </c>
      <c r="B69">
        <v>1693506039.0999999</v>
      </c>
      <c r="C69">
        <v>11112.5</v>
      </c>
      <c r="D69" t="s">
        <v>685</v>
      </c>
      <c r="E69" t="s">
        <v>686</v>
      </c>
      <c r="F69" t="s">
        <v>413</v>
      </c>
      <c r="G69" t="s">
        <v>493</v>
      </c>
      <c r="H69" t="s">
        <v>636</v>
      </c>
      <c r="I69" t="s">
        <v>494</v>
      </c>
      <c r="J69">
        <v>1693506039.0999999</v>
      </c>
      <c r="K69">
        <f t="shared" si="46"/>
        <v>6.0509125454723577E-3</v>
      </c>
      <c r="L69">
        <f t="shared" si="47"/>
        <v>6.0509125454723574</v>
      </c>
      <c r="M69">
        <f t="shared" si="48"/>
        <v>53.320330076963508</v>
      </c>
      <c r="N69">
        <f t="shared" si="49"/>
        <v>631.40200000000004</v>
      </c>
      <c r="O69">
        <f t="shared" si="50"/>
        <v>423.53306965799402</v>
      </c>
      <c r="P69">
        <f t="shared" si="51"/>
        <v>42.237034855719266</v>
      </c>
      <c r="Q69">
        <f t="shared" si="52"/>
        <v>62.966861840342006</v>
      </c>
      <c r="R69">
        <f t="shared" si="53"/>
        <v>0.46787334157665661</v>
      </c>
      <c r="S69">
        <f t="shared" si="54"/>
        <v>2.9264700892531481</v>
      </c>
      <c r="T69">
        <f t="shared" si="55"/>
        <v>0.42993938563989448</v>
      </c>
      <c r="U69">
        <f t="shared" si="56"/>
        <v>0.27186357243389236</v>
      </c>
      <c r="V69">
        <f t="shared" si="57"/>
        <v>344.39469964452576</v>
      </c>
      <c r="W69">
        <f t="shared" si="58"/>
        <v>31.203181314291335</v>
      </c>
      <c r="X69">
        <f t="shared" si="59"/>
        <v>30.003699999999998</v>
      </c>
      <c r="Y69">
        <f t="shared" si="60"/>
        <v>4.2613553082279241</v>
      </c>
      <c r="Z69">
        <f t="shared" si="61"/>
        <v>65.404586591950775</v>
      </c>
      <c r="AA69">
        <f t="shared" si="62"/>
        <v>2.9082839382259</v>
      </c>
      <c r="AB69">
        <f t="shared" si="63"/>
        <v>4.4466054901779888</v>
      </c>
      <c r="AC69">
        <f t="shared" si="64"/>
        <v>1.353071370002024</v>
      </c>
      <c r="AD69">
        <f t="shared" si="65"/>
        <v>-266.84524325533096</v>
      </c>
      <c r="AE69">
        <f t="shared" si="66"/>
        <v>117.20871141515427</v>
      </c>
      <c r="AF69">
        <f t="shared" si="67"/>
        <v>8.9385623280979143</v>
      </c>
      <c r="AG69">
        <f t="shared" si="68"/>
        <v>203.69673013244699</v>
      </c>
      <c r="AH69">
        <v>0</v>
      </c>
      <c r="AI69">
        <v>0</v>
      </c>
      <c r="AJ69">
        <f t="shared" si="69"/>
        <v>1</v>
      </c>
      <c r="AK69">
        <f t="shared" si="70"/>
        <v>0</v>
      </c>
      <c r="AL69">
        <f t="shared" si="71"/>
        <v>52129.040752178502</v>
      </c>
      <c r="AM69" t="s">
        <v>416</v>
      </c>
      <c r="AN69">
        <v>10366.9</v>
      </c>
      <c r="AO69">
        <v>993.59653846153856</v>
      </c>
      <c r="AP69">
        <v>3431.87</v>
      </c>
      <c r="AQ69">
        <f t="shared" si="72"/>
        <v>0.71047955241266758</v>
      </c>
      <c r="AR69">
        <v>-3.9894345373445681</v>
      </c>
      <c r="AS69" t="s">
        <v>687</v>
      </c>
      <c r="AT69">
        <v>10402.1</v>
      </c>
      <c r="AU69">
        <v>829.92934615384604</v>
      </c>
      <c r="AV69">
        <v>1267.7181588406379</v>
      </c>
      <c r="AW69">
        <f t="shared" si="73"/>
        <v>0.345336074610749</v>
      </c>
      <c r="AX69">
        <v>0.5</v>
      </c>
      <c r="AY69">
        <f t="shared" si="74"/>
        <v>1513.2941998222627</v>
      </c>
      <c r="AZ69">
        <f t="shared" si="75"/>
        <v>53.320330076963508</v>
      </c>
      <c r="BA69">
        <f t="shared" si="76"/>
        <v>261.29753934891733</v>
      </c>
      <c r="BB69">
        <f t="shared" si="77"/>
        <v>3.7870867820043945E-2</v>
      </c>
      <c r="BC69">
        <f t="shared" si="78"/>
        <v>1.7071238004025568</v>
      </c>
      <c r="BD69">
        <f t="shared" si="79"/>
        <v>664.94787967853324</v>
      </c>
      <c r="BE69" t="s">
        <v>688</v>
      </c>
      <c r="BF69">
        <v>624.66</v>
      </c>
      <c r="BG69">
        <f t="shared" si="80"/>
        <v>624.66</v>
      </c>
      <c r="BH69">
        <f t="shared" si="81"/>
        <v>0.50725640739321087</v>
      </c>
      <c r="BI69">
        <f t="shared" si="82"/>
        <v>0.6807919418611782</v>
      </c>
      <c r="BJ69">
        <f t="shared" si="83"/>
        <v>0.77092623678291328</v>
      </c>
      <c r="BK69">
        <f t="shared" si="84"/>
        <v>1.5970605021280235</v>
      </c>
      <c r="BL69">
        <f t="shared" si="85"/>
        <v>0.88757552230989756</v>
      </c>
      <c r="BM69">
        <f t="shared" si="86"/>
        <v>0.51240927480611276</v>
      </c>
      <c r="BN69">
        <f t="shared" si="87"/>
        <v>0.48759072519388724</v>
      </c>
      <c r="BO69">
        <v>2253</v>
      </c>
      <c r="BP69">
        <v>290.00000000000011</v>
      </c>
      <c r="BQ69">
        <v>1142.3599999999999</v>
      </c>
      <c r="BR69">
        <v>115</v>
      </c>
      <c r="BS69">
        <v>10402.1</v>
      </c>
      <c r="BT69">
        <v>1139.04</v>
      </c>
      <c r="BU69">
        <v>3.32</v>
      </c>
      <c r="BV69">
        <v>300.00000000000011</v>
      </c>
      <c r="BW69">
        <v>38.4</v>
      </c>
      <c r="BX69">
        <v>1267.7181588406379</v>
      </c>
      <c r="BY69">
        <v>1.3831867889974689</v>
      </c>
      <c r="BZ69">
        <v>-133.84731375802301</v>
      </c>
      <c r="CA69">
        <v>1.175729132990478</v>
      </c>
      <c r="CB69">
        <v>0.99784416264708875</v>
      </c>
      <c r="CC69">
        <v>-1.1301799555061189E-2</v>
      </c>
      <c r="CD69">
        <v>289.99999999999989</v>
      </c>
      <c r="CE69">
        <v>1124.01</v>
      </c>
      <c r="CF69">
        <v>645</v>
      </c>
      <c r="CG69">
        <v>10366.799999999999</v>
      </c>
      <c r="CH69">
        <v>1138.6099999999999</v>
      </c>
      <c r="CI69">
        <v>-14.6</v>
      </c>
      <c r="CW69">
        <f t="shared" si="88"/>
        <v>1800.13</v>
      </c>
      <c r="CX69">
        <f t="shared" si="89"/>
        <v>1513.2941998222627</v>
      </c>
      <c r="CY69">
        <f t="shared" si="90"/>
        <v>0.84065828569173484</v>
      </c>
      <c r="CZ69">
        <f t="shared" si="91"/>
        <v>0.19131657138346994</v>
      </c>
      <c r="DA69">
        <v>6</v>
      </c>
      <c r="DB69">
        <v>0.5</v>
      </c>
      <c r="DC69" t="s">
        <v>419</v>
      </c>
      <c r="DD69">
        <v>2</v>
      </c>
      <c r="DE69">
        <v>1693506039.0999999</v>
      </c>
      <c r="DF69">
        <v>631.40200000000004</v>
      </c>
      <c r="DG69">
        <v>699.95899999999995</v>
      </c>
      <c r="DH69">
        <v>29.1629</v>
      </c>
      <c r="DI69">
        <v>22.114799999999999</v>
      </c>
      <c r="DJ69">
        <v>628.86599999999999</v>
      </c>
      <c r="DK69">
        <v>28.260100000000001</v>
      </c>
      <c r="DL69">
        <v>500.08800000000002</v>
      </c>
      <c r="DM69">
        <v>99.625299999999996</v>
      </c>
      <c r="DN69">
        <v>0.100171</v>
      </c>
      <c r="DO69">
        <v>30.746600000000001</v>
      </c>
      <c r="DP69">
        <v>30.003699999999998</v>
      </c>
      <c r="DQ69">
        <v>999.9</v>
      </c>
      <c r="DR69">
        <v>0</v>
      </c>
      <c r="DS69">
        <v>0</v>
      </c>
      <c r="DT69">
        <v>10020</v>
      </c>
      <c r="DU69">
        <v>0</v>
      </c>
      <c r="DV69">
        <v>220.00700000000001</v>
      </c>
      <c r="DW69">
        <v>-68.557199999999995</v>
      </c>
      <c r="DX69">
        <v>650.36900000000003</v>
      </c>
      <c r="DY69">
        <v>715.78899999999999</v>
      </c>
      <c r="DZ69">
        <v>7.0481699999999998</v>
      </c>
      <c r="EA69">
        <v>699.95899999999995</v>
      </c>
      <c r="EB69">
        <v>22.114799999999999</v>
      </c>
      <c r="EC69">
        <v>2.9053599999999999</v>
      </c>
      <c r="ED69">
        <v>2.2031900000000002</v>
      </c>
      <c r="EE69">
        <v>23.4953</v>
      </c>
      <c r="EF69">
        <v>18.985499999999998</v>
      </c>
      <c r="EG69">
        <v>1800.13</v>
      </c>
      <c r="EH69">
        <v>0.97799700000000001</v>
      </c>
      <c r="EI69">
        <v>2.2003399999999999E-2</v>
      </c>
      <c r="EJ69">
        <v>0</v>
      </c>
      <c r="EK69">
        <v>829.33500000000004</v>
      </c>
      <c r="EL69">
        <v>5.0002700000000004</v>
      </c>
      <c r="EM69">
        <v>15720.8</v>
      </c>
      <c r="EN69">
        <v>16249.8</v>
      </c>
      <c r="EO69">
        <v>47.061999999999998</v>
      </c>
      <c r="EP69">
        <v>48.936999999999998</v>
      </c>
      <c r="EQ69">
        <v>48.186999999999998</v>
      </c>
      <c r="ER69">
        <v>47.936999999999998</v>
      </c>
      <c r="ES69">
        <v>48.75</v>
      </c>
      <c r="ET69">
        <v>1755.63</v>
      </c>
      <c r="EU69">
        <v>39.5</v>
      </c>
      <c r="EV69">
        <v>0</v>
      </c>
      <c r="EW69">
        <v>135.20000004768369</v>
      </c>
      <c r="EX69">
        <v>0</v>
      </c>
      <c r="EY69">
        <v>829.92934615384604</v>
      </c>
      <c r="EZ69">
        <v>-3.910256401434844</v>
      </c>
      <c r="FA69">
        <v>-52.721367601380948</v>
      </c>
      <c r="FB69">
        <v>15727.265384615381</v>
      </c>
      <c r="FC69">
        <v>15</v>
      </c>
      <c r="FD69">
        <v>1693505998.5999999</v>
      </c>
      <c r="FE69" t="s">
        <v>689</v>
      </c>
      <c r="FF69">
        <v>1693505988.0999999</v>
      </c>
      <c r="FG69">
        <v>1693505998.5999999</v>
      </c>
      <c r="FH69">
        <v>59</v>
      </c>
      <c r="FI69">
        <v>0.23400000000000001</v>
      </c>
      <c r="FJ69">
        <v>0.01</v>
      </c>
      <c r="FK69">
        <v>2.508</v>
      </c>
      <c r="FL69">
        <v>0.5</v>
      </c>
      <c r="FM69">
        <v>700</v>
      </c>
      <c r="FN69">
        <v>22</v>
      </c>
      <c r="FO69">
        <v>0.09</v>
      </c>
      <c r="FP69">
        <v>0.03</v>
      </c>
      <c r="FQ69">
        <v>53.241532952746162</v>
      </c>
      <c r="FR69">
        <v>0.69131802933655073</v>
      </c>
      <c r="FS69">
        <v>0.10025957019718799</v>
      </c>
      <c r="FT69">
        <v>1</v>
      </c>
      <c r="FU69">
        <v>0.47352250577332711</v>
      </c>
      <c r="FV69">
        <v>-4.8764265450589379E-2</v>
      </c>
      <c r="FW69">
        <v>3.7325376224826168E-3</v>
      </c>
      <c r="FX69">
        <v>1</v>
      </c>
      <c r="FY69">
        <v>2</v>
      </c>
      <c r="FZ69">
        <v>2</v>
      </c>
      <c r="GA69" t="s">
        <v>421</v>
      </c>
      <c r="GB69">
        <v>3.11802</v>
      </c>
      <c r="GC69">
        <v>2.8654999999999999</v>
      </c>
      <c r="GD69">
        <v>0.129723</v>
      </c>
      <c r="GE69">
        <v>0.14308000000000001</v>
      </c>
      <c r="GF69">
        <v>0.130968</v>
      </c>
      <c r="GG69">
        <v>0.11297699999999999</v>
      </c>
      <c r="GH69">
        <v>26312.3</v>
      </c>
      <c r="GI69">
        <v>20097.400000000001</v>
      </c>
      <c r="GJ69">
        <v>29150.400000000001</v>
      </c>
      <c r="GK69">
        <v>21860.2</v>
      </c>
      <c r="GL69">
        <v>33932.5</v>
      </c>
      <c r="GM69">
        <v>26683.599999999999</v>
      </c>
      <c r="GN69">
        <v>40451.9</v>
      </c>
      <c r="GO69">
        <v>31061.1</v>
      </c>
      <c r="GP69">
        <v>2.0219</v>
      </c>
      <c r="GQ69">
        <v>1.8966000000000001</v>
      </c>
      <c r="GR69">
        <v>3.7938399999999997E-2</v>
      </c>
      <c r="GS69">
        <v>0</v>
      </c>
      <c r="GT69">
        <v>29.385999999999999</v>
      </c>
      <c r="GU69">
        <v>999.9</v>
      </c>
      <c r="GV69">
        <v>64.5</v>
      </c>
      <c r="GW69">
        <v>29.4</v>
      </c>
      <c r="GX69">
        <v>26.644300000000001</v>
      </c>
      <c r="GY69">
        <v>61.547600000000003</v>
      </c>
      <c r="GZ69">
        <v>11.506399999999999</v>
      </c>
      <c r="HA69">
        <v>1</v>
      </c>
      <c r="HB69">
        <v>0.269594</v>
      </c>
      <c r="HC69">
        <v>0.276536</v>
      </c>
      <c r="HD69">
        <v>20.280999999999999</v>
      </c>
      <c r="HE69">
        <v>5.2340600000000004</v>
      </c>
      <c r="HF69">
        <v>11.974</v>
      </c>
      <c r="HG69">
        <v>4.9752000000000001</v>
      </c>
      <c r="HH69">
        <v>3.2839999999999998</v>
      </c>
      <c r="HI69">
        <v>9999</v>
      </c>
      <c r="HJ69">
        <v>9999</v>
      </c>
      <c r="HK69">
        <v>9999</v>
      </c>
      <c r="HL69">
        <v>999.9</v>
      </c>
      <c r="HM69">
        <v>1.86117</v>
      </c>
      <c r="HN69">
        <v>1.8627899999999999</v>
      </c>
      <c r="HO69">
        <v>1.86829</v>
      </c>
      <c r="HP69">
        <v>1.85883</v>
      </c>
      <c r="HQ69">
        <v>1.8572500000000001</v>
      </c>
      <c r="HR69">
        <v>1.8609100000000001</v>
      </c>
      <c r="HS69">
        <v>1.86483</v>
      </c>
      <c r="HT69">
        <v>1.8668899999999999</v>
      </c>
      <c r="HU69">
        <v>5</v>
      </c>
      <c r="HV69">
        <v>0</v>
      </c>
      <c r="HW69">
        <v>0</v>
      </c>
      <c r="HX69">
        <v>0</v>
      </c>
      <c r="HY69" t="s">
        <v>422</v>
      </c>
      <c r="HZ69" t="s">
        <v>423</v>
      </c>
      <c r="IA69" t="s">
        <v>424</v>
      </c>
      <c r="IB69" t="s">
        <v>424</v>
      </c>
      <c r="IC69" t="s">
        <v>424</v>
      </c>
      <c r="ID69" t="s">
        <v>424</v>
      </c>
      <c r="IE69">
        <v>0</v>
      </c>
      <c r="IF69">
        <v>100</v>
      </c>
      <c r="IG69">
        <v>100</v>
      </c>
      <c r="IH69">
        <v>2.536</v>
      </c>
      <c r="II69">
        <v>0.90280000000000005</v>
      </c>
      <c r="IJ69">
        <v>2.366444768262419</v>
      </c>
      <c r="IK69">
        <v>1.118558698776514E-3</v>
      </c>
      <c r="IL69">
        <v>-1.6939696309573479E-6</v>
      </c>
      <c r="IM69">
        <v>5.4698917449866148E-10</v>
      </c>
      <c r="IN69">
        <v>-2.1284901513529689E-2</v>
      </c>
      <c r="IO69">
        <v>-7.6058941998734366E-3</v>
      </c>
      <c r="IP69">
        <v>1.6984902717538061E-3</v>
      </c>
      <c r="IQ69">
        <v>-9.6352527008986976E-6</v>
      </c>
      <c r="IR69">
        <v>2</v>
      </c>
      <c r="IS69">
        <v>2021</v>
      </c>
      <c r="IT69">
        <v>2</v>
      </c>
      <c r="IU69">
        <v>40</v>
      </c>
      <c r="IV69">
        <v>0.8</v>
      </c>
      <c r="IW69">
        <v>0.7</v>
      </c>
      <c r="IX69">
        <v>1.6125499999999999</v>
      </c>
      <c r="IY69">
        <v>2.4731399999999999</v>
      </c>
      <c r="IZ69">
        <v>1.34399</v>
      </c>
      <c r="JA69">
        <v>2.2509800000000002</v>
      </c>
      <c r="JB69">
        <v>1.5918000000000001</v>
      </c>
      <c r="JC69">
        <v>2.48047</v>
      </c>
      <c r="JD69">
        <v>35.336500000000001</v>
      </c>
      <c r="JE69">
        <v>23.947399999999998</v>
      </c>
      <c r="JF69">
        <v>18</v>
      </c>
      <c r="JG69">
        <v>515.79499999999996</v>
      </c>
      <c r="JH69">
        <v>472.99900000000002</v>
      </c>
      <c r="JI69">
        <v>27.659300000000002</v>
      </c>
      <c r="JJ69">
        <v>31.085999999999999</v>
      </c>
      <c r="JK69">
        <v>29.9985</v>
      </c>
      <c r="JL69">
        <v>30.9421</v>
      </c>
      <c r="JM69">
        <v>30.897099999999998</v>
      </c>
      <c r="JN69">
        <v>32.354999999999997</v>
      </c>
      <c r="JO69">
        <v>27.5962</v>
      </c>
      <c r="JP69">
        <v>100</v>
      </c>
      <c r="JQ69">
        <v>27.719200000000001</v>
      </c>
      <c r="JR69">
        <v>700</v>
      </c>
      <c r="JS69">
        <v>22.091699999999999</v>
      </c>
      <c r="JT69">
        <v>99.385499999999993</v>
      </c>
      <c r="JU69">
        <v>98.133700000000005</v>
      </c>
    </row>
    <row r="70" spans="1:281" x14ac:dyDescent="0.25">
      <c r="A70">
        <v>54</v>
      </c>
      <c r="B70">
        <v>1693506144.0999999</v>
      </c>
      <c r="C70">
        <v>11217.5</v>
      </c>
      <c r="D70" t="s">
        <v>690</v>
      </c>
      <c r="E70" t="s">
        <v>691</v>
      </c>
      <c r="F70" t="s">
        <v>413</v>
      </c>
      <c r="G70" t="s">
        <v>493</v>
      </c>
      <c r="H70" t="s">
        <v>636</v>
      </c>
      <c r="I70" t="s">
        <v>494</v>
      </c>
      <c r="J70">
        <v>1693506144.0999999</v>
      </c>
      <c r="K70">
        <f t="shared" si="46"/>
        <v>5.8902534661804803E-3</v>
      </c>
      <c r="L70">
        <f t="shared" si="47"/>
        <v>5.8902534661804804</v>
      </c>
      <c r="M70">
        <f t="shared" si="48"/>
        <v>52.425015743573475</v>
      </c>
      <c r="N70">
        <f t="shared" si="49"/>
        <v>831.12900000000002</v>
      </c>
      <c r="O70">
        <f t="shared" si="50"/>
        <v>617.06998475784474</v>
      </c>
      <c r="P70">
        <f t="shared" si="51"/>
        <v>61.533992662195857</v>
      </c>
      <c r="Q70">
        <f t="shared" si="52"/>
        <v>82.879879188108589</v>
      </c>
      <c r="R70">
        <f t="shared" si="53"/>
        <v>0.45499248675119075</v>
      </c>
      <c r="S70">
        <f t="shared" si="54"/>
        <v>2.9176169277498136</v>
      </c>
      <c r="T70">
        <f t="shared" si="55"/>
        <v>0.41893266781968563</v>
      </c>
      <c r="U70">
        <f t="shared" si="56"/>
        <v>0.26483418707820799</v>
      </c>
      <c r="V70">
        <f t="shared" si="57"/>
        <v>344.38209964469382</v>
      </c>
      <c r="W70">
        <f t="shared" si="58"/>
        <v>31.190444896551831</v>
      </c>
      <c r="X70">
        <f t="shared" si="59"/>
        <v>29.992100000000001</v>
      </c>
      <c r="Y70">
        <f t="shared" si="60"/>
        <v>4.2585168923730068</v>
      </c>
      <c r="Z70">
        <f t="shared" si="61"/>
        <v>65.580352694082805</v>
      </c>
      <c r="AA70">
        <f t="shared" si="62"/>
        <v>2.9068173416466596</v>
      </c>
      <c r="AB70">
        <f t="shared" si="63"/>
        <v>4.4324515228002674</v>
      </c>
      <c r="AC70">
        <f t="shared" si="64"/>
        <v>1.3516995507263472</v>
      </c>
      <c r="AD70">
        <f t="shared" si="65"/>
        <v>-259.76017785855919</v>
      </c>
      <c r="AE70">
        <f t="shared" si="66"/>
        <v>109.90171173324187</v>
      </c>
      <c r="AF70">
        <f t="shared" si="67"/>
        <v>8.4039458548950758</v>
      </c>
      <c r="AG70">
        <f t="shared" si="68"/>
        <v>202.9275793742716</v>
      </c>
      <c r="AH70">
        <v>0</v>
      </c>
      <c r="AI70">
        <v>0</v>
      </c>
      <c r="AJ70">
        <f t="shared" si="69"/>
        <v>1</v>
      </c>
      <c r="AK70">
        <f t="shared" si="70"/>
        <v>0</v>
      </c>
      <c r="AL70">
        <f t="shared" si="71"/>
        <v>51886.366880986425</v>
      </c>
      <c r="AM70" t="s">
        <v>416</v>
      </c>
      <c r="AN70">
        <v>10366.9</v>
      </c>
      <c r="AO70">
        <v>993.59653846153856</v>
      </c>
      <c r="AP70">
        <v>3431.87</v>
      </c>
      <c r="AQ70">
        <f t="shared" si="72"/>
        <v>0.71047955241266758</v>
      </c>
      <c r="AR70">
        <v>-3.9894345373445681</v>
      </c>
      <c r="AS70" t="s">
        <v>692</v>
      </c>
      <c r="AT70">
        <v>10398</v>
      </c>
      <c r="AU70">
        <v>823.35412000000008</v>
      </c>
      <c r="AV70">
        <v>1262.6255809304321</v>
      </c>
      <c r="AW70">
        <f t="shared" si="73"/>
        <v>0.34790318489090943</v>
      </c>
      <c r="AX70">
        <v>0.5</v>
      </c>
      <c r="AY70">
        <f t="shared" si="74"/>
        <v>1513.2431998223467</v>
      </c>
      <c r="AZ70">
        <f t="shared" si="75"/>
        <v>52.425015743573475</v>
      </c>
      <c r="BA70">
        <f t="shared" si="76"/>
        <v>263.23106436635265</v>
      </c>
      <c r="BB70">
        <f t="shared" si="77"/>
        <v>3.7280491521482502E-2</v>
      </c>
      <c r="BC70">
        <f t="shared" si="78"/>
        <v>1.7180425074795695</v>
      </c>
      <c r="BD70">
        <f t="shared" si="79"/>
        <v>663.54410376405804</v>
      </c>
      <c r="BE70" t="s">
        <v>693</v>
      </c>
      <c r="BF70">
        <v>623.49</v>
      </c>
      <c r="BG70">
        <f t="shared" si="80"/>
        <v>623.49</v>
      </c>
      <c r="BH70">
        <f t="shared" si="81"/>
        <v>0.50619565339350348</v>
      </c>
      <c r="BI70">
        <f t="shared" si="82"/>
        <v>0.6872899491700265</v>
      </c>
      <c r="BJ70">
        <f t="shared" si="83"/>
        <v>0.77241841170695125</v>
      </c>
      <c r="BK70">
        <f t="shared" si="84"/>
        <v>1.6328031237788119</v>
      </c>
      <c r="BL70">
        <f t="shared" si="85"/>
        <v>0.8896641222928513</v>
      </c>
      <c r="BM70">
        <f t="shared" si="86"/>
        <v>0.52045456505157195</v>
      </c>
      <c r="BN70">
        <f t="shared" si="87"/>
        <v>0.47954543494842805</v>
      </c>
      <c r="BO70">
        <v>2255</v>
      </c>
      <c r="BP70">
        <v>290.00000000000011</v>
      </c>
      <c r="BQ70">
        <v>1137.8</v>
      </c>
      <c r="BR70">
        <v>115</v>
      </c>
      <c r="BS70">
        <v>10398</v>
      </c>
      <c r="BT70">
        <v>1133.7</v>
      </c>
      <c r="BU70">
        <v>4.0999999999999996</v>
      </c>
      <c r="BV70">
        <v>300.00000000000011</v>
      </c>
      <c r="BW70">
        <v>38.4</v>
      </c>
      <c r="BX70">
        <v>1262.6255809304321</v>
      </c>
      <c r="BY70">
        <v>1.6051269638912999</v>
      </c>
      <c r="BZ70">
        <v>-134.053358217973</v>
      </c>
      <c r="CA70">
        <v>1.3637990243368769</v>
      </c>
      <c r="CB70">
        <v>0.99711034093182993</v>
      </c>
      <c r="CC70">
        <v>-1.129706028921024E-2</v>
      </c>
      <c r="CD70">
        <v>289.99999999999989</v>
      </c>
      <c r="CE70">
        <v>1117.8499999999999</v>
      </c>
      <c r="CF70">
        <v>675</v>
      </c>
      <c r="CG70">
        <v>10359.5</v>
      </c>
      <c r="CH70">
        <v>1133.22</v>
      </c>
      <c r="CI70">
        <v>-15.37</v>
      </c>
      <c r="CW70">
        <f t="shared" si="88"/>
        <v>1800.07</v>
      </c>
      <c r="CX70">
        <f t="shared" si="89"/>
        <v>1513.2431998223467</v>
      </c>
      <c r="CY70">
        <f t="shared" si="90"/>
        <v>0.84065797431341382</v>
      </c>
      <c r="CZ70">
        <f t="shared" si="91"/>
        <v>0.19131594862682777</v>
      </c>
      <c r="DA70">
        <v>6</v>
      </c>
      <c r="DB70">
        <v>0.5</v>
      </c>
      <c r="DC70" t="s">
        <v>419</v>
      </c>
      <c r="DD70">
        <v>2</v>
      </c>
      <c r="DE70">
        <v>1693506144.0999999</v>
      </c>
      <c r="DF70">
        <v>831.12900000000002</v>
      </c>
      <c r="DG70">
        <v>899.89099999999996</v>
      </c>
      <c r="DH70">
        <v>29.149899999999999</v>
      </c>
      <c r="DI70">
        <v>22.289899999999999</v>
      </c>
      <c r="DJ70">
        <v>828.29399999999998</v>
      </c>
      <c r="DK70">
        <v>28.2547</v>
      </c>
      <c r="DL70">
        <v>500.16500000000002</v>
      </c>
      <c r="DM70">
        <v>99.620199999999997</v>
      </c>
      <c r="DN70">
        <v>9.9433400000000005E-2</v>
      </c>
      <c r="DO70">
        <v>30.690799999999999</v>
      </c>
      <c r="DP70">
        <v>29.992100000000001</v>
      </c>
      <c r="DQ70">
        <v>999.9</v>
      </c>
      <c r="DR70">
        <v>0</v>
      </c>
      <c r="DS70">
        <v>0</v>
      </c>
      <c r="DT70">
        <v>9970</v>
      </c>
      <c r="DU70">
        <v>0</v>
      </c>
      <c r="DV70">
        <v>218.88200000000001</v>
      </c>
      <c r="DW70">
        <v>-68.761799999999994</v>
      </c>
      <c r="DX70">
        <v>856.08399999999995</v>
      </c>
      <c r="DY70">
        <v>920.40700000000004</v>
      </c>
      <c r="DZ70">
        <v>6.8599699999999997</v>
      </c>
      <c r="EA70">
        <v>899.89099999999996</v>
      </c>
      <c r="EB70">
        <v>22.289899999999999</v>
      </c>
      <c r="EC70">
        <v>2.9039199999999998</v>
      </c>
      <c r="ED70">
        <v>2.2205300000000001</v>
      </c>
      <c r="EE70">
        <v>23.486999999999998</v>
      </c>
      <c r="EF70">
        <v>19.1112</v>
      </c>
      <c r="EG70">
        <v>1800.07</v>
      </c>
      <c r="EH70">
        <v>0.97800399999999998</v>
      </c>
      <c r="EI70">
        <v>2.1996000000000002E-2</v>
      </c>
      <c r="EJ70">
        <v>0</v>
      </c>
      <c r="EK70">
        <v>822.59799999999996</v>
      </c>
      <c r="EL70">
        <v>5.0002700000000004</v>
      </c>
      <c r="EM70">
        <v>15623.4</v>
      </c>
      <c r="EN70">
        <v>16249.3</v>
      </c>
      <c r="EO70">
        <v>47.625</v>
      </c>
      <c r="EP70">
        <v>49.436999999999998</v>
      </c>
      <c r="EQ70">
        <v>48.75</v>
      </c>
      <c r="ER70">
        <v>48.436999999999998</v>
      </c>
      <c r="ES70">
        <v>49.311999999999998</v>
      </c>
      <c r="ET70">
        <v>1755.59</v>
      </c>
      <c r="EU70">
        <v>39.479999999999997</v>
      </c>
      <c r="EV70">
        <v>0</v>
      </c>
      <c r="EW70">
        <v>103.2000000476837</v>
      </c>
      <c r="EX70">
        <v>0</v>
      </c>
      <c r="EY70">
        <v>823.35412000000008</v>
      </c>
      <c r="EZ70">
        <v>-4.0546153901085651</v>
      </c>
      <c r="FA70">
        <v>-58.492307975028922</v>
      </c>
      <c r="FB70">
        <v>15630.016</v>
      </c>
      <c r="FC70">
        <v>15</v>
      </c>
      <c r="FD70">
        <v>1693506114.5999999</v>
      </c>
      <c r="FE70" t="s">
        <v>694</v>
      </c>
      <c r="FF70">
        <v>1693506112.0999999</v>
      </c>
      <c r="FG70">
        <v>1693506114.5999999</v>
      </c>
      <c r="FH70">
        <v>60</v>
      </c>
      <c r="FI70">
        <v>0.39400000000000002</v>
      </c>
      <c r="FJ70">
        <v>-7.0000000000000001E-3</v>
      </c>
      <c r="FK70">
        <v>2.7949999999999999</v>
      </c>
      <c r="FL70">
        <v>0.497</v>
      </c>
      <c r="FM70">
        <v>900</v>
      </c>
      <c r="FN70">
        <v>22</v>
      </c>
      <c r="FO70">
        <v>0.14000000000000001</v>
      </c>
      <c r="FP70">
        <v>0.04</v>
      </c>
      <c r="FQ70">
        <v>52.591436310778157</v>
      </c>
      <c r="FR70">
        <v>8.6920043028258384E-2</v>
      </c>
      <c r="FS70">
        <v>0.1447329736049762</v>
      </c>
      <c r="FT70">
        <v>1</v>
      </c>
      <c r="FU70">
        <v>0.4602169810292448</v>
      </c>
      <c r="FV70">
        <v>2.2730598763287591E-3</v>
      </c>
      <c r="FW70">
        <v>3.8032100060656849E-3</v>
      </c>
      <c r="FX70">
        <v>1</v>
      </c>
      <c r="FY70">
        <v>2</v>
      </c>
      <c r="FZ70">
        <v>2</v>
      </c>
      <c r="GA70" t="s">
        <v>421</v>
      </c>
      <c r="GB70">
        <v>3.11815</v>
      </c>
      <c r="GC70">
        <v>2.8643299999999998</v>
      </c>
      <c r="GD70">
        <v>0.15666099999999999</v>
      </c>
      <c r="GE70">
        <v>0.16929900000000001</v>
      </c>
      <c r="GF70">
        <v>0.130908</v>
      </c>
      <c r="GG70">
        <v>0.113567</v>
      </c>
      <c r="GH70">
        <v>25490.3</v>
      </c>
      <c r="GI70">
        <v>19477.5</v>
      </c>
      <c r="GJ70">
        <v>29142.7</v>
      </c>
      <c r="GK70">
        <v>21855.1</v>
      </c>
      <c r="GL70">
        <v>33931.1</v>
      </c>
      <c r="GM70">
        <v>26662.6</v>
      </c>
      <c r="GN70">
        <v>40442</v>
      </c>
      <c r="GO70">
        <v>31054.5</v>
      </c>
      <c r="GP70">
        <v>2.0190000000000001</v>
      </c>
      <c r="GQ70">
        <v>1.8940999999999999</v>
      </c>
      <c r="GR70">
        <v>3.2871999999999998E-2</v>
      </c>
      <c r="GS70">
        <v>0</v>
      </c>
      <c r="GT70">
        <v>29.456900000000001</v>
      </c>
      <c r="GU70">
        <v>999.9</v>
      </c>
      <c r="GV70">
        <v>64.400000000000006</v>
      </c>
      <c r="GW70">
        <v>29.5</v>
      </c>
      <c r="GX70">
        <v>26.7621</v>
      </c>
      <c r="GY70">
        <v>61.907600000000002</v>
      </c>
      <c r="GZ70">
        <v>11.6066</v>
      </c>
      <c r="HA70">
        <v>1</v>
      </c>
      <c r="HB70">
        <v>0.286047</v>
      </c>
      <c r="HC70">
        <v>2.0548600000000001</v>
      </c>
      <c r="HD70">
        <v>20.266200000000001</v>
      </c>
      <c r="HE70">
        <v>5.2292699999999996</v>
      </c>
      <c r="HF70">
        <v>11.974</v>
      </c>
      <c r="HG70">
        <v>4.9740000000000002</v>
      </c>
      <c r="HH70">
        <v>3.2831000000000001</v>
      </c>
      <c r="HI70">
        <v>9999</v>
      </c>
      <c r="HJ70">
        <v>9999</v>
      </c>
      <c r="HK70">
        <v>9999</v>
      </c>
      <c r="HL70">
        <v>999.9</v>
      </c>
      <c r="HM70">
        <v>1.8611599999999999</v>
      </c>
      <c r="HN70">
        <v>1.8627899999999999</v>
      </c>
      <c r="HO70">
        <v>1.86829</v>
      </c>
      <c r="HP70">
        <v>1.8588100000000001</v>
      </c>
      <c r="HQ70">
        <v>1.8572900000000001</v>
      </c>
      <c r="HR70">
        <v>1.86093</v>
      </c>
      <c r="HS70">
        <v>1.8647899999999999</v>
      </c>
      <c r="HT70">
        <v>1.8668899999999999</v>
      </c>
      <c r="HU70">
        <v>5</v>
      </c>
      <c r="HV70">
        <v>0</v>
      </c>
      <c r="HW70">
        <v>0</v>
      </c>
      <c r="HX70">
        <v>0</v>
      </c>
      <c r="HY70" t="s">
        <v>422</v>
      </c>
      <c r="HZ70" t="s">
        <v>423</v>
      </c>
      <c r="IA70" t="s">
        <v>424</v>
      </c>
      <c r="IB70" t="s">
        <v>424</v>
      </c>
      <c r="IC70" t="s">
        <v>424</v>
      </c>
      <c r="ID70" t="s">
        <v>424</v>
      </c>
      <c r="IE70">
        <v>0</v>
      </c>
      <c r="IF70">
        <v>100</v>
      </c>
      <c r="IG70">
        <v>100</v>
      </c>
      <c r="IH70">
        <v>2.835</v>
      </c>
      <c r="II70">
        <v>0.8952</v>
      </c>
      <c r="IJ70">
        <v>2.760014072510681</v>
      </c>
      <c r="IK70">
        <v>1.118558698776514E-3</v>
      </c>
      <c r="IL70">
        <v>-1.6939696309573479E-6</v>
      </c>
      <c r="IM70">
        <v>5.4698917449866148E-10</v>
      </c>
      <c r="IN70">
        <v>-2.8538638490348659E-2</v>
      </c>
      <c r="IO70">
        <v>-7.6058941998734366E-3</v>
      </c>
      <c r="IP70">
        <v>1.6984902717538061E-3</v>
      </c>
      <c r="IQ70">
        <v>-9.6352527008986976E-6</v>
      </c>
      <c r="IR70">
        <v>2</v>
      </c>
      <c r="IS70">
        <v>2021</v>
      </c>
      <c r="IT70">
        <v>2</v>
      </c>
      <c r="IU70">
        <v>40</v>
      </c>
      <c r="IV70">
        <v>0.5</v>
      </c>
      <c r="IW70">
        <v>0.5</v>
      </c>
      <c r="IX70">
        <v>1.9836400000000001</v>
      </c>
      <c r="IY70">
        <v>2.47437</v>
      </c>
      <c r="IZ70">
        <v>1.34399</v>
      </c>
      <c r="JA70">
        <v>2.2497600000000002</v>
      </c>
      <c r="JB70">
        <v>1.5918000000000001</v>
      </c>
      <c r="JC70">
        <v>2.4682599999999999</v>
      </c>
      <c r="JD70">
        <v>35.521799999999999</v>
      </c>
      <c r="JE70">
        <v>23.956199999999999</v>
      </c>
      <c r="JF70">
        <v>18</v>
      </c>
      <c r="JG70">
        <v>514.95000000000005</v>
      </c>
      <c r="JH70">
        <v>472.28100000000001</v>
      </c>
      <c r="JI70">
        <v>26.779199999999999</v>
      </c>
      <c r="JJ70">
        <v>31.235499999999998</v>
      </c>
      <c r="JK70">
        <v>30.000499999999999</v>
      </c>
      <c r="JL70">
        <v>31.060600000000001</v>
      </c>
      <c r="JM70">
        <v>31.011199999999999</v>
      </c>
      <c r="JN70">
        <v>39.7637</v>
      </c>
      <c r="JO70">
        <v>27.261900000000001</v>
      </c>
      <c r="JP70">
        <v>100</v>
      </c>
      <c r="JQ70">
        <v>26.7943</v>
      </c>
      <c r="JR70">
        <v>900</v>
      </c>
      <c r="JS70">
        <v>22.131</v>
      </c>
      <c r="JT70">
        <v>99.360399999999998</v>
      </c>
      <c r="JU70">
        <v>98.111900000000006</v>
      </c>
    </row>
    <row r="71" spans="1:281" x14ac:dyDescent="0.25">
      <c r="A71">
        <v>55</v>
      </c>
      <c r="B71">
        <v>1693506243.5999999</v>
      </c>
      <c r="C71">
        <v>11317</v>
      </c>
      <c r="D71" t="s">
        <v>695</v>
      </c>
      <c r="E71" t="s">
        <v>696</v>
      </c>
      <c r="F71" t="s">
        <v>413</v>
      </c>
      <c r="G71" t="s">
        <v>493</v>
      </c>
      <c r="H71" t="s">
        <v>636</v>
      </c>
      <c r="I71" t="s">
        <v>494</v>
      </c>
      <c r="J71">
        <v>1693506243.5999999</v>
      </c>
      <c r="K71">
        <f t="shared" si="46"/>
        <v>5.738042852623422E-3</v>
      </c>
      <c r="L71">
        <f t="shared" si="47"/>
        <v>5.7380428526234217</v>
      </c>
      <c r="M71">
        <f t="shared" si="48"/>
        <v>51.194523742253487</v>
      </c>
      <c r="N71">
        <f t="shared" si="49"/>
        <v>1130.8</v>
      </c>
      <c r="O71">
        <f t="shared" si="50"/>
        <v>907.56764100282771</v>
      </c>
      <c r="P71">
        <f t="shared" si="51"/>
        <v>90.500601318474438</v>
      </c>
      <c r="Q71">
        <f t="shared" si="52"/>
        <v>112.76082943839999</v>
      </c>
      <c r="R71">
        <f t="shared" si="53"/>
        <v>0.43782462693339641</v>
      </c>
      <c r="S71">
        <f t="shared" si="54"/>
        <v>2.922825765752227</v>
      </c>
      <c r="T71">
        <f t="shared" si="55"/>
        <v>0.40438222562252835</v>
      </c>
      <c r="U71">
        <f t="shared" si="56"/>
        <v>0.255530356061478</v>
      </c>
      <c r="V71">
        <f t="shared" si="57"/>
        <v>344.40611280988378</v>
      </c>
      <c r="W71">
        <f t="shared" si="58"/>
        <v>31.168250352598868</v>
      </c>
      <c r="X71">
        <f t="shared" si="59"/>
        <v>29.964200000000002</v>
      </c>
      <c r="Y71">
        <f t="shared" si="60"/>
        <v>4.2516967591812254</v>
      </c>
      <c r="Z71">
        <f t="shared" si="61"/>
        <v>65.369897903585112</v>
      </c>
      <c r="AA71">
        <f t="shared" si="62"/>
        <v>2.8873872239887999</v>
      </c>
      <c r="AB71">
        <f t="shared" si="63"/>
        <v>4.4169982156732805</v>
      </c>
      <c r="AC71">
        <f t="shared" si="64"/>
        <v>1.3643095351924255</v>
      </c>
      <c r="AD71">
        <f t="shared" si="65"/>
        <v>-253.04768980069292</v>
      </c>
      <c r="AE71">
        <f t="shared" si="66"/>
        <v>104.86641717569195</v>
      </c>
      <c r="AF71">
        <f t="shared" si="67"/>
        <v>8.0010938162355014</v>
      </c>
      <c r="AG71">
        <f t="shared" si="68"/>
        <v>204.22593400111828</v>
      </c>
      <c r="AH71">
        <v>0</v>
      </c>
      <c r="AI71">
        <v>0</v>
      </c>
      <c r="AJ71">
        <f t="shared" si="69"/>
        <v>1</v>
      </c>
      <c r="AK71">
        <f t="shared" si="70"/>
        <v>0</v>
      </c>
      <c r="AL71">
        <f t="shared" si="71"/>
        <v>52045.064360764896</v>
      </c>
      <c r="AM71" t="s">
        <v>416</v>
      </c>
      <c r="AN71">
        <v>10366.9</v>
      </c>
      <c r="AO71">
        <v>993.59653846153856</v>
      </c>
      <c r="AP71">
        <v>3431.87</v>
      </c>
      <c r="AQ71">
        <f t="shared" si="72"/>
        <v>0.71047955241266758</v>
      </c>
      <c r="AR71">
        <v>-3.9894345373445681</v>
      </c>
      <c r="AS71" t="s">
        <v>697</v>
      </c>
      <c r="AT71">
        <v>10383.4</v>
      </c>
      <c r="AU71">
        <v>815.05830769230784</v>
      </c>
      <c r="AV71">
        <v>1253.1879730885271</v>
      </c>
      <c r="AW71">
        <f t="shared" si="73"/>
        <v>0.34961208917161313</v>
      </c>
      <c r="AX71">
        <v>0.5</v>
      </c>
      <c r="AY71">
        <f t="shared" si="74"/>
        <v>1513.3446064049419</v>
      </c>
      <c r="AZ71">
        <f t="shared" si="75"/>
        <v>51.194523742253487</v>
      </c>
      <c r="BA71">
        <f t="shared" si="76"/>
        <v>264.54178474091219</v>
      </c>
      <c r="BB71">
        <f t="shared" si="77"/>
        <v>3.6464899036242303E-2</v>
      </c>
      <c r="BC71">
        <f t="shared" si="78"/>
        <v>1.7385117585688539</v>
      </c>
      <c r="BD71">
        <f t="shared" si="79"/>
        <v>660.9283593497978</v>
      </c>
      <c r="BE71" t="s">
        <v>698</v>
      </c>
      <c r="BF71">
        <v>619.49</v>
      </c>
      <c r="BG71">
        <f t="shared" si="80"/>
        <v>619.49</v>
      </c>
      <c r="BH71">
        <f t="shared" si="81"/>
        <v>0.50566873182381045</v>
      </c>
      <c r="BI71">
        <f t="shared" si="82"/>
        <v>0.69138561902108675</v>
      </c>
      <c r="BJ71">
        <f t="shared" si="83"/>
        <v>0.77467555128093379</v>
      </c>
      <c r="BK71">
        <f t="shared" si="84"/>
        <v>1.6877662624954304</v>
      </c>
      <c r="BL71">
        <f t="shared" si="85"/>
        <v>0.89353473319469423</v>
      </c>
      <c r="BM71">
        <f t="shared" si="86"/>
        <v>0.52549182443161202</v>
      </c>
      <c r="BN71">
        <f t="shared" si="87"/>
        <v>0.47450817556838798</v>
      </c>
      <c r="BO71">
        <v>2257</v>
      </c>
      <c r="BP71">
        <v>290.00000000000011</v>
      </c>
      <c r="BQ71">
        <v>1126.8900000000001</v>
      </c>
      <c r="BR71">
        <v>175</v>
      </c>
      <c r="BS71">
        <v>10383.4</v>
      </c>
      <c r="BT71">
        <v>1124.3599999999999</v>
      </c>
      <c r="BU71">
        <v>2.5299999999999998</v>
      </c>
      <c r="BV71">
        <v>300.00000000000011</v>
      </c>
      <c r="BW71">
        <v>38.4</v>
      </c>
      <c r="BX71">
        <v>1253.1879730885271</v>
      </c>
      <c r="BY71">
        <v>1.157592366399099</v>
      </c>
      <c r="BZ71">
        <v>-133.76336517239099</v>
      </c>
      <c r="CA71">
        <v>0.98322513971032877</v>
      </c>
      <c r="CB71">
        <v>0.99848945700433933</v>
      </c>
      <c r="CC71">
        <v>-1.1292967074527271E-2</v>
      </c>
      <c r="CD71">
        <v>289.99999999999989</v>
      </c>
      <c r="CE71">
        <v>1109.56</v>
      </c>
      <c r="CF71">
        <v>635</v>
      </c>
      <c r="CG71">
        <v>10360</v>
      </c>
      <c r="CH71">
        <v>1124.07</v>
      </c>
      <c r="CI71">
        <v>-14.51</v>
      </c>
      <c r="CW71">
        <f t="shared" si="88"/>
        <v>1800.19</v>
      </c>
      <c r="CX71">
        <f t="shared" si="89"/>
        <v>1513.3446064049419</v>
      </c>
      <c r="CY71">
        <f t="shared" si="90"/>
        <v>0.84065826740785243</v>
      </c>
      <c r="CZ71">
        <f t="shared" si="91"/>
        <v>0.19131653481570488</v>
      </c>
      <c r="DA71">
        <v>6</v>
      </c>
      <c r="DB71">
        <v>0.5</v>
      </c>
      <c r="DC71" t="s">
        <v>419</v>
      </c>
      <c r="DD71">
        <v>2</v>
      </c>
      <c r="DE71">
        <v>1693506243.5999999</v>
      </c>
      <c r="DF71">
        <v>1130.8</v>
      </c>
      <c r="DG71">
        <v>1200.02</v>
      </c>
      <c r="DH71">
        <v>28.9556</v>
      </c>
      <c r="DI71">
        <v>22.269300000000001</v>
      </c>
      <c r="DJ71">
        <v>1127.95</v>
      </c>
      <c r="DK71">
        <v>28.078299999999999</v>
      </c>
      <c r="DL71">
        <v>499.99799999999999</v>
      </c>
      <c r="DM71">
        <v>99.617199999999997</v>
      </c>
      <c r="DN71">
        <v>0.100548</v>
      </c>
      <c r="DO71">
        <v>30.6297</v>
      </c>
      <c r="DP71">
        <v>29.964200000000002</v>
      </c>
      <c r="DQ71">
        <v>999.9</v>
      </c>
      <c r="DR71">
        <v>0</v>
      </c>
      <c r="DS71">
        <v>0</v>
      </c>
      <c r="DT71">
        <v>10000</v>
      </c>
      <c r="DU71">
        <v>0</v>
      </c>
      <c r="DV71">
        <v>362.92700000000002</v>
      </c>
      <c r="DW71">
        <v>-69.226399999999998</v>
      </c>
      <c r="DX71">
        <v>1164.52</v>
      </c>
      <c r="DY71">
        <v>1227.3499999999999</v>
      </c>
      <c r="DZ71">
        <v>6.6863000000000001</v>
      </c>
      <c r="EA71">
        <v>1200.02</v>
      </c>
      <c r="EB71">
        <v>22.269300000000001</v>
      </c>
      <c r="EC71">
        <v>2.8844799999999999</v>
      </c>
      <c r="ED71">
        <v>2.21841</v>
      </c>
      <c r="EE71">
        <v>23.375699999999998</v>
      </c>
      <c r="EF71">
        <v>19.0959</v>
      </c>
      <c r="EG71">
        <v>1800.19</v>
      </c>
      <c r="EH71">
        <v>0.97799400000000003</v>
      </c>
      <c r="EI71">
        <v>2.2005500000000001E-2</v>
      </c>
      <c r="EJ71">
        <v>0</v>
      </c>
      <c r="EK71">
        <v>814.47500000000002</v>
      </c>
      <c r="EL71">
        <v>5.0002700000000004</v>
      </c>
      <c r="EM71">
        <v>15486.8</v>
      </c>
      <c r="EN71">
        <v>16250.3</v>
      </c>
      <c r="EO71">
        <v>48.061999999999998</v>
      </c>
      <c r="EP71">
        <v>49.75</v>
      </c>
      <c r="EQ71">
        <v>49.186999999999998</v>
      </c>
      <c r="ER71">
        <v>48.75</v>
      </c>
      <c r="ES71">
        <v>49.686999999999998</v>
      </c>
      <c r="ET71">
        <v>1755.68</v>
      </c>
      <c r="EU71">
        <v>39.5</v>
      </c>
      <c r="EV71">
        <v>0</v>
      </c>
      <c r="EW71">
        <v>97.800000190734863</v>
      </c>
      <c r="EX71">
        <v>0</v>
      </c>
      <c r="EY71">
        <v>815.05830769230784</v>
      </c>
      <c r="EZ71">
        <v>-5.190495725206123</v>
      </c>
      <c r="FA71">
        <v>-83.558974265628876</v>
      </c>
      <c r="FB71">
        <v>15494.711538461541</v>
      </c>
      <c r="FC71">
        <v>15</v>
      </c>
      <c r="FD71">
        <v>1693506210.5999999</v>
      </c>
      <c r="FE71" t="s">
        <v>699</v>
      </c>
      <c r="FF71">
        <v>1693506208.0999999</v>
      </c>
      <c r="FG71">
        <v>1693506210.5999999</v>
      </c>
      <c r="FH71">
        <v>61</v>
      </c>
      <c r="FI71">
        <v>0.19</v>
      </c>
      <c r="FJ71">
        <v>-6.0000000000000001E-3</v>
      </c>
      <c r="FK71">
        <v>2.8010000000000002</v>
      </c>
      <c r="FL71">
        <v>0.48799999999999999</v>
      </c>
      <c r="FM71">
        <v>1201</v>
      </c>
      <c r="FN71">
        <v>22</v>
      </c>
      <c r="FO71">
        <v>0.11</v>
      </c>
      <c r="FP71">
        <v>0.04</v>
      </c>
      <c r="FQ71">
        <v>51.281232821059049</v>
      </c>
      <c r="FR71">
        <v>-0.2161263495453922</v>
      </c>
      <c r="FS71">
        <v>0.1756909000108339</v>
      </c>
      <c r="FT71">
        <v>1</v>
      </c>
      <c r="FU71">
        <v>0.43948983003047609</v>
      </c>
      <c r="FV71">
        <v>-3.0658444752939711E-2</v>
      </c>
      <c r="FW71">
        <v>2.4787210693265238E-3</v>
      </c>
      <c r="FX71">
        <v>1</v>
      </c>
      <c r="FY71">
        <v>2</v>
      </c>
      <c r="FZ71">
        <v>2</v>
      </c>
      <c r="GA71" t="s">
        <v>421</v>
      </c>
      <c r="GB71">
        <v>3.11795</v>
      </c>
      <c r="GC71">
        <v>2.8656999999999999</v>
      </c>
      <c r="GD71">
        <v>0.191603</v>
      </c>
      <c r="GE71">
        <v>0.20355999999999999</v>
      </c>
      <c r="GF71">
        <v>0.13030600000000001</v>
      </c>
      <c r="GG71">
        <v>0.113469</v>
      </c>
      <c r="GH71">
        <v>24430.5</v>
      </c>
      <c r="GI71">
        <v>18670.2</v>
      </c>
      <c r="GJ71">
        <v>29139.3</v>
      </c>
      <c r="GK71">
        <v>21851.200000000001</v>
      </c>
      <c r="GL71">
        <v>33955.800000000003</v>
      </c>
      <c r="GM71">
        <v>26664.6</v>
      </c>
      <c r="GN71">
        <v>40437.199999999997</v>
      </c>
      <c r="GO71">
        <v>31050.1</v>
      </c>
      <c r="GP71">
        <v>2.0186999999999999</v>
      </c>
      <c r="GQ71">
        <v>1.8926000000000001</v>
      </c>
      <c r="GR71">
        <v>3.9577500000000002E-2</v>
      </c>
      <c r="GS71">
        <v>0</v>
      </c>
      <c r="GT71">
        <v>29.319800000000001</v>
      </c>
      <c r="GU71">
        <v>999.9</v>
      </c>
      <c r="GV71">
        <v>64.2</v>
      </c>
      <c r="GW71">
        <v>29.6</v>
      </c>
      <c r="GX71">
        <v>26.831600000000002</v>
      </c>
      <c r="GY71">
        <v>61.697600000000001</v>
      </c>
      <c r="GZ71">
        <v>11.5825</v>
      </c>
      <c r="HA71">
        <v>1</v>
      </c>
      <c r="HB71">
        <v>0.29088399999999998</v>
      </c>
      <c r="HC71">
        <v>1.51698</v>
      </c>
      <c r="HD71">
        <v>20.272600000000001</v>
      </c>
      <c r="HE71">
        <v>5.23346</v>
      </c>
      <c r="HF71">
        <v>11.974</v>
      </c>
      <c r="HG71">
        <v>4.9749999999999996</v>
      </c>
      <c r="HH71">
        <v>3.2837000000000001</v>
      </c>
      <c r="HI71">
        <v>9999</v>
      </c>
      <c r="HJ71">
        <v>9999</v>
      </c>
      <c r="HK71">
        <v>9999</v>
      </c>
      <c r="HL71">
        <v>999.9</v>
      </c>
      <c r="HM71">
        <v>1.86111</v>
      </c>
      <c r="HN71">
        <v>1.8627899999999999</v>
      </c>
      <c r="HO71">
        <v>1.86816</v>
      </c>
      <c r="HP71">
        <v>1.8587</v>
      </c>
      <c r="HQ71">
        <v>1.8571800000000001</v>
      </c>
      <c r="HR71">
        <v>1.86084</v>
      </c>
      <c r="HS71">
        <v>1.8647800000000001</v>
      </c>
      <c r="HT71">
        <v>1.86677</v>
      </c>
      <c r="HU71">
        <v>5</v>
      </c>
      <c r="HV71">
        <v>0</v>
      </c>
      <c r="HW71">
        <v>0</v>
      </c>
      <c r="HX71">
        <v>0</v>
      </c>
      <c r="HY71" t="s">
        <v>422</v>
      </c>
      <c r="HZ71" t="s">
        <v>423</v>
      </c>
      <c r="IA71" t="s">
        <v>424</v>
      </c>
      <c r="IB71" t="s">
        <v>424</v>
      </c>
      <c r="IC71" t="s">
        <v>424</v>
      </c>
      <c r="ID71" t="s">
        <v>424</v>
      </c>
      <c r="IE71">
        <v>0</v>
      </c>
      <c r="IF71">
        <v>100</v>
      </c>
      <c r="IG71">
        <v>100</v>
      </c>
      <c r="IH71">
        <v>2.85</v>
      </c>
      <c r="II71">
        <v>0.87729999999999997</v>
      </c>
      <c r="IJ71">
        <v>2.9514861437185949</v>
      </c>
      <c r="IK71">
        <v>1.118558698776514E-3</v>
      </c>
      <c r="IL71">
        <v>-1.6939696309573479E-6</v>
      </c>
      <c r="IM71">
        <v>5.4698917449866148E-10</v>
      </c>
      <c r="IN71">
        <v>-3.4845807400718409E-2</v>
      </c>
      <c r="IO71">
        <v>-7.6058941998734366E-3</v>
      </c>
      <c r="IP71">
        <v>1.6984902717538061E-3</v>
      </c>
      <c r="IQ71">
        <v>-9.6352527008986976E-6</v>
      </c>
      <c r="IR71">
        <v>2</v>
      </c>
      <c r="IS71">
        <v>2021</v>
      </c>
      <c r="IT71">
        <v>2</v>
      </c>
      <c r="IU71">
        <v>40</v>
      </c>
      <c r="IV71">
        <v>0.6</v>
      </c>
      <c r="IW71">
        <v>0.6</v>
      </c>
      <c r="IX71">
        <v>2.5146500000000001</v>
      </c>
      <c r="IY71">
        <v>2.4719199999999999</v>
      </c>
      <c r="IZ71">
        <v>1.34399</v>
      </c>
      <c r="JA71">
        <v>2.2509800000000002</v>
      </c>
      <c r="JB71">
        <v>1.5918000000000001</v>
      </c>
      <c r="JC71">
        <v>2.323</v>
      </c>
      <c r="JD71">
        <v>35.591500000000003</v>
      </c>
      <c r="JE71">
        <v>23.982399999999998</v>
      </c>
      <c r="JF71">
        <v>18</v>
      </c>
      <c r="JG71">
        <v>515.51400000000001</v>
      </c>
      <c r="JH71">
        <v>471.971</v>
      </c>
      <c r="JI71">
        <v>27.123200000000001</v>
      </c>
      <c r="JJ71">
        <v>31.331499999999998</v>
      </c>
      <c r="JK71">
        <v>29.9999</v>
      </c>
      <c r="JL71">
        <v>31.145299999999999</v>
      </c>
      <c r="JM71">
        <v>31.093399999999999</v>
      </c>
      <c r="JN71">
        <v>50.398499999999999</v>
      </c>
      <c r="JO71">
        <v>27.3489</v>
      </c>
      <c r="JP71">
        <v>100</v>
      </c>
      <c r="JQ71">
        <v>27.1387</v>
      </c>
      <c r="JR71">
        <v>1200</v>
      </c>
      <c r="JS71">
        <v>22.2606</v>
      </c>
      <c r="JT71">
        <v>99.348699999999994</v>
      </c>
      <c r="JU71">
        <v>98.096500000000006</v>
      </c>
    </row>
    <row r="72" spans="1:281" x14ac:dyDescent="0.25">
      <c r="A72">
        <v>56</v>
      </c>
      <c r="B72">
        <v>1693506352.5999999</v>
      </c>
      <c r="C72">
        <v>11426</v>
      </c>
      <c r="D72" t="s">
        <v>700</v>
      </c>
      <c r="E72" t="s">
        <v>701</v>
      </c>
      <c r="F72" t="s">
        <v>413</v>
      </c>
      <c r="G72" t="s">
        <v>493</v>
      </c>
      <c r="H72" t="s">
        <v>636</v>
      </c>
      <c r="I72" t="s">
        <v>494</v>
      </c>
      <c r="J72">
        <v>1693506352.5999999</v>
      </c>
      <c r="K72">
        <f t="shared" si="46"/>
        <v>5.5146125835930111E-3</v>
      </c>
      <c r="L72">
        <f t="shared" si="47"/>
        <v>5.5146125835930109</v>
      </c>
      <c r="M72">
        <f t="shared" si="48"/>
        <v>50.211111590693569</v>
      </c>
      <c r="N72">
        <f t="shared" si="49"/>
        <v>1430.22</v>
      </c>
      <c r="O72">
        <f t="shared" si="50"/>
        <v>1192.2808189674756</v>
      </c>
      <c r="P72">
        <f t="shared" si="51"/>
        <v>118.89149327172771</v>
      </c>
      <c r="Q72">
        <f t="shared" si="52"/>
        <v>142.61823959757001</v>
      </c>
      <c r="R72">
        <f t="shared" si="53"/>
        <v>0.41197780105635978</v>
      </c>
      <c r="S72">
        <f t="shared" si="54"/>
        <v>2.9289718849879911</v>
      </c>
      <c r="T72">
        <f t="shared" si="55"/>
        <v>0.38228122847644502</v>
      </c>
      <c r="U72">
        <f t="shared" si="56"/>
        <v>0.24141526145381764</v>
      </c>
      <c r="V72">
        <f t="shared" si="57"/>
        <v>344.37509964459599</v>
      </c>
      <c r="W72">
        <f t="shared" si="58"/>
        <v>31.289462080770612</v>
      </c>
      <c r="X72">
        <f t="shared" si="59"/>
        <v>30.0443</v>
      </c>
      <c r="Y72">
        <f t="shared" si="60"/>
        <v>4.271302751976183</v>
      </c>
      <c r="Z72">
        <f t="shared" si="61"/>
        <v>65.062722054245313</v>
      </c>
      <c r="AA72">
        <f t="shared" si="62"/>
        <v>2.884434002181</v>
      </c>
      <c r="AB72">
        <f t="shared" si="63"/>
        <v>4.4333128266231094</v>
      </c>
      <c r="AC72">
        <f t="shared" si="64"/>
        <v>1.386868749795183</v>
      </c>
      <c r="AD72">
        <f t="shared" si="65"/>
        <v>-243.19441493645178</v>
      </c>
      <c r="AE72">
        <f t="shared" si="66"/>
        <v>102.62358529803063</v>
      </c>
      <c r="AF72">
        <f t="shared" si="67"/>
        <v>7.819128674190182</v>
      </c>
      <c r="AG72">
        <f t="shared" si="68"/>
        <v>211.623398680365</v>
      </c>
      <c r="AH72">
        <v>0</v>
      </c>
      <c r="AI72">
        <v>0</v>
      </c>
      <c r="AJ72">
        <f t="shared" si="69"/>
        <v>1</v>
      </c>
      <c r="AK72">
        <f t="shared" si="70"/>
        <v>0</v>
      </c>
      <c r="AL72">
        <f t="shared" si="71"/>
        <v>52209.225847157075</v>
      </c>
      <c r="AM72" t="s">
        <v>416</v>
      </c>
      <c r="AN72">
        <v>10366.9</v>
      </c>
      <c r="AO72">
        <v>993.59653846153856</v>
      </c>
      <c r="AP72">
        <v>3431.87</v>
      </c>
      <c r="AQ72">
        <f t="shared" si="72"/>
        <v>0.71047955241266758</v>
      </c>
      <c r="AR72">
        <v>-3.9894345373445681</v>
      </c>
      <c r="AS72" t="s">
        <v>702</v>
      </c>
      <c r="AT72">
        <v>10390</v>
      </c>
      <c r="AU72">
        <v>806.4351999999999</v>
      </c>
      <c r="AV72">
        <v>1244.291090139671</v>
      </c>
      <c r="AW72">
        <f t="shared" si="73"/>
        <v>0.35189184718064814</v>
      </c>
      <c r="AX72">
        <v>0.5</v>
      </c>
      <c r="AY72">
        <f t="shared" si="74"/>
        <v>1513.2098998222978</v>
      </c>
      <c r="AZ72">
        <f t="shared" si="75"/>
        <v>50.211111590693569</v>
      </c>
      <c r="BA72">
        <f t="shared" si="76"/>
        <v>266.24311341025594</v>
      </c>
      <c r="BB72">
        <f t="shared" si="77"/>
        <v>3.5818260331500026E-2</v>
      </c>
      <c r="BC72">
        <f t="shared" si="78"/>
        <v>1.7580925614558363</v>
      </c>
      <c r="BD72">
        <f t="shared" si="79"/>
        <v>658.44537600457863</v>
      </c>
      <c r="BE72" t="s">
        <v>703</v>
      </c>
      <c r="BF72">
        <v>617.49</v>
      </c>
      <c r="BG72">
        <f t="shared" si="80"/>
        <v>617.49</v>
      </c>
      <c r="BH72">
        <f t="shared" si="81"/>
        <v>0.50374152407481509</v>
      </c>
      <c r="BI72">
        <f t="shared" si="82"/>
        <v>0.69855636345830707</v>
      </c>
      <c r="BJ72">
        <f t="shared" si="83"/>
        <v>0.7772862619334735</v>
      </c>
      <c r="BK72">
        <f t="shared" si="84"/>
        <v>1.7465712246584268</v>
      </c>
      <c r="BL72">
        <f t="shared" si="85"/>
        <v>0.89718357861305953</v>
      </c>
      <c r="BM72">
        <f t="shared" si="86"/>
        <v>0.53488683141791193</v>
      </c>
      <c r="BN72">
        <f t="shared" si="87"/>
        <v>0.46511316858208807</v>
      </c>
      <c r="BO72">
        <v>2259</v>
      </c>
      <c r="BP72">
        <v>290.00000000000011</v>
      </c>
      <c r="BQ72">
        <v>1118.45</v>
      </c>
      <c r="BR72">
        <v>125</v>
      </c>
      <c r="BS72">
        <v>10390</v>
      </c>
      <c r="BT72">
        <v>1115.55</v>
      </c>
      <c r="BU72">
        <v>2.9</v>
      </c>
      <c r="BV72">
        <v>300.00000000000011</v>
      </c>
      <c r="BW72">
        <v>38.4</v>
      </c>
      <c r="BX72">
        <v>1244.291090139671</v>
      </c>
      <c r="BY72">
        <v>1.5228482497813609</v>
      </c>
      <c r="BZ72">
        <v>-133.76317862046119</v>
      </c>
      <c r="CA72">
        <v>1.293090219463332</v>
      </c>
      <c r="CB72">
        <v>0.99739019763744807</v>
      </c>
      <c r="CC72">
        <v>-1.129021334816464E-2</v>
      </c>
      <c r="CD72">
        <v>289.99999999999989</v>
      </c>
      <c r="CE72">
        <v>1101.24</v>
      </c>
      <c r="CF72">
        <v>645</v>
      </c>
      <c r="CG72">
        <v>10355.9</v>
      </c>
      <c r="CH72">
        <v>1115.1199999999999</v>
      </c>
      <c r="CI72">
        <v>-13.88</v>
      </c>
      <c r="CW72">
        <f t="shared" si="88"/>
        <v>1800.03</v>
      </c>
      <c r="CX72">
        <f t="shared" si="89"/>
        <v>1513.2098998222978</v>
      </c>
      <c r="CY72">
        <f t="shared" si="90"/>
        <v>0.84065815559868329</v>
      </c>
      <c r="CZ72">
        <f t="shared" si="91"/>
        <v>0.1913163111973667</v>
      </c>
      <c r="DA72">
        <v>6</v>
      </c>
      <c r="DB72">
        <v>0.5</v>
      </c>
      <c r="DC72" t="s">
        <v>419</v>
      </c>
      <c r="DD72">
        <v>2</v>
      </c>
      <c r="DE72">
        <v>1693506352.5999999</v>
      </c>
      <c r="DF72">
        <v>1430.22</v>
      </c>
      <c r="DG72">
        <v>1499.98</v>
      </c>
      <c r="DH72">
        <v>28.925999999999998</v>
      </c>
      <c r="DI72">
        <v>22.495999999999999</v>
      </c>
      <c r="DJ72">
        <v>1427.22</v>
      </c>
      <c r="DK72">
        <v>28.042000000000002</v>
      </c>
      <c r="DL72">
        <v>499.69799999999998</v>
      </c>
      <c r="DM72">
        <v>99.618399999999994</v>
      </c>
      <c r="DN72">
        <v>9.9293500000000007E-2</v>
      </c>
      <c r="DO72">
        <v>30.694199999999999</v>
      </c>
      <c r="DP72">
        <v>30.0443</v>
      </c>
      <c r="DQ72">
        <v>999.9</v>
      </c>
      <c r="DR72">
        <v>0</v>
      </c>
      <c r="DS72">
        <v>0</v>
      </c>
      <c r="DT72">
        <v>10035</v>
      </c>
      <c r="DU72">
        <v>0</v>
      </c>
      <c r="DV72">
        <v>486.75400000000002</v>
      </c>
      <c r="DW72">
        <v>-69.7654</v>
      </c>
      <c r="DX72">
        <v>1472.82</v>
      </c>
      <c r="DY72">
        <v>1534.5</v>
      </c>
      <c r="DZ72">
        <v>6.43004</v>
      </c>
      <c r="EA72">
        <v>1499.98</v>
      </c>
      <c r="EB72">
        <v>22.495999999999999</v>
      </c>
      <c r="EC72">
        <v>2.8815599999999999</v>
      </c>
      <c r="ED72">
        <v>2.2410100000000002</v>
      </c>
      <c r="EE72">
        <v>23.358899999999998</v>
      </c>
      <c r="EF72">
        <v>19.258500000000002</v>
      </c>
      <c r="EG72">
        <v>1800.03</v>
      </c>
      <c r="EH72">
        <v>0.97799800000000003</v>
      </c>
      <c r="EI72">
        <v>2.2001900000000001E-2</v>
      </c>
      <c r="EJ72">
        <v>0</v>
      </c>
      <c r="EK72">
        <v>806.33500000000004</v>
      </c>
      <c r="EL72">
        <v>5.0002700000000004</v>
      </c>
      <c r="EM72">
        <v>15342.9</v>
      </c>
      <c r="EN72">
        <v>16248.9</v>
      </c>
      <c r="EO72">
        <v>48.375</v>
      </c>
      <c r="EP72">
        <v>49.936999999999998</v>
      </c>
      <c r="EQ72">
        <v>49.561999999999998</v>
      </c>
      <c r="ER72">
        <v>49</v>
      </c>
      <c r="ES72">
        <v>50</v>
      </c>
      <c r="ET72">
        <v>1755.54</v>
      </c>
      <c r="EU72">
        <v>39.49</v>
      </c>
      <c r="EV72">
        <v>0</v>
      </c>
      <c r="EW72">
        <v>106.80000019073491</v>
      </c>
      <c r="EX72">
        <v>0</v>
      </c>
      <c r="EY72">
        <v>806.4351999999999</v>
      </c>
      <c r="EZ72">
        <v>-4.1880768920574551</v>
      </c>
      <c r="FA72">
        <v>-69.269230728676263</v>
      </c>
      <c r="FB72">
        <v>15351.26</v>
      </c>
      <c r="FC72">
        <v>15</v>
      </c>
      <c r="FD72">
        <v>1693506320.0999999</v>
      </c>
      <c r="FE72" t="s">
        <v>704</v>
      </c>
      <c r="FF72">
        <v>1693506314.5999999</v>
      </c>
      <c r="FG72">
        <v>1693506320.0999999</v>
      </c>
      <c r="FH72">
        <v>62</v>
      </c>
      <c r="FI72">
        <v>0.30499999999999999</v>
      </c>
      <c r="FJ72">
        <v>8.9999999999999993E-3</v>
      </c>
      <c r="FK72">
        <v>2.97</v>
      </c>
      <c r="FL72">
        <v>0.504</v>
      </c>
      <c r="FM72">
        <v>1500</v>
      </c>
      <c r="FN72">
        <v>22</v>
      </c>
      <c r="FO72">
        <v>0.15</v>
      </c>
      <c r="FP72">
        <v>0.04</v>
      </c>
      <c r="FQ72">
        <v>50.294985169026987</v>
      </c>
      <c r="FR72">
        <v>-0.11744516590851931</v>
      </c>
      <c r="FS72">
        <v>0.1667518273084998</v>
      </c>
      <c r="FT72">
        <v>1</v>
      </c>
      <c r="FU72">
        <v>0.41955749595697173</v>
      </c>
      <c r="FV72">
        <v>-3.5842104145822777E-2</v>
      </c>
      <c r="FW72">
        <v>3.0031384317445969E-3</v>
      </c>
      <c r="FX72">
        <v>1</v>
      </c>
      <c r="FY72">
        <v>2</v>
      </c>
      <c r="FZ72">
        <v>2</v>
      </c>
      <c r="GA72" t="s">
        <v>421</v>
      </c>
      <c r="GB72">
        <v>3.1176599999999999</v>
      </c>
      <c r="GC72">
        <v>2.86476</v>
      </c>
      <c r="GD72">
        <v>0.221915</v>
      </c>
      <c r="GE72">
        <v>0.233432</v>
      </c>
      <c r="GF72">
        <v>0.13017699999999999</v>
      </c>
      <c r="GG72">
        <v>0.11426600000000001</v>
      </c>
      <c r="GH72">
        <v>23513.8</v>
      </c>
      <c r="GI72">
        <v>17971</v>
      </c>
      <c r="GJ72">
        <v>29139</v>
      </c>
      <c r="GK72">
        <v>21852.9</v>
      </c>
      <c r="GL72">
        <v>33963.9</v>
      </c>
      <c r="GM72">
        <v>26645.1</v>
      </c>
      <c r="GN72">
        <v>40436.800000000003</v>
      </c>
      <c r="GO72">
        <v>31052.5</v>
      </c>
      <c r="GP72">
        <v>2.0173999999999999</v>
      </c>
      <c r="GQ72">
        <v>1.8938999999999999</v>
      </c>
      <c r="GR72">
        <v>5.1110999999999997E-2</v>
      </c>
      <c r="GS72">
        <v>0</v>
      </c>
      <c r="GT72">
        <v>29.212</v>
      </c>
      <c r="GU72">
        <v>999.9</v>
      </c>
      <c r="GV72">
        <v>64</v>
      </c>
      <c r="GW72">
        <v>29.7</v>
      </c>
      <c r="GX72">
        <v>26.901800000000001</v>
      </c>
      <c r="GY72">
        <v>61.687600000000003</v>
      </c>
      <c r="GZ72">
        <v>11.4984</v>
      </c>
      <c r="HA72">
        <v>1</v>
      </c>
      <c r="HB72">
        <v>0.29231699999999999</v>
      </c>
      <c r="HC72">
        <v>1.8342700000000001</v>
      </c>
      <c r="HD72">
        <v>20.267700000000001</v>
      </c>
      <c r="HE72">
        <v>5.2244799999999998</v>
      </c>
      <c r="HF72">
        <v>11.974</v>
      </c>
      <c r="HG72">
        <v>4.9732000000000003</v>
      </c>
      <c r="HH72">
        <v>3.2822</v>
      </c>
      <c r="HI72">
        <v>9999</v>
      </c>
      <c r="HJ72">
        <v>9999</v>
      </c>
      <c r="HK72">
        <v>9999</v>
      </c>
      <c r="HL72">
        <v>999.9</v>
      </c>
      <c r="HM72">
        <v>1.8610199999999999</v>
      </c>
      <c r="HN72">
        <v>1.8626799999999999</v>
      </c>
      <c r="HO72">
        <v>1.86815</v>
      </c>
      <c r="HP72">
        <v>1.85867</v>
      </c>
      <c r="HQ72">
        <v>1.8571500000000001</v>
      </c>
      <c r="HR72">
        <v>1.8608100000000001</v>
      </c>
      <c r="HS72">
        <v>1.8647800000000001</v>
      </c>
      <c r="HT72">
        <v>1.86676</v>
      </c>
      <c r="HU72">
        <v>5</v>
      </c>
      <c r="HV72">
        <v>0</v>
      </c>
      <c r="HW72">
        <v>0</v>
      </c>
      <c r="HX72">
        <v>0</v>
      </c>
      <c r="HY72" t="s">
        <v>422</v>
      </c>
      <c r="HZ72" t="s">
        <v>423</v>
      </c>
      <c r="IA72" t="s">
        <v>424</v>
      </c>
      <c r="IB72" t="s">
        <v>424</v>
      </c>
      <c r="IC72" t="s">
        <v>424</v>
      </c>
      <c r="ID72" t="s">
        <v>424</v>
      </c>
      <c r="IE72">
        <v>0</v>
      </c>
      <c r="IF72">
        <v>100</v>
      </c>
      <c r="IG72">
        <v>100</v>
      </c>
      <c r="IH72">
        <v>3</v>
      </c>
      <c r="II72">
        <v>0.88400000000000001</v>
      </c>
      <c r="IJ72">
        <v>3.257347592323415</v>
      </c>
      <c r="IK72">
        <v>1.118558698776514E-3</v>
      </c>
      <c r="IL72">
        <v>-1.6939696309573479E-6</v>
      </c>
      <c r="IM72">
        <v>5.4698917449866148E-10</v>
      </c>
      <c r="IN72">
        <v>-2.5836654974165429E-2</v>
      </c>
      <c r="IO72">
        <v>-7.6058941998734366E-3</v>
      </c>
      <c r="IP72">
        <v>1.6984902717538061E-3</v>
      </c>
      <c r="IQ72">
        <v>-9.6352527008986976E-6</v>
      </c>
      <c r="IR72">
        <v>2</v>
      </c>
      <c r="IS72">
        <v>2021</v>
      </c>
      <c r="IT72">
        <v>2</v>
      </c>
      <c r="IU72">
        <v>40</v>
      </c>
      <c r="IV72">
        <v>0.6</v>
      </c>
      <c r="IW72">
        <v>0.5</v>
      </c>
      <c r="IX72">
        <v>3.0224600000000001</v>
      </c>
      <c r="IY72">
        <v>2.47681</v>
      </c>
      <c r="IZ72">
        <v>1.34399</v>
      </c>
      <c r="JA72">
        <v>2.2497600000000002</v>
      </c>
      <c r="JB72">
        <v>1.5918000000000001</v>
      </c>
      <c r="JC72">
        <v>2.2692899999999998</v>
      </c>
      <c r="JD72">
        <v>35.591500000000003</v>
      </c>
      <c r="JE72">
        <v>24.008700000000001</v>
      </c>
      <c r="JF72">
        <v>18</v>
      </c>
      <c r="JG72">
        <v>515.02099999999996</v>
      </c>
      <c r="JH72">
        <v>473.19900000000001</v>
      </c>
      <c r="JI72">
        <v>27.2394</v>
      </c>
      <c r="JJ72">
        <v>31.3506</v>
      </c>
      <c r="JK72">
        <v>30.0002</v>
      </c>
      <c r="JL72">
        <v>31.1859</v>
      </c>
      <c r="JM72">
        <v>31.1313</v>
      </c>
      <c r="JN72">
        <v>60.547499999999999</v>
      </c>
      <c r="JO72">
        <v>26.230899999999998</v>
      </c>
      <c r="JP72">
        <v>100</v>
      </c>
      <c r="JQ72">
        <v>27.2119</v>
      </c>
      <c r="JR72">
        <v>1500</v>
      </c>
      <c r="JS72">
        <v>22.4693</v>
      </c>
      <c r="JT72">
        <v>99.347800000000007</v>
      </c>
      <c r="JU72">
        <v>98.104100000000003</v>
      </c>
    </row>
    <row r="73" spans="1:281" x14ac:dyDescent="0.25">
      <c r="A73">
        <v>57</v>
      </c>
      <c r="B73">
        <v>1693507075</v>
      </c>
      <c r="C73">
        <v>12148.400000095369</v>
      </c>
      <c r="D73" t="s">
        <v>705</v>
      </c>
      <c r="E73" t="s">
        <v>706</v>
      </c>
      <c r="F73" t="s">
        <v>413</v>
      </c>
      <c r="G73" t="s">
        <v>414</v>
      </c>
      <c r="H73" t="s">
        <v>707</v>
      </c>
      <c r="I73" t="s">
        <v>31</v>
      </c>
      <c r="J73">
        <v>1693507075</v>
      </c>
      <c r="K73">
        <f t="shared" si="46"/>
        <v>3.1709112882766679E-3</v>
      </c>
      <c r="L73">
        <f t="shared" si="47"/>
        <v>3.1709112882766681</v>
      </c>
      <c r="M73">
        <f t="shared" si="48"/>
        <v>37.09916838963295</v>
      </c>
      <c r="N73">
        <f t="shared" si="49"/>
        <v>354.03399999999999</v>
      </c>
      <c r="O73">
        <f t="shared" si="50"/>
        <v>72.676551015640229</v>
      </c>
      <c r="P73">
        <f t="shared" si="51"/>
        <v>7.2462342041556758</v>
      </c>
      <c r="Q73">
        <f t="shared" si="52"/>
        <v>35.299050992141403</v>
      </c>
      <c r="R73">
        <f t="shared" si="53"/>
        <v>0.22258261948374636</v>
      </c>
      <c r="S73">
        <f t="shared" si="54"/>
        <v>2.9217438266933184</v>
      </c>
      <c r="T73">
        <f t="shared" si="55"/>
        <v>0.21357316166710971</v>
      </c>
      <c r="U73">
        <f t="shared" si="56"/>
        <v>0.13426230290868885</v>
      </c>
      <c r="V73">
        <f t="shared" si="57"/>
        <v>344.37069964468202</v>
      </c>
      <c r="W73">
        <f t="shared" si="58"/>
        <v>31.872591672274897</v>
      </c>
      <c r="X73">
        <f t="shared" si="59"/>
        <v>30.0824</v>
      </c>
      <c r="Y73">
        <f t="shared" si="60"/>
        <v>4.2806560678437666</v>
      </c>
      <c r="Z73">
        <f t="shared" si="61"/>
        <v>64.462310937579787</v>
      </c>
      <c r="AA73">
        <f t="shared" si="62"/>
        <v>2.8532952540078305</v>
      </c>
      <c r="AB73">
        <f t="shared" si="63"/>
        <v>4.4262999766960514</v>
      </c>
      <c r="AC73">
        <f t="shared" si="64"/>
        <v>1.4273608138359362</v>
      </c>
      <c r="AD73">
        <f t="shared" si="65"/>
        <v>-139.83718781300107</v>
      </c>
      <c r="AE73">
        <f t="shared" si="66"/>
        <v>92.00571076517744</v>
      </c>
      <c r="AF73">
        <f t="shared" si="67"/>
        <v>7.027830296070114</v>
      </c>
      <c r="AG73">
        <f t="shared" si="68"/>
        <v>303.56705289292853</v>
      </c>
      <c r="AH73">
        <v>0</v>
      </c>
      <c r="AI73">
        <v>0</v>
      </c>
      <c r="AJ73">
        <f t="shared" si="69"/>
        <v>1</v>
      </c>
      <c r="AK73">
        <f t="shared" si="70"/>
        <v>0</v>
      </c>
      <c r="AL73">
        <f t="shared" si="71"/>
        <v>52007.690532566703</v>
      </c>
      <c r="AM73" t="s">
        <v>416</v>
      </c>
      <c r="AN73">
        <v>10366.9</v>
      </c>
      <c r="AO73">
        <v>993.59653846153856</v>
      </c>
      <c r="AP73">
        <v>3431.87</v>
      </c>
      <c r="AQ73">
        <f t="shared" si="72"/>
        <v>0.71047955241266758</v>
      </c>
      <c r="AR73">
        <v>-3.9894345373445681</v>
      </c>
      <c r="AS73" t="s">
        <v>708</v>
      </c>
      <c r="AT73">
        <v>10377.5</v>
      </c>
      <c r="AU73">
        <v>754.36346153846148</v>
      </c>
      <c r="AV73">
        <v>1033.535223479149</v>
      </c>
      <c r="AW73">
        <f t="shared" si="73"/>
        <v>0.27011344712657448</v>
      </c>
      <c r="AX73">
        <v>0.5</v>
      </c>
      <c r="AY73">
        <f t="shared" si="74"/>
        <v>1513.1927998223409</v>
      </c>
      <c r="AZ73">
        <f t="shared" si="75"/>
        <v>37.09916838963295</v>
      </c>
      <c r="BA73">
        <f t="shared" si="76"/>
        <v>204.36686166356253</v>
      </c>
      <c r="BB73">
        <f t="shared" si="77"/>
        <v>2.7153580780850659E-2</v>
      </c>
      <c r="BC73">
        <f t="shared" si="78"/>
        <v>2.3205157618599888</v>
      </c>
      <c r="BD73">
        <f t="shared" si="79"/>
        <v>594.31432604021245</v>
      </c>
      <c r="BE73" t="s">
        <v>709</v>
      </c>
      <c r="BF73">
        <v>568.99</v>
      </c>
      <c r="BG73">
        <f t="shared" si="80"/>
        <v>568.99</v>
      </c>
      <c r="BH73">
        <f t="shared" si="81"/>
        <v>0.44947207693161018</v>
      </c>
      <c r="BI73">
        <f t="shared" si="82"/>
        <v>0.6009571250132939</v>
      </c>
      <c r="BJ73">
        <f t="shared" si="83"/>
        <v>0.83773499990249356</v>
      </c>
      <c r="BK73">
        <f t="shared" si="84"/>
        <v>6.9900088552637785</v>
      </c>
      <c r="BL73">
        <f t="shared" si="85"/>
        <v>0.98362009608536249</v>
      </c>
      <c r="BM73">
        <f t="shared" si="86"/>
        <v>0.45328096069759111</v>
      </c>
      <c r="BN73">
        <f t="shared" si="87"/>
        <v>0.54671903930240884</v>
      </c>
      <c r="BO73">
        <v>2261</v>
      </c>
      <c r="BP73">
        <v>290.00000000000011</v>
      </c>
      <c r="BQ73">
        <v>959.58</v>
      </c>
      <c r="BR73">
        <v>205</v>
      </c>
      <c r="BS73">
        <v>10377.5</v>
      </c>
      <c r="BT73">
        <v>958.95</v>
      </c>
      <c r="BU73">
        <v>0.63</v>
      </c>
      <c r="BV73">
        <v>300.00000000000011</v>
      </c>
      <c r="BW73">
        <v>38.4</v>
      </c>
      <c r="BX73">
        <v>1033.535223479149</v>
      </c>
      <c r="BY73">
        <v>1.1480523831447449</v>
      </c>
      <c r="BZ73">
        <v>-77.399507231411505</v>
      </c>
      <c r="CA73">
        <v>0.97494150250918399</v>
      </c>
      <c r="CB73">
        <v>0.99557703374194839</v>
      </c>
      <c r="CC73">
        <v>-1.129197686318132E-2</v>
      </c>
      <c r="CD73">
        <v>289.99999999999989</v>
      </c>
      <c r="CE73">
        <v>955.37</v>
      </c>
      <c r="CF73">
        <v>685</v>
      </c>
      <c r="CG73">
        <v>10352.799999999999</v>
      </c>
      <c r="CH73">
        <v>958.77</v>
      </c>
      <c r="CI73">
        <v>-3.4</v>
      </c>
      <c r="CW73">
        <f t="shared" si="88"/>
        <v>1800.01</v>
      </c>
      <c r="CX73">
        <f t="shared" si="89"/>
        <v>1513.1927998223409</v>
      </c>
      <c r="CY73">
        <f t="shared" si="90"/>
        <v>0.84065799624576587</v>
      </c>
      <c r="CZ73">
        <f t="shared" si="91"/>
        <v>0.19131599249153172</v>
      </c>
      <c r="DA73">
        <v>6</v>
      </c>
      <c r="DB73">
        <v>0.5</v>
      </c>
      <c r="DC73" t="s">
        <v>419</v>
      </c>
      <c r="DD73">
        <v>2</v>
      </c>
      <c r="DE73">
        <v>1693507075</v>
      </c>
      <c r="DF73">
        <v>354.03399999999999</v>
      </c>
      <c r="DG73">
        <v>399.91500000000002</v>
      </c>
      <c r="DH73">
        <v>28.6173</v>
      </c>
      <c r="DI73">
        <v>24.919899999999998</v>
      </c>
      <c r="DJ73">
        <v>351.77</v>
      </c>
      <c r="DK73">
        <v>27.7879</v>
      </c>
      <c r="DL73">
        <v>499.83800000000002</v>
      </c>
      <c r="DM73">
        <v>99.605500000000006</v>
      </c>
      <c r="DN73">
        <v>9.9757100000000001E-2</v>
      </c>
      <c r="DO73">
        <v>30.666499999999999</v>
      </c>
      <c r="DP73">
        <v>30.0824</v>
      </c>
      <c r="DQ73">
        <v>999.9</v>
      </c>
      <c r="DR73">
        <v>0</v>
      </c>
      <c r="DS73">
        <v>0</v>
      </c>
      <c r="DT73">
        <v>9995</v>
      </c>
      <c r="DU73">
        <v>0</v>
      </c>
      <c r="DV73">
        <v>1241.08</v>
      </c>
      <c r="DW73">
        <v>-45.880200000000002</v>
      </c>
      <c r="DX73">
        <v>364.464</v>
      </c>
      <c r="DY73">
        <v>410.13499999999999</v>
      </c>
      <c r="DZ73">
        <v>3.6973500000000001</v>
      </c>
      <c r="EA73">
        <v>399.91500000000002</v>
      </c>
      <c r="EB73">
        <v>24.919899999999998</v>
      </c>
      <c r="EC73">
        <v>2.8504399999999999</v>
      </c>
      <c r="ED73">
        <v>2.4821599999999999</v>
      </c>
      <c r="EE73">
        <v>23.179099999999998</v>
      </c>
      <c r="EF73">
        <v>20.91</v>
      </c>
      <c r="EG73">
        <v>1800.01</v>
      </c>
      <c r="EH73">
        <v>0.97800799999999999</v>
      </c>
      <c r="EI73">
        <v>2.1992399999999999E-2</v>
      </c>
      <c r="EJ73">
        <v>0</v>
      </c>
      <c r="EK73">
        <v>754.02800000000002</v>
      </c>
      <c r="EL73">
        <v>5.0002700000000004</v>
      </c>
      <c r="EM73">
        <v>14370.3</v>
      </c>
      <c r="EN73">
        <v>16248.7</v>
      </c>
      <c r="EO73">
        <v>50.625</v>
      </c>
      <c r="EP73">
        <v>51.875</v>
      </c>
      <c r="EQ73">
        <v>51.686999999999998</v>
      </c>
      <c r="ER73">
        <v>51.186999999999998</v>
      </c>
      <c r="ES73">
        <v>52</v>
      </c>
      <c r="ET73">
        <v>1755.53</v>
      </c>
      <c r="EU73">
        <v>39.479999999999997</v>
      </c>
      <c r="EV73">
        <v>0</v>
      </c>
      <c r="EW73">
        <v>720.60000014305115</v>
      </c>
      <c r="EX73">
        <v>0</v>
      </c>
      <c r="EY73">
        <v>754.36346153846148</v>
      </c>
      <c r="EZ73">
        <v>-2.485811971652875</v>
      </c>
      <c r="FA73">
        <v>-72.752136974909234</v>
      </c>
      <c r="FB73">
        <v>14387.90769230769</v>
      </c>
      <c r="FC73">
        <v>15</v>
      </c>
      <c r="FD73">
        <v>1693507030</v>
      </c>
      <c r="FE73" t="s">
        <v>710</v>
      </c>
      <c r="FF73">
        <v>1693507023</v>
      </c>
      <c r="FG73">
        <v>1693507030</v>
      </c>
      <c r="FH73">
        <v>64</v>
      </c>
      <c r="FI73">
        <v>0.16700000000000001</v>
      </c>
      <c r="FJ73">
        <v>-9.6000000000000002E-2</v>
      </c>
      <c r="FK73">
        <v>2.2679999999999998</v>
      </c>
      <c r="FL73">
        <v>0.373</v>
      </c>
      <c r="FM73">
        <v>400</v>
      </c>
      <c r="FN73">
        <v>20</v>
      </c>
      <c r="FO73">
        <v>0.13</v>
      </c>
      <c r="FP73">
        <v>0.03</v>
      </c>
      <c r="FQ73">
        <v>37.054605624039667</v>
      </c>
      <c r="FR73">
        <v>-0.19574006624253221</v>
      </c>
      <c r="FS73">
        <v>8.1849238542801239E-2</v>
      </c>
      <c r="FT73">
        <v>1</v>
      </c>
      <c r="FU73">
        <v>0.22789201090226599</v>
      </c>
      <c r="FV73">
        <v>5.3931665369001836E-3</v>
      </c>
      <c r="FW73">
        <v>3.044297389442526E-3</v>
      </c>
      <c r="FX73">
        <v>1</v>
      </c>
      <c r="FY73">
        <v>2</v>
      </c>
      <c r="FZ73">
        <v>2</v>
      </c>
      <c r="GA73" t="s">
        <v>421</v>
      </c>
      <c r="GB73">
        <v>3.1183999999999998</v>
      </c>
      <c r="GC73">
        <v>2.8648699999999998</v>
      </c>
      <c r="GD73">
        <v>8.3852800000000005E-2</v>
      </c>
      <c r="GE73">
        <v>9.5149899999999996E-2</v>
      </c>
      <c r="GF73">
        <v>0.12917999999999999</v>
      </c>
      <c r="GG73">
        <v>0.122541</v>
      </c>
      <c r="GH73">
        <v>27649</v>
      </c>
      <c r="GI73">
        <v>21187.9</v>
      </c>
      <c r="GJ73">
        <v>29101.599999999999</v>
      </c>
      <c r="GK73">
        <v>21827.8</v>
      </c>
      <c r="GL73">
        <v>33954.1</v>
      </c>
      <c r="GM73">
        <v>26359.8</v>
      </c>
      <c r="GN73">
        <v>40386.400000000001</v>
      </c>
      <c r="GO73">
        <v>31020.7</v>
      </c>
      <c r="GP73">
        <v>2.0089000000000001</v>
      </c>
      <c r="GQ73">
        <v>1.8814</v>
      </c>
      <c r="GR73">
        <v>6.2674300000000002E-2</v>
      </c>
      <c r="GS73">
        <v>0</v>
      </c>
      <c r="GT73">
        <v>29.061800000000002</v>
      </c>
      <c r="GU73">
        <v>999.9</v>
      </c>
      <c r="GV73">
        <v>63.2</v>
      </c>
      <c r="GW73">
        <v>30.1</v>
      </c>
      <c r="GX73">
        <v>27.1892</v>
      </c>
      <c r="GY73">
        <v>61.537599999999998</v>
      </c>
      <c r="GZ73">
        <v>11.149800000000001</v>
      </c>
      <c r="HA73">
        <v>1</v>
      </c>
      <c r="HB73">
        <v>0.349217</v>
      </c>
      <c r="HC73">
        <v>2.60025</v>
      </c>
      <c r="HD73">
        <v>20.314900000000002</v>
      </c>
      <c r="HE73">
        <v>5.23346</v>
      </c>
      <c r="HF73">
        <v>11.974600000000001</v>
      </c>
      <c r="HG73">
        <v>4.9753999999999996</v>
      </c>
      <c r="HH73">
        <v>3.2839999999999998</v>
      </c>
      <c r="HI73">
        <v>9999</v>
      </c>
      <c r="HJ73">
        <v>9999</v>
      </c>
      <c r="HK73">
        <v>9999</v>
      </c>
      <c r="HL73">
        <v>999.9</v>
      </c>
      <c r="HM73">
        <v>1.8605</v>
      </c>
      <c r="HN73">
        <v>1.8621799999999999</v>
      </c>
      <c r="HO73">
        <v>1.86768</v>
      </c>
      <c r="HP73">
        <v>1.85822</v>
      </c>
      <c r="HQ73">
        <v>1.8566</v>
      </c>
      <c r="HR73">
        <v>1.8603499999999999</v>
      </c>
      <c r="HS73">
        <v>1.8641799999999999</v>
      </c>
      <c r="HT73">
        <v>1.8662700000000001</v>
      </c>
      <c r="HU73">
        <v>5</v>
      </c>
      <c r="HV73">
        <v>0</v>
      </c>
      <c r="HW73">
        <v>0</v>
      </c>
      <c r="HX73">
        <v>0</v>
      </c>
      <c r="HY73" t="s">
        <v>422</v>
      </c>
      <c r="HZ73" t="s">
        <v>423</v>
      </c>
      <c r="IA73" t="s">
        <v>424</v>
      </c>
      <c r="IB73" t="s">
        <v>424</v>
      </c>
      <c r="IC73" t="s">
        <v>424</v>
      </c>
      <c r="ID73" t="s">
        <v>424</v>
      </c>
      <c r="IE73">
        <v>0</v>
      </c>
      <c r="IF73">
        <v>100</v>
      </c>
      <c r="IG73">
        <v>100</v>
      </c>
      <c r="IH73">
        <v>2.2639999999999998</v>
      </c>
      <c r="II73">
        <v>0.82940000000000003</v>
      </c>
      <c r="IJ73">
        <v>2.057115510966788</v>
      </c>
      <c r="IK73">
        <v>1.118558698776514E-3</v>
      </c>
      <c r="IL73">
        <v>-1.6939696309573479E-6</v>
      </c>
      <c r="IM73">
        <v>5.4698917449866148E-10</v>
      </c>
      <c r="IN73">
        <v>-6.4052779544518768E-2</v>
      </c>
      <c r="IO73">
        <v>-7.6058941998734366E-3</v>
      </c>
      <c r="IP73">
        <v>1.6984902717538061E-3</v>
      </c>
      <c r="IQ73">
        <v>-9.6352527008986976E-6</v>
      </c>
      <c r="IR73">
        <v>2</v>
      </c>
      <c r="IS73">
        <v>2021</v>
      </c>
      <c r="IT73">
        <v>2</v>
      </c>
      <c r="IU73">
        <v>40</v>
      </c>
      <c r="IV73">
        <v>0.9</v>
      </c>
      <c r="IW73">
        <v>0.8</v>
      </c>
      <c r="IX73">
        <v>1.02661</v>
      </c>
      <c r="IY73">
        <v>2.4597199999999999</v>
      </c>
      <c r="IZ73">
        <v>1.34399</v>
      </c>
      <c r="JA73">
        <v>2.2497600000000002</v>
      </c>
      <c r="JB73">
        <v>1.5918000000000001</v>
      </c>
      <c r="JC73">
        <v>2.3938000000000001</v>
      </c>
      <c r="JD73">
        <v>34.944400000000002</v>
      </c>
      <c r="JE73">
        <v>16.058299999999999</v>
      </c>
      <c r="JF73">
        <v>18</v>
      </c>
      <c r="JG73">
        <v>514.03</v>
      </c>
      <c r="JH73">
        <v>469.01299999999998</v>
      </c>
      <c r="JI73">
        <v>26.298300000000001</v>
      </c>
      <c r="JJ73">
        <v>31.9114</v>
      </c>
      <c r="JK73">
        <v>30.000900000000001</v>
      </c>
      <c r="JL73">
        <v>31.704799999999999</v>
      </c>
      <c r="JM73">
        <v>31.638500000000001</v>
      </c>
      <c r="JN73">
        <v>20.627099999999999</v>
      </c>
      <c r="JO73">
        <v>17.6524</v>
      </c>
      <c r="JP73">
        <v>97.430099999999996</v>
      </c>
      <c r="JQ73">
        <v>26.316199999999998</v>
      </c>
      <c r="JR73">
        <v>400</v>
      </c>
      <c r="JS73">
        <v>24.856400000000001</v>
      </c>
      <c r="JT73">
        <v>99.222399999999993</v>
      </c>
      <c r="JU73">
        <v>97.998599999999996</v>
      </c>
    </row>
    <row r="74" spans="1:281" x14ac:dyDescent="0.25">
      <c r="A74">
        <v>58</v>
      </c>
      <c r="B74">
        <v>1693507180.5</v>
      </c>
      <c r="C74">
        <v>12253.900000095369</v>
      </c>
      <c r="D74" t="s">
        <v>711</v>
      </c>
      <c r="E74" t="s">
        <v>712</v>
      </c>
      <c r="F74" t="s">
        <v>413</v>
      </c>
      <c r="G74" t="s">
        <v>414</v>
      </c>
      <c r="H74" t="s">
        <v>707</v>
      </c>
      <c r="I74" t="s">
        <v>31</v>
      </c>
      <c r="J74">
        <v>1693507180.5</v>
      </c>
      <c r="K74">
        <f t="shared" si="46"/>
        <v>3.7263863387407619E-3</v>
      </c>
      <c r="L74">
        <f t="shared" si="47"/>
        <v>3.7263863387407619</v>
      </c>
      <c r="M74">
        <f t="shared" si="48"/>
        <v>28.671724571099226</v>
      </c>
      <c r="N74">
        <f t="shared" si="49"/>
        <v>264.46800000000002</v>
      </c>
      <c r="O74">
        <f t="shared" si="50"/>
        <v>86.245264485794522</v>
      </c>
      <c r="P74">
        <f t="shared" si="51"/>
        <v>8.5991467096181591</v>
      </c>
      <c r="Q74">
        <f t="shared" si="52"/>
        <v>26.368973943768001</v>
      </c>
      <c r="R74">
        <f t="shared" si="53"/>
        <v>0.27499287184235566</v>
      </c>
      <c r="S74">
        <f t="shared" si="54"/>
        <v>2.9269998073521832</v>
      </c>
      <c r="T74">
        <f t="shared" si="55"/>
        <v>0.26140367809137893</v>
      </c>
      <c r="U74">
        <f t="shared" si="56"/>
        <v>0.16454225688595914</v>
      </c>
      <c r="V74">
        <f t="shared" si="57"/>
        <v>344.39849964452969</v>
      </c>
      <c r="W74">
        <f t="shared" si="58"/>
        <v>31.522285868798381</v>
      </c>
      <c r="X74">
        <f t="shared" si="59"/>
        <v>29.9222</v>
      </c>
      <c r="Y74">
        <f t="shared" si="60"/>
        <v>4.2414478432739431</v>
      </c>
      <c r="Z74">
        <f t="shared" si="61"/>
        <v>65.620698868599021</v>
      </c>
      <c r="AA74">
        <f t="shared" si="62"/>
        <v>2.8708070275728002</v>
      </c>
      <c r="AB74">
        <f t="shared" si="63"/>
        <v>4.3748498218853111</v>
      </c>
      <c r="AC74">
        <f t="shared" si="64"/>
        <v>1.3706408157011429</v>
      </c>
      <c r="AD74">
        <f t="shared" si="65"/>
        <v>-164.3336375384676</v>
      </c>
      <c r="AE74">
        <f t="shared" si="66"/>
        <v>85.196443310182815</v>
      </c>
      <c r="AF74">
        <f t="shared" si="67"/>
        <v>6.4843161479861564</v>
      </c>
      <c r="AG74">
        <f t="shared" si="68"/>
        <v>271.74562156423104</v>
      </c>
      <c r="AH74">
        <v>0</v>
      </c>
      <c r="AI74">
        <v>0</v>
      </c>
      <c r="AJ74">
        <f t="shared" si="69"/>
        <v>1</v>
      </c>
      <c r="AK74">
        <f t="shared" si="70"/>
        <v>0</v>
      </c>
      <c r="AL74">
        <f t="shared" si="71"/>
        <v>52192.600558422484</v>
      </c>
      <c r="AM74" t="s">
        <v>416</v>
      </c>
      <c r="AN74">
        <v>10366.9</v>
      </c>
      <c r="AO74">
        <v>993.59653846153856</v>
      </c>
      <c r="AP74">
        <v>3431.87</v>
      </c>
      <c r="AQ74">
        <f t="shared" si="72"/>
        <v>0.71047955241266758</v>
      </c>
      <c r="AR74">
        <v>-3.9894345373445681</v>
      </c>
      <c r="AS74" t="s">
        <v>713</v>
      </c>
      <c r="AT74">
        <v>10378.6</v>
      </c>
      <c r="AU74">
        <v>751.09411999999998</v>
      </c>
      <c r="AV74">
        <v>976.4710459901795</v>
      </c>
      <c r="AW74">
        <f t="shared" si="73"/>
        <v>0.23080758709198446</v>
      </c>
      <c r="AX74">
        <v>0.5</v>
      </c>
      <c r="AY74">
        <f t="shared" si="74"/>
        <v>1513.3109998222649</v>
      </c>
      <c r="AZ74">
        <f t="shared" si="75"/>
        <v>28.671724571099226</v>
      </c>
      <c r="BA74">
        <f t="shared" si="76"/>
        <v>174.64183019436774</v>
      </c>
      <c r="BB74">
        <f t="shared" si="77"/>
        <v>2.1582582240054941E-2</v>
      </c>
      <c r="BC74">
        <f t="shared" si="78"/>
        <v>2.5145640150752762</v>
      </c>
      <c r="BD74">
        <f t="shared" si="79"/>
        <v>574.9921074077339</v>
      </c>
      <c r="BE74" t="s">
        <v>714</v>
      </c>
      <c r="BF74">
        <v>560.49</v>
      </c>
      <c r="BG74">
        <f t="shared" si="80"/>
        <v>560.49</v>
      </c>
      <c r="BH74">
        <f t="shared" si="81"/>
        <v>0.42600448594802787</v>
      </c>
      <c r="BI74">
        <f t="shared" si="82"/>
        <v>0.54179614230668638</v>
      </c>
      <c r="BJ74">
        <f t="shared" si="83"/>
        <v>0.85512852844618981</v>
      </c>
      <c r="BK74">
        <f t="shared" si="84"/>
        <v>-13.160317950978841</v>
      </c>
      <c r="BL74">
        <f t="shared" si="85"/>
        <v>1.0070236143490456</v>
      </c>
      <c r="BM74">
        <f t="shared" si="86"/>
        <v>0.4043052817421533</v>
      </c>
      <c r="BN74">
        <f t="shared" si="87"/>
        <v>0.5956947182578467</v>
      </c>
      <c r="BO74">
        <v>2263</v>
      </c>
      <c r="BP74">
        <v>290.00000000000011</v>
      </c>
      <c r="BQ74">
        <v>917.5</v>
      </c>
      <c r="BR74">
        <v>225</v>
      </c>
      <c r="BS74">
        <v>10378.6</v>
      </c>
      <c r="BT74">
        <v>917.68</v>
      </c>
      <c r="BU74">
        <v>-0.18</v>
      </c>
      <c r="BV74">
        <v>300.00000000000011</v>
      </c>
      <c r="BW74">
        <v>38.4</v>
      </c>
      <c r="BX74">
        <v>976.4710459901795</v>
      </c>
      <c r="BY74">
        <v>1.1385001842861671</v>
      </c>
      <c r="BZ74">
        <v>-61.016947886512021</v>
      </c>
      <c r="CA74">
        <v>0.96726232695987524</v>
      </c>
      <c r="CB74">
        <v>0.9930128433039902</v>
      </c>
      <c r="CC74">
        <v>-1.1296026028921021E-2</v>
      </c>
      <c r="CD74">
        <v>289.99999999999989</v>
      </c>
      <c r="CE74">
        <v>915.95</v>
      </c>
      <c r="CF74">
        <v>655</v>
      </c>
      <c r="CG74">
        <v>10360.299999999999</v>
      </c>
      <c r="CH74">
        <v>917.58</v>
      </c>
      <c r="CI74">
        <v>-1.63</v>
      </c>
      <c r="CW74">
        <f t="shared" si="88"/>
        <v>1800.15</v>
      </c>
      <c r="CX74">
        <f t="shared" si="89"/>
        <v>1513.3109998222649</v>
      </c>
      <c r="CY74">
        <f t="shared" si="90"/>
        <v>0.84065827837806006</v>
      </c>
      <c r="CZ74">
        <f t="shared" si="91"/>
        <v>0.19131655675612014</v>
      </c>
      <c r="DA74">
        <v>6</v>
      </c>
      <c r="DB74">
        <v>0.5</v>
      </c>
      <c r="DC74" t="s">
        <v>419</v>
      </c>
      <c r="DD74">
        <v>2</v>
      </c>
      <c r="DE74">
        <v>1693507180.5</v>
      </c>
      <c r="DF74">
        <v>264.46800000000002</v>
      </c>
      <c r="DG74">
        <v>300.03199999999998</v>
      </c>
      <c r="DH74">
        <v>28.7928</v>
      </c>
      <c r="DI74">
        <v>24.4529</v>
      </c>
      <c r="DJ74">
        <v>262.45699999999999</v>
      </c>
      <c r="DK74">
        <v>27.924600000000002</v>
      </c>
      <c r="DL74">
        <v>500.34699999999998</v>
      </c>
      <c r="DM74">
        <v>99.605699999999999</v>
      </c>
      <c r="DN74">
        <v>0.100026</v>
      </c>
      <c r="DO74">
        <v>30.4621</v>
      </c>
      <c r="DP74">
        <v>29.9222</v>
      </c>
      <c r="DQ74">
        <v>999.9</v>
      </c>
      <c r="DR74">
        <v>0</v>
      </c>
      <c r="DS74">
        <v>0</v>
      </c>
      <c r="DT74">
        <v>10025</v>
      </c>
      <c r="DU74">
        <v>0</v>
      </c>
      <c r="DV74">
        <v>1246.53</v>
      </c>
      <c r="DW74">
        <v>-35.564300000000003</v>
      </c>
      <c r="DX74">
        <v>272.30799999999999</v>
      </c>
      <c r="DY74">
        <v>307.553</v>
      </c>
      <c r="DZ74">
        <v>4.3398399999999997</v>
      </c>
      <c r="EA74">
        <v>300.03199999999998</v>
      </c>
      <c r="EB74">
        <v>24.4529</v>
      </c>
      <c r="EC74">
        <v>2.8679199999999998</v>
      </c>
      <c r="ED74">
        <v>2.4356499999999999</v>
      </c>
      <c r="EE74">
        <v>23.2803</v>
      </c>
      <c r="EF74">
        <v>20.602799999999998</v>
      </c>
      <c r="EG74">
        <v>1800.15</v>
      </c>
      <c r="EH74">
        <v>0.97799599999999998</v>
      </c>
      <c r="EI74">
        <v>2.2003600000000002E-2</v>
      </c>
      <c r="EJ74">
        <v>0</v>
      </c>
      <c r="EK74">
        <v>751.14599999999996</v>
      </c>
      <c r="EL74">
        <v>5.0002700000000004</v>
      </c>
      <c r="EM74">
        <v>14321.8</v>
      </c>
      <c r="EN74">
        <v>16249.9</v>
      </c>
      <c r="EO74">
        <v>49.875</v>
      </c>
      <c r="EP74">
        <v>51.25</v>
      </c>
      <c r="EQ74">
        <v>51</v>
      </c>
      <c r="ER74">
        <v>50.061999999999998</v>
      </c>
      <c r="ES74">
        <v>51.375</v>
      </c>
      <c r="ET74">
        <v>1755.65</v>
      </c>
      <c r="EU74">
        <v>39.5</v>
      </c>
      <c r="EV74">
        <v>0</v>
      </c>
      <c r="EW74">
        <v>103.4000000953674</v>
      </c>
      <c r="EX74">
        <v>0</v>
      </c>
      <c r="EY74">
        <v>751.09411999999998</v>
      </c>
      <c r="EZ74">
        <v>-1.241076916656489</v>
      </c>
      <c r="FA74">
        <v>-85.56923024979632</v>
      </c>
      <c r="FB74">
        <v>14305.824000000001</v>
      </c>
      <c r="FC74">
        <v>15</v>
      </c>
      <c r="FD74">
        <v>1693507143</v>
      </c>
      <c r="FE74" t="s">
        <v>715</v>
      </c>
      <c r="FF74">
        <v>1693507140.5</v>
      </c>
      <c r="FG74">
        <v>1693507143</v>
      </c>
      <c r="FH74">
        <v>65</v>
      </c>
      <c r="FI74">
        <v>-0.23300000000000001</v>
      </c>
      <c r="FJ74">
        <v>0.03</v>
      </c>
      <c r="FK74">
        <v>2.0209999999999999</v>
      </c>
      <c r="FL74">
        <v>0.63100000000000001</v>
      </c>
      <c r="FM74">
        <v>300</v>
      </c>
      <c r="FN74">
        <v>25</v>
      </c>
      <c r="FO74">
        <v>0.2</v>
      </c>
      <c r="FP74">
        <v>0.06</v>
      </c>
      <c r="FQ74">
        <v>28.464442510391329</v>
      </c>
      <c r="FR74">
        <v>0.53853793147176454</v>
      </c>
      <c r="FS74">
        <v>9.6403548968925168E-2</v>
      </c>
      <c r="FT74">
        <v>1</v>
      </c>
      <c r="FU74">
        <v>0.27654409360960219</v>
      </c>
      <c r="FV74">
        <v>-1.9136745380335489E-2</v>
      </c>
      <c r="FW74">
        <v>1.5303578148287229E-3</v>
      </c>
      <c r="FX74">
        <v>1</v>
      </c>
      <c r="FY74">
        <v>2</v>
      </c>
      <c r="FZ74">
        <v>2</v>
      </c>
      <c r="GA74" t="s">
        <v>421</v>
      </c>
      <c r="GB74">
        <v>3.1188699999999998</v>
      </c>
      <c r="GC74">
        <v>2.8654000000000002</v>
      </c>
      <c r="GD74">
        <v>6.5951800000000005E-2</v>
      </c>
      <c r="GE74">
        <v>7.5728799999999999E-2</v>
      </c>
      <c r="GF74">
        <v>0.129606</v>
      </c>
      <c r="GG74">
        <v>0.12092899999999999</v>
      </c>
      <c r="GH74">
        <v>28188.5</v>
      </c>
      <c r="GI74">
        <v>21638.5</v>
      </c>
      <c r="GJ74">
        <v>29101.200000000001</v>
      </c>
      <c r="GK74">
        <v>21823.7</v>
      </c>
      <c r="GL74">
        <v>33935.300000000003</v>
      </c>
      <c r="GM74">
        <v>26402.3</v>
      </c>
      <c r="GN74">
        <v>40385.599999999999</v>
      </c>
      <c r="GO74">
        <v>31015.5</v>
      </c>
      <c r="GP74">
        <v>2.0093999999999999</v>
      </c>
      <c r="GQ74">
        <v>1.8783000000000001</v>
      </c>
      <c r="GR74">
        <v>5.9247000000000001E-2</v>
      </c>
      <c r="GS74">
        <v>0</v>
      </c>
      <c r="GT74">
        <v>28.9572</v>
      </c>
      <c r="GU74">
        <v>999.9</v>
      </c>
      <c r="GV74">
        <v>63.5</v>
      </c>
      <c r="GW74">
        <v>30.1</v>
      </c>
      <c r="GX74">
        <v>27.317299999999999</v>
      </c>
      <c r="GY74">
        <v>61.297600000000003</v>
      </c>
      <c r="GZ74">
        <v>11.570499999999999</v>
      </c>
      <c r="HA74">
        <v>1</v>
      </c>
      <c r="HB74">
        <v>0.34951199999999999</v>
      </c>
      <c r="HC74">
        <v>1.8228800000000001</v>
      </c>
      <c r="HD74">
        <v>20.325900000000001</v>
      </c>
      <c r="HE74">
        <v>5.23346</v>
      </c>
      <c r="HF74">
        <v>11.975199999999999</v>
      </c>
      <c r="HG74">
        <v>4.9737999999999998</v>
      </c>
      <c r="HH74">
        <v>3.2839999999999998</v>
      </c>
      <c r="HI74">
        <v>9999</v>
      </c>
      <c r="HJ74">
        <v>9999</v>
      </c>
      <c r="HK74">
        <v>9999</v>
      </c>
      <c r="HL74">
        <v>999.9</v>
      </c>
      <c r="HM74">
        <v>1.8605</v>
      </c>
      <c r="HN74">
        <v>1.8621799999999999</v>
      </c>
      <c r="HO74">
        <v>1.86768</v>
      </c>
      <c r="HP74">
        <v>1.85816</v>
      </c>
      <c r="HQ74">
        <v>1.85663</v>
      </c>
      <c r="HR74">
        <v>1.86033</v>
      </c>
      <c r="HS74">
        <v>1.8642000000000001</v>
      </c>
      <c r="HT74">
        <v>1.8663000000000001</v>
      </c>
      <c r="HU74">
        <v>5</v>
      </c>
      <c r="HV74">
        <v>0</v>
      </c>
      <c r="HW74">
        <v>0</v>
      </c>
      <c r="HX74">
        <v>0</v>
      </c>
      <c r="HY74" t="s">
        <v>422</v>
      </c>
      <c r="HZ74" t="s">
        <v>423</v>
      </c>
      <c r="IA74" t="s">
        <v>424</v>
      </c>
      <c r="IB74" t="s">
        <v>424</v>
      </c>
      <c r="IC74" t="s">
        <v>424</v>
      </c>
      <c r="ID74" t="s">
        <v>424</v>
      </c>
      <c r="IE74">
        <v>0</v>
      </c>
      <c r="IF74">
        <v>100</v>
      </c>
      <c r="IG74">
        <v>100</v>
      </c>
      <c r="IH74">
        <v>2.0110000000000001</v>
      </c>
      <c r="II74">
        <v>0.86819999999999997</v>
      </c>
      <c r="IJ74">
        <v>1.8237420731274641</v>
      </c>
      <c r="IK74">
        <v>1.118558698776514E-3</v>
      </c>
      <c r="IL74">
        <v>-1.6939696309573479E-6</v>
      </c>
      <c r="IM74">
        <v>5.4698917449866148E-10</v>
      </c>
      <c r="IN74">
        <v>-3.4078734397286807E-2</v>
      </c>
      <c r="IO74">
        <v>-7.6058941998734366E-3</v>
      </c>
      <c r="IP74">
        <v>1.6984902717538061E-3</v>
      </c>
      <c r="IQ74">
        <v>-9.6352527008986976E-6</v>
      </c>
      <c r="IR74">
        <v>2</v>
      </c>
      <c r="IS74">
        <v>2021</v>
      </c>
      <c r="IT74">
        <v>2</v>
      </c>
      <c r="IU74">
        <v>40</v>
      </c>
      <c r="IV74">
        <v>0.7</v>
      </c>
      <c r="IW74">
        <v>0.6</v>
      </c>
      <c r="IX74">
        <v>0.81664999999999999</v>
      </c>
      <c r="IY74">
        <v>2.48169</v>
      </c>
      <c r="IZ74">
        <v>1.34399</v>
      </c>
      <c r="JA74">
        <v>2.2485400000000002</v>
      </c>
      <c r="JB74">
        <v>1.5918000000000001</v>
      </c>
      <c r="JC74">
        <v>2.4536099999999998</v>
      </c>
      <c r="JD74">
        <v>34.967399999999998</v>
      </c>
      <c r="JE74">
        <v>16.058299999999999</v>
      </c>
      <c r="JF74">
        <v>18</v>
      </c>
      <c r="JG74">
        <v>514.92399999999998</v>
      </c>
      <c r="JH74">
        <v>467.42700000000002</v>
      </c>
      <c r="JI74">
        <v>26.461200000000002</v>
      </c>
      <c r="JJ74">
        <v>31.967700000000001</v>
      </c>
      <c r="JK74">
        <v>30.0001</v>
      </c>
      <c r="JL74">
        <v>31.768699999999999</v>
      </c>
      <c r="JM74">
        <v>31.700700000000001</v>
      </c>
      <c r="JN74">
        <v>16.4315</v>
      </c>
      <c r="JO74">
        <v>20.517099999999999</v>
      </c>
      <c r="JP74">
        <v>100</v>
      </c>
      <c r="JQ74">
        <v>26.4663</v>
      </c>
      <c r="JR74">
        <v>300</v>
      </c>
      <c r="JS74">
        <v>24.396899999999999</v>
      </c>
      <c r="JT74">
        <v>99.220500000000001</v>
      </c>
      <c r="JU74">
        <v>97.981499999999997</v>
      </c>
    </row>
    <row r="75" spans="1:281" x14ac:dyDescent="0.25">
      <c r="A75">
        <v>59</v>
      </c>
      <c r="B75">
        <v>1693507301</v>
      </c>
      <c r="C75">
        <v>12374.400000095369</v>
      </c>
      <c r="D75" t="s">
        <v>716</v>
      </c>
      <c r="E75" t="s">
        <v>717</v>
      </c>
      <c r="F75" t="s">
        <v>413</v>
      </c>
      <c r="G75" t="s">
        <v>414</v>
      </c>
      <c r="H75" t="s">
        <v>707</v>
      </c>
      <c r="I75" t="s">
        <v>31</v>
      </c>
      <c r="J75">
        <v>1693507301</v>
      </c>
      <c r="K75">
        <f t="shared" si="46"/>
        <v>4.2803679154877579E-3</v>
      </c>
      <c r="L75">
        <f t="shared" si="47"/>
        <v>4.2803679154877576</v>
      </c>
      <c r="M75">
        <f t="shared" si="48"/>
        <v>20.617981324302647</v>
      </c>
      <c r="N75">
        <f t="shared" si="49"/>
        <v>174.34899999999999</v>
      </c>
      <c r="O75">
        <f t="shared" si="50"/>
        <v>60.893177778013346</v>
      </c>
      <c r="P75">
        <f t="shared" si="51"/>
        <v>6.0711483496295751</v>
      </c>
      <c r="Q75">
        <f t="shared" si="52"/>
        <v>17.382877396681998</v>
      </c>
      <c r="R75">
        <f t="shared" si="53"/>
        <v>0.31298235003054631</v>
      </c>
      <c r="S75">
        <f t="shared" si="54"/>
        <v>2.921671720653285</v>
      </c>
      <c r="T75">
        <f t="shared" si="55"/>
        <v>0.29547735895860044</v>
      </c>
      <c r="U75">
        <f t="shared" si="56"/>
        <v>0.1861644686514356</v>
      </c>
      <c r="V75">
        <f t="shared" si="57"/>
        <v>344.37509964459599</v>
      </c>
      <c r="W75">
        <f t="shared" si="58"/>
        <v>31.419232458290153</v>
      </c>
      <c r="X75">
        <f t="shared" si="59"/>
        <v>30.014099999999999</v>
      </c>
      <c r="Y75">
        <f t="shared" si="60"/>
        <v>4.2639014964629762</v>
      </c>
      <c r="Z75">
        <f t="shared" si="61"/>
        <v>65.483603933995212</v>
      </c>
      <c r="AA75">
        <f t="shared" si="62"/>
        <v>2.8712769862965999</v>
      </c>
      <c r="AB75">
        <f t="shared" si="63"/>
        <v>4.3847265785657266</v>
      </c>
      <c r="AC75">
        <f t="shared" si="64"/>
        <v>1.3926245101663763</v>
      </c>
      <c r="AD75">
        <f t="shared" si="65"/>
        <v>-188.76422507301012</v>
      </c>
      <c r="AE75">
        <f t="shared" si="66"/>
        <v>76.771917012801467</v>
      </c>
      <c r="AF75">
        <f t="shared" si="67"/>
        <v>5.8575822645290412</v>
      </c>
      <c r="AG75">
        <f t="shared" si="68"/>
        <v>238.24037384891636</v>
      </c>
      <c r="AH75">
        <v>0</v>
      </c>
      <c r="AI75">
        <v>0</v>
      </c>
      <c r="AJ75">
        <f t="shared" si="69"/>
        <v>1</v>
      </c>
      <c r="AK75">
        <f t="shared" si="70"/>
        <v>0</v>
      </c>
      <c r="AL75">
        <f t="shared" si="71"/>
        <v>52033.822830612509</v>
      </c>
      <c r="AM75" t="s">
        <v>416</v>
      </c>
      <c r="AN75">
        <v>10366.9</v>
      </c>
      <c r="AO75">
        <v>993.59653846153856</v>
      </c>
      <c r="AP75">
        <v>3431.87</v>
      </c>
      <c r="AQ75">
        <f t="shared" si="72"/>
        <v>0.71047955241266758</v>
      </c>
      <c r="AR75">
        <v>-3.9894345373445681</v>
      </c>
      <c r="AS75" t="s">
        <v>718</v>
      </c>
      <c r="AT75">
        <v>10387.9</v>
      </c>
      <c r="AU75">
        <v>758.8996538461538</v>
      </c>
      <c r="AV75">
        <v>927.02788668818141</v>
      </c>
      <c r="AW75">
        <f t="shared" si="73"/>
        <v>0.18136264858511197</v>
      </c>
      <c r="AX75">
        <v>0.5</v>
      </c>
      <c r="AY75">
        <f t="shared" si="74"/>
        <v>1513.2098998222978</v>
      </c>
      <c r="AZ75">
        <f t="shared" si="75"/>
        <v>20.617981324302647</v>
      </c>
      <c r="BA75">
        <f t="shared" si="76"/>
        <v>137.21987764849194</v>
      </c>
      <c r="BB75">
        <f t="shared" si="77"/>
        <v>1.6261733328956519E-2</v>
      </c>
      <c r="BC75">
        <f t="shared" si="78"/>
        <v>2.7020137681730354</v>
      </c>
      <c r="BD75">
        <f t="shared" si="79"/>
        <v>557.48364301788001</v>
      </c>
      <c r="BE75" t="s">
        <v>719</v>
      </c>
      <c r="BF75">
        <v>560.80999999999995</v>
      </c>
      <c r="BG75">
        <f t="shared" si="80"/>
        <v>560.80999999999995</v>
      </c>
      <c r="BH75">
        <f t="shared" si="81"/>
        <v>0.39504516740753004</v>
      </c>
      <c r="BI75">
        <f t="shared" si="82"/>
        <v>0.45909344942832203</v>
      </c>
      <c r="BJ75">
        <f t="shared" si="83"/>
        <v>0.87244505977298237</v>
      </c>
      <c r="BK75">
        <f t="shared" si="84"/>
        <v>-2.5256367428687776</v>
      </c>
      <c r="BL75">
        <f t="shared" si="85"/>
        <v>1.027301552850169</v>
      </c>
      <c r="BM75">
        <f t="shared" si="86"/>
        <v>0.33925986929767543</v>
      </c>
      <c r="BN75">
        <f t="shared" si="87"/>
        <v>0.66074013070232462</v>
      </c>
      <c r="BO75">
        <v>2265</v>
      </c>
      <c r="BP75">
        <v>290.00000000000011</v>
      </c>
      <c r="BQ75">
        <v>884.5</v>
      </c>
      <c r="BR75">
        <v>195</v>
      </c>
      <c r="BS75">
        <v>10387.9</v>
      </c>
      <c r="BT75">
        <v>884.77</v>
      </c>
      <c r="BU75">
        <v>-0.27</v>
      </c>
      <c r="BV75">
        <v>300.00000000000011</v>
      </c>
      <c r="BW75">
        <v>38.4</v>
      </c>
      <c r="BX75">
        <v>927.02788668818141</v>
      </c>
      <c r="BY75">
        <v>1.5037426203638979</v>
      </c>
      <c r="BZ75">
        <v>-43.899824017675961</v>
      </c>
      <c r="CA75">
        <v>1.278173449943546</v>
      </c>
      <c r="CB75">
        <v>0.97681409902872751</v>
      </c>
      <c r="CC75">
        <v>-1.1300700111234709E-2</v>
      </c>
      <c r="CD75">
        <v>289.99999999999989</v>
      </c>
      <c r="CE75">
        <v>882.25</v>
      </c>
      <c r="CF75">
        <v>645</v>
      </c>
      <c r="CG75">
        <v>10366.200000000001</v>
      </c>
      <c r="CH75">
        <v>884.68</v>
      </c>
      <c r="CI75">
        <v>-2.4300000000000002</v>
      </c>
      <c r="CW75">
        <f t="shared" si="88"/>
        <v>1800.03</v>
      </c>
      <c r="CX75">
        <f t="shared" si="89"/>
        <v>1513.2098998222978</v>
      </c>
      <c r="CY75">
        <f t="shared" si="90"/>
        <v>0.84065815559868329</v>
      </c>
      <c r="CZ75">
        <f t="shared" si="91"/>
        <v>0.1913163111973667</v>
      </c>
      <c r="DA75">
        <v>6</v>
      </c>
      <c r="DB75">
        <v>0.5</v>
      </c>
      <c r="DC75" t="s">
        <v>419</v>
      </c>
      <c r="DD75">
        <v>2</v>
      </c>
      <c r="DE75">
        <v>1693507301</v>
      </c>
      <c r="DF75">
        <v>174.34899999999999</v>
      </c>
      <c r="DG75">
        <v>199.96700000000001</v>
      </c>
      <c r="DH75">
        <v>28.7987</v>
      </c>
      <c r="DI75">
        <v>23.8139</v>
      </c>
      <c r="DJ75">
        <v>172.55699999999999</v>
      </c>
      <c r="DK75">
        <v>27.938400000000001</v>
      </c>
      <c r="DL75">
        <v>500.37299999999999</v>
      </c>
      <c r="DM75">
        <v>99.601399999999998</v>
      </c>
      <c r="DN75">
        <v>0.100218</v>
      </c>
      <c r="DO75">
        <v>30.5015</v>
      </c>
      <c r="DP75">
        <v>30.014099999999999</v>
      </c>
      <c r="DQ75">
        <v>999.9</v>
      </c>
      <c r="DR75">
        <v>0</v>
      </c>
      <c r="DS75">
        <v>0</v>
      </c>
      <c r="DT75">
        <v>9995</v>
      </c>
      <c r="DU75">
        <v>0</v>
      </c>
      <c r="DV75">
        <v>1232.9100000000001</v>
      </c>
      <c r="DW75">
        <v>-25.618400000000001</v>
      </c>
      <c r="DX75">
        <v>179.51900000000001</v>
      </c>
      <c r="DY75">
        <v>204.845</v>
      </c>
      <c r="DZ75">
        <v>4.9847799999999998</v>
      </c>
      <c r="EA75">
        <v>199.96700000000001</v>
      </c>
      <c r="EB75">
        <v>23.8139</v>
      </c>
      <c r="EC75">
        <v>2.8683900000000002</v>
      </c>
      <c r="ED75">
        <v>2.3719000000000001</v>
      </c>
      <c r="EE75">
        <v>23.283000000000001</v>
      </c>
      <c r="EF75">
        <v>20.173200000000001</v>
      </c>
      <c r="EG75">
        <v>1800.03</v>
      </c>
      <c r="EH75">
        <v>0.97800200000000004</v>
      </c>
      <c r="EI75">
        <v>2.19975E-2</v>
      </c>
      <c r="EJ75">
        <v>0</v>
      </c>
      <c r="EK75">
        <v>758.74</v>
      </c>
      <c r="EL75">
        <v>5.0002700000000004</v>
      </c>
      <c r="EM75">
        <v>14403</v>
      </c>
      <c r="EN75">
        <v>16248.9</v>
      </c>
      <c r="EO75">
        <v>49.061999999999998</v>
      </c>
      <c r="EP75">
        <v>50.5</v>
      </c>
      <c r="EQ75">
        <v>50.25</v>
      </c>
      <c r="ER75">
        <v>49.25</v>
      </c>
      <c r="ES75">
        <v>50.625</v>
      </c>
      <c r="ET75">
        <v>1755.54</v>
      </c>
      <c r="EU75">
        <v>39.49</v>
      </c>
      <c r="EV75">
        <v>0</v>
      </c>
      <c r="EW75">
        <v>118.4000000953674</v>
      </c>
      <c r="EX75">
        <v>0</v>
      </c>
      <c r="EY75">
        <v>758.8996538461538</v>
      </c>
      <c r="EZ75">
        <v>-0.1092307694232568</v>
      </c>
      <c r="FA75">
        <v>-63.627350321826313</v>
      </c>
      <c r="FB75">
        <v>14413.39615384615</v>
      </c>
      <c r="FC75">
        <v>15</v>
      </c>
      <c r="FD75">
        <v>1693507273</v>
      </c>
      <c r="FE75" t="s">
        <v>720</v>
      </c>
      <c r="FF75">
        <v>1693507264</v>
      </c>
      <c r="FG75">
        <v>1693507273</v>
      </c>
      <c r="FH75">
        <v>66</v>
      </c>
      <c r="FI75">
        <v>-0.17799999999999999</v>
      </c>
      <c r="FJ75">
        <v>-8.9999999999999993E-3</v>
      </c>
      <c r="FK75">
        <v>1.8049999999999999</v>
      </c>
      <c r="FL75">
        <v>0.58199999999999996</v>
      </c>
      <c r="FM75">
        <v>200</v>
      </c>
      <c r="FN75">
        <v>24</v>
      </c>
      <c r="FO75">
        <v>0.26</v>
      </c>
      <c r="FP75">
        <v>0.05</v>
      </c>
      <c r="FQ75">
        <v>20.514743867554539</v>
      </c>
      <c r="FR75">
        <v>0.65644733839319003</v>
      </c>
      <c r="FS75">
        <v>8.3020149911400526E-2</v>
      </c>
      <c r="FT75">
        <v>1</v>
      </c>
      <c r="FU75">
        <v>0.31060971761237433</v>
      </c>
      <c r="FV75">
        <v>4.5689860787553188E-2</v>
      </c>
      <c r="FW75">
        <v>6.5238298731878216E-3</v>
      </c>
      <c r="FX75">
        <v>1</v>
      </c>
      <c r="FY75">
        <v>2</v>
      </c>
      <c r="FZ75">
        <v>2</v>
      </c>
      <c r="GA75" t="s">
        <v>421</v>
      </c>
      <c r="GB75">
        <v>3.1187399999999998</v>
      </c>
      <c r="GC75">
        <v>2.8653400000000002</v>
      </c>
      <c r="GD75">
        <v>4.5662599999999998E-2</v>
      </c>
      <c r="GE75">
        <v>5.3596299999999999E-2</v>
      </c>
      <c r="GF75">
        <v>0.129639</v>
      </c>
      <c r="GG75">
        <v>0.118714</v>
      </c>
      <c r="GH75">
        <v>28800</v>
      </c>
      <c r="GI75">
        <v>22157.200000000001</v>
      </c>
      <c r="GJ75">
        <v>29100.2</v>
      </c>
      <c r="GK75">
        <v>21824.3</v>
      </c>
      <c r="GL75">
        <v>33930.699999999997</v>
      </c>
      <c r="GM75">
        <v>26468.799999999999</v>
      </c>
      <c r="GN75">
        <v>40384.199999999997</v>
      </c>
      <c r="GO75">
        <v>31017.599999999999</v>
      </c>
      <c r="GP75">
        <v>2.0103</v>
      </c>
      <c r="GQ75">
        <v>1.8763000000000001</v>
      </c>
      <c r="GR75">
        <v>6.7681099999999994E-2</v>
      </c>
      <c r="GS75">
        <v>0</v>
      </c>
      <c r="GT75">
        <v>28.911799999999999</v>
      </c>
      <c r="GU75">
        <v>999.9</v>
      </c>
      <c r="GV75">
        <v>63.6</v>
      </c>
      <c r="GW75">
        <v>30.2</v>
      </c>
      <c r="GX75">
        <v>27.5181</v>
      </c>
      <c r="GY75">
        <v>61.497599999999998</v>
      </c>
      <c r="GZ75">
        <v>11.6066</v>
      </c>
      <c r="HA75">
        <v>1</v>
      </c>
      <c r="HB75">
        <v>0.34890199999999999</v>
      </c>
      <c r="HC75">
        <v>1.5818099999999999</v>
      </c>
      <c r="HD75">
        <v>20.328199999999999</v>
      </c>
      <c r="HE75">
        <v>5.2340600000000004</v>
      </c>
      <c r="HF75">
        <v>11.974600000000001</v>
      </c>
      <c r="HG75">
        <v>4.9752000000000001</v>
      </c>
      <c r="HH75">
        <v>3.2839999999999998</v>
      </c>
      <c r="HI75">
        <v>9999</v>
      </c>
      <c r="HJ75">
        <v>9999</v>
      </c>
      <c r="HK75">
        <v>9999</v>
      </c>
      <c r="HL75">
        <v>999.9</v>
      </c>
      <c r="HM75">
        <v>1.8605</v>
      </c>
      <c r="HN75">
        <v>1.8621799999999999</v>
      </c>
      <c r="HO75">
        <v>1.86768</v>
      </c>
      <c r="HP75">
        <v>1.85809</v>
      </c>
      <c r="HQ75">
        <v>1.8565499999999999</v>
      </c>
      <c r="HR75">
        <v>1.8603099999999999</v>
      </c>
      <c r="HS75">
        <v>1.8641700000000001</v>
      </c>
      <c r="HT75">
        <v>1.8662700000000001</v>
      </c>
      <c r="HU75">
        <v>5</v>
      </c>
      <c r="HV75">
        <v>0</v>
      </c>
      <c r="HW75">
        <v>0</v>
      </c>
      <c r="HX75">
        <v>0</v>
      </c>
      <c r="HY75" t="s">
        <v>422</v>
      </c>
      <c r="HZ75" t="s">
        <v>423</v>
      </c>
      <c r="IA75" t="s">
        <v>424</v>
      </c>
      <c r="IB75" t="s">
        <v>424</v>
      </c>
      <c r="IC75" t="s">
        <v>424</v>
      </c>
      <c r="ID75" t="s">
        <v>424</v>
      </c>
      <c r="IE75">
        <v>0</v>
      </c>
      <c r="IF75">
        <v>100</v>
      </c>
      <c r="IG75">
        <v>100</v>
      </c>
      <c r="IH75">
        <v>1.792</v>
      </c>
      <c r="II75">
        <v>0.86029999999999995</v>
      </c>
      <c r="IJ75">
        <v>1.6458684816362981</v>
      </c>
      <c r="IK75">
        <v>1.118558698776514E-3</v>
      </c>
      <c r="IL75">
        <v>-1.6939696309573479E-6</v>
      </c>
      <c r="IM75">
        <v>5.4698917449866148E-10</v>
      </c>
      <c r="IN75">
        <v>-4.2835924515260748E-2</v>
      </c>
      <c r="IO75">
        <v>-7.6058941998734366E-3</v>
      </c>
      <c r="IP75">
        <v>1.6984902717538061E-3</v>
      </c>
      <c r="IQ75">
        <v>-9.6352527008986976E-6</v>
      </c>
      <c r="IR75">
        <v>2</v>
      </c>
      <c r="IS75">
        <v>2021</v>
      </c>
      <c r="IT75">
        <v>2</v>
      </c>
      <c r="IU75">
        <v>40</v>
      </c>
      <c r="IV75">
        <v>0.6</v>
      </c>
      <c r="IW75">
        <v>0.5</v>
      </c>
      <c r="IX75">
        <v>0.59814500000000004</v>
      </c>
      <c r="IY75">
        <v>2.4902299999999999</v>
      </c>
      <c r="IZ75">
        <v>1.34399</v>
      </c>
      <c r="JA75">
        <v>2.2497600000000002</v>
      </c>
      <c r="JB75">
        <v>1.5918000000000001</v>
      </c>
      <c r="JC75">
        <v>2.4560499999999998</v>
      </c>
      <c r="JD75">
        <v>34.967399999999998</v>
      </c>
      <c r="JE75">
        <v>16.049600000000002</v>
      </c>
      <c r="JF75">
        <v>18</v>
      </c>
      <c r="JG75">
        <v>515.71600000000001</v>
      </c>
      <c r="JH75">
        <v>466.274</v>
      </c>
      <c r="JI75">
        <v>26.899100000000001</v>
      </c>
      <c r="JJ75">
        <v>31.953600000000002</v>
      </c>
      <c r="JK75">
        <v>30.0001</v>
      </c>
      <c r="JL75">
        <v>31.791</v>
      </c>
      <c r="JM75">
        <v>31.7257</v>
      </c>
      <c r="JN75">
        <v>12.0634</v>
      </c>
      <c r="JO75">
        <v>22.834599999999998</v>
      </c>
      <c r="JP75">
        <v>100</v>
      </c>
      <c r="JQ75">
        <v>26.899100000000001</v>
      </c>
      <c r="JR75">
        <v>200</v>
      </c>
      <c r="JS75">
        <v>23.764099999999999</v>
      </c>
      <c r="JT75">
        <v>99.217299999999994</v>
      </c>
      <c r="JU75">
        <v>97.9863</v>
      </c>
    </row>
    <row r="76" spans="1:281" x14ac:dyDescent="0.25">
      <c r="A76">
        <v>60</v>
      </c>
      <c r="B76">
        <v>1693507400.5</v>
      </c>
      <c r="C76">
        <v>12473.900000095369</v>
      </c>
      <c r="D76" t="s">
        <v>721</v>
      </c>
      <c r="E76" t="s">
        <v>722</v>
      </c>
      <c r="F76" t="s">
        <v>413</v>
      </c>
      <c r="G76" t="s">
        <v>414</v>
      </c>
      <c r="H76" t="s">
        <v>707</v>
      </c>
      <c r="I76" t="s">
        <v>31</v>
      </c>
      <c r="J76">
        <v>1693507400.5</v>
      </c>
      <c r="K76">
        <f t="shared" si="46"/>
        <v>4.5839762762065177E-3</v>
      </c>
      <c r="L76">
        <f t="shared" si="47"/>
        <v>4.5839762762065179</v>
      </c>
      <c r="M76">
        <f t="shared" si="48"/>
        <v>13.134939216536978</v>
      </c>
      <c r="N76">
        <f t="shared" si="49"/>
        <v>103.71599999999999</v>
      </c>
      <c r="O76">
        <f t="shared" si="50"/>
        <v>36.816847269148873</v>
      </c>
      <c r="P76">
        <f t="shared" si="51"/>
        <v>3.6705172935338202</v>
      </c>
      <c r="Q76">
        <f t="shared" si="52"/>
        <v>10.340140448015999</v>
      </c>
      <c r="R76">
        <f t="shared" si="53"/>
        <v>0.33954881665646802</v>
      </c>
      <c r="S76">
        <f t="shared" si="54"/>
        <v>2.9242112694926141</v>
      </c>
      <c r="T76">
        <f t="shared" si="55"/>
        <v>0.31906709519817128</v>
      </c>
      <c r="U76">
        <f t="shared" si="56"/>
        <v>0.2011540996585135</v>
      </c>
      <c r="V76">
        <f t="shared" si="57"/>
        <v>344.35669964448624</v>
      </c>
      <c r="W76">
        <f t="shared" si="58"/>
        <v>31.322293545000058</v>
      </c>
      <c r="X76">
        <f t="shared" si="59"/>
        <v>29.986599999999999</v>
      </c>
      <c r="Y76">
        <f t="shared" si="60"/>
        <v>4.2571716676707947</v>
      </c>
      <c r="Z76">
        <f t="shared" si="61"/>
        <v>65.657962133265613</v>
      </c>
      <c r="AA76">
        <f t="shared" si="62"/>
        <v>2.8760895879184001</v>
      </c>
      <c r="AB76">
        <f t="shared" si="63"/>
        <v>4.3804125112515928</v>
      </c>
      <c r="AC76">
        <f t="shared" si="64"/>
        <v>1.3810820797523946</v>
      </c>
      <c r="AD76">
        <f t="shared" si="65"/>
        <v>-202.15335378070742</v>
      </c>
      <c r="AE76">
        <f t="shared" si="66"/>
        <v>78.462443801133162</v>
      </c>
      <c r="AF76">
        <f t="shared" si="67"/>
        <v>5.9800456445624279</v>
      </c>
      <c r="AG76">
        <f t="shared" si="68"/>
        <v>226.64583530947442</v>
      </c>
      <c r="AH76">
        <v>0</v>
      </c>
      <c r="AI76">
        <v>0</v>
      </c>
      <c r="AJ76">
        <f t="shared" si="69"/>
        <v>1</v>
      </c>
      <c r="AK76">
        <f t="shared" si="70"/>
        <v>0</v>
      </c>
      <c r="AL76">
        <f t="shared" si="71"/>
        <v>52109.051130091677</v>
      </c>
      <c r="AM76" t="s">
        <v>416</v>
      </c>
      <c r="AN76">
        <v>10366.9</v>
      </c>
      <c r="AO76">
        <v>993.59653846153856</v>
      </c>
      <c r="AP76">
        <v>3431.87</v>
      </c>
      <c r="AQ76">
        <f t="shared" si="72"/>
        <v>0.71047955241266758</v>
      </c>
      <c r="AR76">
        <v>-3.9894345373445681</v>
      </c>
      <c r="AS76" t="s">
        <v>723</v>
      </c>
      <c r="AT76">
        <v>10394.1</v>
      </c>
      <c r="AU76">
        <v>768.75661538461532</v>
      </c>
      <c r="AV76">
        <v>881.21282847459554</v>
      </c>
      <c r="AW76">
        <f t="shared" si="73"/>
        <v>0.12761527006437834</v>
      </c>
      <c r="AX76">
        <v>0.5</v>
      </c>
      <c r="AY76">
        <f t="shared" si="74"/>
        <v>1513.1261998222431</v>
      </c>
      <c r="AZ76">
        <f t="shared" si="75"/>
        <v>13.134939216536978</v>
      </c>
      <c r="BA76">
        <f t="shared" si="76"/>
        <v>96.54900431590103</v>
      </c>
      <c r="BB76">
        <f t="shared" si="77"/>
        <v>1.1317214490036098E-2</v>
      </c>
      <c r="BC76">
        <f t="shared" si="78"/>
        <v>2.8944848385158721</v>
      </c>
      <c r="BD76">
        <f t="shared" si="79"/>
        <v>540.58202194194553</v>
      </c>
      <c r="BE76" t="s">
        <v>724</v>
      </c>
      <c r="BF76">
        <v>569.04999999999995</v>
      </c>
      <c r="BG76">
        <f t="shared" si="80"/>
        <v>569.04999999999995</v>
      </c>
      <c r="BH76">
        <f t="shared" si="81"/>
        <v>0.35424226519143887</v>
      </c>
      <c r="BI76">
        <f t="shared" si="82"/>
        <v>0.36024857168134011</v>
      </c>
      <c r="BJ76">
        <f t="shared" si="83"/>
        <v>0.89095967316331615</v>
      </c>
      <c r="BK76">
        <f t="shared" si="84"/>
        <v>-1.0006451388999851</v>
      </c>
      <c r="BL76">
        <f t="shared" si="85"/>
        <v>1.0460915117847498</v>
      </c>
      <c r="BM76">
        <f t="shared" si="86"/>
        <v>0.26666365610747123</v>
      </c>
      <c r="BN76">
        <f t="shared" si="87"/>
        <v>0.73333634389252877</v>
      </c>
      <c r="BO76">
        <v>2267</v>
      </c>
      <c r="BP76">
        <v>290.00000000000011</v>
      </c>
      <c r="BQ76">
        <v>853.85</v>
      </c>
      <c r="BR76">
        <v>175</v>
      </c>
      <c r="BS76">
        <v>10394.1</v>
      </c>
      <c r="BT76">
        <v>852.64</v>
      </c>
      <c r="BU76">
        <v>1.21</v>
      </c>
      <c r="BV76">
        <v>300.00000000000011</v>
      </c>
      <c r="BW76">
        <v>38.4</v>
      </c>
      <c r="BX76">
        <v>881.21282847459554</v>
      </c>
      <c r="BY76">
        <v>1.1851479116764621</v>
      </c>
      <c r="BZ76">
        <v>-29.698378673734251</v>
      </c>
      <c r="CA76">
        <v>1.0076714891397871</v>
      </c>
      <c r="CB76">
        <v>0.96877144971539519</v>
      </c>
      <c r="CC76">
        <v>-1.130386763070078E-2</v>
      </c>
      <c r="CD76">
        <v>289.99999999999989</v>
      </c>
      <c r="CE76">
        <v>849</v>
      </c>
      <c r="CF76">
        <v>715</v>
      </c>
      <c r="CG76">
        <v>10362.9</v>
      </c>
      <c r="CH76">
        <v>852.55</v>
      </c>
      <c r="CI76">
        <v>-3.55</v>
      </c>
      <c r="CW76">
        <f t="shared" si="88"/>
        <v>1799.93</v>
      </c>
      <c r="CX76">
        <f t="shared" si="89"/>
        <v>1513.1261998222431</v>
      </c>
      <c r="CY76">
        <f t="shared" si="90"/>
        <v>0.84065835883742313</v>
      </c>
      <c r="CZ76">
        <f t="shared" si="91"/>
        <v>0.19131671767484637</v>
      </c>
      <c r="DA76">
        <v>6</v>
      </c>
      <c r="DB76">
        <v>0.5</v>
      </c>
      <c r="DC76" t="s">
        <v>419</v>
      </c>
      <c r="DD76">
        <v>2</v>
      </c>
      <c r="DE76">
        <v>1693507400.5</v>
      </c>
      <c r="DF76">
        <v>103.71599999999999</v>
      </c>
      <c r="DG76">
        <v>120.054</v>
      </c>
      <c r="DH76">
        <v>28.848400000000002</v>
      </c>
      <c r="DI76">
        <v>23.5045</v>
      </c>
      <c r="DJ76">
        <v>101.929</v>
      </c>
      <c r="DK76">
        <v>27.985800000000001</v>
      </c>
      <c r="DL76">
        <v>499.83</v>
      </c>
      <c r="DM76">
        <v>99.596400000000003</v>
      </c>
      <c r="DN76">
        <v>0.100276</v>
      </c>
      <c r="DO76">
        <v>30.484300000000001</v>
      </c>
      <c r="DP76">
        <v>29.986599999999999</v>
      </c>
      <c r="DQ76">
        <v>999.9</v>
      </c>
      <c r="DR76">
        <v>0</v>
      </c>
      <c r="DS76">
        <v>0</v>
      </c>
      <c r="DT76">
        <v>10010</v>
      </c>
      <c r="DU76">
        <v>0</v>
      </c>
      <c r="DV76">
        <v>1230.6400000000001</v>
      </c>
      <c r="DW76">
        <v>-16.337700000000002</v>
      </c>
      <c r="DX76">
        <v>106.797</v>
      </c>
      <c r="DY76">
        <v>122.944</v>
      </c>
      <c r="DZ76">
        <v>5.3438999999999997</v>
      </c>
      <c r="EA76">
        <v>120.054</v>
      </c>
      <c r="EB76">
        <v>23.5045</v>
      </c>
      <c r="EC76">
        <v>2.8731900000000001</v>
      </c>
      <c r="ED76">
        <v>2.3409599999999999</v>
      </c>
      <c r="EE76">
        <v>23.310700000000001</v>
      </c>
      <c r="EF76">
        <v>19.961099999999998</v>
      </c>
      <c r="EG76">
        <v>1799.93</v>
      </c>
      <c r="EH76">
        <v>0.97799499999999995</v>
      </c>
      <c r="EI76">
        <v>2.2004900000000001E-2</v>
      </c>
      <c r="EJ76">
        <v>0</v>
      </c>
      <c r="EK76">
        <v>768.37300000000005</v>
      </c>
      <c r="EL76">
        <v>5.0002700000000004</v>
      </c>
      <c r="EM76">
        <v>14550.1</v>
      </c>
      <c r="EN76">
        <v>16248</v>
      </c>
      <c r="EO76">
        <v>48.625</v>
      </c>
      <c r="EP76">
        <v>50.186999999999998</v>
      </c>
      <c r="EQ76">
        <v>49.75</v>
      </c>
      <c r="ER76">
        <v>48.936999999999998</v>
      </c>
      <c r="ES76">
        <v>50.186999999999998</v>
      </c>
      <c r="ET76">
        <v>1755.43</v>
      </c>
      <c r="EU76">
        <v>39.5</v>
      </c>
      <c r="EV76">
        <v>0</v>
      </c>
      <c r="EW76">
        <v>97.400000095367432</v>
      </c>
      <c r="EX76">
        <v>0</v>
      </c>
      <c r="EY76">
        <v>768.75661538461532</v>
      </c>
      <c r="EZ76">
        <v>-2.0801367644751938</v>
      </c>
      <c r="FA76">
        <v>-126.66324701150521</v>
      </c>
      <c r="FB76">
        <v>14563.99615384615</v>
      </c>
      <c r="FC76">
        <v>15</v>
      </c>
      <c r="FD76">
        <v>1693507372.5</v>
      </c>
      <c r="FE76" t="s">
        <v>725</v>
      </c>
      <c r="FF76">
        <v>1693507370</v>
      </c>
      <c r="FG76">
        <v>1693507372.5</v>
      </c>
      <c r="FH76">
        <v>67</v>
      </c>
      <c r="FI76">
        <v>4.3999999999999997E-2</v>
      </c>
      <c r="FJ76">
        <v>-1E-3</v>
      </c>
      <c r="FK76">
        <v>1.7989999999999999</v>
      </c>
      <c r="FL76">
        <v>0.56899999999999995</v>
      </c>
      <c r="FM76">
        <v>120</v>
      </c>
      <c r="FN76">
        <v>24</v>
      </c>
      <c r="FO76">
        <v>0.32</v>
      </c>
      <c r="FP76">
        <v>0.05</v>
      </c>
      <c r="FQ76">
        <v>13.003392417189501</v>
      </c>
      <c r="FR76">
        <v>0.50003522799089184</v>
      </c>
      <c r="FS76">
        <v>6.5691301269419231E-2</v>
      </c>
      <c r="FT76">
        <v>1</v>
      </c>
      <c r="FU76">
        <v>0.34156495345297982</v>
      </c>
      <c r="FV76">
        <v>3.7706823556114342E-2</v>
      </c>
      <c r="FW76">
        <v>4.9191163769388294E-3</v>
      </c>
      <c r="FX76">
        <v>1</v>
      </c>
      <c r="FY76">
        <v>2</v>
      </c>
      <c r="FZ76">
        <v>2</v>
      </c>
      <c r="GA76" t="s">
        <v>421</v>
      </c>
      <c r="GB76">
        <v>3.1180500000000002</v>
      </c>
      <c r="GC76">
        <v>2.86551</v>
      </c>
      <c r="GD76">
        <v>2.79066E-2</v>
      </c>
      <c r="GE76">
        <v>3.3579600000000001E-2</v>
      </c>
      <c r="GF76">
        <v>0.12978300000000001</v>
      </c>
      <c r="GG76">
        <v>0.117629</v>
      </c>
      <c r="GH76">
        <v>29336</v>
      </c>
      <c r="GI76">
        <v>22627.3</v>
      </c>
      <c r="GJ76">
        <v>29100.5</v>
      </c>
      <c r="GK76">
        <v>21825.7</v>
      </c>
      <c r="GL76">
        <v>33923.599999999999</v>
      </c>
      <c r="GM76">
        <v>26502.2</v>
      </c>
      <c r="GN76">
        <v>40384.800000000003</v>
      </c>
      <c r="GO76">
        <v>31020.5</v>
      </c>
      <c r="GP76">
        <v>2.0103</v>
      </c>
      <c r="GQ76">
        <v>1.8755999999999999</v>
      </c>
      <c r="GR76">
        <v>6.2286899999999999E-2</v>
      </c>
      <c r="GS76">
        <v>0</v>
      </c>
      <c r="GT76">
        <v>28.972100000000001</v>
      </c>
      <c r="GU76">
        <v>999.9</v>
      </c>
      <c r="GV76">
        <v>63.5</v>
      </c>
      <c r="GW76">
        <v>30.2</v>
      </c>
      <c r="GX76">
        <v>27.476199999999999</v>
      </c>
      <c r="GY76">
        <v>61.497599999999998</v>
      </c>
      <c r="GZ76">
        <v>11.5465</v>
      </c>
      <c r="HA76">
        <v>1</v>
      </c>
      <c r="HB76">
        <v>0.347825</v>
      </c>
      <c r="HC76">
        <v>0.63617599999999996</v>
      </c>
      <c r="HD76">
        <v>20.334900000000001</v>
      </c>
      <c r="HE76">
        <v>5.23346</v>
      </c>
      <c r="HF76">
        <v>11.975199999999999</v>
      </c>
      <c r="HG76">
        <v>4.9749999999999996</v>
      </c>
      <c r="HH76">
        <v>3.2839999999999998</v>
      </c>
      <c r="HI76">
        <v>9999</v>
      </c>
      <c r="HJ76">
        <v>9999</v>
      </c>
      <c r="HK76">
        <v>9999</v>
      </c>
      <c r="HL76">
        <v>999.9</v>
      </c>
      <c r="HM76">
        <v>1.8605</v>
      </c>
      <c r="HN76">
        <v>1.8621799999999999</v>
      </c>
      <c r="HO76">
        <v>1.86768</v>
      </c>
      <c r="HP76">
        <v>1.8581700000000001</v>
      </c>
      <c r="HQ76">
        <v>1.8565700000000001</v>
      </c>
      <c r="HR76">
        <v>1.8603499999999999</v>
      </c>
      <c r="HS76">
        <v>1.8642300000000001</v>
      </c>
      <c r="HT76">
        <v>1.8663000000000001</v>
      </c>
      <c r="HU76">
        <v>5</v>
      </c>
      <c r="HV76">
        <v>0</v>
      </c>
      <c r="HW76">
        <v>0</v>
      </c>
      <c r="HX76">
        <v>0</v>
      </c>
      <c r="HY76" t="s">
        <v>422</v>
      </c>
      <c r="HZ76" t="s">
        <v>423</v>
      </c>
      <c r="IA76" t="s">
        <v>424</v>
      </c>
      <c r="IB76" t="s">
        <v>424</v>
      </c>
      <c r="IC76" t="s">
        <v>424</v>
      </c>
      <c r="ID76" t="s">
        <v>424</v>
      </c>
      <c r="IE76">
        <v>0</v>
      </c>
      <c r="IF76">
        <v>100</v>
      </c>
      <c r="IG76">
        <v>100</v>
      </c>
      <c r="IH76">
        <v>1.7869999999999999</v>
      </c>
      <c r="II76">
        <v>0.86260000000000003</v>
      </c>
      <c r="IJ76">
        <v>1.689635405938239</v>
      </c>
      <c r="IK76">
        <v>1.118558698776514E-3</v>
      </c>
      <c r="IL76">
        <v>-1.6939696309573479E-6</v>
      </c>
      <c r="IM76">
        <v>5.4698917449866148E-10</v>
      </c>
      <c r="IN76">
        <v>-4.3684580742099688E-2</v>
      </c>
      <c r="IO76">
        <v>-7.6058941998734366E-3</v>
      </c>
      <c r="IP76">
        <v>1.6984902717538061E-3</v>
      </c>
      <c r="IQ76">
        <v>-9.6352527008986976E-6</v>
      </c>
      <c r="IR76">
        <v>2</v>
      </c>
      <c r="IS76">
        <v>2021</v>
      </c>
      <c r="IT76">
        <v>2</v>
      </c>
      <c r="IU76">
        <v>40</v>
      </c>
      <c r="IV76">
        <v>0.5</v>
      </c>
      <c r="IW76">
        <v>0.5</v>
      </c>
      <c r="IX76">
        <v>0.41748000000000002</v>
      </c>
      <c r="IY76">
        <v>2.5158700000000001</v>
      </c>
      <c r="IZ76">
        <v>1.34399</v>
      </c>
      <c r="JA76">
        <v>2.2497600000000002</v>
      </c>
      <c r="JB76">
        <v>1.5918000000000001</v>
      </c>
      <c r="JC76">
        <v>2.2473100000000001</v>
      </c>
      <c r="JD76">
        <v>34.990400000000001</v>
      </c>
      <c r="JE76">
        <v>16.0321</v>
      </c>
      <c r="JF76">
        <v>18</v>
      </c>
      <c r="JG76">
        <v>515.81500000000005</v>
      </c>
      <c r="JH76">
        <v>465.91500000000002</v>
      </c>
      <c r="JI76">
        <v>26.704599999999999</v>
      </c>
      <c r="JJ76">
        <v>31.948</v>
      </c>
      <c r="JK76">
        <v>29.998799999999999</v>
      </c>
      <c r="JL76">
        <v>31.802099999999999</v>
      </c>
      <c r="JM76">
        <v>31.739599999999999</v>
      </c>
      <c r="JN76">
        <v>8.4511199999999995</v>
      </c>
      <c r="JO76">
        <v>24.427600000000002</v>
      </c>
      <c r="JP76">
        <v>100</v>
      </c>
      <c r="JQ76">
        <v>26.877300000000002</v>
      </c>
      <c r="JR76">
        <v>120</v>
      </c>
      <c r="JS76">
        <v>23.4071</v>
      </c>
      <c r="JT76">
        <v>99.218400000000003</v>
      </c>
      <c r="JU76">
        <v>97.994299999999996</v>
      </c>
    </row>
    <row r="77" spans="1:281" x14ac:dyDescent="0.25">
      <c r="A77">
        <v>61</v>
      </c>
      <c r="B77">
        <v>1693507507.5</v>
      </c>
      <c r="C77">
        <v>12580.900000095369</v>
      </c>
      <c r="D77" t="s">
        <v>726</v>
      </c>
      <c r="E77" t="s">
        <v>727</v>
      </c>
      <c r="F77" t="s">
        <v>413</v>
      </c>
      <c r="G77" t="s">
        <v>414</v>
      </c>
      <c r="H77" t="s">
        <v>707</v>
      </c>
      <c r="I77" t="s">
        <v>31</v>
      </c>
      <c r="J77">
        <v>1693507507.5</v>
      </c>
      <c r="K77">
        <f t="shared" si="46"/>
        <v>4.9659670344979704E-3</v>
      </c>
      <c r="L77">
        <f t="shared" si="47"/>
        <v>4.9659670344979707</v>
      </c>
      <c r="M77">
        <f t="shared" si="48"/>
        <v>7.9939402371368322</v>
      </c>
      <c r="N77">
        <f t="shared" si="49"/>
        <v>59.927399999999999</v>
      </c>
      <c r="O77">
        <f t="shared" si="50"/>
        <v>22.255704276678202</v>
      </c>
      <c r="P77">
        <f t="shared" si="51"/>
        <v>2.2188565849678015</v>
      </c>
      <c r="Q77">
        <f t="shared" si="52"/>
        <v>5.9746617971258402</v>
      </c>
      <c r="R77">
        <f t="shared" si="53"/>
        <v>0.36896168048681238</v>
      </c>
      <c r="S77">
        <f t="shared" si="54"/>
        <v>2.9281844772770178</v>
      </c>
      <c r="T77">
        <f t="shared" si="55"/>
        <v>0.34494303884963617</v>
      </c>
      <c r="U77">
        <f t="shared" si="56"/>
        <v>0.21761695015435584</v>
      </c>
      <c r="V77">
        <f t="shared" si="57"/>
        <v>344.36621281137832</v>
      </c>
      <c r="W77">
        <f t="shared" si="58"/>
        <v>31.210053508975371</v>
      </c>
      <c r="X77">
        <f t="shared" si="59"/>
        <v>29.987500000000001</v>
      </c>
      <c r="Y77">
        <f t="shared" si="60"/>
        <v>4.2573917700036654</v>
      </c>
      <c r="Z77">
        <f t="shared" si="61"/>
        <v>65.642363595321982</v>
      </c>
      <c r="AA77">
        <f t="shared" si="62"/>
        <v>2.87341558487676</v>
      </c>
      <c r="AB77">
        <f t="shared" si="63"/>
        <v>4.3773798314013401</v>
      </c>
      <c r="AC77">
        <f t="shared" si="64"/>
        <v>1.3839761851269055</v>
      </c>
      <c r="AD77">
        <f t="shared" si="65"/>
        <v>-218.99914622136049</v>
      </c>
      <c r="AE77">
        <f t="shared" si="66"/>
        <v>76.516817261933241</v>
      </c>
      <c r="AF77">
        <f t="shared" si="67"/>
        <v>5.8235230874613899</v>
      </c>
      <c r="AG77">
        <f t="shared" si="68"/>
        <v>207.70740693941246</v>
      </c>
      <c r="AH77">
        <v>0</v>
      </c>
      <c r="AI77">
        <v>0</v>
      </c>
      <c r="AJ77">
        <f t="shared" si="69"/>
        <v>1</v>
      </c>
      <c r="AK77">
        <f t="shared" si="70"/>
        <v>0</v>
      </c>
      <c r="AL77">
        <f t="shared" si="71"/>
        <v>52224.510263470453</v>
      </c>
      <c r="AM77" t="s">
        <v>416</v>
      </c>
      <c r="AN77">
        <v>10366.9</v>
      </c>
      <c r="AO77">
        <v>993.59653846153856</v>
      </c>
      <c r="AP77">
        <v>3431.87</v>
      </c>
      <c r="AQ77">
        <f t="shared" si="72"/>
        <v>0.71047955241266758</v>
      </c>
      <c r="AR77">
        <v>-3.9894345373445681</v>
      </c>
      <c r="AS77" t="s">
        <v>728</v>
      </c>
      <c r="AT77">
        <v>10394.700000000001</v>
      </c>
      <c r="AU77">
        <v>777.13876000000005</v>
      </c>
      <c r="AV77">
        <v>851.60491754166776</v>
      </c>
      <c r="AW77">
        <f t="shared" si="73"/>
        <v>8.7442141311994237E-2</v>
      </c>
      <c r="AX77">
        <v>0.5</v>
      </c>
      <c r="AY77">
        <f t="shared" si="74"/>
        <v>1513.1682064056893</v>
      </c>
      <c r="AZ77">
        <f t="shared" si="75"/>
        <v>7.9939402371368322</v>
      </c>
      <c r="BA77">
        <f t="shared" si="76"/>
        <v>66.157334066671567</v>
      </c>
      <c r="BB77">
        <f t="shared" si="77"/>
        <v>7.919393709008838E-3</v>
      </c>
      <c r="BC77">
        <f t="shared" si="78"/>
        <v>3.0298851372380473</v>
      </c>
      <c r="BD77">
        <f t="shared" si="79"/>
        <v>529.29324876249939</v>
      </c>
      <c r="BE77" t="s">
        <v>729</v>
      </c>
      <c r="BF77">
        <v>572.84</v>
      </c>
      <c r="BG77">
        <f t="shared" si="80"/>
        <v>572.84</v>
      </c>
      <c r="BH77">
        <f t="shared" si="81"/>
        <v>0.3273406620835162</v>
      </c>
      <c r="BI77">
        <f t="shared" si="82"/>
        <v>0.26712887044165828</v>
      </c>
      <c r="BJ77">
        <f t="shared" si="83"/>
        <v>0.90249667980340609</v>
      </c>
      <c r="BK77">
        <f t="shared" si="84"/>
        <v>-0.52444050613163096</v>
      </c>
      <c r="BL77">
        <f t="shared" si="85"/>
        <v>1.0582344938579116</v>
      </c>
      <c r="BM77">
        <f t="shared" si="86"/>
        <v>0.19690447835055805</v>
      </c>
      <c r="BN77">
        <f t="shared" si="87"/>
        <v>0.80309552164944198</v>
      </c>
      <c r="BO77">
        <v>2269</v>
      </c>
      <c r="BP77">
        <v>290.00000000000011</v>
      </c>
      <c r="BQ77">
        <v>834.68</v>
      </c>
      <c r="BR77">
        <v>185</v>
      </c>
      <c r="BS77">
        <v>10394.700000000001</v>
      </c>
      <c r="BT77">
        <v>832.52</v>
      </c>
      <c r="BU77">
        <v>2.16</v>
      </c>
      <c r="BV77">
        <v>300.00000000000011</v>
      </c>
      <c r="BW77">
        <v>38.4</v>
      </c>
      <c r="BX77">
        <v>851.60491754166776</v>
      </c>
      <c r="BY77">
        <v>1.1960774563694141</v>
      </c>
      <c r="BZ77">
        <v>-19.834725798778361</v>
      </c>
      <c r="CA77">
        <v>1.0172017624890619</v>
      </c>
      <c r="CB77">
        <v>0.93141001018098379</v>
      </c>
      <c r="CC77">
        <v>-1.1306418242491661E-2</v>
      </c>
      <c r="CD77">
        <v>289.99999999999989</v>
      </c>
      <c r="CE77">
        <v>830.35</v>
      </c>
      <c r="CF77">
        <v>665</v>
      </c>
      <c r="CG77">
        <v>10369.9</v>
      </c>
      <c r="CH77">
        <v>832.48</v>
      </c>
      <c r="CI77">
        <v>-2.13</v>
      </c>
      <c r="CW77">
        <f t="shared" si="88"/>
        <v>1799.98</v>
      </c>
      <c r="CX77">
        <f t="shared" si="89"/>
        <v>1513.1682064056893</v>
      </c>
      <c r="CY77">
        <f t="shared" si="90"/>
        <v>0.84065834420698515</v>
      </c>
      <c r="CZ77">
        <f t="shared" si="91"/>
        <v>0.19131668841397031</v>
      </c>
      <c r="DA77">
        <v>6</v>
      </c>
      <c r="DB77">
        <v>0.5</v>
      </c>
      <c r="DC77" t="s">
        <v>419</v>
      </c>
      <c r="DD77">
        <v>2</v>
      </c>
      <c r="DE77">
        <v>1693507507.5</v>
      </c>
      <c r="DF77">
        <v>59.927399999999999</v>
      </c>
      <c r="DG77">
        <v>69.882900000000006</v>
      </c>
      <c r="DH77">
        <v>28.821100000000001</v>
      </c>
      <c r="DI77">
        <v>23.0304</v>
      </c>
      <c r="DJ77">
        <v>58.213900000000002</v>
      </c>
      <c r="DK77">
        <v>27.967600000000001</v>
      </c>
      <c r="DL77">
        <v>499.71600000000001</v>
      </c>
      <c r="DM77">
        <v>99.598500000000001</v>
      </c>
      <c r="DN77">
        <v>9.9831600000000006E-2</v>
      </c>
      <c r="DO77">
        <v>30.472200000000001</v>
      </c>
      <c r="DP77">
        <v>29.987500000000001</v>
      </c>
      <c r="DQ77">
        <v>999.9</v>
      </c>
      <c r="DR77">
        <v>0</v>
      </c>
      <c r="DS77">
        <v>0</v>
      </c>
      <c r="DT77">
        <v>10032.5</v>
      </c>
      <c r="DU77">
        <v>0</v>
      </c>
      <c r="DV77">
        <v>1226.97</v>
      </c>
      <c r="DW77">
        <v>-9.9555500000000006</v>
      </c>
      <c r="DX77">
        <v>61.705800000000004</v>
      </c>
      <c r="DY77">
        <v>71.530299999999997</v>
      </c>
      <c r="DZ77">
        <v>5.7906500000000003</v>
      </c>
      <c r="EA77">
        <v>69.882900000000006</v>
      </c>
      <c r="EB77">
        <v>23.0304</v>
      </c>
      <c r="EC77">
        <v>2.8705400000000001</v>
      </c>
      <c r="ED77">
        <v>2.2938000000000001</v>
      </c>
      <c r="EE77">
        <v>23.295400000000001</v>
      </c>
      <c r="EF77">
        <v>19.632899999999999</v>
      </c>
      <c r="EG77">
        <v>1799.98</v>
      </c>
      <c r="EH77">
        <v>0.97799100000000005</v>
      </c>
      <c r="EI77">
        <v>2.20085E-2</v>
      </c>
      <c r="EJ77">
        <v>0</v>
      </c>
      <c r="EK77">
        <v>776.59</v>
      </c>
      <c r="EL77">
        <v>5.0002700000000004</v>
      </c>
      <c r="EM77">
        <v>14690</v>
      </c>
      <c r="EN77">
        <v>16248.4</v>
      </c>
      <c r="EO77">
        <v>48.311999999999998</v>
      </c>
      <c r="EP77">
        <v>49.936999999999998</v>
      </c>
      <c r="EQ77">
        <v>49.436999999999998</v>
      </c>
      <c r="ER77">
        <v>48.686999999999998</v>
      </c>
      <c r="ES77">
        <v>49.875</v>
      </c>
      <c r="ET77">
        <v>1755.47</v>
      </c>
      <c r="EU77">
        <v>39.5</v>
      </c>
      <c r="EV77">
        <v>0</v>
      </c>
      <c r="EW77">
        <v>105.2000000476837</v>
      </c>
      <c r="EX77">
        <v>0</v>
      </c>
      <c r="EY77">
        <v>777.13876000000005</v>
      </c>
      <c r="EZ77">
        <v>-1.768000004426562</v>
      </c>
      <c r="FA77">
        <v>-18.261538348060359</v>
      </c>
      <c r="FB77">
        <v>14695.072</v>
      </c>
      <c r="FC77">
        <v>15</v>
      </c>
      <c r="FD77">
        <v>1693507478</v>
      </c>
      <c r="FE77" t="s">
        <v>730</v>
      </c>
      <c r="FF77">
        <v>1693507472.5</v>
      </c>
      <c r="FG77">
        <v>1693507478</v>
      </c>
      <c r="FH77">
        <v>68</v>
      </c>
      <c r="FI77">
        <v>-3.5999999999999997E-2</v>
      </c>
      <c r="FJ77">
        <v>-8.0000000000000002E-3</v>
      </c>
      <c r="FK77">
        <v>1.7230000000000001</v>
      </c>
      <c r="FL77">
        <v>0.52700000000000002</v>
      </c>
      <c r="FM77">
        <v>70</v>
      </c>
      <c r="FN77">
        <v>23</v>
      </c>
      <c r="FO77">
        <v>0.48</v>
      </c>
      <c r="FP77">
        <v>0.06</v>
      </c>
      <c r="FQ77">
        <v>8.102934665071448</v>
      </c>
      <c r="FR77">
        <v>2.0739636677143791E-2</v>
      </c>
      <c r="FS77">
        <v>5.3099092552354357E-2</v>
      </c>
      <c r="FT77">
        <v>1</v>
      </c>
      <c r="FU77">
        <v>0.3674457981192229</v>
      </c>
      <c r="FV77">
        <v>3.837730449842796E-2</v>
      </c>
      <c r="FW77">
        <v>4.4391312441586592E-3</v>
      </c>
      <c r="FX77">
        <v>1</v>
      </c>
      <c r="FY77">
        <v>2</v>
      </c>
      <c r="FZ77">
        <v>2</v>
      </c>
      <c r="GA77" t="s">
        <v>421</v>
      </c>
      <c r="GB77">
        <v>3.1177999999999999</v>
      </c>
      <c r="GC77">
        <v>2.8652700000000002</v>
      </c>
      <c r="GD77">
        <v>1.6172599999999999E-2</v>
      </c>
      <c r="GE77">
        <v>1.9937300000000002E-2</v>
      </c>
      <c r="GF77">
        <v>0.129723</v>
      </c>
      <c r="GG77">
        <v>0.115969</v>
      </c>
      <c r="GH77">
        <v>29689.8</v>
      </c>
      <c r="GI77">
        <v>22946.400000000001</v>
      </c>
      <c r="GJ77">
        <v>29100.2</v>
      </c>
      <c r="GK77">
        <v>21825.5</v>
      </c>
      <c r="GL77">
        <v>33923.800000000003</v>
      </c>
      <c r="GM77">
        <v>26550.9</v>
      </c>
      <c r="GN77">
        <v>40383.599999999999</v>
      </c>
      <c r="GO77">
        <v>31020.5</v>
      </c>
      <c r="GP77">
        <v>2.0103</v>
      </c>
      <c r="GQ77">
        <v>1.8746</v>
      </c>
      <c r="GR77">
        <v>5.77569E-2</v>
      </c>
      <c r="GS77">
        <v>0</v>
      </c>
      <c r="GT77">
        <v>29.046800000000001</v>
      </c>
      <c r="GU77">
        <v>999.9</v>
      </c>
      <c r="GV77">
        <v>63.5</v>
      </c>
      <c r="GW77">
        <v>30.3</v>
      </c>
      <c r="GX77">
        <v>27.6326</v>
      </c>
      <c r="GY77">
        <v>61.177500000000002</v>
      </c>
      <c r="GZ77">
        <v>11.634600000000001</v>
      </c>
      <c r="HA77">
        <v>1</v>
      </c>
      <c r="HB77">
        <v>0.34737800000000002</v>
      </c>
      <c r="HC77">
        <v>1.0760099999999999</v>
      </c>
      <c r="HD77">
        <v>20.332899999999999</v>
      </c>
      <c r="HE77">
        <v>5.2346599999999999</v>
      </c>
      <c r="HF77">
        <v>11.974</v>
      </c>
      <c r="HG77">
        <v>4.9756</v>
      </c>
      <c r="HH77">
        <v>3.2839999999999998</v>
      </c>
      <c r="HI77">
        <v>9999</v>
      </c>
      <c r="HJ77">
        <v>9999</v>
      </c>
      <c r="HK77">
        <v>9999</v>
      </c>
      <c r="HL77">
        <v>999.9</v>
      </c>
      <c r="HM77">
        <v>1.8605</v>
      </c>
      <c r="HN77">
        <v>1.8621799999999999</v>
      </c>
      <c r="HO77">
        <v>1.86768</v>
      </c>
      <c r="HP77">
        <v>1.85816</v>
      </c>
      <c r="HQ77">
        <v>1.8565499999999999</v>
      </c>
      <c r="HR77">
        <v>1.86032</v>
      </c>
      <c r="HS77">
        <v>1.8642099999999999</v>
      </c>
      <c r="HT77">
        <v>1.8662799999999999</v>
      </c>
      <c r="HU77">
        <v>5</v>
      </c>
      <c r="HV77">
        <v>0</v>
      </c>
      <c r="HW77">
        <v>0</v>
      </c>
      <c r="HX77">
        <v>0</v>
      </c>
      <c r="HY77" t="s">
        <v>422</v>
      </c>
      <c r="HZ77" t="s">
        <v>423</v>
      </c>
      <c r="IA77" t="s">
        <v>424</v>
      </c>
      <c r="IB77" t="s">
        <v>424</v>
      </c>
      <c r="IC77" t="s">
        <v>424</v>
      </c>
      <c r="ID77" t="s">
        <v>424</v>
      </c>
      <c r="IE77">
        <v>0</v>
      </c>
      <c r="IF77">
        <v>100</v>
      </c>
      <c r="IG77">
        <v>100</v>
      </c>
      <c r="IH77">
        <v>1.7130000000000001</v>
      </c>
      <c r="II77">
        <v>0.85350000000000004</v>
      </c>
      <c r="IJ77">
        <v>1.653966377810256</v>
      </c>
      <c r="IK77">
        <v>1.118558698776514E-3</v>
      </c>
      <c r="IL77">
        <v>-1.6939696309573479E-6</v>
      </c>
      <c r="IM77">
        <v>5.4698917449866148E-10</v>
      </c>
      <c r="IN77">
        <v>-5.1598479067811009E-2</v>
      </c>
      <c r="IO77">
        <v>-7.6058941998734366E-3</v>
      </c>
      <c r="IP77">
        <v>1.6984902717538061E-3</v>
      </c>
      <c r="IQ77">
        <v>-9.6352527008986976E-6</v>
      </c>
      <c r="IR77">
        <v>2</v>
      </c>
      <c r="IS77">
        <v>2021</v>
      </c>
      <c r="IT77">
        <v>2</v>
      </c>
      <c r="IU77">
        <v>40</v>
      </c>
      <c r="IV77">
        <v>0.6</v>
      </c>
      <c r="IW77">
        <v>0.5</v>
      </c>
      <c r="IX77">
        <v>0.305176</v>
      </c>
      <c r="IY77">
        <v>2.5268600000000001</v>
      </c>
      <c r="IZ77">
        <v>1.34399</v>
      </c>
      <c r="JA77">
        <v>2.2497600000000002</v>
      </c>
      <c r="JB77">
        <v>1.5918000000000001</v>
      </c>
      <c r="JC77">
        <v>2.32666</v>
      </c>
      <c r="JD77">
        <v>34.990400000000001</v>
      </c>
      <c r="JE77">
        <v>16.0321</v>
      </c>
      <c r="JF77">
        <v>18</v>
      </c>
      <c r="JG77">
        <v>515.91300000000001</v>
      </c>
      <c r="JH77">
        <v>465.351</v>
      </c>
      <c r="JI77">
        <v>26.7394</v>
      </c>
      <c r="JJ77">
        <v>31.950800000000001</v>
      </c>
      <c r="JK77">
        <v>29.9984</v>
      </c>
      <c r="JL77">
        <v>31.813300000000002</v>
      </c>
      <c r="JM77">
        <v>31.753399999999999</v>
      </c>
      <c r="JN77">
        <v>6.18513</v>
      </c>
      <c r="JO77">
        <v>26.1661</v>
      </c>
      <c r="JP77">
        <v>100</v>
      </c>
      <c r="JQ77">
        <v>26.7944</v>
      </c>
      <c r="JR77">
        <v>70</v>
      </c>
      <c r="JS77">
        <v>22.9651</v>
      </c>
      <c r="JT77">
        <v>99.216399999999993</v>
      </c>
      <c r="JU77">
        <v>97.994100000000003</v>
      </c>
    </row>
    <row r="78" spans="1:281" x14ac:dyDescent="0.25">
      <c r="A78">
        <v>62</v>
      </c>
      <c r="B78">
        <v>1693507610</v>
      </c>
      <c r="C78">
        <v>12683.400000095369</v>
      </c>
      <c r="D78" t="s">
        <v>731</v>
      </c>
      <c r="E78" t="s">
        <v>732</v>
      </c>
      <c r="F78" t="s">
        <v>413</v>
      </c>
      <c r="G78" t="s">
        <v>414</v>
      </c>
      <c r="H78" t="s">
        <v>707</v>
      </c>
      <c r="I78" t="s">
        <v>31</v>
      </c>
      <c r="J78">
        <v>1693507610</v>
      </c>
      <c r="K78">
        <f t="shared" si="46"/>
        <v>5.1421205533803034E-3</v>
      </c>
      <c r="L78">
        <f t="shared" si="47"/>
        <v>5.1421205533803036</v>
      </c>
      <c r="M78">
        <f t="shared" si="48"/>
        <v>3.4635994678162683</v>
      </c>
      <c r="N78">
        <f t="shared" si="49"/>
        <v>25.6889</v>
      </c>
      <c r="O78">
        <f t="shared" si="50"/>
        <v>9.8970158017142058</v>
      </c>
      <c r="P78">
        <f t="shared" si="51"/>
        <v>0.9867373150716332</v>
      </c>
      <c r="Q78">
        <f t="shared" si="52"/>
        <v>2.5611958918720998</v>
      </c>
      <c r="R78">
        <f t="shared" si="53"/>
        <v>0.38254245770303824</v>
      </c>
      <c r="S78">
        <f t="shared" si="54"/>
        <v>2.9190239471512678</v>
      </c>
      <c r="T78">
        <f t="shared" si="55"/>
        <v>0.35671431993072755</v>
      </c>
      <c r="U78">
        <f t="shared" si="56"/>
        <v>0.22512152177063208</v>
      </c>
      <c r="V78">
        <f t="shared" si="57"/>
        <v>344.39159964470372</v>
      </c>
      <c r="W78">
        <f t="shared" si="58"/>
        <v>31.132416555846792</v>
      </c>
      <c r="X78">
        <f t="shared" si="59"/>
        <v>29.975300000000001</v>
      </c>
      <c r="Y78">
        <f t="shared" si="60"/>
        <v>4.2544090044021639</v>
      </c>
      <c r="Z78">
        <f t="shared" si="61"/>
        <v>65.659090308499131</v>
      </c>
      <c r="AA78">
        <f t="shared" si="62"/>
        <v>2.8685425893123999</v>
      </c>
      <c r="AB78">
        <f t="shared" si="63"/>
        <v>4.3688430281847603</v>
      </c>
      <c r="AC78">
        <f t="shared" si="64"/>
        <v>1.3858664150897639</v>
      </c>
      <c r="AD78">
        <f t="shared" si="65"/>
        <v>-226.76751640407139</v>
      </c>
      <c r="AE78">
        <f t="shared" si="66"/>
        <v>72.831029931165176</v>
      </c>
      <c r="AF78">
        <f t="shared" si="67"/>
        <v>5.5591275100847692</v>
      </c>
      <c r="AG78">
        <f t="shared" si="68"/>
        <v>196.01424068188226</v>
      </c>
      <c r="AH78">
        <v>0</v>
      </c>
      <c r="AI78">
        <v>0</v>
      </c>
      <c r="AJ78">
        <f t="shared" si="69"/>
        <v>1</v>
      </c>
      <c r="AK78">
        <f t="shared" si="70"/>
        <v>0</v>
      </c>
      <c r="AL78">
        <f t="shared" si="71"/>
        <v>51969.233438345924</v>
      </c>
      <c r="AM78" t="s">
        <v>416</v>
      </c>
      <c r="AN78">
        <v>10366.9</v>
      </c>
      <c r="AO78">
        <v>993.59653846153856</v>
      </c>
      <c r="AP78">
        <v>3431.87</v>
      </c>
      <c r="AQ78">
        <f t="shared" si="72"/>
        <v>0.71047955241266758</v>
      </c>
      <c r="AR78">
        <v>-3.9894345373445681</v>
      </c>
      <c r="AS78" t="s">
        <v>733</v>
      </c>
      <c r="AT78">
        <v>10403.200000000001</v>
      </c>
      <c r="AU78">
        <v>788.15775999999994</v>
      </c>
      <c r="AV78">
        <v>840.84113654309999</v>
      </c>
      <c r="AW78">
        <f t="shared" si="73"/>
        <v>6.2655565068681196E-2</v>
      </c>
      <c r="AX78">
        <v>0.5</v>
      </c>
      <c r="AY78">
        <f t="shared" si="74"/>
        <v>1513.2851998223518</v>
      </c>
      <c r="AZ78">
        <f t="shared" si="75"/>
        <v>3.4635994678162683</v>
      </c>
      <c r="BA78">
        <f t="shared" si="76"/>
        <v>47.407869652470794</v>
      </c>
      <c r="BB78">
        <f t="shared" si="77"/>
        <v>4.9250689863587944E-3</v>
      </c>
      <c r="BC78">
        <f t="shared" si="78"/>
        <v>3.0814725289360152</v>
      </c>
      <c r="BD78">
        <f t="shared" si="79"/>
        <v>525.11529371012966</v>
      </c>
      <c r="BE78" t="s">
        <v>734</v>
      </c>
      <c r="BF78">
        <v>591.07000000000005</v>
      </c>
      <c r="BG78">
        <f t="shared" si="80"/>
        <v>591.07000000000005</v>
      </c>
      <c r="BH78">
        <f t="shared" si="81"/>
        <v>0.29704914006701566</v>
      </c>
      <c r="BI78">
        <f t="shared" si="82"/>
        <v>0.21092659973547076</v>
      </c>
      <c r="BJ78">
        <f t="shared" si="83"/>
        <v>0.91207718370068291</v>
      </c>
      <c r="BK78">
        <f t="shared" si="84"/>
        <v>-0.34488715869589703</v>
      </c>
      <c r="BL78">
        <f t="shared" si="85"/>
        <v>1.0626490032098594</v>
      </c>
      <c r="BM78">
        <f t="shared" si="86"/>
        <v>0.15818201841423818</v>
      </c>
      <c r="BN78">
        <f t="shared" si="87"/>
        <v>0.84181798158576182</v>
      </c>
      <c r="BO78">
        <v>2271</v>
      </c>
      <c r="BP78">
        <v>290.00000000000011</v>
      </c>
      <c r="BQ78">
        <v>829.52</v>
      </c>
      <c r="BR78">
        <v>145</v>
      </c>
      <c r="BS78">
        <v>10403.200000000001</v>
      </c>
      <c r="BT78">
        <v>826.75</v>
      </c>
      <c r="BU78">
        <v>2.77</v>
      </c>
      <c r="BV78">
        <v>300.00000000000011</v>
      </c>
      <c r="BW78">
        <v>38.4</v>
      </c>
      <c r="BX78">
        <v>840.84113654309999</v>
      </c>
      <c r="BY78">
        <v>1.18304457610632</v>
      </c>
      <c r="BZ78">
        <v>-14.6591276250163</v>
      </c>
      <c r="CA78">
        <v>1.006253522577073</v>
      </c>
      <c r="CB78">
        <v>0.88344376345649289</v>
      </c>
      <c r="CC78">
        <v>-1.130790411568411E-2</v>
      </c>
      <c r="CD78">
        <v>289.99999999999989</v>
      </c>
      <c r="CE78">
        <v>824.74</v>
      </c>
      <c r="CF78">
        <v>635</v>
      </c>
      <c r="CG78">
        <v>10374.299999999999</v>
      </c>
      <c r="CH78">
        <v>826.71</v>
      </c>
      <c r="CI78">
        <v>-1.97</v>
      </c>
      <c r="CW78">
        <f t="shared" si="88"/>
        <v>1800.12</v>
      </c>
      <c r="CX78">
        <f t="shared" si="89"/>
        <v>1513.2851998223518</v>
      </c>
      <c r="CY78">
        <f t="shared" si="90"/>
        <v>0.84065795603757076</v>
      </c>
      <c r="CZ78">
        <f t="shared" si="91"/>
        <v>0.19131591207514151</v>
      </c>
      <c r="DA78">
        <v>6</v>
      </c>
      <c r="DB78">
        <v>0.5</v>
      </c>
      <c r="DC78" t="s">
        <v>419</v>
      </c>
      <c r="DD78">
        <v>2</v>
      </c>
      <c r="DE78">
        <v>1693507610</v>
      </c>
      <c r="DF78">
        <v>25.6889</v>
      </c>
      <c r="DG78">
        <v>30.001999999999999</v>
      </c>
      <c r="DH78">
        <v>28.771599999999999</v>
      </c>
      <c r="DI78">
        <v>22.780999999999999</v>
      </c>
      <c r="DJ78">
        <v>23.947199999999999</v>
      </c>
      <c r="DK78">
        <v>27.9191</v>
      </c>
      <c r="DL78">
        <v>500.20100000000002</v>
      </c>
      <c r="DM78">
        <v>99.600399999999993</v>
      </c>
      <c r="DN78">
        <v>0.100089</v>
      </c>
      <c r="DO78">
        <v>30.438099999999999</v>
      </c>
      <c r="DP78">
        <v>29.975300000000001</v>
      </c>
      <c r="DQ78">
        <v>999.9</v>
      </c>
      <c r="DR78">
        <v>0</v>
      </c>
      <c r="DS78">
        <v>0</v>
      </c>
      <c r="DT78">
        <v>9980</v>
      </c>
      <c r="DU78">
        <v>0</v>
      </c>
      <c r="DV78">
        <v>1221.95</v>
      </c>
      <c r="DW78">
        <v>-4.3131199999999996</v>
      </c>
      <c r="DX78">
        <v>26.4499</v>
      </c>
      <c r="DY78">
        <v>30.7014</v>
      </c>
      <c r="DZ78">
        <v>5.9906300000000003</v>
      </c>
      <c r="EA78">
        <v>30.001999999999999</v>
      </c>
      <c r="EB78">
        <v>22.780999999999999</v>
      </c>
      <c r="EC78">
        <v>2.8656600000000001</v>
      </c>
      <c r="ED78">
        <v>2.2689900000000001</v>
      </c>
      <c r="EE78">
        <v>23.267299999999999</v>
      </c>
      <c r="EF78">
        <v>19.457899999999999</v>
      </c>
      <c r="EG78">
        <v>1800.12</v>
      </c>
      <c r="EH78">
        <v>0.97800799999999999</v>
      </c>
      <c r="EI78">
        <v>2.1991799999999999E-2</v>
      </c>
      <c r="EJ78">
        <v>0</v>
      </c>
      <c r="EK78">
        <v>788.11800000000005</v>
      </c>
      <c r="EL78">
        <v>5.0002700000000004</v>
      </c>
      <c r="EM78">
        <v>14876.7</v>
      </c>
      <c r="EN78">
        <v>16249.7</v>
      </c>
      <c r="EO78">
        <v>48.125</v>
      </c>
      <c r="EP78">
        <v>49.875</v>
      </c>
      <c r="EQ78">
        <v>49.25</v>
      </c>
      <c r="ER78">
        <v>48.686999999999998</v>
      </c>
      <c r="ES78">
        <v>49.75</v>
      </c>
      <c r="ET78">
        <v>1755.64</v>
      </c>
      <c r="EU78">
        <v>39.479999999999997</v>
      </c>
      <c r="EV78">
        <v>0</v>
      </c>
      <c r="EW78">
        <v>100.80000019073491</v>
      </c>
      <c r="EX78">
        <v>0</v>
      </c>
      <c r="EY78">
        <v>788.15775999999994</v>
      </c>
      <c r="EZ78">
        <v>-1.8470769137435139</v>
      </c>
      <c r="FA78">
        <v>35.430769295488439</v>
      </c>
      <c r="FB78">
        <v>14877.6</v>
      </c>
      <c r="FC78">
        <v>15</v>
      </c>
      <c r="FD78">
        <v>1693507581</v>
      </c>
      <c r="FE78" t="s">
        <v>735</v>
      </c>
      <c r="FF78">
        <v>1693507566</v>
      </c>
      <c r="FG78">
        <v>1693507581</v>
      </c>
      <c r="FH78">
        <v>69</v>
      </c>
      <c r="FI78">
        <v>6.2E-2</v>
      </c>
      <c r="FJ78">
        <v>2E-3</v>
      </c>
      <c r="FK78">
        <v>1.746</v>
      </c>
      <c r="FL78">
        <v>0.51600000000000001</v>
      </c>
      <c r="FM78">
        <v>30</v>
      </c>
      <c r="FN78">
        <v>23</v>
      </c>
      <c r="FO78">
        <v>0.83</v>
      </c>
      <c r="FP78">
        <v>0.04</v>
      </c>
      <c r="FQ78">
        <v>3.4759626790179379</v>
      </c>
      <c r="FR78">
        <v>0.17125652108970521</v>
      </c>
      <c r="FS78">
        <v>3.7071447048810657E-2</v>
      </c>
      <c r="FT78">
        <v>1</v>
      </c>
      <c r="FU78">
        <v>0.38328353308097418</v>
      </c>
      <c r="FV78">
        <v>3.1433066806209789E-2</v>
      </c>
      <c r="FW78">
        <v>3.38516502289705E-3</v>
      </c>
      <c r="FX78">
        <v>1</v>
      </c>
      <c r="FY78">
        <v>2</v>
      </c>
      <c r="FZ78">
        <v>2</v>
      </c>
      <c r="GA78" t="s">
        <v>421</v>
      </c>
      <c r="GB78">
        <v>3.1183000000000001</v>
      </c>
      <c r="GC78">
        <v>2.8650799999999998</v>
      </c>
      <c r="GD78">
        <v>6.6932099999999998E-3</v>
      </c>
      <c r="GE78">
        <v>8.6365000000000001E-3</v>
      </c>
      <c r="GF78">
        <v>0.129554</v>
      </c>
      <c r="GG78">
        <v>0.115079</v>
      </c>
      <c r="GH78">
        <v>29971.8</v>
      </c>
      <c r="GI78">
        <v>23210.1</v>
      </c>
      <c r="GJ78">
        <v>29096.6</v>
      </c>
      <c r="GK78">
        <v>21824.9</v>
      </c>
      <c r="GL78">
        <v>33926.5</v>
      </c>
      <c r="GM78">
        <v>26576.2</v>
      </c>
      <c r="GN78">
        <v>40379</v>
      </c>
      <c r="GO78">
        <v>31019.8</v>
      </c>
      <c r="GP78">
        <v>2.0105</v>
      </c>
      <c r="GQ78">
        <v>1.8715999999999999</v>
      </c>
      <c r="GR78">
        <v>5.0768300000000002E-2</v>
      </c>
      <c r="GS78">
        <v>0</v>
      </c>
      <c r="GT78">
        <v>29.148599999999998</v>
      </c>
      <c r="GU78">
        <v>999.9</v>
      </c>
      <c r="GV78">
        <v>63.5</v>
      </c>
      <c r="GW78">
        <v>30.3</v>
      </c>
      <c r="GX78">
        <v>27.6355</v>
      </c>
      <c r="GY78">
        <v>61.317599999999999</v>
      </c>
      <c r="GZ78">
        <v>11.242000000000001</v>
      </c>
      <c r="HA78">
        <v>1</v>
      </c>
      <c r="HB78">
        <v>0.35575200000000001</v>
      </c>
      <c r="HC78">
        <v>2.2162899999999999</v>
      </c>
      <c r="HD78">
        <v>20.321100000000001</v>
      </c>
      <c r="HE78">
        <v>5.23346</v>
      </c>
      <c r="HF78">
        <v>11.9758</v>
      </c>
      <c r="HG78">
        <v>4.9748000000000001</v>
      </c>
      <c r="HH78">
        <v>3.2839999999999998</v>
      </c>
      <c r="HI78">
        <v>9999</v>
      </c>
      <c r="HJ78">
        <v>9999</v>
      </c>
      <c r="HK78">
        <v>9999</v>
      </c>
      <c r="HL78">
        <v>999.9</v>
      </c>
      <c r="HM78">
        <v>1.8605</v>
      </c>
      <c r="HN78">
        <v>1.8621799999999999</v>
      </c>
      <c r="HO78">
        <v>1.86768</v>
      </c>
      <c r="HP78">
        <v>1.85816</v>
      </c>
      <c r="HQ78">
        <v>1.8566</v>
      </c>
      <c r="HR78">
        <v>1.86033</v>
      </c>
      <c r="HS78">
        <v>1.8641700000000001</v>
      </c>
      <c r="HT78">
        <v>1.8662799999999999</v>
      </c>
      <c r="HU78">
        <v>5</v>
      </c>
      <c r="HV78">
        <v>0</v>
      </c>
      <c r="HW78">
        <v>0</v>
      </c>
      <c r="HX78">
        <v>0</v>
      </c>
      <c r="HY78" t="s">
        <v>422</v>
      </c>
      <c r="HZ78" t="s">
        <v>423</v>
      </c>
      <c r="IA78" t="s">
        <v>424</v>
      </c>
      <c r="IB78" t="s">
        <v>424</v>
      </c>
      <c r="IC78" t="s">
        <v>424</v>
      </c>
      <c r="ID78" t="s">
        <v>424</v>
      </c>
      <c r="IE78">
        <v>0</v>
      </c>
      <c r="IF78">
        <v>100</v>
      </c>
      <c r="IG78">
        <v>100</v>
      </c>
      <c r="IH78">
        <v>1.742</v>
      </c>
      <c r="II78">
        <v>0.85250000000000004</v>
      </c>
      <c r="IJ78">
        <v>1.7158522273766641</v>
      </c>
      <c r="IK78">
        <v>1.118558698776514E-3</v>
      </c>
      <c r="IL78">
        <v>-1.6939696309573479E-6</v>
      </c>
      <c r="IM78">
        <v>5.4698917449866148E-10</v>
      </c>
      <c r="IN78">
        <v>-4.941133737524106E-2</v>
      </c>
      <c r="IO78">
        <v>-7.6058941998734366E-3</v>
      </c>
      <c r="IP78">
        <v>1.6984902717538061E-3</v>
      </c>
      <c r="IQ78">
        <v>-9.6352527008986976E-6</v>
      </c>
      <c r="IR78">
        <v>2</v>
      </c>
      <c r="IS78">
        <v>2021</v>
      </c>
      <c r="IT78">
        <v>2</v>
      </c>
      <c r="IU78">
        <v>40</v>
      </c>
      <c r="IV78">
        <v>0.7</v>
      </c>
      <c r="IW78">
        <v>0.5</v>
      </c>
      <c r="IX78">
        <v>0.21484400000000001</v>
      </c>
      <c r="IY78">
        <v>2.5293000000000001</v>
      </c>
      <c r="IZ78">
        <v>1.34399</v>
      </c>
      <c r="JA78">
        <v>2.2497600000000002</v>
      </c>
      <c r="JB78">
        <v>1.5918000000000001</v>
      </c>
      <c r="JC78">
        <v>2.4108900000000002</v>
      </c>
      <c r="JD78">
        <v>35.059399999999997</v>
      </c>
      <c r="JE78">
        <v>16.023299999999999</v>
      </c>
      <c r="JF78">
        <v>18</v>
      </c>
      <c r="JG78">
        <v>516.46600000000001</v>
      </c>
      <c r="JH78">
        <v>463.733</v>
      </c>
      <c r="JI78">
        <v>26.252700000000001</v>
      </c>
      <c r="JJ78">
        <v>32.015300000000003</v>
      </c>
      <c r="JK78">
        <v>30.0002</v>
      </c>
      <c r="JL78">
        <v>31.860700000000001</v>
      </c>
      <c r="JM78">
        <v>31.8034</v>
      </c>
      <c r="JN78">
        <v>4.3990499999999999</v>
      </c>
      <c r="JO78">
        <v>27.438199999999998</v>
      </c>
      <c r="JP78">
        <v>100</v>
      </c>
      <c r="JQ78">
        <v>26.646100000000001</v>
      </c>
      <c r="JR78">
        <v>30</v>
      </c>
      <c r="JS78">
        <v>22.6951</v>
      </c>
      <c r="JT78">
        <v>99.204599999999999</v>
      </c>
      <c r="JU78">
        <v>97.991500000000002</v>
      </c>
    </row>
    <row r="79" spans="1:281" x14ac:dyDescent="0.25">
      <c r="A79">
        <v>63</v>
      </c>
      <c r="B79">
        <v>1693507710.5</v>
      </c>
      <c r="C79">
        <v>12783.900000095369</v>
      </c>
      <c r="D79" t="s">
        <v>736</v>
      </c>
      <c r="E79" t="s">
        <v>737</v>
      </c>
      <c r="F79" t="s">
        <v>413</v>
      </c>
      <c r="G79" t="s">
        <v>414</v>
      </c>
      <c r="H79" t="s">
        <v>707</v>
      </c>
      <c r="I79" t="s">
        <v>31</v>
      </c>
      <c r="J79">
        <v>1693507710.5</v>
      </c>
      <c r="K79">
        <f t="shared" si="46"/>
        <v>5.3825335428726957E-3</v>
      </c>
      <c r="L79">
        <f t="shared" si="47"/>
        <v>5.3825335428726957</v>
      </c>
      <c r="M79">
        <f t="shared" si="48"/>
        <v>0.97278091429526325</v>
      </c>
      <c r="N79">
        <f t="shared" si="49"/>
        <v>8.76877</v>
      </c>
      <c r="O79">
        <f t="shared" si="50"/>
        <v>4.4289931866854637</v>
      </c>
      <c r="P79">
        <f t="shared" si="51"/>
        <v>0.44156353742373727</v>
      </c>
      <c r="Q79">
        <f t="shared" si="52"/>
        <v>0.87423234510613912</v>
      </c>
      <c r="R79">
        <f t="shared" si="53"/>
        <v>0.3955147446375345</v>
      </c>
      <c r="S79">
        <f t="shared" si="54"/>
        <v>2.9277474117641744</v>
      </c>
      <c r="T79">
        <f t="shared" si="55"/>
        <v>0.36804876512274887</v>
      </c>
      <c r="U79">
        <f t="shared" si="56"/>
        <v>0.23233904857120508</v>
      </c>
      <c r="V79">
        <f t="shared" si="57"/>
        <v>344.3801996446918</v>
      </c>
      <c r="W79">
        <f t="shared" si="58"/>
        <v>31.065118624199165</v>
      </c>
      <c r="X79">
        <f t="shared" si="59"/>
        <v>30.0002</v>
      </c>
      <c r="Y79">
        <f t="shared" si="60"/>
        <v>4.2604987160155758</v>
      </c>
      <c r="Z79">
        <f t="shared" si="61"/>
        <v>65.348167105537996</v>
      </c>
      <c r="AA79">
        <f t="shared" si="62"/>
        <v>2.8544848501218403</v>
      </c>
      <c r="AB79">
        <f t="shared" si="63"/>
        <v>4.3681176941226463</v>
      </c>
      <c r="AC79">
        <f t="shared" si="64"/>
        <v>1.4060138658937356</v>
      </c>
      <c r="AD79">
        <f t="shared" si="65"/>
        <v>-237.36972924068587</v>
      </c>
      <c r="AE79">
        <f t="shared" si="66"/>
        <v>68.660712531417929</v>
      </c>
      <c r="AF79">
        <f t="shared" si="67"/>
        <v>5.2257638357864939</v>
      </c>
      <c r="AG79">
        <f t="shared" si="68"/>
        <v>180.89694677121037</v>
      </c>
      <c r="AH79">
        <v>0</v>
      </c>
      <c r="AI79">
        <v>0</v>
      </c>
      <c r="AJ79">
        <f t="shared" si="69"/>
        <v>1</v>
      </c>
      <c r="AK79">
        <f t="shared" si="70"/>
        <v>0</v>
      </c>
      <c r="AL79">
        <f t="shared" si="71"/>
        <v>52218.404633420723</v>
      </c>
      <c r="AM79" t="s">
        <v>416</v>
      </c>
      <c r="AN79">
        <v>10366.9</v>
      </c>
      <c r="AO79">
        <v>993.59653846153856</v>
      </c>
      <c r="AP79">
        <v>3431.87</v>
      </c>
      <c r="AQ79">
        <f t="shared" si="72"/>
        <v>0.71047955241266758</v>
      </c>
      <c r="AR79">
        <v>-3.9894345373445681</v>
      </c>
      <c r="AS79" t="s">
        <v>738</v>
      </c>
      <c r="AT79">
        <v>10422.299999999999</v>
      </c>
      <c r="AU79">
        <v>793.40744000000007</v>
      </c>
      <c r="AV79">
        <v>839.842025138586</v>
      </c>
      <c r="AW79">
        <f t="shared" si="73"/>
        <v>5.5289666090385881E-2</v>
      </c>
      <c r="AX79">
        <v>0.5</v>
      </c>
      <c r="AY79">
        <f t="shared" si="74"/>
        <v>1513.2347998223456</v>
      </c>
      <c r="AZ79">
        <f t="shared" si="75"/>
        <v>0.97278091429526325</v>
      </c>
      <c r="BA79">
        <f t="shared" si="76"/>
        <v>41.833123399264707</v>
      </c>
      <c r="BB79">
        <f t="shared" si="77"/>
        <v>3.2792105046899516E-3</v>
      </c>
      <c r="BC79">
        <f t="shared" si="78"/>
        <v>3.0863280203603671</v>
      </c>
      <c r="BD79">
        <f t="shared" si="79"/>
        <v>524.72545123130112</v>
      </c>
      <c r="BE79" t="s">
        <v>739</v>
      </c>
      <c r="BF79">
        <v>603.80999999999995</v>
      </c>
      <c r="BG79">
        <f t="shared" si="80"/>
        <v>603.80999999999995</v>
      </c>
      <c r="BH79">
        <f t="shared" si="81"/>
        <v>0.28104336062444291</v>
      </c>
      <c r="BI79">
        <f t="shared" si="82"/>
        <v>0.19673002047633958</v>
      </c>
      <c r="BJ79">
        <f t="shared" si="83"/>
        <v>0.91653924416787969</v>
      </c>
      <c r="BK79">
        <f t="shared" si="84"/>
        <v>-0.3020046965454129</v>
      </c>
      <c r="BL79">
        <f t="shared" si="85"/>
        <v>1.0630587650434988</v>
      </c>
      <c r="BM79">
        <f t="shared" si="86"/>
        <v>0.14971822505700047</v>
      </c>
      <c r="BN79">
        <f t="shared" si="87"/>
        <v>0.8502817749429995</v>
      </c>
      <c r="BO79">
        <v>2273</v>
      </c>
      <c r="BP79">
        <v>290.00000000000011</v>
      </c>
      <c r="BQ79">
        <v>827.32</v>
      </c>
      <c r="BR79">
        <v>65</v>
      </c>
      <c r="BS79">
        <v>10422.299999999999</v>
      </c>
      <c r="BT79">
        <v>824.74</v>
      </c>
      <c r="BU79">
        <v>2.58</v>
      </c>
      <c r="BV79">
        <v>300.00000000000011</v>
      </c>
      <c r="BW79">
        <v>38.4</v>
      </c>
      <c r="BX79">
        <v>839.842025138586</v>
      </c>
      <c r="BY79">
        <v>1.2872229231478609</v>
      </c>
      <c r="BZ79">
        <v>-15.73675304158246</v>
      </c>
      <c r="CA79">
        <v>1.0950061816365999</v>
      </c>
      <c r="CB79">
        <v>0.8806156707237518</v>
      </c>
      <c r="CC79">
        <v>-1.130859866518354E-2</v>
      </c>
      <c r="CD79">
        <v>289.99999999999989</v>
      </c>
      <c r="CE79">
        <v>822.26</v>
      </c>
      <c r="CF79">
        <v>615</v>
      </c>
      <c r="CG79">
        <v>10378.200000000001</v>
      </c>
      <c r="CH79">
        <v>824.68</v>
      </c>
      <c r="CI79">
        <v>-2.42</v>
      </c>
      <c r="CW79">
        <f t="shared" si="88"/>
        <v>1800.06</v>
      </c>
      <c r="CX79">
        <f t="shared" si="89"/>
        <v>1513.2347998223456</v>
      </c>
      <c r="CY79">
        <f t="shared" si="90"/>
        <v>0.84065797796870423</v>
      </c>
      <c r="CZ79">
        <f t="shared" si="91"/>
        <v>0.19131595593740866</v>
      </c>
      <c r="DA79">
        <v>6</v>
      </c>
      <c r="DB79">
        <v>0.5</v>
      </c>
      <c r="DC79" t="s">
        <v>419</v>
      </c>
      <c r="DD79">
        <v>2</v>
      </c>
      <c r="DE79">
        <v>1693507710.5</v>
      </c>
      <c r="DF79">
        <v>8.76877</v>
      </c>
      <c r="DG79">
        <v>9.9928600000000003</v>
      </c>
      <c r="DH79">
        <v>28.6312</v>
      </c>
      <c r="DI79">
        <v>22.3565</v>
      </c>
      <c r="DJ79">
        <v>7.0207600000000001</v>
      </c>
      <c r="DK79">
        <v>27.793500000000002</v>
      </c>
      <c r="DL79">
        <v>499.95299999999997</v>
      </c>
      <c r="DM79">
        <v>99.598500000000001</v>
      </c>
      <c r="DN79">
        <v>9.9900699999999995E-2</v>
      </c>
      <c r="DO79">
        <v>30.435199999999998</v>
      </c>
      <c r="DP79">
        <v>30.0002</v>
      </c>
      <c r="DQ79">
        <v>999.9</v>
      </c>
      <c r="DR79">
        <v>0</v>
      </c>
      <c r="DS79">
        <v>0</v>
      </c>
      <c r="DT79">
        <v>10030</v>
      </c>
      <c r="DU79">
        <v>0</v>
      </c>
      <c r="DV79">
        <v>1215.9000000000001</v>
      </c>
      <c r="DW79">
        <v>-1.2240899999999999</v>
      </c>
      <c r="DX79">
        <v>9.0272400000000008</v>
      </c>
      <c r="DY79">
        <v>10.221399999999999</v>
      </c>
      <c r="DZ79">
        <v>6.2746899999999997</v>
      </c>
      <c r="EA79">
        <v>9.9928600000000003</v>
      </c>
      <c r="EB79">
        <v>22.3565</v>
      </c>
      <c r="EC79">
        <v>2.8516300000000001</v>
      </c>
      <c r="ED79">
        <v>2.22668</v>
      </c>
      <c r="EE79">
        <v>23.186</v>
      </c>
      <c r="EF79">
        <v>19.1556</v>
      </c>
      <c r="EG79">
        <v>1800.06</v>
      </c>
      <c r="EH79">
        <v>0.97800500000000001</v>
      </c>
      <c r="EI79">
        <v>2.1995299999999999E-2</v>
      </c>
      <c r="EJ79">
        <v>0</v>
      </c>
      <c r="EK79">
        <v>793.32</v>
      </c>
      <c r="EL79">
        <v>5.0002700000000004</v>
      </c>
      <c r="EM79">
        <v>14962.8</v>
      </c>
      <c r="EN79">
        <v>16249.2</v>
      </c>
      <c r="EO79">
        <v>48</v>
      </c>
      <c r="EP79">
        <v>49.686999999999998</v>
      </c>
      <c r="EQ79">
        <v>49.061999999999998</v>
      </c>
      <c r="ER79">
        <v>48.625</v>
      </c>
      <c r="ES79">
        <v>49.625</v>
      </c>
      <c r="ET79">
        <v>1755.58</v>
      </c>
      <c r="EU79">
        <v>39.479999999999997</v>
      </c>
      <c r="EV79">
        <v>0</v>
      </c>
      <c r="EW79">
        <v>98.400000095367432</v>
      </c>
      <c r="EX79">
        <v>0</v>
      </c>
      <c r="EY79">
        <v>793.40744000000007</v>
      </c>
      <c r="EZ79">
        <v>-1.475230770074814</v>
      </c>
      <c r="FA79">
        <v>-29.746153492403788</v>
      </c>
      <c r="FB79">
        <v>14958.136</v>
      </c>
      <c r="FC79">
        <v>15</v>
      </c>
      <c r="FD79">
        <v>1693507681.5</v>
      </c>
      <c r="FE79" t="s">
        <v>740</v>
      </c>
      <c r="FF79">
        <v>1693507670</v>
      </c>
      <c r="FG79">
        <v>1693507681.5</v>
      </c>
      <c r="FH79">
        <v>70</v>
      </c>
      <c r="FI79">
        <v>2.4E-2</v>
      </c>
      <c r="FJ79">
        <v>-7.0000000000000001E-3</v>
      </c>
      <c r="FK79">
        <v>1.7490000000000001</v>
      </c>
      <c r="FL79">
        <v>0.49</v>
      </c>
      <c r="FM79">
        <v>10</v>
      </c>
      <c r="FN79">
        <v>22</v>
      </c>
      <c r="FO79">
        <v>1.08</v>
      </c>
      <c r="FP79">
        <v>0.05</v>
      </c>
      <c r="FQ79">
        <v>0.95159639717673739</v>
      </c>
      <c r="FR79">
        <v>-0.37026755037837922</v>
      </c>
      <c r="FS79">
        <v>6.9879157329002059E-2</v>
      </c>
      <c r="FT79">
        <v>1</v>
      </c>
      <c r="FU79">
        <v>0.39801704417246547</v>
      </c>
      <c r="FV79">
        <v>4.5640999600589788E-2</v>
      </c>
      <c r="FW79">
        <v>4.3836940801475523E-3</v>
      </c>
      <c r="FX79">
        <v>1</v>
      </c>
      <c r="FY79">
        <v>2</v>
      </c>
      <c r="FZ79">
        <v>2</v>
      </c>
      <c r="GA79" t="s">
        <v>421</v>
      </c>
      <c r="GB79">
        <v>3.1179100000000002</v>
      </c>
      <c r="GC79">
        <v>2.8653200000000001</v>
      </c>
      <c r="GD79">
        <v>1.9636900000000001E-3</v>
      </c>
      <c r="GE79">
        <v>2.8808100000000001E-3</v>
      </c>
      <c r="GF79">
        <v>0.12912000000000001</v>
      </c>
      <c r="GG79">
        <v>0.113555</v>
      </c>
      <c r="GH79">
        <v>30108</v>
      </c>
      <c r="GI79">
        <v>23341.1</v>
      </c>
      <c r="GJ79">
        <v>29090.9</v>
      </c>
      <c r="GK79">
        <v>21821.599999999999</v>
      </c>
      <c r="GL79">
        <v>33938</v>
      </c>
      <c r="GM79">
        <v>26617.7</v>
      </c>
      <c r="GN79">
        <v>40371.4</v>
      </c>
      <c r="GO79">
        <v>31015.1</v>
      </c>
      <c r="GP79">
        <v>2.0097</v>
      </c>
      <c r="GQ79">
        <v>1.8689</v>
      </c>
      <c r="GR79">
        <v>5.4061400000000003E-2</v>
      </c>
      <c r="GS79">
        <v>0</v>
      </c>
      <c r="GT79">
        <v>29.119800000000001</v>
      </c>
      <c r="GU79">
        <v>999.9</v>
      </c>
      <c r="GV79">
        <v>63.5</v>
      </c>
      <c r="GW79">
        <v>30.4</v>
      </c>
      <c r="GX79">
        <v>27.7943</v>
      </c>
      <c r="GY79">
        <v>61.607599999999998</v>
      </c>
      <c r="GZ79">
        <v>11.490399999999999</v>
      </c>
      <c r="HA79">
        <v>1</v>
      </c>
      <c r="HB79">
        <v>0.36243900000000001</v>
      </c>
      <c r="HC79">
        <v>1.91266</v>
      </c>
      <c r="HD79">
        <v>20.3247</v>
      </c>
      <c r="HE79">
        <v>5.2340600000000004</v>
      </c>
      <c r="HF79">
        <v>11.974600000000001</v>
      </c>
      <c r="HG79">
        <v>4.9753999999999996</v>
      </c>
      <c r="HH79">
        <v>3.2839999999999998</v>
      </c>
      <c r="HI79">
        <v>9999</v>
      </c>
      <c r="HJ79">
        <v>9999</v>
      </c>
      <c r="HK79">
        <v>9999</v>
      </c>
      <c r="HL79">
        <v>999.9</v>
      </c>
      <c r="HM79">
        <v>1.8605</v>
      </c>
      <c r="HN79">
        <v>1.8621799999999999</v>
      </c>
      <c r="HO79">
        <v>1.86768</v>
      </c>
      <c r="HP79">
        <v>1.8581399999999999</v>
      </c>
      <c r="HQ79">
        <v>1.85663</v>
      </c>
      <c r="HR79">
        <v>1.8602799999999999</v>
      </c>
      <c r="HS79">
        <v>1.8642000000000001</v>
      </c>
      <c r="HT79">
        <v>1.8663000000000001</v>
      </c>
      <c r="HU79">
        <v>5</v>
      </c>
      <c r="HV79">
        <v>0</v>
      </c>
      <c r="HW79">
        <v>0</v>
      </c>
      <c r="HX79">
        <v>0</v>
      </c>
      <c r="HY79" t="s">
        <v>422</v>
      </c>
      <c r="HZ79" t="s">
        <v>423</v>
      </c>
      <c r="IA79" t="s">
        <v>424</v>
      </c>
      <c r="IB79" t="s">
        <v>424</v>
      </c>
      <c r="IC79" t="s">
        <v>424</v>
      </c>
      <c r="ID79" t="s">
        <v>424</v>
      </c>
      <c r="IE79">
        <v>0</v>
      </c>
      <c r="IF79">
        <v>100</v>
      </c>
      <c r="IG79">
        <v>100</v>
      </c>
      <c r="IH79">
        <v>1.748</v>
      </c>
      <c r="II79">
        <v>0.8377</v>
      </c>
      <c r="IJ79">
        <v>1.7402482868588609</v>
      </c>
      <c r="IK79">
        <v>1.118558698776514E-3</v>
      </c>
      <c r="IL79">
        <v>-1.6939696309573479E-6</v>
      </c>
      <c r="IM79">
        <v>5.4698917449866148E-10</v>
      </c>
      <c r="IN79">
        <v>-5.6058623318697043E-2</v>
      </c>
      <c r="IO79">
        <v>-7.6058941998734366E-3</v>
      </c>
      <c r="IP79">
        <v>1.6984902717538061E-3</v>
      </c>
      <c r="IQ79">
        <v>-9.6352527008986976E-6</v>
      </c>
      <c r="IR79">
        <v>2</v>
      </c>
      <c r="IS79">
        <v>2021</v>
      </c>
      <c r="IT79">
        <v>2</v>
      </c>
      <c r="IU79">
        <v>40</v>
      </c>
      <c r="IV79">
        <v>0.7</v>
      </c>
      <c r="IW79">
        <v>0.5</v>
      </c>
      <c r="IX79">
        <v>0.17211899999999999</v>
      </c>
      <c r="IY79">
        <v>2.5671400000000002</v>
      </c>
      <c r="IZ79">
        <v>1.34399</v>
      </c>
      <c r="JA79">
        <v>2.2497600000000002</v>
      </c>
      <c r="JB79">
        <v>1.5918000000000001</v>
      </c>
      <c r="JC79">
        <v>2.2790499999999998</v>
      </c>
      <c r="JD79">
        <v>35.128599999999999</v>
      </c>
      <c r="JE79">
        <v>16.005800000000001</v>
      </c>
      <c r="JF79">
        <v>18</v>
      </c>
      <c r="JG79">
        <v>516.60400000000004</v>
      </c>
      <c r="JH79">
        <v>462.488</v>
      </c>
      <c r="JI79">
        <v>26.745000000000001</v>
      </c>
      <c r="JJ79">
        <v>32.106000000000002</v>
      </c>
      <c r="JK79">
        <v>30.0002</v>
      </c>
      <c r="JL79">
        <v>31.936199999999999</v>
      </c>
      <c r="JM79">
        <v>31.873200000000001</v>
      </c>
      <c r="JN79">
        <v>3.5301999999999998</v>
      </c>
      <c r="JO79">
        <v>29.762899999999998</v>
      </c>
      <c r="JP79">
        <v>100</v>
      </c>
      <c r="JQ79">
        <v>26.751300000000001</v>
      </c>
      <c r="JR79">
        <v>10</v>
      </c>
      <c r="JS79">
        <v>22.2639</v>
      </c>
      <c r="JT79">
        <v>99.185699999999997</v>
      </c>
      <c r="JU79">
        <v>97.976799999999997</v>
      </c>
    </row>
    <row r="80" spans="1:281" x14ac:dyDescent="0.25">
      <c r="A80">
        <v>64</v>
      </c>
      <c r="B80">
        <v>1693507900</v>
      </c>
      <c r="C80">
        <v>12973.400000095369</v>
      </c>
      <c r="D80" t="s">
        <v>741</v>
      </c>
      <c r="E80" t="s">
        <v>742</v>
      </c>
      <c r="F80" t="s">
        <v>413</v>
      </c>
      <c r="G80" t="s">
        <v>414</v>
      </c>
      <c r="H80" t="s">
        <v>707</v>
      </c>
      <c r="I80" t="s">
        <v>31</v>
      </c>
      <c r="J80">
        <v>1693507900</v>
      </c>
      <c r="K80">
        <f t="shared" si="46"/>
        <v>5.3020568193565525E-3</v>
      </c>
      <c r="L80">
        <f t="shared" si="47"/>
        <v>5.3020568193565527</v>
      </c>
      <c r="M80">
        <f t="shared" si="48"/>
        <v>39.713924945910648</v>
      </c>
      <c r="N80">
        <f t="shared" si="49"/>
        <v>350.11700000000002</v>
      </c>
      <c r="O80">
        <f t="shared" si="50"/>
        <v>168.16063630427786</v>
      </c>
      <c r="P80">
        <f t="shared" si="51"/>
        <v>16.765277604818166</v>
      </c>
      <c r="Q80">
        <f t="shared" si="52"/>
        <v>34.905961514947002</v>
      </c>
      <c r="R80">
        <f t="shared" si="53"/>
        <v>0.38385307895783444</v>
      </c>
      <c r="S80">
        <f t="shared" si="54"/>
        <v>2.9110664862104532</v>
      </c>
      <c r="T80">
        <f t="shared" si="55"/>
        <v>0.35778821328488702</v>
      </c>
      <c r="U80">
        <f t="shared" si="56"/>
        <v>0.22581179822082897</v>
      </c>
      <c r="V80">
        <f t="shared" si="57"/>
        <v>344.35419964457429</v>
      </c>
      <c r="W80">
        <f t="shared" si="58"/>
        <v>31.182076931591705</v>
      </c>
      <c r="X80">
        <f t="shared" si="59"/>
        <v>30.012499999999999</v>
      </c>
      <c r="Y80">
        <f t="shared" si="60"/>
        <v>4.2635096889186253</v>
      </c>
      <c r="Z80">
        <f t="shared" si="61"/>
        <v>64.642789877321988</v>
      </c>
      <c r="AA80">
        <f t="shared" si="62"/>
        <v>2.8387108675421002</v>
      </c>
      <c r="AB80">
        <f t="shared" si="63"/>
        <v>4.3913804972362094</v>
      </c>
      <c r="AC80">
        <f t="shared" si="64"/>
        <v>1.424798821376525</v>
      </c>
      <c r="AD80">
        <f t="shared" si="65"/>
        <v>-233.82070573362395</v>
      </c>
      <c r="AE80">
        <f t="shared" si="66"/>
        <v>80.903300156559851</v>
      </c>
      <c r="AF80">
        <f t="shared" si="67"/>
        <v>6.1960521202161711</v>
      </c>
      <c r="AG80">
        <f t="shared" si="68"/>
        <v>197.63284618772636</v>
      </c>
      <c r="AH80">
        <v>0</v>
      </c>
      <c r="AI80">
        <v>0</v>
      </c>
      <c r="AJ80">
        <f t="shared" si="69"/>
        <v>1</v>
      </c>
      <c r="AK80">
        <f t="shared" si="70"/>
        <v>0</v>
      </c>
      <c r="AL80">
        <f t="shared" si="71"/>
        <v>51727.388183401919</v>
      </c>
      <c r="AM80" t="s">
        <v>416</v>
      </c>
      <c r="AN80">
        <v>10366.9</v>
      </c>
      <c r="AO80">
        <v>993.59653846153856</v>
      </c>
      <c r="AP80">
        <v>3431.87</v>
      </c>
      <c r="AQ80">
        <f t="shared" si="72"/>
        <v>0.71047955241266758</v>
      </c>
      <c r="AR80">
        <v>-3.9894345373445681</v>
      </c>
      <c r="AS80" t="s">
        <v>743</v>
      </c>
      <c r="AT80">
        <v>10401.4</v>
      </c>
      <c r="AU80">
        <v>752.03161538461541</v>
      </c>
      <c r="AV80">
        <v>1045.6385771006089</v>
      </c>
      <c r="AW80">
        <f t="shared" si="73"/>
        <v>0.28079201374734986</v>
      </c>
      <c r="AX80">
        <v>0.5</v>
      </c>
      <c r="AY80">
        <f t="shared" si="74"/>
        <v>1513.1174998222871</v>
      </c>
      <c r="AZ80">
        <f t="shared" si="75"/>
        <v>39.713924945910648</v>
      </c>
      <c r="BA80">
        <f t="shared" si="76"/>
        <v>212.43565490572763</v>
      </c>
      <c r="BB80">
        <f t="shared" si="77"/>
        <v>2.8882991233918114E-2</v>
      </c>
      <c r="BC80">
        <f t="shared" si="78"/>
        <v>2.2820805153498016</v>
      </c>
      <c r="BD80">
        <f t="shared" si="79"/>
        <v>598.29660408512257</v>
      </c>
      <c r="BE80" t="s">
        <v>744</v>
      </c>
      <c r="BF80">
        <v>584.39</v>
      </c>
      <c r="BG80">
        <f t="shared" si="80"/>
        <v>584.39</v>
      </c>
      <c r="BH80">
        <f t="shared" si="81"/>
        <v>0.44111664125818562</v>
      </c>
      <c r="BI80">
        <f t="shared" si="82"/>
        <v>0.63654822213565565</v>
      </c>
      <c r="BJ80">
        <f t="shared" si="83"/>
        <v>0.83801516530384446</v>
      </c>
      <c r="BK80">
        <f t="shared" si="84"/>
        <v>5.6417267538702678</v>
      </c>
      <c r="BL80">
        <f t="shared" si="85"/>
        <v>0.97865619281020511</v>
      </c>
      <c r="BM80">
        <f t="shared" si="86"/>
        <v>0.49464996939471195</v>
      </c>
      <c r="BN80">
        <f t="shared" si="87"/>
        <v>0.50535003060528805</v>
      </c>
      <c r="BO80">
        <v>2275</v>
      </c>
      <c r="BP80">
        <v>290.00000000000011</v>
      </c>
      <c r="BQ80">
        <v>958.12</v>
      </c>
      <c r="BR80">
        <v>185</v>
      </c>
      <c r="BS80">
        <v>10401.4</v>
      </c>
      <c r="BT80">
        <v>956.57</v>
      </c>
      <c r="BU80">
        <v>1.55</v>
      </c>
      <c r="BV80">
        <v>300.00000000000011</v>
      </c>
      <c r="BW80">
        <v>38.4</v>
      </c>
      <c r="BX80">
        <v>1045.6385771006089</v>
      </c>
      <c r="BY80">
        <v>1.1638401114457659</v>
      </c>
      <c r="BZ80">
        <v>-92.643136160321959</v>
      </c>
      <c r="CA80">
        <v>0.99044146546903822</v>
      </c>
      <c r="CB80">
        <v>0.99680992044141969</v>
      </c>
      <c r="CC80">
        <v>-1.131449766407119E-2</v>
      </c>
      <c r="CD80">
        <v>289.99999999999989</v>
      </c>
      <c r="CE80">
        <v>941.83</v>
      </c>
      <c r="CF80">
        <v>665</v>
      </c>
      <c r="CG80">
        <v>10376.9</v>
      </c>
      <c r="CH80">
        <v>956.36</v>
      </c>
      <c r="CI80">
        <v>-14.53</v>
      </c>
      <c r="CW80">
        <f t="shared" si="88"/>
        <v>1799.92</v>
      </c>
      <c r="CX80">
        <f t="shared" si="89"/>
        <v>1513.1174998222871</v>
      </c>
      <c r="CY80">
        <f t="shared" si="90"/>
        <v>0.84065819582108481</v>
      </c>
      <c r="CZ80">
        <f t="shared" si="91"/>
        <v>0.19131639164216979</v>
      </c>
      <c r="DA80">
        <v>6</v>
      </c>
      <c r="DB80">
        <v>0.5</v>
      </c>
      <c r="DC80" t="s">
        <v>419</v>
      </c>
      <c r="DD80">
        <v>2</v>
      </c>
      <c r="DE80">
        <v>1693507900</v>
      </c>
      <c r="DF80">
        <v>350.11700000000002</v>
      </c>
      <c r="DG80">
        <v>399.97300000000001</v>
      </c>
      <c r="DH80">
        <v>28.473099999999999</v>
      </c>
      <c r="DI80">
        <v>22.295300000000001</v>
      </c>
      <c r="DJ80">
        <v>347.78800000000001</v>
      </c>
      <c r="DK80">
        <v>27.650700000000001</v>
      </c>
      <c r="DL80">
        <v>500.28399999999999</v>
      </c>
      <c r="DM80">
        <v>99.597499999999997</v>
      </c>
      <c r="DN80">
        <v>0.100491</v>
      </c>
      <c r="DO80">
        <v>30.527999999999999</v>
      </c>
      <c r="DP80">
        <v>30.012499999999999</v>
      </c>
      <c r="DQ80">
        <v>999.9</v>
      </c>
      <c r="DR80">
        <v>0</v>
      </c>
      <c r="DS80">
        <v>0</v>
      </c>
      <c r="DT80">
        <v>9935</v>
      </c>
      <c r="DU80">
        <v>0</v>
      </c>
      <c r="DV80">
        <v>1215.8599999999999</v>
      </c>
      <c r="DW80">
        <v>-49.856000000000002</v>
      </c>
      <c r="DX80">
        <v>360.37799999999999</v>
      </c>
      <c r="DY80">
        <v>409.09300000000002</v>
      </c>
      <c r="DZ80">
        <v>6.1778000000000004</v>
      </c>
      <c r="EA80">
        <v>399.97300000000001</v>
      </c>
      <c r="EB80">
        <v>22.295300000000001</v>
      </c>
      <c r="EC80">
        <v>2.8358500000000002</v>
      </c>
      <c r="ED80">
        <v>2.2205499999999998</v>
      </c>
      <c r="EE80">
        <v>23.094200000000001</v>
      </c>
      <c r="EF80">
        <v>19.1114</v>
      </c>
      <c r="EG80">
        <v>1799.92</v>
      </c>
      <c r="EH80">
        <v>0.97799700000000001</v>
      </c>
      <c r="EI80">
        <v>2.20027E-2</v>
      </c>
      <c r="EJ80">
        <v>0</v>
      </c>
      <c r="EK80">
        <v>751.19</v>
      </c>
      <c r="EL80">
        <v>5.0002700000000004</v>
      </c>
      <c r="EM80">
        <v>14209.4</v>
      </c>
      <c r="EN80">
        <v>16247.8</v>
      </c>
      <c r="EO80">
        <v>47.625</v>
      </c>
      <c r="EP80">
        <v>49.25</v>
      </c>
      <c r="EQ80">
        <v>48.686999999999998</v>
      </c>
      <c r="ER80">
        <v>48.25</v>
      </c>
      <c r="ES80">
        <v>49.311999999999998</v>
      </c>
      <c r="ET80">
        <v>1755.43</v>
      </c>
      <c r="EU80">
        <v>39.49</v>
      </c>
      <c r="EV80">
        <v>0</v>
      </c>
      <c r="EW80">
        <v>187.4000000953674</v>
      </c>
      <c r="EX80">
        <v>0</v>
      </c>
      <c r="EY80">
        <v>752.03161538461541</v>
      </c>
      <c r="EZ80">
        <v>-5.7608205046700069</v>
      </c>
      <c r="FA80">
        <v>-85.750427328203827</v>
      </c>
      <c r="FB80">
        <v>14216.57692307692</v>
      </c>
      <c r="FC80">
        <v>15</v>
      </c>
      <c r="FD80">
        <v>1693507784.5</v>
      </c>
      <c r="FE80" t="s">
        <v>745</v>
      </c>
      <c r="FF80">
        <v>1693507781.5</v>
      </c>
      <c r="FG80">
        <v>1693507784.5</v>
      </c>
      <c r="FH80">
        <v>71</v>
      </c>
      <c r="FI80">
        <v>0.38200000000000001</v>
      </c>
      <c r="FJ80">
        <v>-6.0000000000000001E-3</v>
      </c>
      <c r="FK80">
        <v>2.3330000000000002</v>
      </c>
      <c r="FL80">
        <v>0.47699999999999998</v>
      </c>
      <c r="FM80">
        <v>400</v>
      </c>
      <c r="FN80">
        <v>22</v>
      </c>
      <c r="FO80">
        <v>0.24</v>
      </c>
      <c r="FP80">
        <v>0.06</v>
      </c>
      <c r="FQ80">
        <v>39.319051158782443</v>
      </c>
      <c r="FR80">
        <v>2.8898464394125249</v>
      </c>
      <c r="FS80">
        <v>0.23248476657951669</v>
      </c>
      <c r="FT80">
        <v>0</v>
      </c>
      <c r="FU80">
        <v>0.3836264473125528</v>
      </c>
      <c r="FV80">
        <v>-1.947025919878183E-3</v>
      </c>
      <c r="FW80">
        <v>6.2651555549038407E-4</v>
      </c>
      <c r="FX80">
        <v>1</v>
      </c>
      <c r="FY80">
        <v>1</v>
      </c>
      <c r="FZ80">
        <v>2</v>
      </c>
      <c r="GA80" t="s">
        <v>460</v>
      </c>
      <c r="GB80">
        <v>3.1182699999999999</v>
      </c>
      <c r="GC80">
        <v>2.8650899999999999</v>
      </c>
      <c r="GD80">
        <v>8.3022100000000001E-2</v>
      </c>
      <c r="GE80">
        <v>9.5052999999999999E-2</v>
      </c>
      <c r="GF80">
        <v>0.12862999999999999</v>
      </c>
      <c r="GG80">
        <v>0.113314</v>
      </c>
      <c r="GH80">
        <v>27659.9</v>
      </c>
      <c r="GI80">
        <v>21180.1</v>
      </c>
      <c r="GJ80">
        <v>29088.2</v>
      </c>
      <c r="GK80">
        <v>21818.2</v>
      </c>
      <c r="GL80">
        <v>33963.199999999997</v>
      </c>
      <c r="GM80">
        <v>26627.599999999999</v>
      </c>
      <c r="GN80">
        <v>40367.699999999997</v>
      </c>
      <c r="GO80">
        <v>31009.7</v>
      </c>
      <c r="GP80">
        <v>2.0101</v>
      </c>
      <c r="GQ80">
        <v>1.8667</v>
      </c>
      <c r="GR80">
        <v>5.6385999999999999E-2</v>
      </c>
      <c r="GS80">
        <v>0</v>
      </c>
      <c r="GT80">
        <v>29.0943</v>
      </c>
      <c r="GU80">
        <v>999.9</v>
      </c>
      <c r="GV80">
        <v>63.4</v>
      </c>
      <c r="GW80">
        <v>30.5</v>
      </c>
      <c r="GX80">
        <v>27.910799999999998</v>
      </c>
      <c r="GY80">
        <v>61.567599999999999</v>
      </c>
      <c r="GZ80">
        <v>11.3462</v>
      </c>
      <c r="HA80">
        <v>1</v>
      </c>
      <c r="HB80">
        <v>0.36788599999999999</v>
      </c>
      <c r="HC80">
        <v>1.81535</v>
      </c>
      <c r="HD80">
        <v>20.325900000000001</v>
      </c>
      <c r="HE80">
        <v>5.2340600000000004</v>
      </c>
      <c r="HF80">
        <v>11.974</v>
      </c>
      <c r="HG80">
        <v>4.9756</v>
      </c>
      <c r="HH80">
        <v>3.2839999999999998</v>
      </c>
      <c r="HI80">
        <v>9999</v>
      </c>
      <c r="HJ80">
        <v>9999</v>
      </c>
      <c r="HK80">
        <v>9999</v>
      </c>
      <c r="HL80">
        <v>999.9</v>
      </c>
      <c r="HM80">
        <v>1.8605499999999999</v>
      </c>
      <c r="HN80">
        <v>1.8622000000000001</v>
      </c>
      <c r="HO80">
        <v>1.86768</v>
      </c>
      <c r="HP80">
        <v>1.8581399999999999</v>
      </c>
      <c r="HQ80">
        <v>1.85667</v>
      </c>
      <c r="HR80">
        <v>1.8603499999999999</v>
      </c>
      <c r="HS80">
        <v>1.86425</v>
      </c>
      <c r="HT80">
        <v>1.8663000000000001</v>
      </c>
      <c r="HU80">
        <v>5</v>
      </c>
      <c r="HV80">
        <v>0</v>
      </c>
      <c r="HW80">
        <v>0</v>
      </c>
      <c r="HX80">
        <v>0</v>
      </c>
      <c r="HY80" t="s">
        <v>422</v>
      </c>
      <c r="HZ80" t="s">
        <v>423</v>
      </c>
      <c r="IA80" t="s">
        <v>424</v>
      </c>
      <c r="IB80" t="s">
        <v>424</v>
      </c>
      <c r="IC80" t="s">
        <v>424</v>
      </c>
      <c r="ID80" t="s">
        <v>424</v>
      </c>
      <c r="IE80">
        <v>0</v>
      </c>
      <c r="IF80">
        <v>100</v>
      </c>
      <c r="IG80">
        <v>100</v>
      </c>
      <c r="IH80">
        <v>2.3290000000000002</v>
      </c>
      <c r="II80">
        <v>0.82240000000000002</v>
      </c>
      <c r="IJ80">
        <v>2.121899859184885</v>
      </c>
      <c r="IK80">
        <v>1.118558698776514E-3</v>
      </c>
      <c r="IL80">
        <v>-1.6939696309573479E-6</v>
      </c>
      <c r="IM80">
        <v>5.4698917449866148E-10</v>
      </c>
      <c r="IN80">
        <v>-6.2209301008575468E-2</v>
      </c>
      <c r="IO80">
        <v>-7.6058941998734366E-3</v>
      </c>
      <c r="IP80">
        <v>1.6984902717538061E-3</v>
      </c>
      <c r="IQ80">
        <v>-9.6352527008986976E-6</v>
      </c>
      <c r="IR80">
        <v>2</v>
      </c>
      <c r="IS80">
        <v>2021</v>
      </c>
      <c r="IT80">
        <v>2</v>
      </c>
      <c r="IU80">
        <v>40</v>
      </c>
      <c r="IV80">
        <v>2</v>
      </c>
      <c r="IW80">
        <v>1.9</v>
      </c>
      <c r="IX80">
        <v>1.02417</v>
      </c>
      <c r="IY80">
        <v>2.47925</v>
      </c>
      <c r="IZ80">
        <v>1.34399</v>
      </c>
      <c r="JA80">
        <v>2.2497600000000002</v>
      </c>
      <c r="JB80">
        <v>1.5918000000000001</v>
      </c>
      <c r="JC80">
        <v>2.4462899999999999</v>
      </c>
      <c r="JD80">
        <v>35.2209</v>
      </c>
      <c r="JE80">
        <v>16.005800000000001</v>
      </c>
      <c r="JF80">
        <v>18</v>
      </c>
      <c r="JG80">
        <v>517.56500000000005</v>
      </c>
      <c r="JH80">
        <v>461.70100000000002</v>
      </c>
      <c r="JI80">
        <v>26.982299999999999</v>
      </c>
      <c r="JJ80">
        <v>32.1798</v>
      </c>
      <c r="JK80">
        <v>30.0001</v>
      </c>
      <c r="JL80">
        <v>32.014899999999997</v>
      </c>
      <c r="JM80">
        <v>31.957000000000001</v>
      </c>
      <c r="JN80">
        <v>20.590900000000001</v>
      </c>
      <c r="JO80">
        <v>29.974</v>
      </c>
      <c r="JP80">
        <v>99.2547</v>
      </c>
      <c r="JQ80">
        <v>26.969200000000001</v>
      </c>
      <c r="JR80">
        <v>400</v>
      </c>
      <c r="JS80">
        <v>22.3187</v>
      </c>
      <c r="JT80">
        <v>99.176400000000001</v>
      </c>
      <c r="JU80">
        <v>97.960499999999996</v>
      </c>
    </row>
    <row r="81" spans="1:281" x14ac:dyDescent="0.25">
      <c r="A81">
        <v>65</v>
      </c>
      <c r="B81">
        <v>1693508041.5</v>
      </c>
      <c r="C81">
        <v>13114.900000095369</v>
      </c>
      <c r="D81" t="s">
        <v>746</v>
      </c>
      <c r="E81" t="s">
        <v>747</v>
      </c>
      <c r="F81" t="s">
        <v>413</v>
      </c>
      <c r="G81" t="s">
        <v>414</v>
      </c>
      <c r="H81" t="s">
        <v>707</v>
      </c>
      <c r="I81" t="s">
        <v>31</v>
      </c>
      <c r="J81">
        <v>1693508041.5</v>
      </c>
      <c r="K81">
        <f t="shared" ref="K81:K112" si="92">(L81)/1000</f>
        <v>5.2102779196707841E-3</v>
      </c>
      <c r="L81">
        <f t="shared" ref="L81:L112" si="93">1000*DL81*AJ81*(DH81-DI81)/(100*DA81*(1000-AJ81*DH81))</f>
        <v>5.2102779196707845</v>
      </c>
      <c r="M81">
        <f t="shared" ref="M81:M112" si="94">DL81*AJ81*(DG81-DF81*(1000-AJ81*DI81)/(1000-AJ81*DH81))/(100*DA81)</f>
        <v>44.764400037261616</v>
      </c>
      <c r="N81">
        <f t="shared" ref="N81:N112" si="95">DF81 - IF(AJ81&gt;1, M81*DA81*100/(AL81*DT81), 0)</f>
        <v>344.27</v>
      </c>
      <c r="O81">
        <f t="shared" ref="O81:O112" si="96">((U81-K81/2)*N81-M81)/(U81+K81/2)</f>
        <v>139.24456855833526</v>
      </c>
      <c r="P81">
        <f t="shared" ref="P81:P112" si="97">O81*(DM81+DN81)/1000</f>
        <v>13.88170849479698</v>
      </c>
      <c r="Q81">
        <f t="shared" ref="Q81:Q112" si="98">(DF81 - IF(AJ81&gt;1, M81*DA81*100/(AL81*DT81), 0))*(DM81+DN81)/1000</f>
        <v>34.321308421460003</v>
      </c>
      <c r="R81">
        <f t="shared" ref="R81:R112" si="99">2/((1/T81-1/S81)+SIGN(T81)*SQRT((1/T81-1/S81)*(1/T81-1/S81) + 4*DB81/((DB81+1)*(DB81+1))*(2*1/T81*1/S81-1/S81*1/S81)))</f>
        <v>0.38147071316719811</v>
      </c>
      <c r="S81">
        <f t="shared" ref="S81:S112" si="100">IF(LEFT(DC81,1)&lt;&gt;"0",IF(LEFT(DC81,1)="1",3,DD81),$D$5+$E$5*(DT81*DM81/($K$5*1000))+$F$5*(DT81*DM81/($K$5*1000))*MAX(MIN(DA81,$J$5),$I$5)*MAX(MIN(DA81,$J$5),$I$5)+$G$5*MAX(MIN(DA81,$J$5),$I$5)*(DT81*DM81/($K$5*1000))+$H$5*(DT81*DM81/($K$5*1000))*(DT81*DM81/($K$5*1000)))</f>
        <v>2.9083432008207519</v>
      </c>
      <c r="T81">
        <f t="shared" ref="T81:T112" si="101">K81*(1000-(1000*0.61365*EXP(17.502*X81/(240.97+X81))/(DM81+DN81)+DH81)/2)/(1000*0.61365*EXP(17.502*X81/(240.97+X81))/(DM81+DN81)-DH81)</f>
        <v>0.35569437868127474</v>
      </c>
      <c r="U81">
        <f t="shared" ref="U81:U112" si="102">1/((DB81+1)/(R81/1.6)+1/(S81/1.37)) + DB81/((DB81+1)/(R81/1.6) + DB81/(S81/1.37))</f>
        <v>0.22447957969817034</v>
      </c>
      <c r="V81">
        <f t="shared" ref="V81:V112" si="103">(CW81*CZ81)</f>
        <v>344.3694128079926</v>
      </c>
      <c r="W81">
        <f t="shared" ref="W81:W112" si="104">(DO81+(V81+2*0.95*0.0000000567*(((DO81+$B$7)+273)^4-(DO81+273)^4)-44100*K81)/(1.84*29.3*S81+8*0.95*0.0000000567*(DO81+273)^3))</f>
        <v>31.146136213395714</v>
      </c>
      <c r="X81">
        <f t="shared" ref="X81:X112" si="105">($C$7*DP81+$D$7*DQ81+$E$7*W81)</f>
        <v>30.000299999999999</v>
      </c>
      <c r="Y81">
        <f t="shared" ref="Y81:Y112" si="106">0.61365*EXP(17.502*X81/(240.97+X81))</f>
        <v>4.2605231879961432</v>
      </c>
      <c r="Z81">
        <f t="shared" ref="Z81:Z112" si="107">(AA81/AB81*100)</f>
        <v>65.177807868287488</v>
      </c>
      <c r="AA81">
        <f t="shared" ref="AA81:AA112" si="108">DH81*(DM81+DN81)/1000</f>
        <v>2.8522964271784002</v>
      </c>
      <c r="AB81">
        <f t="shared" ref="AB81:AB112" si="109">0.61365*EXP(17.502*DO81/(240.97+DO81))</f>
        <v>4.3761772917284567</v>
      </c>
      <c r="AC81">
        <f t="shared" ref="AC81:AC112" si="110">(Y81-DH81*(DM81+DN81)/1000)</f>
        <v>1.408226760817743</v>
      </c>
      <c r="AD81">
        <f t="shared" ref="AD81:AD112" si="111">(-K81*44100)</f>
        <v>-229.77325625748159</v>
      </c>
      <c r="AE81">
        <f t="shared" ref="AE81:AE112" si="112">2*29.3*S81*0.92*(DO81-X81)</f>
        <v>73.238757025981371</v>
      </c>
      <c r="AF81">
        <f t="shared" ref="AF81:AF112" si="113">2*0.95*0.0000000567*(((DO81+$B$7)+273)^4-(X81+273)^4)</f>
        <v>5.6122862789019541</v>
      </c>
      <c r="AG81">
        <f t="shared" ref="AG81:AG112" si="114">V81+AF81+AD81+AE81</f>
        <v>193.44719985539433</v>
      </c>
      <c r="AH81">
        <v>0</v>
      </c>
      <c r="AI81">
        <v>0</v>
      </c>
      <c r="AJ81">
        <f t="shared" ref="AJ81:AJ112" si="115">IF(AH81*$H$13&gt;=AL81,1,(AL81/(AL81-AH81*$H$13)))</f>
        <v>1</v>
      </c>
      <c r="AK81">
        <f t="shared" ref="AK81:AK112" si="116">(AJ81-1)*100</f>
        <v>0</v>
      </c>
      <c r="AL81">
        <f t="shared" ref="AL81:AL112" si="117">MAX(0,($B$13+$C$13*DT81)/(1+$D$13*DT81)*DM81/(DO81+273)*$E$13)</f>
        <v>51660.219004786821</v>
      </c>
      <c r="AM81" t="s">
        <v>416</v>
      </c>
      <c r="AN81">
        <v>10366.9</v>
      </c>
      <c r="AO81">
        <v>993.59653846153856</v>
      </c>
      <c r="AP81">
        <v>3431.87</v>
      </c>
      <c r="AQ81">
        <f t="shared" ref="AQ81:AQ112" si="118">1-AO81/AP81</f>
        <v>0.71047955241266758</v>
      </c>
      <c r="AR81">
        <v>-3.9894345373445681</v>
      </c>
      <c r="AS81" t="s">
        <v>748</v>
      </c>
      <c r="AT81">
        <v>10409.200000000001</v>
      </c>
      <c r="AU81">
        <v>767.0916538461538</v>
      </c>
      <c r="AV81">
        <v>1098.345796163627</v>
      </c>
      <c r="AW81">
        <f t="shared" ref="AW81:AW112" si="119">1-AU81/AV81</f>
        <v>0.30159367247955882</v>
      </c>
      <c r="AX81">
        <v>0.5</v>
      </c>
      <c r="AY81">
        <f t="shared" ref="AY81:AY112" si="120">CX81</f>
        <v>1513.1847064039962</v>
      </c>
      <c r="AZ81">
        <f t="shared" ref="AZ81:AZ112" si="121">M81</f>
        <v>44.764400037261616</v>
      </c>
      <c r="BA81">
        <f t="shared" ref="BA81:BA112" si="122">AW81*AX81*AY81</f>
        <v>228.18346637214211</v>
      </c>
      <c r="BB81">
        <f t="shared" ref="BB81:BB112" si="123">(AZ81-AR81)/AY81</f>
        <v>3.2219354562779787E-2</v>
      </c>
      <c r="BC81">
        <f t="shared" ref="BC81:BC112" si="124">(AP81-AV81)/AV81</f>
        <v>2.1245806302414567</v>
      </c>
      <c r="BD81">
        <f t="shared" ref="BD81:BD112" si="125">AO81/(AQ81+AO81/AV81)</f>
        <v>615.18833053001867</v>
      </c>
      <c r="BE81" t="s">
        <v>749</v>
      </c>
      <c r="BF81">
        <v>590.47</v>
      </c>
      <c r="BG81">
        <f t="shared" ref="BG81:BG112" si="126">IF(BF81&lt;&gt;0, BF81, BD81)</f>
        <v>590.47</v>
      </c>
      <c r="BH81">
        <f t="shared" ref="BH81:BH112" si="127">1-BG81/AV81</f>
        <v>0.46240063733804815</v>
      </c>
      <c r="BI81">
        <f t="shared" ref="BI81:BI112" si="128">(AV81-AU81)/(AV81-BG81)</f>
        <v>0.65223455187210777</v>
      </c>
      <c r="BJ81">
        <f t="shared" ref="BJ81:BJ112" si="129">(AP81-AV81)/(AP81-BG81)</f>
        <v>0.8212586062632411</v>
      </c>
      <c r="BK81">
        <f t="shared" ref="BK81:BK112" si="130">(AV81-AU81)/(AV81-AO81)</f>
        <v>3.1623531238720055</v>
      </c>
      <c r="BL81">
        <f t="shared" ref="BL81:BL112" si="131">(AP81-AV81)/(AP81-AO81)</f>
        <v>0.95703957765426539</v>
      </c>
      <c r="BM81">
        <f t="shared" ref="BM81:BM112" si="132">(BI81*BG81/AU81)</f>
        <v>0.50205856616080879</v>
      </c>
      <c r="BN81">
        <f t="shared" ref="BN81:BN112" si="133">(1-BM81)</f>
        <v>0.49794143383919121</v>
      </c>
      <c r="BO81">
        <v>2277</v>
      </c>
      <c r="BP81">
        <v>290.00000000000011</v>
      </c>
      <c r="BQ81">
        <v>1006.94</v>
      </c>
      <c r="BR81">
        <v>145</v>
      </c>
      <c r="BS81">
        <v>10409.200000000001</v>
      </c>
      <c r="BT81">
        <v>1003.83</v>
      </c>
      <c r="BU81">
        <v>3.11</v>
      </c>
      <c r="BV81">
        <v>300.00000000000011</v>
      </c>
      <c r="BW81">
        <v>38.4</v>
      </c>
      <c r="BX81">
        <v>1098.345796163627</v>
      </c>
      <c r="BY81">
        <v>1.101092158498074</v>
      </c>
      <c r="BZ81">
        <v>-98.38662465974042</v>
      </c>
      <c r="CA81">
        <v>0.9371101507546431</v>
      </c>
      <c r="CB81">
        <v>0.99746624045114041</v>
      </c>
      <c r="CC81">
        <v>-1.1315458064516139E-2</v>
      </c>
      <c r="CD81">
        <v>289.99999999999989</v>
      </c>
      <c r="CE81">
        <v>992.72</v>
      </c>
      <c r="CF81">
        <v>675</v>
      </c>
      <c r="CG81">
        <v>10376.700000000001</v>
      </c>
      <c r="CH81">
        <v>1003.53</v>
      </c>
      <c r="CI81">
        <v>-10.81</v>
      </c>
      <c r="CW81">
        <f t="shared" ref="CW81:CW112" si="134">$B$11*DU81+$C$11*DV81+$F$11*EG81*(1-EJ81)</f>
        <v>1800</v>
      </c>
      <c r="CX81">
        <f t="shared" ref="CX81:CX112" si="135">CW81*CY81</f>
        <v>1513.1847064039962</v>
      </c>
      <c r="CY81">
        <f t="shared" ref="CY81:CY112" si="136">($B$11*$D$9+$C$11*$D$9+$F$11*((ET81+EL81)/MAX(ET81+EL81+EU81, 0.1)*$I$9+EU81/MAX(ET81+EL81+EU81, 0.1)*$J$9))/($B$11+$C$11+$F$11)</f>
        <v>0.84065817022444234</v>
      </c>
      <c r="CZ81">
        <f t="shared" ref="CZ81:CZ112" si="137">($B$11*$K$9+$C$11*$K$9+$F$11*((ET81+EL81)/MAX(ET81+EL81+EU81, 0.1)*$P$9+EU81/MAX(ET81+EL81+EU81, 0.1)*$Q$9))/($B$11+$C$11+$F$11)</f>
        <v>0.19131634044888476</v>
      </c>
      <c r="DA81">
        <v>6</v>
      </c>
      <c r="DB81">
        <v>0.5</v>
      </c>
      <c r="DC81" t="s">
        <v>419</v>
      </c>
      <c r="DD81">
        <v>2</v>
      </c>
      <c r="DE81">
        <v>1693508041.5</v>
      </c>
      <c r="DF81">
        <v>344.27</v>
      </c>
      <c r="DG81">
        <v>400.12</v>
      </c>
      <c r="DH81">
        <v>28.610800000000001</v>
      </c>
      <c r="DI81">
        <v>22.5395</v>
      </c>
      <c r="DJ81">
        <v>342.02199999999999</v>
      </c>
      <c r="DK81">
        <v>27.782499999999999</v>
      </c>
      <c r="DL81">
        <v>500.17700000000002</v>
      </c>
      <c r="DM81">
        <v>99.592799999999997</v>
      </c>
      <c r="DN81">
        <v>0.100198</v>
      </c>
      <c r="DO81">
        <v>30.467400000000001</v>
      </c>
      <c r="DP81">
        <v>30.000299999999999</v>
      </c>
      <c r="DQ81">
        <v>999.9</v>
      </c>
      <c r="DR81">
        <v>0</v>
      </c>
      <c r="DS81">
        <v>0</v>
      </c>
      <c r="DT81">
        <v>9920</v>
      </c>
      <c r="DU81">
        <v>0</v>
      </c>
      <c r="DV81">
        <v>1210.28</v>
      </c>
      <c r="DW81">
        <v>-55.8508</v>
      </c>
      <c r="DX81">
        <v>354.41</v>
      </c>
      <c r="DY81">
        <v>409.34699999999998</v>
      </c>
      <c r="DZ81">
        <v>6.0713400000000002</v>
      </c>
      <c r="EA81">
        <v>400.12</v>
      </c>
      <c r="EB81">
        <v>22.5395</v>
      </c>
      <c r="EC81">
        <v>2.8494299999999999</v>
      </c>
      <c r="ED81">
        <v>2.2447699999999999</v>
      </c>
      <c r="EE81">
        <v>23.173300000000001</v>
      </c>
      <c r="EF81">
        <v>19.285499999999999</v>
      </c>
      <c r="EG81">
        <v>1800</v>
      </c>
      <c r="EH81">
        <v>0.97799700000000001</v>
      </c>
      <c r="EI81">
        <v>2.20027E-2</v>
      </c>
      <c r="EJ81">
        <v>0</v>
      </c>
      <c r="EK81">
        <v>768.24300000000005</v>
      </c>
      <c r="EL81">
        <v>5.0002700000000004</v>
      </c>
      <c r="EM81">
        <v>14514.3</v>
      </c>
      <c r="EN81">
        <v>16248.6</v>
      </c>
      <c r="EO81">
        <v>47.5</v>
      </c>
      <c r="EP81">
        <v>49.186999999999998</v>
      </c>
      <c r="EQ81">
        <v>48.625</v>
      </c>
      <c r="ER81">
        <v>48.186999999999998</v>
      </c>
      <c r="ES81">
        <v>49.25</v>
      </c>
      <c r="ET81">
        <v>1755.5</v>
      </c>
      <c r="EU81">
        <v>39.49</v>
      </c>
      <c r="EV81">
        <v>0</v>
      </c>
      <c r="EW81">
        <v>139.4000000953674</v>
      </c>
      <c r="EX81">
        <v>0</v>
      </c>
      <c r="EY81">
        <v>767.0916538461538</v>
      </c>
      <c r="EZ81">
        <v>8.2919999985512973</v>
      </c>
      <c r="FA81">
        <v>220.2427349845172</v>
      </c>
      <c r="FB81">
        <v>14499.91153846154</v>
      </c>
      <c r="FC81">
        <v>15</v>
      </c>
      <c r="FD81">
        <v>1693507966</v>
      </c>
      <c r="FE81" t="s">
        <v>750</v>
      </c>
      <c r="FF81">
        <v>1693507966</v>
      </c>
      <c r="FG81">
        <v>1693507961.5</v>
      </c>
      <c r="FH81">
        <v>72</v>
      </c>
      <c r="FI81">
        <v>-8.1000000000000003E-2</v>
      </c>
      <c r="FJ81">
        <v>-2E-3</v>
      </c>
      <c r="FK81">
        <v>2.2530000000000001</v>
      </c>
      <c r="FL81">
        <v>0.48799999999999999</v>
      </c>
      <c r="FM81">
        <v>400</v>
      </c>
      <c r="FN81">
        <v>22</v>
      </c>
      <c r="FO81">
        <v>0.1</v>
      </c>
      <c r="FP81">
        <v>0.03</v>
      </c>
      <c r="FQ81">
        <v>44.459458526563303</v>
      </c>
      <c r="FR81">
        <v>0.64302126501749512</v>
      </c>
      <c r="FS81">
        <v>0.10551333781054011</v>
      </c>
      <c r="FT81">
        <v>1</v>
      </c>
      <c r="FU81">
        <v>0.38074226127481742</v>
      </c>
      <c r="FV81">
        <v>7.7557858615117182E-3</v>
      </c>
      <c r="FW81">
        <v>1.302306978941954E-3</v>
      </c>
      <c r="FX81">
        <v>1</v>
      </c>
      <c r="FY81">
        <v>2</v>
      </c>
      <c r="FZ81">
        <v>2</v>
      </c>
      <c r="GA81" t="s">
        <v>421</v>
      </c>
      <c r="GB81">
        <v>3.1182099999999999</v>
      </c>
      <c r="GC81">
        <v>2.8646600000000002</v>
      </c>
      <c r="GD81">
        <v>8.1909200000000001E-2</v>
      </c>
      <c r="GE81">
        <v>9.5066399999999995E-2</v>
      </c>
      <c r="GF81">
        <v>0.12903999999999999</v>
      </c>
      <c r="GG81">
        <v>0.114164</v>
      </c>
      <c r="GH81">
        <v>27691.5</v>
      </c>
      <c r="GI81">
        <v>21180.1</v>
      </c>
      <c r="GJ81">
        <v>29086.3</v>
      </c>
      <c r="GK81">
        <v>21818.7</v>
      </c>
      <c r="GL81">
        <v>33945.300000000003</v>
      </c>
      <c r="GM81">
        <v>26602.9</v>
      </c>
      <c r="GN81">
        <v>40365.4</v>
      </c>
      <c r="GO81">
        <v>31010.5</v>
      </c>
      <c r="GP81">
        <v>2.0087999999999999</v>
      </c>
      <c r="GQ81">
        <v>1.8668</v>
      </c>
      <c r="GR81">
        <v>4.90248E-2</v>
      </c>
      <c r="GS81">
        <v>0</v>
      </c>
      <c r="GT81">
        <v>29.202000000000002</v>
      </c>
      <c r="GU81">
        <v>999.9</v>
      </c>
      <c r="GV81">
        <v>63.4</v>
      </c>
      <c r="GW81">
        <v>30.6</v>
      </c>
      <c r="GX81">
        <v>28.0716</v>
      </c>
      <c r="GY81">
        <v>61.537500000000001</v>
      </c>
      <c r="GZ81">
        <v>11.602600000000001</v>
      </c>
      <c r="HA81">
        <v>1</v>
      </c>
      <c r="HB81">
        <v>0.372612</v>
      </c>
      <c r="HC81">
        <v>2.2269999999999999</v>
      </c>
      <c r="HD81">
        <v>20.321100000000001</v>
      </c>
      <c r="HE81">
        <v>5.2352600000000002</v>
      </c>
      <c r="HF81">
        <v>11.977600000000001</v>
      </c>
      <c r="HG81">
        <v>4.9736000000000002</v>
      </c>
      <c r="HH81">
        <v>3.2839999999999998</v>
      </c>
      <c r="HI81">
        <v>9999</v>
      </c>
      <c r="HJ81">
        <v>9999</v>
      </c>
      <c r="HK81">
        <v>9999</v>
      </c>
      <c r="HL81">
        <v>999.9</v>
      </c>
      <c r="HM81">
        <v>1.86053</v>
      </c>
      <c r="HN81">
        <v>1.8622300000000001</v>
      </c>
      <c r="HO81">
        <v>1.86768</v>
      </c>
      <c r="HP81">
        <v>1.85822</v>
      </c>
      <c r="HQ81">
        <v>1.8566199999999999</v>
      </c>
      <c r="HR81">
        <v>1.8603499999999999</v>
      </c>
      <c r="HS81">
        <v>1.8642700000000001</v>
      </c>
      <c r="HT81">
        <v>1.8663000000000001</v>
      </c>
      <c r="HU81">
        <v>5</v>
      </c>
      <c r="HV81">
        <v>0</v>
      </c>
      <c r="HW81">
        <v>0</v>
      </c>
      <c r="HX81">
        <v>0</v>
      </c>
      <c r="HY81" t="s">
        <v>422</v>
      </c>
      <c r="HZ81" t="s">
        <v>423</v>
      </c>
      <c r="IA81" t="s">
        <v>424</v>
      </c>
      <c r="IB81" t="s">
        <v>424</v>
      </c>
      <c r="IC81" t="s">
        <v>424</v>
      </c>
      <c r="ID81" t="s">
        <v>424</v>
      </c>
      <c r="IE81">
        <v>0</v>
      </c>
      <c r="IF81">
        <v>100</v>
      </c>
      <c r="IG81">
        <v>100</v>
      </c>
      <c r="IH81">
        <v>2.2480000000000002</v>
      </c>
      <c r="II81">
        <v>0.82830000000000004</v>
      </c>
      <c r="IJ81">
        <v>2.041240042342805</v>
      </c>
      <c r="IK81">
        <v>1.118558698776514E-3</v>
      </c>
      <c r="IL81">
        <v>-1.6939696309573479E-6</v>
      </c>
      <c r="IM81">
        <v>5.4698917449866148E-10</v>
      </c>
      <c r="IN81">
        <v>-6.4718518243963463E-2</v>
      </c>
      <c r="IO81">
        <v>-7.6058941998734366E-3</v>
      </c>
      <c r="IP81">
        <v>1.6984902717538061E-3</v>
      </c>
      <c r="IQ81">
        <v>-9.6352527008986976E-6</v>
      </c>
      <c r="IR81">
        <v>2</v>
      </c>
      <c r="IS81">
        <v>2021</v>
      </c>
      <c r="IT81">
        <v>2</v>
      </c>
      <c r="IU81">
        <v>40</v>
      </c>
      <c r="IV81">
        <v>1.3</v>
      </c>
      <c r="IW81">
        <v>1.3</v>
      </c>
      <c r="IX81">
        <v>1.02539</v>
      </c>
      <c r="IY81">
        <v>2.49756</v>
      </c>
      <c r="IZ81">
        <v>1.34399</v>
      </c>
      <c r="JA81">
        <v>2.2497600000000002</v>
      </c>
      <c r="JB81">
        <v>1.5918000000000001</v>
      </c>
      <c r="JC81">
        <v>2.3156699999999999</v>
      </c>
      <c r="JD81">
        <v>35.290199999999999</v>
      </c>
      <c r="JE81">
        <v>15.988300000000001</v>
      </c>
      <c r="JF81">
        <v>18</v>
      </c>
      <c r="JG81">
        <v>517.10500000000002</v>
      </c>
      <c r="JH81">
        <v>462.17</v>
      </c>
      <c r="JI81">
        <v>26.4055</v>
      </c>
      <c r="JJ81">
        <v>32.220999999999997</v>
      </c>
      <c r="JK81">
        <v>30.000399999999999</v>
      </c>
      <c r="JL81">
        <v>32.060699999999997</v>
      </c>
      <c r="JM81">
        <v>32.0047</v>
      </c>
      <c r="JN81">
        <v>20.5869</v>
      </c>
      <c r="JO81">
        <v>29.4739</v>
      </c>
      <c r="JP81">
        <v>99.629400000000004</v>
      </c>
      <c r="JQ81">
        <v>26.417899999999999</v>
      </c>
      <c r="JR81">
        <v>400</v>
      </c>
      <c r="JS81">
        <v>22.529900000000001</v>
      </c>
      <c r="JT81">
        <v>99.170599999999993</v>
      </c>
      <c r="JU81">
        <v>97.962800000000001</v>
      </c>
    </row>
    <row r="82" spans="1:281" x14ac:dyDescent="0.25">
      <c r="A82">
        <v>66</v>
      </c>
      <c r="B82">
        <v>1693508146.5</v>
      </c>
      <c r="C82">
        <v>13219.900000095369</v>
      </c>
      <c r="D82" t="s">
        <v>751</v>
      </c>
      <c r="E82" t="s">
        <v>752</v>
      </c>
      <c r="F82" t="s">
        <v>413</v>
      </c>
      <c r="G82" t="s">
        <v>414</v>
      </c>
      <c r="H82" t="s">
        <v>707</v>
      </c>
      <c r="I82" t="s">
        <v>31</v>
      </c>
      <c r="J82">
        <v>1693508146.5</v>
      </c>
      <c r="K82">
        <f t="shared" si="92"/>
        <v>5.3106046968712274E-3</v>
      </c>
      <c r="L82">
        <f t="shared" si="93"/>
        <v>5.310604696871227</v>
      </c>
      <c r="M82">
        <f t="shared" si="94"/>
        <v>48.586160548988047</v>
      </c>
      <c r="N82">
        <f t="shared" si="95"/>
        <v>439.00400000000002</v>
      </c>
      <c r="O82">
        <f t="shared" si="96"/>
        <v>220.098305132527</v>
      </c>
      <c r="P82">
        <f t="shared" si="97"/>
        <v>21.940852364719081</v>
      </c>
      <c r="Q82">
        <f t="shared" si="98"/>
        <v>43.762817463412006</v>
      </c>
      <c r="R82">
        <f t="shared" si="99"/>
        <v>0.39122150282321921</v>
      </c>
      <c r="S82">
        <f t="shared" si="100"/>
        <v>2.9231615569118885</v>
      </c>
      <c r="T82">
        <f t="shared" si="101"/>
        <v>0.36428775164133531</v>
      </c>
      <c r="U82">
        <f t="shared" si="102"/>
        <v>0.22994502942529518</v>
      </c>
      <c r="V82">
        <f t="shared" si="103"/>
        <v>344.39089964452177</v>
      </c>
      <c r="W82">
        <f t="shared" si="104"/>
        <v>31.080001572331962</v>
      </c>
      <c r="X82">
        <f t="shared" si="105"/>
        <v>29.977799999999998</v>
      </c>
      <c r="Y82">
        <f t="shared" si="106"/>
        <v>4.2550200784528753</v>
      </c>
      <c r="Z82">
        <f t="shared" si="107"/>
        <v>65.345838919641281</v>
      </c>
      <c r="AA82">
        <f t="shared" si="108"/>
        <v>2.8535987914971002</v>
      </c>
      <c r="AB82">
        <f t="shared" si="109"/>
        <v>4.3669173717492544</v>
      </c>
      <c r="AC82">
        <f t="shared" si="110"/>
        <v>1.4014212869557752</v>
      </c>
      <c r="AD82">
        <f t="shared" si="111"/>
        <v>-234.19766713202114</v>
      </c>
      <c r="AE82">
        <f t="shared" si="112"/>
        <v>71.326811698531444</v>
      </c>
      <c r="AF82">
        <f t="shared" si="113"/>
        <v>5.4364656914981282</v>
      </c>
      <c r="AG82">
        <f t="shared" si="114"/>
        <v>186.95650990253023</v>
      </c>
      <c r="AH82">
        <v>0</v>
      </c>
      <c r="AI82">
        <v>0</v>
      </c>
      <c r="AJ82">
        <f t="shared" si="115"/>
        <v>1</v>
      </c>
      <c r="AK82">
        <f t="shared" si="116"/>
        <v>0</v>
      </c>
      <c r="AL82">
        <f t="shared" si="117"/>
        <v>52088.164772235614</v>
      </c>
      <c r="AM82" t="s">
        <v>416</v>
      </c>
      <c r="AN82">
        <v>10366.9</v>
      </c>
      <c r="AO82">
        <v>993.59653846153856</v>
      </c>
      <c r="AP82">
        <v>3431.87</v>
      </c>
      <c r="AQ82">
        <f t="shared" si="118"/>
        <v>0.71047955241266758</v>
      </c>
      <c r="AR82">
        <v>-3.9894345373445681</v>
      </c>
      <c r="AS82" t="s">
        <v>753</v>
      </c>
      <c r="AT82">
        <v>10410</v>
      </c>
      <c r="AU82">
        <v>795.90815384615394</v>
      </c>
      <c r="AV82">
        <v>1178.2234824377049</v>
      </c>
      <c r="AW82">
        <f t="shared" si="119"/>
        <v>0.3244845602640285</v>
      </c>
      <c r="AX82">
        <v>0.5</v>
      </c>
      <c r="AY82">
        <f t="shared" si="120"/>
        <v>1513.2773998222608</v>
      </c>
      <c r="AZ82">
        <f t="shared" si="121"/>
        <v>48.586160548988047</v>
      </c>
      <c r="BA82">
        <f t="shared" si="122"/>
        <v>245.51757581940936</v>
      </c>
      <c r="BB82">
        <f t="shared" si="123"/>
        <v>3.4742866768847393E-2</v>
      </c>
      <c r="BC82">
        <f t="shared" si="124"/>
        <v>1.9127496193672664</v>
      </c>
      <c r="BD82">
        <f t="shared" si="125"/>
        <v>639.47048999106721</v>
      </c>
      <c r="BE82" t="s">
        <v>754</v>
      </c>
      <c r="BF82">
        <v>599.45000000000005</v>
      </c>
      <c r="BG82">
        <f t="shared" si="126"/>
        <v>599.45000000000005</v>
      </c>
      <c r="BH82">
        <f t="shared" si="127"/>
        <v>0.49122555361079878</v>
      </c>
      <c r="BI82">
        <f t="shared" si="128"/>
        <v>0.66056123888277951</v>
      </c>
      <c r="BJ82">
        <f t="shared" si="129"/>
        <v>0.7956611369649611</v>
      </c>
      <c r="BK82">
        <f t="shared" si="130"/>
        <v>2.0707450405554262</v>
      </c>
      <c r="BL82">
        <f t="shared" si="131"/>
        <v>0.92427964012712771</v>
      </c>
      <c r="BM82">
        <f t="shared" si="132"/>
        <v>0.49751146879797187</v>
      </c>
      <c r="BN82">
        <f t="shared" si="133"/>
        <v>0.50248853120202819</v>
      </c>
      <c r="BO82">
        <v>2279</v>
      </c>
      <c r="BP82">
        <v>290.00000000000011</v>
      </c>
      <c r="BQ82">
        <v>1074.17</v>
      </c>
      <c r="BR82">
        <v>145</v>
      </c>
      <c r="BS82">
        <v>10410</v>
      </c>
      <c r="BT82">
        <v>1071.52</v>
      </c>
      <c r="BU82">
        <v>2.65</v>
      </c>
      <c r="BV82">
        <v>300.00000000000011</v>
      </c>
      <c r="BW82">
        <v>38.4</v>
      </c>
      <c r="BX82">
        <v>1178.2234824377049</v>
      </c>
      <c r="BY82">
        <v>1.34948482904377</v>
      </c>
      <c r="BZ82">
        <v>-111.0783862160682</v>
      </c>
      <c r="CA82">
        <v>1.148613993138865</v>
      </c>
      <c r="CB82">
        <v>0.99701496936337963</v>
      </c>
      <c r="CC82">
        <v>-1.131638954393771E-2</v>
      </c>
      <c r="CD82">
        <v>289.99999999999989</v>
      </c>
      <c r="CE82">
        <v>1060.0899999999999</v>
      </c>
      <c r="CF82">
        <v>645</v>
      </c>
      <c r="CG82">
        <v>10380.5</v>
      </c>
      <c r="CH82">
        <v>1071.22</v>
      </c>
      <c r="CI82">
        <v>-11.13</v>
      </c>
      <c r="CW82">
        <f t="shared" si="134"/>
        <v>1800.11</v>
      </c>
      <c r="CX82">
        <f t="shared" si="135"/>
        <v>1513.2773998222608</v>
      </c>
      <c r="CY82">
        <f t="shared" si="136"/>
        <v>0.84065829300557238</v>
      </c>
      <c r="CZ82">
        <f t="shared" si="137"/>
        <v>0.19131658601114476</v>
      </c>
      <c r="DA82">
        <v>6</v>
      </c>
      <c r="DB82">
        <v>0.5</v>
      </c>
      <c r="DC82" t="s">
        <v>419</v>
      </c>
      <c r="DD82">
        <v>2</v>
      </c>
      <c r="DE82">
        <v>1693508146.5</v>
      </c>
      <c r="DF82">
        <v>439.00400000000002</v>
      </c>
      <c r="DG82">
        <v>500.10700000000003</v>
      </c>
      <c r="DH82">
        <v>28.625699999999998</v>
      </c>
      <c r="DI82">
        <v>22.435199999999998</v>
      </c>
      <c r="DJ82">
        <v>436.46100000000001</v>
      </c>
      <c r="DK82">
        <v>27.790400000000002</v>
      </c>
      <c r="DL82">
        <v>499.98399999999998</v>
      </c>
      <c r="DM82">
        <v>99.586500000000001</v>
      </c>
      <c r="DN82">
        <v>0.100103</v>
      </c>
      <c r="DO82">
        <v>30.430399999999999</v>
      </c>
      <c r="DP82">
        <v>29.977799999999998</v>
      </c>
      <c r="DQ82">
        <v>999.9</v>
      </c>
      <c r="DR82">
        <v>0</v>
      </c>
      <c r="DS82">
        <v>0</v>
      </c>
      <c r="DT82">
        <v>10005</v>
      </c>
      <c r="DU82">
        <v>0</v>
      </c>
      <c r="DV82">
        <v>1202.95</v>
      </c>
      <c r="DW82">
        <v>-61.102600000000002</v>
      </c>
      <c r="DX82">
        <v>451.94099999999997</v>
      </c>
      <c r="DY82">
        <v>511.584</v>
      </c>
      <c r="DZ82">
        <v>6.19048</v>
      </c>
      <c r="EA82">
        <v>500.10700000000003</v>
      </c>
      <c r="EB82">
        <v>22.435199999999998</v>
      </c>
      <c r="EC82">
        <v>2.85073</v>
      </c>
      <c r="ED82">
        <v>2.2342399999999998</v>
      </c>
      <c r="EE82">
        <v>23.180800000000001</v>
      </c>
      <c r="EF82">
        <v>19.21</v>
      </c>
      <c r="EG82">
        <v>1800.11</v>
      </c>
      <c r="EH82">
        <v>0.97799700000000001</v>
      </c>
      <c r="EI82">
        <v>2.20027E-2</v>
      </c>
      <c r="EJ82">
        <v>0</v>
      </c>
      <c r="EK82">
        <v>796.13400000000001</v>
      </c>
      <c r="EL82">
        <v>5.0002700000000004</v>
      </c>
      <c r="EM82">
        <v>15037.2</v>
      </c>
      <c r="EN82">
        <v>16249.6</v>
      </c>
      <c r="EO82">
        <v>47.375</v>
      </c>
      <c r="EP82">
        <v>49.125</v>
      </c>
      <c r="EQ82">
        <v>48.5</v>
      </c>
      <c r="ER82">
        <v>48</v>
      </c>
      <c r="ES82">
        <v>49.061999999999998</v>
      </c>
      <c r="ET82">
        <v>1755.61</v>
      </c>
      <c r="EU82">
        <v>39.5</v>
      </c>
      <c r="EV82">
        <v>0</v>
      </c>
      <c r="EW82">
        <v>102.80000019073491</v>
      </c>
      <c r="EX82">
        <v>0</v>
      </c>
      <c r="EY82">
        <v>795.90815384615394</v>
      </c>
      <c r="EZ82">
        <v>3.2586666683604268</v>
      </c>
      <c r="FA82">
        <v>87.196581271213546</v>
      </c>
      <c r="FB82">
        <v>15021.03461538462</v>
      </c>
      <c r="FC82">
        <v>15</v>
      </c>
      <c r="FD82">
        <v>1693508118</v>
      </c>
      <c r="FE82" t="s">
        <v>755</v>
      </c>
      <c r="FF82">
        <v>1693508103.5</v>
      </c>
      <c r="FG82">
        <v>1693508118</v>
      </c>
      <c r="FH82">
        <v>73</v>
      </c>
      <c r="FI82">
        <v>0.29099999999999998</v>
      </c>
      <c r="FJ82">
        <v>6.0000000000000001E-3</v>
      </c>
      <c r="FK82">
        <v>2.536</v>
      </c>
      <c r="FL82">
        <v>0.48799999999999999</v>
      </c>
      <c r="FM82">
        <v>500</v>
      </c>
      <c r="FN82">
        <v>22</v>
      </c>
      <c r="FO82">
        <v>0.12</v>
      </c>
      <c r="FP82">
        <v>0.04</v>
      </c>
      <c r="FQ82">
        <v>48.436876928904717</v>
      </c>
      <c r="FR82">
        <v>0.1170337353703772</v>
      </c>
      <c r="FS82">
        <v>0.1023544666505516</v>
      </c>
      <c r="FT82">
        <v>1</v>
      </c>
      <c r="FU82">
        <v>0.39401121408013601</v>
      </c>
      <c r="FV82">
        <v>2.9362848833111931E-2</v>
      </c>
      <c r="FW82">
        <v>4.1450288692053529E-3</v>
      </c>
      <c r="FX82">
        <v>1</v>
      </c>
      <c r="FY82">
        <v>2</v>
      </c>
      <c r="FZ82">
        <v>2</v>
      </c>
      <c r="GA82" t="s">
        <v>421</v>
      </c>
      <c r="GB82">
        <v>3.1179600000000001</v>
      </c>
      <c r="GC82">
        <v>2.8653</v>
      </c>
      <c r="GD82">
        <v>9.9028400000000003E-2</v>
      </c>
      <c r="GE82">
        <v>0.112396</v>
      </c>
      <c r="GF82">
        <v>0.129047</v>
      </c>
      <c r="GG82">
        <v>0.11378000000000001</v>
      </c>
      <c r="GH82">
        <v>27173.7</v>
      </c>
      <c r="GI82">
        <v>20772.8</v>
      </c>
      <c r="GJ82">
        <v>29084.9</v>
      </c>
      <c r="GK82">
        <v>21817.1</v>
      </c>
      <c r="GL82">
        <v>33945.199999999997</v>
      </c>
      <c r="GM82">
        <v>26614.400000000001</v>
      </c>
      <c r="GN82">
        <v>40363.199999999997</v>
      </c>
      <c r="GO82">
        <v>31008.9</v>
      </c>
      <c r="GP82">
        <v>2.0087999999999999</v>
      </c>
      <c r="GQ82">
        <v>1.8653</v>
      </c>
      <c r="GR82">
        <v>5.2154100000000002E-2</v>
      </c>
      <c r="GS82">
        <v>0</v>
      </c>
      <c r="GT82">
        <v>29.128499999999999</v>
      </c>
      <c r="GU82">
        <v>999.9</v>
      </c>
      <c r="GV82">
        <v>63.4</v>
      </c>
      <c r="GW82">
        <v>30.7</v>
      </c>
      <c r="GX82">
        <v>28.234500000000001</v>
      </c>
      <c r="GY82">
        <v>61.657499999999999</v>
      </c>
      <c r="GZ82">
        <v>11.602600000000001</v>
      </c>
      <c r="HA82">
        <v>1</v>
      </c>
      <c r="HB82">
        <v>0.37388199999999999</v>
      </c>
      <c r="HC82">
        <v>1.7958499999999999</v>
      </c>
      <c r="HD82">
        <v>20.326599999999999</v>
      </c>
      <c r="HE82">
        <v>5.2352600000000002</v>
      </c>
      <c r="HF82">
        <v>11.975199999999999</v>
      </c>
      <c r="HG82">
        <v>4.9753999999999996</v>
      </c>
      <c r="HH82">
        <v>3.2839999999999998</v>
      </c>
      <c r="HI82">
        <v>9999</v>
      </c>
      <c r="HJ82">
        <v>9999</v>
      </c>
      <c r="HK82">
        <v>9999</v>
      </c>
      <c r="HL82">
        <v>999.9</v>
      </c>
      <c r="HM82">
        <v>1.8605</v>
      </c>
      <c r="HN82">
        <v>1.8621799999999999</v>
      </c>
      <c r="HO82">
        <v>1.86768</v>
      </c>
      <c r="HP82">
        <v>1.8582000000000001</v>
      </c>
      <c r="HQ82">
        <v>1.85667</v>
      </c>
      <c r="HR82">
        <v>1.86033</v>
      </c>
      <c r="HS82">
        <v>1.8642000000000001</v>
      </c>
      <c r="HT82">
        <v>1.8663000000000001</v>
      </c>
      <c r="HU82">
        <v>5</v>
      </c>
      <c r="HV82">
        <v>0</v>
      </c>
      <c r="HW82">
        <v>0</v>
      </c>
      <c r="HX82">
        <v>0</v>
      </c>
      <c r="HY82" t="s">
        <v>422</v>
      </c>
      <c r="HZ82" t="s">
        <v>423</v>
      </c>
      <c r="IA82" t="s">
        <v>424</v>
      </c>
      <c r="IB82" t="s">
        <v>424</v>
      </c>
      <c r="IC82" t="s">
        <v>424</v>
      </c>
      <c r="ID82" t="s">
        <v>424</v>
      </c>
      <c r="IE82">
        <v>0</v>
      </c>
      <c r="IF82">
        <v>100</v>
      </c>
      <c r="IG82">
        <v>100</v>
      </c>
      <c r="IH82">
        <v>2.5430000000000001</v>
      </c>
      <c r="II82">
        <v>0.83530000000000004</v>
      </c>
      <c r="IJ82">
        <v>2.331784145345412</v>
      </c>
      <c r="IK82">
        <v>1.118558698776514E-3</v>
      </c>
      <c r="IL82">
        <v>-1.6939696309573479E-6</v>
      </c>
      <c r="IM82">
        <v>5.4698917449866148E-10</v>
      </c>
      <c r="IN82">
        <v>-5.8279026306046311E-2</v>
      </c>
      <c r="IO82">
        <v>-7.6058941998734366E-3</v>
      </c>
      <c r="IP82">
        <v>1.6984902717538061E-3</v>
      </c>
      <c r="IQ82">
        <v>-9.6352527008986976E-6</v>
      </c>
      <c r="IR82">
        <v>2</v>
      </c>
      <c r="IS82">
        <v>2021</v>
      </c>
      <c r="IT82">
        <v>2</v>
      </c>
      <c r="IU82">
        <v>40</v>
      </c>
      <c r="IV82">
        <v>0.7</v>
      </c>
      <c r="IW82">
        <v>0.5</v>
      </c>
      <c r="IX82">
        <v>1.22681</v>
      </c>
      <c r="IY82">
        <v>2.49512</v>
      </c>
      <c r="IZ82">
        <v>1.34399</v>
      </c>
      <c r="JA82">
        <v>2.2497600000000002</v>
      </c>
      <c r="JB82">
        <v>1.5918000000000001</v>
      </c>
      <c r="JC82">
        <v>2.34619</v>
      </c>
      <c r="JD82">
        <v>35.313299999999998</v>
      </c>
      <c r="JE82">
        <v>15.988300000000001</v>
      </c>
      <c r="JF82">
        <v>18</v>
      </c>
      <c r="JG82">
        <v>517.423</v>
      </c>
      <c r="JH82">
        <v>461.36399999999998</v>
      </c>
      <c r="JI82">
        <v>26.727499999999999</v>
      </c>
      <c r="JJ82">
        <v>32.250900000000001</v>
      </c>
      <c r="JK82">
        <v>29.999300000000002</v>
      </c>
      <c r="JL82">
        <v>32.096499999999999</v>
      </c>
      <c r="JM82">
        <v>32.030200000000001</v>
      </c>
      <c r="JN82">
        <v>24.6111</v>
      </c>
      <c r="JO82">
        <v>30.1249</v>
      </c>
      <c r="JP82">
        <v>99.619399999999999</v>
      </c>
      <c r="JQ82">
        <v>26.758199999999999</v>
      </c>
      <c r="JR82">
        <v>500</v>
      </c>
      <c r="JS82">
        <v>22.406600000000001</v>
      </c>
      <c r="JT82">
        <v>99.165400000000005</v>
      </c>
      <c r="JU82">
        <v>97.956900000000005</v>
      </c>
    </row>
    <row r="83" spans="1:281" x14ac:dyDescent="0.25">
      <c r="A83">
        <v>67</v>
      </c>
      <c r="B83">
        <v>1693508247</v>
      </c>
      <c r="C83">
        <v>13320.400000095369</v>
      </c>
      <c r="D83" t="s">
        <v>756</v>
      </c>
      <c r="E83" t="s">
        <v>757</v>
      </c>
      <c r="F83" t="s">
        <v>413</v>
      </c>
      <c r="G83" t="s">
        <v>414</v>
      </c>
      <c r="H83" t="s">
        <v>707</v>
      </c>
      <c r="I83" t="s">
        <v>31</v>
      </c>
      <c r="J83">
        <v>1693508247</v>
      </c>
      <c r="K83">
        <f t="shared" si="92"/>
        <v>5.3296550029736873E-3</v>
      </c>
      <c r="L83">
        <f t="shared" si="93"/>
        <v>5.3296550029736869</v>
      </c>
      <c r="M83">
        <f t="shared" si="94"/>
        <v>49.998862159294156</v>
      </c>
      <c r="N83">
        <f t="shared" si="95"/>
        <v>635.87300000000005</v>
      </c>
      <c r="O83">
        <f t="shared" si="96"/>
        <v>406.10981695646041</v>
      </c>
      <c r="P83">
        <f t="shared" si="97"/>
        <v>40.483661882044167</v>
      </c>
      <c r="Q83">
        <f t="shared" si="98"/>
        <v>63.387946947071597</v>
      </c>
      <c r="R83">
        <f t="shared" si="99"/>
        <v>0.39079232329522329</v>
      </c>
      <c r="S83">
        <f t="shared" si="100"/>
        <v>2.9205367842390473</v>
      </c>
      <c r="T83">
        <f t="shared" si="101"/>
        <v>0.36389308494091893</v>
      </c>
      <c r="U83">
        <f t="shared" si="102"/>
        <v>0.22969548875023901</v>
      </c>
      <c r="V83">
        <f t="shared" si="103"/>
        <v>344.39659964452773</v>
      </c>
      <c r="W83">
        <f t="shared" si="104"/>
        <v>31.112604056469596</v>
      </c>
      <c r="X83">
        <f t="shared" si="105"/>
        <v>30.012799999999999</v>
      </c>
      <c r="Y83">
        <f t="shared" si="106"/>
        <v>4.2635831504430985</v>
      </c>
      <c r="Z83">
        <f t="shared" si="107"/>
        <v>65.255330389910455</v>
      </c>
      <c r="AA83">
        <f t="shared" si="108"/>
        <v>2.8556889501656397</v>
      </c>
      <c r="AB83">
        <f t="shared" si="109"/>
        <v>4.3761772917284567</v>
      </c>
      <c r="AC83">
        <f t="shared" si="110"/>
        <v>1.4078942002774588</v>
      </c>
      <c r="AD83">
        <f t="shared" si="111"/>
        <v>-235.0377856311396</v>
      </c>
      <c r="AE83">
        <f t="shared" si="112"/>
        <v>71.577669704268146</v>
      </c>
      <c r="AF83">
        <f t="shared" si="113"/>
        <v>5.4624342200444085</v>
      </c>
      <c r="AG83">
        <f t="shared" si="114"/>
        <v>186.3989179377007</v>
      </c>
      <c r="AH83">
        <v>0</v>
      </c>
      <c r="AI83">
        <v>0</v>
      </c>
      <c r="AJ83">
        <f t="shared" si="115"/>
        <v>1</v>
      </c>
      <c r="AK83">
        <f t="shared" si="116"/>
        <v>0</v>
      </c>
      <c r="AL83">
        <f t="shared" si="117"/>
        <v>52007.019227482466</v>
      </c>
      <c r="AM83" t="s">
        <v>416</v>
      </c>
      <c r="AN83">
        <v>10366.9</v>
      </c>
      <c r="AO83">
        <v>993.59653846153856</v>
      </c>
      <c r="AP83">
        <v>3431.87</v>
      </c>
      <c r="AQ83">
        <f t="shared" si="118"/>
        <v>0.71047955241266758</v>
      </c>
      <c r="AR83">
        <v>-3.9894345373445681</v>
      </c>
      <c r="AS83" t="s">
        <v>758</v>
      </c>
      <c r="AT83">
        <v>10403.6</v>
      </c>
      <c r="AU83">
        <v>805.39226923076899</v>
      </c>
      <c r="AV83">
        <v>1208.6192010259419</v>
      </c>
      <c r="AW83">
        <f t="shared" si="119"/>
        <v>0.33362611768280026</v>
      </c>
      <c r="AX83">
        <v>0.5</v>
      </c>
      <c r="AY83">
        <f t="shared" si="120"/>
        <v>1513.302599822264</v>
      </c>
      <c r="AZ83">
        <f t="shared" si="121"/>
        <v>49.998862159294156</v>
      </c>
      <c r="BA83">
        <f t="shared" si="122"/>
        <v>252.43863562899512</v>
      </c>
      <c r="BB83">
        <f t="shared" si="123"/>
        <v>3.5675810444639161E-2</v>
      </c>
      <c r="BC83">
        <f t="shared" si="124"/>
        <v>1.8394965073257494</v>
      </c>
      <c r="BD83">
        <f t="shared" si="125"/>
        <v>648.31970982407267</v>
      </c>
      <c r="BE83" t="s">
        <v>759</v>
      </c>
      <c r="BF83">
        <v>605.01</v>
      </c>
      <c r="BG83">
        <f t="shared" si="126"/>
        <v>605.01</v>
      </c>
      <c r="BH83">
        <f t="shared" si="127"/>
        <v>0.49942049614433193</v>
      </c>
      <c r="BI83">
        <f t="shared" si="128"/>
        <v>0.66802648321101887</v>
      </c>
      <c r="BJ83">
        <f t="shared" si="129"/>
        <v>0.78647361347008982</v>
      </c>
      <c r="BK83">
        <f t="shared" si="130"/>
        <v>1.8752764335917327</v>
      </c>
      <c r="BL83">
        <f t="shared" si="131"/>
        <v>0.91181355743882309</v>
      </c>
      <c r="BM83">
        <f t="shared" si="132"/>
        <v>0.50182093626688862</v>
      </c>
      <c r="BN83">
        <f t="shared" si="133"/>
        <v>0.49817906373311138</v>
      </c>
      <c r="BO83">
        <v>2281</v>
      </c>
      <c r="BP83">
        <v>290.00000000000011</v>
      </c>
      <c r="BQ83">
        <v>1099.77</v>
      </c>
      <c r="BR83">
        <v>185</v>
      </c>
      <c r="BS83">
        <v>10403.6</v>
      </c>
      <c r="BT83">
        <v>1096.51</v>
      </c>
      <c r="BU83">
        <v>3.26</v>
      </c>
      <c r="BV83">
        <v>300.00000000000011</v>
      </c>
      <c r="BW83">
        <v>38.4</v>
      </c>
      <c r="BX83">
        <v>1208.6192010259419</v>
      </c>
      <c r="BY83">
        <v>1.682467437947021</v>
      </c>
      <c r="BZ83">
        <v>-116.636788765845</v>
      </c>
      <c r="CA83">
        <v>1.43211842856662</v>
      </c>
      <c r="CB83">
        <v>0.995796458234255</v>
      </c>
      <c r="CC83">
        <v>-1.1316873859844281E-2</v>
      </c>
      <c r="CD83">
        <v>289.99999999999989</v>
      </c>
      <c r="CE83">
        <v>1085.76</v>
      </c>
      <c r="CF83">
        <v>655</v>
      </c>
      <c r="CG83">
        <v>10380.200000000001</v>
      </c>
      <c r="CH83">
        <v>1096.25</v>
      </c>
      <c r="CI83">
        <v>-10.49</v>
      </c>
      <c r="CW83">
        <f t="shared" si="134"/>
        <v>1800.14</v>
      </c>
      <c r="CX83">
        <f t="shared" si="135"/>
        <v>1513.302599822264</v>
      </c>
      <c r="CY83">
        <f t="shared" si="136"/>
        <v>0.84065828203487725</v>
      </c>
      <c r="CZ83">
        <f t="shared" si="137"/>
        <v>0.19131656406975442</v>
      </c>
      <c r="DA83">
        <v>6</v>
      </c>
      <c r="DB83">
        <v>0.5</v>
      </c>
      <c r="DC83" t="s">
        <v>419</v>
      </c>
      <c r="DD83">
        <v>2</v>
      </c>
      <c r="DE83">
        <v>1693508247</v>
      </c>
      <c r="DF83">
        <v>635.87300000000005</v>
      </c>
      <c r="DG83">
        <v>699.91600000000005</v>
      </c>
      <c r="DH83">
        <v>28.646699999999999</v>
      </c>
      <c r="DI83">
        <v>22.436499999999999</v>
      </c>
      <c r="DJ83">
        <v>633.16700000000003</v>
      </c>
      <c r="DK83">
        <v>27.812000000000001</v>
      </c>
      <c r="DL83">
        <v>500.17500000000001</v>
      </c>
      <c r="DM83">
        <v>99.586699999999993</v>
      </c>
      <c r="DN83">
        <v>9.9789199999999995E-2</v>
      </c>
      <c r="DO83">
        <v>30.467400000000001</v>
      </c>
      <c r="DP83">
        <v>30.012799999999999</v>
      </c>
      <c r="DQ83">
        <v>999.9</v>
      </c>
      <c r="DR83">
        <v>0</v>
      </c>
      <c r="DS83">
        <v>0</v>
      </c>
      <c r="DT83">
        <v>9990</v>
      </c>
      <c r="DU83">
        <v>0</v>
      </c>
      <c r="DV83">
        <v>1201.71</v>
      </c>
      <c r="DW83">
        <v>-64.043700000000001</v>
      </c>
      <c r="DX83">
        <v>654.62599999999998</v>
      </c>
      <c r="DY83">
        <v>715.98099999999999</v>
      </c>
      <c r="DZ83">
        <v>6.2101699999999997</v>
      </c>
      <c r="EA83">
        <v>699.91600000000005</v>
      </c>
      <c r="EB83">
        <v>22.436499999999999</v>
      </c>
      <c r="EC83">
        <v>2.85283</v>
      </c>
      <c r="ED83">
        <v>2.2343799999999998</v>
      </c>
      <c r="EE83">
        <v>23.193000000000001</v>
      </c>
      <c r="EF83">
        <v>19.210999999999999</v>
      </c>
      <c r="EG83">
        <v>1800.14</v>
      </c>
      <c r="EH83">
        <v>0.97799700000000001</v>
      </c>
      <c r="EI83">
        <v>2.20027E-2</v>
      </c>
      <c r="EJ83">
        <v>0</v>
      </c>
      <c r="EK83">
        <v>805.6</v>
      </c>
      <c r="EL83">
        <v>5.0002700000000004</v>
      </c>
      <c r="EM83">
        <v>15188.3</v>
      </c>
      <c r="EN83">
        <v>16249.9</v>
      </c>
      <c r="EO83">
        <v>47.311999999999998</v>
      </c>
      <c r="EP83">
        <v>49</v>
      </c>
      <c r="EQ83">
        <v>48.436999999999998</v>
      </c>
      <c r="ER83">
        <v>47.875</v>
      </c>
      <c r="ES83">
        <v>49</v>
      </c>
      <c r="ET83">
        <v>1755.64</v>
      </c>
      <c r="EU83">
        <v>39.5</v>
      </c>
      <c r="EV83">
        <v>0</v>
      </c>
      <c r="EW83">
        <v>98.400000095367432</v>
      </c>
      <c r="EX83">
        <v>0</v>
      </c>
      <c r="EY83">
        <v>805.39226923076899</v>
      </c>
      <c r="EZ83">
        <v>0.4743589694345639</v>
      </c>
      <c r="FA83">
        <v>-124.7726500271107</v>
      </c>
      <c r="FB83">
        <v>15184.91538461538</v>
      </c>
      <c r="FC83">
        <v>15</v>
      </c>
      <c r="FD83">
        <v>1693508216</v>
      </c>
      <c r="FE83" t="s">
        <v>760</v>
      </c>
      <c r="FF83">
        <v>1693508216</v>
      </c>
      <c r="FG83">
        <v>1693508215</v>
      </c>
      <c r="FH83">
        <v>74</v>
      </c>
      <c r="FI83">
        <v>0.20499999999999999</v>
      </c>
      <c r="FJ83">
        <v>-2E-3</v>
      </c>
      <c r="FK83">
        <v>2.6789999999999998</v>
      </c>
      <c r="FL83">
        <v>0.48199999999999998</v>
      </c>
      <c r="FM83">
        <v>700</v>
      </c>
      <c r="FN83">
        <v>22</v>
      </c>
      <c r="FO83">
        <v>0.11</v>
      </c>
      <c r="FP83">
        <v>0.03</v>
      </c>
      <c r="FQ83">
        <v>50.063759302483341</v>
      </c>
      <c r="FR83">
        <v>-0.29151399776300357</v>
      </c>
      <c r="FS83">
        <v>0.13670234846985571</v>
      </c>
      <c r="FT83">
        <v>1</v>
      </c>
      <c r="FU83">
        <v>0.39665663284279101</v>
      </c>
      <c r="FV83">
        <v>-5.9477846392847894E-3</v>
      </c>
      <c r="FW83">
        <v>3.0921112566141061E-3</v>
      </c>
      <c r="FX83">
        <v>1</v>
      </c>
      <c r="FY83">
        <v>2</v>
      </c>
      <c r="FZ83">
        <v>2</v>
      </c>
      <c r="GA83" t="s">
        <v>421</v>
      </c>
      <c r="GB83">
        <v>3.1181800000000002</v>
      </c>
      <c r="GC83">
        <v>2.8648699999999998</v>
      </c>
      <c r="GD83">
        <v>0.129939</v>
      </c>
      <c r="GE83">
        <v>0.142655</v>
      </c>
      <c r="GF83">
        <v>0.12911400000000001</v>
      </c>
      <c r="GG83">
        <v>0.11378000000000001</v>
      </c>
      <c r="GH83">
        <v>26240.799999999999</v>
      </c>
      <c r="GI83">
        <v>20063.900000000001</v>
      </c>
      <c r="GJ83">
        <v>29084.6</v>
      </c>
      <c r="GK83">
        <v>21816.5</v>
      </c>
      <c r="GL83">
        <v>33944.9</v>
      </c>
      <c r="GM83">
        <v>26616.2</v>
      </c>
      <c r="GN83">
        <v>40362.300000000003</v>
      </c>
      <c r="GO83">
        <v>31008.2</v>
      </c>
      <c r="GP83">
        <v>2.0081000000000002</v>
      </c>
      <c r="GQ83">
        <v>1.865</v>
      </c>
      <c r="GR83">
        <v>5.3793199999999999E-2</v>
      </c>
      <c r="GS83">
        <v>0</v>
      </c>
      <c r="GT83">
        <v>29.136800000000001</v>
      </c>
      <c r="GU83">
        <v>999.9</v>
      </c>
      <c r="GV83">
        <v>63.3</v>
      </c>
      <c r="GW83">
        <v>30.7</v>
      </c>
      <c r="GX83">
        <v>28.1922</v>
      </c>
      <c r="GY83">
        <v>61.577500000000001</v>
      </c>
      <c r="GZ83">
        <v>11.570499999999999</v>
      </c>
      <c r="HA83">
        <v>1</v>
      </c>
      <c r="HB83">
        <v>0.375386</v>
      </c>
      <c r="HC83">
        <v>1.98061</v>
      </c>
      <c r="HD83">
        <v>20.323799999999999</v>
      </c>
      <c r="HE83">
        <v>5.2340600000000004</v>
      </c>
      <c r="HF83">
        <v>11.974</v>
      </c>
      <c r="HG83">
        <v>4.9748000000000001</v>
      </c>
      <c r="HH83">
        <v>3.2839999999999998</v>
      </c>
      <c r="HI83">
        <v>9999</v>
      </c>
      <c r="HJ83">
        <v>9999</v>
      </c>
      <c r="HK83">
        <v>9999</v>
      </c>
      <c r="HL83">
        <v>999.9</v>
      </c>
      <c r="HM83">
        <v>1.8605</v>
      </c>
      <c r="HN83">
        <v>1.8621799999999999</v>
      </c>
      <c r="HO83">
        <v>1.86768</v>
      </c>
      <c r="HP83">
        <v>1.85822</v>
      </c>
      <c r="HQ83">
        <v>1.85666</v>
      </c>
      <c r="HR83">
        <v>1.8603499999999999</v>
      </c>
      <c r="HS83">
        <v>1.86429</v>
      </c>
      <c r="HT83">
        <v>1.8663000000000001</v>
      </c>
      <c r="HU83">
        <v>5</v>
      </c>
      <c r="HV83">
        <v>0</v>
      </c>
      <c r="HW83">
        <v>0</v>
      </c>
      <c r="HX83">
        <v>0</v>
      </c>
      <c r="HY83" t="s">
        <v>422</v>
      </c>
      <c r="HZ83" t="s">
        <v>423</v>
      </c>
      <c r="IA83" t="s">
        <v>424</v>
      </c>
      <c r="IB83" t="s">
        <v>424</v>
      </c>
      <c r="IC83" t="s">
        <v>424</v>
      </c>
      <c r="ID83" t="s">
        <v>424</v>
      </c>
      <c r="IE83">
        <v>0</v>
      </c>
      <c r="IF83">
        <v>100</v>
      </c>
      <c r="IG83">
        <v>100</v>
      </c>
      <c r="IH83">
        <v>2.706</v>
      </c>
      <c r="II83">
        <v>0.8347</v>
      </c>
      <c r="IJ83">
        <v>2.5372460716387391</v>
      </c>
      <c r="IK83">
        <v>1.118558698776514E-3</v>
      </c>
      <c r="IL83">
        <v>-1.6939696309573479E-6</v>
      </c>
      <c r="IM83">
        <v>5.4698917449866148E-10</v>
      </c>
      <c r="IN83">
        <v>-6.0313649806651333E-2</v>
      </c>
      <c r="IO83">
        <v>-7.6058941998734366E-3</v>
      </c>
      <c r="IP83">
        <v>1.6984902717538061E-3</v>
      </c>
      <c r="IQ83">
        <v>-9.6352527008986976E-6</v>
      </c>
      <c r="IR83">
        <v>2</v>
      </c>
      <c r="IS83">
        <v>2021</v>
      </c>
      <c r="IT83">
        <v>2</v>
      </c>
      <c r="IU83">
        <v>40</v>
      </c>
      <c r="IV83">
        <v>0.5</v>
      </c>
      <c r="IW83">
        <v>0.5</v>
      </c>
      <c r="IX83">
        <v>1.6125499999999999</v>
      </c>
      <c r="IY83">
        <v>2.47925</v>
      </c>
      <c r="IZ83">
        <v>1.34399</v>
      </c>
      <c r="JA83">
        <v>2.2497600000000002</v>
      </c>
      <c r="JB83">
        <v>1.5918000000000001</v>
      </c>
      <c r="JC83">
        <v>2.4902299999999999</v>
      </c>
      <c r="JD83">
        <v>35.3596</v>
      </c>
      <c r="JE83">
        <v>15.988300000000001</v>
      </c>
      <c r="JF83">
        <v>18</v>
      </c>
      <c r="JG83">
        <v>517.08399999999995</v>
      </c>
      <c r="JH83">
        <v>461.32600000000002</v>
      </c>
      <c r="JI83">
        <v>26.805700000000002</v>
      </c>
      <c r="JJ83">
        <v>32.256599999999999</v>
      </c>
      <c r="JK83">
        <v>30.000399999999999</v>
      </c>
      <c r="JL83">
        <v>32.110700000000001</v>
      </c>
      <c r="JM83">
        <v>32.049599999999998</v>
      </c>
      <c r="JN83">
        <v>32.354199999999999</v>
      </c>
      <c r="JO83">
        <v>30.291</v>
      </c>
      <c r="JP83">
        <v>99.626800000000003</v>
      </c>
      <c r="JQ83">
        <v>26.803899999999999</v>
      </c>
      <c r="JR83">
        <v>700</v>
      </c>
      <c r="JS83">
        <v>22.473800000000001</v>
      </c>
      <c r="JT83">
        <v>99.163700000000006</v>
      </c>
      <c r="JU83">
        <v>97.954499999999996</v>
      </c>
    </row>
    <row r="84" spans="1:281" x14ac:dyDescent="0.25">
      <c r="A84">
        <v>68</v>
      </c>
      <c r="B84">
        <v>1693508374.5999999</v>
      </c>
      <c r="C84">
        <v>13448</v>
      </c>
      <c r="D84" t="s">
        <v>761</v>
      </c>
      <c r="E84" t="s">
        <v>762</v>
      </c>
      <c r="F84" t="s">
        <v>413</v>
      </c>
      <c r="G84" t="s">
        <v>414</v>
      </c>
      <c r="H84" t="s">
        <v>707</v>
      </c>
      <c r="I84" t="s">
        <v>31</v>
      </c>
      <c r="J84">
        <v>1693508374.5999999</v>
      </c>
      <c r="K84">
        <f t="shared" si="92"/>
        <v>5.1363743086415272E-3</v>
      </c>
      <c r="L84">
        <f t="shared" si="93"/>
        <v>5.1363743086415274</v>
      </c>
      <c r="M84">
        <f t="shared" si="94"/>
        <v>49.798436499121514</v>
      </c>
      <c r="N84">
        <f t="shared" si="95"/>
        <v>835.12599999999998</v>
      </c>
      <c r="O84">
        <f t="shared" si="96"/>
        <v>591.586699147731</v>
      </c>
      <c r="P84">
        <f t="shared" si="97"/>
        <v>58.974462239979175</v>
      </c>
      <c r="Q84">
        <f t="shared" si="98"/>
        <v>83.252559301245995</v>
      </c>
      <c r="R84">
        <f t="shared" si="99"/>
        <v>0.37248599810191824</v>
      </c>
      <c r="S84">
        <f t="shared" si="100"/>
        <v>2.9152809881406756</v>
      </c>
      <c r="T84">
        <f t="shared" si="101"/>
        <v>0.34792200656915945</v>
      </c>
      <c r="U84">
        <f t="shared" si="102"/>
        <v>0.21952309766385253</v>
      </c>
      <c r="V84">
        <f t="shared" si="103"/>
        <v>344.38519964451581</v>
      </c>
      <c r="W84">
        <f t="shared" si="104"/>
        <v>31.158692603535684</v>
      </c>
      <c r="X84">
        <f t="shared" si="105"/>
        <v>30.031600000000001</v>
      </c>
      <c r="Y84">
        <f t="shared" si="106"/>
        <v>4.2681889404515543</v>
      </c>
      <c r="Z84">
        <f t="shared" si="107"/>
        <v>65.12271628230279</v>
      </c>
      <c r="AA84">
        <f t="shared" si="108"/>
        <v>2.8490210372831997</v>
      </c>
      <c r="AB84">
        <f t="shared" si="109"/>
        <v>4.3748498218853111</v>
      </c>
      <c r="AC84">
        <f t="shared" si="110"/>
        <v>1.4191679031683546</v>
      </c>
      <c r="AD84">
        <f t="shared" si="111"/>
        <v>-226.51410701109134</v>
      </c>
      <c r="AE84">
        <f t="shared" si="112"/>
        <v>67.661094626351343</v>
      </c>
      <c r="AF84">
        <f t="shared" si="113"/>
        <v>5.1731958518753949</v>
      </c>
      <c r="AG84">
        <f t="shared" si="114"/>
        <v>190.7053831116512</v>
      </c>
      <c r="AH84">
        <v>0</v>
      </c>
      <c r="AI84">
        <v>0</v>
      </c>
      <c r="AJ84">
        <f t="shared" si="115"/>
        <v>1</v>
      </c>
      <c r="AK84">
        <f t="shared" si="116"/>
        <v>0</v>
      </c>
      <c r="AL84">
        <f t="shared" si="117"/>
        <v>51858.288165634054</v>
      </c>
      <c r="AM84" t="s">
        <v>416</v>
      </c>
      <c r="AN84">
        <v>10366.9</v>
      </c>
      <c r="AO84">
        <v>993.59653846153856</v>
      </c>
      <c r="AP84">
        <v>3431.87</v>
      </c>
      <c r="AQ84">
        <f t="shared" si="118"/>
        <v>0.71047955241266758</v>
      </c>
      <c r="AR84">
        <v>-3.9894345373445681</v>
      </c>
      <c r="AS84" t="s">
        <v>763</v>
      </c>
      <c r="AT84">
        <v>10416.299999999999</v>
      </c>
      <c r="AU84">
        <v>802.53252000000009</v>
      </c>
      <c r="AV84">
        <v>1212.6169696503989</v>
      </c>
      <c r="AW84">
        <f t="shared" si="119"/>
        <v>0.33818135480045886</v>
      </c>
      <c r="AX84">
        <v>0.5</v>
      </c>
      <c r="AY84">
        <f t="shared" si="120"/>
        <v>1513.2521998222578</v>
      </c>
      <c r="AZ84">
        <f t="shared" si="121"/>
        <v>49.798436499121514</v>
      </c>
      <c r="BA84">
        <f t="shared" si="122"/>
        <v>255.87683954533293</v>
      </c>
      <c r="BB84">
        <f t="shared" si="123"/>
        <v>3.5544551689919136E-2</v>
      </c>
      <c r="BC84">
        <f t="shared" si="124"/>
        <v>1.8301352248017924</v>
      </c>
      <c r="BD84">
        <f t="shared" si="125"/>
        <v>649.46826452524238</v>
      </c>
      <c r="BE84" t="s">
        <v>764</v>
      </c>
      <c r="BF84">
        <v>605.47</v>
      </c>
      <c r="BG84">
        <f t="shared" si="126"/>
        <v>605.47</v>
      </c>
      <c r="BH84">
        <f t="shared" si="127"/>
        <v>0.5006914671707432</v>
      </c>
      <c r="BI84">
        <f t="shared" si="128"/>
        <v>0.67542863614476978</v>
      </c>
      <c r="BJ84">
        <f t="shared" si="129"/>
        <v>0.78518717462128551</v>
      </c>
      <c r="BK84">
        <f t="shared" si="130"/>
        <v>1.8723570555697828</v>
      </c>
      <c r="BL84">
        <f t="shared" si="131"/>
        <v>0.91017396750458557</v>
      </c>
      <c r="BM84">
        <f t="shared" si="132"/>
        <v>0.50957657930992473</v>
      </c>
      <c r="BN84">
        <f t="shared" si="133"/>
        <v>0.49042342069007527</v>
      </c>
      <c r="BO84">
        <v>2283</v>
      </c>
      <c r="BP84">
        <v>290.00000000000011</v>
      </c>
      <c r="BQ84">
        <v>1101.97</v>
      </c>
      <c r="BR84">
        <v>115</v>
      </c>
      <c r="BS84">
        <v>10416.299999999999</v>
      </c>
      <c r="BT84">
        <v>1098.95</v>
      </c>
      <c r="BU84">
        <v>3.02</v>
      </c>
      <c r="BV84">
        <v>300.00000000000011</v>
      </c>
      <c r="BW84">
        <v>38.4</v>
      </c>
      <c r="BX84">
        <v>1212.6169696503989</v>
      </c>
      <c r="BY84">
        <v>1.428889882741883</v>
      </c>
      <c r="BZ84">
        <v>-118.401273864476</v>
      </c>
      <c r="CA84">
        <v>1.2162439004638721</v>
      </c>
      <c r="CB84">
        <v>0.99705418551744385</v>
      </c>
      <c r="CC84">
        <v>-1.131692880978866E-2</v>
      </c>
      <c r="CD84">
        <v>289.99999999999989</v>
      </c>
      <c r="CE84">
        <v>1087.23</v>
      </c>
      <c r="CF84">
        <v>655</v>
      </c>
      <c r="CG84">
        <v>10379.9</v>
      </c>
      <c r="CH84">
        <v>1098.55</v>
      </c>
      <c r="CI84">
        <v>-11.32</v>
      </c>
      <c r="CW84">
        <f t="shared" si="134"/>
        <v>1800.08</v>
      </c>
      <c r="CX84">
        <f t="shared" si="135"/>
        <v>1513.2521998222578</v>
      </c>
      <c r="CY84">
        <f t="shared" si="136"/>
        <v>0.84065830397663321</v>
      </c>
      <c r="CZ84">
        <f t="shared" si="137"/>
        <v>0.19131660795326644</v>
      </c>
      <c r="DA84">
        <v>6</v>
      </c>
      <c r="DB84">
        <v>0.5</v>
      </c>
      <c r="DC84" t="s">
        <v>419</v>
      </c>
      <c r="DD84">
        <v>2</v>
      </c>
      <c r="DE84">
        <v>1693508374.5999999</v>
      </c>
      <c r="DF84">
        <v>835.12599999999998</v>
      </c>
      <c r="DG84">
        <v>900.03700000000003</v>
      </c>
      <c r="DH84">
        <v>28.5792</v>
      </c>
      <c r="DI84">
        <v>22.591200000000001</v>
      </c>
      <c r="DJ84">
        <v>832.22199999999998</v>
      </c>
      <c r="DK84">
        <v>27.741199999999999</v>
      </c>
      <c r="DL84">
        <v>499.95800000000003</v>
      </c>
      <c r="DM84">
        <v>99.587199999999996</v>
      </c>
      <c r="DN84">
        <v>0.101421</v>
      </c>
      <c r="DO84">
        <v>30.4621</v>
      </c>
      <c r="DP84">
        <v>30.031600000000001</v>
      </c>
      <c r="DQ84">
        <v>999.9</v>
      </c>
      <c r="DR84">
        <v>0</v>
      </c>
      <c r="DS84">
        <v>0</v>
      </c>
      <c r="DT84">
        <v>9960</v>
      </c>
      <c r="DU84">
        <v>0</v>
      </c>
      <c r="DV84">
        <v>1196.3399999999999</v>
      </c>
      <c r="DW84">
        <v>-64.910700000000006</v>
      </c>
      <c r="DX84">
        <v>859.69600000000003</v>
      </c>
      <c r="DY84">
        <v>920.84</v>
      </c>
      <c r="DZ84">
        <v>5.9879600000000002</v>
      </c>
      <c r="EA84">
        <v>900.03700000000003</v>
      </c>
      <c r="EB84">
        <v>22.591200000000001</v>
      </c>
      <c r="EC84">
        <v>2.84612</v>
      </c>
      <c r="ED84">
        <v>2.24979</v>
      </c>
      <c r="EE84">
        <v>23.154</v>
      </c>
      <c r="EF84">
        <v>19.321400000000001</v>
      </c>
      <c r="EG84">
        <v>1800.08</v>
      </c>
      <c r="EH84">
        <v>0.97799700000000001</v>
      </c>
      <c r="EI84">
        <v>2.20027E-2</v>
      </c>
      <c r="EJ84">
        <v>0</v>
      </c>
      <c r="EK84">
        <v>801.899</v>
      </c>
      <c r="EL84">
        <v>5.0002700000000004</v>
      </c>
      <c r="EM84">
        <v>15098.3</v>
      </c>
      <c r="EN84">
        <v>16249.3</v>
      </c>
      <c r="EO84">
        <v>47.186999999999998</v>
      </c>
      <c r="EP84">
        <v>48.75</v>
      </c>
      <c r="EQ84">
        <v>48.25</v>
      </c>
      <c r="ER84">
        <v>47.75</v>
      </c>
      <c r="ES84">
        <v>48.875</v>
      </c>
      <c r="ET84">
        <v>1755.58</v>
      </c>
      <c r="EU84">
        <v>39.5</v>
      </c>
      <c r="EV84">
        <v>0</v>
      </c>
      <c r="EW84">
        <v>125.6000001430511</v>
      </c>
      <c r="EX84">
        <v>0</v>
      </c>
      <c r="EY84">
        <v>802.53252000000009</v>
      </c>
      <c r="EZ84">
        <v>-2.0710769176178281</v>
      </c>
      <c r="FA84">
        <v>121.58461527949331</v>
      </c>
      <c r="FB84">
        <v>15129.031999999999</v>
      </c>
      <c r="FC84">
        <v>15</v>
      </c>
      <c r="FD84">
        <v>1693508341.5999999</v>
      </c>
      <c r="FE84" t="s">
        <v>765</v>
      </c>
      <c r="FF84">
        <v>1693508336.5999999</v>
      </c>
      <c r="FG84">
        <v>1693508341.5999999</v>
      </c>
      <c r="FH84">
        <v>75</v>
      </c>
      <c r="FI84">
        <v>0.29399999999999998</v>
      </c>
      <c r="FJ84">
        <v>8.0000000000000002E-3</v>
      </c>
      <c r="FK84">
        <v>2.8660000000000001</v>
      </c>
      <c r="FL84">
        <v>0.49299999999999999</v>
      </c>
      <c r="FM84">
        <v>900</v>
      </c>
      <c r="FN84">
        <v>22</v>
      </c>
      <c r="FO84">
        <v>0.16</v>
      </c>
      <c r="FP84">
        <v>0.05</v>
      </c>
      <c r="FQ84">
        <v>49.856251101219527</v>
      </c>
      <c r="FR84">
        <v>-0.52930160951287653</v>
      </c>
      <c r="FS84">
        <v>0.1220778106490641</v>
      </c>
      <c r="FT84">
        <v>1</v>
      </c>
      <c r="FU84">
        <v>0.37889374755955729</v>
      </c>
      <c r="FV84">
        <v>-1.9565726330862319E-2</v>
      </c>
      <c r="FW84">
        <v>2.0836963870722231E-3</v>
      </c>
      <c r="FX84">
        <v>1</v>
      </c>
      <c r="FY84">
        <v>2</v>
      </c>
      <c r="FZ84">
        <v>2</v>
      </c>
      <c r="GA84" t="s">
        <v>421</v>
      </c>
      <c r="GB84">
        <v>3.1179700000000001</v>
      </c>
      <c r="GC84">
        <v>2.8662299999999998</v>
      </c>
      <c r="GD84">
        <v>0.15673300000000001</v>
      </c>
      <c r="GE84">
        <v>0.16888900000000001</v>
      </c>
      <c r="GF84">
        <v>0.128883</v>
      </c>
      <c r="GG84">
        <v>0.114328</v>
      </c>
      <c r="GH84">
        <v>25431.3</v>
      </c>
      <c r="GI84">
        <v>19450</v>
      </c>
      <c r="GJ84">
        <v>29083.5</v>
      </c>
      <c r="GK84">
        <v>21816.9</v>
      </c>
      <c r="GL84">
        <v>33955.300000000003</v>
      </c>
      <c r="GM84">
        <v>26602.2</v>
      </c>
      <c r="GN84">
        <v>40360.699999999997</v>
      </c>
      <c r="GO84">
        <v>31008.6</v>
      </c>
      <c r="GP84">
        <v>2.0087999999999999</v>
      </c>
      <c r="GQ84">
        <v>1.8661000000000001</v>
      </c>
      <c r="GR84">
        <v>6.0468899999999999E-2</v>
      </c>
      <c r="GS84">
        <v>0</v>
      </c>
      <c r="GT84">
        <v>29.046800000000001</v>
      </c>
      <c r="GU84">
        <v>999.9</v>
      </c>
      <c r="GV84">
        <v>63.3</v>
      </c>
      <c r="GW84">
        <v>30.8</v>
      </c>
      <c r="GX84">
        <v>28.349399999999999</v>
      </c>
      <c r="GY84">
        <v>61.7121</v>
      </c>
      <c r="GZ84">
        <v>11.834899999999999</v>
      </c>
      <c r="HA84">
        <v>1</v>
      </c>
      <c r="HB84">
        <v>0.374421</v>
      </c>
      <c r="HC84">
        <v>1.9362299999999999</v>
      </c>
      <c r="HD84">
        <v>20.324300000000001</v>
      </c>
      <c r="HE84">
        <v>5.23346</v>
      </c>
      <c r="HF84">
        <v>11.974600000000001</v>
      </c>
      <c r="HG84">
        <v>4.9752000000000001</v>
      </c>
      <c r="HH84">
        <v>3.2837000000000001</v>
      </c>
      <c r="HI84">
        <v>9999</v>
      </c>
      <c r="HJ84">
        <v>9999</v>
      </c>
      <c r="HK84">
        <v>9999</v>
      </c>
      <c r="HL84">
        <v>999.9</v>
      </c>
      <c r="HM84">
        <v>1.86053</v>
      </c>
      <c r="HN84">
        <v>1.8622000000000001</v>
      </c>
      <c r="HO84">
        <v>1.86768</v>
      </c>
      <c r="HP84">
        <v>1.85822</v>
      </c>
      <c r="HQ84">
        <v>1.85667</v>
      </c>
      <c r="HR84">
        <v>1.86033</v>
      </c>
      <c r="HS84">
        <v>1.8642000000000001</v>
      </c>
      <c r="HT84">
        <v>1.8663000000000001</v>
      </c>
      <c r="HU84">
        <v>5</v>
      </c>
      <c r="HV84">
        <v>0</v>
      </c>
      <c r="HW84">
        <v>0</v>
      </c>
      <c r="HX84">
        <v>0</v>
      </c>
      <c r="HY84" t="s">
        <v>422</v>
      </c>
      <c r="HZ84" t="s">
        <v>423</v>
      </c>
      <c r="IA84" t="s">
        <v>424</v>
      </c>
      <c r="IB84" t="s">
        <v>424</v>
      </c>
      <c r="IC84" t="s">
        <v>424</v>
      </c>
      <c r="ID84" t="s">
        <v>424</v>
      </c>
      <c r="IE84">
        <v>0</v>
      </c>
      <c r="IF84">
        <v>100</v>
      </c>
      <c r="IG84">
        <v>100</v>
      </c>
      <c r="IH84">
        <v>2.9039999999999999</v>
      </c>
      <c r="II84">
        <v>0.83799999999999997</v>
      </c>
      <c r="IJ84">
        <v>2.8311291673628349</v>
      </c>
      <c r="IK84">
        <v>1.118558698776514E-3</v>
      </c>
      <c r="IL84">
        <v>-1.6939696309573479E-6</v>
      </c>
      <c r="IM84">
        <v>5.4698917449866148E-10</v>
      </c>
      <c r="IN84">
        <v>-5.2479488805863173E-2</v>
      </c>
      <c r="IO84">
        <v>-7.6058941998734366E-3</v>
      </c>
      <c r="IP84">
        <v>1.6984902717538061E-3</v>
      </c>
      <c r="IQ84">
        <v>-9.6352527008986976E-6</v>
      </c>
      <c r="IR84">
        <v>2</v>
      </c>
      <c r="IS84">
        <v>2021</v>
      </c>
      <c r="IT84">
        <v>2</v>
      </c>
      <c r="IU84">
        <v>40</v>
      </c>
      <c r="IV84">
        <v>0.6</v>
      </c>
      <c r="IW84">
        <v>0.6</v>
      </c>
      <c r="IX84">
        <v>1.9836400000000001</v>
      </c>
      <c r="IY84">
        <v>2.4841299999999999</v>
      </c>
      <c r="IZ84">
        <v>1.34399</v>
      </c>
      <c r="JA84">
        <v>2.2485400000000002</v>
      </c>
      <c r="JB84">
        <v>1.5918000000000001</v>
      </c>
      <c r="JC84">
        <v>2.3962400000000001</v>
      </c>
      <c r="JD84">
        <v>35.405900000000003</v>
      </c>
      <c r="JE84">
        <v>15.970800000000001</v>
      </c>
      <c r="JF84">
        <v>18</v>
      </c>
      <c r="JG84">
        <v>517.57399999999996</v>
      </c>
      <c r="JH84">
        <v>462.12</v>
      </c>
      <c r="JI84">
        <v>26.835100000000001</v>
      </c>
      <c r="JJ84">
        <v>32.248100000000001</v>
      </c>
      <c r="JK84">
        <v>29.9999</v>
      </c>
      <c r="JL84">
        <v>32.113399999999999</v>
      </c>
      <c r="JM84">
        <v>32.055300000000003</v>
      </c>
      <c r="JN84">
        <v>39.766800000000003</v>
      </c>
      <c r="JO84">
        <v>29.9695</v>
      </c>
      <c r="JP84">
        <v>99.629900000000006</v>
      </c>
      <c r="JQ84">
        <v>26.826699999999999</v>
      </c>
      <c r="JR84">
        <v>900</v>
      </c>
      <c r="JS84">
        <v>22.6252</v>
      </c>
      <c r="JT84">
        <v>99.159800000000004</v>
      </c>
      <c r="JU84">
        <v>97.956000000000003</v>
      </c>
    </row>
    <row r="85" spans="1:281" x14ac:dyDescent="0.25">
      <c r="A85">
        <v>69</v>
      </c>
      <c r="B85">
        <v>1693508485.5999999</v>
      </c>
      <c r="C85">
        <v>13559</v>
      </c>
      <c r="D85" t="s">
        <v>766</v>
      </c>
      <c r="E85" t="s">
        <v>767</v>
      </c>
      <c r="F85" t="s">
        <v>413</v>
      </c>
      <c r="G85" t="s">
        <v>414</v>
      </c>
      <c r="H85" t="s">
        <v>707</v>
      </c>
      <c r="I85" t="s">
        <v>31</v>
      </c>
      <c r="J85">
        <v>1693508485.5999999</v>
      </c>
      <c r="K85">
        <f t="shared" si="92"/>
        <v>5.0536284678654496E-3</v>
      </c>
      <c r="L85">
        <f t="shared" si="93"/>
        <v>5.0536284678654493</v>
      </c>
      <c r="M85">
        <f t="shared" si="94"/>
        <v>48.290819758763497</v>
      </c>
      <c r="N85">
        <f t="shared" si="95"/>
        <v>1134.82</v>
      </c>
      <c r="O85">
        <f t="shared" si="96"/>
        <v>888.01015855219055</v>
      </c>
      <c r="P85">
        <f t="shared" si="97"/>
        <v>88.516921425269658</v>
      </c>
      <c r="Q85">
        <f t="shared" si="98"/>
        <v>113.11894554855</v>
      </c>
      <c r="R85">
        <f t="shared" si="99"/>
        <v>0.36667589747361068</v>
      </c>
      <c r="S85">
        <f t="shared" si="100"/>
        <v>2.9344247996836357</v>
      </c>
      <c r="T85">
        <f t="shared" si="101"/>
        <v>0.34299064047085798</v>
      </c>
      <c r="U85">
        <f t="shared" si="102"/>
        <v>0.21636955594217674</v>
      </c>
      <c r="V85">
        <f t="shared" si="103"/>
        <v>344.373799644504</v>
      </c>
      <c r="W85">
        <f t="shared" si="104"/>
        <v>31.089880134323224</v>
      </c>
      <c r="X85">
        <f t="shared" si="105"/>
        <v>29.983899999999998</v>
      </c>
      <c r="Y85">
        <f t="shared" si="106"/>
        <v>4.2565114201725756</v>
      </c>
      <c r="Z85">
        <f t="shared" si="107"/>
        <v>65.239390613283064</v>
      </c>
      <c r="AA85">
        <f t="shared" si="108"/>
        <v>2.8401047041455003</v>
      </c>
      <c r="AB85">
        <f t="shared" si="109"/>
        <v>4.3533587261424245</v>
      </c>
      <c r="AC85">
        <f t="shared" si="110"/>
        <v>1.4164067160270752</v>
      </c>
      <c r="AD85">
        <f t="shared" si="111"/>
        <v>-222.86501543286633</v>
      </c>
      <c r="AE85">
        <f t="shared" si="112"/>
        <v>62.046318383773823</v>
      </c>
      <c r="AF85">
        <f t="shared" si="113"/>
        <v>4.7098390704833957</v>
      </c>
      <c r="AG85">
        <f t="shared" si="114"/>
        <v>188.26494166589487</v>
      </c>
      <c r="AH85">
        <v>0</v>
      </c>
      <c r="AI85">
        <v>0</v>
      </c>
      <c r="AJ85">
        <f t="shared" si="115"/>
        <v>1</v>
      </c>
      <c r="AK85">
        <f t="shared" si="116"/>
        <v>0</v>
      </c>
      <c r="AL85">
        <f t="shared" si="117"/>
        <v>52418.92739516891</v>
      </c>
      <c r="AM85" t="s">
        <v>416</v>
      </c>
      <c r="AN85">
        <v>10366.9</v>
      </c>
      <c r="AO85">
        <v>993.59653846153856</v>
      </c>
      <c r="AP85">
        <v>3431.87</v>
      </c>
      <c r="AQ85">
        <f t="shared" si="118"/>
        <v>0.71047955241266758</v>
      </c>
      <c r="AR85">
        <v>-3.9894345373445681</v>
      </c>
      <c r="AS85" t="s">
        <v>768</v>
      </c>
      <c r="AT85">
        <v>10412</v>
      </c>
      <c r="AU85">
        <v>799.66073076923078</v>
      </c>
      <c r="AV85">
        <v>1211.938581419615</v>
      </c>
      <c r="AW85">
        <f t="shared" si="119"/>
        <v>0.34018048189163097</v>
      </c>
      <c r="AX85">
        <v>0.5</v>
      </c>
      <c r="AY85">
        <f t="shared" si="120"/>
        <v>1513.2017998222518</v>
      </c>
      <c r="AZ85">
        <f t="shared" si="121"/>
        <v>48.290819758763497</v>
      </c>
      <c r="BA85">
        <f t="shared" si="122"/>
        <v>257.38085873140847</v>
      </c>
      <c r="BB85">
        <f t="shared" si="123"/>
        <v>3.4549426456041199E-2</v>
      </c>
      <c r="BC85">
        <f t="shared" si="124"/>
        <v>1.8317194060940354</v>
      </c>
      <c r="BD85">
        <f t="shared" si="125"/>
        <v>649.27361213578433</v>
      </c>
      <c r="BE85" t="s">
        <v>769</v>
      </c>
      <c r="BF85">
        <v>605.04</v>
      </c>
      <c r="BG85">
        <f t="shared" si="126"/>
        <v>605.04</v>
      </c>
      <c r="BH85">
        <f t="shared" si="127"/>
        <v>0.50076678036664113</v>
      </c>
      <c r="BI85">
        <f t="shared" si="128"/>
        <v>0.67931918655339829</v>
      </c>
      <c r="BJ85">
        <f t="shared" si="129"/>
        <v>0.78530771874516159</v>
      </c>
      <c r="BK85">
        <f t="shared" si="130"/>
        <v>1.8882201753949197</v>
      </c>
      <c r="BL85">
        <f t="shared" si="131"/>
        <v>0.9104521923392831</v>
      </c>
      <c r="BM85">
        <f t="shared" si="132"/>
        <v>0.51398707579012082</v>
      </c>
      <c r="BN85">
        <f t="shared" si="133"/>
        <v>0.48601292420987918</v>
      </c>
      <c r="BO85">
        <v>2285</v>
      </c>
      <c r="BP85">
        <v>290.00000000000011</v>
      </c>
      <c r="BQ85">
        <v>1100.1199999999999</v>
      </c>
      <c r="BR85">
        <v>135</v>
      </c>
      <c r="BS85">
        <v>10412</v>
      </c>
      <c r="BT85">
        <v>1097.58</v>
      </c>
      <c r="BU85">
        <v>2.54</v>
      </c>
      <c r="BV85">
        <v>300.00000000000011</v>
      </c>
      <c r="BW85">
        <v>38.4</v>
      </c>
      <c r="BX85">
        <v>1211.938581419615</v>
      </c>
      <c r="BY85">
        <v>0.98496602010689749</v>
      </c>
      <c r="BZ85">
        <v>-119.07222498792559</v>
      </c>
      <c r="CA85">
        <v>0.8383636005212588</v>
      </c>
      <c r="CB85">
        <v>0.99861388417526564</v>
      </c>
      <c r="CC85">
        <v>-1.131663448275862E-2</v>
      </c>
      <c r="CD85">
        <v>289.99999999999989</v>
      </c>
      <c r="CE85">
        <v>1085.81</v>
      </c>
      <c r="CF85">
        <v>675</v>
      </c>
      <c r="CG85">
        <v>10377.9</v>
      </c>
      <c r="CH85">
        <v>1097.2</v>
      </c>
      <c r="CI85">
        <v>-11.39</v>
      </c>
      <c r="CW85">
        <f t="shared" si="134"/>
        <v>1800.02</v>
      </c>
      <c r="CX85">
        <f t="shared" si="135"/>
        <v>1513.2017998222518</v>
      </c>
      <c r="CY85">
        <f t="shared" si="136"/>
        <v>0.8406583259198519</v>
      </c>
      <c r="CZ85">
        <f t="shared" si="137"/>
        <v>0.19131665183970401</v>
      </c>
      <c r="DA85">
        <v>6</v>
      </c>
      <c r="DB85">
        <v>0.5</v>
      </c>
      <c r="DC85" t="s">
        <v>419</v>
      </c>
      <c r="DD85">
        <v>2</v>
      </c>
      <c r="DE85">
        <v>1693508485.5999999</v>
      </c>
      <c r="DF85">
        <v>1134.82</v>
      </c>
      <c r="DG85">
        <v>1199.67</v>
      </c>
      <c r="DH85">
        <v>28.4922</v>
      </c>
      <c r="DI85">
        <v>22.5989</v>
      </c>
      <c r="DJ85">
        <v>1131.8399999999999</v>
      </c>
      <c r="DK85">
        <v>27.660900000000002</v>
      </c>
      <c r="DL85">
        <v>499.85300000000001</v>
      </c>
      <c r="DM85">
        <v>99.581100000000006</v>
      </c>
      <c r="DN85">
        <v>9.8977499999999996E-2</v>
      </c>
      <c r="DO85">
        <v>30.376100000000001</v>
      </c>
      <c r="DP85">
        <v>29.983899999999998</v>
      </c>
      <c r="DQ85">
        <v>999.9</v>
      </c>
      <c r="DR85">
        <v>0</v>
      </c>
      <c r="DS85">
        <v>0</v>
      </c>
      <c r="DT85">
        <v>10070</v>
      </c>
      <c r="DU85">
        <v>0</v>
      </c>
      <c r="DV85">
        <v>1191.5899999999999</v>
      </c>
      <c r="DW85">
        <v>-64.841999999999999</v>
      </c>
      <c r="DX85">
        <v>1168.1099999999999</v>
      </c>
      <c r="DY85">
        <v>1227.4000000000001</v>
      </c>
      <c r="DZ85">
        <v>5.8933299999999997</v>
      </c>
      <c r="EA85">
        <v>1199.67</v>
      </c>
      <c r="EB85">
        <v>22.5989</v>
      </c>
      <c r="EC85">
        <v>2.8372899999999999</v>
      </c>
      <c r="ED85">
        <v>2.2504200000000001</v>
      </c>
      <c r="EE85">
        <v>23.102699999999999</v>
      </c>
      <c r="EF85">
        <v>19.325900000000001</v>
      </c>
      <c r="EG85">
        <v>1800.02</v>
      </c>
      <c r="EH85">
        <v>0.97799700000000001</v>
      </c>
      <c r="EI85">
        <v>2.20027E-2</v>
      </c>
      <c r="EJ85">
        <v>0</v>
      </c>
      <c r="EK85">
        <v>799.36800000000005</v>
      </c>
      <c r="EL85">
        <v>5.0002700000000004</v>
      </c>
      <c r="EM85">
        <v>15081.5</v>
      </c>
      <c r="EN85">
        <v>16248.8</v>
      </c>
      <c r="EO85">
        <v>47.125</v>
      </c>
      <c r="EP85">
        <v>48.625</v>
      </c>
      <c r="EQ85">
        <v>48.125</v>
      </c>
      <c r="ER85">
        <v>47.686999999999998</v>
      </c>
      <c r="ES85">
        <v>48.811999999999998</v>
      </c>
      <c r="ET85">
        <v>1755.52</v>
      </c>
      <c r="EU85">
        <v>39.5</v>
      </c>
      <c r="EV85">
        <v>0</v>
      </c>
      <c r="EW85">
        <v>108.7999999523163</v>
      </c>
      <c r="EX85">
        <v>0</v>
      </c>
      <c r="EY85">
        <v>799.66073076923078</v>
      </c>
      <c r="EZ85">
        <v>-1.6072820470588829</v>
      </c>
      <c r="FA85">
        <v>-13.77435892115181</v>
      </c>
      <c r="FB85">
        <v>15080.41923076923</v>
      </c>
      <c r="FC85">
        <v>15</v>
      </c>
      <c r="FD85">
        <v>1693508454.0999999</v>
      </c>
      <c r="FE85" t="s">
        <v>770</v>
      </c>
      <c r="FF85">
        <v>1693508442.0999999</v>
      </c>
      <c r="FG85">
        <v>1693508454.0999999</v>
      </c>
      <c r="FH85">
        <v>76</v>
      </c>
      <c r="FI85">
        <v>0.26100000000000001</v>
      </c>
      <c r="FJ85">
        <v>-1E-3</v>
      </c>
      <c r="FK85">
        <v>2.9430000000000001</v>
      </c>
      <c r="FL85">
        <v>0.501</v>
      </c>
      <c r="FM85">
        <v>1200</v>
      </c>
      <c r="FN85">
        <v>23</v>
      </c>
      <c r="FO85">
        <v>0.21</v>
      </c>
      <c r="FP85">
        <v>0.04</v>
      </c>
      <c r="FQ85">
        <v>48.697283200082943</v>
      </c>
      <c r="FR85">
        <v>-0.29814573298411717</v>
      </c>
      <c r="FS85">
        <v>9.7792405811960886E-2</v>
      </c>
      <c r="FT85">
        <v>1</v>
      </c>
      <c r="FU85">
        <v>0.37026766833242869</v>
      </c>
      <c r="FV85">
        <v>-3.9426955708028961E-2</v>
      </c>
      <c r="FW85">
        <v>3.6351639437520538E-3</v>
      </c>
      <c r="FX85">
        <v>1</v>
      </c>
      <c r="FY85">
        <v>2</v>
      </c>
      <c r="FZ85">
        <v>2</v>
      </c>
      <c r="GA85" t="s">
        <v>421</v>
      </c>
      <c r="GB85">
        <v>3.1178499999999998</v>
      </c>
      <c r="GC85">
        <v>2.8647399999999998</v>
      </c>
      <c r="GD85">
        <v>0.19155800000000001</v>
      </c>
      <c r="GE85">
        <v>0.20306099999999999</v>
      </c>
      <c r="GF85">
        <v>0.12861600000000001</v>
      </c>
      <c r="GG85">
        <v>0.11434900000000001</v>
      </c>
      <c r="GH85">
        <v>24381.200000000001</v>
      </c>
      <c r="GI85">
        <v>18651.099999999999</v>
      </c>
      <c r="GJ85">
        <v>29084.400000000001</v>
      </c>
      <c r="GK85">
        <v>21818.6</v>
      </c>
      <c r="GL85">
        <v>33970.6</v>
      </c>
      <c r="GM85">
        <v>26606.3</v>
      </c>
      <c r="GN85">
        <v>40362.1</v>
      </c>
      <c r="GO85">
        <v>31011.1</v>
      </c>
      <c r="GP85">
        <v>2.0085999999999999</v>
      </c>
      <c r="GQ85">
        <v>1.8662000000000001</v>
      </c>
      <c r="GR85">
        <v>6.2793500000000002E-2</v>
      </c>
      <c r="GS85">
        <v>0</v>
      </c>
      <c r="GT85">
        <v>28.961200000000002</v>
      </c>
      <c r="GU85">
        <v>999.9</v>
      </c>
      <c r="GV85">
        <v>63.3</v>
      </c>
      <c r="GW85">
        <v>30.8</v>
      </c>
      <c r="GX85">
        <v>28.351600000000001</v>
      </c>
      <c r="GY85">
        <v>61.142099999999999</v>
      </c>
      <c r="GZ85">
        <v>11.334099999999999</v>
      </c>
      <c r="HA85">
        <v>1</v>
      </c>
      <c r="HB85">
        <v>0.37201200000000001</v>
      </c>
      <c r="HC85">
        <v>1.6623000000000001</v>
      </c>
      <c r="HD85">
        <v>20.327200000000001</v>
      </c>
      <c r="HE85">
        <v>5.2286700000000002</v>
      </c>
      <c r="HF85">
        <v>11.974</v>
      </c>
      <c r="HG85">
        <v>4.9741999999999997</v>
      </c>
      <c r="HH85">
        <v>3.2831000000000001</v>
      </c>
      <c r="HI85">
        <v>9999</v>
      </c>
      <c r="HJ85">
        <v>9999</v>
      </c>
      <c r="HK85">
        <v>9999</v>
      </c>
      <c r="HL85">
        <v>999.9</v>
      </c>
      <c r="HM85">
        <v>1.86053</v>
      </c>
      <c r="HN85">
        <v>1.8621799999999999</v>
      </c>
      <c r="HO85">
        <v>1.86768</v>
      </c>
      <c r="HP85">
        <v>1.85819</v>
      </c>
      <c r="HQ85">
        <v>1.8566400000000001</v>
      </c>
      <c r="HR85">
        <v>1.8603499999999999</v>
      </c>
      <c r="HS85">
        <v>1.8642300000000001</v>
      </c>
      <c r="HT85">
        <v>1.8663000000000001</v>
      </c>
      <c r="HU85">
        <v>5</v>
      </c>
      <c r="HV85">
        <v>0</v>
      </c>
      <c r="HW85">
        <v>0</v>
      </c>
      <c r="HX85">
        <v>0</v>
      </c>
      <c r="HY85" t="s">
        <v>422</v>
      </c>
      <c r="HZ85" t="s">
        <v>423</v>
      </c>
      <c r="IA85" t="s">
        <v>424</v>
      </c>
      <c r="IB85" t="s">
        <v>424</v>
      </c>
      <c r="IC85" t="s">
        <v>424</v>
      </c>
      <c r="ID85" t="s">
        <v>424</v>
      </c>
      <c r="IE85">
        <v>0</v>
      </c>
      <c r="IF85">
        <v>100</v>
      </c>
      <c r="IG85">
        <v>100</v>
      </c>
      <c r="IH85">
        <v>2.98</v>
      </c>
      <c r="II85">
        <v>0.83130000000000004</v>
      </c>
      <c r="IJ85">
        <v>3.0927563426676992</v>
      </c>
      <c r="IK85">
        <v>1.118558698776514E-3</v>
      </c>
      <c r="IL85">
        <v>-1.6939696309573479E-6</v>
      </c>
      <c r="IM85">
        <v>5.4698917449866148E-10</v>
      </c>
      <c r="IN85">
        <v>-5.392596441628672E-2</v>
      </c>
      <c r="IO85">
        <v>-7.6058941998734366E-3</v>
      </c>
      <c r="IP85">
        <v>1.6984902717538061E-3</v>
      </c>
      <c r="IQ85">
        <v>-9.6352527008986976E-6</v>
      </c>
      <c r="IR85">
        <v>2</v>
      </c>
      <c r="IS85">
        <v>2021</v>
      </c>
      <c r="IT85">
        <v>2</v>
      </c>
      <c r="IU85">
        <v>40</v>
      </c>
      <c r="IV85">
        <v>0.7</v>
      </c>
      <c r="IW85">
        <v>0.5</v>
      </c>
      <c r="IX85">
        <v>2.5146500000000001</v>
      </c>
      <c r="IY85">
        <v>2.47681</v>
      </c>
      <c r="IZ85">
        <v>1.34399</v>
      </c>
      <c r="JA85">
        <v>2.2497600000000002</v>
      </c>
      <c r="JB85">
        <v>1.5918000000000001</v>
      </c>
      <c r="JC85">
        <v>2.2802699999999998</v>
      </c>
      <c r="JD85">
        <v>35.429099999999998</v>
      </c>
      <c r="JE85">
        <v>15.962</v>
      </c>
      <c r="JF85">
        <v>18</v>
      </c>
      <c r="JG85">
        <v>517.41700000000003</v>
      </c>
      <c r="JH85">
        <v>462.16300000000001</v>
      </c>
      <c r="JI85">
        <v>26.9373</v>
      </c>
      <c r="JJ85">
        <v>32.245199999999997</v>
      </c>
      <c r="JK85">
        <v>30</v>
      </c>
      <c r="JL85">
        <v>32.110700000000001</v>
      </c>
      <c r="JM85">
        <v>32.052399999999999</v>
      </c>
      <c r="JN85">
        <v>50.414999999999999</v>
      </c>
      <c r="JO85">
        <v>30.315200000000001</v>
      </c>
      <c r="JP85">
        <v>99.627499999999998</v>
      </c>
      <c r="JQ85">
        <v>26.940999999999999</v>
      </c>
      <c r="JR85">
        <v>1200</v>
      </c>
      <c r="JS85">
        <v>22.594100000000001</v>
      </c>
      <c r="JT85">
        <v>99.1631</v>
      </c>
      <c r="JU85">
        <v>97.9636</v>
      </c>
    </row>
    <row r="86" spans="1:281" x14ac:dyDescent="0.25">
      <c r="A86">
        <v>70</v>
      </c>
      <c r="B86">
        <v>1693508592.0999999</v>
      </c>
      <c r="C86">
        <v>13665.5</v>
      </c>
      <c r="D86" t="s">
        <v>771</v>
      </c>
      <c r="E86" t="s">
        <v>772</v>
      </c>
      <c r="F86" t="s">
        <v>413</v>
      </c>
      <c r="G86" t="s">
        <v>414</v>
      </c>
      <c r="H86" t="s">
        <v>707</v>
      </c>
      <c r="I86" t="s">
        <v>31</v>
      </c>
      <c r="J86">
        <v>1693508592.0999999</v>
      </c>
      <c r="K86">
        <f t="shared" si="92"/>
        <v>4.8589352624334456E-3</v>
      </c>
      <c r="L86">
        <f t="shared" si="93"/>
        <v>4.8589352624334454</v>
      </c>
      <c r="M86">
        <f t="shared" si="94"/>
        <v>47.668068789207396</v>
      </c>
      <c r="N86">
        <f t="shared" si="95"/>
        <v>1434.24</v>
      </c>
      <c r="O86">
        <f t="shared" si="96"/>
        <v>1173.4594818212122</v>
      </c>
      <c r="P86">
        <f t="shared" si="97"/>
        <v>116.97018768069036</v>
      </c>
      <c r="Q86">
        <f t="shared" si="98"/>
        <v>142.96473340416</v>
      </c>
      <c r="R86">
        <f t="shared" si="99"/>
        <v>0.35011625072716529</v>
      </c>
      <c r="S86">
        <f t="shared" si="100"/>
        <v>2.9252300682005989</v>
      </c>
      <c r="T86">
        <f t="shared" si="101"/>
        <v>0.3283906674705433</v>
      </c>
      <c r="U86">
        <f t="shared" si="102"/>
        <v>0.20708368343377798</v>
      </c>
      <c r="V86">
        <f t="shared" si="103"/>
        <v>344.3694128079926</v>
      </c>
      <c r="W86">
        <f t="shared" si="104"/>
        <v>31.099445930832914</v>
      </c>
      <c r="X86">
        <f t="shared" si="105"/>
        <v>29.9892</v>
      </c>
      <c r="Y86">
        <f t="shared" si="106"/>
        <v>4.2578075459134119</v>
      </c>
      <c r="Z86">
        <f t="shared" si="107"/>
        <v>65.292371275750909</v>
      </c>
      <c r="AA86">
        <f t="shared" si="108"/>
        <v>2.8354014238584</v>
      </c>
      <c r="AB86">
        <f t="shared" si="109"/>
        <v>4.3426228339656676</v>
      </c>
      <c r="AC86">
        <f t="shared" si="110"/>
        <v>1.4224061220550119</v>
      </c>
      <c r="AD86">
        <f t="shared" si="111"/>
        <v>-214.27904507331496</v>
      </c>
      <c r="AE86">
        <f t="shared" si="112"/>
        <v>54.218980181582097</v>
      </c>
      <c r="AF86">
        <f t="shared" si="113"/>
        <v>4.1278421917945201</v>
      </c>
      <c r="AG86">
        <f t="shared" si="114"/>
        <v>188.43719010805427</v>
      </c>
      <c r="AH86">
        <v>0</v>
      </c>
      <c r="AI86">
        <v>0</v>
      </c>
      <c r="AJ86">
        <f t="shared" si="115"/>
        <v>1</v>
      </c>
      <c r="AK86">
        <f t="shared" si="116"/>
        <v>0</v>
      </c>
      <c r="AL86">
        <f t="shared" si="117"/>
        <v>52163.746723099081</v>
      </c>
      <c r="AM86" t="s">
        <v>416</v>
      </c>
      <c r="AN86">
        <v>10366.9</v>
      </c>
      <c r="AO86">
        <v>993.59653846153856</v>
      </c>
      <c r="AP86">
        <v>3431.87</v>
      </c>
      <c r="AQ86">
        <f t="shared" si="118"/>
        <v>0.71047955241266758</v>
      </c>
      <c r="AR86">
        <v>-3.9894345373445681</v>
      </c>
      <c r="AS86" t="s">
        <v>773</v>
      </c>
      <c r="AT86">
        <v>10412</v>
      </c>
      <c r="AU86">
        <v>797.53123999999991</v>
      </c>
      <c r="AV86">
        <v>1210.688601855762</v>
      </c>
      <c r="AW86">
        <f t="shared" si="119"/>
        <v>0.34125815773144985</v>
      </c>
      <c r="AX86">
        <v>0.5</v>
      </c>
      <c r="AY86">
        <f t="shared" si="120"/>
        <v>1513.1847064039962</v>
      </c>
      <c r="AZ86">
        <f t="shared" si="121"/>
        <v>47.668068789207396</v>
      </c>
      <c r="BA86">
        <f t="shared" si="122"/>
        <v>258.19331260741626</v>
      </c>
      <c r="BB86">
        <f t="shared" si="123"/>
        <v>3.4138266867177969E-2</v>
      </c>
      <c r="BC86">
        <f t="shared" si="124"/>
        <v>1.8346430244239327</v>
      </c>
      <c r="BD86">
        <f t="shared" si="125"/>
        <v>648.91468590083127</v>
      </c>
      <c r="BE86" t="s">
        <v>774</v>
      </c>
      <c r="BF86">
        <v>607.64</v>
      </c>
      <c r="BG86">
        <f t="shared" si="126"/>
        <v>607.64</v>
      </c>
      <c r="BH86">
        <f t="shared" si="127"/>
        <v>0.49810380714859293</v>
      </c>
      <c r="BI86">
        <f t="shared" si="128"/>
        <v>0.68511453402653211</v>
      </c>
      <c r="BJ86">
        <f t="shared" si="129"/>
        <v>0.78647326816308794</v>
      </c>
      <c r="BK86">
        <f t="shared" si="130"/>
        <v>1.9031435576043987</v>
      </c>
      <c r="BL86">
        <f t="shared" si="131"/>
        <v>0.91096484179537163</v>
      </c>
      <c r="BM86">
        <f t="shared" si="132"/>
        <v>0.52198957805826141</v>
      </c>
      <c r="BN86">
        <f t="shared" si="133"/>
        <v>0.47801042194173859</v>
      </c>
      <c r="BO86">
        <v>2287</v>
      </c>
      <c r="BP86">
        <v>290.00000000000011</v>
      </c>
      <c r="BQ86">
        <v>1097.98</v>
      </c>
      <c r="BR86">
        <v>135</v>
      </c>
      <c r="BS86">
        <v>10412</v>
      </c>
      <c r="BT86">
        <v>1095.9100000000001</v>
      </c>
      <c r="BU86">
        <v>2.0699999999999998</v>
      </c>
      <c r="BV86">
        <v>300.00000000000011</v>
      </c>
      <c r="BW86">
        <v>38.4</v>
      </c>
      <c r="BX86">
        <v>1210.688601855762</v>
      </c>
      <c r="BY86">
        <v>1.328486624983191</v>
      </c>
      <c r="BZ86">
        <v>-119.5108527287621</v>
      </c>
      <c r="CA86">
        <v>1.1307545296961039</v>
      </c>
      <c r="CB86">
        <v>0.99749969617420331</v>
      </c>
      <c r="CC86">
        <v>-1.1316528809788661E-2</v>
      </c>
      <c r="CD86">
        <v>289.99999999999989</v>
      </c>
      <c r="CE86">
        <v>1085.2</v>
      </c>
      <c r="CF86">
        <v>655</v>
      </c>
      <c r="CG86">
        <v>10379.700000000001</v>
      </c>
      <c r="CH86">
        <v>1095.55</v>
      </c>
      <c r="CI86">
        <v>-10.35</v>
      </c>
      <c r="CW86">
        <f t="shared" si="134"/>
        <v>1800</v>
      </c>
      <c r="CX86">
        <f t="shared" si="135"/>
        <v>1513.1847064039962</v>
      </c>
      <c r="CY86">
        <f t="shared" si="136"/>
        <v>0.84065817022444234</v>
      </c>
      <c r="CZ86">
        <f t="shared" si="137"/>
        <v>0.19131634044888476</v>
      </c>
      <c r="DA86">
        <v>6</v>
      </c>
      <c r="DB86">
        <v>0.5</v>
      </c>
      <c r="DC86" t="s">
        <v>419</v>
      </c>
      <c r="DD86">
        <v>2</v>
      </c>
      <c r="DE86">
        <v>1693508592.0999999</v>
      </c>
      <c r="DF86">
        <v>1434.24</v>
      </c>
      <c r="DG86">
        <v>1499.77</v>
      </c>
      <c r="DH86">
        <v>28.4451</v>
      </c>
      <c r="DI86">
        <v>22.783200000000001</v>
      </c>
      <c r="DJ86">
        <v>1431.07</v>
      </c>
      <c r="DK86">
        <v>27.611799999999999</v>
      </c>
      <c r="DL86">
        <v>500.262</v>
      </c>
      <c r="DM86">
        <v>99.579700000000003</v>
      </c>
      <c r="DN86">
        <v>0.10008400000000001</v>
      </c>
      <c r="DO86">
        <v>30.332999999999998</v>
      </c>
      <c r="DP86">
        <v>29.9892</v>
      </c>
      <c r="DQ86">
        <v>999.9</v>
      </c>
      <c r="DR86">
        <v>0</v>
      </c>
      <c r="DS86">
        <v>0</v>
      </c>
      <c r="DT86">
        <v>10017.5</v>
      </c>
      <c r="DU86">
        <v>0</v>
      </c>
      <c r="DV86">
        <v>1185.2</v>
      </c>
      <c r="DW86">
        <v>-65.533799999999999</v>
      </c>
      <c r="DX86">
        <v>1476.23</v>
      </c>
      <c r="DY86">
        <v>1534.74</v>
      </c>
      <c r="DZ86">
        <v>5.6619200000000003</v>
      </c>
      <c r="EA86">
        <v>1499.77</v>
      </c>
      <c r="EB86">
        <v>22.783200000000001</v>
      </c>
      <c r="EC86">
        <v>2.83256</v>
      </c>
      <c r="ED86">
        <v>2.2687499999999998</v>
      </c>
      <c r="EE86">
        <v>23.075099999999999</v>
      </c>
      <c r="EF86">
        <v>19.456199999999999</v>
      </c>
      <c r="EG86">
        <v>1800</v>
      </c>
      <c r="EH86">
        <v>0.97799700000000001</v>
      </c>
      <c r="EI86">
        <v>2.20027E-2</v>
      </c>
      <c r="EJ86">
        <v>0</v>
      </c>
      <c r="EK86">
        <v>797.54700000000003</v>
      </c>
      <c r="EL86">
        <v>5.0002700000000004</v>
      </c>
      <c r="EM86">
        <v>15040.2</v>
      </c>
      <c r="EN86">
        <v>16248.6</v>
      </c>
      <c r="EO86">
        <v>47.061999999999998</v>
      </c>
      <c r="EP86">
        <v>48.5</v>
      </c>
      <c r="EQ86">
        <v>48.061999999999998</v>
      </c>
      <c r="ER86">
        <v>47.625</v>
      </c>
      <c r="ES86">
        <v>48.75</v>
      </c>
      <c r="ET86">
        <v>1755.5</v>
      </c>
      <c r="EU86">
        <v>39.49</v>
      </c>
      <c r="EV86">
        <v>0</v>
      </c>
      <c r="EW86">
        <v>104.3999998569489</v>
      </c>
      <c r="EX86">
        <v>0</v>
      </c>
      <c r="EY86">
        <v>797.53123999999991</v>
      </c>
      <c r="EZ86">
        <v>-0.70292307966610956</v>
      </c>
      <c r="FA86">
        <v>-1.5461536026860301</v>
      </c>
      <c r="FB86">
        <v>15039.468000000001</v>
      </c>
      <c r="FC86">
        <v>15</v>
      </c>
      <c r="FD86">
        <v>1693508559.0999999</v>
      </c>
      <c r="FE86" t="s">
        <v>775</v>
      </c>
      <c r="FF86">
        <v>1693508546.0999999</v>
      </c>
      <c r="FG86">
        <v>1693508559.0999999</v>
      </c>
      <c r="FH86">
        <v>77</v>
      </c>
      <c r="FI86">
        <v>0.33500000000000002</v>
      </c>
      <c r="FJ86">
        <v>5.0000000000000001E-3</v>
      </c>
      <c r="FK86">
        <v>3.141</v>
      </c>
      <c r="FL86">
        <v>0.50900000000000001</v>
      </c>
      <c r="FM86">
        <v>1501</v>
      </c>
      <c r="FN86">
        <v>23</v>
      </c>
      <c r="FO86">
        <v>0.13</v>
      </c>
      <c r="FP86">
        <v>0.04</v>
      </c>
      <c r="FQ86">
        <v>47.821533325065673</v>
      </c>
      <c r="FR86">
        <v>-0.47489114187852211</v>
      </c>
      <c r="FS86">
        <v>0.11973436052101361</v>
      </c>
      <c r="FT86">
        <v>1</v>
      </c>
      <c r="FU86">
        <v>0.3534371870693504</v>
      </c>
      <c r="FV86">
        <v>-1.0635952130997011E-2</v>
      </c>
      <c r="FW86">
        <v>1.381708080753521E-3</v>
      </c>
      <c r="FX86">
        <v>1</v>
      </c>
      <c r="FY86">
        <v>2</v>
      </c>
      <c r="FZ86">
        <v>2</v>
      </c>
      <c r="GA86" t="s">
        <v>421</v>
      </c>
      <c r="GB86">
        <v>3.1183700000000001</v>
      </c>
      <c r="GC86">
        <v>2.8653900000000001</v>
      </c>
      <c r="GD86">
        <v>0.221776</v>
      </c>
      <c r="GE86">
        <v>0.23291700000000001</v>
      </c>
      <c r="GF86">
        <v>0.12845599999999999</v>
      </c>
      <c r="GG86">
        <v>0.11500100000000001</v>
      </c>
      <c r="GH86">
        <v>23469</v>
      </c>
      <c r="GI86">
        <v>17951.3</v>
      </c>
      <c r="GJ86">
        <v>29084.3</v>
      </c>
      <c r="GK86">
        <v>21817.9</v>
      </c>
      <c r="GL86">
        <v>33978.9</v>
      </c>
      <c r="GM86">
        <v>26589.3</v>
      </c>
      <c r="GN86">
        <v>40361.1</v>
      </c>
      <c r="GO86">
        <v>31011.3</v>
      </c>
      <c r="GP86">
        <v>2.0091999999999999</v>
      </c>
      <c r="GQ86">
        <v>1.8675999999999999</v>
      </c>
      <c r="GR86">
        <v>6.3180899999999998E-2</v>
      </c>
      <c r="GS86">
        <v>0</v>
      </c>
      <c r="GT86">
        <v>28.9602</v>
      </c>
      <c r="GU86">
        <v>999.9</v>
      </c>
      <c r="GV86">
        <v>63.2</v>
      </c>
      <c r="GW86">
        <v>30.9</v>
      </c>
      <c r="GX86">
        <v>28.469799999999999</v>
      </c>
      <c r="GY86">
        <v>61.512099999999997</v>
      </c>
      <c r="GZ86">
        <v>11.5144</v>
      </c>
      <c r="HA86">
        <v>1</v>
      </c>
      <c r="HB86">
        <v>0.36987799999999998</v>
      </c>
      <c r="HC86">
        <v>0.95513099999999995</v>
      </c>
      <c r="HD86">
        <v>20.333500000000001</v>
      </c>
      <c r="HE86">
        <v>5.2316700000000003</v>
      </c>
      <c r="HF86">
        <v>11.9764</v>
      </c>
      <c r="HG86">
        <v>4.9745999999999997</v>
      </c>
      <c r="HH86">
        <v>3.2833999999999999</v>
      </c>
      <c r="HI86">
        <v>9999</v>
      </c>
      <c r="HJ86">
        <v>9999</v>
      </c>
      <c r="HK86">
        <v>9999</v>
      </c>
      <c r="HL86">
        <v>999.9</v>
      </c>
      <c r="HM86">
        <v>1.86053</v>
      </c>
      <c r="HN86">
        <v>1.8622000000000001</v>
      </c>
      <c r="HO86">
        <v>1.86768</v>
      </c>
      <c r="HP86">
        <v>1.8582000000000001</v>
      </c>
      <c r="HQ86">
        <v>1.85666</v>
      </c>
      <c r="HR86">
        <v>1.8603499999999999</v>
      </c>
      <c r="HS86">
        <v>1.86429</v>
      </c>
      <c r="HT86">
        <v>1.8663000000000001</v>
      </c>
      <c r="HU86">
        <v>5</v>
      </c>
      <c r="HV86">
        <v>0</v>
      </c>
      <c r="HW86">
        <v>0</v>
      </c>
      <c r="HX86">
        <v>0</v>
      </c>
      <c r="HY86" t="s">
        <v>422</v>
      </c>
      <c r="HZ86" t="s">
        <v>423</v>
      </c>
      <c r="IA86" t="s">
        <v>424</v>
      </c>
      <c r="IB86" t="s">
        <v>424</v>
      </c>
      <c r="IC86" t="s">
        <v>424</v>
      </c>
      <c r="ID86" t="s">
        <v>424</v>
      </c>
      <c r="IE86">
        <v>0</v>
      </c>
      <c r="IF86">
        <v>100</v>
      </c>
      <c r="IG86">
        <v>100</v>
      </c>
      <c r="IH86">
        <v>3.17</v>
      </c>
      <c r="II86">
        <v>0.83330000000000004</v>
      </c>
      <c r="IJ86">
        <v>3.4277982302290888</v>
      </c>
      <c r="IK86">
        <v>1.118558698776514E-3</v>
      </c>
      <c r="IL86">
        <v>-1.6939696309573479E-6</v>
      </c>
      <c r="IM86">
        <v>5.4698917449866148E-10</v>
      </c>
      <c r="IN86">
        <v>-4.8714717165054378E-2</v>
      </c>
      <c r="IO86">
        <v>-7.6058941998734366E-3</v>
      </c>
      <c r="IP86">
        <v>1.6984902717538061E-3</v>
      </c>
      <c r="IQ86">
        <v>-9.6352527008986976E-6</v>
      </c>
      <c r="IR86">
        <v>2</v>
      </c>
      <c r="IS86">
        <v>2021</v>
      </c>
      <c r="IT86">
        <v>2</v>
      </c>
      <c r="IU86">
        <v>40</v>
      </c>
      <c r="IV86">
        <v>0.8</v>
      </c>
      <c r="IW86">
        <v>0.6</v>
      </c>
      <c r="IX86">
        <v>3.0236800000000001</v>
      </c>
      <c r="IY86">
        <v>2.4658199999999999</v>
      </c>
      <c r="IZ86">
        <v>1.34399</v>
      </c>
      <c r="JA86">
        <v>2.2497600000000002</v>
      </c>
      <c r="JB86">
        <v>1.5918000000000001</v>
      </c>
      <c r="JC86">
        <v>2.4694799999999999</v>
      </c>
      <c r="JD86">
        <v>35.4754</v>
      </c>
      <c r="JE86">
        <v>15.970800000000001</v>
      </c>
      <c r="JF86">
        <v>18</v>
      </c>
      <c r="JG86">
        <v>517.71400000000006</v>
      </c>
      <c r="JH86">
        <v>463.02100000000002</v>
      </c>
      <c r="JI86">
        <v>26.776399999999999</v>
      </c>
      <c r="JJ86">
        <v>32.228099999999998</v>
      </c>
      <c r="JK86">
        <v>29.998200000000001</v>
      </c>
      <c r="JL86">
        <v>32.099299999999999</v>
      </c>
      <c r="JM86">
        <v>32.041200000000003</v>
      </c>
      <c r="JN86">
        <v>60.569400000000002</v>
      </c>
      <c r="JO86">
        <v>29.781400000000001</v>
      </c>
      <c r="JP86">
        <v>100</v>
      </c>
      <c r="JQ86">
        <v>26.857900000000001</v>
      </c>
      <c r="JR86">
        <v>1500</v>
      </c>
      <c r="JS86">
        <v>22.808399999999999</v>
      </c>
      <c r="JT86">
        <v>99.161600000000007</v>
      </c>
      <c r="JU86">
        <v>97.962999999999994</v>
      </c>
    </row>
    <row r="87" spans="1:281" x14ac:dyDescent="0.25">
      <c r="A87">
        <v>71</v>
      </c>
      <c r="B87">
        <v>1693511066.5</v>
      </c>
      <c r="C87">
        <v>16139.900000095369</v>
      </c>
      <c r="D87" t="s">
        <v>776</v>
      </c>
      <c r="E87" t="s">
        <v>777</v>
      </c>
      <c r="F87" t="s">
        <v>413</v>
      </c>
      <c r="G87" t="s">
        <v>778</v>
      </c>
      <c r="H87" t="s">
        <v>779</v>
      </c>
      <c r="I87" t="s">
        <v>31</v>
      </c>
      <c r="J87">
        <v>1693511066.5</v>
      </c>
      <c r="K87">
        <f t="shared" si="92"/>
        <v>4.3472456954596929E-3</v>
      </c>
      <c r="L87">
        <f t="shared" si="93"/>
        <v>4.3472456954596925</v>
      </c>
      <c r="M87">
        <f t="shared" si="94"/>
        <v>40.943253042456675</v>
      </c>
      <c r="N87">
        <f t="shared" si="95"/>
        <v>349.04</v>
      </c>
      <c r="O87">
        <f t="shared" si="96"/>
        <v>125.04422254136659</v>
      </c>
      <c r="P87">
        <f t="shared" si="97"/>
        <v>12.458960551368406</v>
      </c>
      <c r="Q87">
        <f t="shared" si="98"/>
        <v>34.777101272399996</v>
      </c>
      <c r="R87">
        <f t="shared" si="99"/>
        <v>0.31516661895068548</v>
      </c>
      <c r="S87">
        <f t="shared" si="100"/>
        <v>2.9170180177746681</v>
      </c>
      <c r="T87">
        <f t="shared" si="101"/>
        <v>0.29739728643150637</v>
      </c>
      <c r="U87">
        <f t="shared" si="102"/>
        <v>0.18738627047589035</v>
      </c>
      <c r="V87">
        <f t="shared" si="103"/>
        <v>344.3421996446524</v>
      </c>
      <c r="W87">
        <f t="shared" si="104"/>
        <v>31.361005045203978</v>
      </c>
      <c r="X87">
        <f t="shared" si="105"/>
        <v>30.014299999999999</v>
      </c>
      <c r="Y87">
        <f t="shared" si="106"/>
        <v>4.2639504746123054</v>
      </c>
      <c r="Z87">
        <f t="shared" si="107"/>
        <v>65.373474216001654</v>
      </c>
      <c r="AA87">
        <f t="shared" si="108"/>
        <v>2.8595656844999997</v>
      </c>
      <c r="AB87">
        <f t="shared" si="109"/>
        <v>4.3741987385459398</v>
      </c>
      <c r="AC87">
        <f t="shared" si="110"/>
        <v>1.4043847901123057</v>
      </c>
      <c r="AD87">
        <f t="shared" si="111"/>
        <v>-191.71353516977246</v>
      </c>
      <c r="AE87">
        <f t="shared" si="112"/>
        <v>70.013164996624042</v>
      </c>
      <c r="AF87">
        <f t="shared" si="113"/>
        <v>5.3493151587384249</v>
      </c>
      <c r="AG87">
        <f t="shared" si="114"/>
        <v>227.99114463024239</v>
      </c>
      <c r="AH87">
        <v>0</v>
      </c>
      <c r="AI87">
        <v>0</v>
      </c>
      <c r="AJ87">
        <f t="shared" si="115"/>
        <v>1</v>
      </c>
      <c r="AK87">
        <f t="shared" si="116"/>
        <v>0</v>
      </c>
      <c r="AL87">
        <f t="shared" si="117"/>
        <v>51907.103807419597</v>
      </c>
      <c r="AM87" t="s">
        <v>416</v>
      </c>
      <c r="AN87">
        <v>10366.9</v>
      </c>
      <c r="AO87">
        <v>993.59653846153856</v>
      </c>
      <c r="AP87">
        <v>3431.87</v>
      </c>
      <c r="AQ87">
        <f t="shared" si="118"/>
        <v>0.71047955241266758</v>
      </c>
      <c r="AR87">
        <v>-3.9894345373445681</v>
      </c>
      <c r="AS87" t="s">
        <v>780</v>
      </c>
      <c r="AT87">
        <v>10407.6</v>
      </c>
      <c r="AU87">
        <v>740.53557692307675</v>
      </c>
      <c r="AV87">
        <v>1046.6481792337061</v>
      </c>
      <c r="AW87">
        <f t="shared" si="119"/>
        <v>0.29246943565577777</v>
      </c>
      <c r="AX87">
        <v>0.5</v>
      </c>
      <c r="AY87">
        <f t="shared" si="120"/>
        <v>1513.0667998223262</v>
      </c>
      <c r="AZ87">
        <f t="shared" si="121"/>
        <v>40.943253042456675</v>
      </c>
      <c r="BA87">
        <f t="shared" si="122"/>
        <v>221.26289652676471</v>
      </c>
      <c r="BB87">
        <f t="shared" si="123"/>
        <v>2.9696433485340845E-2</v>
      </c>
      <c r="BC87">
        <f t="shared" si="124"/>
        <v>2.2789146038668044</v>
      </c>
      <c r="BD87">
        <f t="shared" si="125"/>
        <v>598.62700465061926</v>
      </c>
      <c r="BE87" t="s">
        <v>781</v>
      </c>
      <c r="BF87">
        <v>593.4</v>
      </c>
      <c r="BG87">
        <f t="shared" si="126"/>
        <v>593.4</v>
      </c>
      <c r="BH87">
        <f t="shared" si="127"/>
        <v>0.43304731066894664</v>
      </c>
      <c r="BI87">
        <f t="shared" si="128"/>
        <v>0.67537524988664099</v>
      </c>
      <c r="BJ87">
        <f t="shared" si="129"/>
        <v>0.84031954565885625</v>
      </c>
      <c r="BK87">
        <f t="shared" si="130"/>
        <v>5.7700873687440266</v>
      </c>
      <c r="BL87">
        <f t="shared" si="131"/>
        <v>0.97824212845318248</v>
      </c>
      <c r="BM87">
        <f t="shared" si="132"/>
        <v>0.54118625191232717</v>
      </c>
      <c r="BN87">
        <f t="shared" si="133"/>
        <v>0.45881374808767283</v>
      </c>
      <c r="BO87">
        <v>2289</v>
      </c>
      <c r="BP87">
        <v>290.00000000000011</v>
      </c>
      <c r="BQ87">
        <v>959.26</v>
      </c>
      <c r="BR87">
        <v>135</v>
      </c>
      <c r="BS87">
        <v>10407.6</v>
      </c>
      <c r="BT87">
        <v>958.41</v>
      </c>
      <c r="BU87">
        <v>0.85</v>
      </c>
      <c r="BV87">
        <v>300.00000000000011</v>
      </c>
      <c r="BW87">
        <v>38.4</v>
      </c>
      <c r="BX87">
        <v>1046.6481792337061</v>
      </c>
      <c r="BY87">
        <v>1.28490972193294</v>
      </c>
      <c r="BZ87">
        <v>-91.839844674061439</v>
      </c>
      <c r="CA87">
        <v>1.0932397108868539</v>
      </c>
      <c r="CB87">
        <v>0.99604809173069264</v>
      </c>
      <c r="CC87">
        <v>-1.1311996662958859E-2</v>
      </c>
      <c r="CD87">
        <v>289.99999999999989</v>
      </c>
      <c r="CE87">
        <v>950.19</v>
      </c>
      <c r="CF87">
        <v>645</v>
      </c>
      <c r="CG87">
        <v>10376.799999999999</v>
      </c>
      <c r="CH87">
        <v>958.14</v>
      </c>
      <c r="CI87">
        <v>-7.95</v>
      </c>
      <c r="CW87">
        <f t="shared" si="134"/>
        <v>1799.86</v>
      </c>
      <c r="CX87">
        <f t="shared" si="135"/>
        <v>1513.0667998223262</v>
      </c>
      <c r="CY87">
        <f t="shared" si="136"/>
        <v>0.84065805108304326</v>
      </c>
      <c r="CZ87">
        <f t="shared" si="137"/>
        <v>0.19131610216608649</v>
      </c>
      <c r="DA87">
        <v>6</v>
      </c>
      <c r="DB87">
        <v>0.5</v>
      </c>
      <c r="DC87" t="s">
        <v>419</v>
      </c>
      <c r="DD87">
        <v>2</v>
      </c>
      <c r="DE87">
        <v>1693511066.5</v>
      </c>
      <c r="DF87">
        <v>349.04</v>
      </c>
      <c r="DG87">
        <v>399.99599999999998</v>
      </c>
      <c r="DH87">
        <v>28.7</v>
      </c>
      <c r="DI87">
        <v>23.6327</v>
      </c>
      <c r="DJ87">
        <v>346.75299999999999</v>
      </c>
      <c r="DK87">
        <v>27.766400000000001</v>
      </c>
      <c r="DL87">
        <v>499.96800000000002</v>
      </c>
      <c r="DM87">
        <v>99.536199999999994</v>
      </c>
      <c r="DN87">
        <v>0.100235</v>
      </c>
      <c r="DO87">
        <v>30.459499999999998</v>
      </c>
      <c r="DP87">
        <v>30.014299999999999</v>
      </c>
      <c r="DQ87">
        <v>999.9</v>
      </c>
      <c r="DR87">
        <v>0</v>
      </c>
      <c r="DS87">
        <v>0</v>
      </c>
      <c r="DT87">
        <v>9975</v>
      </c>
      <c r="DU87">
        <v>0</v>
      </c>
      <c r="DV87">
        <v>1911.43</v>
      </c>
      <c r="DW87">
        <v>-50.956299999999999</v>
      </c>
      <c r="DX87">
        <v>359.35300000000001</v>
      </c>
      <c r="DY87">
        <v>409.678</v>
      </c>
      <c r="DZ87">
        <v>5.0672800000000002</v>
      </c>
      <c r="EA87">
        <v>399.99599999999998</v>
      </c>
      <c r="EB87">
        <v>23.6327</v>
      </c>
      <c r="EC87">
        <v>2.85669</v>
      </c>
      <c r="ED87">
        <v>2.3523100000000001</v>
      </c>
      <c r="EE87">
        <v>23.215399999999999</v>
      </c>
      <c r="EF87">
        <v>20.039200000000001</v>
      </c>
      <c r="EG87">
        <v>1799.86</v>
      </c>
      <c r="EH87">
        <v>0.97800500000000001</v>
      </c>
      <c r="EI87">
        <v>2.1995299999999999E-2</v>
      </c>
      <c r="EJ87">
        <v>0</v>
      </c>
      <c r="EK87">
        <v>740.94299999999998</v>
      </c>
      <c r="EL87">
        <v>5.0002700000000004</v>
      </c>
      <c r="EM87">
        <v>13886.6</v>
      </c>
      <c r="EN87">
        <v>16247.4</v>
      </c>
      <c r="EO87">
        <v>46.686999999999998</v>
      </c>
      <c r="EP87">
        <v>46.811999999999998</v>
      </c>
      <c r="EQ87">
        <v>47.375</v>
      </c>
      <c r="ER87">
        <v>46.875</v>
      </c>
      <c r="ES87">
        <v>48.375</v>
      </c>
      <c r="ET87">
        <v>1755.38</v>
      </c>
      <c r="EU87">
        <v>39.479999999999997</v>
      </c>
      <c r="EV87">
        <v>0</v>
      </c>
      <c r="EW87">
        <v>2472.7999999523158</v>
      </c>
      <c r="EX87">
        <v>0</v>
      </c>
      <c r="EY87">
        <v>740.53557692307675</v>
      </c>
      <c r="EZ87">
        <v>2.6223247925266828</v>
      </c>
      <c r="FA87">
        <v>4.4683760932198782</v>
      </c>
      <c r="FB87">
        <v>13881.51923076923</v>
      </c>
      <c r="FC87">
        <v>15</v>
      </c>
      <c r="FD87">
        <v>1693511039.5</v>
      </c>
      <c r="FE87" t="s">
        <v>782</v>
      </c>
      <c r="FF87">
        <v>1693511030</v>
      </c>
      <c r="FG87">
        <v>1693511039.5</v>
      </c>
      <c r="FH87">
        <v>79</v>
      </c>
      <c r="FI87">
        <v>9.2999999999999999E-2</v>
      </c>
      <c r="FJ87">
        <v>4.1000000000000002E-2</v>
      </c>
      <c r="FK87">
        <v>2.2919999999999998</v>
      </c>
      <c r="FL87">
        <v>0.65100000000000002</v>
      </c>
      <c r="FM87">
        <v>400</v>
      </c>
      <c r="FN87">
        <v>24</v>
      </c>
      <c r="FO87">
        <v>0.11</v>
      </c>
      <c r="FP87">
        <v>0.05</v>
      </c>
      <c r="FQ87">
        <v>41.001547083457467</v>
      </c>
      <c r="FR87">
        <v>-0.62360661132504747</v>
      </c>
      <c r="FS87">
        <v>0.1065327674005052</v>
      </c>
      <c r="FT87">
        <v>1</v>
      </c>
      <c r="FU87">
        <v>0.31656459557845618</v>
      </c>
      <c r="FV87">
        <v>4.5460006699824383E-2</v>
      </c>
      <c r="FW87">
        <v>6.4116203684982847E-3</v>
      </c>
      <c r="FX87">
        <v>1</v>
      </c>
      <c r="FY87">
        <v>2</v>
      </c>
      <c r="FZ87">
        <v>2</v>
      </c>
      <c r="GA87" t="s">
        <v>421</v>
      </c>
      <c r="GB87">
        <v>3.1183000000000001</v>
      </c>
      <c r="GC87">
        <v>2.86517</v>
      </c>
      <c r="GD87">
        <v>8.3230299999999993E-2</v>
      </c>
      <c r="GE87">
        <v>9.5511600000000002E-2</v>
      </c>
      <c r="GF87">
        <v>0.129552</v>
      </c>
      <c r="GG87">
        <v>0.118507</v>
      </c>
      <c r="GH87">
        <v>27752.2</v>
      </c>
      <c r="GI87">
        <v>21269.7</v>
      </c>
      <c r="GJ87">
        <v>29180.6</v>
      </c>
      <c r="GK87">
        <v>21915.3</v>
      </c>
      <c r="GL87">
        <v>34006.300000000003</v>
      </c>
      <c r="GM87">
        <v>26576</v>
      </c>
      <c r="GN87">
        <v>40492.1</v>
      </c>
      <c r="GO87">
        <v>31136.3</v>
      </c>
      <c r="GP87">
        <v>2.0331000000000001</v>
      </c>
      <c r="GQ87">
        <v>1.8435999999999999</v>
      </c>
      <c r="GR87">
        <v>9.4771400000000006E-2</v>
      </c>
      <c r="GS87">
        <v>0</v>
      </c>
      <c r="GT87">
        <v>28.470199999999998</v>
      </c>
      <c r="GU87">
        <v>999.9</v>
      </c>
      <c r="GV87">
        <v>48.6</v>
      </c>
      <c r="GW87">
        <v>38.1</v>
      </c>
      <c r="GX87">
        <v>32.683199999999999</v>
      </c>
      <c r="GY87">
        <v>61.882300000000001</v>
      </c>
      <c r="GZ87">
        <v>12.880599999999999</v>
      </c>
      <c r="HA87">
        <v>1</v>
      </c>
      <c r="HB87">
        <v>0.189858</v>
      </c>
      <c r="HC87">
        <v>0.439913</v>
      </c>
      <c r="HD87">
        <v>20.275099999999998</v>
      </c>
      <c r="HE87">
        <v>5.2352600000000002</v>
      </c>
      <c r="HF87">
        <v>11.974</v>
      </c>
      <c r="HG87">
        <v>4.9757999999999996</v>
      </c>
      <c r="HH87">
        <v>3.2839999999999998</v>
      </c>
      <c r="HI87">
        <v>9999</v>
      </c>
      <c r="HJ87">
        <v>9999</v>
      </c>
      <c r="HK87">
        <v>9999</v>
      </c>
      <c r="HL87">
        <v>999.9</v>
      </c>
      <c r="HM87">
        <v>1.8616699999999999</v>
      </c>
      <c r="HN87">
        <v>1.86338</v>
      </c>
      <c r="HO87">
        <v>1.8686799999999999</v>
      </c>
      <c r="HP87">
        <v>1.85944</v>
      </c>
      <c r="HQ87">
        <v>1.8577600000000001</v>
      </c>
      <c r="HR87">
        <v>1.8614299999999999</v>
      </c>
      <c r="HS87">
        <v>1.8652899999999999</v>
      </c>
      <c r="HT87">
        <v>1.86737</v>
      </c>
      <c r="HU87">
        <v>5</v>
      </c>
      <c r="HV87">
        <v>0</v>
      </c>
      <c r="HW87">
        <v>0</v>
      </c>
      <c r="HX87">
        <v>0</v>
      </c>
      <c r="HY87" t="s">
        <v>422</v>
      </c>
      <c r="HZ87" t="s">
        <v>423</v>
      </c>
      <c r="IA87" t="s">
        <v>424</v>
      </c>
      <c r="IB87" t="s">
        <v>424</v>
      </c>
      <c r="IC87" t="s">
        <v>424</v>
      </c>
      <c r="ID87" t="s">
        <v>424</v>
      </c>
      <c r="IE87">
        <v>0</v>
      </c>
      <c r="IF87">
        <v>100</v>
      </c>
      <c r="IG87">
        <v>100</v>
      </c>
      <c r="IH87">
        <v>2.2869999999999999</v>
      </c>
      <c r="II87">
        <v>0.93359999999999999</v>
      </c>
      <c r="IJ87">
        <v>2.0802408401745049</v>
      </c>
      <c r="IK87">
        <v>1.118558698776514E-3</v>
      </c>
      <c r="IL87">
        <v>-1.6939696309573479E-6</v>
      </c>
      <c r="IM87">
        <v>5.4698917449866148E-10</v>
      </c>
      <c r="IN87">
        <v>4.1540255802306358E-2</v>
      </c>
      <c r="IO87">
        <v>-7.6058941998734366E-3</v>
      </c>
      <c r="IP87">
        <v>1.6984902717538061E-3</v>
      </c>
      <c r="IQ87">
        <v>-9.6352527008986976E-6</v>
      </c>
      <c r="IR87">
        <v>2</v>
      </c>
      <c r="IS87">
        <v>2021</v>
      </c>
      <c r="IT87">
        <v>2</v>
      </c>
      <c r="IU87">
        <v>40</v>
      </c>
      <c r="IV87">
        <v>0.6</v>
      </c>
      <c r="IW87">
        <v>0.5</v>
      </c>
      <c r="IX87">
        <v>1.02051</v>
      </c>
      <c r="IY87">
        <v>2.52197</v>
      </c>
      <c r="IZ87">
        <v>1.34399</v>
      </c>
      <c r="JA87">
        <v>2.2412100000000001</v>
      </c>
      <c r="JB87">
        <v>1.5918000000000001</v>
      </c>
      <c r="JC87">
        <v>2.2863799999999999</v>
      </c>
      <c r="JD87">
        <v>45.006900000000002</v>
      </c>
      <c r="JE87">
        <v>23.886099999999999</v>
      </c>
      <c r="JF87">
        <v>18</v>
      </c>
      <c r="JG87">
        <v>513.94399999999996</v>
      </c>
      <c r="JH87">
        <v>429.42599999999999</v>
      </c>
      <c r="JI87">
        <v>28.3184</v>
      </c>
      <c r="JJ87">
        <v>30.006599999999999</v>
      </c>
      <c r="JK87">
        <v>30.0002</v>
      </c>
      <c r="JL87">
        <v>29.9269</v>
      </c>
      <c r="JM87">
        <v>29.885000000000002</v>
      </c>
      <c r="JN87">
        <v>20.513500000000001</v>
      </c>
      <c r="JO87">
        <v>31.452000000000002</v>
      </c>
      <c r="JP87">
        <v>56.902799999999999</v>
      </c>
      <c r="JQ87">
        <v>28.319099999999999</v>
      </c>
      <c r="JR87">
        <v>400</v>
      </c>
      <c r="JS87">
        <v>23.685500000000001</v>
      </c>
      <c r="JT87">
        <v>99.486199999999997</v>
      </c>
      <c r="JU87">
        <v>98.375200000000007</v>
      </c>
    </row>
    <row r="88" spans="1:281" x14ac:dyDescent="0.25">
      <c r="A88">
        <v>72</v>
      </c>
      <c r="B88">
        <v>1693511176</v>
      </c>
      <c r="C88">
        <v>16249.400000095369</v>
      </c>
      <c r="D88" t="s">
        <v>783</v>
      </c>
      <c r="E88" t="s">
        <v>784</v>
      </c>
      <c r="F88" t="s">
        <v>413</v>
      </c>
      <c r="G88" t="s">
        <v>778</v>
      </c>
      <c r="H88" t="s">
        <v>779</v>
      </c>
      <c r="I88" t="s">
        <v>31</v>
      </c>
      <c r="J88">
        <v>1693511176</v>
      </c>
      <c r="K88">
        <f t="shared" si="92"/>
        <v>4.4666113451309851E-3</v>
      </c>
      <c r="L88">
        <f t="shared" si="93"/>
        <v>4.4666113451309855</v>
      </c>
      <c r="M88">
        <f t="shared" si="94"/>
        <v>32.489059587059003</v>
      </c>
      <c r="N88">
        <f t="shared" si="95"/>
        <v>259.45999999999998</v>
      </c>
      <c r="O88">
        <f t="shared" si="96"/>
        <v>88.17162602158578</v>
      </c>
      <c r="P88">
        <f t="shared" si="97"/>
        <v>8.7852806239054324</v>
      </c>
      <c r="Q88">
        <f t="shared" si="98"/>
        <v>25.852181858599998</v>
      </c>
      <c r="R88">
        <f t="shared" si="99"/>
        <v>0.32726140906125983</v>
      </c>
      <c r="S88">
        <f t="shared" si="100"/>
        <v>2.9144234964216555</v>
      </c>
      <c r="T88">
        <f t="shared" si="101"/>
        <v>0.30813052514668748</v>
      </c>
      <c r="U88">
        <f t="shared" si="102"/>
        <v>0.1942071519320295</v>
      </c>
      <c r="V88">
        <f t="shared" si="103"/>
        <v>344.37639964468792</v>
      </c>
      <c r="W88">
        <f t="shared" si="104"/>
        <v>31.330834830958132</v>
      </c>
      <c r="X88">
        <f t="shared" si="105"/>
        <v>29.982700000000001</v>
      </c>
      <c r="Y88">
        <f t="shared" si="106"/>
        <v>4.2562180054864323</v>
      </c>
      <c r="Z88">
        <f t="shared" si="107"/>
        <v>65.462923488905545</v>
      </c>
      <c r="AA88">
        <f t="shared" si="108"/>
        <v>2.8634783734670002</v>
      </c>
      <c r="AB88">
        <f t="shared" si="109"/>
        <v>4.3741987385459398</v>
      </c>
      <c r="AC88">
        <f t="shared" si="110"/>
        <v>1.3927396320194321</v>
      </c>
      <c r="AD88">
        <f t="shared" si="111"/>
        <v>-196.97756032027644</v>
      </c>
      <c r="AE88">
        <f t="shared" si="112"/>
        <v>74.915960100234969</v>
      </c>
      <c r="AF88">
        <f t="shared" si="113"/>
        <v>5.7281109722961823</v>
      </c>
      <c r="AG88">
        <f t="shared" si="114"/>
        <v>228.04291039694263</v>
      </c>
      <c r="AH88">
        <v>0</v>
      </c>
      <c r="AI88">
        <v>0</v>
      </c>
      <c r="AJ88">
        <f t="shared" si="115"/>
        <v>1</v>
      </c>
      <c r="AK88">
        <f t="shared" si="116"/>
        <v>0</v>
      </c>
      <c r="AL88">
        <f t="shared" si="117"/>
        <v>51833.320518411514</v>
      </c>
      <c r="AM88" t="s">
        <v>416</v>
      </c>
      <c r="AN88">
        <v>10366.9</v>
      </c>
      <c r="AO88">
        <v>993.59653846153856</v>
      </c>
      <c r="AP88">
        <v>3431.87</v>
      </c>
      <c r="AQ88">
        <f t="shared" si="118"/>
        <v>0.71047955241266758</v>
      </c>
      <c r="AR88">
        <v>-3.9894345373445681</v>
      </c>
      <c r="AS88" t="s">
        <v>785</v>
      </c>
      <c r="AT88">
        <v>10391.700000000001</v>
      </c>
      <c r="AU88">
        <v>714.06884000000002</v>
      </c>
      <c r="AV88">
        <v>953.43942215910829</v>
      </c>
      <c r="AW88">
        <f t="shared" si="119"/>
        <v>0.2510600847792116</v>
      </c>
      <c r="AX88">
        <v>0.5</v>
      </c>
      <c r="AY88">
        <f t="shared" si="120"/>
        <v>1513.2179998223439</v>
      </c>
      <c r="AZ88">
        <f t="shared" si="121"/>
        <v>32.489059587059003</v>
      </c>
      <c r="BA88">
        <f t="shared" si="122"/>
        <v>189.95431966241333</v>
      </c>
      <c r="BB88">
        <f t="shared" si="123"/>
        <v>2.4106568999764901E-2</v>
      </c>
      <c r="BC88">
        <f t="shared" si="124"/>
        <v>2.5994630809667689</v>
      </c>
      <c r="BD88">
        <f t="shared" si="125"/>
        <v>566.92789801924459</v>
      </c>
      <c r="BE88" t="s">
        <v>786</v>
      </c>
      <c r="BF88">
        <v>575.83000000000004</v>
      </c>
      <c r="BG88">
        <f t="shared" si="126"/>
        <v>575.83000000000004</v>
      </c>
      <c r="BH88">
        <f t="shared" si="127"/>
        <v>0.39604972626786716</v>
      </c>
      <c r="BI88">
        <f t="shared" si="128"/>
        <v>0.633910512058801</v>
      </c>
      <c r="BJ88">
        <f t="shared" si="129"/>
        <v>0.86778566751197173</v>
      </c>
      <c r="BK88">
        <f t="shared" si="130"/>
        <v>-5.9608508827269002</v>
      </c>
      <c r="BL88">
        <f t="shared" si="131"/>
        <v>1.0164694883227299</v>
      </c>
      <c r="BM88">
        <f t="shared" si="132"/>
        <v>0.51118977570680635</v>
      </c>
      <c r="BN88">
        <f t="shared" si="133"/>
        <v>0.48881022429319365</v>
      </c>
      <c r="BO88">
        <v>2291</v>
      </c>
      <c r="BP88">
        <v>290.00000000000011</v>
      </c>
      <c r="BQ88">
        <v>887</v>
      </c>
      <c r="BR88">
        <v>225</v>
      </c>
      <c r="BS88">
        <v>10391.700000000001</v>
      </c>
      <c r="BT88">
        <v>886.2</v>
      </c>
      <c r="BU88">
        <v>0.8</v>
      </c>
      <c r="BV88">
        <v>300.00000000000011</v>
      </c>
      <c r="BW88">
        <v>38.4</v>
      </c>
      <c r="BX88">
        <v>953.43942215910829</v>
      </c>
      <c r="BY88">
        <v>1.055131032558446</v>
      </c>
      <c r="BZ88">
        <v>-69.873906309329342</v>
      </c>
      <c r="CA88">
        <v>0.89764633920625103</v>
      </c>
      <c r="CB88">
        <v>0.99540022859359634</v>
      </c>
      <c r="CC88">
        <v>-1.1310651167964401E-2</v>
      </c>
      <c r="CD88">
        <v>289.99999999999989</v>
      </c>
      <c r="CE88">
        <v>883.15</v>
      </c>
      <c r="CF88">
        <v>695</v>
      </c>
      <c r="CG88">
        <v>10371.1</v>
      </c>
      <c r="CH88">
        <v>886.07</v>
      </c>
      <c r="CI88">
        <v>-2.92</v>
      </c>
      <c r="CW88">
        <f t="shared" si="134"/>
        <v>1800.04</v>
      </c>
      <c r="CX88">
        <f t="shared" si="135"/>
        <v>1513.2179998223439</v>
      </c>
      <c r="CY88">
        <f t="shared" si="136"/>
        <v>0.84065798527940716</v>
      </c>
      <c r="CZ88">
        <f t="shared" si="137"/>
        <v>0.19131597055881422</v>
      </c>
      <c r="DA88">
        <v>6</v>
      </c>
      <c r="DB88">
        <v>0.5</v>
      </c>
      <c r="DC88" t="s">
        <v>419</v>
      </c>
      <c r="DD88">
        <v>2</v>
      </c>
      <c r="DE88">
        <v>1693511176</v>
      </c>
      <c r="DF88">
        <v>259.45999999999998</v>
      </c>
      <c r="DG88">
        <v>299.85000000000002</v>
      </c>
      <c r="DH88">
        <v>28.738700000000001</v>
      </c>
      <c r="DI88">
        <v>23.531199999999998</v>
      </c>
      <c r="DJ88">
        <v>257.41800000000001</v>
      </c>
      <c r="DK88">
        <v>27.8078</v>
      </c>
      <c r="DL88">
        <v>499.846</v>
      </c>
      <c r="DM88">
        <v>99.538399999999996</v>
      </c>
      <c r="DN88">
        <v>0.10001</v>
      </c>
      <c r="DO88">
        <v>30.459499999999998</v>
      </c>
      <c r="DP88">
        <v>29.982700000000001</v>
      </c>
      <c r="DQ88">
        <v>999.9</v>
      </c>
      <c r="DR88">
        <v>0</v>
      </c>
      <c r="DS88">
        <v>0</v>
      </c>
      <c r="DT88">
        <v>9960</v>
      </c>
      <c r="DU88">
        <v>0</v>
      </c>
      <c r="DV88">
        <v>1907.82</v>
      </c>
      <c r="DW88">
        <v>-40.390300000000003</v>
      </c>
      <c r="DX88">
        <v>267.137</v>
      </c>
      <c r="DY88">
        <v>307.07600000000002</v>
      </c>
      <c r="DZ88">
        <v>5.2075399999999998</v>
      </c>
      <c r="EA88">
        <v>299.85000000000002</v>
      </c>
      <c r="EB88">
        <v>23.531199999999998</v>
      </c>
      <c r="EC88">
        <v>2.8606099999999999</v>
      </c>
      <c r="ED88">
        <v>2.34226</v>
      </c>
      <c r="EE88">
        <v>23.238099999999999</v>
      </c>
      <c r="EF88">
        <v>19.97</v>
      </c>
      <c r="EG88">
        <v>1800.04</v>
      </c>
      <c r="EH88">
        <v>0.97800799999999999</v>
      </c>
      <c r="EI88">
        <v>2.1991699999999999E-2</v>
      </c>
      <c r="EJ88">
        <v>0</v>
      </c>
      <c r="EK88">
        <v>713.99900000000002</v>
      </c>
      <c r="EL88">
        <v>5.0002700000000004</v>
      </c>
      <c r="EM88">
        <v>13388.8</v>
      </c>
      <c r="EN88">
        <v>16249</v>
      </c>
      <c r="EO88">
        <v>46.75</v>
      </c>
      <c r="EP88">
        <v>46.811999999999998</v>
      </c>
      <c r="EQ88">
        <v>47.436999999999998</v>
      </c>
      <c r="ER88">
        <v>46.936999999999998</v>
      </c>
      <c r="ES88">
        <v>48.436999999999998</v>
      </c>
      <c r="ET88">
        <v>1755.56</v>
      </c>
      <c r="EU88">
        <v>39.479999999999997</v>
      </c>
      <c r="EV88">
        <v>0</v>
      </c>
      <c r="EW88">
        <v>107.4000000953674</v>
      </c>
      <c r="EX88">
        <v>0</v>
      </c>
      <c r="EY88">
        <v>714.06884000000002</v>
      </c>
      <c r="EZ88">
        <v>-2.9829999942670691</v>
      </c>
      <c r="FA88">
        <v>-79.038461550628284</v>
      </c>
      <c r="FB88">
        <v>13398.88</v>
      </c>
      <c r="FC88">
        <v>15</v>
      </c>
      <c r="FD88">
        <v>1693511149</v>
      </c>
      <c r="FE88" t="s">
        <v>787</v>
      </c>
      <c r="FF88">
        <v>1693511147</v>
      </c>
      <c r="FG88">
        <v>1693511149</v>
      </c>
      <c r="FH88">
        <v>80</v>
      </c>
      <c r="FI88">
        <v>-0.224</v>
      </c>
      <c r="FJ88">
        <v>-5.0000000000000001E-3</v>
      </c>
      <c r="FK88">
        <v>2.0539999999999998</v>
      </c>
      <c r="FL88">
        <v>0.64400000000000002</v>
      </c>
      <c r="FM88">
        <v>300</v>
      </c>
      <c r="FN88">
        <v>24</v>
      </c>
      <c r="FO88">
        <v>0.17</v>
      </c>
      <c r="FP88">
        <v>7.0000000000000007E-2</v>
      </c>
      <c r="FQ88">
        <v>32.487581209304018</v>
      </c>
      <c r="FR88">
        <v>0.5171152754262357</v>
      </c>
      <c r="FS88">
        <v>7.2449718563769444E-2</v>
      </c>
      <c r="FT88">
        <v>1</v>
      </c>
      <c r="FU88">
        <v>0.32664938043599018</v>
      </c>
      <c r="FV88">
        <v>3.3092560427367301E-2</v>
      </c>
      <c r="FW88">
        <v>4.7983700885905547E-3</v>
      </c>
      <c r="FX88">
        <v>1</v>
      </c>
      <c r="FY88">
        <v>2</v>
      </c>
      <c r="FZ88">
        <v>2</v>
      </c>
      <c r="GA88" t="s">
        <v>421</v>
      </c>
      <c r="GB88">
        <v>3.1181399999999999</v>
      </c>
      <c r="GC88">
        <v>2.8648099999999999</v>
      </c>
      <c r="GD88">
        <v>6.5168900000000002E-2</v>
      </c>
      <c r="GE88">
        <v>7.6005699999999995E-2</v>
      </c>
      <c r="GF88">
        <v>0.129688</v>
      </c>
      <c r="GG88">
        <v>0.118154</v>
      </c>
      <c r="GH88">
        <v>28298.799999999999</v>
      </c>
      <c r="GI88">
        <v>21728.400000000001</v>
      </c>
      <c r="GJ88">
        <v>29180.6</v>
      </c>
      <c r="GK88">
        <v>21915.3</v>
      </c>
      <c r="GL88">
        <v>33999</v>
      </c>
      <c r="GM88">
        <v>26585.7</v>
      </c>
      <c r="GN88">
        <v>40491.9</v>
      </c>
      <c r="GO88">
        <v>31136.9</v>
      </c>
      <c r="GP88">
        <v>2.0327999999999999</v>
      </c>
      <c r="GQ88">
        <v>1.8407</v>
      </c>
      <c r="GR88">
        <v>9.0837500000000002E-2</v>
      </c>
      <c r="GS88">
        <v>0</v>
      </c>
      <c r="GT88">
        <v>28.502600000000001</v>
      </c>
      <c r="GU88">
        <v>999.9</v>
      </c>
      <c r="GV88">
        <v>47.6</v>
      </c>
      <c r="GW88">
        <v>38.4</v>
      </c>
      <c r="GX88">
        <v>32.5336</v>
      </c>
      <c r="GY88">
        <v>61.982300000000002</v>
      </c>
      <c r="GZ88">
        <v>12.9087</v>
      </c>
      <c r="HA88">
        <v>1</v>
      </c>
      <c r="HB88">
        <v>0.19048799999999999</v>
      </c>
      <c r="HC88">
        <v>0.45964100000000002</v>
      </c>
      <c r="HD88">
        <v>20.274799999999999</v>
      </c>
      <c r="HE88">
        <v>5.2352600000000002</v>
      </c>
      <c r="HF88">
        <v>11.974</v>
      </c>
      <c r="HG88">
        <v>4.9744000000000002</v>
      </c>
      <c r="HH88">
        <v>3.2839999999999998</v>
      </c>
      <c r="HI88">
        <v>9999</v>
      </c>
      <c r="HJ88">
        <v>9999</v>
      </c>
      <c r="HK88">
        <v>9999</v>
      </c>
      <c r="HL88">
        <v>999.9</v>
      </c>
      <c r="HM88">
        <v>1.86171</v>
      </c>
      <c r="HN88">
        <v>1.8633599999999999</v>
      </c>
      <c r="HO88">
        <v>1.8687400000000001</v>
      </c>
      <c r="HP88">
        <v>1.85944</v>
      </c>
      <c r="HQ88">
        <v>1.8577600000000001</v>
      </c>
      <c r="HR88">
        <v>1.8614299999999999</v>
      </c>
      <c r="HS88">
        <v>1.8653599999999999</v>
      </c>
      <c r="HT88">
        <v>1.86737</v>
      </c>
      <c r="HU88">
        <v>5</v>
      </c>
      <c r="HV88">
        <v>0</v>
      </c>
      <c r="HW88">
        <v>0</v>
      </c>
      <c r="HX88">
        <v>0</v>
      </c>
      <c r="HY88" t="s">
        <v>422</v>
      </c>
      <c r="HZ88" t="s">
        <v>423</v>
      </c>
      <c r="IA88" t="s">
        <v>424</v>
      </c>
      <c r="IB88" t="s">
        <v>424</v>
      </c>
      <c r="IC88" t="s">
        <v>424</v>
      </c>
      <c r="ID88" t="s">
        <v>424</v>
      </c>
      <c r="IE88">
        <v>0</v>
      </c>
      <c r="IF88">
        <v>100</v>
      </c>
      <c r="IG88">
        <v>100</v>
      </c>
      <c r="IH88">
        <v>2.0419999999999998</v>
      </c>
      <c r="II88">
        <v>0.93089999999999995</v>
      </c>
      <c r="IJ88">
        <v>1.8565270166368351</v>
      </c>
      <c r="IK88">
        <v>1.118558698776514E-3</v>
      </c>
      <c r="IL88">
        <v>-1.6939696309573479E-6</v>
      </c>
      <c r="IM88">
        <v>5.4698917449866148E-10</v>
      </c>
      <c r="IN88">
        <v>3.623734090181252E-2</v>
      </c>
      <c r="IO88">
        <v>-7.6058941998734366E-3</v>
      </c>
      <c r="IP88">
        <v>1.6984902717538061E-3</v>
      </c>
      <c r="IQ88">
        <v>-9.6352527008986976E-6</v>
      </c>
      <c r="IR88">
        <v>2</v>
      </c>
      <c r="IS88">
        <v>2021</v>
      </c>
      <c r="IT88">
        <v>2</v>
      </c>
      <c r="IU88">
        <v>40</v>
      </c>
      <c r="IV88">
        <v>0.5</v>
      </c>
      <c r="IW88">
        <v>0.5</v>
      </c>
      <c r="IX88">
        <v>0.81298800000000004</v>
      </c>
      <c r="IY88">
        <v>2.5280800000000001</v>
      </c>
      <c r="IZ88">
        <v>1.34399</v>
      </c>
      <c r="JA88">
        <v>2.2399900000000001</v>
      </c>
      <c r="JB88">
        <v>1.5918000000000001</v>
      </c>
      <c r="JC88">
        <v>2.34619</v>
      </c>
      <c r="JD88">
        <v>45.261899999999997</v>
      </c>
      <c r="JE88">
        <v>23.886099999999999</v>
      </c>
      <c r="JF88">
        <v>18</v>
      </c>
      <c r="JG88">
        <v>513.798</v>
      </c>
      <c r="JH88">
        <v>427.63</v>
      </c>
      <c r="JI88">
        <v>28.2486</v>
      </c>
      <c r="JJ88">
        <v>30.016999999999999</v>
      </c>
      <c r="JK88">
        <v>30.0001</v>
      </c>
      <c r="JL88">
        <v>29.932500000000001</v>
      </c>
      <c r="JM88">
        <v>29.8901</v>
      </c>
      <c r="JN88">
        <v>16.3401</v>
      </c>
      <c r="JO88">
        <v>31.066099999999999</v>
      </c>
      <c r="JP88">
        <v>54.347900000000003</v>
      </c>
      <c r="JQ88">
        <v>28.242100000000001</v>
      </c>
      <c r="JR88">
        <v>300</v>
      </c>
      <c r="JS88">
        <v>23.5396</v>
      </c>
      <c r="JT88">
        <v>99.485900000000001</v>
      </c>
      <c r="JU88">
        <v>98.376400000000004</v>
      </c>
    </row>
    <row r="89" spans="1:281" x14ac:dyDescent="0.25">
      <c r="A89">
        <v>73</v>
      </c>
      <c r="B89">
        <v>1693511359</v>
      </c>
      <c r="C89">
        <v>16432.400000095371</v>
      </c>
      <c r="D89" t="s">
        <v>788</v>
      </c>
      <c r="E89" t="s">
        <v>789</v>
      </c>
      <c r="F89" t="s">
        <v>413</v>
      </c>
      <c r="G89" t="s">
        <v>778</v>
      </c>
      <c r="H89" t="s">
        <v>779</v>
      </c>
      <c r="I89" t="s">
        <v>31</v>
      </c>
      <c r="J89">
        <v>1693511359</v>
      </c>
      <c r="K89">
        <f t="shared" si="92"/>
        <v>5.3656317432529662E-3</v>
      </c>
      <c r="L89">
        <f t="shared" si="93"/>
        <v>5.3656317432529663</v>
      </c>
      <c r="M89">
        <f t="shared" si="94"/>
        <v>25.216616963757655</v>
      </c>
      <c r="N89">
        <f t="shared" si="95"/>
        <v>168.68600000000001</v>
      </c>
      <c r="O89">
        <f t="shared" si="96"/>
        <v>58.754287702271256</v>
      </c>
      <c r="P89">
        <f t="shared" si="97"/>
        <v>5.8537710584657523</v>
      </c>
      <c r="Q89">
        <f t="shared" si="98"/>
        <v>16.80641981011</v>
      </c>
      <c r="R89">
        <f t="shared" si="99"/>
        <v>0.40026726159560444</v>
      </c>
      <c r="S89">
        <f t="shared" si="100"/>
        <v>2.922188395080465</v>
      </c>
      <c r="T89">
        <f t="shared" si="101"/>
        <v>0.3721129576456611</v>
      </c>
      <c r="U89">
        <f t="shared" si="102"/>
        <v>0.23493491402649785</v>
      </c>
      <c r="V89">
        <f t="shared" si="103"/>
        <v>344.34979964466032</v>
      </c>
      <c r="W89">
        <f t="shared" si="104"/>
        <v>31.147413650132663</v>
      </c>
      <c r="X89">
        <f t="shared" si="105"/>
        <v>29.9331</v>
      </c>
      <c r="Y89">
        <f t="shared" si="106"/>
        <v>4.2441056099008625</v>
      </c>
      <c r="Z89">
        <f t="shared" si="107"/>
        <v>65.156709969358289</v>
      </c>
      <c r="AA89">
        <f t="shared" si="108"/>
        <v>2.8586934403894997</v>
      </c>
      <c r="AB89">
        <f t="shared" si="109"/>
        <v>4.3874121970459807</v>
      </c>
      <c r="AC89">
        <f t="shared" si="110"/>
        <v>1.3854121695113628</v>
      </c>
      <c r="AD89">
        <f t="shared" si="111"/>
        <v>-236.62435987745582</v>
      </c>
      <c r="AE89">
        <f t="shared" si="112"/>
        <v>91.232005119555311</v>
      </c>
      <c r="AF89">
        <f t="shared" si="113"/>
        <v>6.9572166698938647</v>
      </c>
      <c r="AG89">
        <f t="shared" si="114"/>
        <v>205.91466155665367</v>
      </c>
      <c r="AH89">
        <v>0</v>
      </c>
      <c r="AI89">
        <v>0</v>
      </c>
      <c r="AJ89">
        <f t="shared" si="115"/>
        <v>1</v>
      </c>
      <c r="AK89">
        <f t="shared" si="116"/>
        <v>0</v>
      </c>
      <c r="AL89">
        <f t="shared" si="117"/>
        <v>52045.209855778325</v>
      </c>
      <c r="AM89" t="s">
        <v>416</v>
      </c>
      <c r="AN89">
        <v>10366.9</v>
      </c>
      <c r="AO89">
        <v>993.59653846153856</v>
      </c>
      <c r="AP89">
        <v>3431.87</v>
      </c>
      <c r="AQ89">
        <f t="shared" si="118"/>
        <v>0.71047955241266758</v>
      </c>
      <c r="AR89">
        <v>-3.9894345373445681</v>
      </c>
      <c r="AS89" t="s">
        <v>790</v>
      </c>
      <c r="AT89">
        <v>10393.6</v>
      </c>
      <c r="AU89">
        <v>708.79108000000008</v>
      </c>
      <c r="AV89">
        <v>889.41010812444313</v>
      </c>
      <c r="AW89">
        <f t="shared" si="119"/>
        <v>0.20307732785421806</v>
      </c>
      <c r="AX89">
        <v>0.5</v>
      </c>
      <c r="AY89">
        <f t="shared" si="120"/>
        <v>1513.10039982233</v>
      </c>
      <c r="AZ89">
        <f t="shared" si="121"/>
        <v>25.216616963757655</v>
      </c>
      <c r="BA89">
        <f t="shared" si="122"/>
        <v>153.63819298553386</v>
      </c>
      <c r="BB89">
        <f t="shared" si="123"/>
        <v>1.930212397308971E-2</v>
      </c>
      <c r="BC89">
        <f t="shared" si="124"/>
        <v>2.8585911815607843</v>
      </c>
      <c r="BD89">
        <f t="shared" si="125"/>
        <v>543.65579998169562</v>
      </c>
      <c r="BE89" t="s">
        <v>791</v>
      </c>
      <c r="BF89">
        <v>568.16</v>
      </c>
      <c r="BG89">
        <f t="shared" si="126"/>
        <v>568.16</v>
      </c>
      <c r="BH89">
        <f t="shared" si="127"/>
        <v>0.36119457738329974</v>
      </c>
      <c r="BI89">
        <f t="shared" si="128"/>
        <v>0.5622380306078415</v>
      </c>
      <c r="BJ89">
        <f t="shared" si="129"/>
        <v>0.88782030718039073</v>
      </c>
      <c r="BK89">
        <f t="shared" si="130"/>
        <v>-1.7336137493150479</v>
      </c>
      <c r="BL89">
        <f t="shared" si="131"/>
        <v>1.0427295920578807</v>
      </c>
      <c r="BM89">
        <f t="shared" si="132"/>
        <v>0.4506845084311038</v>
      </c>
      <c r="BN89">
        <f t="shared" si="133"/>
        <v>0.54931549156889625</v>
      </c>
      <c r="BO89">
        <v>2293</v>
      </c>
      <c r="BP89">
        <v>290.00000000000011</v>
      </c>
      <c r="BQ89">
        <v>840.12</v>
      </c>
      <c r="BR89">
        <v>215</v>
      </c>
      <c r="BS89">
        <v>10393.6</v>
      </c>
      <c r="BT89">
        <v>839.7</v>
      </c>
      <c r="BU89">
        <v>0.42</v>
      </c>
      <c r="BV89">
        <v>300.00000000000011</v>
      </c>
      <c r="BW89">
        <v>38.4</v>
      </c>
      <c r="BX89">
        <v>889.41010812444313</v>
      </c>
      <c r="BY89">
        <v>1.227862256033835</v>
      </c>
      <c r="BZ89">
        <v>-51.668843715938387</v>
      </c>
      <c r="CA89">
        <v>1.044651714243471</v>
      </c>
      <c r="CB89">
        <v>0.98868378989787598</v>
      </c>
      <c r="CC89">
        <v>-1.131106184649611E-2</v>
      </c>
      <c r="CD89">
        <v>289.99999999999989</v>
      </c>
      <c r="CE89">
        <v>838.42</v>
      </c>
      <c r="CF89">
        <v>705</v>
      </c>
      <c r="CG89">
        <v>10370.799999999999</v>
      </c>
      <c r="CH89">
        <v>839.59</v>
      </c>
      <c r="CI89">
        <v>-1.17</v>
      </c>
      <c r="CW89">
        <f t="shared" si="134"/>
        <v>1799.9</v>
      </c>
      <c r="CX89">
        <f t="shared" si="135"/>
        <v>1513.10039982233</v>
      </c>
      <c r="CY89">
        <f t="shared" si="136"/>
        <v>0.84065803645887549</v>
      </c>
      <c r="CZ89">
        <f t="shared" si="137"/>
        <v>0.19131607291775116</v>
      </c>
      <c r="DA89">
        <v>6</v>
      </c>
      <c r="DB89">
        <v>0.5</v>
      </c>
      <c r="DC89" t="s">
        <v>419</v>
      </c>
      <c r="DD89">
        <v>2</v>
      </c>
      <c r="DE89">
        <v>1693511359</v>
      </c>
      <c r="DF89">
        <v>168.68600000000001</v>
      </c>
      <c r="DG89">
        <v>200.03</v>
      </c>
      <c r="DH89">
        <v>28.692699999999999</v>
      </c>
      <c r="DI89">
        <v>22.4391</v>
      </c>
      <c r="DJ89">
        <v>166.815</v>
      </c>
      <c r="DK89">
        <v>27.775200000000002</v>
      </c>
      <c r="DL89">
        <v>500.03300000000002</v>
      </c>
      <c r="DM89">
        <v>99.531199999999998</v>
      </c>
      <c r="DN89">
        <v>0.100185</v>
      </c>
      <c r="DO89">
        <v>30.5122</v>
      </c>
      <c r="DP89">
        <v>29.9331</v>
      </c>
      <c r="DQ89">
        <v>999.9</v>
      </c>
      <c r="DR89">
        <v>0</v>
      </c>
      <c r="DS89">
        <v>0</v>
      </c>
      <c r="DT89">
        <v>10005</v>
      </c>
      <c r="DU89">
        <v>0</v>
      </c>
      <c r="DV89">
        <v>1899.09</v>
      </c>
      <c r="DW89">
        <v>-31.3432</v>
      </c>
      <c r="DX89">
        <v>173.66900000000001</v>
      </c>
      <c r="DY89">
        <v>204.62100000000001</v>
      </c>
      <c r="DZ89">
        <v>6.2535600000000002</v>
      </c>
      <c r="EA89">
        <v>200.03</v>
      </c>
      <c r="EB89">
        <v>22.4391</v>
      </c>
      <c r="EC89">
        <v>2.85582</v>
      </c>
      <c r="ED89">
        <v>2.23339</v>
      </c>
      <c r="EE89">
        <v>23.2103</v>
      </c>
      <c r="EF89">
        <v>19.203900000000001</v>
      </c>
      <c r="EG89">
        <v>1799.9</v>
      </c>
      <c r="EH89">
        <v>0.97800500000000001</v>
      </c>
      <c r="EI89">
        <v>2.1995299999999999E-2</v>
      </c>
      <c r="EJ89">
        <v>0</v>
      </c>
      <c r="EK89">
        <v>708.61099999999999</v>
      </c>
      <c r="EL89">
        <v>5.0002700000000004</v>
      </c>
      <c r="EM89">
        <v>13299.8</v>
      </c>
      <c r="EN89">
        <v>16247.7</v>
      </c>
      <c r="EO89">
        <v>46.625</v>
      </c>
      <c r="EP89">
        <v>46.686999999999998</v>
      </c>
      <c r="EQ89">
        <v>47.311999999999998</v>
      </c>
      <c r="ER89">
        <v>46.811999999999998</v>
      </c>
      <c r="ES89">
        <v>48.311999999999998</v>
      </c>
      <c r="ET89">
        <v>1755.42</v>
      </c>
      <c r="EU89">
        <v>39.479999999999997</v>
      </c>
      <c r="EV89">
        <v>0</v>
      </c>
      <c r="EW89">
        <v>180.80000019073489</v>
      </c>
      <c r="EX89">
        <v>0</v>
      </c>
      <c r="EY89">
        <v>708.79108000000008</v>
      </c>
      <c r="EZ89">
        <v>-1.670384612252698</v>
      </c>
      <c r="FA89">
        <v>14.75384609836598</v>
      </c>
      <c r="FB89">
        <v>13297.075999999999</v>
      </c>
      <c r="FC89">
        <v>15</v>
      </c>
      <c r="FD89">
        <v>1693511312.5</v>
      </c>
      <c r="FE89" t="s">
        <v>792</v>
      </c>
      <c r="FF89">
        <v>1693511299</v>
      </c>
      <c r="FG89">
        <v>1693511312.5</v>
      </c>
      <c r="FH89">
        <v>81</v>
      </c>
      <c r="FI89">
        <v>-0.126</v>
      </c>
      <c r="FJ89">
        <v>-1.0999999999999999E-2</v>
      </c>
      <c r="FK89">
        <v>1.889</v>
      </c>
      <c r="FL89">
        <v>0.59899999999999998</v>
      </c>
      <c r="FM89">
        <v>200</v>
      </c>
      <c r="FN89">
        <v>23</v>
      </c>
      <c r="FO89">
        <v>0.18</v>
      </c>
      <c r="FP89">
        <v>0.05</v>
      </c>
      <c r="FQ89">
        <v>25.028459757917869</v>
      </c>
      <c r="FR89">
        <v>0.5705424589363971</v>
      </c>
      <c r="FS89">
        <v>7.8937654060803941E-2</v>
      </c>
      <c r="FT89">
        <v>1</v>
      </c>
      <c r="FU89">
        <v>0.40040904856540188</v>
      </c>
      <c r="FV89">
        <v>-1.3836758521559839E-4</v>
      </c>
      <c r="FW89">
        <v>1.018996719351952E-3</v>
      </c>
      <c r="FX89">
        <v>1</v>
      </c>
      <c r="FY89">
        <v>2</v>
      </c>
      <c r="FZ89">
        <v>2</v>
      </c>
      <c r="GA89" t="s">
        <v>421</v>
      </c>
      <c r="GB89">
        <v>3.11809</v>
      </c>
      <c r="GC89">
        <v>2.86538</v>
      </c>
      <c r="GD89">
        <v>4.4497500000000002E-2</v>
      </c>
      <c r="GE89">
        <v>5.3858799999999998E-2</v>
      </c>
      <c r="GF89">
        <v>0.129575</v>
      </c>
      <c r="GG89">
        <v>0.11429599999999999</v>
      </c>
      <c r="GH89">
        <v>28923.200000000001</v>
      </c>
      <c r="GI89">
        <v>22252</v>
      </c>
      <c r="GJ89">
        <v>29179.1</v>
      </c>
      <c r="GK89">
        <v>21918</v>
      </c>
      <c r="GL89">
        <v>33999.4</v>
      </c>
      <c r="GM89">
        <v>26702.5</v>
      </c>
      <c r="GN89">
        <v>40489.800000000003</v>
      </c>
      <c r="GO89">
        <v>31139.9</v>
      </c>
      <c r="GP89">
        <v>2.0348999999999999</v>
      </c>
      <c r="GQ89">
        <v>1.8349</v>
      </c>
      <c r="GR89">
        <v>9.1224899999999998E-2</v>
      </c>
      <c r="GS89">
        <v>0</v>
      </c>
      <c r="GT89">
        <v>28.4465</v>
      </c>
      <c r="GU89">
        <v>999.9</v>
      </c>
      <c r="GV89">
        <v>46</v>
      </c>
      <c r="GW89">
        <v>38.799999999999997</v>
      </c>
      <c r="GX89">
        <v>32.124499999999998</v>
      </c>
      <c r="GY89">
        <v>61.712200000000003</v>
      </c>
      <c r="GZ89">
        <v>13.0609</v>
      </c>
      <c r="HA89">
        <v>1</v>
      </c>
      <c r="HB89">
        <v>0.188994</v>
      </c>
      <c r="HC89">
        <v>-0.47103499999999998</v>
      </c>
      <c r="HD89">
        <v>20.275099999999998</v>
      </c>
      <c r="HE89">
        <v>5.2352600000000002</v>
      </c>
      <c r="HF89">
        <v>11.974</v>
      </c>
      <c r="HG89">
        <v>4.9737999999999998</v>
      </c>
      <c r="HH89">
        <v>3.2839999999999998</v>
      </c>
      <c r="HI89">
        <v>9999</v>
      </c>
      <c r="HJ89">
        <v>9999</v>
      </c>
      <c r="HK89">
        <v>9999</v>
      </c>
      <c r="HL89">
        <v>999.9</v>
      </c>
      <c r="HM89">
        <v>1.86172</v>
      </c>
      <c r="HN89">
        <v>1.8633200000000001</v>
      </c>
      <c r="HO89">
        <v>1.86873</v>
      </c>
      <c r="HP89">
        <v>1.85944</v>
      </c>
      <c r="HQ89">
        <v>1.8577600000000001</v>
      </c>
      <c r="HR89">
        <v>1.8614200000000001</v>
      </c>
      <c r="HS89">
        <v>1.8652500000000001</v>
      </c>
      <c r="HT89">
        <v>1.8673299999999999</v>
      </c>
      <c r="HU89">
        <v>5</v>
      </c>
      <c r="HV89">
        <v>0</v>
      </c>
      <c r="HW89">
        <v>0</v>
      </c>
      <c r="HX89">
        <v>0</v>
      </c>
      <c r="HY89" t="s">
        <v>422</v>
      </c>
      <c r="HZ89" t="s">
        <v>423</v>
      </c>
      <c r="IA89" t="s">
        <v>424</v>
      </c>
      <c r="IB89" t="s">
        <v>424</v>
      </c>
      <c r="IC89" t="s">
        <v>424</v>
      </c>
      <c r="ID89" t="s">
        <v>424</v>
      </c>
      <c r="IE89">
        <v>0</v>
      </c>
      <c r="IF89">
        <v>100</v>
      </c>
      <c r="IG89">
        <v>100</v>
      </c>
      <c r="IH89">
        <v>1.871</v>
      </c>
      <c r="II89">
        <v>0.91749999999999998</v>
      </c>
      <c r="IJ89">
        <v>1.7299221457153069</v>
      </c>
      <c r="IK89">
        <v>1.118558698776514E-3</v>
      </c>
      <c r="IL89">
        <v>-1.6939696309573479E-6</v>
      </c>
      <c r="IM89">
        <v>5.4698917449866148E-10</v>
      </c>
      <c r="IN89">
        <v>2.4859941786836481E-2</v>
      </c>
      <c r="IO89">
        <v>-7.6058941998734366E-3</v>
      </c>
      <c r="IP89">
        <v>1.6984902717538061E-3</v>
      </c>
      <c r="IQ89">
        <v>-9.6352527008986976E-6</v>
      </c>
      <c r="IR89">
        <v>2</v>
      </c>
      <c r="IS89">
        <v>2021</v>
      </c>
      <c r="IT89">
        <v>2</v>
      </c>
      <c r="IU89">
        <v>40</v>
      </c>
      <c r="IV89">
        <v>1</v>
      </c>
      <c r="IW89">
        <v>0.8</v>
      </c>
      <c r="IX89">
        <v>0.59448199999999995</v>
      </c>
      <c r="IY89">
        <v>2.5366200000000001</v>
      </c>
      <c r="IZ89">
        <v>1.34399</v>
      </c>
      <c r="JA89">
        <v>2.2387700000000001</v>
      </c>
      <c r="JB89">
        <v>1.5918000000000001</v>
      </c>
      <c r="JC89">
        <v>2.3840300000000001</v>
      </c>
      <c r="JD89">
        <v>45.4328</v>
      </c>
      <c r="JE89">
        <v>23.877400000000002</v>
      </c>
      <c r="JF89">
        <v>18</v>
      </c>
      <c r="JG89">
        <v>515.07600000000002</v>
      </c>
      <c r="JH89">
        <v>423.89100000000002</v>
      </c>
      <c r="JI89">
        <v>29.100999999999999</v>
      </c>
      <c r="JJ89">
        <v>29.996300000000002</v>
      </c>
      <c r="JK89">
        <v>29.9999</v>
      </c>
      <c r="JL89">
        <v>29.9222</v>
      </c>
      <c r="JM89">
        <v>29.879899999999999</v>
      </c>
      <c r="JN89">
        <v>11.984</v>
      </c>
      <c r="JO89">
        <v>32.405099999999997</v>
      </c>
      <c r="JP89">
        <v>48.530999999999999</v>
      </c>
      <c r="JQ89">
        <v>29.142900000000001</v>
      </c>
      <c r="JR89">
        <v>200</v>
      </c>
      <c r="JS89">
        <v>22.424800000000001</v>
      </c>
      <c r="JT89">
        <v>99.480599999999995</v>
      </c>
      <c r="JU89">
        <v>98.387</v>
      </c>
    </row>
    <row r="90" spans="1:281" x14ac:dyDescent="0.25">
      <c r="A90">
        <v>74</v>
      </c>
      <c r="B90">
        <v>1693511463.5</v>
      </c>
      <c r="C90">
        <v>16536.900000095371</v>
      </c>
      <c r="D90" t="s">
        <v>793</v>
      </c>
      <c r="E90" t="s">
        <v>794</v>
      </c>
      <c r="F90" t="s">
        <v>413</v>
      </c>
      <c r="G90" t="s">
        <v>778</v>
      </c>
      <c r="H90" t="s">
        <v>779</v>
      </c>
      <c r="I90" t="s">
        <v>31</v>
      </c>
      <c r="J90">
        <v>1693511463.5</v>
      </c>
      <c r="K90">
        <f t="shared" si="92"/>
        <v>5.6026899805822084E-3</v>
      </c>
      <c r="L90">
        <f t="shared" si="93"/>
        <v>5.6026899805822081</v>
      </c>
      <c r="M90">
        <f t="shared" si="94"/>
        <v>15.735539956389998</v>
      </c>
      <c r="N90">
        <f t="shared" si="95"/>
        <v>100.42400000000001</v>
      </c>
      <c r="O90">
        <f t="shared" si="96"/>
        <v>35.3936815447261</v>
      </c>
      <c r="P90">
        <f t="shared" si="97"/>
        <v>3.5263136586920658</v>
      </c>
      <c r="Q90">
        <f t="shared" si="98"/>
        <v>10.005359923154399</v>
      </c>
      <c r="R90">
        <f t="shared" si="99"/>
        <v>0.42369836360477753</v>
      </c>
      <c r="S90">
        <f t="shared" si="100"/>
        <v>2.9248153097103948</v>
      </c>
      <c r="T90">
        <f t="shared" si="101"/>
        <v>0.39231591863018656</v>
      </c>
      <c r="U90">
        <f t="shared" si="102"/>
        <v>0.2478230542460349</v>
      </c>
      <c r="V90">
        <f t="shared" si="103"/>
        <v>344.41439964472744</v>
      </c>
      <c r="W90">
        <f t="shared" si="104"/>
        <v>31.241508295691652</v>
      </c>
      <c r="X90">
        <f t="shared" si="105"/>
        <v>30.037199999999999</v>
      </c>
      <c r="Y90">
        <f t="shared" si="106"/>
        <v>4.2695617157874102</v>
      </c>
      <c r="Z90">
        <f t="shared" si="107"/>
        <v>65.464087580268554</v>
      </c>
      <c r="AA90">
        <f t="shared" si="108"/>
        <v>2.8979018992755301</v>
      </c>
      <c r="AB90">
        <f t="shared" si="109"/>
        <v>4.4267047879072301</v>
      </c>
      <c r="AC90">
        <f t="shared" si="110"/>
        <v>1.3716598165118801</v>
      </c>
      <c r="AD90">
        <f t="shared" si="111"/>
        <v>-247.07862814367539</v>
      </c>
      <c r="AE90">
        <f t="shared" si="112"/>
        <v>99.481979454256759</v>
      </c>
      <c r="AF90">
        <f t="shared" si="113"/>
        <v>7.5892878926691987</v>
      </c>
      <c r="AG90">
        <f t="shared" si="114"/>
        <v>204.40703884797799</v>
      </c>
      <c r="AH90">
        <v>0</v>
      </c>
      <c r="AI90">
        <v>0</v>
      </c>
      <c r="AJ90">
        <f t="shared" si="115"/>
        <v>1</v>
      </c>
      <c r="AK90">
        <f t="shared" si="116"/>
        <v>0</v>
      </c>
      <c r="AL90">
        <f t="shared" si="117"/>
        <v>52093.318106042476</v>
      </c>
      <c r="AM90" t="s">
        <v>416</v>
      </c>
      <c r="AN90">
        <v>10366.9</v>
      </c>
      <c r="AO90">
        <v>993.59653846153856</v>
      </c>
      <c r="AP90">
        <v>3431.87</v>
      </c>
      <c r="AQ90">
        <f t="shared" si="118"/>
        <v>0.71047955241266758</v>
      </c>
      <c r="AR90">
        <v>-3.9894345373445681</v>
      </c>
      <c r="AS90" t="s">
        <v>795</v>
      </c>
      <c r="AT90">
        <v>10390.799999999999</v>
      </c>
      <c r="AU90">
        <v>715.2103461538461</v>
      </c>
      <c r="AV90">
        <v>844.23636791901185</v>
      </c>
      <c r="AW90">
        <f t="shared" si="119"/>
        <v>0.15283163183695414</v>
      </c>
      <c r="AX90">
        <v>0.5</v>
      </c>
      <c r="AY90">
        <f t="shared" si="120"/>
        <v>1513.3859998223638</v>
      </c>
      <c r="AZ90">
        <f t="shared" si="121"/>
        <v>15.735539956389998</v>
      </c>
      <c r="BA90">
        <f t="shared" si="122"/>
        <v>115.64662597602613</v>
      </c>
      <c r="BB90">
        <f t="shared" si="123"/>
        <v>1.3033670521631504E-2</v>
      </c>
      <c r="BC90">
        <f t="shared" si="124"/>
        <v>3.0650582353604805</v>
      </c>
      <c r="BD90">
        <f t="shared" si="125"/>
        <v>526.43748057208074</v>
      </c>
      <c r="BE90" t="s">
        <v>796</v>
      </c>
      <c r="BF90">
        <v>572.61</v>
      </c>
      <c r="BG90">
        <f t="shared" si="126"/>
        <v>572.61</v>
      </c>
      <c r="BH90">
        <f t="shared" si="127"/>
        <v>0.32174208342688826</v>
      </c>
      <c r="BI90">
        <f t="shared" si="128"/>
        <v>0.47501287431578132</v>
      </c>
      <c r="BJ90">
        <f t="shared" si="129"/>
        <v>0.90500116536481046</v>
      </c>
      <c r="BK90">
        <f t="shared" si="130"/>
        <v>-0.8638582916482993</v>
      </c>
      <c r="BL90">
        <f t="shared" si="131"/>
        <v>1.0612565296298986</v>
      </c>
      <c r="BM90">
        <f t="shared" si="132"/>
        <v>0.38030367349223343</v>
      </c>
      <c r="BN90">
        <f t="shared" si="133"/>
        <v>0.61969632650776663</v>
      </c>
      <c r="BO90">
        <v>2295</v>
      </c>
      <c r="BP90">
        <v>290.00000000000011</v>
      </c>
      <c r="BQ90">
        <v>812.14</v>
      </c>
      <c r="BR90">
        <v>235</v>
      </c>
      <c r="BS90">
        <v>10390.799999999999</v>
      </c>
      <c r="BT90">
        <v>811.77</v>
      </c>
      <c r="BU90">
        <v>0.37</v>
      </c>
      <c r="BV90">
        <v>300.00000000000011</v>
      </c>
      <c r="BW90">
        <v>38.4</v>
      </c>
      <c r="BX90">
        <v>844.23636791901185</v>
      </c>
      <c r="BY90">
        <v>0.97047181442939823</v>
      </c>
      <c r="BZ90">
        <v>-33.733124799385571</v>
      </c>
      <c r="CA90">
        <v>0.82566345256089824</v>
      </c>
      <c r="CB90">
        <v>0.98350218845112081</v>
      </c>
      <c r="CC90">
        <v>-1.1310853392658511E-2</v>
      </c>
      <c r="CD90">
        <v>289.99999999999989</v>
      </c>
      <c r="CE90">
        <v>809.59</v>
      </c>
      <c r="CF90">
        <v>635</v>
      </c>
      <c r="CG90">
        <v>10377.200000000001</v>
      </c>
      <c r="CH90">
        <v>811.73</v>
      </c>
      <c r="CI90">
        <v>-2.14</v>
      </c>
      <c r="CW90">
        <f t="shared" si="134"/>
        <v>1800.24</v>
      </c>
      <c r="CX90">
        <f t="shared" si="135"/>
        <v>1513.3859998223638</v>
      </c>
      <c r="CY90">
        <f t="shared" si="136"/>
        <v>0.84065791217968922</v>
      </c>
      <c r="CZ90">
        <f t="shared" si="137"/>
        <v>0.19131582435937844</v>
      </c>
      <c r="DA90">
        <v>6</v>
      </c>
      <c r="DB90">
        <v>0.5</v>
      </c>
      <c r="DC90" t="s">
        <v>419</v>
      </c>
      <c r="DD90">
        <v>2</v>
      </c>
      <c r="DE90">
        <v>1693511463.5</v>
      </c>
      <c r="DF90">
        <v>100.42400000000001</v>
      </c>
      <c r="DG90">
        <v>119.98099999999999</v>
      </c>
      <c r="DH90">
        <v>29.086300000000001</v>
      </c>
      <c r="DI90">
        <v>22.558900000000001</v>
      </c>
      <c r="DJ90">
        <v>98.661100000000005</v>
      </c>
      <c r="DK90">
        <v>28.150200000000002</v>
      </c>
      <c r="DL90">
        <v>500.02100000000002</v>
      </c>
      <c r="DM90">
        <v>99.531300000000002</v>
      </c>
      <c r="DN90">
        <v>9.9863099999999996E-2</v>
      </c>
      <c r="DO90">
        <v>30.668099999999999</v>
      </c>
      <c r="DP90">
        <v>30.037199999999999</v>
      </c>
      <c r="DQ90">
        <v>999.9</v>
      </c>
      <c r="DR90">
        <v>0</v>
      </c>
      <c r="DS90">
        <v>0</v>
      </c>
      <c r="DT90">
        <v>10020</v>
      </c>
      <c r="DU90">
        <v>0</v>
      </c>
      <c r="DV90">
        <v>1891.01</v>
      </c>
      <c r="DW90">
        <v>-19.556799999999999</v>
      </c>
      <c r="DX90">
        <v>103.43300000000001</v>
      </c>
      <c r="DY90">
        <v>122.75</v>
      </c>
      <c r="DZ90">
        <v>6.5273599999999998</v>
      </c>
      <c r="EA90">
        <v>119.98099999999999</v>
      </c>
      <c r="EB90">
        <v>22.558900000000001</v>
      </c>
      <c r="EC90">
        <v>2.895</v>
      </c>
      <c r="ED90">
        <v>2.24532</v>
      </c>
      <c r="EE90">
        <v>23.436</v>
      </c>
      <c r="EF90">
        <v>19.289400000000001</v>
      </c>
      <c r="EG90">
        <v>1800.24</v>
      </c>
      <c r="EH90">
        <v>0.97800799999999999</v>
      </c>
      <c r="EI90">
        <v>2.1991699999999999E-2</v>
      </c>
      <c r="EJ90">
        <v>0</v>
      </c>
      <c r="EK90">
        <v>714.96100000000001</v>
      </c>
      <c r="EL90">
        <v>5.0002700000000004</v>
      </c>
      <c r="EM90">
        <v>13404.2</v>
      </c>
      <c r="EN90">
        <v>16250.8</v>
      </c>
      <c r="EO90">
        <v>46.625</v>
      </c>
      <c r="EP90">
        <v>46.625</v>
      </c>
      <c r="EQ90">
        <v>47.311999999999998</v>
      </c>
      <c r="ER90">
        <v>46.686999999999998</v>
      </c>
      <c r="ES90">
        <v>48.311999999999998</v>
      </c>
      <c r="ET90">
        <v>1755.76</v>
      </c>
      <c r="EU90">
        <v>39.479999999999997</v>
      </c>
      <c r="EV90">
        <v>0</v>
      </c>
      <c r="EW90">
        <v>102.5999999046326</v>
      </c>
      <c r="EX90">
        <v>0</v>
      </c>
      <c r="EY90">
        <v>715.2103461538461</v>
      </c>
      <c r="EZ90">
        <v>-2.781914518631905</v>
      </c>
      <c r="FA90">
        <v>-54.365811989094112</v>
      </c>
      <c r="FB90">
        <v>13409.815384615389</v>
      </c>
      <c r="FC90">
        <v>15</v>
      </c>
      <c r="FD90">
        <v>1693511435.5</v>
      </c>
      <c r="FE90" t="s">
        <v>797</v>
      </c>
      <c r="FF90">
        <v>1693511425.5</v>
      </c>
      <c r="FG90">
        <v>1693511435.5</v>
      </c>
      <c r="FH90">
        <v>82</v>
      </c>
      <c r="FI90">
        <v>-6.0999999999999999E-2</v>
      </c>
      <c r="FJ90">
        <v>-6.0000000000000001E-3</v>
      </c>
      <c r="FK90">
        <v>1.778</v>
      </c>
      <c r="FL90">
        <v>0.56799999999999995</v>
      </c>
      <c r="FM90">
        <v>120</v>
      </c>
      <c r="FN90">
        <v>23</v>
      </c>
      <c r="FO90">
        <v>0.26</v>
      </c>
      <c r="FP90">
        <v>0.03</v>
      </c>
      <c r="FQ90">
        <v>15.7158749818697</v>
      </c>
      <c r="FR90">
        <v>0.15599925392260319</v>
      </c>
      <c r="FS90">
        <v>4.7432753584752768E-2</v>
      </c>
      <c r="FT90">
        <v>1</v>
      </c>
      <c r="FU90">
        <v>0.42776416489343938</v>
      </c>
      <c r="FV90">
        <v>1.8571991250824E-2</v>
      </c>
      <c r="FW90">
        <v>4.2818915942601518E-3</v>
      </c>
      <c r="FX90">
        <v>1</v>
      </c>
      <c r="FY90">
        <v>2</v>
      </c>
      <c r="FZ90">
        <v>2</v>
      </c>
      <c r="GA90" t="s">
        <v>421</v>
      </c>
      <c r="GB90">
        <v>3.1181100000000002</v>
      </c>
      <c r="GC90">
        <v>2.8651900000000001</v>
      </c>
      <c r="GD90">
        <v>2.7193200000000001E-2</v>
      </c>
      <c r="GE90">
        <v>3.3734899999999998E-2</v>
      </c>
      <c r="GF90">
        <v>0.130805</v>
      </c>
      <c r="GG90">
        <v>0.114728</v>
      </c>
      <c r="GH90">
        <v>29449.8</v>
      </c>
      <c r="GI90">
        <v>22727.4</v>
      </c>
      <c r="GJ90">
        <v>29181.599999999999</v>
      </c>
      <c r="GK90">
        <v>21919.9</v>
      </c>
      <c r="GL90">
        <v>33950.199999999997</v>
      </c>
      <c r="GM90">
        <v>26690.400000000001</v>
      </c>
      <c r="GN90">
        <v>40493.199999999997</v>
      </c>
      <c r="GO90">
        <v>31142.9</v>
      </c>
      <c r="GP90">
        <v>2.0352000000000001</v>
      </c>
      <c r="GQ90">
        <v>1.8334999999999999</v>
      </c>
      <c r="GR90">
        <v>9.3787899999999993E-2</v>
      </c>
      <c r="GS90">
        <v>0</v>
      </c>
      <c r="GT90">
        <v>28.5092</v>
      </c>
      <c r="GU90">
        <v>999.9</v>
      </c>
      <c r="GV90">
        <v>45.2</v>
      </c>
      <c r="GW90">
        <v>38.9</v>
      </c>
      <c r="GX90">
        <v>31.738099999999999</v>
      </c>
      <c r="GY90">
        <v>61.752299999999998</v>
      </c>
      <c r="GZ90">
        <v>13.084899999999999</v>
      </c>
      <c r="HA90">
        <v>1</v>
      </c>
      <c r="HB90">
        <v>0.18725600000000001</v>
      </c>
      <c r="HC90">
        <v>0.66683000000000003</v>
      </c>
      <c r="HD90">
        <v>20.273700000000002</v>
      </c>
      <c r="HE90">
        <v>5.2340600000000004</v>
      </c>
      <c r="HF90">
        <v>11.974</v>
      </c>
      <c r="HG90">
        <v>4.9752000000000001</v>
      </c>
      <c r="HH90">
        <v>3.2839999999999998</v>
      </c>
      <c r="HI90">
        <v>9999</v>
      </c>
      <c r="HJ90">
        <v>9999</v>
      </c>
      <c r="HK90">
        <v>9999</v>
      </c>
      <c r="HL90">
        <v>999.9</v>
      </c>
      <c r="HM90">
        <v>1.86172</v>
      </c>
      <c r="HN90">
        <v>1.8633599999999999</v>
      </c>
      <c r="HO90">
        <v>1.86873</v>
      </c>
      <c r="HP90">
        <v>1.85944</v>
      </c>
      <c r="HQ90">
        <v>1.8577600000000001</v>
      </c>
      <c r="HR90">
        <v>1.8614299999999999</v>
      </c>
      <c r="HS90">
        <v>1.86528</v>
      </c>
      <c r="HT90">
        <v>1.86737</v>
      </c>
      <c r="HU90">
        <v>5</v>
      </c>
      <c r="HV90">
        <v>0</v>
      </c>
      <c r="HW90">
        <v>0</v>
      </c>
      <c r="HX90">
        <v>0</v>
      </c>
      <c r="HY90" t="s">
        <v>422</v>
      </c>
      <c r="HZ90" t="s">
        <v>423</v>
      </c>
      <c r="IA90" t="s">
        <v>424</v>
      </c>
      <c r="IB90" t="s">
        <v>424</v>
      </c>
      <c r="IC90" t="s">
        <v>424</v>
      </c>
      <c r="ID90" t="s">
        <v>424</v>
      </c>
      <c r="IE90">
        <v>0</v>
      </c>
      <c r="IF90">
        <v>100</v>
      </c>
      <c r="IG90">
        <v>100</v>
      </c>
      <c r="IH90">
        <v>1.7629999999999999</v>
      </c>
      <c r="II90">
        <v>0.93610000000000004</v>
      </c>
      <c r="IJ90">
        <v>1.6688743384257601</v>
      </c>
      <c r="IK90">
        <v>1.118558698776514E-3</v>
      </c>
      <c r="IL90">
        <v>-1.6939696309573479E-6</v>
      </c>
      <c r="IM90">
        <v>5.4698917449866148E-10</v>
      </c>
      <c r="IN90">
        <v>1.918493175008262E-2</v>
      </c>
      <c r="IO90">
        <v>-7.6058941998734366E-3</v>
      </c>
      <c r="IP90">
        <v>1.6984902717538061E-3</v>
      </c>
      <c r="IQ90">
        <v>-9.6352527008986976E-6</v>
      </c>
      <c r="IR90">
        <v>2</v>
      </c>
      <c r="IS90">
        <v>2021</v>
      </c>
      <c r="IT90">
        <v>2</v>
      </c>
      <c r="IU90">
        <v>40</v>
      </c>
      <c r="IV90">
        <v>0.6</v>
      </c>
      <c r="IW90">
        <v>0.5</v>
      </c>
      <c r="IX90">
        <v>0.41381800000000002</v>
      </c>
      <c r="IY90">
        <v>2.5415000000000001</v>
      </c>
      <c r="IZ90">
        <v>1.34399</v>
      </c>
      <c r="JA90">
        <v>2.2399900000000001</v>
      </c>
      <c r="JB90">
        <v>1.5918000000000001</v>
      </c>
      <c r="JC90">
        <v>2.3803700000000001</v>
      </c>
      <c r="JD90">
        <v>45.4328</v>
      </c>
      <c r="JE90">
        <v>23.886099999999999</v>
      </c>
      <c r="JF90">
        <v>18</v>
      </c>
      <c r="JG90">
        <v>515.05999999999995</v>
      </c>
      <c r="JH90">
        <v>422.84800000000001</v>
      </c>
      <c r="JI90">
        <v>28.516100000000002</v>
      </c>
      <c r="JJ90">
        <v>29.952200000000001</v>
      </c>
      <c r="JK90">
        <v>30</v>
      </c>
      <c r="JL90">
        <v>29.899000000000001</v>
      </c>
      <c r="JM90">
        <v>29.859300000000001</v>
      </c>
      <c r="JN90">
        <v>8.3874600000000008</v>
      </c>
      <c r="JO90">
        <v>31.4925</v>
      </c>
      <c r="JP90">
        <v>45.8354</v>
      </c>
      <c r="JQ90">
        <v>28.5124</v>
      </c>
      <c r="JR90">
        <v>120</v>
      </c>
      <c r="JS90">
        <v>22.491900000000001</v>
      </c>
      <c r="JT90">
        <v>99.489099999999993</v>
      </c>
      <c r="JU90">
        <v>98.395899999999997</v>
      </c>
    </row>
    <row r="91" spans="1:281" x14ac:dyDescent="0.25">
      <c r="A91">
        <v>75</v>
      </c>
      <c r="B91">
        <v>1693511563</v>
      </c>
      <c r="C91">
        <v>16636.400000095371</v>
      </c>
      <c r="D91" t="s">
        <v>798</v>
      </c>
      <c r="E91" t="s">
        <v>799</v>
      </c>
      <c r="F91" t="s">
        <v>413</v>
      </c>
      <c r="G91" t="s">
        <v>778</v>
      </c>
      <c r="H91" t="s">
        <v>779</v>
      </c>
      <c r="I91" t="s">
        <v>31</v>
      </c>
      <c r="J91">
        <v>1693511563</v>
      </c>
      <c r="K91">
        <f t="shared" si="92"/>
        <v>5.7406796526530152E-3</v>
      </c>
      <c r="L91">
        <f t="shared" si="93"/>
        <v>5.7406796526530153</v>
      </c>
      <c r="M91">
        <f t="shared" si="94"/>
        <v>9.7017448340932901</v>
      </c>
      <c r="N91">
        <f t="shared" si="95"/>
        <v>57.9861</v>
      </c>
      <c r="O91">
        <f t="shared" si="96"/>
        <v>17.418835635110899</v>
      </c>
      <c r="P91">
        <f t="shared" si="97"/>
        <v>1.7353985832606449</v>
      </c>
      <c r="Q91">
        <f t="shared" si="98"/>
        <v>5.7770219489282999</v>
      </c>
      <c r="R91">
        <f t="shared" si="99"/>
        <v>0.41759588801173442</v>
      </c>
      <c r="S91">
        <f t="shared" si="100"/>
        <v>2.9265005174458345</v>
      </c>
      <c r="T91">
        <f t="shared" si="101"/>
        <v>0.38709223971285484</v>
      </c>
      <c r="U91">
        <f t="shared" si="102"/>
        <v>0.2444873416836188</v>
      </c>
      <c r="V91">
        <f t="shared" si="103"/>
        <v>344.37069964468202</v>
      </c>
      <c r="W91">
        <f t="shared" si="104"/>
        <v>31.224307231655992</v>
      </c>
      <c r="X91">
        <f t="shared" si="105"/>
        <v>30.005700000000001</v>
      </c>
      <c r="Y91">
        <f t="shared" si="106"/>
        <v>4.2618448568767686</v>
      </c>
      <c r="Z91">
        <f t="shared" si="107"/>
        <v>64.01753150990514</v>
      </c>
      <c r="AA91">
        <f t="shared" si="108"/>
        <v>2.8369785450873994</v>
      </c>
      <c r="AB91">
        <f t="shared" si="109"/>
        <v>4.4315650387869878</v>
      </c>
      <c r="AC91">
        <f t="shared" si="110"/>
        <v>1.4248663117893692</v>
      </c>
      <c r="AD91">
        <f t="shared" si="111"/>
        <v>-253.16397268199796</v>
      </c>
      <c r="AE91">
        <f t="shared" si="112"/>
        <v>107.53841480308149</v>
      </c>
      <c r="AF91">
        <f t="shared" si="113"/>
        <v>8.1986764218626096</v>
      </c>
      <c r="AG91">
        <f t="shared" si="114"/>
        <v>206.94381818762815</v>
      </c>
      <c r="AH91">
        <v>0</v>
      </c>
      <c r="AI91">
        <v>0</v>
      </c>
      <c r="AJ91">
        <f t="shared" si="115"/>
        <v>1</v>
      </c>
      <c r="AK91">
        <f t="shared" si="116"/>
        <v>0</v>
      </c>
      <c r="AL91">
        <f t="shared" si="117"/>
        <v>52137.967706798234</v>
      </c>
      <c r="AM91" t="s">
        <v>416</v>
      </c>
      <c r="AN91">
        <v>10366.9</v>
      </c>
      <c r="AO91">
        <v>993.59653846153856</v>
      </c>
      <c r="AP91">
        <v>3431.87</v>
      </c>
      <c r="AQ91">
        <f t="shared" si="118"/>
        <v>0.71047955241266758</v>
      </c>
      <c r="AR91">
        <v>-3.9894345373445681</v>
      </c>
      <c r="AS91" t="s">
        <v>800</v>
      </c>
      <c r="AT91">
        <v>10396.700000000001</v>
      </c>
      <c r="AU91">
        <v>721.28783999999996</v>
      </c>
      <c r="AV91">
        <v>808.33189532782694</v>
      </c>
      <c r="AW91">
        <f t="shared" si="119"/>
        <v>0.10768355898232296</v>
      </c>
      <c r="AX91">
        <v>0.5</v>
      </c>
      <c r="AY91">
        <f t="shared" si="120"/>
        <v>1513.1927998223409</v>
      </c>
      <c r="AZ91">
        <f t="shared" si="121"/>
        <v>9.7017448340932901</v>
      </c>
      <c r="BA91">
        <f t="shared" si="122"/>
        <v>81.472993055647734</v>
      </c>
      <c r="BB91">
        <f t="shared" si="123"/>
        <v>9.0478750447697716E-3</v>
      </c>
      <c r="BC91">
        <f t="shared" si="124"/>
        <v>3.2456199239894792</v>
      </c>
      <c r="BD91">
        <f t="shared" si="125"/>
        <v>512.24941927606278</v>
      </c>
      <c r="BE91" t="s">
        <v>801</v>
      </c>
      <c r="BF91">
        <v>586.53</v>
      </c>
      <c r="BG91">
        <f t="shared" si="126"/>
        <v>586.53</v>
      </c>
      <c r="BH91">
        <f t="shared" si="127"/>
        <v>0.27439458545412587</v>
      </c>
      <c r="BI91">
        <f t="shared" si="128"/>
        <v>0.39244053888346803</v>
      </c>
      <c r="BJ91">
        <f t="shared" si="129"/>
        <v>0.92204731408976537</v>
      </c>
      <c r="BK91">
        <f t="shared" si="130"/>
        <v>-0.4698363047341117</v>
      </c>
      <c r="BL91">
        <f t="shared" si="131"/>
        <v>1.075981897049733</v>
      </c>
      <c r="BM91">
        <f t="shared" si="132"/>
        <v>0.31912107276246399</v>
      </c>
      <c r="BN91">
        <f t="shared" si="133"/>
        <v>0.68087892723753596</v>
      </c>
      <c r="BO91">
        <v>2297</v>
      </c>
      <c r="BP91">
        <v>290.00000000000011</v>
      </c>
      <c r="BQ91">
        <v>784.95</v>
      </c>
      <c r="BR91">
        <v>195</v>
      </c>
      <c r="BS91">
        <v>10396.700000000001</v>
      </c>
      <c r="BT91">
        <v>784.08</v>
      </c>
      <c r="BU91">
        <v>0.87</v>
      </c>
      <c r="BV91">
        <v>300.00000000000011</v>
      </c>
      <c r="BW91">
        <v>38.4</v>
      </c>
      <c r="BX91">
        <v>808.33189532782694</v>
      </c>
      <c r="BY91">
        <v>1.039774538806606</v>
      </c>
      <c r="BZ91">
        <v>-25.209740958067801</v>
      </c>
      <c r="CA91">
        <v>0.88464251383766401</v>
      </c>
      <c r="CB91">
        <v>0.96667001442196865</v>
      </c>
      <c r="CC91">
        <v>-1.131110656284761E-2</v>
      </c>
      <c r="CD91">
        <v>289.99999999999989</v>
      </c>
      <c r="CE91">
        <v>780.77</v>
      </c>
      <c r="CF91">
        <v>705</v>
      </c>
      <c r="CG91">
        <v>10370.9</v>
      </c>
      <c r="CH91">
        <v>784.02</v>
      </c>
      <c r="CI91">
        <v>-3.25</v>
      </c>
      <c r="CW91">
        <f t="shared" si="134"/>
        <v>1800.01</v>
      </c>
      <c r="CX91">
        <f t="shared" si="135"/>
        <v>1513.1927998223409</v>
      </c>
      <c r="CY91">
        <f t="shared" si="136"/>
        <v>0.84065799624576587</v>
      </c>
      <c r="CZ91">
        <f t="shared" si="137"/>
        <v>0.19131599249153172</v>
      </c>
      <c r="DA91">
        <v>6</v>
      </c>
      <c r="DB91">
        <v>0.5</v>
      </c>
      <c r="DC91" t="s">
        <v>419</v>
      </c>
      <c r="DD91">
        <v>2</v>
      </c>
      <c r="DE91">
        <v>1693511563</v>
      </c>
      <c r="DF91">
        <v>57.9861</v>
      </c>
      <c r="DG91">
        <v>70.021799999999999</v>
      </c>
      <c r="DH91">
        <v>28.4758</v>
      </c>
      <c r="DI91">
        <v>21.7864</v>
      </c>
      <c r="DJ91">
        <v>56.2331</v>
      </c>
      <c r="DK91">
        <v>27.9558</v>
      </c>
      <c r="DL91">
        <v>500.24299999999999</v>
      </c>
      <c r="DM91">
        <v>99.527699999999996</v>
      </c>
      <c r="DN91">
        <v>0.10000299999999999</v>
      </c>
      <c r="DO91">
        <v>30.6873</v>
      </c>
      <c r="DP91">
        <v>30.005700000000001</v>
      </c>
      <c r="DQ91">
        <v>999.9</v>
      </c>
      <c r="DR91">
        <v>0</v>
      </c>
      <c r="DS91">
        <v>0</v>
      </c>
      <c r="DT91">
        <v>10030</v>
      </c>
      <c r="DU91">
        <v>0</v>
      </c>
      <c r="DV91">
        <v>1882.82</v>
      </c>
      <c r="DW91">
        <v>-12.0623</v>
      </c>
      <c r="DX91">
        <v>59.683199999999999</v>
      </c>
      <c r="DY91">
        <v>71.581299999999999</v>
      </c>
      <c r="DZ91">
        <v>7.0928500000000003</v>
      </c>
      <c r="EA91">
        <v>70.021799999999999</v>
      </c>
      <c r="EB91">
        <v>21.7864</v>
      </c>
      <c r="EC91">
        <v>2.8742800000000002</v>
      </c>
      <c r="ED91">
        <v>2.1683500000000002</v>
      </c>
      <c r="EE91">
        <v>23.317</v>
      </c>
      <c r="EF91">
        <v>18.7303</v>
      </c>
      <c r="EG91">
        <v>1800.01</v>
      </c>
      <c r="EH91">
        <v>0.97800500000000001</v>
      </c>
      <c r="EI91">
        <v>2.1995299999999999E-2</v>
      </c>
      <c r="EJ91">
        <v>0</v>
      </c>
      <c r="EK91">
        <v>720.577</v>
      </c>
      <c r="EL91">
        <v>5.0002700000000004</v>
      </c>
      <c r="EM91">
        <v>13507.2</v>
      </c>
      <c r="EN91">
        <v>16248.7</v>
      </c>
      <c r="EO91">
        <v>46.625</v>
      </c>
      <c r="EP91">
        <v>46.561999999999998</v>
      </c>
      <c r="EQ91">
        <v>47.25</v>
      </c>
      <c r="ER91">
        <v>46.561999999999998</v>
      </c>
      <c r="ES91">
        <v>48.25</v>
      </c>
      <c r="ET91">
        <v>1755.53</v>
      </c>
      <c r="EU91">
        <v>39.479999999999997</v>
      </c>
      <c r="EV91">
        <v>0</v>
      </c>
      <c r="EW91">
        <v>97.399999856948853</v>
      </c>
      <c r="EX91">
        <v>0</v>
      </c>
      <c r="EY91">
        <v>721.28783999999996</v>
      </c>
      <c r="EZ91">
        <v>-5.3611538571783823</v>
      </c>
      <c r="FA91">
        <v>-72.430769336033237</v>
      </c>
      <c r="FB91">
        <v>13516.096</v>
      </c>
      <c r="FC91">
        <v>15</v>
      </c>
      <c r="FD91">
        <v>1693511597</v>
      </c>
      <c r="FE91" t="s">
        <v>802</v>
      </c>
      <c r="FF91">
        <v>1693511578</v>
      </c>
      <c r="FG91">
        <v>1693511597</v>
      </c>
      <c r="FH91">
        <v>83</v>
      </c>
      <c r="FI91">
        <v>1.4999999999999999E-2</v>
      </c>
      <c r="FJ91">
        <v>-1.2999999999999999E-2</v>
      </c>
      <c r="FK91">
        <v>1.7529999999999999</v>
      </c>
      <c r="FL91">
        <v>0.52</v>
      </c>
      <c r="FM91">
        <v>70</v>
      </c>
      <c r="FN91">
        <v>22</v>
      </c>
      <c r="FO91">
        <v>0.37</v>
      </c>
      <c r="FP91">
        <v>0.04</v>
      </c>
      <c r="FQ91">
        <v>9.6704886503634402</v>
      </c>
      <c r="FR91">
        <v>0.40733634825967402</v>
      </c>
      <c r="FS91">
        <v>5.6631615131634998E-2</v>
      </c>
      <c r="FT91">
        <v>1</v>
      </c>
      <c r="FU91">
        <v>0.45630628048652389</v>
      </c>
      <c r="FV91">
        <v>9.3251524666513597E-3</v>
      </c>
      <c r="FW91">
        <v>1.005118411080489E-3</v>
      </c>
      <c r="FX91">
        <v>1</v>
      </c>
      <c r="FY91">
        <v>2</v>
      </c>
      <c r="FZ91">
        <v>2</v>
      </c>
      <c r="GA91" t="s">
        <v>421</v>
      </c>
      <c r="GB91">
        <v>3.1181700000000001</v>
      </c>
      <c r="GC91">
        <v>2.8654199999999999</v>
      </c>
      <c r="GD91">
        <v>1.5718200000000002E-2</v>
      </c>
      <c r="GE91">
        <v>2.00859E-2</v>
      </c>
      <c r="GF91">
        <v>0.13017599999999999</v>
      </c>
      <c r="GG91">
        <v>0.111966</v>
      </c>
      <c r="GH91">
        <v>29800</v>
      </c>
      <c r="GI91">
        <v>23050.799999999999</v>
      </c>
      <c r="GJ91">
        <v>29184.1</v>
      </c>
      <c r="GK91">
        <v>21922.1</v>
      </c>
      <c r="GL91">
        <v>33977.5</v>
      </c>
      <c r="GM91">
        <v>26774.6</v>
      </c>
      <c r="GN91">
        <v>40497.1</v>
      </c>
      <c r="GO91">
        <v>31145.4</v>
      </c>
      <c r="GP91">
        <v>2.0369000000000002</v>
      </c>
      <c r="GQ91">
        <v>1.8317000000000001</v>
      </c>
      <c r="GR91">
        <v>9.1299400000000003E-2</v>
      </c>
      <c r="GS91">
        <v>0</v>
      </c>
      <c r="GT91">
        <v>28.5182</v>
      </c>
      <c r="GU91">
        <v>999.9</v>
      </c>
      <c r="GV91">
        <v>44.3</v>
      </c>
      <c r="GW91">
        <v>39</v>
      </c>
      <c r="GX91">
        <v>31.2746</v>
      </c>
      <c r="GY91">
        <v>61.832299999999996</v>
      </c>
      <c r="GZ91">
        <v>13.5457</v>
      </c>
      <c r="HA91">
        <v>1</v>
      </c>
      <c r="HB91">
        <v>0.18436</v>
      </c>
      <c r="HC91">
        <v>0.61862700000000004</v>
      </c>
      <c r="HD91">
        <v>20.2742</v>
      </c>
      <c r="HE91">
        <v>5.2340600000000004</v>
      </c>
      <c r="HF91">
        <v>11.974</v>
      </c>
      <c r="HG91">
        <v>4.9737999999999998</v>
      </c>
      <c r="HH91">
        <v>3.2839999999999998</v>
      </c>
      <c r="HI91">
        <v>9999</v>
      </c>
      <c r="HJ91">
        <v>9999</v>
      </c>
      <c r="HK91">
        <v>9999</v>
      </c>
      <c r="HL91">
        <v>999.9</v>
      </c>
      <c r="HM91">
        <v>1.8616600000000001</v>
      </c>
      <c r="HN91">
        <v>1.86337</v>
      </c>
      <c r="HO91">
        <v>1.86873</v>
      </c>
      <c r="HP91">
        <v>1.85944</v>
      </c>
      <c r="HQ91">
        <v>1.8577600000000001</v>
      </c>
      <c r="HR91">
        <v>1.8614299999999999</v>
      </c>
      <c r="HS91">
        <v>1.8652599999999999</v>
      </c>
      <c r="HT91">
        <v>1.86734</v>
      </c>
      <c r="HU91">
        <v>5</v>
      </c>
      <c r="HV91">
        <v>0</v>
      </c>
      <c r="HW91">
        <v>0</v>
      </c>
      <c r="HX91">
        <v>0</v>
      </c>
      <c r="HY91" t="s">
        <v>422</v>
      </c>
      <c r="HZ91" t="s">
        <v>423</v>
      </c>
      <c r="IA91" t="s">
        <v>424</v>
      </c>
      <c r="IB91" t="s">
        <v>424</v>
      </c>
      <c r="IC91" t="s">
        <v>424</v>
      </c>
      <c r="ID91" t="s">
        <v>424</v>
      </c>
      <c r="IE91">
        <v>0</v>
      </c>
      <c r="IF91">
        <v>100</v>
      </c>
      <c r="IG91">
        <v>100</v>
      </c>
      <c r="IH91">
        <v>1.7529999999999999</v>
      </c>
      <c r="II91">
        <v>0.52</v>
      </c>
      <c r="IJ91">
        <v>1.6688743384257601</v>
      </c>
      <c r="IK91">
        <v>1.118558698776514E-3</v>
      </c>
      <c r="IL91">
        <v>-1.6939696309573479E-6</v>
      </c>
      <c r="IM91">
        <v>5.4698917449866148E-10</v>
      </c>
      <c r="IN91">
        <v>1.918493175008262E-2</v>
      </c>
      <c r="IO91">
        <v>-7.6058941998734366E-3</v>
      </c>
      <c r="IP91">
        <v>1.6984902717538061E-3</v>
      </c>
      <c r="IQ91">
        <v>-9.6352527008986976E-6</v>
      </c>
      <c r="IR91">
        <v>2</v>
      </c>
      <c r="IS91">
        <v>2021</v>
      </c>
      <c r="IT91">
        <v>2</v>
      </c>
      <c r="IU91">
        <v>40</v>
      </c>
      <c r="IV91">
        <v>2.2999999999999998</v>
      </c>
      <c r="IW91">
        <v>2.1</v>
      </c>
      <c r="IX91">
        <v>0.301514</v>
      </c>
      <c r="IY91">
        <v>2.5610400000000002</v>
      </c>
      <c r="IZ91">
        <v>1.34399</v>
      </c>
      <c r="JA91">
        <v>2.2387700000000001</v>
      </c>
      <c r="JB91">
        <v>1.5918000000000001</v>
      </c>
      <c r="JC91">
        <v>2.3645</v>
      </c>
      <c r="JD91">
        <v>45.4328</v>
      </c>
      <c r="JE91">
        <v>23.886099999999999</v>
      </c>
      <c r="JF91">
        <v>18</v>
      </c>
      <c r="JG91">
        <v>515.88900000000001</v>
      </c>
      <c r="JH91">
        <v>421.49599999999998</v>
      </c>
      <c r="JI91">
        <v>28.739899999999999</v>
      </c>
      <c r="JJ91">
        <v>29.918600000000001</v>
      </c>
      <c r="JK91">
        <v>30.0001</v>
      </c>
      <c r="JL91">
        <v>29.868200000000002</v>
      </c>
      <c r="JM91">
        <v>29.831099999999999</v>
      </c>
      <c r="JN91">
        <v>6.1189200000000001</v>
      </c>
      <c r="JO91">
        <v>32.0702</v>
      </c>
      <c r="JP91">
        <v>42.011400000000002</v>
      </c>
      <c r="JQ91">
        <v>28.734400000000001</v>
      </c>
      <c r="JR91">
        <v>70</v>
      </c>
      <c r="JS91">
        <v>21.852599999999999</v>
      </c>
      <c r="JT91">
        <v>99.498199999999997</v>
      </c>
      <c r="JU91">
        <v>98.404600000000002</v>
      </c>
    </row>
    <row r="92" spans="1:281" x14ac:dyDescent="0.25">
      <c r="A92">
        <v>76</v>
      </c>
      <c r="B92">
        <v>1693511708</v>
      </c>
      <c r="C92">
        <v>16781.400000095371</v>
      </c>
      <c r="D92" t="s">
        <v>803</v>
      </c>
      <c r="E92" t="s">
        <v>804</v>
      </c>
      <c r="F92" t="s">
        <v>413</v>
      </c>
      <c r="G92" t="s">
        <v>778</v>
      </c>
      <c r="H92" t="s">
        <v>779</v>
      </c>
      <c r="I92" t="s">
        <v>31</v>
      </c>
      <c r="J92">
        <v>1693511708</v>
      </c>
      <c r="K92">
        <f t="shared" si="92"/>
        <v>6.5307922448270732E-3</v>
      </c>
      <c r="L92">
        <f t="shared" si="93"/>
        <v>6.5307922448270732</v>
      </c>
      <c r="M92">
        <f t="shared" si="94"/>
        <v>4.1951705795722569</v>
      </c>
      <c r="N92">
        <f t="shared" si="95"/>
        <v>24.781600000000001</v>
      </c>
      <c r="O92">
        <f t="shared" si="96"/>
        <v>9.9959689952523174</v>
      </c>
      <c r="P92">
        <f t="shared" si="97"/>
        <v>0.99583263751293749</v>
      </c>
      <c r="Q92">
        <f t="shared" si="98"/>
        <v>2.4688277946352</v>
      </c>
      <c r="R92">
        <f t="shared" si="99"/>
        <v>0.50437880544119917</v>
      </c>
      <c r="S92">
        <f t="shared" si="100"/>
        <v>2.9167859068021507</v>
      </c>
      <c r="T92">
        <f t="shared" si="101"/>
        <v>0.46045902979388742</v>
      </c>
      <c r="U92">
        <f t="shared" si="102"/>
        <v>0.29141354313067763</v>
      </c>
      <c r="V92">
        <f t="shared" si="103"/>
        <v>344.36689964467809</v>
      </c>
      <c r="W92">
        <f t="shared" si="104"/>
        <v>31.039652299037851</v>
      </c>
      <c r="X92">
        <f t="shared" si="105"/>
        <v>30.045500000000001</v>
      </c>
      <c r="Y92">
        <f t="shared" si="106"/>
        <v>4.2715970727281158</v>
      </c>
      <c r="Z92">
        <f t="shared" si="107"/>
        <v>65.581831654069006</v>
      </c>
      <c r="AA92">
        <f t="shared" si="108"/>
        <v>2.9095418888787998</v>
      </c>
      <c r="AB92">
        <f t="shared" si="109"/>
        <v>4.4365059887714775</v>
      </c>
      <c r="AC92">
        <f t="shared" si="110"/>
        <v>1.362055183849316</v>
      </c>
      <c r="AD92">
        <f t="shared" si="111"/>
        <v>-288.00793799687392</v>
      </c>
      <c r="AE92">
        <f t="shared" si="112"/>
        <v>103.98926748331147</v>
      </c>
      <c r="AF92">
        <f t="shared" si="113"/>
        <v>7.9568284843320063</v>
      </c>
      <c r="AG92">
        <f t="shared" si="114"/>
        <v>168.30505761544762</v>
      </c>
      <c r="AH92">
        <v>0</v>
      </c>
      <c r="AI92">
        <v>0</v>
      </c>
      <c r="AJ92">
        <f t="shared" si="115"/>
        <v>1</v>
      </c>
      <c r="AK92">
        <f t="shared" si="116"/>
        <v>0</v>
      </c>
      <c r="AL92">
        <f t="shared" si="117"/>
        <v>51857.959237562376</v>
      </c>
      <c r="AM92" t="s">
        <v>416</v>
      </c>
      <c r="AN92">
        <v>10366.9</v>
      </c>
      <c r="AO92">
        <v>993.59653846153856</v>
      </c>
      <c r="AP92">
        <v>3431.87</v>
      </c>
      <c r="AQ92">
        <f t="shared" si="118"/>
        <v>0.71047955241266758</v>
      </c>
      <c r="AR92">
        <v>-3.9894345373445681</v>
      </c>
      <c r="AS92" t="s">
        <v>805</v>
      </c>
      <c r="AT92">
        <v>10408.700000000001</v>
      </c>
      <c r="AU92">
        <v>726.36926923076919</v>
      </c>
      <c r="AV92">
        <v>779.19044273346469</v>
      </c>
      <c r="AW92">
        <f t="shared" si="119"/>
        <v>6.7789811842910219E-2</v>
      </c>
      <c r="AX92">
        <v>0.5</v>
      </c>
      <c r="AY92">
        <f t="shared" si="120"/>
        <v>1513.175999822339</v>
      </c>
      <c r="AZ92">
        <f t="shared" si="121"/>
        <v>4.1951705795722569</v>
      </c>
      <c r="BA92">
        <f t="shared" si="122"/>
        <v>51.288958156581955</v>
      </c>
      <c r="BB92">
        <f t="shared" si="123"/>
        <v>5.4088917071627978E-3</v>
      </c>
      <c r="BC92">
        <f t="shared" si="124"/>
        <v>3.4044046381789737</v>
      </c>
      <c r="BD92">
        <f t="shared" si="125"/>
        <v>500.3898789815027</v>
      </c>
      <c r="BE92" t="s">
        <v>806</v>
      </c>
      <c r="BF92">
        <v>603.41</v>
      </c>
      <c r="BG92">
        <f t="shared" si="126"/>
        <v>603.41</v>
      </c>
      <c r="BH92">
        <f t="shared" si="127"/>
        <v>0.22559368428187121</v>
      </c>
      <c r="BI92">
        <f t="shared" si="128"/>
        <v>0.30049516704647322</v>
      </c>
      <c r="BJ92">
        <f t="shared" si="129"/>
        <v>0.93785295081653441</v>
      </c>
      <c r="BK92">
        <f t="shared" si="130"/>
        <v>-0.24636040931265002</v>
      </c>
      <c r="BL92">
        <f t="shared" si="131"/>
        <v>1.0879335723043924</v>
      </c>
      <c r="BM92">
        <f t="shared" si="132"/>
        <v>0.24962756056507401</v>
      </c>
      <c r="BN92">
        <f t="shared" si="133"/>
        <v>0.75037243943492604</v>
      </c>
      <c r="BO92">
        <v>2299</v>
      </c>
      <c r="BP92">
        <v>290.00000000000011</v>
      </c>
      <c r="BQ92">
        <v>766.18</v>
      </c>
      <c r="BR92">
        <v>125</v>
      </c>
      <c r="BS92">
        <v>10408.700000000001</v>
      </c>
      <c r="BT92">
        <v>763.91</v>
      </c>
      <c r="BU92">
        <v>2.27</v>
      </c>
      <c r="BV92">
        <v>300.00000000000011</v>
      </c>
      <c r="BW92">
        <v>38.299999999999997</v>
      </c>
      <c r="BX92">
        <v>779.19044273346469</v>
      </c>
      <c r="BY92">
        <v>1.019385915633787</v>
      </c>
      <c r="BZ92">
        <v>-15.90422618775467</v>
      </c>
      <c r="CA92">
        <v>0.86726872921130449</v>
      </c>
      <c r="CB92">
        <v>0.92313877329148231</v>
      </c>
      <c r="CC92">
        <v>-1.1310307230255849E-2</v>
      </c>
      <c r="CD92">
        <v>289.99999999999989</v>
      </c>
      <c r="CE92">
        <v>762.42</v>
      </c>
      <c r="CF92">
        <v>655</v>
      </c>
      <c r="CG92">
        <v>10375</v>
      </c>
      <c r="CH92">
        <v>763.86</v>
      </c>
      <c r="CI92">
        <v>-1.44</v>
      </c>
      <c r="CW92">
        <f t="shared" si="134"/>
        <v>1799.99</v>
      </c>
      <c r="CX92">
        <f t="shared" si="135"/>
        <v>1513.175999822339</v>
      </c>
      <c r="CY92">
        <f t="shared" si="136"/>
        <v>0.8406580035568747</v>
      </c>
      <c r="CZ92">
        <f t="shared" si="137"/>
        <v>0.19131600711374958</v>
      </c>
      <c r="DA92">
        <v>6</v>
      </c>
      <c r="DB92">
        <v>0.5</v>
      </c>
      <c r="DC92" t="s">
        <v>419</v>
      </c>
      <c r="DD92">
        <v>2</v>
      </c>
      <c r="DE92">
        <v>1693511708</v>
      </c>
      <c r="DF92">
        <v>24.781600000000001</v>
      </c>
      <c r="DG92">
        <v>30.010999999999999</v>
      </c>
      <c r="DH92">
        <v>29.205400000000001</v>
      </c>
      <c r="DI92">
        <v>21.5959</v>
      </c>
      <c r="DJ92">
        <v>23.076499999999999</v>
      </c>
      <c r="DK92">
        <v>28.270600000000002</v>
      </c>
      <c r="DL92">
        <v>499.90600000000001</v>
      </c>
      <c r="DM92">
        <v>99.522999999999996</v>
      </c>
      <c r="DN92">
        <v>0.100422</v>
      </c>
      <c r="DO92">
        <v>30.706800000000001</v>
      </c>
      <c r="DP92">
        <v>30.045500000000001</v>
      </c>
      <c r="DQ92">
        <v>999.9</v>
      </c>
      <c r="DR92">
        <v>0</v>
      </c>
      <c r="DS92">
        <v>0</v>
      </c>
      <c r="DT92">
        <v>9975</v>
      </c>
      <c r="DU92">
        <v>0</v>
      </c>
      <c r="DV92">
        <v>1874.46</v>
      </c>
      <c r="DW92">
        <v>-5.2293900000000004</v>
      </c>
      <c r="DX92">
        <v>25.527200000000001</v>
      </c>
      <c r="DY92">
        <v>30.673400000000001</v>
      </c>
      <c r="DZ92">
        <v>7.6094799999999996</v>
      </c>
      <c r="EA92">
        <v>30.010999999999999</v>
      </c>
      <c r="EB92">
        <v>21.5959</v>
      </c>
      <c r="EC92">
        <v>2.9066100000000001</v>
      </c>
      <c r="ED92">
        <v>2.1492900000000001</v>
      </c>
      <c r="EE92">
        <v>23.502400000000002</v>
      </c>
      <c r="EF92">
        <v>18.589200000000002</v>
      </c>
      <c r="EG92">
        <v>1799.99</v>
      </c>
      <c r="EH92">
        <v>0.97800500000000001</v>
      </c>
      <c r="EI92">
        <v>2.1995299999999999E-2</v>
      </c>
      <c r="EJ92">
        <v>0</v>
      </c>
      <c r="EK92">
        <v>726.10799999999995</v>
      </c>
      <c r="EL92">
        <v>5.0002700000000004</v>
      </c>
      <c r="EM92">
        <v>13600.3</v>
      </c>
      <c r="EN92">
        <v>16248.5</v>
      </c>
      <c r="EO92">
        <v>46.625</v>
      </c>
      <c r="EP92">
        <v>46.686999999999998</v>
      </c>
      <c r="EQ92">
        <v>47.311999999999998</v>
      </c>
      <c r="ER92">
        <v>46.625</v>
      </c>
      <c r="ES92">
        <v>48.311999999999998</v>
      </c>
      <c r="ET92">
        <v>1755.51</v>
      </c>
      <c r="EU92">
        <v>39.479999999999997</v>
      </c>
      <c r="EV92">
        <v>0</v>
      </c>
      <c r="EW92">
        <v>143</v>
      </c>
      <c r="EX92">
        <v>0</v>
      </c>
      <c r="EY92">
        <v>726.36926923076919</v>
      </c>
      <c r="EZ92">
        <v>-1.9825982972715031</v>
      </c>
      <c r="FA92">
        <v>-33.244444402772849</v>
      </c>
      <c r="FB92">
        <v>13604.52307692308</v>
      </c>
      <c r="FC92">
        <v>15</v>
      </c>
      <c r="FD92">
        <v>1693511681</v>
      </c>
      <c r="FE92" t="s">
        <v>807</v>
      </c>
      <c r="FF92">
        <v>1693511661</v>
      </c>
      <c r="FG92">
        <v>1693511681</v>
      </c>
      <c r="FH92">
        <v>84</v>
      </c>
      <c r="FI92">
        <v>-4.0000000000000001E-3</v>
      </c>
      <c r="FJ92">
        <v>4.0000000000000001E-3</v>
      </c>
      <c r="FK92">
        <v>1.7110000000000001</v>
      </c>
      <c r="FL92">
        <v>0.52800000000000002</v>
      </c>
      <c r="FM92">
        <v>30</v>
      </c>
      <c r="FN92">
        <v>22</v>
      </c>
      <c r="FO92">
        <v>0.65</v>
      </c>
      <c r="FP92">
        <v>0.03</v>
      </c>
      <c r="FQ92">
        <v>4.2307251268867674</v>
      </c>
      <c r="FR92">
        <v>-0.18515923379388699</v>
      </c>
      <c r="FS92">
        <v>3.8966703674741997E-2</v>
      </c>
      <c r="FT92">
        <v>1</v>
      </c>
      <c r="FU92">
        <v>0.50681538254236935</v>
      </c>
      <c r="FV92">
        <v>1.614424769752346E-2</v>
      </c>
      <c r="FW92">
        <v>4.586895568821853E-3</v>
      </c>
      <c r="FX92">
        <v>1</v>
      </c>
      <c r="FY92">
        <v>2</v>
      </c>
      <c r="FZ92">
        <v>2</v>
      </c>
      <c r="GA92" t="s">
        <v>421</v>
      </c>
      <c r="GB92">
        <v>3.11775</v>
      </c>
      <c r="GC92">
        <v>2.8653599999999999</v>
      </c>
      <c r="GD92">
        <v>6.48768E-3</v>
      </c>
      <c r="GE92">
        <v>8.6883900000000007E-3</v>
      </c>
      <c r="GF92">
        <v>0.131192</v>
      </c>
      <c r="GG92">
        <v>0.111272</v>
      </c>
      <c r="GH92">
        <v>30077.9</v>
      </c>
      <c r="GI92">
        <v>23320.1</v>
      </c>
      <c r="GJ92">
        <v>29182.7</v>
      </c>
      <c r="GK92">
        <v>21923.1</v>
      </c>
      <c r="GL92">
        <v>33933.5</v>
      </c>
      <c r="GM92">
        <v>26796.400000000001</v>
      </c>
      <c r="GN92">
        <v>40494.6</v>
      </c>
      <c r="GO92">
        <v>31147.5</v>
      </c>
      <c r="GP92">
        <v>2.0358999999999998</v>
      </c>
      <c r="GQ92">
        <v>1.8291999999999999</v>
      </c>
      <c r="GR92">
        <v>8.3535899999999996E-2</v>
      </c>
      <c r="GS92">
        <v>0</v>
      </c>
      <c r="GT92">
        <v>28.6846</v>
      </c>
      <c r="GU92">
        <v>999.9</v>
      </c>
      <c r="GV92">
        <v>43.4</v>
      </c>
      <c r="GW92">
        <v>39.200000000000003</v>
      </c>
      <c r="GX92">
        <v>30.972200000000001</v>
      </c>
      <c r="GY92">
        <v>61.8523</v>
      </c>
      <c r="GZ92">
        <v>13.305300000000001</v>
      </c>
      <c r="HA92">
        <v>1</v>
      </c>
      <c r="HB92">
        <v>0.18542700000000001</v>
      </c>
      <c r="HC92">
        <v>0.48826799999999998</v>
      </c>
      <c r="HD92">
        <v>20.274699999999999</v>
      </c>
      <c r="HE92">
        <v>5.2346599999999999</v>
      </c>
      <c r="HF92">
        <v>11.974</v>
      </c>
      <c r="HG92">
        <v>4.9748000000000001</v>
      </c>
      <c r="HH92">
        <v>3.2839999999999998</v>
      </c>
      <c r="HI92">
        <v>9999</v>
      </c>
      <c r="HJ92">
        <v>9999</v>
      </c>
      <c r="HK92">
        <v>9999</v>
      </c>
      <c r="HL92">
        <v>999.9</v>
      </c>
      <c r="HM92">
        <v>1.8616900000000001</v>
      </c>
      <c r="HN92">
        <v>1.8633200000000001</v>
      </c>
      <c r="HO92">
        <v>1.86866</v>
      </c>
      <c r="HP92">
        <v>1.85944</v>
      </c>
      <c r="HQ92">
        <v>1.8577600000000001</v>
      </c>
      <c r="HR92">
        <v>1.8614299999999999</v>
      </c>
      <c r="HS92">
        <v>1.8653299999999999</v>
      </c>
      <c r="HT92">
        <v>1.8673500000000001</v>
      </c>
      <c r="HU92">
        <v>5</v>
      </c>
      <c r="HV92">
        <v>0</v>
      </c>
      <c r="HW92">
        <v>0</v>
      </c>
      <c r="HX92">
        <v>0</v>
      </c>
      <c r="HY92" t="s">
        <v>422</v>
      </c>
      <c r="HZ92" t="s">
        <v>423</v>
      </c>
      <c r="IA92" t="s">
        <v>424</v>
      </c>
      <c r="IB92" t="s">
        <v>424</v>
      </c>
      <c r="IC92" t="s">
        <v>424</v>
      </c>
      <c r="ID92" t="s">
        <v>424</v>
      </c>
      <c r="IE92">
        <v>0</v>
      </c>
      <c r="IF92">
        <v>100</v>
      </c>
      <c r="IG92">
        <v>100</v>
      </c>
      <c r="IH92">
        <v>1.7050000000000001</v>
      </c>
      <c r="II92">
        <v>0.93479999999999996</v>
      </c>
      <c r="IJ92">
        <v>1.680230274551834</v>
      </c>
      <c r="IK92">
        <v>1.118558698776514E-3</v>
      </c>
      <c r="IL92">
        <v>-1.6939696309573479E-6</v>
      </c>
      <c r="IM92">
        <v>5.4698917449866148E-10</v>
      </c>
      <c r="IN92">
        <v>1.004617588633205E-2</v>
      </c>
      <c r="IO92">
        <v>-7.6058941998734366E-3</v>
      </c>
      <c r="IP92">
        <v>1.6984902717538061E-3</v>
      </c>
      <c r="IQ92">
        <v>-9.6352527008986976E-6</v>
      </c>
      <c r="IR92">
        <v>2</v>
      </c>
      <c r="IS92">
        <v>2021</v>
      </c>
      <c r="IT92">
        <v>2</v>
      </c>
      <c r="IU92">
        <v>40</v>
      </c>
      <c r="IV92">
        <v>0.8</v>
      </c>
      <c r="IW92">
        <v>0.5</v>
      </c>
      <c r="IX92">
        <v>0.21240200000000001</v>
      </c>
      <c r="IY92">
        <v>2.6013199999999999</v>
      </c>
      <c r="IZ92">
        <v>1.34399</v>
      </c>
      <c r="JA92">
        <v>2.2387700000000001</v>
      </c>
      <c r="JB92">
        <v>1.5918000000000001</v>
      </c>
      <c r="JC92">
        <v>2.2936999999999999</v>
      </c>
      <c r="JD92">
        <v>45.461399999999998</v>
      </c>
      <c r="JE92">
        <v>23.877400000000002</v>
      </c>
      <c r="JF92">
        <v>18</v>
      </c>
      <c r="JG92">
        <v>515.30499999999995</v>
      </c>
      <c r="JH92">
        <v>419.97500000000002</v>
      </c>
      <c r="JI92">
        <v>28.526599999999998</v>
      </c>
      <c r="JJ92">
        <v>29.928999999999998</v>
      </c>
      <c r="JK92">
        <v>30</v>
      </c>
      <c r="JL92">
        <v>29.875900000000001</v>
      </c>
      <c r="JM92">
        <v>29.836200000000002</v>
      </c>
      <c r="JN92">
        <v>4.3392299999999997</v>
      </c>
      <c r="JO92">
        <v>31.7864</v>
      </c>
      <c r="JP92">
        <v>39.296599999999998</v>
      </c>
      <c r="JQ92">
        <v>28.525700000000001</v>
      </c>
      <c r="JR92">
        <v>30</v>
      </c>
      <c r="JS92">
        <v>21.613499999999998</v>
      </c>
      <c r="JT92">
        <v>99.492699999999999</v>
      </c>
      <c r="JU92">
        <v>98.410499999999999</v>
      </c>
    </row>
    <row r="93" spans="1:281" x14ac:dyDescent="0.25">
      <c r="A93">
        <v>77</v>
      </c>
      <c r="B93">
        <v>1693511812</v>
      </c>
      <c r="C93">
        <v>16885.400000095371</v>
      </c>
      <c r="D93" t="s">
        <v>808</v>
      </c>
      <c r="E93" t="s">
        <v>809</v>
      </c>
      <c r="F93" t="s">
        <v>413</v>
      </c>
      <c r="G93" t="s">
        <v>778</v>
      </c>
      <c r="H93" t="s">
        <v>779</v>
      </c>
      <c r="I93" t="s">
        <v>31</v>
      </c>
      <c r="J93">
        <v>1693511812</v>
      </c>
      <c r="K93">
        <f t="shared" si="92"/>
        <v>6.6232009459995245E-3</v>
      </c>
      <c r="L93">
        <f t="shared" si="93"/>
        <v>6.6232009459995247</v>
      </c>
      <c r="M93">
        <f t="shared" si="94"/>
        <v>1.1940600762106373</v>
      </c>
      <c r="N93">
        <f t="shared" si="95"/>
        <v>8.4933399999999999</v>
      </c>
      <c r="O93">
        <f t="shared" si="96"/>
        <v>4.3296301173016216</v>
      </c>
      <c r="P93">
        <f t="shared" si="97"/>
        <v>0.43133096631670553</v>
      </c>
      <c r="Q93">
        <f t="shared" si="98"/>
        <v>0.84613245247367996</v>
      </c>
      <c r="R93">
        <f t="shared" si="99"/>
        <v>0.51476730385988601</v>
      </c>
      <c r="S93">
        <f t="shared" si="100"/>
        <v>2.919412796593392</v>
      </c>
      <c r="T93">
        <f t="shared" si="101"/>
        <v>0.46914450234452781</v>
      </c>
      <c r="U93">
        <f t="shared" si="102"/>
        <v>0.29697665422236375</v>
      </c>
      <c r="V93">
        <f t="shared" si="103"/>
        <v>344.36499964467612</v>
      </c>
      <c r="W93">
        <f t="shared" si="104"/>
        <v>30.946230030841946</v>
      </c>
      <c r="X93">
        <f t="shared" si="105"/>
        <v>29.996400000000001</v>
      </c>
      <c r="Y93">
        <f t="shared" si="106"/>
        <v>4.2595688715232196</v>
      </c>
      <c r="Z93">
        <f t="shared" si="107"/>
        <v>65.7090011570033</v>
      </c>
      <c r="AA93">
        <f t="shared" si="108"/>
        <v>2.9036931720336003</v>
      </c>
      <c r="AB93">
        <f t="shared" si="109"/>
        <v>4.419018887679627</v>
      </c>
      <c r="AC93">
        <f t="shared" si="110"/>
        <v>1.3558756994896193</v>
      </c>
      <c r="AD93">
        <f t="shared" si="111"/>
        <v>-292.08316171857905</v>
      </c>
      <c r="AE93">
        <f t="shared" si="112"/>
        <v>100.93509371906003</v>
      </c>
      <c r="AF93">
        <f t="shared" si="113"/>
        <v>7.7116772807440217</v>
      </c>
      <c r="AG93">
        <f t="shared" si="114"/>
        <v>160.92860892590113</v>
      </c>
      <c r="AH93">
        <v>0</v>
      </c>
      <c r="AI93">
        <v>0</v>
      </c>
      <c r="AJ93">
        <f t="shared" si="115"/>
        <v>1</v>
      </c>
      <c r="AK93">
        <f t="shared" si="116"/>
        <v>0</v>
      </c>
      <c r="AL93">
        <f t="shared" si="117"/>
        <v>51944.49858044619</v>
      </c>
      <c r="AM93" t="s">
        <v>416</v>
      </c>
      <c r="AN93">
        <v>10366.9</v>
      </c>
      <c r="AO93">
        <v>993.59653846153856</v>
      </c>
      <c r="AP93">
        <v>3431.87</v>
      </c>
      <c r="AQ93">
        <f t="shared" si="118"/>
        <v>0.71047955241266758</v>
      </c>
      <c r="AR93">
        <v>-3.9894345373445681</v>
      </c>
      <c r="AS93" t="s">
        <v>810</v>
      </c>
      <c r="AT93">
        <v>10410.6</v>
      </c>
      <c r="AU93">
        <v>729.68892307692317</v>
      </c>
      <c r="AV93">
        <v>772.19472700688254</v>
      </c>
      <c r="AW93">
        <f t="shared" si="119"/>
        <v>5.5045447014015259E-2</v>
      </c>
      <c r="AX93">
        <v>0.5</v>
      </c>
      <c r="AY93">
        <f t="shared" si="120"/>
        <v>1513.1675998223382</v>
      </c>
      <c r="AZ93">
        <f t="shared" si="121"/>
        <v>1.1940600762106373</v>
      </c>
      <c r="BA93">
        <f t="shared" si="122"/>
        <v>41.646493469672578</v>
      </c>
      <c r="BB93">
        <f t="shared" si="123"/>
        <v>3.4255918605208056E-3</v>
      </c>
      <c r="BC93">
        <f t="shared" si="124"/>
        <v>3.4443064423689229</v>
      </c>
      <c r="BD93">
        <f t="shared" si="125"/>
        <v>497.49547361023963</v>
      </c>
      <c r="BE93" t="s">
        <v>811</v>
      </c>
      <c r="BF93">
        <v>609.64</v>
      </c>
      <c r="BG93">
        <f t="shared" si="126"/>
        <v>609.64</v>
      </c>
      <c r="BH93">
        <f t="shared" si="127"/>
        <v>0.2105100194570918</v>
      </c>
      <c r="BI93">
        <f t="shared" si="128"/>
        <v>0.26148611432357594</v>
      </c>
      <c r="BJ93">
        <f t="shared" si="129"/>
        <v>0.94240202711795895</v>
      </c>
      <c r="BK93">
        <f t="shared" si="130"/>
        <v>-0.19198489682937725</v>
      </c>
      <c r="BL93">
        <f t="shared" si="131"/>
        <v>1.0908026991012563</v>
      </c>
      <c r="BM93">
        <f t="shared" si="132"/>
        <v>0.21846623909819132</v>
      </c>
      <c r="BN93">
        <f t="shared" si="133"/>
        <v>0.78153376090180871</v>
      </c>
      <c r="BO93">
        <v>2301</v>
      </c>
      <c r="BP93">
        <v>290.00000000000011</v>
      </c>
      <c r="BQ93">
        <v>761.62</v>
      </c>
      <c r="BR93">
        <v>115</v>
      </c>
      <c r="BS93">
        <v>10410.6</v>
      </c>
      <c r="BT93">
        <v>758.9</v>
      </c>
      <c r="BU93">
        <v>2.72</v>
      </c>
      <c r="BV93">
        <v>300.00000000000011</v>
      </c>
      <c r="BW93">
        <v>38.4</v>
      </c>
      <c r="BX93">
        <v>772.19472700688254</v>
      </c>
      <c r="BY93">
        <v>1.0869730949498011</v>
      </c>
      <c r="BZ93">
        <v>-13.84102870469466</v>
      </c>
      <c r="CA93">
        <v>0.92474271413073905</v>
      </c>
      <c r="CB93">
        <v>0.88889955054471437</v>
      </c>
      <c r="CC93">
        <v>-1.131006006674083E-2</v>
      </c>
      <c r="CD93">
        <v>289.99999999999989</v>
      </c>
      <c r="CE93">
        <v>757.13</v>
      </c>
      <c r="CF93">
        <v>675</v>
      </c>
      <c r="CG93">
        <v>10372.799999999999</v>
      </c>
      <c r="CH93">
        <v>758.85</v>
      </c>
      <c r="CI93">
        <v>-1.72</v>
      </c>
      <c r="CW93">
        <f t="shared" si="134"/>
        <v>1799.98</v>
      </c>
      <c r="CX93">
        <f t="shared" si="135"/>
        <v>1513.1675998223382</v>
      </c>
      <c r="CY93">
        <f t="shared" si="136"/>
        <v>0.84065800721249018</v>
      </c>
      <c r="CZ93">
        <f t="shared" si="137"/>
        <v>0.19131601442498034</v>
      </c>
      <c r="DA93">
        <v>6</v>
      </c>
      <c r="DB93">
        <v>0.5</v>
      </c>
      <c r="DC93" t="s">
        <v>419</v>
      </c>
      <c r="DD93">
        <v>2</v>
      </c>
      <c r="DE93">
        <v>1693511812</v>
      </c>
      <c r="DF93">
        <v>8.4933399999999999</v>
      </c>
      <c r="DG93">
        <v>9.9929600000000001</v>
      </c>
      <c r="DH93">
        <v>29.146799999999999</v>
      </c>
      <c r="DI93">
        <v>21.4345</v>
      </c>
      <c r="DJ93">
        <v>6.71035</v>
      </c>
      <c r="DK93">
        <v>28.224599999999999</v>
      </c>
      <c r="DL93">
        <v>500.25200000000001</v>
      </c>
      <c r="DM93">
        <v>99.522800000000004</v>
      </c>
      <c r="DN93">
        <v>0.10025199999999999</v>
      </c>
      <c r="DO93">
        <v>30.637699999999999</v>
      </c>
      <c r="DP93">
        <v>29.996400000000001</v>
      </c>
      <c r="DQ93">
        <v>999.9</v>
      </c>
      <c r="DR93">
        <v>0</v>
      </c>
      <c r="DS93">
        <v>0</v>
      </c>
      <c r="DT93">
        <v>9990</v>
      </c>
      <c r="DU93">
        <v>0</v>
      </c>
      <c r="DV93">
        <v>1868.18</v>
      </c>
      <c r="DW93">
        <v>-1.49962</v>
      </c>
      <c r="DX93">
        <v>8.7483299999999993</v>
      </c>
      <c r="DY93">
        <v>10.2118</v>
      </c>
      <c r="DZ93">
        <v>7.7122700000000002</v>
      </c>
      <c r="EA93">
        <v>9.9929600000000001</v>
      </c>
      <c r="EB93">
        <v>21.4345</v>
      </c>
      <c r="EC93">
        <v>2.9007700000000001</v>
      </c>
      <c r="ED93">
        <v>2.1332200000000001</v>
      </c>
      <c r="EE93">
        <v>23.469000000000001</v>
      </c>
      <c r="EF93">
        <v>18.4695</v>
      </c>
      <c r="EG93">
        <v>1799.98</v>
      </c>
      <c r="EH93">
        <v>0.97800500000000001</v>
      </c>
      <c r="EI93">
        <v>2.1995299999999999E-2</v>
      </c>
      <c r="EJ93">
        <v>0</v>
      </c>
      <c r="EK93">
        <v>729.41899999999998</v>
      </c>
      <c r="EL93">
        <v>5.0002700000000004</v>
      </c>
      <c r="EM93">
        <v>13660.3</v>
      </c>
      <c r="EN93">
        <v>16248.4</v>
      </c>
      <c r="EO93">
        <v>46.686999999999998</v>
      </c>
      <c r="EP93">
        <v>46.811999999999998</v>
      </c>
      <c r="EQ93">
        <v>47.5</v>
      </c>
      <c r="ER93">
        <v>46.686999999999998</v>
      </c>
      <c r="ES93">
        <v>48.375</v>
      </c>
      <c r="ET93">
        <v>1755.5</v>
      </c>
      <c r="EU93">
        <v>39.479999999999997</v>
      </c>
      <c r="EV93">
        <v>0</v>
      </c>
      <c r="EW93">
        <v>102.2000000476837</v>
      </c>
      <c r="EX93">
        <v>0</v>
      </c>
      <c r="EY93">
        <v>729.68892307692317</v>
      </c>
      <c r="EZ93">
        <v>-0.19049573029488359</v>
      </c>
      <c r="FA93">
        <v>-13.92136756597305</v>
      </c>
      <c r="FB93">
        <v>13663.07692307692</v>
      </c>
      <c r="FC93">
        <v>15</v>
      </c>
      <c r="FD93">
        <v>1693511785.5</v>
      </c>
      <c r="FE93" t="s">
        <v>812</v>
      </c>
      <c r="FF93">
        <v>1693511778</v>
      </c>
      <c r="FG93">
        <v>1693511785.5</v>
      </c>
      <c r="FH93">
        <v>85</v>
      </c>
      <c r="FI93">
        <v>9.5000000000000001E-2</v>
      </c>
      <c r="FJ93">
        <v>-0.01</v>
      </c>
      <c r="FK93">
        <v>1.7849999999999999</v>
      </c>
      <c r="FL93">
        <v>0.502</v>
      </c>
      <c r="FM93">
        <v>10</v>
      </c>
      <c r="FN93">
        <v>22</v>
      </c>
      <c r="FO93">
        <v>0.93</v>
      </c>
      <c r="FP93">
        <v>0.03</v>
      </c>
      <c r="FQ93">
        <v>1.1906680770685829</v>
      </c>
      <c r="FR93">
        <v>-0.52739164987592457</v>
      </c>
      <c r="FS93">
        <v>5.0112598390853323E-2</v>
      </c>
      <c r="FT93">
        <v>1</v>
      </c>
      <c r="FU93">
        <v>0.52169563430435617</v>
      </c>
      <c r="FV93">
        <v>4.8853550131403523E-2</v>
      </c>
      <c r="FW93">
        <v>7.2446373371400606E-3</v>
      </c>
      <c r="FX93">
        <v>1</v>
      </c>
      <c r="FY93">
        <v>2</v>
      </c>
      <c r="FZ93">
        <v>2</v>
      </c>
      <c r="GA93" t="s">
        <v>421</v>
      </c>
      <c r="GB93">
        <v>3.1181000000000001</v>
      </c>
      <c r="GC93">
        <v>2.8653200000000001</v>
      </c>
      <c r="GD93">
        <v>1.8880699999999999E-3</v>
      </c>
      <c r="GE93">
        <v>2.8978300000000001E-3</v>
      </c>
      <c r="GF93">
        <v>0.13103400000000001</v>
      </c>
      <c r="GG93">
        <v>0.11068</v>
      </c>
      <c r="GH93">
        <v>30212</v>
      </c>
      <c r="GI93">
        <v>23454.5</v>
      </c>
      <c r="GJ93">
        <v>29177.9</v>
      </c>
      <c r="GK93">
        <v>21921.599999999999</v>
      </c>
      <c r="GL93">
        <v>33934.1</v>
      </c>
      <c r="GM93">
        <v>26811.599999999999</v>
      </c>
      <c r="GN93">
        <v>40487.699999999997</v>
      </c>
      <c r="GO93">
        <v>31144.799999999999</v>
      </c>
      <c r="GP93">
        <v>2.0358999999999998</v>
      </c>
      <c r="GQ93">
        <v>1.8265</v>
      </c>
      <c r="GR93">
        <v>7.1510699999999996E-2</v>
      </c>
      <c r="GS93">
        <v>0</v>
      </c>
      <c r="GT93">
        <v>28.831499999999998</v>
      </c>
      <c r="GU93">
        <v>999.9</v>
      </c>
      <c r="GV93">
        <v>42.7</v>
      </c>
      <c r="GW93">
        <v>39.299999999999997</v>
      </c>
      <c r="GX93">
        <v>30.636900000000001</v>
      </c>
      <c r="GY93">
        <v>61.7423</v>
      </c>
      <c r="GZ93">
        <v>13.1891</v>
      </c>
      <c r="HA93">
        <v>1</v>
      </c>
      <c r="HB93">
        <v>0.18893299999999999</v>
      </c>
      <c r="HC93">
        <v>0.57175399999999998</v>
      </c>
      <c r="HD93">
        <v>20.2744</v>
      </c>
      <c r="HE93">
        <v>5.2346599999999999</v>
      </c>
      <c r="HF93">
        <v>11.974</v>
      </c>
      <c r="HG93">
        <v>4.9744000000000002</v>
      </c>
      <c r="HH93">
        <v>3.2839999999999998</v>
      </c>
      <c r="HI93">
        <v>9999</v>
      </c>
      <c r="HJ93">
        <v>9999</v>
      </c>
      <c r="HK93">
        <v>9999</v>
      </c>
      <c r="HL93">
        <v>999.9</v>
      </c>
      <c r="HM93">
        <v>1.8616299999999999</v>
      </c>
      <c r="HN93">
        <v>1.8633999999999999</v>
      </c>
      <c r="HO93">
        <v>1.8687</v>
      </c>
      <c r="HP93">
        <v>1.85944</v>
      </c>
      <c r="HQ93">
        <v>1.8577600000000001</v>
      </c>
      <c r="HR93">
        <v>1.8614200000000001</v>
      </c>
      <c r="HS93">
        <v>1.8652599999999999</v>
      </c>
      <c r="HT93">
        <v>1.8673500000000001</v>
      </c>
      <c r="HU93">
        <v>5</v>
      </c>
      <c r="HV93">
        <v>0</v>
      </c>
      <c r="HW93">
        <v>0</v>
      </c>
      <c r="HX93">
        <v>0</v>
      </c>
      <c r="HY93" t="s">
        <v>422</v>
      </c>
      <c r="HZ93" t="s">
        <v>423</v>
      </c>
      <c r="IA93" t="s">
        <v>424</v>
      </c>
      <c r="IB93" t="s">
        <v>424</v>
      </c>
      <c r="IC93" t="s">
        <v>424</v>
      </c>
      <c r="ID93" t="s">
        <v>424</v>
      </c>
      <c r="IE93">
        <v>0</v>
      </c>
      <c r="IF93">
        <v>100</v>
      </c>
      <c r="IG93">
        <v>100</v>
      </c>
      <c r="IH93">
        <v>1.7829999999999999</v>
      </c>
      <c r="II93">
        <v>0.92220000000000002</v>
      </c>
      <c r="IJ93">
        <v>1.7755577211955871</v>
      </c>
      <c r="IK93">
        <v>1.118558698776514E-3</v>
      </c>
      <c r="IL93">
        <v>-1.6939696309573479E-6</v>
      </c>
      <c r="IM93">
        <v>5.4698917449866148E-10</v>
      </c>
      <c r="IN93">
        <v>4.307894434368853E-4</v>
      </c>
      <c r="IO93">
        <v>-7.6058941998734366E-3</v>
      </c>
      <c r="IP93">
        <v>1.6984902717538061E-3</v>
      </c>
      <c r="IQ93">
        <v>-9.6352527008986976E-6</v>
      </c>
      <c r="IR93">
        <v>2</v>
      </c>
      <c r="IS93">
        <v>2021</v>
      </c>
      <c r="IT93">
        <v>2</v>
      </c>
      <c r="IU93">
        <v>40</v>
      </c>
      <c r="IV93">
        <v>0.6</v>
      </c>
      <c r="IW93">
        <v>0.4</v>
      </c>
      <c r="IX93">
        <v>0.169678</v>
      </c>
      <c r="IY93">
        <v>2.6061999999999999</v>
      </c>
      <c r="IZ93">
        <v>1.34399</v>
      </c>
      <c r="JA93">
        <v>2.2375500000000001</v>
      </c>
      <c r="JB93">
        <v>1.5918000000000001</v>
      </c>
      <c r="JC93">
        <v>2.33887</v>
      </c>
      <c r="JD93">
        <v>45.547199999999997</v>
      </c>
      <c r="JE93">
        <v>23.877400000000002</v>
      </c>
      <c r="JF93">
        <v>18</v>
      </c>
      <c r="JG93">
        <v>515.58900000000006</v>
      </c>
      <c r="JH93">
        <v>418.51600000000002</v>
      </c>
      <c r="JI93">
        <v>28.277100000000001</v>
      </c>
      <c r="JJ93">
        <v>29.9756</v>
      </c>
      <c r="JK93">
        <v>30.000299999999999</v>
      </c>
      <c r="JL93">
        <v>29.9068</v>
      </c>
      <c r="JM93">
        <v>29.8644</v>
      </c>
      <c r="JN93">
        <v>3.46766</v>
      </c>
      <c r="JO93">
        <v>31.376799999999999</v>
      </c>
      <c r="JP93">
        <v>36.678400000000003</v>
      </c>
      <c r="JQ93">
        <v>28.256399999999999</v>
      </c>
      <c r="JR93">
        <v>10</v>
      </c>
      <c r="JS93">
        <v>21.4207</v>
      </c>
      <c r="JT93">
        <v>99.475999999999999</v>
      </c>
      <c r="JU93">
        <v>98.402699999999996</v>
      </c>
    </row>
    <row r="94" spans="1:281" x14ac:dyDescent="0.25">
      <c r="A94">
        <v>78</v>
      </c>
      <c r="B94">
        <v>1693512001.5999999</v>
      </c>
      <c r="C94">
        <v>17075</v>
      </c>
      <c r="D94" t="s">
        <v>813</v>
      </c>
      <c r="E94" t="s">
        <v>814</v>
      </c>
      <c r="F94" t="s">
        <v>413</v>
      </c>
      <c r="G94" t="s">
        <v>778</v>
      </c>
      <c r="H94" t="s">
        <v>779</v>
      </c>
      <c r="I94" t="s">
        <v>31</v>
      </c>
      <c r="J94">
        <v>1693512001.5999999</v>
      </c>
      <c r="K94">
        <f t="shared" si="92"/>
        <v>6.2564309210774724E-3</v>
      </c>
      <c r="L94">
        <f t="shared" si="93"/>
        <v>6.256430921077472</v>
      </c>
      <c r="M94">
        <f t="shared" si="94"/>
        <v>40.21348486247485</v>
      </c>
      <c r="N94">
        <f t="shared" si="95"/>
        <v>349.15100000000001</v>
      </c>
      <c r="O94">
        <f t="shared" si="96"/>
        <v>197.23095486092498</v>
      </c>
      <c r="P94">
        <f t="shared" si="97"/>
        <v>19.64837276376484</v>
      </c>
      <c r="Q94">
        <f t="shared" si="98"/>
        <v>34.782821001290998</v>
      </c>
      <c r="R94">
        <f t="shared" si="99"/>
        <v>0.47553565767805378</v>
      </c>
      <c r="S94">
        <f t="shared" si="100"/>
        <v>2.9193811279198054</v>
      </c>
      <c r="T94">
        <f t="shared" si="101"/>
        <v>0.43631804216481734</v>
      </c>
      <c r="U94">
        <f t="shared" si="102"/>
        <v>0.2759522965034148</v>
      </c>
      <c r="V94">
        <f t="shared" si="103"/>
        <v>344.37259964468399</v>
      </c>
      <c r="W94">
        <f t="shared" si="104"/>
        <v>31.107310984603732</v>
      </c>
      <c r="X94">
        <f t="shared" si="105"/>
        <v>29.9925</v>
      </c>
      <c r="Y94">
        <f t="shared" si="106"/>
        <v>4.2586147413460793</v>
      </c>
      <c r="Z94">
        <f t="shared" si="107"/>
        <v>64.958745732924712</v>
      </c>
      <c r="AA94">
        <f t="shared" si="108"/>
        <v>2.8813223369147996</v>
      </c>
      <c r="AB94">
        <f t="shared" si="109"/>
        <v>4.4356187983697248</v>
      </c>
      <c r="AC94">
        <f t="shared" si="110"/>
        <v>1.3772924044312798</v>
      </c>
      <c r="AD94">
        <f t="shared" si="111"/>
        <v>-275.90860361951655</v>
      </c>
      <c r="AE94">
        <f t="shared" si="112"/>
        <v>111.87258125186749</v>
      </c>
      <c r="AF94">
        <f t="shared" si="113"/>
        <v>8.5500301222137427</v>
      </c>
      <c r="AG94">
        <f t="shared" si="114"/>
        <v>188.88660739924865</v>
      </c>
      <c r="AH94">
        <v>0</v>
      </c>
      <c r="AI94">
        <v>0</v>
      </c>
      <c r="AJ94">
        <f t="shared" si="115"/>
        <v>1</v>
      </c>
      <c r="AK94">
        <f t="shared" si="116"/>
        <v>0</v>
      </c>
      <c r="AL94">
        <f t="shared" si="117"/>
        <v>51932.339272574223</v>
      </c>
      <c r="AM94" t="s">
        <v>416</v>
      </c>
      <c r="AN94">
        <v>10366.9</v>
      </c>
      <c r="AO94">
        <v>993.59653846153856</v>
      </c>
      <c r="AP94">
        <v>3431.87</v>
      </c>
      <c r="AQ94">
        <f t="shared" si="118"/>
        <v>0.71047955241266758</v>
      </c>
      <c r="AR94">
        <v>-3.9894345373445681</v>
      </c>
      <c r="AS94" t="s">
        <v>815</v>
      </c>
      <c r="AT94">
        <v>10399.200000000001</v>
      </c>
      <c r="AU94">
        <v>718.1352307692307</v>
      </c>
      <c r="AV94">
        <v>1013.428925441013</v>
      </c>
      <c r="AW94">
        <f t="shared" si="119"/>
        <v>0.29138076411552949</v>
      </c>
      <c r="AX94">
        <v>0.5</v>
      </c>
      <c r="AY94">
        <f t="shared" si="120"/>
        <v>1513.201199822342</v>
      </c>
      <c r="AZ94">
        <f t="shared" si="121"/>
        <v>40.21348486247485</v>
      </c>
      <c r="BA94">
        <f t="shared" si="122"/>
        <v>220.45886093238502</v>
      </c>
      <c r="BB94">
        <f t="shared" si="123"/>
        <v>2.9211528119994275E-2</v>
      </c>
      <c r="BC94">
        <f t="shared" si="124"/>
        <v>2.3863943625908997</v>
      </c>
      <c r="BD94">
        <f t="shared" si="125"/>
        <v>587.61055267809252</v>
      </c>
      <c r="BE94" t="s">
        <v>816</v>
      </c>
      <c r="BF94">
        <v>579.23</v>
      </c>
      <c r="BG94">
        <f t="shared" si="126"/>
        <v>579.23</v>
      </c>
      <c r="BH94">
        <f t="shared" si="127"/>
        <v>0.42844536458446059</v>
      </c>
      <c r="BI94">
        <f t="shared" si="128"/>
        <v>0.6800884971602692</v>
      </c>
      <c r="BJ94">
        <f t="shared" si="129"/>
        <v>0.84779049391405392</v>
      </c>
      <c r="BK94">
        <f t="shared" si="130"/>
        <v>14.889468170291192</v>
      </c>
      <c r="BL94">
        <f t="shared" si="131"/>
        <v>0.99186621710308021</v>
      </c>
      <c r="BM94">
        <f t="shared" si="132"/>
        <v>0.54854245180004191</v>
      </c>
      <c r="BN94">
        <f t="shared" si="133"/>
        <v>0.45145754819995809</v>
      </c>
      <c r="BO94">
        <v>2303</v>
      </c>
      <c r="BP94">
        <v>290.00000000000011</v>
      </c>
      <c r="BQ94">
        <v>915.71</v>
      </c>
      <c r="BR94">
        <v>185</v>
      </c>
      <c r="BS94">
        <v>10399.200000000001</v>
      </c>
      <c r="BT94">
        <v>913.94</v>
      </c>
      <c r="BU94">
        <v>1.77</v>
      </c>
      <c r="BV94">
        <v>300.00000000000011</v>
      </c>
      <c r="BW94">
        <v>38.4</v>
      </c>
      <c r="BX94">
        <v>1013.428925441013</v>
      </c>
      <c r="BY94">
        <v>1.258162191416794</v>
      </c>
      <c r="BZ94">
        <v>-103.4577086342446</v>
      </c>
      <c r="CA94">
        <v>1.070531112577249</v>
      </c>
      <c r="CB94">
        <v>0.99701096608555428</v>
      </c>
      <c r="CC94">
        <v>-1.1312418464961079E-2</v>
      </c>
      <c r="CD94">
        <v>289.99999999999989</v>
      </c>
      <c r="CE94">
        <v>893.75</v>
      </c>
      <c r="CF94">
        <v>625</v>
      </c>
      <c r="CG94">
        <v>10379.200000000001</v>
      </c>
      <c r="CH94">
        <v>913.75</v>
      </c>
      <c r="CI94">
        <v>-20</v>
      </c>
      <c r="CW94">
        <f t="shared" si="134"/>
        <v>1800.02</v>
      </c>
      <c r="CX94">
        <f t="shared" si="135"/>
        <v>1513.201199822342</v>
      </c>
      <c r="CY94">
        <f t="shared" si="136"/>
        <v>0.8406579925902723</v>
      </c>
      <c r="CZ94">
        <f t="shared" si="137"/>
        <v>0.19131598518054466</v>
      </c>
      <c r="DA94">
        <v>6</v>
      </c>
      <c r="DB94">
        <v>0.5</v>
      </c>
      <c r="DC94" t="s">
        <v>419</v>
      </c>
      <c r="DD94">
        <v>2</v>
      </c>
      <c r="DE94">
        <v>1693512001.5999999</v>
      </c>
      <c r="DF94">
        <v>349.15100000000001</v>
      </c>
      <c r="DG94">
        <v>400.02800000000002</v>
      </c>
      <c r="DH94">
        <v>28.922799999999999</v>
      </c>
      <c r="DI94">
        <v>21.632300000000001</v>
      </c>
      <c r="DJ94">
        <v>346.72800000000001</v>
      </c>
      <c r="DK94">
        <v>28.022400000000001</v>
      </c>
      <c r="DL94">
        <v>500.005</v>
      </c>
      <c r="DM94">
        <v>99.521000000000001</v>
      </c>
      <c r="DN94">
        <v>0.10014099999999999</v>
      </c>
      <c r="DO94">
        <v>30.703299999999999</v>
      </c>
      <c r="DP94">
        <v>29.9925</v>
      </c>
      <c r="DQ94">
        <v>999.9</v>
      </c>
      <c r="DR94">
        <v>0</v>
      </c>
      <c r="DS94">
        <v>0</v>
      </c>
      <c r="DT94">
        <v>9990</v>
      </c>
      <c r="DU94">
        <v>0</v>
      </c>
      <c r="DV94">
        <v>1857.71</v>
      </c>
      <c r="DW94">
        <v>-50.877099999999999</v>
      </c>
      <c r="DX94">
        <v>359.55</v>
      </c>
      <c r="DY94">
        <v>408.87299999999999</v>
      </c>
      <c r="DZ94">
        <v>7.2904999999999998</v>
      </c>
      <c r="EA94">
        <v>400.02800000000002</v>
      </c>
      <c r="EB94">
        <v>21.632300000000001</v>
      </c>
      <c r="EC94">
        <v>2.8784299999999998</v>
      </c>
      <c r="ED94">
        <v>2.1528700000000001</v>
      </c>
      <c r="EE94">
        <v>23.340900000000001</v>
      </c>
      <c r="EF94">
        <v>18.6158</v>
      </c>
      <c r="EG94">
        <v>1800.02</v>
      </c>
      <c r="EH94">
        <v>0.97800500000000001</v>
      </c>
      <c r="EI94">
        <v>2.1995299999999999E-2</v>
      </c>
      <c r="EJ94">
        <v>0</v>
      </c>
      <c r="EK94">
        <v>717.32299999999998</v>
      </c>
      <c r="EL94">
        <v>5.0002700000000004</v>
      </c>
      <c r="EM94">
        <v>13449.9</v>
      </c>
      <c r="EN94">
        <v>16248.8</v>
      </c>
      <c r="EO94">
        <v>46.686999999999998</v>
      </c>
      <c r="EP94">
        <v>46.811999999999998</v>
      </c>
      <c r="EQ94">
        <v>47.436999999999998</v>
      </c>
      <c r="ER94">
        <v>46.686999999999998</v>
      </c>
      <c r="ES94">
        <v>48.375</v>
      </c>
      <c r="ET94">
        <v>1755.54</v>
      </c>
      <c r="EU94">
        <v>39.479999999999997</v>
      </c>
      <c r="EV94">
        <v>0</v>
      </c>
      <c r="EW94">
        <v>187.79999995231631</v>
      </c>
      <c r="EX94">
        <v>0</v>
      </c>
      <c r="EY94">
        <v>718.1352307692307</v>
      </c>
      <c r="EZ94">
        <v>-8.7634187847434912</v>
      </c>
      <c r="FA94">
        <v>-153.3572647432585</v>
      </c>
      <c r="FB94">
        <v>13466.25769230769</v>
      </c>
      <c r="FC94">
        <v>15</v>
      </c>
      <c r="FD94">
        <v>1693511900.5999999</v>
      </c>
      <c r="FE94" t="s">
        <v>817</v>
      </c>
      <c r="FF94">
        <v>1693511888.5999999</v>
      </c>
      <c r="FG94">
        <v>1693511900.5999999</v>
      </c>
      <c r="FH94">
        <v>86</v>
      </c>
      <c r="FI94">
        <v>0.44</v>
      </c>
      <c r="FJ94">
        <v>-8.9999999999999993E-3</v>
      </c>
      <c r="FK94">
        <v>2.427</v>
      </c>
      <c r="FL94">
        <v>0.47499999999999998</v>
      </c>
      <c r="FM94">
        <v>400</v>
      </c>
      <c r="FN94">
        <v>21</v>
      </c>
      <c r="FO94">
        <v>0.2</v>
      </c>
      <c r="FP94">
        <v>0.03</v>
      </c>
      <c r="FQ94">
        <v>40.037522639309643</v>
      </c>
      <c r="FR94">
        <v>0.95878277435223358</v>
      </c>
      <c r="FS94">
        <v>0.1222626084730898</v>
      </c>
      <c r="FT94">
        <v>0</v>
      </c>
      <c r="FU94">
        <v>0.47925112400699638</v>
      </c>
      <c r="FV94">
        <v>-1.436094031335306E-2</v>
      </c>
      <c r="FW94">
        <v>1.49537157195482E-3</v>
      </c>
      <c r="FX94">
        <v>1</v>
      </c>
      <c r="FY94">
        <v>1</v>
      </c>
      <c r="FZ94">
        <v>2</v>
      </c>
      <c r="GA94" t="s">
        <v>460</v>
      </c>
      <c r="GB94">
        <v>3.1178699999999999</v>
      </c>
      <c r="GC94">
        <v>2.8652099999999998</v>
      </c>
      <c r="GD94">
        <v>8.3218899999999998E-2</v>
      </c>
      <c r="GE94">
        <v>9.5488199999999995E-2</v>
      </c>
      <c r="GF94">
        <v>0.13037199999999999</v>
      </c>
      <c r="GG94">
        <v>0.111392</v>
      </c>
      <c r="GH94">
        <v>27750.799999999999</v>
      </c>
      <c r="GI94">
        <v>21277.599999999999</v>
      </c>
      <c r="GJ94">
        <v>29178.7</v>
      </c>
      <c r="GK94">
        <v>21922.7</v>
      </c>
      <c r="GL94">
        <v>33970.1</v>
      </c>
      <c r="GM94">
        <v>26798.3</v>
      </c>
      <c r="GN94">
        <v>40489</v>
      </c>
      <c r="GO94">
        <v>31145.9</v>
      </c>
      <c r="GP94">
        <v>2.0366</v>
      </c>
      <c r="GQ94">
        <v>1.8255999999999999</v>
      </c>
      <c r="GR94">
        <v>7.9631800000000003E-2</v>
      </c>
      <c r="GS94">
        <v>0</v>
      </c>
      <c r="GT94">
        <v>28.6952</v>
      </c>
      <c r="GU94">
        <v>999.9</v>
      </c>
      <c r="GV94">
        <v>41.3</v>
      </c>
      <c r="GW94">
        <v>39.5</v>
      </c>
      <c r="GX94">
        <v>29.9511</v>
      </c>
      <c r="GY94">
        <v>62.023200000000003</v>
      </c>
      <c r="GZ94">
        <v>13.2212</v>
      </c>
      <c r="HA94">
        <v>1</v>
      </c>
      <c r="HB94">
        <v>0.187805</v>
      </c>
      <c r="HC94">
        <v>-8.0065399999999995E-2</v>
      </c>
      <c r="HD94">
        <v>20.2759</v>
      </c>
      <c r="HE94">
        <v>5.2310699999999999</v>
      </c>
      <c r="HF94">
        <v>11.974</v>
      </c>
      <c r="HG94">
        <v>4.9741999999999997</v>
      </c>
      <c r="HH94">
        <v>3.2839999999999998</v>
      </c>
      <c r="HI94">
        <v>9999</v>
      </c>
      <c r="HJ94">
        <v>9999</v>
      </c>
      <c r="HK94">
        <v>9999</v>
      </c>
      <c r="HL94">
        <v>999.9</v>
      </c>
      <c r="HM94">
        <v>1.8616299999999999</v>
      </c>
      <c r="HN94">
        <v>1.86334</v>
      </c>
      <c r="HO94">
        <v>1.8686799999999999</v>
      </c>
      <c r="HP94">
        <v>1.85944</v>
      </c>
      <c r="HQ94">
        <v>1.8577600000000001</v>
      </c>
      <c r="HR94">
        <v>1.8614200000000001</v>
      </c>
      <c r="HS94">
        <v>1.8652299999999999</v>
      </c>
      <c r="HT94">
        <v>1.8673299999999999</v>
      </c>
      <c r="HU94">
        <v>5</v>
      </c>
      <c r="HV94">
        <v>0</v>
      </c>
      <c r="HW94">
        <v>0</v>
      </c>
      <c r="HX94">
        <v>0</v>
      </c>
      <c r="HY94" t="s">
        <v>422</v>
      </c>
      <c r="HZ94" t="s">
        <v>423</v>
      </c>
      <c r="IA94" t="s">
        <v>424</v>
      </c>
      <c r="IB94" t="s">
        <v>424</v>
      </c>
      <c r="IC94" t="s">
        <v>424</v>
      </c>
      <c r="ID94" t="s">
        <v>424</v>
      </c>
      <c r="IE94">
        <v>0</v>
      </c>
      <c r="IF94">
        <v>100</v>
      </c>
      <c r="IG94">
        <v>100</v>
      </c>
      <c r="IH94">
        <v>2.423</v>
      </c>
      <c r="II94">
        <v>0.90039999999999998</v>
      </c>
      <c r="IJ94">
        <v>2.2157682596554942</v>
      </c>
      <c r="IK94">
        <v>1.118558698776514E-3</v>
      </c>
      <c r="IL94">
        <v>-1.6939696309573479E-6</v>
      </c>
      <c r="IM94">
        <v>5.4698917449866148E-10</v>
      </c>
      <c r="IN94">
        <v>-8.147316368545765E-3</v>
      </c>
      <c r="IO94">
        <v>-7.6058941998734366E-3</v>
      </c>
      <c r="IP94">
        <v>1.6984902717538061E-3</v>
      </c>
      <c r="IQ94">
        <v>-9.6352527008986976E-6</v>
      </c>
      <c r="IR94">
        <v>2</v>
      </c>
      <c r="IS94">
        <v>2021</v>
      </c>
      <c r="IT94">
        <v>2</v>
      </c>
      <c r="IU94">
        <v>40</v>
      </c>
      <c r="IV94">
        <v>1.9</v>
      </c>
      <c r="IW94">
        <v>1.7</v>
      </c>
      <c r="IX94">
        <v>1.02295</v>
      </c>
      <c r="IY94">
        <v>2.5415000000000001</v>
      </c>
      <c r="IZ94">
        <v>1.34399</v>
      </c>
      <c r="JA94">
        <v>2.2375500000000001</v>
      </c>
      <c r="JB94">
        <v>1.5918000000000001</v>
      </c>
      <c r="JC94">
        <v>2.47681</v>
      </c>
      <c r="JD94">
        <v>45.604500000000002</v>
      </c>
      <c r="JE94">
        <v>23.886099999999999</v>
      </c>
      <c r="JF94">
        <v>18</v>
      </c>
      <c r="JG94">
        <v>516.07100000000003</v>
      </c>
      <c r="JH94">
        <v>418.017</v>
      </c>
      <c r="JI94">
        <v>29.015000000000001</v>
      </c>
      <c r="JJ94">
        <v>29.974499999999999</v>
      </c>
      <c r="JK94">
        <v>29.9999</v>
      </c>
      <c r="JL94">
        <v>29.909400000000002</v>
      </c>
      <c r="JM94">
        <v>29.8721</v>
      </c>
      <c r="JN94">
        <v>20.562999999999999</v>
      </c>
      <c r="JO94">
        <v>28.5</v>
      </c>
      <c r="JP94">
        <v>31.522500000000001</v>
      </c>
      <c r="JQ94">
        <v>29.014299999999999</v>
      </c>
      <c r="JR94">
        <v>400</v>
      </c>
      <c r="JS94">
        <v>21.69</v>
      </c>
      <c r="JT94">
        <v>99.478999999999999</v>
      </c>
      <c r="JU94">
        <v>98.406800000000004</v>
      </c>
    </row>
    <row r="95" spans="1:281" x14ac:dyDescent="0.25">
      <c r="A95">
        <v>79</v>
      </c>
      <c r="B95">
        <v>1693512182.5999999</v>
      </c>
      <c r="C95">
        <v>17256</v>
      </c>
      <c r="D95" t="s">
        <v>818</v>
      </c>
      <c r="E95" t="s">
        <v>819</v>
      </c>
      <c r="F95" t="s">
        <v>413</v>
      </c>
      <c r="G95" t="s">
        <v>778</v>
      </c>
      <c r="H95" t="s">
        <v>779</v>
      </c>
      <c r="I95" t="s">
        <v>31</v>
      </c>
      <c r="J95">
        <v>1693512182.5999999</v>
      </c>
      <c r="K95">
        <f t="shared" si="92"/>
        <v>5.8222564907598221E-3</v>
      </c>
      <c r="L95">
        <f t="shared" si="93"/>
        <v>5.8222564907598224</v>
      </c>
      <c r="M95">
        <f t="shared" si="94"/>
        <v>46.030720958797502</v>
      </c>
      <c r="N95">
        <f t="shared" si="95"/>
        <v>342.36399999999998</v>
      </c>
      <c r="O95">
        <f t="shared" si="96"/>
        <v>157.03454045880824</v>
      </c>
      <c r="P95">
        <f t="shared" si="97"/>
        <v>15.643861950329352</v>
      </c>
      <c r="Q95">
        <f t="shared" si="98"/>
        <v>34.106478339823994</v>
      </c>
      <c r="R95">
        <f t="shared" si="99"/>
        <v>0.43911145343007413</v>
      </c>
      <c r="S95">
        <f t="shared" si="100"/>
        <v>2.9202467753657722</v>
      </c>
      <c r="T95">
        <f t="shared" si="101"/>
        <v>0.40545300501525727</v>
      </c>
      <c r="U95">
        <f t="shared" si="102"/>
        <v>0.25621687061076565</v>
      </c>
      <c r="V95">
        <f t="shared" si="103"/>
        <v>344.39539964470771</v>
      </c>
      <c r="W95">
        <f t="shared" si="104"/>
        <v>31.205396945050079</v>
      </c>
      <c r="X95">
        <f t="shared" si="105"/>
        <v>30.003799999999998</v>
      </c>
      <c r="Y95">
        <f t="shared" si="106"/>
        <v>4.261379784496393</v>
      </c>
      <c r="Z95">
        <f t="shared" si="107"/>
        <v>65.032328533100923</v>
      </c>
      <c r="AA95">
        <f t="shared" si="108"/>
        <v>2.8821311104475997</v>
      </c>
      <c r="AB95">
        <f t="shared" si="109"/>
        <v>4.4318436314034466</v>
      </c>
      <c r="AC95">
        <f t="shared" si="110"/>
        <v>1.3792486740487933</v>
      </c>
      <c r="AD95">
        <f t="shared" si="111"/>
        <v>-256.76151124250816</v>
      </c>
      <c r="AE95">
        <f t="shared" si="112"/>
        <v>107.78092120749996</v>
      </c>
      <c r="AF95">
        <f t="shared" si="113"/>
        <v>8.2347296616491708</v>
      </c>
      <c r="AG95">
        <f t="shared" si="114"/>
        <v>203.64953927134866</v>
      </c>
      <c r="AH95">
        <v>0</v>
      </c>
      <c r="AI95">
        <v>0</v>
      </c>
      <c r="AJ95">
        <f t="shared" si="115"/>
        <v>1</v>
      </c>
      <c r="AK95">
        <f t="shared" si="116"/>
        <v>0</v>
      </c>
      <c r="AL95">
        <f t="shared" si="117"/>
        <v>51959.509449848862</v>
      </c>
      <c r="AM95" t="s">
        <v>416</v>
      </c>
      <c r="AN95">
        <v>10366.9</v>
      </c>
      <c r="AO95">
        <v>993.59653846153856</v>
      </c>
      <c r="AP95">
        <v>3431.87</v>
      </c>
      <c r="AQ95">
        <f t="shared" si="118"/>
        <v>0.71047955241266758</v>
      </c>
      <c r="AR95">
        <v>-3.9894345373445681</v>
      </c>
      <c r="AS95" t="s">
        <v>820</v>
      </c>
      <c r="AT95">
        <v>10402.1</v>
      </c>
      <c r="AU95">
        <v>755.85047999999995</v>
      </c>
      <c r="AV95">
        <v>1096.2002285427361</v>
      </c>
      <c r="AW95">
        <f t="shared" si="119"/>
        <v>0.31048136980886187</v>
      </c>
      <c r="AX95">
        <v>0.5</v>
      </c>
      <c r="AY95">
        <f t="shared" si="120"/>
        <v>1513.3019998223538</v>
      </c>
      <c r="AZ95">
        <f t="shared" si="121"/>
        <v>46.030720958797502</v>
      </c>
      <c r="BA95">
        <f t="shared" si="122"/>
        <v>234.92603891966723</v>
      </c>
      <c r="BB95">
        <f t="shared" si="123"/>
        <v>3.3053650561496596E-2</v>
      </c>
      <c r="BC95">
        <f t="shared" si="124"/>
        <v>2.1306963004033035</v>
      </c>
      <c r="BD95">
        <f t="shared" si="125"/>
        <v>614.51465068213452</v>
      </c>
      <c r="BE95" t="s">
        <v>821</v>
      </c>
      <c r="BF95">
        <v>594.33000000000004</v>
      </c>
      <c r="BG95">
        <f t="shared" si="126"/>
        <v>594.33000000000004</v>
      </c>
      <c r="BH95">
        <f t="shared" si="127"/>
        <v>0.45782715189715939</v>
      </c>
      <c r="BI95">
        <f t="shared" si="128"/>
        <v>0.67816285801809451</v>
      </c>
      <c r="BJ95">
        <f t="shared" si="129"/>
        <v>0.82313192816921132</v>
      </c>
      <c r="BK95">
        <f t="shared" si="130"/>
        <v>3.3171297082336255</v>
      </c>
      <c r="BL95">
        <f t="shared" si="131"/>
        <v>0.95791953129963581</v>
      </c>
      <c r="BM95">
        <f t="shared" si="132"/>
        <v>0.53324373281590576</v>
      </c>
      <c r="BN95">
        <f t="shared" si="133"/>
        <v>0.46675626718409424</v>
      </c>
      <c r="BO95">
        <v>2305</v>
      </c>
      <c r="BP95">
        <v>290.00000000000011</v>
      </c>
      <c r="BQ95">
        <v>997.91</v>
      </c>
      <c r="BR95">
        <v>175</v>
      </c>
      <c r="BS95">
        <v>10402.1</v>
      </c>
      <c r="BT95">
        <v>993.87</v>
      </c>
      <c r="BU95">
        <v>4.04</v>
      </c>
      <c r="BV95">
        <v>300.00000000000011</v>
      </c>
      <c r="BW95">
        <v>38.4</v>
      </c>
      <c r="BX95">
        <v>1096.2002285427361</v>
      </c>
      <c r="BY95">
        <v>1.4685844167202089</v>
      </c>
      <c r="BZ95">
        <v>-106.44395023990459</v>
      </c>
      <c r="CA95">
        <v>1.249713764119998</v>
      </c>
      <c r="CB95">
        <v>0.99615528445049228</v>
      </c>
      <c r="CC95">
        <v>-1.1313778197997769E-2</v>
      </c>
      <c r="CD95">
        <v>289.99999999999989</v>
      </c>
      <c r="CE95">
        <v>981.1</v>
      </c>
      <c r="CF95">
        <v>645</v>
      </c>
      <c r="CG95">
        <v>10378.4</v>
      </c>
      <c r="CH95">
        <v>993.64</v>
      </c>
      <c r="CI95">
        <v>-12.54</v>
      </c>
      <c r="CW95">
        <f t="shared" si="134"/>
        <v>1800.14</v>
      </c>
      <c r="CX95">
        <f t="shared" si="135"/>
        <v>1513.3019998223538</v>
      </c>
      <c r="CY95">
        <f t="shared" si="136"/>
        <v>0.84065794872751765</v>
      </c>
      <c r="CZ95">
        <f t="shared" si="137"/>
        <v>0.19131589745503555</v>
      </c>
      <c r="DA95">
        <v>6</v>
      </c>
      <c r="DB95">
        <v>0.5</v>
      </c>
      <c r="DC95" t="s">
        <v>419</v>
      </c>
      <c r="DD95">
        <v>2</v>
      </c>
      <c r="DE95">
        <v>1693512182.5999999</v>
      </c>
      <c r="DF95">
        <v>342.36399999999998</v>
      </c>
      <c r="DG95">
        <v>400.03300000000002</v>
      </c>
      <c r="DH95">
        <v>28.931100000000001</v>
      </c>
      <c r="DI95">
        <v>22.1418</v>
      </c>
      <c r="DJ95">
        <v>339.99599999999998</v>
      </c>
      <c r="DK95">
        <v>28.0183</v>
      </c>
      <c r="DL95">
        <v>499.65199999999999</v>
      </c>
      <c r="DM95">
        <v>99.520399999999995</v>
      </c>
      <c r="DN95">
        <v>0.100116</v>
      </c>
      <c r="DO95">
        <v>30.688400000000001</v>
      </c>
      <c r="DP95">
        <v>30.003799999999998</v>
      </c>
      <c r="DQ95">
        <v>999.9</v>
      </c>
      <c r="DR95">
        <v>0</v>
      </c>
      <c r="DS95">
        <v>0</v>
      </c>
      <c r="DT95">
        <v>9995</v>
      </c>
      <c r="DU95">
        <v>0</v>
      </c>
      <c r="DV95">
        <v>1847.68</v>
      </c>
      <c r="DW95">
        <v>-57.668700000000001</v>
      </c>
      <c r="DX95">
        <v>352.565</v>
      </c>
      <c r="DY95">
        <v>409.09100000000001</v>
      </c>
      <c r="DZ95">
        <v>6.7892900000000003</v>
      </c>
      <c r="EA95">
        <v>400.03300000000002</v>
      </c>
      <c r="EB95">
        <v>22.1418</v>
      </c>
      <c r="EC95">
        <v>2.8792399999999998</v>
      </c>
      <c r="ED95">
        <v>2.20357</v>
      </c>
      <c r="EE95">
        <v>23.345600000000001</v>
      </c>
      <c r="EF95">
        <v>18.988299999999999</v>
      </c>
      <c r="EG95">
        <v>1800.14</v>
      </c>
      <c r="EH95">
        <v>0.97800500000000001</v>
      </c>
      <c r="EI95">
        <v>2.1995299999999999E-2</v>
      </c>
      <c r="EJ95">
        <v>0</v>
      </c>
      <c r="EK95">
        <v>756.75699999999995</v>
      </c>
      <c r="EL95">
        <v>5.0002700000000004</v>
      </c>
      <c r="EM95">
        <v>14182.6</v>
      </c>
      <c r="EN95">
        <v>16249.9</v>
      </c>
      <c r="EO95">
        <v>46.625</v>
      </c>
      <c r="EP95">
        <v>46.625</v>
      </c>
      <c r="EQ95">
        <v>47.311999999999998</v>
      </c>
      <c r="ER95">
        <v>46.625</v>
      </c>
      <c r="ES95">
        <v>48.25</v>
      </c>
      <c r="ET95">
        <v>1755.66</v>
      </c>
      <c r="EU95">
        <v>39.479999999999997</v>
      </c>
      <c r="EV95">
        <v>0</v>
      </c>
      <c r="EW95">
        <v>178.79999995231631</v>
      </c>
      <c r="EX95">
        <v>0</v>
      </c>
      <c r="EY95">
        <v>755.85047999999995</v>
      </c>
      <c r="EZ95">
        <v>10.248076956261031</v>
      </c>
      <c r="FA95">
        <v>210.26923099748441</v>
      </c>
      <c r="FB95">
        <v>14157.484</v>
      </c>
      <c r="FC95">
        <v>15</v>
      </c>
      <c r="FD95">
        <v>1693512079.0999999</v>
      </c>
      <c r="FE95" t="s">
        <v>822</v>
      </c>
      <c r="FF95">
        <v>1693512071.0999999</v>
      </c>
      <c r="FG95">
        <v>1693512079.0999999</v>
      </c>
      <c r="FH95">
        <v>87</v>
      </c>
      <c r="FI95">
        <v>-5.2999999999999999E-2</v>
      </c>
      <c r="FJ95">
        <v>1.2999999999999999E-2</v>
      </c>
      <c r="FK95">
        <v>2.3740000000000001</v>
      </c>
      <c r="FL95">
        <v>0.51400000000000001</v>
      </c>
      <c r="FM95">
        <v>400</v>
      </c>
      <c r="FN95">
        <v>22</v>
      </c>
      <c r="FO95">
        <v>0.12</v>
      </c>
      <c r="FP95">
        <v>0.04</v>
      </c>
      <c r="FQ95">
        <v>45.871092298452822</v>
      </c>
      <c r="FR95">
        <v>0.67919267448221965</v>
      </c>
      <c r="FS95">
        <v>0.10089439523067301</v>
      </c>
      <c r="FT95">
        <v>1</v>
      </c>
      <c r="FU95">
        <v>0.44572738562578262</v>
      </c>
      <c r="FV95">
        <v>-2.4002813549986731E-2</v>
      </c>
      <c r="FW95">
        <v>2.3061248408874969E-3</v>
      </c>
      <c r="FX95">
        <v>1</v>
      </c>
      <c r="FY95">
        <v>2</v>
      </c>
      <c r="FZ95">
        <v>2</v>
      </c>
      <c r="GA95" t="s">
        <v>421</v>
      </c>
      <c r="GB95">
        <v>3.1175899999999999</v>
      </c>
      <c r="GC95">
        <v>2.8652299999999999</v>
      </c>
      <c r="GD95">
        <v>8.1936400000000006E-2</v>
      </c>
      <c r="GE95">
        <v>9.5502500000000004E-2</v>
      </c>
      <c r="GF95">
        <v>0.13037099999999999</v>
      </c>
      <c r="GG95">
        <v>0.113235</v>
      </c>
      <c r="GH95">
        <v>27791.599999999999</v>
      </c>
      <c r="GI95">
        <v>21279.8</v>
      </c>
      <c r="GJ95">
        <v>29180.400000000001</v>
      </c>
      <c r="GK95">
        <v>21925.200000000001</v>
      </c>
      <c r="GL95">
        <v>33971.4</v>
      </c>
      <c r="GM95">
        <v>26745.1</v>
      </c>
      <c r="GN95">
        <v>40491.599999999999</v>
      </c>
      <c r="GO95">
        <v>31148.7</v>
      </c>
      <c r="GP95">
        <v>2.0360999999999998</v>
      </c>
      <c r="GQ95">
        <v>1.8261000000000001</v>
      </c>
      <c r="GR95">
        <v>8.6188299999999995E-2</v>
      </c>
      <c r="GS95">
        <v>0</v>
      </c>
      <c r="GT95">
        <v>28.599599999999999</v>
      </c>
      <c r="GU95">
        <v>999.9</v>
      </c>
      <c r="GV95">
        <v>40</v>
      </c>
      <c r="GW95">
        <v>39.700000000000003</v>
      </c>
      <c r="GX95">
        <v>29.323</v>
      </c>
      <c r="GY95">
        <v>62.013199999999998</v>
      </c>
      <c r="GZ95">
        <v>13.401400000000001</v>
      </c>
      <c r="HA95">
        <v>1</v>
      </c>
      <c r="HB95">
        <v>0.182866</v>
      </c>
      <c r="HC95">
        <v>-2.3268E-2</v>
      </c>
      <c r="HD95">
        <v>20.276</v>
      </c>
      <c r="HE95">
        <v>5.2328599999999996</v>
      </c>
      <c r="HF95">
        <v>11.974</v>
      </c>
      <c r="HG95">
        <v>4.9752000000000001</v>
      </c>
      <c r="HH95">
        <v>3.2839999999999998</v>
      </c>
      <c r="HI95">
        <v>9999</v>
      </c>
      <c r="HJ95">
        <v>9999</v>
      </c>
      <c r="HK95">
        <v>9999</v>
      </c>
      <c r="HL95">
        <v>999.9</v>
      </c>
      <c r="HM95">
        <v>1.8616299999999999</v>
      </c>
      <c r="HN95">
        <v>1.86338</v>
      </c>
      <c r="HO95">
        <v>1.8687</v>
      </c>
      <c r="HP95">
        <v>1.85944</v>
      </c>
      <c r="HQ95">
        <v>1.8577600000000001</v>
      </c>
      <c r="HR95">
        <v>1.8614200000000001</v>
      </c>
      <c r="HS95">
        <v>1.8652899999999999</v>
      </c>
      <c r="HT95">
        <v>1.86737</v>
      </c>
      <c r="HU95">
        <v>5</v>
      </c>
      <c r="HV95">
        <v>0</v>
      </c>
      <c r="HW95">
        <v>0</v>
      </c>
      <c r="HX95">
        <v>0</v>
      </c>
      <c r="HY95" t="s">
        <v>422</v>
      </c>
      <c r="HZ95" t="s">
        <v>423</v>
      </c>
      <c r="IA95" t="s">
        <v>424</v>
      </c>
      <c r="IB95" t="s">
        <v>424</v>
      </c>
      <c r="IC95" t="s">
        <v>424</v>
      </c>
      <c r="ID95" t="s">
        <v>424</v>
      </c>
      <c r="IE95">
        <v>0</v>
      </c>
      <c r="IF95">
        <v>100</v>
      </c>
      <c r="IG95">
        <v>100</v>
      </c>
      <c r="IH95">
        <v>2.3679999999999999</v>
      </c>
      <c r="II95">
        <v>0.91279999999999994</v>
      </c>
      <c r="IJ95">
        <v>2.1625206847558931</v>
      </c>
      <c r="IK95">
        <v>1.118558698776514E-3</v>
      </c>
      <c r="IL95">
        <v>-1.6939696309573479E-6</v>
      </c>
      <c r="IM95">
        <v>5.4698917449866148E-10</v>
      </c>
      <c r="IN95">
        <v>4.5467889499959391E-3</v>
      </c>
      <c r="IO95">
        <v>-7.6058941998734366E-3</v>
      </c>
      <c r="IP95">
        <v>1.6984902717538061E-3</v>
      </c>
      <c r="IQ95">
        <v>-9.6352527008986976E-6</v>
      </c>
      <c r="IR95">
        <v>2</v>
      </c>
      <c r="IS95">
        <v>2021</v>
      </c>
      <c r="IT95">
        <v>2</v>
      </c>
      <c r="IU95">
        <v>40</v>
      </c>
      <c r="IV95">
        <v>1.9</v>
      </c>
      <c r="IW95">
        <v>1.7</v>
      </c>
      <c r="IX95">
        <v>1.02295</v>
      </c>
      <c r="IY95">
        <v>2.5366200000000001</v>
      </c>
      <c r="IZ95">
        <v>1.34399</v>
      </c>
      <c r="JA95">
        <v>2.2375500000000001</v>
      </c>
      <c r="JB95">
        <v>1.5918000000000001</v>
      </c>
      <c r="JC95">
        <v>2.5</v>
      </c>
      <c r="JD95">
        <v>45.575800000000001</v>
      </c>
      <c r="JE95">
        <v>23.886099999999999</v>
      </c>
      <c r="JF95">
        <v>18</v>
      </c>
      <c r="JG95">
        <v>515.34199999999998</v>
      </c>
      <c r="JH95">
        <v>418.02499999999998</v>
      </c>
      <c r="JI95">
        <v>28.991499999999998</v>
      </c>
      <c r="JJ95">
        <v>29.9099</v>
      </c>
      <c r="JK95">
        <v>29.9999</v>
      </c>
      <c r="JL95">
        <v>29.865600000000001</v>
      </c>
      <c r="JM95">
        <v>29.8337</v>
      </c>
      <c r="JN95">
        <v>20.572900000000001</v>
      </c>
      <c r="JO95">
        <v>24.512699999999999</v>
      </c>
      <c r="JP95">
        <v>28.496099999999998</v>
      </c>
      <c r="JQ95">
        <v>28.9922</v>
      </c>
      <c r="JR95">
        <v>400</v>
      </c>
      <c r="JS95">
        <v>22.183700000000002</v>
      </c>
      <c r="JT95">
        <v>99.485100000000003</v>
      </c>
      <c r="JU95">
        <v>98.416600000000003</v>
      </c>
    </row>
    <row r="96" spans="1:281" x14ac:dyDescent="0.25">
      <c r="A96">
        <v>80</v>
      </c>
      <c r="B96">
        <v>1693512296.5999999</v>
      </c>
      <c r="C96">
        <v>17370</v>
      </c>
      <c r="D96" t="s">
        <v>823</v>
      </c>
      <c r="E96" t="s">
        <v>824</v>
      </c>
      <c r="F96" t="s">
        <v>413</v>
      </c>
      <c r="G96" t="s">
        <v>778</v>
      </c>
      <c r="H96" t="s">
        <v>779</v>
      </c>
      <c r="I96" t="s">
        <v>31</v>
      </c>
      <c r="J96">
        <v>1693512296.5999999</v>
      </c>
      <c r="K96">
        <f t="shared" si="92"/>
        <v>5.7568270205885005E-3</v>
      </c>
      <c r="L96">
        <f t="shared" si="93"/>
        <v>5.7568270205885002</v>
      </c>
      <c r="M96">
        <f t="shared" si="94"/>
        <v>48.002871913830248</v>
      </c>
      <c r="N96">
        <f t="shared" si="95"/>
        <v>439.29599999999999</v>
      </c>
      <c r="O96">
        <f t="shared" si="96"/>
        <v>243.48117333459524</v>
      </c>
      <c r="P96">
        <f t="shared" si="97"/>
        <v>24.254939644976695</v>
      </c>
      <c r="Q96">
        <f t="shared" si="98"/>
        <v>43.761486033407998</v>
      </c>
      <c r="R96">
        <f t="shared" si="99"/>
        <v>0.43704630460698479</v>
      </c>
      <c r="S96">
        <f t="shared" si="100"/>
        <v>2.9359272718727372</v>
      </c>
      <c r="T96">
        <f t="shared" si="101"/>
        <v>0.40385447860601753</v>
      </c>
      <c r="U96">
        <f t="shared" si="102"/>
        <v>0.25518081447151786</v>
      </c>
      <c r="V96">
        <f t="shared" si="103"/>
        <v>344.35419964457429</v>
      </c>
      <c r="W96">
        <f t="shared" si="104"/>
        <v>31.215229295164853</v>
      </c>
      <c r="X96">
        <f t="shared" si="105"/>
        <v>30.007400000000001</v>
      </c>
      <c r="Y96">
        <f t="shared" si="106"/>
        <v>4.2622610117639477</v>
      </c>
      <c r="Z96">
        <f t="shared" si="107"/>
        <v>65.299154025133078</v>
      </c>
      <c r="AA96">
        <f t="shared" si="108"/>
        <v>2.8932453192378</v>
      </c>
      <c r="AB96">
        <f t="shared" si="109"/>
        <v>4.4307546742860024</v>
      </c>
      <c r="AC96">
        <f t="shared" si="110"/>
        <v>1.3690156925261476</v>
      </c>
      <c r="AD96">
        <f t="shared" si="111"/>
        <v>-253.87607160795287</v>
      </c>
      <c r="AE96">
        <f t="shared" si="112"/>
        <v>107.10923388865012</v>
      </c>
      <c r="AF96">
        <f t="shared" si="113"/>
        <v>8.1396758849763877</v>
      </c>
      <c r="AG96">
        <f t="shared" si="114"/>
        <v>205.72703781024794</v>
      </c>
      <c r="AH96">
        <v>0</v>
      </c>
      <c r="AI96">
        <v>0</v>
      </c>
      <c r="AJ96">
        <f t="shared" si="115"/>
        <v>1</v>
      </c>
      <c r="AK96">
        <f t="shared" si="116"/>
        <v>0</v>
      </c>
      <c r="AL96">
        <f t="shared" si="117"/>
        <v>52407.254256040556</v>
      </c>
      <c r="AM96" t="s">
        <v>416</v>
      </c>
      <c r="AN96">
        <v>10366.9</v>
      </c>
      <c r="AO96">
        <v>993.59653846153856</v>
      </c>
      <c r="AP96">
        <v>3431.87</v>
      </c>
      <c r="AQ96">
        <f t="shared" si="118"/>
        <v>0.71047955241266758</v>
      </c>
      <c r="AR96">
        <v>-3.9894345373445681</v>
      </c>
      <c r="AS96" t="s">
        <v>825</v>
      </c>
      <c r="AT96">
        <v>10411.9</v>
      </c>
      <c r="AU96">
        <v>775.32607692307704</v>
      </c>
      <c r="AV96">
        <v>1140.935761391489</v>
      </c>
      <c r="AW96">
        <f t="shared" si="119"/>
        <v>0.32044721257795727</v>
      </c>
      <c r="AX96">
        <v>0.5</v>
      </c>
      <c r="AY96">
        <f t="shared" si="120"/>
        <v>1513.1174998222871</v>
      </c>
      <c r="AZ96">
        <f t="shared" si="121"/>
        <v>48.002871913830248</v>
      </c>
      <c r="BA96">
        <f t="shared" si="122"/>
        <v>242.43714256048983</v>
      </c>
      <c r="BB96">
        <f t="shared" si="123"/>
        <v>3.436105025371871E-2</v>
      </c>
      <c r="BC96">
        <f t="shared" si="124"/>
        <v>2.0079432305763474</v>
      </c>
      <c r="BD96">
        <f t="shared" si="125"/>
        <v>628.32543735774107</v>
      </c>
      <c r="BE96" t="s">
        <v>826</v>
      </c>
      <c r="BF96">
        <v>605.04999999999995</v>
      </c>
      <c r="BG96">
        <f t="shared" si="126"/>
        <v>605.04999999999995</v>
      </c>
      <c r="BH96">
        <f t="shared" si="127"/>
        <v>0.46968968764544727</v>
      </c>
      <c r="BI96">
        <f t="shared" si="128"/>
        <v>0.68225303004704652</v>
      </c>
      <c r="BJ96">
        <f t="shared" si="129"/>
        <v>0.81042805647636251</v>
      </c>
      <c r="BK96">
        <f t="shared" si="130"/>
        <v>2.4814145018413321</v>
      </c>
      <c r="BL96">
        <f t="shared" si="131"/>
        <v>0.93957231407629516</v>
      </c>
      <c r="BM96">
        <f t="shared" si="132"/>
        <v>0.53241753130266578</v>
      </c>
      <c r="BN96">
        <f t="shared" si="133"/>
        <v>0.46758246869733422</v>
      </c>
      <c r="BO96">
        <v>2307</v>
      </c>
      <c r="BP96">
        <v>290.00000000000011</v>
      </c>
      <c r="BQ96">
        <v>1037.68</v>
      </c>
      <c r="BR96">
        <v>125</v>
      </c>
      <c r="BS96">
        <v>10411.9</v>
      </c>
      <c r="BT96">
        <v>1033.6500000000001</v>
      </c>
      <c r="BU96">
        <v>4.03</v>
      </c>
      <c r="BV96">
        <v>300.00000000000011</v>
      </c>
      <c r="BW96">
        <v>38.299999999999997</v>
      </c>
      <c r="BX96">
        <v>1140.935761391489</v>
      </c>
      <c r="BY96">
        <v>1.298332227861408</v>
      </c>
      <c r="BZ96">
        <v>-111.7024197127736</v>
      </c>
      <c r="CA96">
        <v>1.1049029665172749</v>
      </c>
      <c r="CB96">
        <v>0.99726792260067743</v>
      </c>
      <c r="CC96">
        <v>-1.131458998887654E-2</v>
      </c>
      <c r="CD96">
        <v>289.99999999999989</v>
      </c>
      <c r="CE96">
        <v>1021.48</v>
      </c>
      <c r="CF96">
        <v>665</v>
      </c>
      <c r="CG96">
        <v>10377.1</v>
      </c>
      <c r="CH96">
        <v>1033.29</v>
      </c>
      <c r="CI96">
        <v>-11.81</v>
      </c>
      <c r="CW96">
        <f t="shared" si="134"/>
        <v>1799.92</v>
      </c>
      <c r="CX96">
        <f t="shared" si="135"/>
        <v>1513.1174998222871</v>
      </c>
      <c r="CY96">
        <f t="shared" si="136"/>
        <v>0.84065819582108481</v>
      </c>
      <c r="CZ96">
        <f t="shared" si="137"/>
        <v>0.19131639164216979</v>
      </c>
      <c r="DA96">
        <v>6</v>
      </c>
      <c r="DB96">
        <v>0.5</v>
      </c>
      <c r="DC96" t="s">
        <v>419</v>
      </c>
      <c r="DD96">
        <v>2</v>
      </c>
      <c r="DE96">
        <v>1693512296.5999999</v>
      </c>
      <c r="DF96">
        <v>439.29599999999999</v>
      </c>
      <c r="DG96">
        <v>499.97800000000001</v>
      </c>
      <c r="DH96">
        <v>29.043600000000001</v>
      </c>
      <c r="DI96">
        <v>22.331199999999999</v>
      </c>
      <c r="DJ96">
        <v>436.76900000000001</v>
      </c>
      <c r="DK96">
        <v>28.119299999999999</v>
      </c>
      <c r="DL96">
        <v>499.63900000000001</v>
      </c>
      <c r="DM96">
        <v>99.518100000000004</v>
      </c>
      <c r="DN96">
        <v>9.9210499999999993E-2</v>
      </c>
      <c r="DO96">
        <v>30.684100000000001</v>
      </c>
      <c r="DP96">
        <v>30.007400000000001</v>
      </c>
      <c r="DQ96">
        <v>999.9</v>
      </c>
      <c r="DR96">
        <v>0</v>
      </c>
      <c r="DS96">
        <v>0</v>
      </c>
      <c r="DT96">
        <v>10085</v>
      </c>
      <c r="DU96">
        <v>0</v>
      </c>
      <c r="DV96">
        <v>1838.82</v>
      </c>
      <c r="DW96">
        <v>-60.682299999999998</v>
      </c>
      <c r="DX96">
        <v>452.43599999999998</v>
      </c>
      <c r="DY96">
        <v>511.39800000000002</v>
      </c>
      <c r="DZ96">
        <v>6.7124199999999998</v>
      </c>
      <c r="EA96">
        <v>499.97800000000001</v>
      </c>
      <c r="EB96">
        <v>22.331199999999999</v>
      </c>
      <c r="EC96">
        <v>2.8903599999999998</v>
      </c>
      <c r="ED96">
        <v>2.22235</v>
      </c>
      <c r="EE96">
        <v>23.409400000000002</v>
      </c>
      <c r="EF96">
        <v>19.124400000000001</v>
      </c>
      <c r="EG96">
        <v>1799.92</v>
      </c>
      <c r="EH96">
        <v>0.97800100000000001</v>
      </c>
      <c r="EI96">
        <v>2.1999000000000001E-2</v>
      </c>
      <c r="EJ96">
        <v>0</v>
      </c>
      <c r="EK96">
        <v>775.44399999999996</v>
      </c>
      <c r="EL96">
        <v>5.0002700000000004</v>
      </c>
      <c r="EM96">
        <v>14509.9</v>
      </c>
      <c r="EN96">
        <v>16247.8</v>
      </c>
      <c r="EO96">
        <v>46.5</v>
      </c>
      <c r="EP96">
        <v>46.561999999999998</v>
      </c>
      <c r="EQ96">
        <v>47.25</v>
      </c>
      <c r="ER96">
        <v>46.561999999999998</v>
      </c>
      <c r="ES96">
        <v>48.25</v>
      </c>
      <c r="ET96">
        <v>1755.43</v>
      </c>
      <c r="EU96">
        <v>39.49</v>
      </c>
      <c r="EV96">
        <v>0</v>
      </c>
      <c r="EW96">
        <v>112.2000000476837</v>
      </c>
      <c r="EX96">
        <v>0</v>
      </c>
      <c r="EY96">
        <v>775.32607692307704</v>
      </c>
      <c r="EZ96">
        <v>2.0026666638472221</v>
      </c>
      <c r="FA96">
        <v>26.622222439524531</v>
      </c>
      <c r="FB96">
        <v>14504.365384615379</v>
      </c>
      <c r="FC96">
        <v>15</v>
      </c>
      <c r="FD96">
        <v>1693512266.5999999</v>
      </c>
      <c r="FE96" t="s">
        <v>827</v>
      </c>
      <c r="FF96">
        <v>1693512266.5999999</v>
      </c>
      <c r="FG96">
        <v>1693512259.0999999</v>
      </c>
      <c r="FH96">
        <v>88</v>
      </c>
      <c r="FI96">
        <v>0.154</v>
      </c>
      <c r="FJ96">
        <v>5.0000000000000001E-3</v>
      </c>
      <c r="FK96">
        <v>2.5209999999999999</v>
      </c>
      <c r="FL96">
        <v>0.53600000000000003</v>
      </c>
      <c r="FM96">
        <v>500</v>
      </c>
      <c r="FN96">
        <v>22</v>
      </c>
      <c r="FO96">
        <v>0.15</v>
      </c>
      <c r="FP96">
        <v>0.04</v>
      </c>
      <c r="FQ96">
        <v>48.079462790852112</v>
      </c>
      <c r="FR96">
        <v>-0.28909510887038492</v>
      </c>
      <c r="FS96">
        <v>9.1930653455131628E-2</v>
      </c>
      <c r="FT96">
        <v>1</v>
      </c>
      <c r="FU96">
        <v>0.44159991086808381</v>
      </c>
      <c r="FV96">
        <v>-4.6564158106347772E-2</v>
      </c>
      <c r="FW96">
        <v>3.8640451783416149E-3</v>
      </c>
      <c r="FX96">
        <v>1</v>
      </c>
      <c r="FY96">
        <v>2</v>
      </c>
      <c r="FZ96">
        <v>2</v>
      </c>
      <c r="GA96" t="s">
        <v>421</v>
      </c>
      <c r="GB96">
        <v>3.1176200000000001</v>
      </c>
      <c r="GC96">
        <v>2.86511</v>
      </c>
      <c r="GD96">
        <v>9.9578200000000006E-2</v>
      </c>
      <c r="GE96">
        <v>0.11290500000000001</v>
      </c>
      <c r="GF96">
        <v>0.13070599999999999</v>
      </c>
      <c r="GG96">
        <v>0.11391800000000001</v>
      </c>
      <c r="GH96">
        <v>27259.8</v>
      </c>
      <c r="GI96">
        <v>20871.599999999999</v>
      </c>
      <c r="GJ96">
        <v>29182.5</v>
      </c>
      <c r="GK96">
        <v>21926.3</v>
      </c>
      <c r="GL96">
        <v>33961.199999999997</v>
      </c>
      <c r="GM96">
        <v>26728.1</v>
      </c>
      <c r="GN96">
        <v>40494.199999999997</v>
      </c>
      <c r="GO96">
        <v>31151.3</v>
      </c>
      <c r="GP96">
        <v>2.0364</v>
      </c>
      <c r="GQ96">
        <v>1.8261000000000001</v>
      </c>
      <c r="GR96">
        <v>8.8810899999999998E-2</v>
      </c>
      <c r="GS96">
        <v>0</v>
      </c>
      <c r="GT96">
        <v>28.560400000000001</v>
      </c>
      <c r="GU96">
        <v>999.9</v>
      </c>
      <c r="GV96">
        <v>39.299999999999997</v>
      </c>
      <c r="GW96">
        <v>39.9</v>
      </c>
      <c r="GX96">
        <v>29.1203</v>
      </c>
      <c r="GY96">
        <v>61.443199999999997</v>
      </c>
      <c r="GZ96">
        <v>13.6378</v>
      </c>
      <c r="HA96">
        <v>1</v>
      </c>
      <c r="HB96">
        <v>0.180732</v>
      </c>
      <c r="HC96">
        <v>0.35723300000000002</v>
      </c>
      <c r="HD96">
        <v>20.275300000000001</v>
      </c>
      <c r="HE96">
        <v>5.23346</v>
      </c>
      <c r="HF96">
        <v>11.974</v>
      </c>
      <c r="HG96">
        <v>4.9737999999999998</v>
      </c>
      <c r="HH96">
        <v>3.2839999999999998</v>
      </c>
      <c r="HI96">
        <v>9999</v>
      </c>
      <c r="HJ96">
        <v>9999</v>
      </c>
      <c r="HK96">
        <v>9999</v>
      </c>
      <c r="HL96">
        <v>999.9</v>
      </c>
      <c r="HM96">
        <v>1.8615999999999999</v>
      </c>
      <c r="HN96">
        <v>1.86331</v>
      </c>
      <c r="HO96">
        <v>1.86863</v>
      </c>
      <c r="HP96">
        <v>1.85944</v>
      </c>
      <c r="HQ96">
        <v>1.8577399999999999</v>
      </c>
      <c r="HR96">
        <v>1.8614200000000001</v>
      </c>
      <c r="HS96">
        <v>1.8652599999999999</v>
      </c>
      <c r="HT96">
        <v>1.86737</v>
      </c>
      <c r="HU96">
        <v>5</v>
      </c>
      <c r="HV96">
        <v>0</v>
      </c>
      <c r="HW96">
        <v>0</v>
      </c>
      <c r="HX96">
        <v>0</v>
      </c>
      <c r="HY96" t="s">
        <v>422</v>
      </c>
      <c r="HZ96" t="s">
        <v>423</v>
      </c>
      <c r="IA96" t="s">
        <v>424</v>
      </c>
      <c r="IB96" t="s">
        <v>424</v>
      </c>
      <c r="IC96" t="s">
        <v>424</v>
      </c>
      <c r="ID96" t="s">
        <v>424</v>
      </c>
      <c r="IE96">
        <v>0</v>
      </c>
      <c r="IF96">
        <v>100</v>
      </c>
      <c r="IG96">
        <v>100</v>
      </c>
      <c r="IH96">
        <v>2.5270000000000001</v>
      </c>
      <c r="II96">
        <v>0.92430000000000001</v>
      </c>
      <c r="IJ96">
        <v>2.3161650210614728</v>
      </c>
      <c r="IK96">
        <v>1.118558698776514E-3</v>
      </c>
      <c r="IL96">
        <v>-1.6939696309573479E-6</v>
      </c>
      <c r="IM96">
        <v>5.4698917449866148E-10</v>
      </c>
      <c r="IN96">
        <v>9.4449539829487561E-3</v>
      </c>
      <c r="IO96">
        <v>-7.6058941998734366E-3</v>
      </c>
      <c r="IP96">
        <v>1.6984902717538061E-3</v>
      </c>
      <c r="IQ96">
        <v>-9.6352527008986976E-6</v>
      </c>
      <c r="IR96">
        <v>2</v>
      </c>
      <c r="IS96">
        <v>2021</v>
      </c>
      <c r="IT96">
        <v>2</v>
      </c>
      <c r="IU96">
        <v>40</v>
      </c>
      <c r="IV96">
        <v>0.5</v>
      </c>
      <c r="IW96">
        <v>0.6</v>
      </c>
      <c r="IX96">
        <v>1.22681</v>
      </c>
      <c r="IY96">
        <v>2.5317400000000001</v>
      </c>
      <c r="IZ96">
        <v>1.34399</v>
      </c>
      <c r="JA96">
        <v>2.2375500000000001</v>
      </c>
      <c r="JB96">
        <v>1.5918000000000001</v>
      </c>
      <c r="JC96">
        <v>2.35107</v>
      </c>
      <c r="JD96">
        <v>45.661799999999999</v>
      </c>
      <c r="JE96">
        <v>23.8949</v>
      </c>
      <c r="JF96">
        <v>18</v>
      </c>
      <c r="JG96">
        <v>515.25599999999997</v>
      </c>
      <c r="JH96">
        <v>417.74400000000003</v>
      </c>
      <c r="JI96">
        <v>28.6784</v>
      </c>
      <c r="JJ96">
        <v>29.861899999999999</v>
      </c>
      <c r="JK96">
        <v>30.0002</v>
      </c>
      <c r="JL96">
        <v>29.834800000000001</v>
      </c>
      <c r="JM96">
        <v>29.797899999999998</v>
      </c>
      <c r="JN96">
        <v>24.623699999999999</v>
      </c>
      <c r="JO96">
        <v>23.0886</v>
      </c>
      <c r="JP96">
        <v>26.892499999999998</v>
      </c>
      <c r="JQ96">
        <v>28.678100000000001</v>
      </c>
      <c r="JR96">
        <v>500</v>
      </c>
      <c r="JS96">
        <v>22.3948</v>
      </c>
      <c r="JT96">
        <v>99.491799999999998</v>
      </c>
      <c r="JU96">
        <v>98.423500000000004</v>
      </c>
    </row>
    <row r="97" spans="1:281" x14ac:dyDescent="0.25">
      <c r="A97">
        <v>81</v>
      </c>
      <c r="B97">
        <v>1693512401.5999999</v>
      </c>
      <c r="C97">
        <v>17475</v>
      </c>
      <c r="D97" t="s">
        <v>828</v>
      </c>
      <c r="E97" t="s">
        <v>829</v>
      </c>
      <c r="F97" t="s">
        <v>413</v>
      </c>
      <c r="G97" t="s">
        <v>778</v>
      </c>
      <c r="H97" t="s">
        <v>779</v>
      </c>
      <c r="I97" t="s">
        <v>31</v>
      </c>
      <c r="J97">
        <v>1693512401.5999999</v>
      </c>
      <c r="K97">
        <f t="shared" si="92"/>
        <v>5.4654705455890011E-3</v>
      </c>
      <c r="L97">
        <f t="shared" si="93"/>
        <v>5.4654705455890014</v>
      </c>
      <c r="M97">
        <f t="shared" si="94"/>
        <v>48.329192072090066</v>
      </c>
      <c r="N97">
        <f t="shared" si="95"/>
        <v>637.98900000000003</v>
      </c>
      <c r="O97">
        <f t="shared" si="96"/>
        <v>426.00033113209975</v>
      </c>
      <c r="P97">
        <f t="shared" si="97"/>
        <v>42.436301206540385</v>
      </c>
      <c r="Q97">
        <f t="shared" si="98"/>
        <v>63.553690905615909</v>
      </c>
      <c r="R97">
        <f t="shared" si="99"/>
        <v>0.41255449002149791</v>
      </c>
      <c r="S97">
        <f t="shared" si="100"/>
        <v>2.9219208434881425</v>
      </c>
      <c r="T97">
        <f t="shared" si="101"/>
        <v>0.38271165533151519</v>
      </c>
      <c r="U97">
        <f t="shared" si="102"/>
        <v>0.24169590535558177</v>
      </c>
      <c r="V97">
        <f t="shared" si="103"/>
        <v>344.36369964458419</v>
      </c>
      <c r="W97">
        <f t="shared" si="104"/>
        <v>31.21464551014536</v>
      </c>
      <c r="X97">
        <f t="shared" si="105"/>
        <v>29.9605</v>
      </c>
      <c r="Y97">
        <f t="shared" si="106"/>
        <v>4.2507930123778968</v>
      </c>
      <c r="Z97">
        <f t="shared" si="107"/>
        <v>65.273314789520441</v>
      </c>
      <c r="AA97">
        <f t="shared" si="108"/>
        <v>2.8791015674615101</v>
      </c>
      <c r="AB97">
        <f t="shared" si="109"/>
        <v>4.410840136961677</v>
      </c>
      <c r="AC97">
        <f t="shared" si="110"/>
        <v>1.3716914449163866</v>
      </c>
      <c r="AD97">
        <f t="shared" si="111"/>
        <v>-241.02725106047495</v>
      </c>
      <c r="AE97">
        <f t="shared" si="112"/>
        <v>101.57314943231282</v>
      </c>
      <c r="AF97">
        <f t="shared" si="113"/>
        <v>7.7511464633524172</v>
      </c>
      <c r="AG97">
        <f t="shared" si="114"/>
        <v>212.66074447977448</v>
      </c>
      <c r="AH97">
        <v>0</v>
      </c>
      <c r="AI97">
        <v>0</v>
      </c>
      <c r="AJ97">
        <f t="shared" si="115"/>
        <v>1</v>
      </c>
      <c r="AK97">
        <f t="shared" si="116"/>
        <v>0</v>
      </c>
      <c r="AL97">
        <f t="shared" si="117"/>
        <v>52021.304593608293</v>
      </c>
      <c r="AM97" t="s">
        <v>416</v>
      </c>
      <c r="AN97">
        <v>10366.9</v>
      </c>
      <c r="AO97">
        <v>993.59653846153856</v>
      </c>
      <c r="AP97">
        <v>3431.87</v>
      </c>
      <c r="AQ97">
        <f t="shared" si="118"/>
        <v>0.71047955241266758</v>
      </c>
      <c r="AR97">
        <v>-3.9894345373445681</v>
      </c>
      <c r="AS97" t="s">
        <v>830</v>
      </c>
      <c r="AT97">
        <v>10412.299999999999</v>
      </c>
      <c r="AU97">
        <v>777.47676000000001</v>
      </c>
      <c r="AV97">
        <v>1152.877005376519</v>
      </c>
      <c r="AW97">
        <f t="shared" si="119"/>
        <v>0.3256203772178774</v>
      </c>
      <c r="AX97">
        <v>0.5</v>
      </c>
      <c r="AY97">
        <f t="shared" si="120"/>
        <v>1513.159499822292</v>
      </c>
      <c r="AZ97">
        <f t="shared" si="121"/>
        <v>48.329192072090066</v>
      </c>
      <c r="BA97">
        <f t="shared" si="122"/>
        <v>246.35778356147469</v>
      </c>
      <c r="BB97">
        <f t="shared" si="123"/>
        <v>3.4575751343846446E-2</v>
      </c>
      <c r="BC97">
        <f t="shared" si="124"/>
        <v>1.9767876226130319</v>
      </c>
      <c r="BD97">
        <f t="shared" si="125"/>
        <v>631.93005376044425</v>
      </c>
      <c r="BE97" t="s">
        <v>831</v>
      </c>
      <c r="BF97">
        <v>607.92999999999995</v>
      </c>
      <c r="BG97">
        <f t="shared" si="126"/>
        <v>607.92999999999995</v>
      </c>
      <c r="BH97">
        <f t="shared" si="127"/>
        <v>0.47268442586253545</v>
      </c>
      <c r="BI97">
        <f t="shared" si="128"/>
        <v>0.68887477437763789</v>
      </c>
      <c r="BJ97">
        <f t="shared" si="129"/>
        <v>0.80702599723205193</v>
      </c>
      <c r="BK97">
        <f t="shared" si="130"/>
        <v>2.3568504829716335</v>
      </c>
      <c r="BL97">
        <f t="shared" si="131"/>
        <v>0.93467489622165645</v>
      </c>
      <c r="BM97">
        <f t="shared" si="132"/>
        <v>0.53864972322439242</v>
      </c>
      <c r="BN97">
        <f t="shared" si="133"/>
        <v>0.46135027677560758</v>
      </c>
      <c r="BO97">
        <v>2309</v>
      </c>
      <c r="BP97">
        <v>290.00000000000011</v>
      </c>
      <c r="BQ97">
        <v>1045.6400000000001</v>
      </c>
      <c r="BR97">
        <v>125</v>
      </c>
      <c r="BS97">
        <v>10412.299999999999</v>
      </c>
      <c r="BT97">
        <v>1041.55</v>
      </c>
      <c r="BU97">
        <v>4.09</v>
      </c>
      <c r="BV97">
        <v>300.00000000000011</v>
      </c>
      <c r="BW97">
        <v>38.299999999999997</v>
      </c>
      <c r="BX97">
        <v>1152.877005376519</v>
      </c>
      <c r="BY97">
        <v>1.26579299058255</v>
      </c>
      <c r="BZ97">
        <v>-115.9205198983949</v>
      </c>
      <c r="CA97">
        <v>1.077263018808982</v>
      </c>
      <c r="CB97">
        <v>0.99758769633009203</v>
      </c>
      <c r="CC97">
        <v>-1.1315133036707449E-2</v>
      </c>
      <c r="CD97">
        <v>289.99999999999989</v>
      </c>
      <c r="CE97">
        <v>1029.05</v>
      </c>
      <c r="CF97">
        <v>645</v>
      </c>
      <c r="CG97">
        <v>10379.6</v>
      </c>
      <c r="CH97">
        <v>1041.2</v>
      </c>
      <c r="CI97">
        <v>-12.15</v>
      </c>
      <c r="CW97">
        <f t="shared" si="134"/>
        <v>1799.97</v>
      </c>
      <c r="CX97">
        <f t="shared" si="135"/>
        <v>1513.159499822292</v>
      </c>
      <c r="CY97">
        <f t="shared" si="136"/>
        <v>0.84065817753756555</v>
      </c>
      <c r="CZ97">
        <f t="shared" si="137"/>
        <v>0.19131635507513134</v>
      </c>
      <c r="DA97">
        <v>6</v>
      </c>
      <c r="DB97">
        <v>0.5</v>
      </c>
      <c r="DC97" t="s">
        <v>419</v>
      </c>
      <c r="DD97">
        <v>2</v>
      </c>
      <c r="DE97">
        <v>1693512401.5999999</v>
      </c>
      <c r="DF97">
        <v>637.98900000000003</v>
      </c>
      <c r="DG97">
        <v>700.13699999999994</v>
      </c>
      <c r="DH97">
        <v>28.902100000000001</v>
      </c>
      <c r="DI97">
        <v>22.536300000000001</v>
      </c>
      <c r="DJ97">
        <v>635.18200000000002</v>
      </c>
      <c r="DK97">
        <v>27.9757</v>
      </c>
      <c r="DL97">
        <v>500.25200000000001</v>
      </c>
      <c r="DM97">
        <v>99.516000000000005</v>
      </c>
      <c r="DN97">
        <v>9.9653099999999994E-2</v>
      </c>
      <c r="DO97">
        <v>30.6053</v>
      </c>
      <c r="DP97">
        <v>29.9605</v>
      </c>
      <c r="DQ97">
        <v>999.9</v>
      </c>
      <c r="DR97">
        <v>0</v>
      </c>
      <c r="DS97">
        <v>0</v>
      </c>
      <c r="DT97">
        <v>10005</v>
      </c>
      <c r="DU97">
        <v>0</v>
      </c>
      <c r="DV97">
        <v>1829.64</v>
      </c>
      <c r="DW97">
        <v>-62.147599999999997</v>
      </c>
      <c r="DX97">
        <v>656.97699999999998</v>
      </c>
      <c r="DY97">
        <v>716.279</v>
      </c>
      <c r="DZ97">
        <v>6.3657700000000004</v>
      </c>
      <c r="EA97">
        <v>700.13699999999994</v>
      </c>
      <c r="EB97">
        <v>22.536300000000001</v>
      </c>
      <c r="EC97">
        <v>2.87622</v>
      </c>
      <c r="ED97">
        <v>2.2427299999999999</v>
      </c>
      <c r="EE97">
        <v>23.328199999999999</v>
      </c>
      <c r="EF97">
        <v>19.270800000000001</v>
      </c>
      <c r="EG97">
        <v>1799.97</v>
      </c>
      <c r="EH97">
        <v>0.97800100000000001</v>
      </c>
      <c r="EI97">
        <v>2.1999000000000001E-2</v>
      </c>
      <c r="EJ97">
        <v>0</v>
      </c>
      <c r="EK97">
        <v>777.00800000000004</v>
      </c>
      <c r="EL97">
        <v>5.0002700000000004</v>
      </c>
      <c r="EM97">
        <v>14529.2</v>
      </c>
      <c r="EN97">
        <v>16248.3</v>
      </c>
      <c r="EO97">
        <v>46.375</v>
      </c>
      <c r="EP97">
        <v>46.436999999999998</v>
      </c>
      <c r="EQ97">
        <v>47.125</v>
      </c>
      <c r="ER97">
        <v>46.436999999999998</v>
      </c>
      <c r="ES97">
        <v>48.186999999999998</v>
      </c>
      <c r="ET97">
        <v>1755.48</v>
      </c>
      <c r="EU97">
        <v>39.49</v>
      </c>
      <c r="EV97">
        <v>0</v>
      </c>
      <c r="EW97">
        <v>103.2000000476837</v>
      </c>
      <c r="EX97">
        <v>0</v>
      </c>
      <c r="EY97">
        <v>777.47676000000001</v>
      </c>
      <c r="EZ97">
        <v>-3.549692297193606</v>
      </c>
      <c r="FA97">
        <v>-69.569230655672214</v>
      </c>
      <c r="FB97">
        <v>14537.88</v>
      </c>
      <c r="FC97">
        <v>15</v>
      </c>
      <c r="FD97">
        <v>1693512369.0999999</v>
      </c>
      <c r="FE97" t="s">
        <v>832</v>
      </c>
      <c r="FF97">
        <v>1693512364.0999999</v>
      </c>
      <c r="FG97">
        <v>1693512369.0999999</v>
      </c>
      <c r="FH97">
        <v>89</v>
      </c>
      <c r="FI97">
        <v>0.32400000000000001</v>
      </c>
      <c r="FJ97">
        <v>1.0999999999999999E-2</v>
      </c>
      <c r="FK97">
        <v>2.782</v>
      </c>
      <c r="FL97">
        <v>0.55300000000000005</v>
      </c>
      <c r="FM97">
        <v>700</v>
      </c>
      <c r="FN97">
        <v>22</v>
      </c>
      <c r="FO97">
        <v>0.12</v>
      </c>
      <c r="FP97">
        <v>0.03</v>
      </c>
      <c r="FQ97">
        <v>48.251669261256218</v>
      </c>
      <c r="FR97">
        <v>-0.32978224758696212</v>
      </c>
      <c r="FS97">
        <v>0.13173901908009189</v>
      </c>
      <c r="FT97">
        <v>1</v>
      </c>
      <c r="FU97">
        <v>0.41915251393058739</v>
      </c>
      <c r="FV97">
        <v>-4.4783187468052578E-2</v>
      </c>
      <c r="FW97">
        <v>3.5603888033600558E-3</v>
      </c>
      <c r="FX97">
        <v>1</v>
      </c>
      <c r="FY97">
        <v>2</v>
      </c>
      <c r="FZ97">
        <v>2</v>
      </c>
      <c r="GA97" t="s">
        <v>421</v>
      </c>
      <c r="GB97">
        <v>3.1183700000000001</v>
      </c>
      <c r="GC97">
        <v>2.8648600000000002</v>
      </c>
      <c r="GD97">
        <v>0.13084200000000001</v>
      </c>
      <c r="GE97">
        <v>0.14333000000000001</v>
      </c>
      <c r="GF97">
        <v>0.13025</v>
      </c>
      <c r="GG97">
        <v>0.114659</v>
      </c>
      <c r="GH97">
        <v>26316.3</v>
      </c>
      <c r="GI97">
        <v>20159.2</v>
      </c>
      <c r="GJ97">
        <v>29185.5</v>
      </c>
      <c r="GK97">
        <v>21929.8</v>
      </c>
      <c r="GL97">
        <v>33984.5</v>
      </c>
      <c r="GM97">
        <v>26711.9</v>
      </c>
      <c r="GN97">
        <v>40497.1</v>
      </c>
      <c r="GO97">
        <v>31155.8</v>
      </c>
      <c r="GP97">
        <v>2.0367000000000002</v>
      </c>
      <c r="GQ97">
        <v>1.8277000000000001</v>
      </c>
      <c r="GR97">
        <v>9.5188599999999998E-2</v>
      </c>
      <c r="GS97">
        <v>0</v>
      </c>
      <c r="GT97">
        <v>28.409400000000002</v>
      </c>
      <c r="GU97">
        <v>999.9</v>
      </c>
      <c r="GV97">
        <v>38.9</v>
      </c>
      <c r="GW97">
        <v>40</v>
      </c>
      <c r="GX97">
        <v>28.977599999999999</v>
      </c>
      <c r="GY97">
        <v>61.923200000000001</v>
      </c>
      <c r="GZ97">
        <v>13.4816</v>
      </c>
      <c r="HA97">
        <v>1</v>
      </c>
      <c r="HB97">
        <v>0.175427</v>
      </c>
      <c r="HC97">
        <v>-0.24576300000000001</v>
      </c>
      <c r="HD97">
        <v>20.274100000000001</v>
      </c>
      <c r="HE97">
        <v>5.2244799999999998</v>
      </c>
      <c r="HF97">
        <v>11.974</v>
      </c>
      <c r="HG97">
        <v>4.9725999999999999</v>
      </c>
      <c r="HH97">
        <v>3.2818999999999998</v>
      </c>
      <c r="HI97">
        <v>9999</v>
      </c>
      <c r="HJ97">
        <v>9999</v>
      </c>
      <c r="HK97">
        <v>9999</v>
      </c>
      <c r="HL97">
        <v>999.9</v>
      </c>
      <c r="HM97">
        <v>1.8615699999999999</v>
      </c>
      <c r="HN97">
        <v>1.86327</v>
      </c>
      <c r="HO97">
        <v>1.86859</v>
      </c>
      <c r="HP97">
        <v>1.85944</v>
      </c>
      <c r="HQ97">
        <v>1.8577600000000001</v>
      </c>
      <c r="HR97">
        <v>1.8614200000000001</v>
      </c>
      <c r="HS97">
        <v>1.8652299999999999</v>
      </c>
      <c r="HT97">
        <v>1.8673</v>
      </c>
      <c r="HU97">
        <v>5</v>
      </c>
      <c r="HV97">
        <v>0</v>
      </c>
      <c r="HW97">
        <v>0</v>
      </c>
      <c r="HX97">
        <v>0</v>
      </c>
      <c r="HY97" t="s">
        <v>422</v>
      </c>
      <c r="HZ97" t="s">
        <v>423</v>
      </c>
      <c r="IA97" t="s">
        <v>424</v>
      </c>
      <c r="IB97" t="s">
        <v>424</v>
      </c>
      <c r="IC97" t="s">
        <v>424</v>
      </c>
      <c r="ID97" t="s">
        <v>424</v>
      </c>
      <c r="IE97">
        <v>0</v>
      </c>
      <c r="IF97">
        <v>100</v>
      </c>
      <c r="IG97">
        <v>100</v>
      </c>
      <c r="IH97">
        <v>2.8069999999999999</v>
      </c>
      <c r="II97">
        <v>0.9264</v>
      </c>
      <c r="IJ97">
        <v>2.6398559798398629</v>
      </c>
      <c r="IK97">
        <v>1.118558698776514E-3</v>
      </c>
      <c r="IL97">
        <v>-1.6939696309573479E-6</v>
      </c>
      <c r="IM97">
        <v>5.4698917449866148E-10</v>
      </c>
      <c r="IN97">
        <v>2.0841222961053289E-2</v>
      </c>
      <c r="IO97">
        <v>-7.6058941998734366E-3</v>
      </c>
      <c r="IP97">
        <v>1.6984902717538061E-3</v>
      </c>
      <c r="IQ97">
        <v>-9.6352527008986976E-6</v>
      </c>
      <c r="IR97">
        <v>2</v>
      </c>
      <c r="IS97">
        <v>2021</v>
      </c>
      <c r="IT97">
        <v>2</v>
      </c>
      <c r="IU97">
        <v>40</v>
      </c>
      <c r="IV97">
        <v>0.6</v>
      </c>
      <c r="IW97">
        <v>0.5</v>
      </c>
      <c r="IX97">
        <v>1.6162099999999999</v>
      </c>
      <c r="IY97">
        <v>2.5317400000000001</v>
      </c>
      <c r="IZ97">
        <v>1.34399</v>
      </c>
      <c r="JA97">
        <v>2.2375500000000001</v>
      </c>
      <c r="JB97">
        <v>1.5918000000000001</v>
      </c>
      <c r="JC97">
        <v>2.4316399999999998</v>
      </c>
      <c r="JD97">
        <v>45.633099999999999</v>
      </c>
      <c r="JE97">
        <v>23.921099999999999</v>
      </c>
      <c r="JF97">
        <v>18</v>
      </c>
      <c r="JG97">
        <v>515.02700000000004</v>
      </c>
      <c r="JH97">
        <v>418.37299999999999</v>
      </c>
      <c r="JI97">
        <v>29.0259</v>
      </c>
      <c r="JJ97">
        <v>29.805299999999999</v>
      </c>
      <c r="JK97">
        <v>29.9998</v>
      </c>
      <c r="JL97">
        <v>29.7882</v>
      </c>
      <c r="JM97">
        <v>29.751899999999999</v>
      </c>
      <c r="JN97">
        <v>32.406700000000001</v>
      </c>
      <c r="JO97">
        <v>22.0839</v>
      </c>
      <c r="JP97">
        <v>25.8766</v>
      </c>
      <c r="JQ97">
        <v>29.032599999999999</v>
      </c>
      <c r="JR97">
        <v>700</v>
      </c>
      <c r="JS97">
        <v>22.5718</v>
      </c>
      <c r="JT97">
        <v>99.500100000000003</v>
      </c>
      <c r="JU97">
        <v>98.438299999999998</v>
      </c>
    </row>
    <row r="98" spans="1:281" x14ac:dyDescent="0.25">
      <c r="A98">
        <v>82</v>
      </c>
      <c r="B98">
        <v>1693512519.0999999</v>
      </c>
      <c r="C98">
        <v>17592.5</v>
      </c>
      <c r="D98" t="s">
        <v>833</v>
      </c>
      <c r="E98" t="s">
        <v>834</v>
      </c>
      <c r="F98" t="s">
        <v>413</v>
      </c>
      <c r="G98" t="s">
        <v>778</v>
      </c>
      <c r="H98" t="s">
        <v>779</v>
      </c>
      <c r="I98" t="s">
        <v>31</v>
      </c>
      <c r="J98">
        <v>1693512519.0999999</v>
      </c>
      <c r="K98">
        <f t="shared" si="92"/>
        <v>5.1421824391767196E-3</v>
      </c>
      <c r="L98">
        <f t="shared" si="93"/>
        <v>5.1421824391767199</v>
      </c>
      <c r="M98">
        <f t="shared" si="94"/>
        <v>47.807628697351426</v>
      </c>
      <c r="N98">
        <f t="shared" si="95"/>
        <v>837.53200000000004</v>
      </c>
      <c r="O98">
        <f t="shared" si="96"/>
        <v>610.24197814465185</v>
      </c>
      <c r="P98">
        <f t="shared" si="97"/>
        <v>60.791319284564153</v>
      </c>
      <c r="Q98">
        <f t="shared" si="98"/>
        <v>83.433583802015605</v>
      </c>
      <c r="R98">
        <f t="shared" si="99"/>
        <v>0.38545882702723289</v>
      </c>
      <c r="S98">
        <f t="shared" si="100"/>
        <v>2.9140737415352387</v>
      </c>
      <c r="T98">
        <f t="shared" si="101"/>
        <v>0.35920857229708586</v>
      </c>
      <c r="U98">
        <f t="shared" si="102"/>
        <v>0.2267146935878353</v>
      </c>
      <c r="V98">
        <f t="shared" si="103"/>
        <v>344.41309964463545</v>
      </c>
      <c r="W98">
        <f t="shared" si="104"/>
        <v>31.196991994687252</v>
      </c>
      <c r="X98">
        <f t="shared" si="105"/>
        <v>29.9498</v>
      </c>
      <c r="Y98">
        <f t="shared" si="106"/>
        <v>4.2481804164105963</v>
      </c>
      <c r="Z98">
        <f t="shared" si="107"/>
        <v>65.524811625922979</v>
      </c>
      <c r="AA98">
        <f t="shared" si="108"/>
        <v>2.8730838309169702</v>
      </c>
      <c r="AB98">
        <f t="shared" si="109"/>
        <v>4.3847265785657266</v>
      </c>
      <c r="AC98">
        <f t="shared" si="110"/>
        <v>1.3750965854936261</v>
      </c>
      <c r="AD98">
        <f t="shared" si="111"/>
        <v>-226.77024556769334</v>
      </c>
      <c r="AE98">
        <f t="shared" si="112"/>
        <v>86.674024978547536</v>
      </c>
      <c r="AF98">
        <f t="shared" si="113"/>
        <v>6.6282335340401319</v>
      </c>
      <c r="AG98">
        <f t="shared" si="114"/>
        <v>210.9451125895298</v>
      </c>
      <c r="AH98">
        <v>0</v>
      </c>
      <c r="AI98">
        <v>0</v>
      </c>
      <c r="AJ98">
        <f t="shared" si="115"/>
        <v>1</v>
      </c>
      <c r="AK98">
        <f t="shared" si="116"/>
        <v>0</v>
      </c>
      <c r="AL98">
        <f t="shared" si="117"/>
        <v>51815.786342949359</v>
      </c>
      <c r="AM98" t="s">
        <v>416</v>
      </c>
      <c r="AN98">
        <v>10366.9</v>
      </c>
      <c r="AO98">
        <v>993.59653846153856</v>
      </c>
      <c r="AP98">
        <v>3431.87</v>
      </c>
      <c r="AQ98">
        <f t="shared" si="118"/>
        <v>0.71047955241266758</v>
      </c>
      <c r="AR98">
        <v>-3.9894345373445681</v>
      </c>
      <c r="AS98" t="s">
        <v>835</v>
      </c>
      <c r="AT98">
        <v>10408.299999999999</v>
      </c>
      <c r="AU98">
        <v>771.84996153846157</v>
      </c>
      <c r="AV98">
        <v>1146.9207387297149</v>
      </c>
      <c r="AW98">
        <f t="shared" si="119"/>
        <v>0.32702414781222566</v>
      </c>
      <c r="AX98">
        <v>0.5</v>
      </c>
      <c r="AY98">
        <f t="shared" si="120"/>
        <v>1513.3778998223179</v>
      </c>
      <c r="AZ98">
        <f t="shared" si="121"/>
        <v>47.807628697351426</v>
      </c>
      <c r="BA98">
        <f t="shared" si="122"/>
        <v>247.45555900362467</v>
      </c>
      <c r="BB98">
        <f t="shared" si="123"/>
        <v>3.4226126363268133E-2</v>
      </c>
      <c r="BC98">
        <f t="shared" si="124"/>
        <v>1.9922468781940474</v>
      </c>
      <c r="BD98">
        <f t="shared" si="125"/>
        <v>630.13630645264402</v>
      </c>
      <c r="BE98" t="s">
        <v>836</v>
      </c>
      <c r="BF98">
        <v>602.53</v>
      </c>
      <c r="BG98">
        <f t="shared" si="126"/>
        <v>602.53</v>
      </c>
      <c r="BH98">
        <f t="shared" si="127"/>
        <v>0.47465419391810904</v>
      </c>
      <c r="BI98">
        <f t="shared" si="128"/>
        <v>0.68897347163995859</v>
      </c>
      <c r="BJ98">
        <f t="shared" si="129"/>
        <v>0.80759090857595239</v>
      </c>
      <c r="BK98">
        <f t="shared" si="130"/>
        <v>2.4462594719895776</v>
      </c>
      <c r="BL98">
        <f t="shared" si="131"/>
        <v>0.93711771764458507</v>
      </c>
      <c r="BM98">
        <f t="shared" si="132"/>
        <v>0.53783404360063347</v>
      </c>
      <c r="BN98">
        <f t="shared" si="133"/>
        <v>0.46216595639936653</v>
      </c>
      <c r="BO98">
        <v>2311</v>
      </c>
      <c r="BP98">
        <v>290.00000000000011</v>
      </c>
      <c r="BQ98">
        <v>1039.2</v>
      </c>
      <c r="BR98">
        <v>145</v>
      </c>
      <c r="BS98">
        <v>10408.299999999999</v>
      </c>
      <c r="BT98">
        <v>1036.67</v>
      </c>
      <c r="BU98">
        <v>2.5299999999999998</v>
      </c>
      <c r="BV98">
        <v>300.00000000000011</v>
      </c>
      <c r="BW98">
        <v>38.299999999999997</v>
      </c>
      <c r="BX98">
        <v>1146.9207387297149</v>
      </c>
      <c r="BY98">
        <v>1.2604054744947859</v>
      </c>
      <c r="BZ98">
        <v>-114.7545204371151</v>
      </c>
      <c r="CA98">
        <v>1.0726673306976471</v>
      </c>
      <c r="CB98">
        <v>0.99755945217551645</v>
      </c>
      <c r="CC98">
        <v>-1.131547586206896E-2</v>
      </c>
      <c r="CD98">
        <v>289.99999999999989</v>
      </c>
      <c r="CE98">
        <v>1023.8</v>
      </c>
      <c r="CF98">
        <v>655</v>
      </c>
      <c r="CG98">
        <v>10378.5</v>
      </c>
      <c r="CH98">
        <v>1036.3499999999999</v>
      </c>
      <c r="CI98">
        <v>-12.55</v>
      </c>
      <c r="CW98">
        <f t="shared" si="134"/>
        <v>1800.23</v>
      </c>
      <c r="CX98">
        <f t="shared" si="135"/>
        <v>1513.3778998223179</v>
      </c>
      <c r="CY98">
        <f t="shared" si="136"/>
        <v>0.84065808247963747</v>
      </c>
      <c r="CZ98">
        <f t="shared" si="137"/>
        <v>0.19131616495927489</v>
      </c>
      <c r="DA98">
        <v>6</v>
      </c>
      <c r="DB98">
        <v>0.5</v>
      </c>
      <c r="DC98" t="s">
        <v>419</v>
      </c>
      <c r="DD98">
        <v>2</v>
      </c>
      <c r="DE98">
        <v>1693512519.0999999</v>
      </c>
      <c r="DF98">
        <v>837.53200000000004</v>
      </c>
      <c r="DG98">
        <v>900.07600000000002</v>
      </c>
      <c r="DH98">
        <v>28.840900000000001</v>
      </c>
      <c r="DI98">
        <v>22.8476</v>
      </c>
      <c r="DJ98">
        <v>834.65800000000002</v>
      </c>
      <c r="DK98">
        <v>27.903600000000001</v>
      </c>
      <c r="DL98">
        <v>499.94600000000003</v>
      </c>
      <c r="DM98">
        <v>99.518500000000003</v>
      </c>
      <c r="DN98">
        <v>9.9883299999999994E-2</v>
      </c>
      <c r="DO98">
        <v>30.5015</v>
      </c>
      <c r="DP98">
        <v>29.9498</v>
      </c>
      <c r="DQ98">
        <v>999.9</v>
      </c>
      <c r="DR98">
        <v>0</v>
      </c>
      <c r="DS98">
        <v>0</v>
      </c>
      <c r="DT98">
        <v>9960</v>
      </c>
      <c r="DU98">
        <v>0</v>
      </c>
      <c r="DV98">
        <v>1820.37</v>
      </c>
      <c r="DW98">
        <v>-62.5443</v>
      </c>
      <c r="DX98">
        <v>862.40499999999997</v>
      </c>
      <c r="DY98">
        <v>921.12199999999996</v>
      </c>
      <c r="DZ98">
        <v>5.9932800000000004</v>
      </c>
      <c r="EA98">
        <v>900.07600000000002</v>
      </c>
      <c r="EB98">
        <v>22.8476</v>
      </c>
      <c r="EC98">
        <v>2.8702000000000001</v>
      </c>
      <c r="ED98">
        <v>2.2737599999999998</v>
      </c>
      <c r="EE98">
        <v>23.293500000000002</v>
      </c>
      <c r="EF98">
        <v>19.491700000000002</v>
      </c>
      <c r="EG98">
        <v>1800.23</v>
      </c>
      <c r="EH98">
        <v>0.97800500000000001</v>
      </c>
      <c r="EI98">
        <v>2.1995500000000001E-2</v>
      </c>
      <c r="EJ98">
        <v>0</v>
      </c>
      <c r="EK98">
        <v>771.31700000000001</v>
      </c>
      <c r="EL98">
        <v>5.0002700000000004</v>
      </c>
      <c r="EM98">
        <v>14423.5</v>
      </c>
      <c r="EN98">
        <v>16250.7</v>
      </c>
      <c r="EO98">
        <v>46.5</v>
      </c>
      <c r="EP98">
        <v>46.375</v>
      </c>
      <c r="EQ98">
        <v>47.125</v>
      </c>
      <c r="ER98">
        <v>46.436999999999998</v>
      </c>
      <c r="ES98">
        <v>48.125</v>
      </c>
      <c r="ET98">
        <v>1755.74</v>
      </c>
      <c r="EU98">
        <v>39.49</v>
      </c>
      <c r="EV98">
        <v>0</v>
      </c>
      <c r="EW98">
        <v>115.7999999523163</v>
      </c>
      <c r="EX98">
        <v>0</v>
      </c>
      <c r="EY98">
        <v>771.84996153846157</v>
      </c>
      <c r="EZ98">
        <v>-3.0919316154788898</v>
      </c>
      <c r="FA98">
        <v>-71.083760604753707</v>
      </c>
      <c r="FB98">
        <v>14433.323076923079</v>
      </c>
      <c r="FC98">
        <v>15</v>
      </c>
      <c r="FD98">
        <v>1693512486.5999999</v>
      </c>
      <c r="FE98" t="s">
        <v>837</v>
      </c>
      <c r="FF98">
        <v>1693512481.0999999</v>
      </c>
      <c r="FG98">
        <v>1693512486.5999999</v>
      </c>
      <c r="FH98">
        <v>90</v>
      </c>
      <c r="FI98">
        <v>0.16200000000000001</v>
      </c>
      <c r="FJ98">
        <v>1.6E-2</v>
      </c>
      <c r="FK98">
        <v>2.8370000000000002</v>
      </c>
      <c r="FL98">
        <v>0.58699999999999997</v>
      </c>
      <c r="FM98">
        <v>900</v>
      </c>
      <c r="FN98">
        <v>23</v>
      </c>
      <c r="FO98">
        <v>0.11</v>
      </c>
      <c r="FP98">
        <v>0.04</v>
      </c>
      <c r="FQ98">
        <v>47.768437833500023</v>
      </c>
      <c r="FR98">
        <v>-0.27985834748708899</v>
      </c>
      <c r="FS98">
        <v>0.1467832240133658</v>
      </c>
      <c r="FT98">
        <v>1</v>
      </c>
      <c r="FU98">
        <v>0.38410973349104649</v>
      </c>
      <c r="FV98">
        <v>-4.3259111706241422E-2</v>
      </c>
      <c r="FW98">
        <v>3.862978466271468E-3</v>
      </c>
      <c r="FX98">
        <v>1</v>
      </c>
      <c r="FY98">
        <v>2</v>
      </c>
      <c r="FZ98">
        <v>2</v>
      </c>
      <c r="GA98" t="s">
        <v>421</v>
      </c>
      <c r="GB98">
        <v>3.1181000000000001</v>
      </c>
      <c r="GC98">
        <v>2.86469</v>
      </c>
      <c r="GD98">
        <v>0.15775900000000001</v>
      </c>
      <c r="GE98">
        <v>0.16964299999999999</v>
      </c>
      <c r="GF98">
        <v>0.13003300000000001</v>
      </c>
      <c r="GG98">
        <v>0.115777</v>
      </c>
      <c r="GH98">
        <v>25503.3</v>
      </c>
      <c r="GI98">
        <v>19541.7</v>
      </c>
      <c r="GJ98">
        <v>29187.3</v>
      </c>
      <c r="GK98">
        <v>21931.4</v>
      </c>
      <c r="GL98">
        <v>33997.9</v>
      </c>
      <c r="GM98">
        <v>26682.3</v>
      </c>
      <c r="GN98">
        <v>40500.1</v>
      </c>
      <c r="GO98">
        <v>31158.2</v>
      </c>
      <c r="GP98">
        <v>2.0371000000000001</v>
      </c>
      <c r="GQ98">
        <v>1.8285</v>
      </c>
      <c r="GR98">
        <v>9.3892199999999995E-2</v>
      </c>
      <c r="GS98">
        <v>0</v>
      </c>
      <c r="GT98">
        <v>28.419799999999999</v>
      </c>
      <c r="GU98">
        <v>999.9</v>
      </c>
      <c r="GV98">
        <v>38.5</v>
      </c>
      <c r="GW98">
        <v>40.1</v>
      </c>
      <c r="GX98">
        <v>28.834700000000002</v>
      </c>
      <c r="GY98">
        <v>61.613199999999999</v>
      </c>
      <c r="GZ98">
        <v>13.754</v>
      </c>
      <c r="HA98">
        <v>1</v>
      </c>
      <c r="HB98">
        <v>0.17225599999999999</v>
      </c>
      <c r="HC98">
        <v>-0.76309400000000005</v>
      </c>
      <c r="HD98">
        <v>20.273199999999999</v>
      </c>
      <c r="HE98">
        <v>5.2352600000000002</v>
      </c>
      <c r="HF98">
        <v>11.974</v>
      </c>
      <c r="HG98">
        <v>4.9756</v>
      </c>
      <c r="HH98">
        <v>3.2837999999999998</v>
      </c>
      <c r="HI98">
        <v>9999</v>
      </c>
      <c r="HJ98">
        <v>9999</v>
      </c>
      <c r="HK98">
        <v>9999</v>
      </c>
      <c r="HL98">
        <v>999.9</v>
      </c>
      <c r="HM98">
        <v>1.8615699999999999</v>
      </c>
      <c r="HN98">
        <v>1.8632500000000001</v>
      </c>
      <c r="HO98">
        <v>1.86859</v>
      </c>
      <c r="HP98">
        <v>1.8593900000000001</v>
      </c>
      <c r="HQ98">
        <v>1.8577300000000001</v>
      </c>
      <c r="HR98">
        <v>1.86141</v>
      </c>
      <c r="HS98">
        <v>1.8652299999999999</v>
      </c>
      <c r="HT98">
        <v>1.8672200000000001</v>
      </c>
      <c r="HU98">
        <v>5</v>
      </c>
      <c r="HV98">
        <v>0</v>
      </c>
      <c r="HW98">
        <v>0</v>
      </c>
      <c r="HX98">
        <v>0</v>
      </c>
      <c r="HY98" t="s">
        <v>422</v>
      </c>
      <c r="HZ98" t="s">
        <v>423</v>
      </c>
      <c r="IA98" t="s">
        <v>424</v>
      </c>
      <c r="IB98" t="s">
        <v>424</v>
      </c>
      <c r="IC98" t="s">
        <v>424</v>
      </c>
      <c r="ID98" t="s">
        <v>424</v>
      </c>
      <c r="IE98">
        <v>0</v>
      </c>
      <c r="IF98">
        <v>100</v>
      </c>
      <c r="IG98">
        <v>100</v>
      </c>
      <c r="IH98">
        <v>2.8740000000000001</v>
      </c>
      <c r="II98">
        <v>0.93730000000000002</v>
      </c>
      <c r="IJ98">
        <v>2.8022146559504439</v>
      </c>
      <c r="IK98">
        <v>1.118558698776514E-3</v>
      </c>
      <c r="IL98">
        <v>-1.6939696309573479E-6</v>
      </c>
      <c r="IM98">
        <v>5.4698917449866148E-10</v>
      </c>
      <c r="IN98">
        <v>3.6406453912781737E-2</v>
      </c>
      <c r="IO98">
        <v>-7.6058941998734366E-3</v>
      </c>
      <c r="IP98">
        <v>1.6984902717538061E-3</v>
      </c>
      <c r="IQ98">
        <v>-9.6352527008986976E-6</v>
      </c>
      <c r="IR98">
        <v>2</v>
      </c>
      <c r="IS98">
        <v>2021</v>
      </c>
      <c r="IT98">
        <v>2</v>
      </c>
      <c r="IU98">
        <v>40</v>
      </c>
      <c r="IV98">
        <v>0.6</v>
      </c>
      <c r="IW98">
        <v>0.5</v>
      </c>
      <c r="IX98">
        <v>1.9885299999999999</v>
      </c>
      <c r="IY98">
        <v>2.5354000000000001</v>
      </c>
      <c r="IZ98">
        <v>1.34399</v>
      </c>
      <c r="JA98">
        <v>2.2375500000000001</v>
      </c>
      <c r="JB98">
        <v>1.5918000000000001</v>
      </c>
      <c r="JC98">
        <v>2.3303199999999999</v>
      </c>
      <c r="JD98">
        <v>45.604500000000002</v>
      </c>
      <c r="JE98">
        <v>23.938700000000001</v>
      </c>
      <c r="JF98">
        <v>18</v>
      </c>
      <c r="JG98">
        <v>514.84299999999996</v>
      </c>
      <c r="JH98">
        <v>418.52699999999999</v>
      </c>
      <c r="JI98">
        <v>28.776599999999998</v>
      </c>
      <c r="JJ98">
        <v>29.756399999999999</v>
      </c>
      <c r="JK98">
        <v>29.999700000000001</v>
      </c>
      <c r="JL98">
        <v>29.740100000000002</v>
      </c>
      <c r="JM98">
        <v>29.708500000000001</v>
      </c>
      <c r="JN98">
        <v>39.8733</v>
      </c>
      <c r="JO98">
        <v>21.183199999999999</v>
      </c>
      <c r="JP98">
        <v>25.3109</v>
      </c>
      <c r="JQ98">
        <v>28.847300000000001</v>
      </c>
      <c r="JR98">
        <v>900</v>
      </c>
      <c r="JS98">
        <v>22.761700000000001</v>
      </c>
      <c r="JT98">
        <v>99.507000000000005</v>
      </c>
      <c r="JU98">
        <v>98.445700000000002</v>
      </c>
    </row>
    <row r="99" spans="1:281" x14ac:dyDescent="0.25">
      <c r="A99">
        <v>83</v>
      </c>
      <c r="B99">
        <v>1693512630.5999999</v>
      </c>
      <c r="C99">
        <v>17704</v>
      </c>
      <c r="D99" t="s">
        <v>838</v>
      </c>
      <c r="E99" t="s">
        <v>839</v>
      </c>
      <c r="F99" t="s">
        <v>413</v>
      </c>
      <c r="G99" t="s">
        <v>778</v>
      </c>
      <c r="H99" t="s">
        <v>779</v>
      </c>
      <c r="I99" t="s">
        <v>31</v>
      </c>
      <c r="J99">
        <v>1693512630.5999999</v>
      </c>
      <c r="K99">
        <f t="shared" si="92"/>
        <v>4.6535468655441612E-3</v>
      </c>
      <c r="L99">
        <f t="shared" si="93"/>
        <v>4.6535468655441612</v>
      </c>
      <c r="M99">
        <f t="shared" si="94"/>
        <v>46.645280528935068</v>
      </c>
      <c r="N99">
        <f t="shared" si="95"/>
        <v>1137.71</v>
      </c>
      <c r="O99">
        <f t="shared" si="96"/>
        <v>881.75751457802278</v>
      </c>
      <c r="P99">
        <f t="shared" si="97"/>
        <v>87.838399850299865</v>
      </c>
      <c r="Q99">
        <f t="shared" si="98"/>
        <v>113.3357235311</v>
      </c>
      <c r="R99">
        <f t="shared" si="99"/>
        <v>0.33859940458908638</v>
      </c>
      <c r="S99">
        <f t="shared" si="100"/>
        <v>2.9184342619081107</v>
      </c>
      <c r="T99">
        <f t="shared" si="101"/>
        <v>0.31819065785520778</v>
      </c>
      <c r="U99">
        <f t="shared" si="102"/>
        <v>0.20060021611258333</v>
      </c>
      <c r="V99">
        <f t="shared" si="103"/>
        <v>344.40359964462561</v>
      </c>
      <c r="W99">
        <f t="shared" si="104"/>
        <v>31.304499031685733</v>
      </c>
      <c r="X99">
        <f t="shared" si="105"/>
        <v>30.017299999999999</v>
      </c>
      <c r="Y99">
        <f t="shared" si="106"/>
        <v>4.2646852056904807</v>
      </c>
      <c r="Z99">
        <f t="shared" si="107"/>
        <v>65.293437690611128</v>
      </c>
      <c r="AA99">
        <f t="shared" si="108"/>
        <v>2.8598763767259996</v>
      </c>
      <c r="AB99">
        <f t="shared" si="109"/>
        <v>4.3800364598313006</v>
      </c>
      <c r="AC99">
        <f t="shared" si="110"/>
        <v>1.4048088289644811</v>
      </c>
      <c r="AD99">
        <f t="shared" si="111"/>
        <v>-205.22141677049751</v>
      </c>
      <c r="AE99">
        <f t="shared" si="112"/>
        <v>73.241131300479736</v>
      </c>
      <c r="AF99">
        <f t="shared" si="113"/>
        <v>5.5939584436317817</v>
      </c>
      <c r="AG99">
        <f t="shared" si="114"/>
        <v>218.01727261823962</v>
      </c>
      <c r="AH99">
        <v>0</v>
      </c>
      <c r="AI99">
        <v>0</v>
      </c>
      <c r="AJ99">
        <f t="shared" si="115"/>
        <v>1</v>
      </c>
      <c r="AK99">
        <f t="shared" si="116"/>
        <v>0</v>
      </c>
      <c r="AL99">
        <f t="shared" si="117"/>
        <v>51943.027697944679</v>
      </c>
      <c r="AM99" t="s">
        <v>416</v>
      </c>
      <c r="AN99">
        <v>10366.9</v>
      </c>
      <c r="AO99">
        <v>993.59653846153856</v>
      </c>
      <c r="AP99">
        <v>3431.87</v>
      </c>
      <c r="AQ99">
        <f t="shared" si="118"/>
        <v>0.71047955241266758</v>
      </c>
      <c r="AR99">
        <v>-3.9894345373445681</v>
      </c>
      <c r="AS99" t="s">
        <v>840</v>
      </c>
      <c r="AT99">
        <v>10407.9</v>
      </c>
      <c r="AU99">
        <v>765.93244000000004</v>
      </c>
      <c r="AV99">
        <v>1138.6090687370991</v>
      </c>
      <c r="AW99">
        <f t="shared" si="119"/>
        <v>0.32730867772769234</v>
      </c>
      <c r="AX99">
        <v>0.5</v>
      </c>
      <c r="AY99">
        <f t="shared" si="120"/>
        <v>1513.3358998223125</v>
      </c>
      <c r="AZ99">
        <f t="shared" si="121"/>
        <v>46.645280528935068</v>
      </c>
      <c r="BA99">
        <f t="shared" si="122"/>
        <v>247.66398616434429</v>
      </c>
      <c r="BB99">
        <f t="shared" si="123"/>
        <v>3.3459006075402614E-2</v>
      </c>
      <c r="BC99">
        <f t="shared" si="124"/>
        <v>2.0140898173299262</v>
      </c>
      <c r="BD99">
        <f t="shared" si="125"/>
        <v>627.61914580349753</v>
      </c>
      <c r="BE99" t="s">
        <v>841</v>
      </c>
      <c r="BF99">
        <v>604.42999999999995</v>
      </c>
      <c r="BG99">
        <f t="shared" si="126"/>
        <v>604.42999999999995</v>
      </c>
      <c r="BH99">
        <f t="shared" si="127"/>
        <v>0.46915054815924639</v>
      </c>
      <c r="BI99">
        <f t="shared" si="128"/>
        <v>0.69766235808935273</v>
      </c>
      <c r="BJ99">
        <f t="shared" si="129"/>
        <v>0.81107324338019593</v>
      </c>
      <c r="BK99">
        <f t="shared" si="130"/>
        <v>2.5699615614520974</v>
      </c>
      <c r="BL99">
        <f t="shared" si="131"/>
        <v>0.94052655185605682</v>
      </c>
      <c r="BM99">
        <f t="shared" si="132"/>
        <v>0.55055516267198112</v>
      </c>
      <c r="BN99">
        <f t="shared" si="133"/>
        <v>0.44944483732801888</v>
      </c>
      <c r="BO99">
        <v>2313</v>
      </c>
      <c r="BP99">
        <v>290.00000000000011</v>
      </c>
      <c r="BQ99">
        <v>1033.08</v>
      </c>
      <c r="BR99">
        <v>145</v>
      </c>
      <c r="BS99">
        <v>10407.9</v>
      </c>
      <c r="BT99">
        <v>1029.94</v>
      </c>
      <c r="BU99">
        <v>3.14</v>
      </c>
      <c r="BV99">
        <v>300.00000000000011</v>
      </c>
      <c r="BW99">
        <v>38.299999999999997</v>
      </c>
      <c r="BX99">
        <v>1138.6090687370991</v>
      </c>
      <c r="BY99">
        <v>1.384949721855123</v>
      </c>
      <c r="BZ99">
        <v>-113.1030063859945</v>
      </c>
      <c r="CA99">
        <v>1.1786152873574169</v>
      </c>
      <c r="CB99">
        <v>0.996968654926642</v>
      </c>
      <c r="CC99">
        <v>-1.1314586429365959E-2</v>
      </c>
      <c r="CD99">
        <v>289.99999999999989</v>
      </c>
      <c r="CE99">
        <v>1017.85</v>
      </c>
      <c r="CF99">
        <v>675</v>
      </c>
      <c r="CG99">
        <v>10376.200000000001</v>
      </c>
      <c r="CH99">
        <v>1029.6099999999999</v>
      </c>
      <c r="CI99">
        <v>-11.76</v>
      </c>
      <c r="CW99">
        <f t="shared" si="134"/>
        <v>1800.18</v>
      </c>
      <c r="CX99">
        <f t="shared" si="135"/>
        <v>1513.3358998223125</v>
      </c>
      <c r="CY99">
        <f t="shared" si="136"/>
        <v>0.84065810075787561</v>
      </c>
      <c r="CZ99">
        <f t="shared" si="137"/>
        <v>0.19131620151575154</v>
      </c>
      <c r="DA99">
        <v>6</v>
      </c>
      <c r="DB99">
        <v>0.5</v>
      </c>
      <c r="DC99" t="s">
        <v>419</v>
      </c>
      <c r="DD99">
        <v>2</v>
      </c>
      <c r="DE99">
        <v>1693512630.5999999</v>
      </c>
      <c r="DF99">
        <v>1137.71</v>
      </c>
      <c r="DG99">
        <v>1200.0899999999999</v>
      </c>
      <c r="DH99">
        <v>28.708600000000001</v>
      </c>
      <c r="DI99">
        <v>23.280100000000001</v>
      </c>
      <c r="DJ99">
        <v>1134.8699999999999</v>
      </c>
      <c r="DK99">
        <v>27.774699999999999</v>
      </c>
      <c r="DL99">
        <v>499.58</v>
      </c>
      <c r="DM99">
        <v>99.516999999999996</v>
      </c>
      <c r="DN99">
        <v>0.10041</v>
      </c>
      <c r="DO99">
        <v>30.482800000000001</v>
      </c>
      <c r="DP99">
        <v>30.017299999999999</v>
      </c>
      <c r="DQ99">
        <v>999.9</v>
      </c>
      <c r="DR99">
        <v>0</v>
      </c>
      <c r="DS99">
        <v>0</v>
      </c>
      <c r="DT99">
        <v>9985</v>
      </c>
      <c r="DU99">
        <v>0</v>
      </c>
      <c r="DV99">
        <v>1810.85</v>
      </c>
      <c r="DW99">
        <v>-62.381999999999998</v>
      </c>
      <c r="DX99">
        <v>1171.3399999999999</v>
      </c>
      <c r="DY99">
        <v>1228.7</v>
      </c>
      <c r="DZ99">
        <v>5.4284499999999998</v>
      </c>
      <c r="EA99">
        <v>1200.0899999999999</v>
      </c>
      <c r="EB99">
        <v>23.280100000000001</v>
      </c>
      <c r="EC99">
        <v>2.8569900000000001</v>
      </c>
      <c r="ED99">
        <v>2.31677</v>
      </c>
      <c r="EE99">
        <v>23.217099999999999</v>
      </c>
      <c r="EF99">
        <v>19.793500000000002</v>
      </c>
      <c r="EG99">
        <v>1800.18</v>
      </c>
      <c r="EH99">
        <v>0.97800500000000001</v>
      </c>
      <c r="EI99">
        <v>2.1995399999999998E-2</v>
      </c>
      <c r="EJ99">
        <v>0</v>
      </c>
      <c r="EK99">
        <v>765.61400000000003</v>
      </c>
      <c r="EL99">
        <v>5.0002700000000004</v>
      </c>
      <c r="EM99">
        <v>14314.5</v>
      </c>
      <c r="EN99">
        <v>16250.3</v>
      </c>
      <c r="EO99">
        <v>46.5</v>
      </c>
      <c r="EP99">
        <v>46.5</v>
      </c>
      <c r="EQ99">
        <v>47.186999999999998</v>
      </c>
      <c r="ER99">
        <v>46.375</v>
      </c>
      <c r="ES99">
        <v>48.125</v>
      </c>
      <c r="ET99">
        <v>1755.69</v>
      </c>
      <c r="EU99">
        <v>39.49</v>
      </c>
      <c r="EV99">
        <v>0</v>
      </c>
      <c r="EW99">
        <v>109.7999999523163</v>
      </c>
      <c r="EX99">
        <v>0</v>
      </c>
      <c r="EY99">
        <v>765.93244000000004</v>
      </c>
      <c r="EZ99">
        <v>-2.4438461484043801</v>
      </c>
      <c r="FA99">
        <v>-77.215384419766508</v>
      </c>
      <c r="FB99">
        <v>14322.708000000001</v>
      </c>
      <c r="FC99">
        <v>15</v>
      </c>
      <c r="FD99">
        <v>1693512594.0999999</v>
      </c>
      <c r="FE99" t="s">
        <v>842</v>
      </c>
      <c r="FF99">
        <v>1693512584.0999999</v>
      </c>
      <c r="FG99">
        <v>1693512594.0999999</v>
      </c>
      <c r="FH99">
        <v>91</v>
      </c>
      <c r="FI99">
        <v>0.156</v>
      </c>
      <c r="FJ99">
        <v>5.0000000000000001E-3</v>
      </c>
      <c r="FK99">
        <v>2.806</v>
      </c>
      <c r="FL99">
        <v>0.60199999999999998</v>
      </c>
      <c r="FM99">
        <v>1201</v>
      </c>
      <c r="FN99">
        <v>23</v>
      </c>
      <c r="FO99">
        <v>0.12</v>
      </c>
      <c r="FP99">
        <v>0.03</v>
      </c>
      <c r="FQ99">
        <v>46.651667062700618</v>
      </c>
      <c r="FR99">
        <v>-0.66564375952699151</v>
      </c>
      <c r="FS99">
        <v>0.12393806572542131</v>
      </c>
      <c r="FT99">
        <v>1</v>
      </c>
      <c r="FU99">
        <v>0.34355635935596462</v>
      </c>
      <c r="FV99">
        <v>-3.5810112115198601E-3</v>
      </c>
      <c r="FW99">
        <v>1.8984638191390339E-3</v>
      </c>
      <c r="FX99">
        <v>1</v>
      </c>
      <c r="FY99">
        <v>2</v>
      </c>
      <c r="FZ99">
        <v>2</v>
      </c>
      <c r="GA99" t="s">
        <v>421</v>
      </c>
      <c r="GB99">
        <v>3.1177899999999998</v>
      </c>
      <c r="GC99">
        <v>2.8654299999999999</v>
      </c>
      <c r="GD99">
        <v>0.19272900000000001</v>
      </c>
      <c r="GE99">
        <v>0.20399100000000001</v>
      </c>
      <c r="GF99">
        <v>0.12961800000000001</v>
      </c>
      <c r="GG99">
        <v>0.11730699999999999</v>
      </c>
      <c r="GH99">
        <v>24445.5</v>
      </c>
      <c r="GI99">
        <v>18732.3</v>
      </c>
      <c r="GJ99">
        <v>29188.1</v>
      </c>
      <c r="GK99">
        <v>21929.8</v>
      </c>
      <c r="GL99">
        <v>34018.800000000003</v>
      </c>
      <c r="GM99">
        <v>26637.200000000001</v>
      </c>
      <c r="GN99">
        <v>40501.1</v>
      </c>
      <c r="GO99">
        <v>31156.2</v>
      </c>
      <c r="GP99">
        <v>2.0381</v>
      </c>
      <c r="GQ99">
        <v>1.8297000000000001</v>
      </c>
      <c r="GR99">
        <v>9.2864000000000002E-2</v>
      </c>
      <c r="GS99">
        <v>0</v>
      </c>
      <c r="GT99">
        <v>28.504300000000001</v>
      </c>
      <c r="GU99">
        <v>999.9</v>
      </c>
      <c r="GV99">
        <v>38.4</v>
      </c>
      <c r="GW99">
        <v>40.200000000000003</v>
      </c>
      <c r="GX99">
        <v>28.9146</v>
      </c>
      <c r="GY99">
        <v>61.673200000000001</v>
      </c>
      <c r="GZ99">
        <v>13.834099999999999</v>
      </c>
      <c r="HA99">
        <v>1</v>
      </c>
      <c r="HB99">
        <v>0.17192099999999999</v>
      </c>
      <c r="HC99">
        <v>1.10416</v>
      </c>
      <c r="HD99">
        <v>20.271100000000001</v>
      </c>
      <c r="HE99">
        <v>5.2346599999999999</v>
      </c>
      <c r="HF99">
        <v>11.974</v>
      </c>
      <c r="HG99">
        <v>4.9753999999999996</v>
      </c>
      <c r="HH99">
        <v>3.2839999999999998</v>
      </c>
      <c r="HI99">
        <v>9999</v>
      </c>
      <c r="HJ99">
        <v>9999</v>
      </c>
      <c r="HK99">
        <v>9999</v>
      </c>
      <c r="HL99">
        <v>999.9</v>
      </c>
      <c r="HM99">
        <v>1.8615699999999999</v>
      </c>
      <c r="HN99">
        <v>1.86324</v>
      </c>
      <c r="HO99">
        <v>1.8685700000000001</v>
      </c>
      <c r="HP99">
        <v>1.8593</v>
      </c>
      <c r="HQ99">
        <v>1.85762</v>
      </c>
      <c r="HR99">
        <v>1.8613299999999999</v>
      </c>
      <c r="HS99">
        <v>1.86521</v>
      </c>
      <c r="HT99">
        <v>1.8672200000000001</v>
      </c>
      <c r="HU99">
        <v>5</v>
      </c>
      <c r="HV99">
        <v>0</v>
      </c>
      <c r="HW99">
        <v>0</v>
      </c>
      <c r="HX99">
        <v>0</v>
      </c>
      <c r="HY99" t="s">
        <v>422</v>
      </c>
      <c r="HZ99" t="s">
        <v>423</v>
      </c>
      <c r="IA99" t="s">
        <v>424</v>
      </c>
      <c r="IB99" t="s">
        <v>424</v>
      </c>
      <c r="IC99" t="s">
        <v>424</v>
      </c>
      <c r="ID99" t="s">
        <v>424</v>
      </c>
      <c r="IE99">
        <v>0</v>
      </c>
      <c r="IF99">
        <v>100</v>
      </c>
      <c r="IG99">
        <v>100</v>
      </c>
      <c r="IH99">
        <v>2.84</v>
      </c>
      <c r="II99">
        <v>0.93389999999999995</v>
      </c>
      <c r="IJ99">
        <v>2.9566712896413212</v>
      </c>
      <c r="IK99">
        <v>1.118558698776514E-3</v>
      </c>
      <c r="IL99">
        <v>-1.6939696309573479E-6</v>
      </c>
      <c r="IM99">
        <v>5.4698917449866148E-10</v>
      </c>
      <c r="IN99">
        <v>4.1333966045947627E-2</v>
      </c>
      <c r="IO99">
        <v>-7.6058941998734366E-3</v>
      </c>
      <c r="IP99">
        <v>1.6984902717538061E-3</v>
      </c>
      <c r="IQ99">
        <v>-9.6352527008986976E-6</v>
      </c>
      <c r="IR99">
        <v>2</v>
      </c>
      <c r="IS99">
        <v>2021</v>
      </c>
      <c r="IT99">
        <v>2</v>
      </c>
      <c r="IU99">
        <v>40</v>
      </c>
      <c r="IV99">
        <v>0.8</v>
      </c>
      <c r="IW99">
        <v>0.6</v>
      </c>
      <c r="IX99">
        <v>2.52441</v>
      </c>
      <c r="IY99">
        <v>2.5354000000000001</v>
      </c>
      <c r="IZ99">
        <v>1.34399</v>
      </c>
      <c r="JA99">
        <v>2.2375500000000001</v>
      </c>
      <c r="JB99">
        <v>1.5918000000000001</v>
      </c>
      <c r="JC99">
        <v>2.2753899999999998</v>
      </c>
      <c r="JD99">
        <v>45.575800000000001</v>
      </c>
      <c r="JE99">
        <v>23.947399999999998</v>
      </c>
      <c r="JF99">
        <v>18</v>
      </c>
      <c r="JG99">
        <v>515.23699999999997</v>
      </c>
      <c r="JH99">
        <v>419.05099999999999</v>
      </c>
      <c r="JI99">
        <v>27.429300000000001</v>
      </c>
      <c r="JJ99">
        <v>29.730799999999999</v>
      </c>
      <c r="JK99">
        <v>29.9999</v>
      </c>
      <c r="JL99">
        <v>29.711500000000001</v>
      </c>
      <c r="JM99">
        <v>29.680499999999999</v>
      </c>
      <c r="JN99">
        <v>50.601900000000001</v>
      </c>
      <c r="JO99">
        <v>19.803699999999999</v>
      </c>
      <c r="JP99">
        <v>25.206299999999999</v>
      </c>
      <c r="JQ99">
        <v>27.456099999999999</v>
      </c>
      <c r="JR99">
        <v>1200</v>
      </c>
      <c r="JS99">
        <v>23.2806</v>
      </c>
      <c r="JT99">
        <v>99.509699999999995</v>
      </c>
      <c r="JU99">
        <v>98.438900000000004</v>
      </c>
    </row>
    <row r="100" spans="1:281" x14ac:dyDescent="0.25">
      <c r="A100">
        <v>84</v>
      </c>
      <c r="B100">
        <v>1693512737.5999999</v>
      </c>
      <c r="C100">
        <v>17811</v>
      </c>
      <c r="D100" t="s">
        <v>843</v>
      </c>
      <c r="E100" t="s">
        <v>844</v>
      </c>
      <c r="F100" t="s">
        <v>413</v>
      </c>
      <c r="G100" t="s">
        <v>778</v>
      </c>
      <c r="H100" t="s">
        <v>779</v>
      </c>
      <c r="I100" t="s">
        <v>31</v>
      </c>
      <c r="J100">
        <v>1693512737.5999999</v>
      </c>
      <c r="K100">
        <f t="shared" si="92"/>
        <v>4.3327093982496543E-3</v>
      </c>
      <c r="L100">
        <f t="shared" si="93"/>
        <v>4.3327093982496541</v>
      </c>
      <c r="M100">
        <f t="shared" si="94"/>
        <v>45.523927187539059</v>
      </c>
      <c r="N100">
        <f t="shared" si="95"/>
        <v>1437.87</v>
      </c>
      <c r="O100">
        <f t="shared" si="96"/>
        <v>1159.4771925725595</v>
      </c>
      <c r="P100">
        <f t="shared" si="97"/>
        <v>115.51347649700244</v>
      </c>
      <c r="Q100">
        <f t="shared" si="98"/>
        <v>143.24849467908001</v>
      </c>
      <c r="R100">
        <f t="shared" si="99"/>
        <v>0.30874903119181368</v>
      </c>
      <c r="S100">
        <f t="shared" si="100"/>
        <v>2.9115452106354551</v>
      </c>
      <c r="T100">
        <f t="shared" si="101"/>
        <v>0.29164475857459721</v>
      </c>
      <c r="U100">
        <f t="shared" si="102"/>
        <v>0.18373571844796716</v>
      </c>
      <c r="V100">
        <f t="shared" si="103"/>
        <v>344.38969964470169</v>
      </c>
      <c r="W100">
        <f t="shared" si="104"/>
        <v>31.250727000656539</v>
      </c>
      <c r="X100">
        <f t="shared" si="105"/>
        <v>29.979399999999998</v>
      </c>
      <c r="Y100">
        <f t="shared" si="106"/>
        <v>4.2554112059875866</v>
      </c>
      <c r="Z100">
        <f t="shared" si="107"/>
        <v>65.082284024012509</v>
      </c>
      <c r="AA100">
        <f t="shared" si="108"/>
        <v>2.8279789513723999</v>
      </c>
      <c r="AB100">
        <f t="shared" si="109"/>
        <v>4.3452361787564175</v>
      </c>
      <c r="AC100">
        <f t="shared" si="110"/>
        <v>1.4274322546151867</v>
      </c>
      <c r="AD100">
        <f t="shared" si="111"/>
        <v>-191.07248446280977</v>
      </c>
      <c r="AE100">
        <f t="shared" si="112"/>
        <v>57.151766766603089</v>
      </c>
      <c r="AF100">
        <f t="shared" si="113"/>
        <v>4.3715898960228889</v>
      </c>
      <c r="AG100">
        <f t="shared" si="114"/>
        <v>214.84057184451791</v>
      </c>
      <c r="AH100">
        <v>0</v>
      </c>
      <c r="AI100">
        <v>0</v>
      </c>
      <c r="AJ100">
        <f t="shared" si="115"/>
        <v>1</v>
      </c>
      <c r="AK100">
        <f t="shared" si="116"/>
        <v>0</v>
      </c>
      <c r="AL100">
        <f t="shared" si="117"/>
        <v>51770.971237667771</v>
      </c>
      <c r="AM100" t="s">
        <v>416</v>
      </c>
      <c r="AN100">
        <v>10366.9</v>
      </c>
      <c r="AO100">
        <v>993.59653846153856</v>
      </c>
      <c r="AP100">
        <v>3431.87</v>
      </c>
      <c r="AQ100">
        <f t="shared" si="118"/>
        <v>0.71047955241266758</v>
      </c>
      <c r="AR100">
        <v>-3.9894345373445681</v>
      </c>
      <c r="AS100" t="s">
        <v>845</v>
      </c>
      <c r="AT100">
        <v>10411.299999999999</v>
      </c>
      <c r="AU100">
        <v>760.48103846153856</v>
      </c>
      <c r="AV100">
        <v>1129.988554691269</v>
      </c>
      <c r="AW100">
        <f t="shared" si="119"/>
        <v>0.32700111403401411</v>
      </c>
      <c r="AX100">
        <v>0.5</v>
      </c>
      <c r="AY100">
        <f t="shared" si="120"/>
        <v>1513.2767998223508</v>
      </c>
      <c r="AZ100">
        <f t="shared" si="121"/>
        <v>45.523927187539059</v>
      </c>
      <c r="BA100">
        <f t="shared" si="122"/>
        <v>247.42159969186824</v>
      </c>
      <c r="BB100">
        <f t="shared" si="123"/>
        <v>3.2719302728156659E-2</v>
      </c>
      <c r="BC100">
        <f t="shared" si="124"/>
        <v>2.037083858727792</v>
      </c>
      <c r="BD100">
        <f t="shared" si="125"/>
        <v>624.99097003576662</v>
      </c>
      <c r="BE100" t="s">
        <v>846</v>
      </c>
      <c r="BF100">
        <v>599.84</v>
      </c>
      <c r="BG100">
        <f t="shared" si="126"/>
        <v>599.84</v>
      </c>
      <c r="BH100">
        <f t="shared" si="127"/>
        <v>0.4691627649592558</v>
      </c>
      <c r="BI100">
        <f t="shared" si="128"/>
        <v>0.69698863263885058</v>
      </c>
      <c r="BJ100">
        <f t="shared" si="129"/>
        <v>0.81280263461500435</v>
      </c>
      <c r="BK100">
        <f t="shared" si="130"/>
        <v>2.7091579583907199</v>
      </c>
      <c r="BL100">
        <f t="shared" si="131"/>
        <v>0.94406205112708219</v>
      </c>
      <c r="BM100">
        <f t="shared" si="132"/>
        <v>0.54975948150906162</v>
      </c>
      <c r="BN100">
        <f t="shared" si="133"/>
        <v>0.45024051849093838</v>
      </c>
      <c r="BO100">
        <v>2315</v>
      </c>
      <c r="BP100">
        <v>290.00000000000011</v>
      </c>
      <c r="BQ100">
        <v>1024.52</v>
      </c>
      <c r="BR100">
        <v>125</v>
      </c>
      <c r="BS100">
        <v>10411.299999999999</v>
      </c>
      <c r="BT100">
        <v>1022.46</v>
      </c>
      <c r="BU100">
        <v>2.06</v>
      </c>
      <c r="BV100">
        <v>300.00000000000011</v>
      </c>
      <c r="BW100">
        <v>38.299999999999997</v>
      </c>
      <c r="BX100">
        <v>1129.988554691269</v>
      </c>
      <c r="BY100">
        <v>1.392232984049395</v>
      </c>
      <c r="BZ100">
        <v>-111.9483972561658</v>
      </c>
      <c r="CA100">
        <v>1.1847591931154571</v>
      </c>
      <c r="CB100">
        <v>0.99687375788749999</v>
      </c>
      <c r="CC100">
        <v>-1.1314057842046719E-2</v>
      </c>
      <c r="CD100">
        <v>289.99999999999989</v>
      </c>
      <c r="CE100">
        <v>1011.23</v>
      </c>
      <c r="CF100">
        <v>645</v>
      </c>
      <c r="CG100">
        <v>10378.6</v>
      </c>
      <c r="CH100">
        <v>1022.12</v>
      </c>
      <c r="CI100">
        <v>-10.89</v>
      </c>
      <c r="CW100">
        <f t="shared" si="134"/>
        <v>1800.11</v>
      </c>
      <c r="CX100">
        <f t="shared" si="135"/>
        <v>1513.2767998223508</v>
      </c>
      <c r="CY100">
        <f t="shared" si="136"/>
        <v>0.84065795969265811</v>
      </c>
      <c r="CZ100">
        <f t="shared" si="137"/>
        <v>0.19131591938531631</v>
      </c>
      <c r="DA100">
        <v>6</v>
      </c>
      <c r="DB100">
        <v>0.5</v>
      </c>
      <c r="DC100" t="s">
        <v>419</v>
      </c>
      <c r="DD100">
        <v>2</v>
      </c>
      <c r="DE100">
        <v>1693512737.5999999</v>
      </c>
      <c r="DF100">
        <v>1437.87</v>
      </c>
      <c r="DG100">
        <v>1499.9</v>
      </c>
      <c r="DH100">
        <v>28.386099999999999</v>
      </c>
      <c r="DI100">
        <v>23.340499999999999</v>
      </c>
      <c r="DJ100">
        <v>1434.87</v>
      </c>
      <c r="DK100">
        <v>27.464500000000001</v>
      </c>
      <c r="DL100">
        <v>500.601</v>
      </c>
      <c r="DM100">
        <v>99.524600000000007</v>
      </c>
      <c r="DN100">
        <v>0.100884</v>
      </c>
      <c r="DO100">
        <v>30.343499999999999</v>
      </c>
      <c r="DP100">
        <v>29.979399999999998</v>
      </c>
      <c r="DQ100">
        <v>999.9</v>
      </c>
      <c r="DR100">
        <v>0</v>
      </c>
      <c r="DS100">
        <v>0</v>
      </c>
      <c r="DT100">
        <v>9945</v>
      </c>
      <c r="DU100">
        <v>0</v>
      </c>
      <c r="DV100">
        <v>1802.07</v>
      </c>
      <c r="DW100">
        <v>-62.026000000000003</v>
      </c>
      <c r="DX100">
        <v>1479.88</v>
      </c>
      <c r="DY100">
        <v>1535.74</v>
      </c>
      <c r="DZ100">
        <v>5.0455699999999997</v>
      </c>
      <c r="EA100">
        <v>1499.9</v>
      </c>
      <c r="EB100">
        <v>23.340499999999999</v>
      </c>
      <c r="EC100">
        <v>2.82511</v>
      </c>
      <c r="ED100">
        <v>2.3229500000000001</v>
      </c>
      <c r="EE100">
        <v>23.031600000000001</v>
      </c>
      <c r="EF100">
        <v>19.836500000000001</v>
      </c>
      <c r="EG100">
        <v>1800.11</v>
      </c>
      <c r="EH100">
        <v>0.97800500000000001</v>
      </c>
      <c r="EI100">
        <v>2.1995299999999999E-2</v>
      </c>
      <c r="EJ100">
        <v>0</v>
      </c>
      <c r="EK100">
        <v>760.07399999999996</v>
      </c>
      <c r="EL100">
        <v>5.0002700000000004</v>
      </c>
      <c r="EM100">
        <v>14215.2</v>
      </c>
      <c r="EN100">
        <v>16249.6</v>
      </c>
      <c r="EO100">
        <v>46.561999999999998</v>
      </c>
      <c r="EP100">
        <v>46.561999999999998</v>
      </c>
      <c r="EQ100">
        <v>47.186999999999998</v>
      </c>
      <c r="ER100">
        <v>46.5</v>
      </c>
      <c r="ES100">
        <v>48.186999999999998</v>
      </c>
      <c r="ET100">
        <v>1755.63</v>
      </c>
      <c r="EU100">
        <v>39.479999999999997</v>
      </c>
      <c r="EV100">
        <v>0</v>
      </c>
      <c r="EW100">
        <v>105.2000000476837</v>
      </c>
      <c r="EX100">
        <v>0</v>
      </c>
      <c r="EY100">
        <v>760.48103846153856</v>
      </c>
      <c r="EZ100">
        <v>-2.9014358920113641</v>
      </c>
      <c r="FA100">
        <v>-56.211965764058903</v>
      </c>
      <c r="FB100">
        <v>14223.13846153846</v>
      </c>
      <c r="FC100">
        <v>15</v>
      </c>
      <c r="FD100">
        <v>1693512704.0999999</v>
      </c>
      <c r="FE100" t="s">
        <v>847</v>
      </c>
      <c r="FF100">
        <v>1693512701.5999999</v>
      </c>
      <c r="FG100">
        <v>1693512704.0999999</v>
      </c>
      <c r="FH100">
        <v>92</v>
      </c>
      <c r="FI100">
        <v>0.312</v>
      </c>
      <c r="FJ100">
        <v>8.0000000000000002E-3</v>
      </c>
      <c r="FK100">
        <v>2.98</v>
      </c>
      <c r="FL100">
        <v>0.629</v>
      </c>
      <c r="FM100">
        <v>1500</v>
      </c>
      <c r="FN100">
        <v>23</v>
      </c>
      <c r="FO100">
        <v>0.16</v>
      </c>
      <c r="FP100">
        <v>0.03</v>
      </c>
      <c r="FQ100">
        <v>45.481725826778742</v>
      </c>
      <c r="FR100">
        <v>-0.23687653322309321</v>
      </c>
      <c r="FS100">
        <v>0.1797527601322344</v>
      </c>
      <c r="FT100">
        <v>1</v>
      </c>
      <c r="FU100">
        <v>0.31351335136039449</v>
      </c>
      <c r="FV100">
        <v>-4.1647904529967278E-2</v>
      </c>
      <c r="FW100">
        <v>3.1194730532401391E-3</v>
      </c>
      <c r="FX100">
        <v>1</v>
      </c>
      <c r="FY100">
        <v>2</v>
      </c>
      <c r="FZ100">
        <v>2</v>
      </c>
      <c r="GA100" t="s">
        <v>421</v>
      </c>
      <c r="GB100">
        <v>3.11897</v>
      </c>
      <c r="GC100">
        <v>2.86557</v>
      </c>
      <c r="GD100">
        <v>0.223084</v>
      </c>
      <c r="GE100">
        <v>0.23391999999999999</v>
      </c>
      <c r="GF100">
        <v>0.12861600000000001</v>
      </c>
      <c r="GG100">
        <v>0.117532</v>
      </c>
      <c r="GH100">
        <v>23526.7</v>
      </c>
      <c r="GI100">
        <v>18029.3</v>
      </c>
      <c r="GJ100">
        <v>29188</v>
      </c>
      <c r="GK100">
        <v>21930.9</v>
      </c>
      <c r="GL100">
        <v>34062.5</v>
      </c>
      <c r="GM100">
        <v>26634.7</v>
      </c>
      <c r="GN100">
        <v>40501.199999999997</v>
      </c>
      <c r="GO100">
        <v>31158.400000000001</v>
      </c>
      <c r="GP100">
        <v>2.0379999999999998</v>
      </c>
      <c r="GQ100">
        <v>1.8297000000000001</v>
      </c>
      <c r="GR100">
        <v>9.5754900000000004E-2</v>
      </c>
      <c r="GS100">
        <v>0</v>
      </c>
      <c r="GT100">
        <v>28.4191</v>
      </c>
      <c r="GU100">
        <v>999.9</v>
      </c>
      <c r="GV100">
        <v>38.200000000000003</v>
      </c>
      <c r="GW100">
        <v>40.299999999999997</v>
      </c>
      <c r="GX100">
        <v>28.9133</v>
      </c>
      <c r="GY100">
        <v>61.8932</v>
      </c>
      <c r="GZ100">
        <v>13.525600000000001</v>
      </c>
      <c r="HA100">
        <v>1</v>
      </c>
      <c r="HB100">
        <v>0.171128</v>
      </c>
      <c r="HC100">
        <v>0.75295199999999995</v>
      </c>
      <c r="HD100">
        <v>20.273299999999999</v>
      </c>
      <c r="HE100">
        <v>5.2352600000000002</v>
      </c>
      <c r="HF100">
        <v>11.974</v>
      </c>
      <c r="HG100">
        <v>4.9749999999999996</v>
      </c>
      <c r="HH100">
        <v>3.2839999999999998</v>
      </c>
      <c r="HI100">
        <v>9999</v>
      </c>
      <c r="HJ100">
        <v>9999</v>
      </c>
      <c r="HK100">
        <v>9999</v>
      </c>
      <c r="HL100">
        <v>999.9</v>
      </c>
      <c r="HM100">
        <v>1.8614299999999999</v>
      </c>
      <c r="HN100">
        <v>1.8631899999999999</v>
      </c>
      <c r="HO100">
        <v>1.8685400000000001</v>
      </c>
      <c r="HP100">
        <v>1.85928</v>
      </c>
      <c r="HQ100">
        <v>1.8575999999999999</v>
      </c>
      <c r="HR100">
        <v>1.86127</v>
      </c>
      <c r="HS100">
        <v>1.86511</v>
      </c>
      <c r="HT100">
        <v>1.86721</v>
      </c>
      <c r="HU100">
        <v>5</v>
      </c>
      <c r="HV100">
        <v>0</v>
      </c>
      <c r="HW100">
        <v>0</v>
      </c>
      <c r="HX100">
        <v>0</v>
      </c>
      <c r="HY100" t="s">
        <v>422</v>
      </c>
      <c r="HZ100" t="s">
        <v>423</v>
      </c>
      <c r="IA100" t="s">
        <v>424</v>
      </c>
      <c r="IB100" t="s">
        <v>424</v>
      </c>
      <c r="IC100" t="s">
        <v>424</v>
      </c>
      <c r="ID100" t="s">
        <v>424</v>
      </c>
      <c r="IE100">
        <v>0</v>
      </c>
      <c r="IF100">
        <v>100</v>
      </c>
      <c r="IG100">
        <v>100</v>
      </c>
      <c r="IH100">
        <v>3</v>
      </c>
      <c r="II100">
        <v>0.92159999999999997</v>
      </c>
      <c r="IJ100">
        <v>3.266703257295025</v>
      </c>
      <c r="IK100">
        <v>1.118558698776514E-3</v>
      </c>
      <c r="IL100">
        <v>-1.6939696309573479E-6</v>
      </c>
      <c r="IM100">
        <v>5.4698917449866148E-10</v>
      </c>
      <c r="IN100">
        <v>4.8929001287989833E-2</v>
      </c>
      <c r="IO100">
        <v>-7.6058941998734366E-3</v>
      </c>
      <c r="IP100">
        <v>1.6984902717538061E-3</v>
      </c>
      <c r="IQ100">
        <v>-9.6352527008986976E-6</v>
      </c>
      <c r="IR100">
        <v>2</v>
      </c>
      <c r="IS100">
        <v>2021</v>
      </c>
      <c r="IT100">
        <v>2</v>
      </c>
      <c r="IU100">
        <v>40</v>
      </c>
      <c r="IV100">
        <v>0.6</v>
      </c>
      <c r="IW100">
        <v>0.6</v>
      </c>
      <c r="IX100">
        <v>3.0358900000000002</v>
      </c>
      <c r="IY100">
        <v>2.52441</v>
      </c>
      <c r="IZ100">
        <v>1.34399</v>
      </c>
      <c r="JA100">
        <v>2.2375500000000001</v>
      </c>
      <c r="JB100">
        <v>1.5918000000000001</v>
      </c>
      <c r="JC100">
        <v>2.4499499999999999</v>
      </c>
      <c r="JD100">
        <v>45.575800000000001</v>
      </c>
      <c r="JE100">
        <v>23.982399999999998</v>
      </c>
      <c r="JF100">
        <v>18</v>
      </c>
      <c r="JG100">
        <v>515.03300000000002</v>
      </c>
      <c r="JH100">
        <v>418.93</v>
      </c>
      <c r="JI100">
        <v>27.7805</v>
      </c>
      <c r="JJ100">
        <v>29.728200000000001</v>
      </c>
      <c r="JK100">
        <v>29.999700000000001</v>
      </c>
      <c r="JL100">
        <v>29.6967</v>
      </c>
      <c r="JM100">
        <v>29.665299999999998</v>
      </c>
      <c r="JN100">
        <v>60.822099999999999</v>
      </c>
      <c r="JO100">
        <v>19.897200000000002</v>
      </c>
      <c r="JP100">
        <v>24.786300000000001</v>
      </c>
      <c r="JQ100">
        <v>27.84</v>
      </c>
      <c r="JR100">
        <v>1500</v>
      </c>
      <c r="JS100">
        <v>23.328199999999999</v>
      </c>
      <c r="JT100">
        <v>99.509699999999995</v>
      </c>
      <c r="JU100">
        <v>98.4452</v>
      </c>
    </row>
    <row r="101" spans="1:281" x14ac:dyDescent="0.25">
      <c r="A101">
        <v>85</v>
      </c>
      <c r="B101">
        <v>1693515302.5</v>
      </c>
      <c r="C101">
        <v>20375.900000095371</v>
      </c>
      <c r="D101" t="s">
        <v>848</v>
      </c>
      <c r="E101" t="s">
        <v>849</v>
      </c>
      <c r="F101" t="s">
        <v>413</v>
      </c>
      <c r="G101" t="s">
        <v>565</v>
      </c>
      <c r="H101" t="s">
        <v>415</v>
      </c>
      <c r="I101" t="s">
        <v>415</v>
      </c>
      <c r="J101">
        <v>1693515302.5</v>
      </c>
      <c r="K101">
        <f t="shared" si="92"/>
        <v>4.4238618747126368E-3</v>
      </c>
      <c r="L101">
        <f t="shared" si="93"/>
        <v>4.423861874712637</v>
      </c>
      <c r="M101">
        <f t="shared" si="94"/>
        <v>40.163507253811815</v>
      </c>
      <c r="N101">
        <f t="shared" si="95"/>
        <v>349.97800000000001</v>
      </c>
      <c r="O101">
        <f t="shared" si="96"/>
        <v>132.82335582579688</v>
      </c>
      <c r="P101">
        <f t="shared" si="97"/>
        <v>13.230055247139809</v>
      </c>
      <c r="Q101">
        <f t="shared" si="98"/>
        <v>34.860045859376008</v>
      </c>
      <c r="R101">
        <f t="shared" si="99"/>
        <v>0.3195702089917225</v>
      </c>
      <c r="S101">
        <f t="shared" si="100"/>
        <v>2.9156131169422284</v>
      </c>
      <c r="T101">
        <f t="shared" si="101"/>
        <v>0.30130803207164847</v>
      </c>
      <c r="U101">
        <f t="shared" si="102"/>
        <v>0.1898712812067897</v>
      </c>
      <c r="V101">
        <f t="shared" si="103"/>
        <v>344.37569964450597</v>
      </c>
      <c r="W101">
        <f t="shared" si="104"/>
        <v>31.350035530252661</v>
      </c>
      <c r="X101">
        <f t="shared" si="105"/>
        <v>30.024000000000001</v>
      </c>
      <c r="Y101">
        <f t="shared" si="106"/>
        <v>4.2663265034763915</v>
      </c>
      <c r="Z101">
        <f t="shared" si="107"/>
        <v>65.26453370350049</v>
      </c>
      <c r="AA101">
        <f t="shared" si="108"/>
        <v>2.8561734480432004</v>
      </c>
      <c r="AB101">
        <f t="shared" si="109"/>
        <v>4.3763025428464957</v>
      </c>
      <c r="AC101">
        <f t="shared" si="110"/>
        <v>1.4101530554331911</v>
      </c>
      <c r="AD101">
        <f t="shared" si="111"/>
        <v>-195.09230867482728</v>
      </c>
      <c r="AE101">
        <f t="shared" si="112"/>
        <v>69.775102602665527</v>
      </c>
      <c r="AF101">
        <f t="shared" si="113"/>
        <v>5.3341725103691555</v>
      </c>
      <c r="AG101">
        <f t="shared" si="114"/>
        <v>224.39266608271339</v>
      </c>
      <c r="AH101">
        <v>0</v>
      </c>
      <c r="AI101">
        <v>0</v>
      </c>
      <c r="AJ101">
        <f t="shared" si="115"/>
        <v>1</v>
      </c>
      <c r="AK101">
        <f t="shared" si="116"/>
        <v>0</v>
      </c>
      <c r="AL101">
        <f t="shared" si="117"/>
        <v>51865.058320519289</v>
      </c>
      <c r="AM101" t="s">
        <v>416</v>
      </c>
      <c r="AN101">
        <v>10366.9</v>
      </c>
      <c r="AO101">
        <v>993.59653846153856</v>
      </c>
      <c r="AP101">
        <v>3431.87</v>
      </c>
      <c r="AQ101">
        <f t="shared" si="118"/>
        <v>0.71047955241266758</v>
      </c>
      <c r="AR101">
        <v>-3.9894345373445681</v>
      </c>
      <c r="AS101" t="s">
        <v>850</v>
      </c>
      <c r="AT101">
        <v>10363.9</v>
      </c>
      <c r="AU101">
        <v>773.27776923076897</v>
      </c>
      <c r="AV101">
        <v>1066.27376477799</v>
      </c>
      <c r="AW101">
        <f t="shared" si="119"/>
        <v>0.27478496163527577</v>
      </c>
      <c r="AX101">
        <v>0.5</v>
      </c>
      <c r="AY101">
        <f t="shared" si="120"/>
        <v>1513.2101998222529</v>
      </c>
      <c r="AZ101">
        <f t="shared" si="121"/>
        <v>40.163507253811815</v>
      </c>
      <c r="BA101">
        <f t="shared" si="122"/>
        <v>207.90370335213288</v>
      </c>
      <c r="BB101">
        <f t="shared" si="123"/>
        <v>2.9178326842062487E-2</v>
      </c>
      <c r="BC101">
        <f t="shared" si="124"/>
        <v>2.2185636685101722</v>
      </c>
      <c r="BD101">
        <f t="shared" si="125"/>
        <v>604.99586739690665</v>
      </c>
      <c r="BE101" t="s">
        <v>851</v>
      </c>
      <c r="BF101">
        <v>598.27</v>
      </c>
      <c r="BG101">
        <f t="shared" si="126"/>
        <v>598.27</v>
      </c>
      <c r="BH101">
        <f t="shared" si="127"/>
        <v>0.4389152019279341</v>
      </c>
      <c r="BI101">
        <f t="shared" si="128"/>
        <v>0.62605478331186382</v>
      </c>
      <c r="BJ101">
        <f t="shared" si="129"/>
        <v>0.83483774534938238</v>
      </c>
      <c r="BK101">
        <f t="shared" si="130"/>
        <v>4.0314691464896697</v>
      </c>
      <c r="BL101">
        <f t="shared" si="131"/>
        <v>0.97019316025750657</v>
      </c>
      <c r="BM101">
        <f t="shared" si="132"/>
        <v>0.48436643353212966</v>
      </c>
      <c r="BN101">
        <f t="shared" si="133"/>
        <v>0.5156335664678704</v>
      </c>
      <c r="BO101">
        <v>2317</v>
      </c>
      <c r="BP101">
        <v>290.00000000000011</v>
      </c>
      <c r="BQ101">
        <v>984.15</v>
      </c>
      <c r="BR101">
        <v>175</v>
      </c>
      <c r="BS101">
        <v>10363.9</v>
      </c>
      <c r="BT101">
        <v>982.17</v>
      </c>
      <c r="BU101">
        <v>1.98</v>
      </c>
      <c r="BV101">
        <v>300.00000000000011</v>
      </c>
      <c r="BW101">
        <v>38.4</v>
      </c>
      <c r="BX101">
        <v>1066.27376477799</v>
      </c>
      <c r="BY101">
        <v>1.138309197819863</v>
      </c>
      <c r="BZ101">
        <v>-87.162737593300889</v>
      </c>
      <c r="CA101">
        <v>0.96508074747697026</v>
      </c>
      <c r="CB101">
        <v>0.99657913919418717</v>
      </c>
      <c r="CC101">
        <v>-1.1271753058954399E-2</v>
      </c>
      <c r="CD101">
        <v>289.99999999999989</v>
      </c>
      <c r="CE101">
        <v>974.9</v>
      </c>
      <c r="CF101">
        <v>655</v>
      </c>
      <c r="CG101">
        <v>10339</v>
      </c>
      <c r="CH101">
        <v>981.97</v>
      </c>
      <c r="CI101">
        <v>-7.07</v>
      </c>
      <c r="CW101">
        <f t="shared" si="134"/>
        <v>1800.03</v>
      </c>
      <c r="CX101">
        <f t="shared" si="135"/>
        <v>1513.2101998222529</v>
      </c>
      <c r="CY101">
        <f t="shared" si="136"/>
        <v>0.84065832226254722</v>
      </c>
      <c r="CZ101">
        <f t="shared" si="137"/>
        <v>0.19131664452509456</v>
      </c>
      <c r="DA101">
        <v>6</v>
      </c>
      <c r="DB101">
        <v>0.5</v>
      </c>
      <c r="DC101" t="s">
        <v>419</v>
      </c>
      <c r="DD101">
        <v>2</v>
      </c>
      <c r="DE101">
        <v>1693515302.5</v>
      </c>
      <c r="DF101">
        <v>349.97800000000001</v>
      </c>
      <c r="DG101">
        <v>399.99900000000002</v>
      </c>
      <c r="DH101">
        <v>28.674600000000002</v>
      </c>
      <c r="DI101">
        <v>23.521599999999999</v>
      </c>
      <c r="DJ101">
        <v>347.49</v>
      </c>
      <c r="DK101">
        <v>27.763000000000002</v>
      </c>
      <c r="DL101">
        <v>500.33100000000002</v>
      </c>
      <c r="DM101">
        <v>99.506200000000007</v>
      </c>
      <c r="DN101">
        <v>0.100192</v>
      </c>
      <c r="DO101">
        <v>30.4679</v>
      </c>
      <c r="DP101">
        <v>30.024000000000001</v>
      </c>
      <c r="DQ101">
        <v>999.9</v>
      </c>
      <c r="DR101">
        <v>0</v>
      </c>
      <c r="DS101">
        <v>0</v>
      </c>
      <c r="DT101">
        <v>9970</v>
      </c>
      <c r="DU101">
        <v>0</v>
      </c>
      <c r="DV101">
        <v>100.08199999999999</v>
      </c>
      <c r="DW101">
        <v>-50.021799999999999</v>
      </c>
      <c r="DX101">
        <v>360.30900000000003</v>
      </c>
      <c r="DY101">
        <v>409.63499999999999</v>
      </c>
      <c r="DZ101">
        <v>5.1530399999999998</v>
      </c>
      <c r="EA101">
        <v>399.99900000000002</v>
      </c>
      <c r="EB101">
        <v>23.521599999999999</v>
      </c>
      <c r="EC101">
        <v>2.8532999999999999</v>
      </c>
      <c r="ED101">
        <v>2.3405399999999998</v>
      </c>
      <c r="EE101">
        <v>23.195699999999999</v>
      </c>
      <c r="EF101">
        <v>19.958200000000001</v>
      </c>
      <c r="EG101">
        <v>1800.03</v>
      </c>
      <c r="EH101">
        <v>0.97799700000000001</v>
      </c>
      <c r="EI101">
        <v>2.2002600000000001E-2</v>
      </c>
      <c r="EJ101">
        <v>0</v>
      </c>
      <c r="EK101">
        <v>773.56500000000005</v>
      </c>
      <c r="EL101">
        <v>5.0002700000000004</v>
      </c>
      <c r="EM101">
        <v>14452.6</v>
      </c>
      <c r="EN101">
        <v>16248.9</v>
      </c>
      <c r="EO101">
        <v>47.375</v>
      </c>
      <c r="EP101">
        <v>47.875</v>
      </c>
      <c r="EQ101">
        <v>48.311999999999998</v>
      </c>
      <c r="ER101">
        <v>47.436999999999998</v>
      </c>
      <c r="ES101">
        <v>49</v>
      </c>
      <c r="ET101">
        <v>1755.53</v>
      </c>
      <c r="EU101">
        <v>39.5</v>
      </c>
      <c r="EV101">
        <v>0</v>
      </c>
      <c r="EW101">
        <v>2563.2000000476842</v>
      </c>
      <c r="EX101">
        <v>0</v>
      </c>
      <c r="EY101">
        <v>773.27776923076897</v>
      </c>
      <c r="EZ101">
        <v>1.709403213720764E-2</v>
      </c>
      <c r="FA101">
        <v>-1.1452991701879101</v>
      </c>
      <c r="FB101">
        <v>14452.98846153846</v>
      </c>
      <c r="FC101">
        <v>15</v>
      </c>
      <c r="FD101">
        <v>1693515272</v>
      </c>
      <c r="FE101" t="s">
        <v>852</v>
      </c>
      <c r="FF101">
        <v>1693515264</v>
      </c>
      <c r="FG101">
        <v>1693515272</v>
      </c>
      <c r="FH101">
        <v>94</v>
      </c>
      <c r="FI101">
        <v>0.44400000000000001</v>
      </c>
      <c r="FJ101">
        <v>-0.16700000000000001</v>
      </c>
      <c r="FK101">
        <v>2.492</v>
      </c>
      <c r="FL101">
        <v>0.60299999999999998</v>
      </c>
      <c r="FM101">
        <v>400</v>
      </c>
      <c r="FN101">
        <v>23</v>
      </c>
      <c r="FO101">
        <v>0.1</v>
      </c>
      <c r="FP101">
        <v>0.06</v>
      </c>
      <c r="FQ101">
        <v>40.102970776034553</v>
      </c>
      <c r="FR101">
        <v>-0.1117842335887788</v>
      </c>
      <c r="FS101">
        <v>7.4806167283404529E-2</v>
      </c>
      <c r="FT101">
        <v>1</v>
      </c>
      <c r="FU101">
        <v>0.31749601797530269</v>
      </c>
      <c r="FV101">
        <v>4.3189814391306043E-2</v>
      </c>
      <c r="FW101">
        <v>3.628519677732458E-3</v>
      </c>
      <c r="FX101">
        <v>1</v>
      </c>
      <c r="FY101">
        <v>2</v>
      </c>
      <c r="FZ101">
        <v>2</v>
      </c>
      <c r="GA101" t="s">
        <v>421</v>
      </c>
      <c r="GB101">
        <v>3.11869</v>
      </c>
      <c r="GC101">
        <v>2.8650899999999999</v>
      </c>
      <c r="GD101">
        <v>8.3253800000000003E-2</v>
      </c>
      <c r="GE101">
        <v>9.5377100000000006E-2</v>
      </c>
      <c r="GF101">
        <v>0.12937499999999999</v>
      </c>
      <c r="GG101">
        <v>0.117966</v>
      </c>
      <c r="GH101">
        <v>27722.9</v>
      </c>
      <c r="GI101">
        <v>21271.200000000001</v>
      </c>
      <c r="GJ101">
        <v>29152.5</v>
      </c>
      <c r="GK101">
        <v>21914.7</v>
      </c>
      <c r="GL101">
        <v>33984.400000000001</v>
      </c>
      <c r="GM101">
        <v>26595.3</v>
      </c>
      <c r="GN101">
        <v>40452.5</v>
      </c>
      <c r="GO101">
        <v>31139</v>
      </c>
      <c r="GP101">
        <v>2.0289000000000001</v>
      </c>
      <c r="GQ101">
        <v>1.8048999999999999</v>
      </c>
      <c r="GR101">
        <v>8.8632100000000005E-2</v>
      </c>
      <c r="GS101">
        <v>0</v>
      </c>
      <c r="GT101">
        <v>28.58</v>
      </c>
      <c r="GU101">
        <v>999.9</v>
      </c>
      <c r="GV101">
        <v>31.4</v>
      </c>
      <c r="GW101">
        <v>43.7</v>
      </c>
      <c r="GX101">
        <v>28.434899999999999</v>
      </c>
      <c r="GY101">
        <v>61.473399999999998</v>
      </c>
      <c r="GZ101">
        <v>13.665900000000001</v>
      </c>
      <c r="HA101">
        <v>1</v>
      </c>
      <c r="HB101">
        <v>0.222409</v>
      </c>
      <c r="HC101">
        <v>0.84057700000000002</v>
      </c>
      <c r="HD101">
        <v>20.270900000000001</v>
      </c>
      <c r="HE101">
        <v>5.2346599999999999</v>
      </c>
      <c r="HF101">
        <v>11.974</v>
      </c>
      <c r="HG101">
        <v>4.9753999999999996</v>
      </c>
      <c r="HH101">
        <v>3.2839999999999998</v>
      </c>
      <c r="HI101">
        <v>9999</v>
      </c>
      <c r="HJ101">
        <v>9999</v>
      </c>
      <c r="HK101">
        <v>9999</v>
      </c>
      <c r="HL101">
        <v>999.9</v>
      </c>
      <c r="HM101">
        <v>1.8614200000000001</v>
      </c>
      <c r="HN101">
        <v>1.8631</v>
      </c>
      <c r="HO101">
        <v>1.8684400000000001</v>
      </c>
      <c r="HP101">
        <v>1.8592599999999999</v>
      </c>
      <c r="HQ101">
        <v>1.85754</v>
      </c>
      <c r="HR101">
        <v>1.86127</v>
      </c>
      <c r="HS101">
        <v>1.8650800000000001</v>
      </c>
      <c r="HT101">
        <v>1.86707</v>
      </c>
      <c r="HU101">
        <v>5</v>
      </c>
      <c r="HV101">
        <v>0</v>
      </c>
      <c r="HW101">
        <v>0</v>
      </c>
      <c r="HX101">
        <v>0</v>
      </c>
      <c r="HY101" t="s">
        <v>422</v>
      </c>
      <c r="HZ101" t="s">
        <v>423</v>
      </c>
      <c r="IA101" t="s">
        <v>424</v>
      </c>
      <c r="IB101" t="s">
        <v>424</v>
      </c>
      <c r="IC101" t="s">
        <v>424</v>
      </c>
      <c r="ID101" t="s">
        <v>424</v>
      </c>
      <c r="IE101">
        <v>0</v>
      </c>
      <c r="IF101">
        <v>100</v>
      </c>
      <c r="IG101">
        <v>100</v>
      </c>
      <c r="IH101">
        <v>2.488</v>
      </c>
      <c r="II101">
        <v>0.91159999999999997</v>
      </c>
      <c r="IJ101">
        <v>2.2808767426722212</v>
      </c>
      <c r="IK101">
        <v>1.118558698776514E-3</v>
      </c>
      <c r="IL101">
        <v>-1.6939696309573479E-6</v>
      </c>
      <c r="IM101">
        <v>5.4698917449866148E-10</v>
      </c>
      <c r="IN101">
        <v>1.9770414738851879E-2</v>
      </c>
      <c r="IO101">
        <v>-7.6058941998734366E-3</v>
      </c>
      <c r="IP101">
        <v>1.6984902717538061E-3</v>
      </c>
      <c r="IQ101">
        <v>-9.6352527008986976E-6</v>
      </c>
      <c r="IR101">
        <v>2</v>
      </c>
      <c r="IS101">
        <v>2021</v>
      </c>
      <c r="IT101">
        <v>2</v>
      </c>
      <c r="IU101">
        <v>40</v>
      </c>
      <c r="IV101">
        <v>0.6</v>
      </c>
      <c r="IW101">
        <v>0.5</v>
      </c>
      <c r="IX101">
        <v>1.02905</v>
      </c>
      <c r="IY101">
        <v>2.52441</v>
      </c>
      <c r="IZ101">
        <v>1.34399</v>
      </c>
      <c r="JA101">
        <v>2.2338900000000002</v>
      </c>
      <c r="JB101">
        <v>1.5918000000000001</v>
      </c>
      <c r="JC101">
        <v>2.49512</v>
      </c>
      <c r="JD101">
        <v>47.541699999999999</v>
      </c>
      <c r="JE101">
        <v>24.14</v>
      </c>
      <c r="JF101">
        <v>18</v>
      </c>
      <c r="JG101">
        <v>515.05499999999995</v>
      </c>
      <c r="JH101">
        <v>408.74099999999999</v>
      </c>
      <c r="JI101">
        <v>27.757300000000001</v>
      </c>
      <c r="JJ101">
        <v>30.375</v>
      </c>
      <c r="JK101">
        <v>30.000399999999999</v>
      </c>
      <c r="JL101">
        <v>30.350899999999999</v>
      </c>
      <c r="JM101">
        <v>30.322800000000001</v>
      </c>
      <c r="JN101">
        <v>20.682200000000002</v>
      </c>
      <c r="JO101">
        <v>12.4003</v>
      </c>
      <c r="JP101">
        <v>22.1906</v>
      </c>
      <c r="JQ101">
        <v>27.736599999999999</v>
      </c>
      <c r="JR101">
        <v>400</v>
      </c>
      <c r="JS101">
        <v>23.4695</v>
      </c>
      <c r="JT101">
        <v>99.389499999999998</v>
      </c>
      <c r="JU101">
        <v>98.379000000000005</v>
      </c>
    </row>
    <row r="102" spans="1:281" x14ac:dyDescent="0.25">
      <c r="A102">
        <v>86</v>
      </c>
      <c r="B102">
        <v>1693515408.0999999</v>
      </c>
      <c r="C102">
        <v>20481.5</v>
      </c>
      <c r="D102" t="s">
        <v>853</v>
      </c>
      <c r="E102" t="s">
        <v>854</v>
      </c>
      <c r="F102" t="s">
        <v>413</v>
      </c>
      <c r="G102" t="s">
        <v>565</v>
      </c>
      <c r="H102" t="s">
        <v>415</v>
      </c>
      <c r="I102" t="s">
        <v>415</v>
      </c>
      <c r="J102">
        <v>1693515408.0999999</v>
      </c>
      <c r="K102">
        <f t="shared" si="92"/>
        <v>4.5550388089187748E-3</v>
      </c>
      <c r="L102">
        <f t="shared" si="93"/>
        <v>4.5550388089187752</v>
      </c>
      <c r="M102">
        <f t="shared" si="94"/>
        <v>32.510712432261528</v>
      </c>
      <c r="N102">
        <f t="shared" si="95"/>
        <v>259.54700000000003</v>
      </c>
      <c r="O102">
        <f t="shared" si="96"/>
        <v>91.315753276908396</v>
      </c>
      <c r="P102">
        <f t="shared" si="97"/>
        <v>9.0950118060790412</v>
      </c>
      <c r="Q102">
        <f t="shared" si="98"/>
        <v>25.850775408642804</v>
      </c>
      <c r="R102">
        <f t="shared" si="99"/>
        <v>0.33382587165454064</v>
      </c>
      <c r="S102">
        <f t="shared" si="100"/>
        <v>2.9425814425550003</v>
      </c>
      <c r="T102">
        <f t="shared" si="101"/>
        <v>0.31412301926370573</v>
      </c>
      <c r="U102">
        <f t="shared" si="102"/>
        <v>0.19800013261495725</v>
      </c>
      <c r="V102">
        <f t="shared" si="103"/>
        <v>344.40929964463152</v>
      </c>
      <c r="W102">
        <f t="shared" si="104"/>
        <v>31.271447530911956</v>
      </c>
      <c r="X102">
        <f t="shared" si="105"/>
        <v>29.978899999999999</v>
      </c>
      <c r="Y102">
        <f t="shared" si="106"/>
        <v>4.2552889752672334</v>
      </c>
      <c r="Z102">
        <f t="shared" si="107"/>
        <v>65.55208470540434</v>
      </c>
      <c r="AA102">
        <f t="shared" si="108"/>
        <v>2.8626217650461201</v>
      </c>
      <c r="AB102">
        <f t="shared" si="109"/>
        <v>4.366942375533811</v>
      </c>
      <c r="AC102">
        <f t="shared" si="110"/>
        <v>1.3926672102211133</v>
      </c>
      <c r="AD102">
        <f t="shared" si="111"/>
        <v>-200.87721147331797</v>
      </c>
      <c r="AE102">
        <f t="shared" si="112"/>
        <v>71.642027550130834</v>
      </c>
      <c r="AF102">
        <f t="shared" si="113"/>
        <v>5.4244862466831067</v>
      </c>
      <c r="AG102">
        <f t="shared" si="114"/>
        <v>220.59860196812747</v>
      </c>
      <c r="AH102">
        <v>0</v>
      </c>
      <c r="AI102">
        <v>0</v>
      </c>
      <c r="AJ102">
        <f t="shared" si="115"/>
        <v>1</v>
      </c>
      <c r="AK102">
        <f t="shared" si="116"/>
        <v>0</v>
      </c>
      <c r="AL102">
        <f t="shared" si="117"/>
        <v>52641.00154065794</v>
      </c>
      <c r="AM102" t="s">
        <v>416</v>
      </c>
      <c r="AN102">
        <v>10366.9</v>
      </c>
      <c r="AO102">
        <v>993.59653846153856</v>
      </c>
      <c r="AP102">
        <v>3431.87</v>
      </c>
      <c r="AQ102">
        <f t="shared" si="118"/>
        <v>0.71047955241266758</v>
      </c>
      <c r="AR102">
        <v>-3.9894345373445681</v>
      </c>
      <c r="AS102" t="s">
        <v>855</v>
      </c>
      <c r="AT102">
        <v>10370.1</v>
      </c>
      <c r="AU102">
        <v>755.30407692307699</v>
      </c>
      <c r="AV102">
        <v>990.94861960596256</v>
      </c>
      <c r="AW102">
        <f t="shared" si="119"/>
        <v>0.23779693318164818</v>
      </c>
      <c r="AX102">
        <v>0.5</v>
      </c>
      <c r="AY102">
        <f t="shared" si="120"/>
        <v>1513.3610998223157</v>
      </c>
      <c r="AZ102">
        <f t="shared" si="121"/>
        <v>32.510712432261528</v>
      </c>
      <c r="BA102">
        <f t="shared" si="122"/>
        <v>179.9363141670764</v>
      </c>
      <c r="BB102">
        <f t="shared" si="123"/>
        <v>2.411859732214049E-2</v>
      </c>
      <c r="BC102">
        <f t="shared" si="124"/>
        <v>2.4632168934900349</v>
      </c>
      <c r="BD102">
        <f t="shared" si="125"/>
        <v>579.98165784511048</v>
      </c>
      <c r="BE102" t="s">
        <v>856</v>
      </c>
      <c r="BF102">
        <v>585.04</v>
      </c>
      <c r="BG102">
        <f t="shared" si="126"/>
        <v>585.04</v>
      </c>
      <c r="BH102">
        <f t="shared" si="127"/>
        <v>0.40961621175411367</v>
      </c>
      <c r="BI102">
        <f t="shared" si="128"/>
        <v>0.58053594159108635</v>
      </c>
      <c r="BJ102">
        <f t="shared" si="129"/>
        <v>0.85741733099413642</v>
      </c>
      <c r="BK102">
        <f t="shared" si="130"/>
        <v>-88.992357974514462</v>
      </c>
      <c r="BL102">
        <f t="shared" si="131"/>
        <v>1.0010859810834776</v>
      </c>
      <c r="BM102">
        <f t="shared" si="132"/>
        <v>0.44966889183498876</v>
      </c>
      <c r="BN102">
        <f t="shared" si="133"/>
        <v>0.5503311081650113</v>
      </c>
      <c r="BO102">
        <v>2319</v>
      </c>
      <c r="BP102">
        <v>290.00000000000011</v>
      </c>
      <c r="BQ102">
        <v>925.72</v>
      </c>
      <c r="BR102">
        <v>135</v>
      </c>
      <c r="BS102">
        <v>10370.1</v>
      </c>
      <c r="BT102">
        <v>923.29</v>
      </c>
      <c r="BU102">
        <v>2.4300000000000002</v>
      </c>
      <c r="BV102">
        <v>300.00000000000011</v>
      </c>
      <c r="BW102">
        <v>38.4</v>
      </c>
      <c r="BX102">
        <v>990.94861960596256</v>
      </c>
      <c r="BY102">
        <v>1.3509825380663609</v>
      </c>
      <c r="BZ102">
        <v>-70.161748246898881</v>
      </c>
      <c r="CA102">
        <v>1.145267321794156</v>
      </c>
      <c r="CB102">
        <v>0.99259469559433999</v>
      </c>
      <c r="CC102">
        <v>-1.1270442491657401E-2</v>
      </c>
      <c r="CD102">
        <v>289.99999999999989</v>
      </c>
      <c r="CE102">
        <v>918.41</v>
      </c>
      <c r="CF102">
        <v>795</v>
      </c>
      <c r="CG102">
        <v>10327</v>
      </c>
      <c r="CH102">
        <v>923.01</v>
      </c>
      <c r="CI102">
        <v>-4.5999999999999996</v>
      </c>
      <c r="CW102">
        <f t="shared" si="134"/>
        <v>1800.21</v>
      </c>
      <c r="CX102">
        <f t="shared" si="135"/>
        <v>1513.3610998223157</v>
      </c>
      <c r="CY102">
        <f t="shared" si="136"/>
        <v>0.84065808979081091</v>
      </c>
      <c r="CZ102">
        <f t="shared" si="137"/>
        <v>0.19131617958162186</v>
      </c>
      <c r="DA102">
        <v>6</v>
      </c>
      <c r="DB102">
        <v>0.5</v>
      </c>
      <c r="DC102" t="s">
        <v>419</v>
      </c>
      <c r="DD102">
        <v>2</v>
      </c>
      <c r="DE102">
        <v>1693515408.0999999</v>
      </c>
      <c r="DF102">
        <v>259.54700000000003</v>
      </c>
      <c r="DG102">
        <v>300.01400000000001</v>
      </c>
      <c r="DH102">
        <v>28.741299999999999</v>
      </c>
      <c r="DI102">
        <v>23.427700000000002</v>
      </c>
      <c r="DJ102">
        <v>257.315</v>
      </c>
      <c r="DK102">
        <v>27.824100000000001</v>
      </c>
      <c r="DL102">
        <v>499.56200000000001</v>
      </c>
      <c r="DM102">
        <v>99.501000000000005</v>
      </c>
      <c r="DN102">
        <v>9.8592399999999997E-2</v>
      </c>
      <c r="DO102">
        <v>30.430499999999999</v>
      </c>
      <c r="DP102">
        <v>29.978899999999999</v>
      </c>
      <c r="DQ102">
        <v>999.9</v>
      </c>
      <c r="DR102">
        <v>0</v>
      </c>
      <c r="DS102">
        <v>0</v>
      </c>
      <c r="DT102">
        <v>10125</v>
      </c>
      <c r="DU102">
        <v>0</v>
      </c>
      <c r="DV102">
        <v>98.477400000000003</v>
      </c>
      <c r="DW102">
        <v>-40.466799999999999</v>
      </c>
      <c r="DX102">
        <v>267.22699999999998</v>
      </c>
      <c r="DY102">
        <v>307.21100000000001</v>
      </c>
      <c r="DZ102">
        <v>5.3136400000000004</v>
      </c>
      <c r="EA102">
        <v>300.01400000000001</v>
      </c>
      <c r="EB102">
        <v>23.427700000000002</v>
      </c>
      <c r="EC102">
        <v>2.8597899999999998</v>
      </c>
      <c r="ED102">
        <v>2.33107</v>
      </c>
      <c r="EE102">
        <v>23.2333</v>
      </c>
      <c r="EF102">
        <v>19.892800000000001</v>
      </c>
      <c r="EG102">
        <v>1800.21</v>
      </c>
      <c r="EH102">
        <v>0.97800100000000001</v>
      </c>
      <c r="EI102">
        <v>2.1998899999999998E-2</v>
      </c>
      <c r="EJ102">
        <v>0</v>
      </c>
      <c r="EK102">
        <v>755.25099999999998</v>
      </c>
      <c r="EL102">
        <v>5.0002700000000004</v>
      </c>
      <c r="EM102">
        <v>14120.7</v>
      </c>
      <c r="EN102">
        <v>16250.5</v>
      </c>
      <c r="EO102">
        <v>47.436999999999998</v>
      </c>
      <c r="EP102">
        <v>48</v>
      </c>
      <c r="EQ102">
        <v>48.436999999999998</v>
      </c>
      <c r="ER102">
        <v>47.561999999999998</v>
      </c>
      <c r="ES102">
        <v>49.125</v>
      </c>
      <c r="ET102">
        <v>1755.72</v>
      </c>
      <c r="EU102">
        <v>39.49</v>
      </c>
      <c r="EV102">
        <v>0</v>
      </c>
      <c r="EW102">
        <v>103.7999999523163</v>
      </c>
      <c r="EX102">
        <v>0</v>
      </c>
      <c r="EY102">
        <v>755.30407692307699</v>
      </c>
      <c r="EZ102">
        <v>-2.218188036698403</v>
      </c>
      <c r="FA102">
        <v>-59.340170978601513</v>
      </c>
      <c r="FB102">
        <v>14127.365384615379</v>
      </c>
      <c r="FC102">
        <v>15</v>
      </c>
      <c r="FD102">
        <v>1693515376.5999999</v>
      </c>
      <c r="FE102" t="s">
        <v>857</v>
      </c>
      <c r="FF102">
        <v>1693515372.5</v>
      </c>
      <c r="FG102">
        <v>1693515376.5999999</v>
      </c>
      <c r="FH102">
        <v>95</v>
      </c>
      <c r="FI102">
        <v>-0.23400000000000001</v>
      </c>
      <c r="FJ102">
        <v>2E-3</v>
      </c>
      <c r="FK102">
        <v>2.2440000000000002</v>
      </c>
      <c r="FL102">
        <v>0.61699999999999999</v>
      </c>
      <c r="FM102">
        <v>300</v>
      </c>
      <c r="FN102">
        <v>23</v>
      </c>
      <c r="FO102">
        <v>0.14000000000000001</v>
      </c>
      <c r="FP102">
        <v>0.06</v>
      </c>
      <c r="FQ102">
        <v>32.532412256033112</v>
      </c>
      <c r="FR102">
        <v>-0.37732668644241008</v>
      </c>
      <c r="FS102">
        <v>8.2535613199306843E-2</v>
      </c>
      <c r="FT102">
        <v>1</v>
      </c>
      <c r="FU102">
        <v>0.33178105815913689</v>
      </c>
      <c r="FV102">
        <v>3.6029752794801091E-2</v>
      </c>
      <c r="FW102">
        <v>3.6323536960594181E-3</v>
      </c>
      <c r="FX102">
        <v>1</v>
      </c>
      <c r="FY102">
        <v>2</v>
      </c>
      <c r="FZ102">
        <v>2</v>
      </c>
      <c r="GA102" t="s">
        <v>421</v>
      </c>
      <c r="GB102">
        <v>3.1177899999999998</v>
      </c>
      <c r="GC102">
        <v>2.8648400000000001</v>
      </c>
      <c r="GD102">
        <v>6.5045199999999997E-2</v>
      </c>
      <c r="GE102">
        <v>7.5921100000000005E-2</v>
      </c>
      <c r="GF102">
        <v>0.12956500000000001</v>
      </c>
      <c r="GG102">
        <v>0.11763</v>
      </c>
      <c r="GH102">
        <v>28272.400000000001</v>
      </c>
      <c r="GI102">
        <v>21728.2</v>
      </c>
      <c r="GJ102">
        <v>29151.5</v>
      </c>
      <c r="GK102">
        <v>21914.3</v>
      </c>
      <c r="GL102">
        <v>33973.699999999997</v>
      </c>
      <c r="GM102">
        <v>26603.8</v>
      </c>
      <c r="GN102">
        <v>40450.699999999997</v>
      </c>
      <c r="GO102">
        <v>31138.799999999999</v>
      </c>
      <c r="GP102">
        <v>2.0293000000000001</v>
      </c>
      <c r="GQ102">
        <v>1.8042</v>
      </c>
      <c r="GR102">
        <v>8.5413500000000003E-2</v>
      </c>
      <c r="GS102">
        <v>0</v>
      </c>
      <c r="GT102">
        <v>28.587299999999999</v>
      </c>
      <c r="GU102">
        <v>999.9</v>
      </c>
      <c r="GV102">
        <v>31.3</v>
      </c>
      <c r="GW102">
        <v>43.8</v>
      </c>
      <c r="GX102">
        <v>28.493500000000001</v>
      </c>
      <c r="GY102">
        <v>60.909799999999997</v>
      </c>
      <c r="GZ102">
        <v>14.150600000000001</v>
      </c>
      <c r="HA102">
        <v>1</v>
      </c>
      <c r="HB102">
        <v>0.22259100000000001</v>
      </c>
      <c r="HC102">
        <v>0.34904099999999999</v>
      </c>
      <c r="HD102">
        <v>20.272500000000001</v>
      </c>
      <c r="HE102">
        <v>5.2310699999999999</v>
      </c>
      <c r="HF102">
        <v>11.974</v>
      </c>
      <c r="HG102">
        <v>4.9741999999999997</v>
      </c>
      <c r="HH102">
        <v>3.2831000000000001</v>
      </c>
      <c r="HI102">
        <v>9999</v>
      </c>
      <c r="HJ102">
        <v>9999</v>
      </c>
      <c r="HK102">
        <v>9999</v>
      </c>
      <c r="HL102">
        <v>999.9</v>
      </c>
      <c r="HM102">
        <v>1.8614200000000001</v>
      </c>
      <c r="HN102">
        <v>1.8631</v>
      </c>
      <c r="HO102">
        <v>1.8684400000000001</v>
      </c>
      <c r="HP102">
        <v>1.85928</v>
      </c>
      <c r="HQ102">
        <v>1.85754</v>
      </c>
      <c r="HR102">
        <v>1.86127</v>
      </c>
      <c r="HS102">
        <v>1.8650599999999999</v>
      </c>
      <c r="HT102">
        <v>1.86707</v>
      </c>
      <c r="HU102">
        <v>5</v>
      </c>
      <c r="HV102">
        <v>0</v>
      </c>
      <c r="HW102">
        <v>0</v>
      </c>
      <c r="HX102">
        <v>0</v>
      </c>
      <c r="HY102" t="s">
        <v>422</v>
      </c>
      <c r="HZ102" t="s">
        <v>423</v>
      </c>
      <c r="IA102" t="s">
        <v>424</v>
      </c>
      <c r="IB102" t="s">
        <v>424</v>
      </c>
      <c r="IC102" t="s">
        <v>424</v>
      </c>
      <c r="ID102" t="s">
        <v>424</v>
      </c>
      <c r="IE102">
        <v>0</v>
      </c>
      <c r="IF102">
        <v>100</v>
      </c>
      <c r="IG102">
        <v>100</v>
      </c>
      <c r="IH102">
        <v>2.2320000000000002</v>
      </c>
      <c r="II102">
        <v>0.91720000000000002</v>
      </c>
      <c r="IJ102">
        <v>2.04705594639865</v>
      </c>
      <c r="IK102">
        <v>1.118558698776514E-3</v>
      </c>
      <c r="IL102">
        <v>-1.6939696309573479E-6</v>
      </c>
      <c r="IM102">
        <v>5.4698917449866148E-10</v>
      </c>
      <c r="IN102">
        <v>2.143230019361464E-2</v>
      </c>
      <c r="IO102">
        <v>-7.6058941998734366E-3</v>
      </c>
      <c r="IP102">
        <v>1.6984902717538061E-3</v>
      </c>
      <c r="IQ102">
        <v>-9.6352527008986976E-6</v>
      </c>
      <c r="IR102">
        <v>2</v>
      </c>
      <c r="IS102">
        <v>2021</v>
      </c>
      <c r="IT102">
        <v>2</v>
      </c>
      <c r="IU102">
        <v>40</v>
      </c>
      <c r="IV102">
        <v>0.6</v>
      </c>
      <c r="IW102">
        <v>0.5</v>
      </c>
      <c r="IX102">
        <v>0.81787100000000001</v>
      </c>
      <c r="IY102">
        <v>2.5329600000000001</v>
      </c>
      <c r="IZ102">
        <v>1.34399</v>
      </c>
      <c r="JA102">
        <v>2.2338900000000002</v>
      </c>
      <c r="JB102">
        <v>1.5918000000000001</v>
      </c>
      <c r="JC102">
        <v>2.5</v>
      </c>
      <c r="JD102">
        <v>47.511699999999998</v>
      </c>
      <c r="JE102">
        <v>24.14</v>
      </c>
      <c r="JF102">
        <v>18</v>
      </c>
      <c r="JG102">
        <v>515.41300000000001</v>
      </c>
      <c r="JH102">
        <v>408.37200000000001</v>
      </c>
      <c r="JI102">
        <v>27.788799999999998</v>
      </c>
      <c r="JJ102">
        <v>30.3935</v>
      </c>
      <c r="JK102">
        <v>29.9999</v>
      </c>
      <c r="JL102">
        <v>30.3614</v>
      </c>
      <c r="JM102">
        <v>30.3307</v>
      </c>
      <c r="JN102">
        <v>16.4602</v>
      </c>
      <c r="JO102">
        <v>12.951599999999999</v>
      </c>
      <c r="JP102">
        <v>22.471699999999998</v>
      </c>
      <c r="JQ102">
        <v>27.787700000000001</v>
      </c>
      <c r="JR102">
        <v>300</v>
      </c>
      <c r="JS102">
        <v>23.3553</v>
      </c>
      <c r="JT102">
        <v>99.385400000000004</v>
      </c>
      <c r="JU102">
        <v>98.378</v>
      </c>
    </row>
    <row r="103" spans="1:281" x14ac:dyDescent="0.25">
      <c r="A103">
        <v>87</v>
      </c>
      <c r="B103">
        <v>1693515511.5999999</v>
      </c>
      <c r="C103">
        <v>20585</v>
      </c>
      <c r="D103" t="s">
        <v>858</v>
      </c>
      <c r="E103" t="s">
        <v>859</v>
      </c>
      <c r="F103" t="s">
        <v>413</v>
      </c>
      <c r="G103" t="s">
        <v>565</v>
      </c>
      <c r="H103" t="s">
        <v>415</v>
      </c>
      <c r="I103" t="s">
        <v>415</v>
      </c>
      <c r="J103">
        <v>1693515511.5999999</v>
      </c>
      <c r="K103">
        <f t="shared" si="92"/>
        <v>4.8254864659795322E-3</v>
      </c>
      <c r="L103">
        <f t="shared" si="93"/>
        <v>4.825486465979532</v>
      </c>
      <c r="M103">
        <f t="shared" si="94"/>
        <v>23.128777522269438</v>
      </c>
      <c r="N103">
        <f t="shared" si="95"/>
        <v>171.292</v>
      </c>
      <c r="O103">
        <f t="shared" si="96"/>
        <v>58.79030215024396</v>
      </c>
      <c r="P103">
        <f t="shared" si="97"/>
        <v>5.8553344074848059</v>
      </c>
      <c r="Q103">
        <f t="shared" si="98"/>
        <v>17.060159663131198</v>
      </c>
      <c r="R103">
        <f t="shared" si="99"/>
        <v>0.35624308812897371</v>
      </c>
      <c r="S103">
        <f t="shared" si="100"/>
        <v>2.9277121917628728</v>
      </c>
      <c r="T103">
        <f t="shared" si="101"/>
        <v>0.33379441234715895</v>
      </c>
      <c r="U103">
        <f t="shared" si="102"/>
        <v>0.210520440957634</v>
      </c>
      <c r="V103">
        <f t="shared" si="103"/>
        <v>344.40549964462758</v>
      </c>
      <c r="W103">
        <f t="shared" si="104"/>
        <v>31.232570672633788</v>
      </c>
      <c r="X103">
        <f t="shared" si="105"/>
        <v>29.987400000000001</v>
      </c>
      <c r="Y103">
        <f t="shared" si="106"/>
        <v>4.2573673136991612</v>
      </c>
      <c r="Z103">
        <f t="shared" si="107"/>
        <v>65.596518186879621</v>
      </c>
      <c r="AA103">
        <f t="shared" si="108"/>
        <v>2.8690592752021198</v>
      </c>
      <c r="AB103">
        <f t="shared" si="109"/>
        <v>4.3737981138394915</v>
      </c>
      <c r="AC103">
        <f t="shared" si="110"/>
        <v>1.3883080384970414</v>
      </c>
      <c r="AD103">
        <f t="shared" si="111"/>
        <v>-212.80395314969738</v>
      </c>
      <c r="AE103">
        <f t="shared" si="112"/>
        <v>74.263164660531203</v>
      </c>
      <c r="AF103">
        <f t="shared" si="113"/>
        <v>5.6525115328174902</v>
      </c>
      <c r="AG103">
        <f t="shared" si="114"/>
        <v>211.51722268827888</v>
      </c>
      <c r="AH103">
        <v>0</v>
      </c>
      <c r="AI103">
        <v>0</v>
      </c>
      <c r="AJ103">
        <f t="shared" si="115"/>
        <v>1</v>
      </c>
      <c r="AK103">
        <f t="shared" si="116"/>
        <v>0</v>
      </c>
      <c r="AL103">
        <f t="shared" si="117"/>
        <v>52211.279437293655</v>
      </c>
      <c r="AM103" t="s">
        <v>416</v>
      </c>
      <c r="AN103">
        <v>10366.9</v>
      </c>
      <c r="AO103">
        <v>993.59653846153856</v>
      </c>
      <c r="AP103">
        <v>3431.87</v>
      </c>
      <c r="AQ103">
        <f t="shared" si="118"/>
        <v>0.71047955241266758</v>
      </c>
      <c r="AR103">
        <v>-3.9894345373445681</v>
      </c>
      <c r="AS103" t="s">
        <v>860</v>
      </c>
      <c r="AT103">
        <v>10378.1</v>
      </c>
      <c r="AU103">
        <v>756.3250384615385</v>
      </c>
      <c r="AV103">
        <v>933.21636424037536</v>
      </c>
      <c r="AW103">
        <f t="shared" si="119"/>
        <v>0.18955017566888022</v>
      </c>
      <c r="AX103">
        <v>0.5</v>
      </c>
      <c r="AY103">
        <f t="shared" si="120"/>
        <v>1513.3442998223138</v>
      </c>
      <c r="AZ103">
        <f t="shared" si="121"/>
        <v>23.128777522269438</v>
      </c>
      <c r="BA103">
        <f t="shared" si="122"/>
        <v>143.42733893940905</v>
      </c>
      <c r="BB103">
        <f t="shared" si="123"/>
        <v>1.791939353311605E-2</v>
      </c>
      <c r="BC103">
        <f t="shared" si="124"/>
        <v>2.6774644460864043</v>
      </c>
      <c r="BD103">
        <f t="shared" si="125"/>
        <v>559.71571556521155</v>
      </c>
      <c r="BE103" t="s">
        <v>861</v>
      </c>
      <c r="BF103">
        <v>579.03</v>
      </c>
      <c r="BG103">
        <f t="shared" si="126"/>
        <v>579.03</v>
      </c>
      <c r="BH103">
        <f t="shared" si="127"/>
        <v>0.37953295485627059</v>
      </c>
      <c r="BI103">
        <f t="shared" si="128"/>
        <v>0.49943008438005865</v>
      </c>
      <c r="BJ103">
        <f t="shared" si="129"/>
        <v>0.87584779930161683</v>
      </c>
      <c r="BK103">
        <f t="shared" si="130"/>
        <v>-2.929625958529225</v>
      </c>
      <c r="BL103">
        <f t="shared" si="131"/>
        <v>1.0247634956347618</v>
      </c>
      <c r="BM103">
        <f t="shared" si="132"/>
        <v>0.38235545176029678</v>
      </c>
      <c r="BN103">
        <f t="shared" si="133"/>
        <v>0.61764454823970327</v>
      </c>
      <c r="BO103">
        <v>2321</v>
      </c>
      <c r="BP103">
        <v>290.00000000000011</v>
      </c>
      <c r="BQ103">
        <v>884.14</v>
      </c>
      <c r="BR103">
        <v>95</v>
      </c>
      <c r="BS103">
        <v>10378.1</v>
      </c>
      <c r="BT103">
        <v>881.96</v>
      </c>
      <c r="BU103">
        <v>2.1800000000000002</v>
      </c>
      <c r="BV103">
        <v>300.00000000000011</v>
      </c>
      <c r="BW103">
        <v>38.4</v>
      </c>
      <c r="BX103">
        <v>933.21636424037536</v>
      </c>
      <c r="BY103">
        <v>1.42844029766126</v>
      </c>
      <c r="BZ103">
        <v>-53.191663107727102</v>
      </c>
      <c r="CA103">
        <v>1.210880707743172</v>
      </c>
      <c r="CB103">
        <v>0.98569732759164164</v>
      </c>
      <c r="CC103">
        <v>-1.1269952614015571E-2</v>
      </c>
      <c r="CD103">
        <v>289.99999999999989</v>
      </c>
      <c r="CE103">
        <v>879.63</v>
      </c>
      <c r="CF103">
        <v>665</v>
      </c>
      <c r="CG103">
        <v>10336.5</v>
      </c>
      <c r="CH103">
        <v>881.76</v>
      </c>
      <c r="CI103">
        <v>-2.13</v>
      </c>
      <c r="CW103">
        <f t="shared" si="134"/>
        <v>1800.19</v>
      </c>
      <c r="CX103">
        <f t="shared" si="135"/>
        <v>1513.3442998223138</v>
      </c>
      <c r="CY103">
        <f t="shared" si="136"/>
        <v>0.8406580971021469</v>
      </c>
      <c r="CZ103">
        <f t="shared" si="137"/>
        <v>0.19131619420429374</v>
      </c>
      <c r="DA103">
        <v>6</v>
      </c>
      <c r="DB103">
        <v>0.5</v>
      </c>
      <c r="DC103" t="s">
        <v>419</v>
      </c>
      <c r="DD103">
        <v>2</v>
      </c>
      <c r="DE103">
        <v>1693515511.5999999</v>
      </c>
      <c r="DF103">
        <v>171.292</v>
      </c>
      <c r="DG103">
        <v>200.01400000000001</v>
      </c>
      <c r="DH103">
        <v>28.806699999999999</v>
      </c>
      <c r="DI103">
        <v>23.1877</v>
      </c>
      <c r="DJ103">
        <v>169.309</v>
      </c>
      <c r="DK103">
        <v>27.890799999999999</v>
      </c>
      <c r="DL103">
        <v>500.42500000000001</v>
      </c>
      <c r="DM103">
        <v>99.497299999999996</v>
      </c>
      <c r="DN103">
        <v>9.9643599999999999E-2</v>
      </c>
      <c r="DO103">
        <v>30.457899999999999</v>
      </c>
      <c r="DP103">
        <v>29.987400000000001</v>
      </c>
      <c r="DQ103">
        <v>999.9</v>
      </c>
      <c r="DR103">
        <v>0</v>
      </c>
      <c r="DS103">
        <v>0</v>
      </c>
      <c r="DT103">
        <v>10040</v>
      </c>
      <c r="DU103">
        <v>0</v>
      </c>
      <c r="DV103">
        <v>99.187299999999993</v>
      </c>
      <c r="DW103">
        <v>-28.722300000000001</v>
      </c>
      <c r="DX103">
        <v>176.37299999999999</v>
      </c>
      <c r="DY103">
        <v>204.762</v>
      </c>
      <c r="DZ103">
        <v>5.6189900000000002</v>
      </c>
      <c r="EA103">
        <v>200.01400000000001</v>
      </c>
      <c r="EB103">
        <v>23.1877</v>
      </c>
      <c r="EC103">
        <v>2.86619</v>
      </c>
      <c r="ED103">
        <v>2.3071100000000002</v>
      </c>
      <c r="EE103">
        <v>23.270299999999999</v>
      </c>
      <c r="EF103">
        <v>19.726099999999999</v>
      </c>
      <c r="EG103">
        <v>1800.19</v>
      </c>
      <c r="EH103">
        <v>0.97800100000000001</v>
      </c>
      <c r="EI103">
        <v>2.1999000000000001E-2</v>
      </c>
      <c r="EJ103">
        <v>0</v>
      </c>
      <c r="EK103">
        <v>755.79100000000005</v>
      </c>
      <c r="EL103">
        <v>5.0002700000000004</v>
      </c>
      <c r="EM103">
        <v>14140</v>
      </c>
      <c r="EN103">
        <v>16250.4</v>
      </c>
      <c r="EO103">
        <v>47.5</v>
      </c>
      <c r="EP103">
        <v>48.061999999999998</v>
      </c>
      <c r="EQ103">
        <v>48.436999999999998</v>
      </c>
      <c r="ER103">
        <v>47.625</v>
      </c>
      <c r="ES103">
        <v>49.125</v>
      </c>
      <c r="ET103">
        <v>1755.7</v>
      </c>
      <c r="EU103">
        <v>39.49</v>
      </c>
      <c r="EV103">
        <v>0</v>
      </c>
      <c r="EW103">
        <v>101.3999998569489</v>
      </c>
      <c r="EX103">
        <v>0</v>
      </c>
      <c r="EY103">
        <v>756.3250384615385</v>
      </c>
      <c r="EZ103">
        <v>-3.7103247773421191</v>
      </c>
      <c r="FA103">
        <v>-55.647863286166789</v>
      </c>
      <c r="FB103">
        <v>14146.473076923079</v>
      </c>
      <c r="FC103">
        <v>15</v>
      </c>
      <c r="FD103">
        <v>1693515480.5999999</v>
      </c>
      <c r="FE103" t="s">
        <v>862</v>
      </c>
      <c r="FF103">
        <v>1693515470.5999999</v>
      </c>
      <c r="FG103">
        <v>1693515480.5999999</v>
      </c>
      <c r="FH103">
        <v>96</v>
      </c>
      <c r="FI103">
        <v>-0.20699999999999999</v>
      </c>
      <c r="FJ103">
        <v>-6.0000000000000001E-3</v>
      </c>
      <c r="FK103">
        <v>1.9990000000000001</v>
      </c>
      <c r="FL103">
        <v>0.6</v>
      </c>
      <c r="FM103">
        <v>200</v>
      </c>
      <c r="FN103">
        <v>23</v>
      </c>
      <c r="FO103">
        <v>0.15</v>
      </c>
      <c r="FP103">
        <v>0.05</v>
      </c>
      <c r="FQ103">
        <v>22.931259728402331</v>
      </c>
      <c r="FR103">
        <v>0.24418525352823511</v>
      </c>
      <c r="FS103">
        <v>6.5694851708566843E-2</v>
      </c>
      <c r="FT103">
        <v>1</v>
      </c>
      <c r="FU103">
        <v>0.35102644629934071</v>
      </c>
      <c r="FV103">
        <v>3.812766459065578E-2</v>
      </c>
      <c r="FW103">
        <v>3.300138869229812E-3</v>
      </c>
      <c r="FX103">
        <v>1</v>
      </c>
      <c r="FY103">
        <v>2</v>
      </c>
      <c r="FZ103">
        <v>2</v>
      </c>
      <c r="GA103" t="s">
        <v>421</v>
      </c>
      <c r="GB103">
        <v>3.1187200000000002</v>
      </c>
      <c r="GC103">
        <v>2.8651599999999999</v>
      </c>
      <c r="GD103">
        <v>4.5026900000000002E-2</v>
      </c>
      <c r="GE103">
        <v>5.3767599999999999E-2</v>
      </c>
      <c r="GF103">
        <v>0.129775</v>
      </c>
      <c r="GG103">
        <v>0.116783</v>
      </c>
      <c r="GH103">
        <v>28876.1</v>
      </c>
      <c r="GI103">
        <v>22248.6</v>
      </c>
      <c r="GJ103">
        <v>29149.8</v>
      </c>
      <c r="GK103">
        <v>21913.7</v>
      </c>
      <c r="GL103">
        <v>33961.599999999999</v>
      </c>
      <c r="GM103">
        <v>26627.200000000001</v>
      </c>
      <c r="GN103">
        <v>40448.800000000003</v>
      </c>
      <c r="GO103">
        <v>31138.5</v>
      </c>
      <c r="GP103">
        <v>2.0289999999999999</v>
      </c>
      <c r="GQ103">
        <v>1.8028</v>
      </c>
      <c r="GR103">
        <v>8.5487999999999995E-2</v>
      </c>
      <c r="GS103">
        <v>0</v>
      </c>
      <c r="GT103">
        <v>28.5946</v>
      </c>
      <c r="GU103">
        <v>999.9</v>
      </c>
      <c r="GV103">
        <v>31.1</v>
      </c>
      <c r="GW103">
        <v>43.8</v>
      </c>
      <c r="GX103">
        <v>28.310700000000001</v>
      </c>
      <c r="GY103">
        <v>61.529800000000002</v>
      </c>
      <c r="GZ103">
        <v>13.6378</v>
      </c>
      <c r="HA103">
        <v>1</v>
      </c>
      <c r="HB103">
        <v>0.223638</v>
      </c>
      <c r="HC103">
        <v>0.27429199999999998</v>
      </c>
      <c r="HD103">
        <v>20.2729</v>
      </c>
      <c r="HE103">
        <v>5.22987</v>
      </c>
      <c r="HF103">
        <v>11.974</v>
      </c>
      <c r="HG103">
        <v>4.9741999999999997</v>
      </c>
      <c r="HH103">
        <v>3.2839999999999998</v>
      </c>
      <c r="HI103">
        <v>9999</v>
      </c>
      <c r="HJ103">
        <v>9999</v>
      </c>
      <c r="HK103">
        <v>9999</v>
      </c>
      <c r="HL103">
        <v>999.9</v>
      </c>
      <c r="HM103">
        <v>1.8614200000000001</v>
      </c>
      <c r="HN103">
        <v>1.8631</v>
      </c>
      <c r="HO103">
        <v>1.8684400000000001</v>
      </c>
      <c r="HP103">
        <v>1.8592500000000001</v>
      </c>
      <c r="HQ103">
        <v>1.8574900000000001</v>
      </c>
      <c r="HR103">
        <v>1.8612500000000001</v>
      </c>
      <c r="HS103">
        <v>1.8650800000000001</v>
      </c>
      <c r="HT103">
        <v>1.86707</v>
      </c>
      <c r="HU103">
        <v>5</v>
      </c>
      <c r="HV103">
        <v>0</v>
      </c>
      <c r="HW103">
        <v>0</v>
      </c>
      <c r="HX103">
        <v>0</v>
      </c>
      <c r="HY103" t="s">
        <v>422</v>
      </c>
      <c r="HZ103" t="s">
        <v>423</v>
      </c>
      <c r="IA103" t="s">
        <v>424</v>
      </c>
      <c r="IB103" t="s">
        <v>424</v>
      </c>
      <c r="IC103" t="s">
        <v>424</v>
      </c>
      <c r="ID103" t="s">
        <v>424</v>
      </c>
      <c r="IE103">
        <v>0</v>
      </c>
      <c r="IF103">
        <v>100</v>
      </c>
      <c r="IG103">
        <v>100</v>
      </c>
      <c r="IH103">
        <v>1.9830000000000001</v>
      </c>
      <c r="II103">
        <v>0.91590000000000005</v>
      </c>
      <c r="IJ103">
        <v>1.8399501093526001</v>
      </c>
      <c r="IK103">
        <v>1.118558698776514E-3</v>
      </c>
      <c r="IL103">
        <v>-1.6939696309573479E-6</v>
      </c>
      <c r="IM103">
        <v>5.4698917449866148E-10</v>
      </c>
      <c r="IN103">
        <v>1.579722757007818E-2</v>
      </c>
      <c r="IO103">
        <v>-7.6058941998734366E-3</v>
      </c>
      <c r="IP103">
        <v>1.6984902717538061E-3</v>
      </c>
      <c r="IQ103">
        <v>-9.6352527008986976E-6</v>
      </c>
      <c r="IR103">
        <v>2</v>
      </c>
      <c r="IS103">
        <v>2021</v>
      </c>
      <c r="IT103">
        <v>2</v>
      </c>
      <c r="IU103">
        <v>40</v>
      </c>
      <c r="IV103">
        <v>0.7</v>
      </c>
      <c r="IW103">
        <v>0.5</v>
      </c>
      <c r="IX103">
        <v>0.59936500000000004</v>
      </c>
      <c r="IY103">
        <v>2.5561500000000001</v>
      </c>
      <c r="IZ103">
        <v>1.34399</v>
      </c>
      <c r="JA103">
        <v>2.2326700000000002</v>
      </c>
      <c r="JB103">
        <v>1.5918000000000001</v>
      </c>
      <c r="JC103">
        <v>2.3742700000000001</v>
      </c>
      <c r="JD103">
        <v>47.511699999999998</v>
      </c>
      <c r="JE103">
        <v>24.1313</v>
      </c>
      <c r="JF103">
        <v>18</v>
      </c>
      <c r="JG103">
        <v>515.28700000000003</v>
      </c>
      <c r="JH103">
        <v>407.57499999999999</v>
      </c>
      <c r="JI103">
        <v>27.898399999999999</v>
      </c>
      <c r="JJ103">
        <v>30.401399999999999</v>
      </c>
      <c r="JK103">
        <v>29.999700000000001</v>
      </c>
      <c r="JL103">
        <v>30.369199999999999</v>
      </c>
      <c r="JM103">
        <v>30.3385</v>
      </c>
      <c r="JN103">
        <v>12.060499999999999</v>
      </c>
      <c r="JO103">
        <v>13.502800000000001</v>
      </c>
      <c r="JP103">
        <v>22.3672</v>
      </c>
      <c r="JQ103">
        <v>27.91</v>
      </c>
      <c r="JR103">
        <v>200</v>
      </c>
      <c r="JS103">
        <v>23.096900000000002</v>
      </c>
      <c r="JT103">
        <v>99.380300000000005</v>
      </c>
      <c r="JU103">
        <v>98.376400000000004</v>
      </c>
    </row>
    <row r="104" spans="1:281" x14ac:dyDescent="0.25">
      <c r="A104">
        <v>88</v>
      </c>
      <c r="B104">
        <v>1693515618.0999999</v>
      </c>
      <c r="C104">
        <v>20691.5</v>
      </c>
      <c r="D104" t="s">
        <v>863</v>
      </c>
      <c r="E104" t="s">
        <v>864</v>
      </c>
      <c r="F104" t="s">
        <v>413</v>
      </c>
      <c r="G104" t="s">
        <v>565</v>
      </c>
      <c r="H104" t="s">
        <v>415</v>
      </c>
      <c r="I104" t="s">
        <v>415</v>
      </c>
      <c r="J104">
        <v>1693515618.0999999</v>
      </c>
      <c r="K104">
        <f t="shared" si="92"/>
        <v>5.2253469864850756E-3</v>
      </c>
      <c r="L104">
        <f t="shared" si="93"/>
        <v>5.2253469864850759</v>
      </c>
      <c r="M104">
        <f t="shared" si="94"/>
        <v>14.736566843783818</v>
      </c>
      <c r="N104">
        <f t="shared" si="95"/>
        <v>101.77500000000001</v>
      </c>
      <c r="O104">
        <f t="shared" si="96"/>
        <v>35.600732279916727</v>
      </c>
      <c r="P104">
        <f t="shared" si="97"/>
        <v>3.5458662075240945</v>
      </c>
      <c r="Q104">
        <f t="shared" si="98"/>
        <v>10.136885118915</v>
      </c>
      <c r="R104">
        <f t="shared" si="99"/>
        <v>0.3878789314706691</v>
      </c>
      <c r="S104">
        <f t="shared" si="100"/>
        <v>2.9277791660548087</v>
      </c>
      <c r="T104">
        <f t="shared" si="101"/>
        <v>0.36142547555846377</v>
      </c>
      <c r="U104">
        <f t="shared" si="102"/>
        <v>0.22811714127280019</v>
      </c>
      <c r="V104">
        <f t="shared" si="103"/>
        <v>344.40359964462561</v>
      </c>
      <c r="W104">
        <f t="shared" si="104"/>
        <v>31.201709500111683</v>
      </c>
      <c r="X104">
        <f t="shared" si="105"/>
        <v>30.027200000000001</v>
      </c>
      <c r="Y104">
        <f t="shared" si="106"/>
        <v>4.2671106011248847</v>
      </c>
      <c r="Z104">
        <f t="shared" si="107"/>
        <v>65.54426687898075</v>
      </c>
      <c r="AA104">
        <f t="shared" si="108"/>
        <v>2.8787757728372596</v>
      </c>
      <c r="AB104">
        <f t="shared" si="109"/>
        <v>4.3921091956868743</v>
      </c>
      <c r="AC104">
        <f t="shared" si="110"/>
        <v>1.3883348282876251</v>
      </c>
      <c r="AD104">
        <f t="shared" si="111"/>
        <v>-230.43780210399183</v>
      </c>
      <c r="AE104">
        <f t="shared" si="112"/>
        <v>79.505232192654475</v>
      </c>
      <c r="AF104">
        <f t="shared" si="113"/>
        <v>6.0547488668141085</v>
      </c>
      <c r="AG104">
        <f t="shared" si="114"/>
        <v>199.5257786001024</v>
      </c>
      <c r="AH104">
        <v>0</v>
      </c>
      <c r="AI104">
        <v>0</v>
      </c>
      <c r="AJ104">
        <f t="shared" si="115"/>
        <v>1</v>
      </c>
      <c r="AK104">
        <f t="shared" si="116"/>
        <v>0</v>
      </c>
      <c r="AL104">
        <f t="shared" si="117"/>
        <v>52200.716056934289</v>
      </c>
      <c r="AM104" t="s">
        <v>416</v>
      </c>
      <c r="AN104">
        <v>10366.9</v>
      </c>
      <c r="AO104">
        <v>993.59653846153856</v>
      </c>
      <c r="AP104">
        <v>3431.87</v>
      </c>
      <c r="AQ104">
        <f t="shared" si="118"/>
        <v>0.71047955241266758</v>
      </c>
      <c r="AR104">
        <v>-3.9894345373445681</v>
      </c>
      <c r="AS104" t="s">
        <v>865</v>
      </c>
      <c r="AT104">
        <v>10358.799999999999</v>
      </c>
      <c r="AU104">
        <v>763.68632000000002</v>
      </c>
      <c r="AV104">
        <v>885.13558036186043</v>
      </c>
      <c r="AW104">
        <f t="shared" si="119"/>
        <v>0.13720978238408355</v>
      </c>
      <c r="AX104">
        <v>0.5</v>
      </c>
      <c r="AY104">
        <f t="shared" si="120"/>
        <v>1513.3358998223125</v>
      </c>
      <c r="AZ104">
        <f t="shared" si="121"/>
        <v>14.736566843783818</v>
      </c>
      <c r="BA104">
        <f t="shared" si="122"/>
        <v>103.82224474432037</v>
      </c>
      <c r="BB104">
        <f t="shared" si="123"/>
        <v>1.2373988737944489E-2</v>
      </c>
      <c r="BC104">
        <f t="shared" si="124"/>
        <v>2.8772252253117943</v>
      </c>
      <c r="BD104">
        <f t="shared" si="125"/>
        <v>542.05571064015135</v>
      </c>
      <c r="BE104" t="s">
        <v>866</v>
      </c>
      <c r="BF104">
        <v>578.69000000000005</v>
      </c>
      <c r="BG104">
        <f t="shared" si="126"/>
        <v>578.69000000000005</v>
      </c>
      <c r="BH104">
        <f t="shared" si="127"/>
        <v>0.34621315328503632</v>
      </c>
      <c r="BI104">
        <f t="shared" si="128"/>
        <v>0.39631591429202334</v>
      </c>
      <c r="BJ104">
        <f t="shared" si="129"/>
        <v>0.89259507624409951</v>
      </c>
      <c r="BK104">
        <f t="shared" si="130"/>
        <v>-1.1197509453147716</v>
      </c>
      <c r="BL104">
        <f t="shared" si="131"/>
        <v>1.0444826881851239</v>
      </c>
      <c r="BM104">
        <f t="shared" si="132"/>
        <v>0.30031185636748214</v>
      </c>
      <c r="BN104">
        <f t="shared" si="133"/>
        <v>0.69968814363251786</v>
      </c>
      <c r="BO104">
        <v>2323</v>
      </c>
      <c r="BP104">
        <v>290.00000000000011</v>
      </c>
      <c r="BQ104">
        <v>852.61</v>
      </c>
      <c r="BR104">
        <v>195</v>
      </c>
      <c r="BS104">
        <v>10358.799999999999</v>
      </c>
      <c r="BT104">
        <v>851.52</v>
      </c>
      <c r="BU104">
        <v>1.0900000000000001</v>
      </c>
      <c r="BV104">
        <v>300.00000000000011</v>
      </c>
      <c r="BW104">
        <v>38.4</v>
      </c>
      <c r="BX104">
        <v>885.13558036186043</v>
      </c>
      <c r="BY104">
        <v>0.90936556081233066</v>
      </c>
      <c r="BZ104">
        <v>-34.824384194074078</v>
      </c>
      <c r="CA104">
        <v>0.77084287748237756</v>
      </c>
      <c r="CB104">
        <v>0.98646665116865151</v>
      </c>
      <c r="CC104">
        <v>-1.126944783092325E-2</v>
      </c>
      <c r="CD104">
        <v>289.99999999999989</v>
      </c>
      <c r="CE104">
        <v>848.99</v>
      </c>
      <c r="CF104">
        <v>695</v>
      </c>
      <c r="CG104">
        <v>10333.5</v>
      </c>
      <c r="CH104">
        <v>851.44</v>
      </c>
      <c r="CI104">
        <v>-2.4500000000000002</v>
      </c>
      <c r="CW104">
        <f t="shared" si="134"/>
        <v>1800.18</v>
      </c>
      <c r="CX104">
        <f t="shared" si="135"/>
        <v>1513.3358998223125</v>
      </c>
      <c r="CY104">
        <f t="shared" si="136"/>
        <v>0.84065810075787561</v>
      </c>
      <c r="CZ104">
        <f t="shared" si="137"/>
        <v>0.19131620151575154</v>
      </c>
      <c r="DA104">
        <v>6</v>
      </c>
      <c r="DB104">
        <v>0.5</v>
      </c>
      <c r="DC104" t="s">
        <v>419</v>
      </c>
      <c r="DD104">
        <v>2</v>
      </c>
      <c r="DE104">
        <v>1693515618.0999999</v>
      </c>
      <c r="DF104">
        <v>101.77500000000001</v>
      </c>
      <c r="DG104">
        <v>120.095</v>
      </c>
      <c r="DH104">
        <v>28.903099999999998</v>
      </c>
      <c r="DI104">
        <v>22.814599999999999</v>
      </c>
      <c r="DJ104">
        <v>99.860500000000002</v>
      </c>
      <c r="DK104">
        <v>27.9878</v>
      </c>
      <c r="DL104">
        <v>500.05599999999998</v>
      </c>
      <c r="DM104">
        <v>99.501099999999994</v>
      </c>
      <c r="DN104">
        <v>9.9834599999999996E-2</v>
      </c>
      <c r="DO104">
        <v>30.530899999999999</v>
      </c>
      <c r="DP104">
        <v>30.027200000000001</v>
      </c>
      <c r="DQ104">
        <v>999.9</v>
      </c>
      <c r="DR104">
        <v>0</v>
      </c>
      <c r="DS104">
        <v>0</v>
      </c>
      <c r="DT104">
        <v>10040</v>
      </c>
      <c r="DU104">
        <v>0</v>
      </c>
      <c r="DV104">
        <v>98.061800000000005</v>
      </c>
      <c r="DW104">
        <v>-18.319900000000001</v>
      </c>
      <c r="DX104">
        <v>104.804</v>
      </c>
      <c r="DY104">
        <v>122.899</v>
      </c>
      <c r="DZ104">
        <v>6.0884299999999998</v>
      </c>
      <c r="EA104">
        <v>120.095</v>
      </c>
      <c r="EB104">
        <v>22.814599999999999</v>
      </c>
      <c r="EC104">
        <v>2.8758900000000001</v>
      </c>
      <c r="ED104">
        <v>2.2700800000000001</v>
      </c>
      <c r="EE104">
        <v>23.3263</v>
      </c>
      <c r="EF104">
        <v>19.465599999999998</v>
      </c>
      <c r="EG104">
        <v>1800.18</v>
      </c>
      <c r="EH104">
        <v>0.97800100000000001</v>
      </c>
      <c r="EI104">
        <v>2.1999000000000001E-2</v>
      </c>
      <c r="EJ104">
        <v>0</v>
      </c>
      <c r="EK104">
        <v>763.13900000000001</v>
      </c>
      <c r="EL104">
        <v>5.0002700000000004</v>
      </c>
      <c r="EM104">
        <v>14276.7</v>
      </c>
      <c r="EN104">
        <v>16250.2</v>
      </c>
      <c r="EO104">
        <v>47.561999999999998</v>
      </c>
      <c r="EP104">
        <v>48.061999999999998</v>
      </c>
      <c r="EQ104">
        <v>48.436999999999998</v>
      </c>
      <c r="ER104">
        <v>47.686999999999998</v>
      </c>
      <c r="ES104">
        <v>49.186999999999998</v>
      </c>
      <c r="ET104">
        <v>1755.69</v>
      </c>
      <c r="EU104">
        <v>39.49</v>
      </c>
      <c r="EV104">
        <v>0</v>
      </c>
      <c r="EW104">
        <v>104.5999999046326</v>
      </c>
      <c r="EX104">
        <v>0</v>
      </c>
      <c r="EY104">
        <v>763.68632000000002</v>
      </c>
      <c r="EZ104">
        <v>-3.4597692228170418</v>
      </c>
      <c r="FA104">
        <v>-49.53076912652206</v>
      </c>
      <c r="FB104">
        <v>14279.04</v>
      </c>
      <c r="FC104">
        <v>15</v>
      </c>
      <c r="FD104">
        <v>1693515588.0999999</v>
      </c>
      <c r="FE104" t="s">
        <v>867</v>
      </c>
      <c r="FF104">
        <v>1693515585.5999999</v>
      </c>
      <c r="FG104">
        <v>1693515588.0999999</v>
      </c>
      <c r="FH104">
        <v>97</v>
      </c>
      <c r="FI104">
        <v>-2.1000000000000001E-2</v>
      </c>
      <c r="FJ104">
        <v>-7.0000000000000001E-3</v>
      </c>
      <c r="FK104">
        <v>1.929</v>
      </c>
      <c r="FL104">
        <v>0.57499999999999996</v>
      </c>
      <c r="FM104">
        <v>120</v>
      </c>
      <c r="FN104">
        <v>23</v>
      </c>
      <c r="FO104">
        <v>0.28000000000000003</v>
      </c>
      <c r="FP104">
        <v>0.04</v>
      </c>
      <c r="FQ104">
        <v>14.585288391701869</v>
      </c>
      <c r="FR104">
        <v>0.4458916379717463</v>
      </c>
      <c r="FS104">
        <v>5.7552474835293688E-2</v>
      </c>
      <c r="FT104">
        <v>1</v>
      </c>
      <c r="FU104">
        <v>0.38579653254054769</v>
      </c>
      <c r="FV104">
        <v>4.5579878547402877E-2</v>
      </c>
      <c r="FW104">
        <v>4.0613008028160761E-3</v>
      </c>
      <c r="FX104">
        <v>1</v>
      </c>
      <c r="FY104">
        <v>2</v>
      </c>
      <c r="FZ104">
        <v>2</v>
      </c>
      <c r="GA104" t="s">
        <v>421</v>
      </c>
      <c r="GB104">
        <v>3.1182099999999999</v>
      </c>
      <c r="GC104">
        <v>2.8653400000000002</v>
      </c>
      <c r="GD104">
        <v>2.7461200000000002E-2</v>
      </c>
      <c r="GE104">
        <v>3.3704999999999999E-2</v>
      </c>
      <c r="GF104">
        <v>0.13009499999999999</v>
      </c>
      <c r="GG104">
        <v>0.11547300000000001</v>
      </c>
      <c r="GH104">
        <v>29408.1</v>
      </c>
      <c r="GI104">
        <v>22721.599999999999</v>
      </c>
      <c r="GJ104">
        <v>29150.6</v>
      </c>
      <c r="GK104">
        <v>21915</v>
      </c>
      <c r="GL104">
        <v>33947.4</v>
      </c>
      <c r="GM104">
        <v>26666.2</v>
      </c>
      <c r="GN104">
        <v>40449.199999999997</v>
      </c>
      <c r="GO104">
        <v>31139.9</v>
      </c>
      <c r="GP104">
        <v>2.0293999999999999</v>
      </c>
      <c r="GQ104">
        <v>1.8022</v>
      </c>
      <c r="GR104">
        <v>8.6277699999999999E-2</v>
      </c>
      <c r="GS104">
        <v>0</v>
      </c>
      <c r="GT104">
        <v>28.621600000000001</v>
      </c>
      <c r="GU104">
        <v>999.9</v>
      </c>
      <c r="GV104">
        <v>30.9</v>
      </c>
      <c r="GW104">
        <v>43.9</v>
      </c>
      <c r="GX104">
        <v>28.274999999999999</v>
      </c>
      <c r="GY104">
        <v>61.149700000000003</v>
      </c>
      <c r="GZ104">
        <v>13.898199999999999</v>
      </c>
      <c r="HA104">
        <v>1</v>
      </c>
      <c r="HB104">
        <v>0.22504099999999999</v>
      </c>
      <c r="HC104">
        <v>0.95408499999999996</v>
      </c>
      <c r="HD104">
        <v>20.2698</v>
      </c>
      <c r="HE104">
        <v>5.2346599999999999</v>
      </c>
      <c r="HF104">
        <v>11.974</v>
      </c>
      <c r="HG104">
        <v>4.9740000000000002</v>
      </c>
      <c r="HH104">
        <v>3.2839</v>
      </c>
      <c r="HI104">
        <v>9999</v>
      </c>
      <c r="HJ104">
        <v>9999</v>
      </c>
      <c r="HK104">
        <v>9999</v>
      </c>
      <c r="HL104">
        <v>999.9</v>
      </c>
      <c r="HM104">
        <v>1.8614200000000001</v>
      </c>
      <c r="HN104">
        <v>1.8631</v>
      </c>
      <c r="HO104">
        <v>1.8684400000000001</v>
      </c>
      <c r="HP104">
        <v>1.85928</v>
      </c>
      <c r="HQ104">
        <v>1.85751</v>
      </c>
      <c r="HR104">
        <v>1.8612500000000001</v>
      </c>
      <c r="HS104">
        <v>1.8650599999999999</v>
      </c>
      <c r="HT104">
        <v>1.86707</v>
      </c>
      <c r="HU104">
        <v>5</v>
      </c>
      <c r="HV104">
        <v>0</v>
      </c>
      <c r="HW104">
        <v>0</v>
      </c>
      <c r="HX104">
        <v>0</v>
      </c>
      <c r="HY104" t="s">
        <v>422</v>
      </c>
      <c r="HZ104" t="s">
        <v>423</v>
      </c>
      <c r="IA104" t="s">
        <v>424</v>
      </c>
      <c r="IB104" t="s">
        <v>424</v>
      </c>
      <c r="IC104" t="s">
        <v>424</v>
      </c>
      <c r="ID104" t="s">
        <v>424</v>
      </c>
      <c r="IE104">
        <v>0</v>
      </c>
      <c r="IF104">
        <v>100</v>
      </c>
      <c r="IG104">
        <v>100</v>
      </c>
      <c r="IH104">
        <v>1.915</v>
      </c>
      <c r="II104">
        <v>0.9153</v>
      </c>
      <c r="IJ104">
        <v>1.8192609136250699</v>
      </c>
      <c r="IK104">
        <v>1.118558698776514E-3</v>
      </c>
      <c r="IL104">
        <v>-1.6939696309573479E-6</v>
      </c>
      <c r="IM104">
        <v>5.4698917449866148E-10</v>
      </c>
      <c r="IN104">
        <v>8.9684556362796819E-3</v>
      </c>
      <c r="IO104">
        <v>-7.6058941998734366E-3</v>
      </c>
      <c r="IP104">
        <v>1.6984902717538061E-3</v>
      </c>
      <c r="IQ104">
        <v>-9.6352527008986976E-6</v>
      </c>
      <c r="IR104">
        <v>2</v>
      </c>
      <c r="IS104">
        <v>2021</v>
      </c>
      <c r="IT104">
        <v>2</v>
      </c>
      <c r="IU104">
        <v>40</v>
      </c>
      <c r="IV104">
        <v>0.5</v>
      </c>
      <c r="IW104">
        <v>0.5</v>
      </c>
      <c r="IX104">
        <v>0.41626000000000002</v>
      </c>
      <c r="IY104">
        <v>2.5585900000000001</v>
      </c>
      <c r="IZ104">
        <v>1.34399</v>
      </c>
      <c r="JA104">
        <v>2.2326700000000002</v>
      </c>
      <c r="JB104">
        <v>1.5918000000000001</v>
      </c>
      <c r="JC104">
        <v>2.36572</v>
      </c>
      <c r="JD104">
        <v>47.451599999999999</v>
      </c>
      <c r="JE104">
        <v>24.1313</v>
      </c>
      <c r="JF104">
        <v>18</v>
      </c>
      <c r="JG104">
        <v>515.57299999999998</v>
      </c>
      <c r="JH104">
        <v>407.209</v>
      </c>
      <c r="JI104">
        <v>27.737300000000001</v>
      </c>
      <c r="JJ104">
        <v>30.401399999999999</v>
      </c>
      <c r="JK104">
        <v>30</v>
      </c>
      <c r="JL104">
        <v>30.3719</v>
      </c>
      <c r="JM104">
        <v>30.3385</v>
      </c>
      <c r="JN104">
        <v>8.4200800000000005</v>
      </c>
      <c r="JO104">
        <v>14.727399999999999</v>
      </c>
      <c r="JP104">
        <v>22.230499999999999</v>
      </c>
      <c r="JQ104">
        <v>27.7455</v>
      </c>
      <c r="JR104">
        <v>120</v>
      </c>
      <c r="JS104">
        <v>22.698799999999999</v>
      </c>
      <c r="JT104">
        <v>99.382000000000005</v>
      </c>
      <c r="JU104">
        <v>98.381200000000007</v>
      </c>
    </row>
    <row r="105" spans="1:281" x14ac:dyDescent="0.25">
      <c r="A105">
        <v>89</v>
      </c>
      <c r="B105">
        <v>1693515725.5999999</v>
      </c>
      <c r="C105">
        <v>20799</v>
      </c>
      <c r="D105" t="s">
        <v>868</v>
      </c>
      <c r="E105" t="s">
        <v>869</v>
      </c>
      <c r="F105" t="s">
        <v>413</v>
      </c>
      <c r="G105" t="s">
        <v>565</v>
      </c>
      <c r="H105" t="s">
        <v>415</v>
      </c>
      <c r="I105" t="s">
        <v>415</v>
      </c>
      <c r="J105">
        <v>1693515725.5999999</v>
      </c>
      <c r="K105">
        <f t="shared" si="92"/>
        <v>5.6485044418390197E-3</v>
      </c>
      <c r="L105">
        <f t="shared" si="93"/>
        <v>5.6485044418390196</v>
      </c>
      <c r="M105">
        <f t="shared" si="94"/>
        <v>9.0794926580735176</v>
      </c>
      <c r="N105">
        <f t="shared" si="95"/>
        <v>58.664099999999998</v>
      </c>
      <c r="O105">
        <f t="shared" si="96"/>
        <v>21.53499073740366</v>
      </c>
      <c r="P105">
        <f t="shared" si="97"/>
        <v>2.1449055895240816</v>
      </c>
      <c r="Q105">
        <f t="shared" si="98"/>
        <v>5.8430002375552492</v>
      </c>
      <c r="R105">
        <f t="shared" si="99"/>
        <v>0.4288676964658526</v>
      </c>
      <c r="S105">
        <f t="shared" si="100"/>
        <v>2.9225338070990459</v>
      </c>
      <c r="T105">
        <f t="shared" si="101"/>
        <v>0.39672285521779976</v>
      </c>
      <c r="U105">
        <f t="shared" si="102"/>
        <v>0.25063879266231587</v>
      </c>
      <c r="V105">
        <f t="shared" si="103"/>
        <v>344.39979964462162</v>
      </c>
      <c r="W105">
        <f t="shared" si="104"/>
        <v>31.071589554951409</v>
      </c>
      <c r="X105">
        <f t="shared" si="105"/>
        <v>29.9602</v>
      </c>
      <c r="Y105">
        <f t="shared" si="106"/>
        <v>4.2507197429482471</v>
      </c>
      <c r="Z105">
        <f t="shared" si="107"/>
        <v>65.729185390244481</v>
      </c>
      <c r="AA105">
        <f t="shared" si="108"/>
        <v>2.88339777439875</v>
      </c>
      <c r="AB105">
        <f t="shared" si="109"/>
        <v>4.3867845878198022</v>
      </c>
      <c r="AC105">
        <f t="shared" si="110"/>
        <v>1.3673219685494971</v>
      </c>
      <c r="AD105">
        <f t="shared" si="111"/>
        <v>-249.09904588510076</v>
      </c>
      <c r="AE105">
        <f t="shared" si="112"/>
        <v>86.579023613273648</v>
      </c>
      <c r="AF105">
        <f t="shared" si="113"/>
        <v>6.6024097076199366</v>
      </c>
      <c r="AG105">
        <f t="shared" si="114"/>
        <v>188.48218708041443</v>
      </c>
      <c r="AH105">
        <v>0</v>
      </c>
      <c r="AI105">
        <v>0</v>
      </c>
      <c r="AJ105">
        <f t="shared" si="115"/>
        <v>1</v>
      </c>
      <c r="AK105">
        <f t="shared" si="116"/>
        <v>0</v>
      </c>
      <c r="AL105">
        <f t="shared" si="117"/>
        <v>52054.83325575546</v>
      </c>
      <c r="AM105" t="s">
        <v>416</v>
      </c>
      <c r="AN105">
        <v>10366.9</v>
      </c>
      <c r="AO105">
        <v>993.59653846153856</v>
      </c>
      <c r="AP105">
        <v>3431.87</v>
      </c>
      <c r="AQ105">
        <f t="shared" si="118"/>
        <v>0.71047955241266758</v>
      </c>
      <c r="AR105">
        <v>-3.9894345373445681</v>
      </c>
      <c r="AS105" t="s">
        <v>870</v>
      </c>
      <c r="AT105">
        <v>10361.700000000001</v>
      </c>
      <c r="AU105">
        <v>768.47926923076932</v>
      </c>
      <c r="AV105">
        <v>852.93859556626808</v>
      </c>
      <c r="AW105">
        <f t="shared" si="119"/>
        <v>9.9021578780153607E-2</v>
      </c>
      <c r="AX105">
        <v>0.5</v>
      </c>
      <c r="AY105">
        <f t="shared" si="120"/>
        <v>1513.3190998223108</v>
      </c>
      <c r="AZ105">
        <f t="shared" si="121"/>
        <v>9.0794926580735176</v>
      </c>
      <c r="BA105">
        <f t="shared" si="122"/>
        <v>74.925623231283041</v>
      </c>
      <c r="BB105">
        <f t="shared" si="123"/>
        <v>8.6359361994126672E-3</v>
      </c>
      <c r="BC105">
        <f t="shared" si="124"/>
        <v>3.0235838990514581</v>
      </c>
      <c r="BD105">
        <f t="shared" si="125"/>
        <v>529.80813352994073</v>
      </c>
      <c r="BE105" t="s">
        <v>871</v>
      </c>
      <c r="BF105">
        <v>587.71</v>
      </c>
      <c r="BG105">
        <f t="shared" si="126"/>
        <v>587.71</v>
      </c>
      <c r="BH105">
        <f t="shared" si="127"/>
        <v>0.31095860469320435</v>
      </c>
      <c r="BI105">
        <f t="shared" si="128"/>
        <v>0.31843974498743816</v>
      </c>
      <c r="BJ105">
        <f t="shared" si="129"/>
        <v>0.90674624649588342</v>
      </c>
      <c r="BK105">
        <f t="shared" si="130"/>
        <v>-0.60045899006488768</v>
      </c>
      <c r="BL105">
        <f t="shared" si="131"/>
        <v>1.0576875174643126</v>
      </c>
      <c r="BM105">
        <f t="shared" si="132"/>
        <v>0.2435332090531219</v>
      </c>
      <c r="BN105">
        <f t="shared" si="133"/>
        <v>0.75646679094687808</v>
      </c>
      <c r="BO105">
        <v>2325</v>
      </c>
      <c r="BP105">
        <v>290.00000000000011</v>
      </c>
      <c r="BQ105">
        <v>829.34</v>
      </c>
      <c r="BR105">
        <v>175</v>
      </c>
      <c r="BS105">
        <v>10361.700000000001</v>
      </c>
      <c r="BT105">
        <v>828.29</v>
      </c>
      <c r="BU105">
        <v>1.05</v>
      </c>
      <c r="BV105">
        <v>300.00000000000011</v>
      </c>
      <c r="BW105">
        <v>38.4</v>
      </c>
      <c r="BX105">
        <v>852.93859556626808</v>
      </c>
      <c r="BY105">
        <v>0.82837668642890205</v>
      </c>
      <c r="BZ105">
        <v>-25.537573047040102</v>
      </c>
      <c r="CA105">
        <v>0.70216341317758157</v>
      </c>
      <c r="CB105">
        <v>0.97927101297226549</v>
      </c>
      <c r="CC105">
        <v>-1.1268932814238051E-2</v>
      </c>
      <c r="CD105">
        <v>289.99999999999989</v>
      </c>
      <c r="CE105">
        <v>824.57</v>
      </c>
      <c r="CF105">
        <v>625</v>
      </c>
      <c r="CG105">
        <v>10339.799999999999</v>
      </c>
      <c r="CH105">
        <v>828.24</v>
      </c>
      <c r="CI105">
        <v>-3.67</v>
      </c>
      <c r="CW105">
        <f t="shared" si="134"/>
        <v>1800.16</v>
      </c>
      <c r="CX105">
        <f t="shared" si="135"/>
        <v>1513.3190998223108</v>
      </c>
      <c r="CY105">
        <f t="shared" si="136"/>
        <v>0.8406581080694554</v>
      </c>
      <c r="CZ105">
        <f t="shared" si="137"/>
        <v>0.19131621613891078</v>
      </c>
      <c r="DA105">
        <v>6</v>
      </c>
      <c r="DB105">
        <v>0.5</v>
      </c>
      <c r="DC105" t="s">
        <v>419</v>
      </c>
      <c r="DD105">
        <v>2</v>
      </c>
      <c r="DE105">
        <v>1693515725.5999999</v>
      </c>
      <c r="DF105">
        <v>58.664099999999998</v>
      </c>
      <c r="DG105">
        <v>69.9666</v>
      </c>
      <c r="DH105">
        <v>28.9495</v>
      </c>
      <c r="DI105">
        <v>22.361999999999998</v>
      </c>
      <c r="DJ105">
        <v>56.7789</v>
      </c>
      <c r="DK105">
        <v>28.0318</v>
      </c>
      <c r="DL105">
        <v>499.58100000000002</v>
      </c>
      <c r="DM105">
        <v>99.501099999999994</v>
      </c>
      <c r="DN105">
        <v>9.9852499999999997E-2</v>
      </c>
      <c r="DO105">
        <v>30.509699999999999</v>
      </c>
      <c r="DP105">
        <v>29.9602</v>
      </c>
      <c r="DQ105">
        <v>999.9</v>
      </c>
      <c r="DR105">
        <v>0</v>
      </c>
      <c r="DS105">
        <v>0</v>
      </c>
      <c r="DT105">
        <v>10010</v>
      </c>
      <c r="DU105">
        <v>0</v>
      </c>
      <c r="DV105">
        <v>98.004099999999994</v>
      </c>
      <c r="DW105">
        <v>-11.3025</v>
      </c>
      <c r="DX105">
        <v>60.412999999999997</v>
      </c>
      <c r="DY105">
        <v>71.566900000000004</v>
      </c>
      <c r="DZ105">
        <v>6.5875300000000001</v>
      </c>
      <c r="EA105">
        <v>69.9666</v>
      </c>
      <c r="EB105">
        <v>22.361999999999998</v>
      </c>
      <c r="EC105">
        <v>2.8805100000000001</v>
      </c>
      <c r="ED105">
        <v>2.2250399999999999</v>
      </c>
      <c r="EE105">
        <v>23.352900000000002</v>
      </c>
      <c r="EF105">
        <v>19.143799999999999</v>
      </c>
      <c r="EG105">
        <v>1800.16</v>
      </c>
      <c r="EH105">
        <v>0.97800100000000001</v>
      </c>
      <c r="EI105">
        <v>2.1998899999999998E-2</v>
      </c>
      <c r="EJ105">
        <v>0</v>
      </c>
      <c r="EK105">
        <v>768.00699999999995</v>
      </c>
      <c r="EL105">
        <v>5.0002700000000004</v>
      </c>
      <c r="EM105">
        <v>14356.1</v>
      </c>
      <c r="EN105">
        <v>16250.1</v>
      </c>
      <c r="EO105">
        <v>47.625</v>
      </c>
      <c r="EP105">
        <v>48.125</v>
      </c>
      <c r="EQ105">
        <v>48.5</v>
      </c>
      <c r="ER105">
        <v>47.75</v>
      </c>
      <c r="ES105">
        <v>49.25</v>
      </c>
      <c r="ET105">
        <v>1755.67</v>
      </c>
      <c r="EU105">
        <v>39.49</v>
      </c>
      <c r="EV105">
        <v>0</v>
      </c>
      <c r="EW105">
        <v>105.7999999523163</v>
      </c>
      <c r="EX105">
        <v>0</v>
      </c>
      <c r="EY105">
        <v>768.47926923076932</v>
      </c>
      <c r="EZ105">
        <v>-3.609675219560454</v>
      </c>
      <c r="FA105">
        <v>-65.617093927475665</v>
      </c>
      <c r="FB105">
        <v>14361.70384615385</v>
      </c>
      <c r="FC105">
        <v>15</v>
      </c>
      <c r="FD105">
        <v>1693515697.5999999</v>
      </c>
      <c r="FE105" t="s">
        <v>872</v>
      </c>
      <c r="FF105">
        <v>1693515679.5999999</v>
      </c>
      <c r="FG105">
        <v>1693515697.5999999</v>
      </c>
      <c r="FH105">
        <v>98</v>
      </c>
      <c r="FI105">
        <v>8.0000000000000002E-3</v>
      </c>
      <c r="FJ105">
        <v>0</v>
      </c>
      <c r="FK105">
        <v>1.895</v>
      </c>
      <c r="FL105">
        <v>0.55900000000000005</v>
      </c>
      <c r="FM105">
        <v>70</v>
      </c>
      <c r="FN105">
        <v>23</v>
      </c>
      <c r="FO105">
        <v>0.43</v>
      </c>
      <c r="FP105">
        <v>0.04</v>
      </c>
      <c r="FQ105">
        <v>9.0758483746559087</v>
      </c>
      <c r="FR105">
        <v>0.33619126716545311</v>
      </c>
      <c r="FS105">
        <v>4.7139607895635822E-2</v>
      </c>
      <c r="FT105">
        <v>1</v>
      </c>
      <c r="FU105">
        <v>0.42560005841770382</v>
      </c>
      <c r="FV105">
        <v>4.225884915153829E-2</v>
      </c>
      <c r="FW105">
        <v>3.7200956870955442E-3</v>
      </c>
      <c r="FX105">
        <v>1</v>
      </c>
      <c r="FY105">
        <v>2</v>
      </c>
      <c r="FZ105">
        <v>2</v>
      </c>
      <c r="GA105" t="s">
        <v>421</v>
      </c>
      <c r="GB105">
        <v>3.11755</v>
      </c>
      <c r="GC105">
        <v>2.8650899999999999</v>
      </c>
      <c r="GD105">
        <v>1.58376E-2</v>
      </c>
      <c r="GE105">
        <v>2.0031500000000001E-2</v>
      </c>
      <c r="GF105">
        <v>0.13023299999999999</v>
      </c>
      <c r="GG105">
        <v>0.11386300000000001</v>
      </c>
      <c r="GH105">
        <v>29757.8</v>
      </c>
      <c r="GI105">
        <v>23042.400000000001</v>
      </c>
      <c r="GJ105">
        <v>29149</v>
      </c>
      <c r="GK105">
        <v>21914.3</v>
      </c>
      <c r="GL105">
        <v>33939.599999999999</v>
      </c>
      <c r="GM105">
        <v>26713.3</v>
      </c>
      <c r="GN105">
        <v>40447.699999999997</v>
      </c>
      <c r="GO105">
        <v>31139.4</v>
      </c>
      <c r="GP105">
        <v>2.0291000000000001</v>
      </c>
      <c r="GQ105">
        <v>1.7998000000000001</v>
      </c>
      <c r="GR105">
        <v>8.0883499999999997E-2</v>
      </c>
      <c r="GS105">
        <v>0</v>
      </c>
      <c r="GT105">
        <v>28.642399999999999</v>
      </c>
      <c r="GU105">
        <v>999.9</v>
      </c>
      <c r="GV105">
        <v>30.7</v>
      </c>
      <c r="GW105">
        <v>43.9</v>
      </c>
      <c r="GX105">
        <v>28.091100000000001</v>
      </c>
      <c r="GY105">
        <v>61.399700000000003</v>
      </c>
      <c r="GZ105">
        <v>14.178699999999999</v>
      </c>
      <c r="HA105">
        <v>1</v>
      </c>
      <c r="HB105">
        <v>0.22570100000000001</v>
      </c>
      <c r="HC105">
        <v>0.59624200000000005</v>
      </c>
      <c r="HD105">
        <v>20.272099999999998</v>
      </c>
      <c r="HE105">
        <v>5.23346</v>
      </c>
      <c r="HF105">
        <v>11.974</v>
      </c>
      <c r="HG105">
        <v>4.9753999999999996</v>
      </c>
      <c r="HH105">
        <v>3.2839999999999998</v>
      </c>
      <c r="HI105">
        <v>9999</v>
      </c>
      <c r="HJ105">
        <v>9999</v>
      </c>
      <c r="HK105">
        <v>9999</v>
      </c>
      <c r="HL105">
        <v>999.9</v>
      </c>
      <c r="HM105">
        <v>1.8614200000000001</v>
      </c>
      <c r="HN105">
        <v>1.8631</v>
      </c>
      <c r="HO105">
        <v>1.86843</v>
      </c>
      <c r="HP105">
        <v>1.8592599999999999</v>
      </c>
      <c r="HQ105">
        <v>1.85748</v>
      </c>
      <c r="HR105">
        <v>1.8612200000000001</v>
      </c>
      <c r="HS105">
        <v>1.8650800000000001</v>
      </c>
      <c r="HT105">
        <v>1.86707</v>
      </c>
      <c r="HU105">
        <v>5</v>
      </c>
      <c r="HV105">
        <v>0</v>
      </c>
      <c r="HW105">
        <v>0</v>
      </c>
      <c r="HX105">
        <v>0</v>
      </c>
      <c r="HY105" t="s">
        <v>422</v>
      </c>
      <c r="HZ105" t="s">
        <v>423</v>
      </c>
      <c r="IA105" t="s">
        <v>424</v>
      </c>
      <c r="IB105" t="s">
        <v>424</v>
      </c>
      <c r="IC105" t="s">
        <v>424</v>
      </c>
      <c r="ID105" t="s">
        <v>424</v>
      </c>
      <c r="IE105">
        <v>0</v>
      </c>
      <c r="IF105">
        <v>100</v>
      </c>
      <c r="IG105">
        <v>100</v>
      </c>
      <c r="IH105">
        <v>1.885</v>
      </c>
      <c r="II105">
        <v>0.91769999999999996</v>
      </c>
      <c r="IJ105">
        <v>1.8270336782321659</v>
      </c>
      <c r="IK105">
        <v>1.118558698776514E-3</v>
      </c>
      <c r="IL105">
        <v>-1.6939696309573479E-6</v>
      </c>
      <c r="IM105">
        <v>5.4698917449866148E-10</v>
      </c>
      <c r="IN105">
        <v>8.5016036624803171E-3</v>
      </c>
      <c r="IO105">
        <v>-7.6058941998734366E-3</v>
      </c>
      <c r="IP105">
        <v>1.6984902717538061E-3</v>
      </c>
      <c r="IQ105">
        <v>-9.6352527008986976E-6</v>
      </c>
      <c r="IR105">
        <v>2</v>
      </c>
      <c r="IS105">
        <v>2021</v>
      </c>
      <c r="IT105">
        <v>2</v>
      </c>
      <c r="IU105">
        <v>40</v>
      </c>
      <c r="IV105">
        <v>0.8</v>
      </c>
      <c r="IW105">
        <v>0.5</v>
      </c>
      <c r="IX105">
        <v>0.301514</v>
      </c>
      <c r="IY105">
        <v>2.5671400000000002</v>
      </c>
      <c r="IZ105">
        <v>1.34399</v>
      </c>
      <c r="JA105">
        <v>2.2326700000000002</v>
      </c>
      <c r="JB105">
        <v>1.5918000000000001</v>
      </c>
      <c r="JC105">
        <v>2.51709</v>
      </c>
      <c r="JD105">
        <v>47.421599999999998</v>
      </c>
      <c r="JE105">
        <v>24.14</v>
      </c>
      <c r="JF105">
        <v>18</v>
      </c>
      <c r="JG105">
        <v>515.54399999999998</v>
      </c>
      <c r="JH105">
        <v>405.86399999999998</v>
      </c>
      <c r="JI105">
        <v>27.912400000000002</v>
      </c>
      <c r="JJ105">
        <v>30.427800000000001</v>
      </c>
      <c r="JK105">
        <v>30</v>
      </c>
      <c r="JL105">
        <v>30.3903</v>
      </c>
      <c r="JM105">
        <v>30.354199999999999</v>
      </c>
      <c r="JN105">
        <v>6.1295599999999997</v>
      </c>
      <c r="JO105">
        <v>16.390899999999998</v>
      </c>
      <c r="JP105">
        <v>21.475100000000001</v>
      </c>
      <c r="JQ105">
        <v>27.931100000000001</v>
      </c>
      <c r="JR105">
        <v>70</v>
      </c>
      <c r="JS105">
        <v>22.1951</v>
      </c>
      <c r="JT105">
        <v>99.377499999999998</v>
      </c>
      <c r="JU105">
        <v>98.379300000000001</v>
      </c>
    </row>
    <row r="106" spans="1:281" x14ac:dyDescent="0.25">
      <c r="A106">
        <v>90</v>
      </c>
      <c r="B106">
        <v>1693515835.0999999</v>
      </c>
      <c r="C106">
        <v>20908.5</v>
      </c>
      <c r="D106" t="s">
        <v>873</v>
      </c>
      <c r="E106" t="s">
        <v>874</v>
      </c>
      <c r="F106" t="s">
        <v>413</v>
      </c>
      <c r="G106" t="s">
        <v>565</v>
      </c>
      <c r="H106" t="s">
        <v>415</v>
      </c>
      <c r="I106" t="s">
        <v>415</v>
      </c>
      <c r="J106">
        <v>1693515835.0999999</v>
      </c>
      <c r="K106">
        <f t="shared" si="92"/>
        <v>6.1047487161710132E-3</v>
      </c>
      <c r="L106">
        <f t="shared" si="93"/>
        <v>6.104748716171013</v>
      </c>
      <c r="M106">
        <f t="shared" si="94"/>
        <v>4.0077275384228841</v>
      </c>
      <c r="N106">
        <f t="shared" si="95"/>
        <v>24.988700000000001</v>
      </c>
      <c r="O106">
        <f t="shared" si="96"/>
        <v>9.7603630627787119</v>
      </c>
      <c r="P106">
        <f t="shared" si="97"/>
        <v>0.97212152518513018</v>
      </c>
      <c r="Q106">
        <f t="shared" si="98"/>
        <v>2.4888472898136103</v>
      </c>
      <c r="R106">
        <f t="shared" si="99"/>
        <v>0.46476542705716545</v>
      </c>
      <c r="S106">
        <f t="shared" si="100"/>
        <v>2.9198754573621009</v>
      </c>
      <c r="T106">
        <f t="shared" si="101"/>
        <v>0.42723488774106905</v>
      </c>
      <c r="U106">
        <f t="shared" si="102"/>
        <v>0.27014077140808584</v>
      </c>
      <c r="V106">
        <f t="shared" si="103"/>
        <v>344.36179964458216</v>
      </c>
      <c r="W106">
        <f t="shared" si="104"/>
        <v>31.064076652582298</v>
      </c>
      <c r="X106">
        <f t="shared" si="105"/>
        <v>29.999400000000001</v>
      </c>
      <c r="Y106">
        <f t="shared" si="106"/>
        <v>4.2603029445810465</v>
      </c>
      <c r="Z106">
        <f t="shared" si="107"/>
        <v>65.422159643223168</v>
      </c>
      <c r="AA106">
        <f t="shared" si="108"/>
        <v>2.8882090404435199</v>
      </c>
      <c r="AB106">
        <f t="shared" si="109"/>
        <v>4.4147259219112289</v>
      </c>
      <c r="AC106">
        <f t="shared" si="110"/>
        <v>1.3720939041375266</v>
      </c>
      <c r="AD106">
        <f t="shared" si="111"/>
        <v>-269.21941838314166</v>
      </c>
      <c r="AE106">
        <f t="shared" si="112"/>
        <v>97.802763130883633</v>
      </c>
      <c r="AF106">
        <f t="shared" si="113"/>
        <v>7.4706581208350569</v>
      </c>
      <c r="AG106">
        <f t="shared" si="114"/>
        <v>180.41580251315924</v>
      </c>
      <c r="AH106">
        <v>0</v>
      </c>
      <c r="AI106">
        <v>0</v>
      </c>
      <c r="AJ106">
        <f t="shared" si="115"/>
        <v>1</v>
      </c>
      <c r="AK106">
        <f t="shared" si="116"/>
        <v>0</v>
      </c>
      <c r="AL106">
        <f t="shared" si="117"/>
        <v>51960.076404329564</v>
      </c>
      <c r="AM106" t="s">
        <v>416</v>
      </c>
      <c r="AN106">
        <v>10366.9</v>
      </c>
      <c r="AO106">
        <v>993.59653846153856</v>
      </c>
      <c r="AP106">
        <v>3431.87</v>
      </c>
      <c r="AQ106">
        <f t="shared" si="118"/>
        <v>0.71047955241266758</v>
      </c>
      <c r="AR106">
        <v>-3.9894345373445681</v>
      </c>
      <c r="AS106" t="s">
        <v>875</v>
      </c>
      <c r="AT106">
        <v>10371.4</v>
      </c>
      <c r="AU106">
        <v>774.14695999999992</v>
      </c>
      <c r="AV106">
        <v>828.33248373637116</v>
      </c>
      <c r="AW106">
        <f t="shared" si="119"/>
        <v>6.5415186293257266E-2</v>
      </c>
      <c r="AX106">
        <v>0.5</v>
      </c>
      <c r="AY106">
        <f t="shared" si="120"/>
        <v>1513.1510998222911</v>
      </c>
      <c r="AZ106">
        <f t="shared" si="121"/>
        <v>4.0077275384228841</v>
      </c>
      <c r="BA106">
        <f t="shared" si="122"/>
        <v>49.491530542361147</v>
      </c>
      <c r="BB106">
        <f t="shared" si="123"/>
        <v>5.2851047570243725E-3</v>
      </c>
      <c r="BC106">
        <f t="shared" si="124"/>
        <v>3.1431068651561445</v>
      </c>
      <c r="BD106">
        <f t="shared" si="125"/>
        <v>520.20932588651317</v>
      </c>
      <c r="BE106" t="s">
        <v>876</v>
      </c>
      <c r="BF106">
        <v>599.05999999999995</v>
      </c>
      <c r="BG106">
        <f t="shared" si="126"/>
        <v>599.05999999999995</v>
      </c>
      <c r="BH106">
        <f t="shared" si="127"/>
        <v>0.27678799061723203</v>
      </c>
      <c r="BI106">
        <f t="shared" si="128"/>
        <v>0.23633679390273635</v>
      </c>
      <c r="BJ106">
        <f t="shared" si="129"/>
        <v>0.91906535075194906</v>
      </c>
      <c r="BK106">
        <f t="shared" si="130"/>
        <v>-0.32787240895475583</v>
      </c>
      <c r="BL106">
        <f t="shared" si="131"/>
        <v>1.0677791303281017</v>
      </c>
      <c r="BM106">
        <f t="shared" si="132"/>
        <v>0.1828850684311584</v>
      </c>
      <c r="BN106">
        <f t="shared" si="133"/>
        <v>0.81711493156884163</v>
      </c>
      <c r="BO106">
        <v>2327</v>
      </c>
      <c r="BP106">
        <v>290.00000000000011</v>
      </c>
      <c r="BQ106">
        <v>814.48</v>
      </c>
      <c r="BR106">
        <v>125</v>
      </c>
      <c r="BS106">
        <v>10371.4</v>
      </c>
      <c r="BT106">
        <v>812.5</v>
      </c>
      <c r="BU106">
        <v>1.98</v>
      </c>
      <c r="BV106">
        <v>300.00000000000011</v>
      </c>
      <c r="BW106">
        <v>38.4</v>
      </c>
      <c r="BX106">
        <v>828.33248373637116</v>
      </c>
      <c r="BY106">
        <v>1.1033095907502091</v>
      </c>
      <c r="BZ106">
        <v>-16.419836038983199</v>
      </c>
      <c r="CA106">
        <v>0.93524425655658761</v>
      </c>
      <c r="CB106">
        <v>0.91672589075984057</v>
      </c>
      <c r="CC106">
        <v>-1.1269263626251389E-2</v>
      </c>
      <c r="CD106">
        <v>289.99999999999989</v>
      </c>
      <c r="CE106">
        <v>810.83</v>
      </c>
      <c r="CF106">
        <v>655</v>
      </c>
      <c r="CG106">
        <v>10337.1</v>
      </c>
      <c r="CH106">
        <v>812.45</v>
      </c>
      <c r="CI106">
        <v>-1.62</v>
      </c>
      <c r="CW106">
        <f t="shared" si="134"/>
        <v>1799.96</v>
      </c>
      <c r="CX106">
        <f t="shared" si="135"/>
        <v>1513.1510998222911</v>
      </c>
      <c r="CY106">
        <f t="shared" si="136"/>
        <v>0.84065818119418823</v>
      </c>
      <c r="CZ106">
        <f t="shared" si="137"/>
        <v>0.19131636238837649</v>
      </c>
      <c r="DA106">
        <v>6</v>
      </c>
      <c r="DB106">
        <v>0.5</v>
      </c>
      <c r="DC106" t="s">
        <v>419</v>
      </c>
      <c r="DD106">
        <v>2</v>
      </c>
      <c r="DE106">
        <v>1693515835.0999999</v>
      </c>
      <c r="DF106">
        <v>24.988700000000001</v>
      </c>
      <c r="DG106">
        <v>29.985900000000001</v>
      </c>
      <c r="DH106">
        <v>28.9984</v>
      </c>
      <c r="DI106">
        <v>21.8782</v>
      </c>
      <c r="DJ106">
        <v>23.0822</v>
      </c>
      <c r="DK106">
        <v>28.089099999999998</v>
      </c>
      <c r="DL106">
        <v>499.51299999999998</v>
      </c>
      <c r="DM106">
        <v>99.499300000000005</v>
      </c>
      <c r="DN106">
        <v>9.9610299999999999E-2</v>
      </c>
      <c r="DO106">
        <v>30.620699999999999</v>
      </c>
      <c r="DP106">
        <v>29.999400000000001</v>
      </c>
      <c r="DQ106">
        <v>999.9</v>
      </c>
      <c r="DR106">
        <v>0</v>
      </c>
      <c r="DS106">
        <v>0</v>
      </c>
      <c r="DT106">
        <v>9995</v>
      </c>
      <c r="DU106">
        <v>0</v>
      </c>
      <c r="DV106">
        <v>97.022900000000007</v>
      </c>
      <c r="DW106">
        <v>-4.9971699999999997</v>
      </c>
      <c r="DX106">
        <v>25.734999999999999</v>
      </c>
      <c r="DY106">
        <v>30.656600000000001</v>
      </c>
      <c r="DZ106">
        <v>7.12019</v>
      </c>
      <c r="EA106">
        <v>29.985900000000001</v>
      </c>
      <c r="EB106">
        <v>21.8782</v>
      </c>
      <c r="EC106">
        <v>2.8853200000000001</v>
      </c>
      <c r="ED106">
        <v>2.1768700000000001</v>
      </c>
      <c r="EE106">
        <v>23.380500000000001</v>
      </c>
      <c r="EF106">
        <v>18.793099999999999</v>
      </c>
      <c r="EG106">
        <v>1799.96</v>
      </c>
      <c r="EH106">
        <v>0.97799700000000001</v>
      </c>
      <c r="EI106">
        <v>2.2002600000000001E-2</v>
      </c>
      <c r="EJ106">
        <v>0</v>
      </c>
      <c r="EK106">
        <v>773.6</v>
      </c>
      <c r="EL106">
        <v>5.0002700000000004</v>
      </c>
      <c r="EM106">
        <v>14459.2</v>
      </c>
      <c r="EN106">
        <v>16248.2</v>
      </c>
      <c r="EO106">
        <v>47.561999999999998</v>
      </c>
      <c r="EP106">
        <v>48.061999999999998</v>
      </c>
      <c r="EQ106">
        <v>48.5</v>
      </c>
      <c r="ER106">
        <v>47.686999999999998</v>
      </c>
      <c r="ES106">
        <v>49.186999999999998</v>
      </c>
      <c r="ET106">
        <v>1755.47</v>
      </c>
      <c r="EU106">
        <v>39.49</v>
      </c>
      <c r="EV106">
        <v>0</v>
      </c>
      <c r="EW106">
        <v>107.4000000953674</v>
      </c>
      <c r="EX106">
        <v>0</v>
      </c>
      <c r="EY106">
        <v>774.14695999999992</v>
      </c>
      <c r="EZ106">
        <v>-2.1056153806660292</v>
      </c>
      <c r="FA106">
        <v>-40.66153850309486</v>
      </c>
      <c r="FB106">
        <v>14462.972</v>
      </c>
      <c r="FC106">
        <v>15</v>
      </c>
      <c r="FD106">
        <v>1693515802.5999999</v>
      </c>
      <c r="FE106" t="s">
        <v>877</v>
      </c>
      <c r="FF106">
        <v>1693515795.5999999</v>
      </c>
      <c r="FG106">
        <v>1693515802.5999999</v>
      </c>
      <c r="FH106">
        <v>99</v>
      </c>
      <c r="FI106">
        <v>5.5E-2</v>
      </c>
      <c r="FJ106">
        <v>-1.2E-2</v>
      </c>
      <c r="FK106">
        <v>1.9119999999999999</v>
      </c>
      <c r="FL106">
        <v>0.51600000000000001</v>
      </c>
      <c r="FM106">
        <v>30</v>
      </c>
      <c r="FN106">
        <v>22</v>
      </c>
      <c r="FO106">
        <v>0.56000000000000005</v>
      </c>
      <c r="FP106">
        <v>0.03</v>
      </c>
      <c r="FQ106">
        <v>3.990555479355316</v>
      </c>
      <c r="FR106">
        <v>-9.4833882268628763E-3</v>
      </c>
      <c r="FS106">
        <v>4.8721367752247079E-2</v>
      </c>
      <c r="FT106">
        <v>1</v>
      </c>
      <c r="FU106">
        <v>0.46007023277015058</v>
      </c>
      <c r="FV106">
        <v>4.4138806288816591E-2</v>
      </c>
      <c r="FW106">
        <v>3.5229572835774972E-3</v>
      </c>
      <c r="FX106">
        <v>1</v>
      </c>
      <c r="FY106">
        <v>2</v>
      </c>
      <c r="FZ106">
        <v>2</v>
      </c>
      <c r="GA106" t="s">
        <v>421</v>
      </c>
      <c r="GB106">
        <v>3.1173600000000001</v>
      </c>
      <c r="GC106">
        <v>2.8647200000000002</v>
      </c>
      <c r="GD106">
        <v>6.4772199999999997E-3</v>
      </c>
      <c r="GE106">
        <v>8.66485E-3</v>
      </c>
      <c r="GF106">
        <v>0.13042200000000001</v>
      </c>
      <c r="GG106">
        <v>0.112134</v>
      </c>
      <c r="GH106">
        <v>30043.7</v>
      </c>
      <c r="GI106">
        <v>23311.5</v>
      </c>
      <c r="GJ106">
        <v>29151.599999999999</v>
      </c>
      <c r="GK106">
        <v>21916</v>
      </c>
      <c r="GL106">
        <v>33933.300000000003</v>
      </c>
      <c r="GM106">
        <v>26766.2</v>
      </c>
      <c r="GN106">
        <v>40450.699999999997</v>
      </c>
      <c r="GO106">
        <v>31141.5</v>
      </c>
      <c r="GP106">
        <v>2.0295999999999998</v>
      </c>
      <c r="GQ106">
        <v>1.8010999999999999</v>
      </c>
      <c r="GR106">
        <v>8.6367100000000002E-2</v>
      </c>
      <c r="GS106">
        <v>0</v>
      </c>
      <c r="GT106">
        <v>28.592199999999998</v>
      </c>
      <c r="GU106">
        <v>999.9</v>
      </c>
      <c r="GV106">
        <v>30.4</v>
      </c>
      <c r="GW106">
        <v>43.8</v>
      </c>
      <c r="GX106">
        <v>27.675899999999999</v>
      </c>
      <c r="GY106">
        <v>61.589700000000001</v>
      </c>
      <c r="GZ106">
        <v>13.9503</v>
      </c>
      <c r="HA106">
        <v>1</v>
      </c>
      <c r="HB106">
        <v>0.22373999999999999</v>
      </c>
      <c r="HC106">
        <v>0.61291899999999999</v>
      </c>
      <c r="HD106">
        <v>20.270700000000001</v>
      </c>
      <c r="HE106">
        <v>5.2262700000000004</v>
      </c>
      <c r="HF106">
        <v>11.974</v>
      </c>
      <c r="HG106">
        <v>4.9720000000000004</v>
      </c>
      <c r="HH106">
        <v>3.2822</v>
      </c>
      <c r="HI106">
        <v>9999</v>
      </c>
      <c r="HJ106">
        <v>9999</v>
      </c>
      <c r="HK106">
        <v>9999</v>
      </c>
      <c r="HL106">
        <v>999.9</v>
      </c>
      <c r="HM106">
        <v>1.8614200000000001</v>
      </c>
      <c r="HN106">
        <v>1.8631</v>
      </c>
      <c r="HO106">
        <v>1.86843</v>
      </c>
      <c r="HP106">
        <v>1.8592500000000001</v>
      </c>
      <c r="HQ106">
        <v>1.85747</v>
      </c>
      <c r="HR106">
        <v>1.86117</v>
      </c>
      <c r="HS106">
        <v>1.8650800000000001</v>
      </c>
      <c r="HT106">
        <v>1.86707</v>
      </c>
      <c r="HU106">
        <v>5</v>
      </c>
      <c r="HV106">
        <v>0</v>
      </c>
      <c r="HW106">
        <v>0</v>
      </c>
      <c r="HX106">
        <v>0</v>
      </c>
      <c r="HY106" t="s">
        <v>422</v>
      </c>
      <c r="HZ106" t="s">
        <v>423</v>
      </c>
      <c r="IA106" t="s">
        <v>424</v>
      </c>
      <c r="IB106" t="s">
        <v>424</v>
      </c>
      <c r="IC106" t="s">
        <v>424</v>
      </c>
      <c r="ID106" t="s">
        <v>424</v>
      </c>
      <c r="IE106">
        <v>0</v>
      </c>
      <c r="IF106">
        <v>100</v>
      </c>
      <c r="IG106">
        <v>100</v>
      </c>
      <c r="IH106">
        <v>1.907</v>
      </c>
      <c r="II106">
        <v>0.9093</v>
      </c>
      <c r="IJ106">
        <v>1.881575206696152</v>
      </c>
      <c r="IK106">
        <v>1.118558698776514E-3</v>
      </c>
      <c r="IL106">
        <v>-1.6939696309573479E-6</v>
      </c>
      <c r="IM106">
        <v>5.4698917449866148E-10</v>
      </c>
      <c r="IN106">
        <v>-3.5992776363015229E-3</v>
      </c>
      <c r="IO106">
        <v>-7.6058941998734366E-3</v>
      </c>
      <c r="IP106">
        <v>1.6984902717538061E-3</v>
      </c>
      <c r="IQ106">
        <v>-9.6352527008986976E-6</v>
      </c>
      <c r="IR106">
        <v>2</v>
      </c>
      <c r="IS106">
        <v>2021</v>
      </c>
      <c r="IT106">
        <v>2</v>
      </c>
      <c r="IU106">
        <v>40</v>
      </c>
      <c r="IV106">
        <v>0.7</v>
      </c>
      <c r="IW106">
        <v>0.5</v>
      </c>
      <c r="IX106">
        <v>0.21240200000000001</v>
      </c>
      <c r="IY106">
        <v>2.5952099999999998</v>
      </c>
      <c r="IZ106">
        <v>1.34399</v>
      </c>
      <c r="JA106">
        <v>2.2326700000000002</v>
      </c>
      <c r="JB106">
        <v>1.5918000000000001</v>
      </c>
      <c r="JC106">
        <v>2.47681</v>
      </c>
      <c r="JD106">
        <v>47.271999999999998</v>
      </c>
      <c r="JE106">
        <v>24.14</v>
      </c>
      <c r="JF106">
        <v>18</v>
      </c>
      <c r="JG106">
        <v>515.70699999999999</v>
      </c>
      <c r="JH106">
        <v>406.53699999999998</v>
      </c>
      <c r="JI106">
        <v>28.1739</v>
      </c>
      <c r="JJ106">
        <v>30.398800000000001</v>
      </c>
      <c r="JK106">
        <v>29.9999</v>
      </c>
      <c r="JL106">
        <v>30.3719</v>
      </c>
      <c r="JM106">
        <v>30.3385</v>
      </c>
      <c r="JN106">
        <v>4.3319200000000002</v>
      </c>
      <c r="JO106">
        <v>16.4666</v>
      </c>
      <c r="JP106">
        <v>21.039000000000001</v>
      </c>
      <c r="JQ106">
        <v>28.167899999999999</v>
      </c>
      <c r="JR106">
        <v>30</v>
      </c>
      <c r="JS106">
        <v>21.808700000000002</v>
      </c>
      <c r="JT106">
        <v>99.385599999999997</v>
      </c>
      <c r="JU106">
        <v>98.386099999999999</v>
      </c>
    </row>
    <row r="107" spans="1:281" x14ac:dyDescent="0.25">
      <c r="A107">
        <v>91</v>
      </c>
      <c r="B107">
        <v>1693515939.0999999</v>
      </c>
      <c r="C107">
        <v>21012.5</v>
      </c>
      <c r="D107" t="s">
        <v>878</v>
      </c>
      <c r="E107" t="s">
        <v>879</v>
      </c>
      <c r="F107" t="s">
        <v>413</v>
      </c>
      <c r="G107" t="s">
        <v>565</v>
      </c>
      <c r="H107" t="s">
        <v>415</v>
      </c>
      <c r="I107" t="s">
        <v>415</v>
      </c>
      <c r="J107">
        <v>1693515939.0999999</v>
      </c>
      <c r="K107">
        <f t="shared" si="92"/>
        <v>6.3820178160799972E-3</v>
      </c>
      <c r="L107">
        <f t="shared" si="93"/>
        <v>6.3820178160799976</v>
      </c>
      <c r="M107">
        <f t="shared" si="94"/>
        <v>1.2217658487741636</v>
      </c>
      <c r="N107">
        <f t="shared" si="95"/>
        <v>8.4988299999999999</v>
      </c>
      <c r="O107">
        <f t="shared" si="96"/>
        <v>4.0757637380905178</v>
      </c>
      <c r="P107">
        <f t="shared" si="97"/>
        <v>0.40595046606288893</v>
      </c>
      <c r="Q107">
        <f t="shared" si="98"/>
        <v>0.84649263823756993</v>
      </c>
      <c r="R107">
        <f t="shared" si="99"/>
        <v>0.4929467728510688</v>
      </c>
      <c r="S107">
        <f t="shared" si="100"/>
        <v>2.9172742853371014</v>
      </c>
      <c r="T107">
        <f t="shared" si="101"/>
        <v>0.45091297561436777</v>
      </c>
      <c r="U107">
        <f t="shared" si="102"/>
        <v>0.28529789396883759</v>
      </c>
      <c r="V107">
        <f t="shared" si="103"/>
        <v>344.36179964458216</v>
      </c>
      <c r="W107">
        <f t="shared" si="104"/>
        <v>30.988536444135836</v>
      </c>
      <c r="X107">
        <f t="shared" si="105"/>
        <v>29.988499999999998</v>
      </c>
      <c r="Y107">
        <f t="shared" si="106"/>
        <v>4.2576363397827803</v>
      </c>
      <c r="Z107">
        <f t="shared" si="107"/>
        <v>65.670757629735391</v>
      </c>
      <c r="AA107">
        <f t="shared" si="108"/>
        <v>2.8985706808422003</v>
      </c>
      <c r="AB107">
        <f t="shared" si="109"/>
        <v>4.4137920521412441</v>
      </c>
      <c r="AC107">
        <f t="shared" si="110"/>
        <v>1.3590656589405801</v>
      </c>
      <c r="AD107">
        <f t="shared" si="111"/>
        <v>-281.44698568912787</v>
      </c>
      <c r="AE107">
        <f t="shared" si="112"/>
        <v>98.848023363882845</v>
      </c>
      <c r="AF107">
        <f t="shared" si="113"/>
        <v>7.5566871642825753</v>
      </c>
      <c r="AG107">
        <f t="shared" si="114"/>
        <v>169.31952448361969</v>
      </c>
      <c r="AH107">
        <v>0</v>
      </c>
      <c r="AI107">
        <v>0</v>
      </c>
      <c r="AJ107">
        <f t="shared" si="115"/>
        <v>1</v>
      </c>
      <c r="AK107">
        <f t="shared" si="116"/>
        <v>0</v>
      </c>
      <c r="AL107">
        <f t="shared" si="117"/>
        <v>51886.725392777727</v>
      </c>
      <c r="AM107" t="s">
        <v>416</v>
      </c>
      <c r="AN107">
        <v>10366.9</v>
      </c>
      <c r="AO107">
        <v>993.59653846153856</v>
      </c>
      <c r="AP107">
        <v>3431.87</v>
      </c>
      <c r="AQ107">
        <f t="shared" si="118"/>
        <v>0.71047955241266758</v>
      </c>
      <c r="AR107">
        <v>-3.9894345373445681</v>
      </c>
      <c r="AS107" t="s">
        <v>880</v>
      </c>
      <c r="AT107">
        <v>10380.1</v>
      </c>
      <c r="AU107">
        <v>777.02055999999993</v>
      </c>
      <c r="AV107">
        <v>819.62834298052371</v>
      </c>
      <c r="AW107">
        <f t="shared" si="119"/>
        <v>5.1984272317357139E-2</v>
      </c>
      <c r="AX107">
        <v>0.5</v>
      </c>
      <c r="AY107">
        <f t="shared" si="120"/>
        <v>1513.1510998222911</v>
      </c>
      <c r="AZ107">
        <f t="shared" si="121"/>
        <v>1.2217658487741636</v>
      </c>
      <c r="BA107">
        <f t="shared" si="122"/>
        <v>39.330029415235217</v>
      </c>
      <c r="BB107">
        <f t="shared" si="123"/>
        <v>3.4439391986238188E-3</v>
      </c>
      <c r="BC107">
        <f t="shared" si="124"/>
        <v>3.1871050817010964</v>
      </c>
      <c r="BD107">
        <f t="shared" si="125"/>
        <v>516.76286246647453</v>
      </c>
      <c r="BE107" t="s">
        <v>881</v>
      </c>
      <c r="BF107">
        <v>611.16999999999996</v>
      </c>
      <c r="BG107">
        <f t="shared" si="126"/>
        <v>611.16999999999996</v>
      </c>
      <c r="BH107">
        <f t="shared" si="127"/>
        <v>0.25433276529027649</v>
      </c>
      <c r="BI107">
        <f t="shared" si="128"/>
        <v>0.20439471201449885</v>
      </c>
      <c r="BJ107">
        <f t="shared" si="129"/>
        <v>0.9260969465095461</v>
      </c>
      <c r="BK107">
        <f t="shared" si="130"/>
        <v>-0.24491708304908852</v>
      </c>
      <c r="BL107">
        <f t="shared" si="131"/>
        <v>1.0713489271097785</v>
      </c>
      <c r="BM107">
        <f t="shared" si="132"/>
        <v>0.160767838809698</v>
      </c>
      <c r="BN107">
        <f t="shared" si="133"/>
        <v>0.83923216119030197</v>
      </c>
      <c r="BO107">
        <v>2329</v>
      </c>
      <c r="BP107">
        <v>290.00000000000011</v>
      </c>
      <c r="BQ107">
        <v>809</v>
      </c>
      <c r="BR107">
        <v>85</v>
      </c>
      <c r="BS107">
        <v>10380.1</v>
      </c>
      <c r="BT107">
        <v>806.51</v>
      </c>
      <c r="BU107">
        <v>2.4900000000000002</v>
      </c>
      <c r="BV107">
        <v>300.00000000000011</v>
      </c>
      <c r="BW107">
        <v>38.4</v>
      </c>
      <c r="BX107">
        <v>819.62834298052371</v>
      </c>
      <c r="BY107">
        <v>1.0667520017214229</v>
      </c>
      <c r="BZ107">
        <v>-13.613065941785949</v>
      </c>
      <c r="CA107">
        <v>0.90424789683556983</v>
      </c>
      <c r="CB107">
        <v>0.890040914177608</v>
      </c>
      <c r="CC107">
        <v>-1.126918242491657E-2</v>
      </c>
      <c r="CD107">
        <v>289.99999999999989</v>
      </c>
      <c r="CE107">
        <v>804.52</v>
      </c>
      <c r="CF107">
        <v>615</v>
      </c>
      <c r="CG107">
        <v>10341.299999999999</v>
      </c>
      <c r="CH107">
        <v>806.46</v>
      </c>
      <c r="CI107">
        <v>-1.94</v>
      </c>
      <c r="CW107">
        <f t="shared" si="134"/>
        <v>1799.96</v>
      </c>
      <c r="CX107">
        <f t="shared" si="135"/>
        <v>1513.1510998222911</v>
      </c>
      <c r="CY107">
        <f t="shared" si="136"/>
        <v>0.84065818119418823</v>
      </c>
      <c r="CZ107">
        <f t="shared" si="137"/>
        <v>0.19131636238837649</v>
      </c>
      <c r="DA107">
        <v>6</v>
      </c>
      <c r="DB107">
        <v>0.5</v>
      </c>
      <c r="DC107" t="s">
        <v>419</v>
      </c>
      <c r="DD107">
        <v>2</v>
      </c>
      <c r="DE107">
        <v>1693515939.0999999</v>
      </c>
      <c r="DF107">
        <v>8.4988299999999999</v>
      </c>
      <c r="DG107">
        <v>10.0284</v>
      </c>
      <c r="DH107">
        <v>29.101800000000001</v>
      </c>
      <c r="DI107">
        <v>21.674199999999999</v>
      </c>
      <c r="DJ107">
        <v>6.5977100000000002</v>
      </c>
      <c r="DK107">
        <v>28.189800000000002</v>
      </c>
      <c r="DL107">
        <v>500.53500000000003</v>
      </c>
      <c r="DM107">
        <v>99.500900000000001</v>
      </c>
      <c r="DN107">
        <v>0.100179</v>
      </c>
      <c r="DO107">
        <v>30.617000000000001</v>
      </c>
      <c r="DP107">
        <v>29.988499999999998</v>
      </c>
      <c r="DQ107">
        <v>999.9</v>
      </c>
      <c r="DR107">
        <v>0</v>
      </c>
      <c r="DS107">
        <v>0</v>
      </c>
      <c r="DT107">
        <v>9980</v>
      </c>
      <c r="DU107">
        <v>0</v>
      </c>
      <c r="DV107">
        <v>97.253799999999998</v>
      </c>
      <c r="DW107">
        <v>-1.5296099999999999</v>
      </c>
      <c r="DX107">
        <v>8.7535699999999999</v>
      </c>
      <c r="DY107">
        <v>10.2506</v>
      </c>
      <c r="DZ107">
        <v>7.4275900000000004</v>
      </c>
      <c r="EA107">
        <v>10.0284</v>
      </c>
      <c r="EB107">
        <v>21.674199999999999</v>
      </c>
      <c r="EC107">
        <v>2.8956499999999998</v>
      </c>
      <c r="ED107">
        <v>2.1566000000000001</v>
      </c>
      <c r="EE107">
        <v>23.439699999999998</v>
      </c>
      <c r="EF107">
        <v>18.6435</v>
      </c>
      <c r="EG107">
        <v>1799.96</v>
      </c>
      <c r="EH107">
        <v>0.97799700000000001</v>
      </c>
      <c r="EI107">
        <v>2.2002600000000001E-2</v>
      </c>
      <c r="EJ107">
        <v>0</v>
      </c>
      <c r="EK107">
        <v>776.61699999999996</v>
      </c>
      <c r="EL107">
        <v>5.0002700000000004</v>
      </c>
      <c r="EM107">
        <v>14511.2</v>
      </c>
      <c r="EN107">
        <v>16248.2</v>
      </c>
      <c r="EO107">
        <v>47.625</v>
      </c>
      <c r="EP107">
        <v>48.125</v>
      </c>
      <c r="EQ107">
        <v>48.561999999999998</v>
      </c>
      <c r="ER107">
        <v>47.686999999999998</v>
      </c>
      <c r="ES107">
        <v>49.25</v>
      </c>
      <c r="ET107">
        <v>1755.47</v>
      </c>
      <c r="EU107">
        <v>39.49</v>
      </c>
      <c r="EV107">
        <v>0</v>
      </c>
      <c r="EW107">
        <v>102.19999980926509</v>
      </c>
      <c r="EX107">
        <v>0</v>
      </c>
      <c r="EY107">
        <v>777.02055999999993</v>
      </c>
      <c r="EZ107">
        <v>-1.535769216066782</v>
      </c>
      <c r="FA107">
        <v>-17.561538465086919</v>
      </c>
      <c r="FB107">
        <v>14513.852000000001</v>
      </c>
      <c r="FC107">
        <v>15</v>
      </c>
      <c r="FD107">
        <v>1693515910.5999999</v>
      </c>
      <c r="FE107" t="s">
        <v>882</v>
      </c>
      <c r="FF107">
        <v>1693515898.5999999</v>
      </c>
      <c r="FG107">
        <v>1693515910.5999999</v>
      </c>
      <c r="FH107">
        <v>100</v>
      </c>
      <c r="FI107">
        <v>1.2E-2</v>
      </c>
      <c r="FJ107">
        <v>-4.0000000000000001E-3</v>
      </c>
      <c r="FK107">
        <v>1.903</v>
      </c>
      <c r="FL107">
        <v>0.502</v>
      </c>
      <c r="FM107">
        <v>10</v>
      </c>
      <c r="FN107">
        <v>22</v>
      </c>
      <c r="FO107">
        <v>0.82</v>
      </c>
      <c r="FP107">
        <v>0.04</v>
      </c>
      <c r="FQ107">
        <v>1.204651025157311</v>
      </c>
      <c r="FR107">
        <v>4.7533545053966203E-2</v>
      </c>
      <c r="FS107">
        <v>2.6107851591978901E-2</v>
      </c>
      <c r="FT107">
        <v>1</v>
      </c>
      <c r="FU107">
        <v>0.48523230066903639</v>
      </c>
      <c r="FV107">
        <v>4.5878803557564893E-2</v>
      </c>
      <c r="FW107">
        <v>3.6950850475758459E-3</v>
      </c>
      <c r="FX107">
        <v>1</v>
      </c>
      <c r="FY107">
        <v>2</v>
      </c>
      <c r="FZ107">
        <v>2</v>
      </c>
      <c r="GA107" t="s">
        <v>421</v>
      </c>
      <c r="GB107">
        <v>3.1184799999999999</v>
      </c>
      <c r="GC107">
        <v>2.86517</v>
      </c>
      <c r="GD107">
        <v>1.8532100000000001E-3</v>
      </c>
      <c r="GE107">
        <v>2.9030599999999998E-3</v>
      </c>
      <c r="GF107">
        <v>0.13075500000000001</v>
      </c>
      <c r="GG107">
        <v>0.111404</v>
      </c>
      <c r="GH107">
        <v>30183.9</v>
      </c>
      <c r="GI107">
        <v>23449.200000000001</v>
      </c>
      <c r="GJ107">
        <v>29151.8</v>
      </c>
      <c r="GK107">
        <v>21917.9</v>
      </c>
      <c r="GL107">
        <v>33919.4</v>
      </c>
      <c r="GM107">
        <v>26789.4</v>
      </c>
      <c r="GN107">
        <v>40451.1</v>
      </c>
      <c r="GO107">
        <v>31143.5</v>
      </c>
      <c r="GP107">
        <v>2.0312999999999999</v>
      </c>
      <c r="GQ107">
        <v>1.8</v>
      </c>
      <c r="GR107">
        <v>8.31485E-2</v>
      </c>
      <c r="GS107">
        <v>0</v>
      </c>
      <c r="GT107">
        <v>28.633900000000001</v>
      </c>
      <c r="GU107">
        <v>999.9</v>
      </c>
      <c r="GV107">
        <v>30.1</v>
      </c>
      <c r="GW107">
        <v>43.8</v>
      </c>
      <c r="GX107">
        <v>27.4011</v>
      </c>
      <c r="GY107">
        <v>61.659700000000001</v>
      </c>
      <c r="GZ107">
        <v>13.6378</v>
      </c>
      <c r="HA107">
        <v>1</v>
      </c>
      <c r="HB107">
        <v>0.22193099999999999</v>
      </c>
      <c r="HC107">
        <v>-0.42031600000000002</v>
      </c>
      <c r="HD107">
        <v>20.272200000000002</v>
      </c>
      <c r="HE107">
        <v>5.2346599999999999</v>
      </c>
      <c r="HF107">
        <v>11.974</v>
      </c>
      <c r="HG107">
        <v>4.9753999999999996</v>
      </c>
      <c r="HH107">
        <v>3.2839999999999998</v>
      </c>
      <c r="HI107">
        <v>9999</v>
      </c>
      <c r="HJ107">
        <v>9999</v>
      </c>
      <c r="HK107">
        <v>9999</v>
      </c>
      <c r="HL107">
        <v>999.9</v>
      </c>
      <c r="HM107">
        <v>1.8613900000000001</v>
      </c>
      <c r="HN107">
        <v>1.8631</v>
      </c>
      <c r="HO107">
        <v>1.8683799999999999</v>
      </c>
      <c r="HP107">
        <v>1.8591899999999999</v>
      </c>
      <c r="HQ107">
        <v>1.85745</v>
      </c>
      <c r="HR107">
        <v>1.86127</v>
      </c>
      <c r="HS107">
        <v>1.8650199999999999</v>
      </c>
      <c r="HT107">
        <v>1.8670500000000001</v>
      </c>
      <c r="HU107">
        <v>5</v>
      </c>
      <c r="HV107">
        <v>0</v>
      </c>
      <c r="HW107">
        <v>0</v>
      </c>
      <c r="HX107">
        <v>0</v>
      </c>
      <c r="HY107" t="s">
        <v>422</v>
      </c>
      <c r="HZ107" t="s">
        <v>423</v>
      </c>
      <c r="IA107" t="s">
        <v>424</v>
      </c>
      <c r="IB107" t="s">
        <v>424</v>
      </c>
      <c r="IC107" t="s">
        <v>424</v>
      </c>
      <c r="ID107" t="s">
        <v>424</v>
      </c>
      <c r="IE107">
        <v>0</v>
      </c>
      <c r="IF107">
        <v>100</v>
      </c>
      <c r="IG107">
        <v>100</v>
      </c>
      <c r="IH107">
        <v>1.901</v>
      </c>
      <c r="II107">
        <v>0.91200000000000003</v>
      </c>
      <c r="IJ107">
        <v>1.893810695222399</v>
      </c>
      <c r="IK107">
        <v>1.118558698776514E-3</v>
      </c>
      <c r="IL107">
        <v>-1.6939696309573479E-6</v>
      </c>
      <c r="IM107">
        <v>5.4698917449866148E-10</v>
      </c>
      <c r="IN107">
        <v>-7.4797400996290397E-3</v>
      </c>
      <c r="IO107">
        <v>-7.6058941998734366E-3</v>
      </c>
      <c r="IP107">
        <v>1.6984902717538061E-3</v>
      </c>
      <c r="IQ107">
        <v>-9.6352527008986976E-6</v>
      </c>
      <c r="IR107">
        <v>2</v>
      </c>
      <c r="IS107">
        <v>2021</v>
      </c>
      <c r="IT107">
        <v>2</v>
      </c>
      <c r="IU107">
        <v>40</v>
      </c>
      <c r="IV107">
        <v>0.7</v>
      </c>
      <c r="IW107">
        <v>0.5</v>
      </c>
      <c r="IX107">
        <v>0.168457</v>
      </c>
      <c r="IY107">
        <v>2.6293899999999999</v>
      </c>
      <c r="IZ107">
        <v>1.34399</v>
      </c>
      <c r="JA107">
        <v>2.2326700000000002</v>
      </c>
      <c r="JB107">
        <v>1.5918000000000001</v>
      </c>
      <c r="JC107">
        <v>2.3168899999999999</v>
      </c>
      <c r="JD107">
        <v>47.182499999999997</v>
      </c>
      <c r="JE107">
        <v>24.1313</v>
      </c>
      <c r="JF107">
        <v>18</v>
      </c>
      <c r="JG107">
        <v>516.702</v>
      </c>
      <c r="JH107">
        <v>405.76799999999997</v>
      </c>
      <c r="JI107">
        <v>28.020600000000002</v>
      </c>
      <c r="JJ107">
        <v>30.377700000000001</v>
      </c>
      <c r="JK107">
        <v>29.9999</v>
      </c>
      <c r="JL107">
        <v>30.358799999999999</v>
      </c>
      <c r="JM107">
        <v>30.325399999999998</v>
      </c>
      <c r="JN107">
        <v>3.4478599999999999</v>
      </c>
      <c r="JO107">
        <v>16.2942</v>
      </c>
      <c r="JP107">
        <v>20.446200000000001</v>
      </c>
      <c r="JQ107">
        <v>28.196400000000001</v>
      </c>
      <c r="JR107">
        <v>10</v>
      </c>
      <c r="JS107">
        <v>21.583300000000001</v>
      </c>
      <c r="JT107">
        <v>99.386399999999995</v>
      </c>
      <c r="JU107">
        <v>98.3934</v>
      </c>
    </row>
    <row r="108" spans="1:281" x14ac:dyDescent="0.25">
      <c r="A108">
        <v>92</v>
      </c>
      <c r="B108">
        <v>1693516128.5999999</v>
      </c>
      <c r="C108">
        <v>21202</v>
      </c>
      <c r="D108" t="s">
        <v>883</v>
      </c>
      <c r="E108" t="s">
        <v>884</v>
      </c>
      <c r="F108" t="s">
        <v>413</v>
      </c>
      <c r="G108" t="s">
        <v>565</v>
      </c>
      <c r="H108" t="s">
        <v>415</v>
      </c>
      <c r="I108" t="s">
        <v>415</v>
      </c>
      <c r="J108">
        <v>1693516128.5999999</v>
      </c>
      <c r="K108">
        <f t="shared" si="92"/>
        <v>6.2557434723773059E-3</v>
      </c>
      <c r="L108">
        <f t="shared" si="93"/>
        <v>6.255743472377306</v>
      </c>
      <c r="M108">
        <f t="shared" si="94"/>
        <v>37.4147443888304</v>
      </c>
      <c r="N108">
        <f t="shared" si="95"/>
        <v>352.476</v>
      </c>
      <c r="O108">
        <f t="shared" si="96"/>
        <v>208.50238697245379</v>
      </c>
      <c r="P108">
        <f t="shared" si="97"/>
        <v>20.765923250987139</v>
      </c>
      <c r="Q108">
        <f t="shared" si="98"/>
        <v>35.105063640264</v>
      </c>
      <c r="R108">
        <f t="shared" si="99"/>
        <v>0.46838034465395506</v>
      </c>
      <c r="S108">
        <f t="shared" si="100"/>
        <v>2.9145473500732684</v>
      </c>
      <c r="T108">
        <f t="shared" si="101"/>
        <v>0.43022576809374846</v>
      </c>
      <c r="U108">
        <f t="shared" si="102"/>
        <v>0.27205966431195994</v>
      </c>
      <c r="V108">
        <f t="shared" si="103"/>
        <v>344.38519964451581</v>
      </c>
      <c r="W108">
        <f t="shared" si="104"/>
        <v>31.102588475362204</v>
      </c>
      <c r="X108">
        <f t="shared" si="105"/>
        <v>30.031199999999998</v>
      </c>
      <c r="Y108">
        <f t="shared" si="106"/>
        <v>4.2680908997912006</v>
      </c>
      <c r="Z108">
        <f t="shared" si="107"/>
        <v>64.765230701781235</v>
      </c>
      <c r="AA108">
        <f t="shared" si="108"/>
        <v>2.8718196105672003</v>
      </c>
      <c r="AB108">
        <f t="shared" si="109"/>
        <v>4.4341996152083762</v>
      </c>
      <c r="AC108">
        <f t="shared" si="110"/>
        <v>1.3962712892240003</v>
      </c>
      <c r="AD108">
        <f t="shared" si="111"/>
        <v>-275.87828713183922</v>
      </c>
      <c r="AE108">
        <f t="shared" si="112"/>
        <v>104.72652964531095</v>
      </c>
      <c r="AF108">
        <f t="shared" si="113"/>
        <v>8.0184677695315827</v>
      </c>
      <c r="AG108">
        <f t="shared" si="114"/>
        <v>181.25190992751914</v>
      </c>
      <c r="AH108">
        <v>0</v>
      </c>
      <c r="AI108">
        <v>0</v>
      </c>
      <c r="AJ108">
        <f t="shared" si="115"/>
        <v>1</v>
      </c>
      <c r="AK108">
        <f t="shared" si="116"/>
        <v>0</v>
      </c>
      <c r="AL108">
        <f t="shared" si="117"/>
        <v>51795.294015955857</v>
      </c>
      <c r="AM108" t="s">
        <v>416</v>
      </c>
      <c r="AN108">
        <v>10366.9</v>
      </c>
      <c r="AO108">
        <v>993.59653846153856</v>
      </c>
      <c r="AP108">
        <v>3431.87</v>
      </c>
      <c r="AQ108">
        <f t="shared" si="118"/>
        <v>0.71047955241266758</v>
      </c>
      <c r="AR108">
        <v>-3.9894345373445681</v>
      </c>
      <c r="AS108" t="s">
        <v>885</v>
      </c>
      <c r="AT108">
        <v>10369.299999999999</v>
      </c>
      <c r="AU108">
        <v>757.38340000000017</v>
      </c>
      <c r="AV108">
        <v>1015.572191593552</v>
      </c>
      <c r="AW108">
        <f t="shared" si="119"/>
        <v>0.25422987526708796</v>
      </c>
      <c r="AX108">
        <v>0.5</v>
      </c>
      <c r="AY108">
        <f t="shared" si="120"/>
        <v>1513.2521998222578</v>
      </c>
      <c r="AZ108">
        <f t="shared" si="121"/>
        <v>37.4147443888304</v>
      </c>
      <c r="BA108">
        <f t="shared" si="122"/>
        <v>192.35695900422954</v>
      </c>
      <c r="BB108">
        <f t="shared" si="123"/>
        <v>2.7361056492128794E-2</v>
      </c>
      <c r="BC108">
        <f t="shared" si="124"/>
        <v>2.3792477072604687</v>
      </c>
      <c r="BD108">
        <f t="shared" si="125"/>
        <v>588.33047052069844</v>
      </c>
      <c r="BE108" t="s">
        <v>886</v>
      </c>
      <c r="BF108">
        <v>590.87</v>
      </c>
      <c r="BG108">
        <f t="shared" si="126"/>
        <v>590.87</v>
      </c>
      <c r="BH108">
        <f t="shared" si="127"/>
        <v>0.41819005592024372</v>
      </c>
      <c r="BI108">
        <f t="shared" si="128"/>
        <v>0.60792903051614899</v>
      </c>
      <c r="BJ108">
        <f t="shared" si="129"/>
        <v>0.8505096122514777</v>
      </c>
      <c r="BK108">
        <f t="shared" si="130"/>
        <v>11.748856338537228</v>
      </c>
      <c r="BL108">
        <f t="shared" si="131"/>
        <v>0.99098720735034052</v>
      </c>
      <c r="BM108">
        <f t="shared" si="132"/>
        <v>0.47427369844794182</v>
      </c>
      <c r="BN108">
        <f t="shared" si="133"/>
        <v>0.52572630155205813</v>
      </c>
      <c r="BO108">
        <v>2331</v>
      </c>
      <c r="BP108">
        <v>290.00000000000011</v>
      </c>
      <c r="BQ108">
        <v>934.28</v>
      </c>
      <c r="BR108">
        <v>145</v>
      </c>
      <c r="BS108">
        <v>10369.299999999999</v>
      </c>
      <c r="BT108">
        <v>932.26</v>
      </c>
      <c r="BU108">
        <v>2.02</v>
      </c>
      <c r="BV108">
        <v>300.00000000000011</v>
      </c>
      <c r="BW108">
        <v>38.4</v>
      </c>
      <c r="BX108">
        <v>1015.572191593552</v>
      </c>
      <c r="BY108">
        <v>0.98390427877648456</v>
      </c>
      <c r="BZ108">
        <v>-86.38656742213216</v>
      </c>
      <c r="CA108">
        <v>0.83416362958332146</v>
      </c>
      <c r="CB108">
        <v>0.9973960314632826</v>
      </c>
      <c r="CC108">
        <v>-1.1271681201334829E-2</v>
      </c>
      <c r="CD108">
        <v>289.99999999999989</v>
      </c>
      <c r="CE108">
        <v>918.22</v>
      </c>
      <c r="CF108">
        <v>645</v>
      </c>
      <c r="CG108">
        <v>10339.799999999999</v>
      </c>
      <c r="CH108">
        <v>932.02</v>
      </c>
      <c r="CI108">
        <v>-13.8</v>
      </c>
      <c r="CW108">
        <f t="shared" si="134"/>
        <v>1800.08</v>
      </c>
      <c r="CX108">
        <f t="shared" si="135"/>
        <v>1513.2521998222578</v>
      </c>
      <c r="CY108">
        <f t="shared" si="136"/>
        <v>0.84065830397663321</v>
      </c>
      <c r="CZ108">
        <f t="shared" si="137"/>
        <v>0.19131660795326644</v>
      </c>
      <c r="DA108">
        <v>6</v>
      </c>
      <c r="DB108">
        <v>0.5</v>
      </c>
      <c r="DC108" t="s">
        <v>419</v>
      </c>
      <c r="DD108">
        <v>2</v>
      </c>
      <c r="DE108">
        <v>1693516128.5999999</v>
      </c>
      <c r="DF108">
        <v>352.476</v>
      </c>
      <c r="DG108">
        <v>400.07100000000003</v>
      </c>
      <c r="DH108">
        <v>28.834800000000001</v>
      </c>
      <c r="DI108">
        <v>21.5365</v>
      </c>
      <c r="DJ108">
        <v>349.88</v>
      </c>
      <c r="DK108">
        <v>27.9453</v>
      </c>
      <c r="DL108">
        <v>499.46100000000001</v>
      </c>
      <c r="DM108">
        <v>99.495500000000007</v>
      </c>
      <c r="DN108">
        <v>0.10011399999999999</v>
      </c>
      <c r="DO108">
        <v>30.697700000000001</v>
      </c>
      <c r="DP108">
        <v>30.031199999999998</v>
      </c>
      <c r="DQ108">
        <v>999.9</v>
      </c>
      <c r="DR108">
        <v>0</v>
      </c>
      <c r="DS108">
        <v>0</v>
      </c>
      <c r="DT108">
        <v>9965</v>
      </c>
      <c r="DU108">
        <v>0</v>
      </c>
      <c r="DV108">
        <v>96.272599999999997</v>
      </c>
      <c r="DW108">
        <v>-47.595100000000002</v>
      </c>
      <c r="DX108">
        <v>362.94099999999997</v>
      </c>
      <c r="DY108">
        <v>408.87700000000001</v>
      </c>
      <c r="DZ108">
        <v>7.29826</v>
      </c>
      <c r="EA108">
        <v>400.07100000000003</v>
      </c>
      <c r="EB108">
        <v>21.5365</v>
      </c>
      <c r="EC108">
        <v>2.8689300000000002</v>
      </c>
      <c r="ED108">
        <v>2.1427900000000002</v>
      </c>
      <c r="EE108">
        <v>23.286100000000001</v>
      </c>
      <c r="EF108">
        <v>18.540900000000001</v>
      </c>
      <c r="EG108">
        <v>1800.08</v>
      </c>
      <c r="EH108">
        <v>0.97799700000000001</v>
      </c>
      <c r="EI108">
        <v>2.2002600000000001E-2</v>
      </c>
      <c r="EJ108">
        <v>0</v>
      </c>
      <c r="EK108">
        <v>756.09400000000005</v>
      </c>
      <c r="EL108">
        <v>5.0002700000000004</v>
      </c>
      <c r="EM108">
        <v>14132.9</v>
      </c>
      <c r="EN108">
        <v>16249.3</v>
      </c>
      <c r="EO108">
        <v>47.625</v>
      </c>
      <c r="EP108">
        <v>48.125</v>
      </c>
      <c r="EQ108">
        <v>48.5</v>
      </c>
      <c r="ER108">
        <v>47.686999999999998</v>
      </c>
      <c r="ES108">
        <v>49.25</v>
      </c>
      <c r="ET108">
        <v>1755.58</v>
      </c>
      <c r="EU108">
        <v>39.5</v>
      </c>
      <c r="EV108">
        <v>0</v>
      </c>
      <c r="EW108">
        <v>187.79999995231631</v>
      </c>
      <c r="EX108">
        <v>0</v>
      </c>
      <c r="EY108">
        <v>757.38340000000017</v>
      </c>
      <c r="EZ108">
        <v>-11.21600001526525</v>
      </c>
      <c r="FA108">
        <v>-193.2461541617389</v>
      </c>
      <c r="FB108">
        <v>14154.832</v>
      </c>
      <c r="FC108">
        <v>15</v>
      </c>
      <c r="FD108">
        <v>1693516014.0999999</v>
      </c>
      <c r="FE108" t="s">
        <v>887</v>
      </c>
      <c r="FF108">
        <v>1693516009.0999999</v>
      </c>
      <c r="FG108">
        <v>1693516014.0999999</v>
      </c>
      <c r="FH108">
        <v>101</v>
      </c>
      <c r="FI108">
        <v>0.495</v>
      </c>
      <c r="FJ108">
        <v>-7.0000000000000001E-3</v>
      </c>
      <c r="FK108">
        <v>2.6</v>
      </c>
      <c r="FL108">
        <v>0.47699999999999998</v>
      </c>
      <c r="FM108">
        <v>400</v>
      </c>
      <c r="FN108">
        <v>21</v>
      </c>
      <c r="FO108">
        <v>0.13</v>
      </c>
      <c r="FP108">
        <v>0.02</v>
      </c>
      <c r="FQ108">
        <v>37.167276208010463</v>
      </c>
      <c r="FR108">
        <v>1.5301977977572061</v>
      </c>
      <c r="FS108">
        <v>0.1417039015695761</v>
      </c>
      <c r="FT108">
        <v>0</v>
      </c>
      <c r="FU108">
        <v>0.47021747019757659</v>
      </c>
      <c r="FV108">
        <v>-1.24900621137024E-2</v>
      </c>
      <c r="FW108">
        <v>1.0700058192083029E-3</v>
      </c>
      <c r="FX108">
        <v>1</v>
      </c>
      <c r="FY108">
        <v>1</v>
      </c>
      <c r="FZ108">
        <v>2</v>
      </c>
      <c r="GA108" t="s">
        <v>460</v>
      </c>
      <c r="GB108">
        <v>3.1172200000000001</v>
      </c>
      <c r="GC108">
        <v>2.86496</v>
      </c>
      <c r="GD108">
        <v>8.3710199999999998E-2</v>
      </c>
      <c r="GE108">
        <v>9.5371800000000007E-2</v>
      </c>
      <c r="GF108">
        <v>0.129968</v>
      </c>
      <c r="GG108">
        <v>0.110912</v>
      </c>
      <c r="GH108">
        <v>27710.2</v>
      </c>
      <c r="GI108">
        <v>21277.4</v>
      </c>
      <c r="GJ108">
        <v>29153.5</v>
      </c>
      <c r="GK108">
        <v>21920.799999999999</v>
      </c>
      <c r="GL108">
        <v>33960.400000000001</v>
      </c>
      <c r="GM108">
        <v>26813.8</v>
      </c>
      <c r="GN108">
        <v>40453.1</v>
      </c>
      <c r="GO108">
        <v>31146.2</v>
      </c>
      <c r="GP108">
        <v>2.0324</v>
      </c>
      <c r="GQ108">
        <v>1.8026</v>
      </c>
      <c r="GR108">
        <v>8.3669999999999994E-2</v>
      </c>
      <c r="GS108">
        <v>0</v>
      </c>
      <c r="GT108">
        <v>28.668199999999999</v>
      </c>
      <c r="GU108">
        <v>999.9</v>
      </c>
      <c r="GV108">
        <v>29.7</v>
      </c>
      <c r="GW108">
        <v>43.8</v>
      </c>
      <c r="GX108">
        <v>27.034700000000001</v>
      </c>
      <c r="GY108">
        <v>61.209800000000001</v>
      </c>
      <c r="GZ108">
        <v>14.1226</v>
      </c>
      <c r="HA108">
        <v>1</v>
      </c>
      <c r="HB108">
        <v>0.21845500000000001</v>
      </c>
      <c r="HC108">
        <v>0.64752699999999996</v>
      </c>
      <c r="HD108">
        <v>20.272099999999998</v>
      </c>
      <c r="HE108">
        <v>5.2352600000000002</v>
      </c>
      <c r="HF108">
        <v>11.974</v>
      </c>
      <c r="HG108">
        <v>4.9756</v>
      </c>
      <c r="HH108">
        <v>3.2839999999999998</v>
      </c>
      <c r="HI108">
        <v>9999</v>
      </c>
      <c r="HJ108">
        <v>9999</v>
      </c>
      <c r="HK108">
        <v>9999</v>
      </c>
      <c r="HL108">
        <v>999.9</v>
      </c>
      <c r="HM108">
        <v>1.8614200000000001</v>
      </c>
      <c r="HN108">
        <v>1.8631</v>
      </c>
      <c r="HO108">
        <v>1.8684000000000001</v>
      </c>
      <c r="HP108">
        <v>1.8591899999999999</v>
      </c>
      <c r="HQ108">
        <v>1.85747</v>
      </c>
      <c r="HR108">
        <v>1.8611899999999999</v>
      </c>
      <c r="HS108">
        <v>1.8649899999999999</v>
      </c>
      <c r="HT108">
        <v>1.8670500000000001</v>
      </c>
      <c r="HU108">
        <v>5</v>
      </c>
      <c r="HV108">
        <v>0</v>
      </c>
      <c r="HW108">
        <v>0</v>
      </c>
      <c r="HX108">
        <v>0</v>
      </c>
      <c r="HY108" t="s">
        <v>422</v>
      </c>
      <c r="HZ108" t="s">
        <v>423</v>
      </c>
      <c r="IA108" t="s">
        <v>424</v>
      </c>
      <c r="IB108" t="s">
        <v>424</v>
      </c>
      <c r="IC108" t="s">
        <v>424</v>
      </c>
      <c r="ID108" t="s">
        <v>424</v>
      </c>
      <c r="IE108">
        <v>0</v>
      </c>
      <c r="IF108">
        <v>100</v>
      </c>
      <c r="IG108">
        <v>100</v>
      </c>
      <c r="IH108">
        <v>2.5960000000000001</v>
      </c>
      <c r="II108">
        <v>0.88949999999999996</v>
      </c>
      <c r="IJ108">
        <v>2.38836727429798</v>
      </c>
      <c r="IK108">
        <v>1.118558698776514E-3</v>
      </c>
      <c r="IL108">
        <v>-1.6939696309573479E-6</v>
      </c>
      <c r="IM108">
        <v>5.4698917449866148E-10</v>
      </c>
      <c r="IN108">
        <v>-1.4093835547131671E-2</v>
      </c>
      <c r="IO108">
        <v>-7.6058941998734366E-3</v>
      </c>
      <c r="IP108">
        <v>1.6984902717538061E-3</v>
      </c>
      <c r="IQ108">
        <v>-9.6352527008986976E-6</v>
      </c>
      <c r="IR108">
        <v>2</v>
      </c>
      <c r="IS108">
        <v>2021</v>
      </c>
      <c r="IT108">
        <v>2</v>
      </c>
      <c r="IU108">
        <v>40</v>
      </c>
      <c r="IV108">
        <v>2</v>
      </c>
      <c r="IW108">
        <v>1.9</v>
      </c>
      <c r="IX108">
        <v>1.03027</v>
      </c>
      <c r="IY108">
        <v>2.5463900000000002</v>
      </c>
      <c r="IZ108">
        <v>1.34399</v>
      </c>
      <c r="JA108">
        <v>2.2326700000000002</v>
      </c>
      <c r="JB108">
        <v>1.5918000000000001</v>
      </c>
      <c r="JC108">
        <v>2.5</v>
      </c>
      <c r="JD108">
        <v>47.063400000000001</v>
      </c>
      <c r="JE108">
        <v>24.14</v>
      </c>
      <c r="JF108">
        <v>18</v>
      </c>
      <c r="JG108">
        <v>516.99599999999998</v>
      </c>
      <c r="JH108">
        <v>407.03699999999998</v>
      </c>
      <c r="JI108">
        <v>28.270299999999999</v>
      </c>
      <c r="JJ108">
        <v>30.324999999999999</v>
      </c>
      <c r="JK108">
        <v>30</v>
      </c>
      <c r="JL108">
        <v>30.311599999999999</v>
      </c>
      <c r="JM108">
        <v>30.2836</v>
      </c>
      <c r="JN108">
        <v>20.700600000000001</v>
      </c>
      <c r="JO108">
        <v>14.5623</v>
      </c>
      <c r="JP108">
        <v>19.5199</v>
      </c>
      <c r="JQ108">
        <v>28.2544</v>
      </c>
      <c r="JR108">
        <v>400</v>
      </c>
      <c r="JS108">
        <v>21.5899</v>
      </c>
      <c r="JT108">
        <v>99.391599999999997</v>
      </c>
      <c r="JU108">
        <v>98.403899999999993</v>
      </c>
    </row>
    <row r="109" spans="1:281" x14ac:dyDescent="0.25">
      <c r="A109">
        <v>93</v>
      </c>
      <c r="B109">
        <v>1693516318.0999999</v>
      </c>
      <c r="C109">
        <v>21391.5</v>
      </c>
      <c r="D109" t="s">
        <v>888</v>
      </c>
      <c r="E109" t="s">
        <v>889</v>
      </c>
      <c r="F109" t="s">
        <v>413</v>
      </c>
      <c r="G109" t="s">
        <v>565</v>
      </c>
      <c r="H109" t="s">
        <v>415</v>
      </c>
      <c r="I109" t="s">
        <v>415</v>
      </c>
      <c r="J109">
        <v>1693516318.0999999</v>
      </c>
      <c r="K109">
        <f t="shared" si="92"/>
        <v>5.8165034497960379E-3</v>
      </c>
      <c r="L109">
        <f t="shared" si="93"/>
        <v>5.8165034497960377</v>
      </c>
      <c r="M109">
        <f t="shared" si="94"/>
        <v>42.51663930275604</v>
      </c>
      <c r="N109">
        <f t="shared" si="95"/>
        <v>346.46800000000002</v>
      </c>
      <c r="O109">
        <f t="shared" si="96"/>
        <v>171.55593801017707</v>
      </c>
      <c r="P109">
        <f t="shared" si="97"/>
        <v>17.085118758927877</v>
      </c>
      <c r="Q109">
        <f t="shared" si="98"/>
        <v>34.504471222774399</v>
      </c>
      <c r="R109">
        <f t="shared" si="99"/>
        <v>0.43077981982087193</v>
      </c>
      <c r="S109">
        <f t="shared" si="100"/>
        <v>2.9232027222197274</v>
      </c>
      <c r="T109">
        <f t="shared" si="101"/>
        <v>0.39836612964265017</v>
      </c>
      <c r="U109">
        <f t="shared" si="102"/>
        <v>0.25168752122180138</v>
      </c>
      <c r="V109">
        <f t="shared" si="103"/>
        <v>344.40039964453166</v>
      </c>
      <c r="W109">
        <f t="shared" si="104"/>
        <v>31.103673581983649</v>
      </c>
      <c r="X109">
        <f t="shared" si="105"/>
        <v>29.998000000000001</v>
      </c>
      <c r="Y109">
        <f t="shared" si="106"/>
        <v>4.2599603634351402</v>
      </c>
      <c r="Z109">
        <f t="shared" si="107"/>
        <v>64.864129474288092</v>
      </c>
      <c r="AA109">
        <f t="shared" si="108"/>
        <v>2.8578316239969599</v>
      </c>
      <c r="AB109">
        <f t="shared" si="109"/>
        <v>4.4058737042478837</v>
      </c>
      <c r="AC109">
        <f t="shared" si="110"/>
        <v>1.4021287394381803</v>
      </c>
      <c r="AD109">
        <f t="shared" si="111"/>
        <v>-256.5078021360053</v>
      </c>
      <c r="AE109">
        <f t="shared" si="112"/>
        <v>92.603236352197854</v>
      </c>
      <c r="AF109">
        <f t="shared" si="113"/>
        <v>7.064165275909966</v>
      </c>
      <c r="AG109">
        <f t="shared" si="114"/>
        <v>187.55999913663416</v>
      </c>
      <c r="AH109">
        <v>0</v>
      </c>
      <c r="AI109">
        <v>0</v>
      </c>
      <c r="AJ109">
        <f t="shared" si="115"/>
        <v>1</v>
      </c>
      <c r="AK109">
        <f t="shared" si="116"/>
        <v>0</v>
      </c>
      <c r="AL109">
        <f t="shared" si="117"/>
        <v>52060.620934613769</v>
      </c>
      <c r="AM109" t="s">
        <v>416</v>
      </c>
      <c r="AN109">
        <v>10366.9</v>
      </c>
      <c r="AO109">
        <v>993.59653846153856</v>
      </c>
      <c r="AP109">
        <v>3431.87</v>
      </c>
      <c r="AQ109">
        <f t="shared" si="118"/>
        <v>0.71047955241266758</v>
      </c>
      <c r="AR109">
        <v>-3.9894345373445681</v>
      </c>
      <c r="AS109" t="s">
        <v>890</v>
      </c>
      <c r="AT109">
        <v>10378.200000000001</v>
      </c>
      <c r="AU109">
        <v>761.05719230769239</v>
      </c>
      <c r="AV109">
        <v>1056.13933816229</v>
      </c>
      <c r="AW109">
        <f t="shared" si="119"/>
        <v>0.27939698408360414</v>
      </c>
      <c r="AX109">
        <v>0.5</v>
      </c>
      <c r="AY109">
        <f t="shared" si="120"/>
        <v>1513.3193998222657</v>
      </c>
      <c r="AZ109">
        <f t="shared" si="121"/>
        <v>42.51663930275604</v>
      </c>
      <c r="BA109">
        <f t="shared" si="122"/>
        <v>211.40843813277547</v>
      </c>
      <c r="BB109">
        <f t="shared" si="123"/>
        <v>3.0731168744392356E-2</v>
      </c>
      <c r="BC109">
        <f t="shared" si="124"/>
        <v>2.2494481324514841</v>
      </c>
      <c r="BD109">
        <f t="shared" si="125"/>
        <v>601.7197765747859</v>
      </c>
      <c r="BE109" t="s">
        <v>891</v>
      </c>
      <c r="BF109">
        <v>596.65</v>
      </c>
      <c r="BG109">
        <f t="shared" si="126"/>
        <v>596.65</v>
      </c>
      <c r="BH109">
        <f t="shared" si="127"/>
        <v>0.43506507291150942</v>
      </c>
      <c r="BI109">
        <f t="shared" si="128"/>
        <v>0.64219584949406516</v>
      </c>
      <c r="BJ109">
        <f t="shared" si="129"/>
        <v>0.83793520849800363</v>
      </c>
      <c r="BK109">
        <f t="shared" si="130"/>
        <v>4.7180834127425921</v>
      </c>
      <c r="BL109">
        <f t="shared" si="131"/>
        <v>0.97434955484390595</v>
      </c>
      <c r="BM109">
        <f t="shared" si="132"/>
        <v>0.50346564945899808</v>
      </c>
      <c r="BN109">
        <f t="shared" si="133"/>
        <v>0.49653435054100192</v>
      </c>
      <c r="BO109">
        <v>2333</v>
      </c>
      <c r="BP109">
        <v>290.00000000000011</v>
      </c>
      <c r="BQ109">
        <v>972.61</v>
      </c>
      <c r="BR109">
        <v>105</v>
      </c>
      <c r="BS109">
        <v>10378.200000000001</v>
      </c>
      <c r="BT109">
        <v>968.54</v>
      </c>
      <c r="BU109">
        <v>4.07</v>
      </c>
      <c r="BV109">
        <v>300.00000000000011</v>
      </c>
      <c r="BW109">
        <v>38.4</v>
      </c>
      <c r="BX109">
        <v>1056.13933816229</v>
      </c>
      <c r="BY109">
        <v>1.0459909456318091</v>
      </c>
      <c r="BZ109">
        <v>-90.910211383555023</v>
      </c>
      <c r="CA109">
        <v>0.88686831084393791</v>
      </c>
      <c r="CB109">
        <v>0.99734236559058642</v>
      </c>
      <c r="CC109">
        <v>-1.1272647830923251E-2</v>
      </c>
      <c r="CD109">
        <v>289.99999999999989</v>
      </c>
      <c r="CE109">
        <v>958.27</v>
      </c>
      <c r="CF109">
        <v>645</v>
      </c>
      <c r="CG109">
        <v>10340.6</v>
      </c>
      <c r="CH109">
        <v>968.22</v>
      </c>
      <c r="CI109">
        <v>-9.9499999999999993</v>
      </c>
      <c r="CW109">
        <f t="shared" si="134"/>
        <v>1800.16</v>
      </c>
      <c r="CX109">
        <f t="shared" si="135"/>
        <v>1513.3193998222657</v>
      </c>
      <c r="CY109">
        <f t="shared" si="136"/>
        <v>0.84065827472128352</v>
      </c>
      <c r="CZ109">
        <f t="shared" si="137"/>
        <v>0.19131654944256712</v>
      </c>
      <c r="DA109">
        <v>6</v>
      </c>
      <c r="DB109">
        <v>0.5</v>
      </c>
      <c r="DC109" t="s">
        <v>419</v>
      </c>
      <c r="DD109">
        <v>2</v>
      </c>
      <c r="DE109">
        <v>1693516318.0999999</v>
      </c>
      <c r="DF109">
        <v>346.46800000000002</v>
      </c>
      <c r="DG109">
        <v>399.94400000000002</v>
      </c>
      <c r="DH109">
        <v>28.696200000000001</v>
      </c>
      <c r="DI109">
        <v>21.911899999999999</v>
      </c>
      <c r="DJ109">
        <v>343.858</v>
      </c>
      <c r="DK109">
        <v>27.808800000000002</v>
      </c>
      <c r="DL109">
        <v>499.64699999999999</v>
      </c>
      <c r="DM109">
        <v>99.489400000000003</v>
      </c>
      <c r="DN109">
        <v>9.9800799999999995E-2</v>
      </c>
      <c r="DO109">
        <v>30.585599999999999</v>
      </c>
      <c r="DP109">
        <v>29.998000000000001</v>
      </c>
      <c r="DQ109">
        <v>999.9</v>
      </c>
      <c r="DR109">
        <v>0</v>
      </c>
      <c r="DS109">
        <v>0</v>
      </c>
      <c r="DT109">
        <v>10015</v>
      </c>
      <c r="DU109">
        <v>0</v>
      </c>
      <c r="DV109">
        <v>95.695400000000006</v>
      </c>
      <c r="DW109">
        <v>-53.4756</v>
      </c>
      <c r="DX109">
        <v>356.70400000000001</v>
      </c>
      <c r="DY109">
        <v>408.90300000000002</v>
      </c>
      <c r="DZ109">
        <v>6.78437</v>
      </c>
      <c r="EA109">
        <v>399.94400000000002</v>
      </c>
      <c r="EB109">
        <v>21.911899999999999</v>
      </c>
      <c r="EC109">
        <v>2.8549699999999998</v>
      </c>
      <c r="ED109">
        <v>2.1800000000000002</v>
      </c>
      <c r="EE109">
        <v>23.205400000000001</v>
      </c>
      <c r="EF109">
        <v>18.816099999999999</v>
      </c>
      <c r="EG109">
        <v>1800.16</v>
      </c>
      <c r="EH109">
        <v>0.97799700000000001</v>
      </c>
      <c r="EI109">
        <v>2.2002600000000001E-2</v>
      </c>
      <c r="EJ109">
        <v>0</v>
      </c>
      <c r="EK109">
        <v>761.81700000000001</v>
      </c>
      <c r="EL109">
        <v>5.0002700000000004</v>
      </c>
      <c r="EM109">
        <v>14235.4</v>
      </c>
      <c r="EN109">
        <v>16250</v>
      </c>
      <c r="EO109">
        <v>47.561999999999998</v>
      </c>
      <c r="EP109">
        <v>48.061999999999998</v>
      </c>
      <c r="EQ109">
        <v>48.436999999999998</v>
      </c>
      <c r="ER109">
        <v>47.686999999999998</v>
      </c>
      <c r="ES109">
        <v>49.186999999999998</v>
      </c>
      <c r="ET109">
        <v>1755.66</v>
      </c>
      <c r="EU109">
        <v>39.5</v>
      </c>
      <c r="EV109">
        <v>0</v>
      </c>
      <c r="EW109">
        <v>187.79999995231631</v>
      </c>
      <c r="EX109">
        <v>0</v>
      </c>
      <c r="EY109">
        <v>761.05719230769239</v>
      </c>
      <c r="EZ109">
        <v>5.2175384696948726</v>
      </c>
      <c r="FA109">
        <v>77.473504336515504</v>
      </c>
      <c r="FB109">
        <v>14224.373076923081</v>
      </c>
      <c r="FC109">
        <v>15</v>
      </c>
      <c r="FD109">
        <v>1693516193.0999999</v>
      </c>
      <c r="FE109" t="s">
        <v>892</v>
      </c>
      <c r="FF109">
        <v>1693516186.0999999</v>
      </c>
      <c r="FG109">
        <v>1693516193.0999999</v>
      </c>
      <c r="FH109">
        <v>102</v>
      </c>
      <c r="FI109">
        <v>1.4999999999999999E-2</v>
      </c>
      <c r="FJ109">
        <v>7.0000000000000001E-3</v>
      </c>
      <c r="FK109">
        <v>2.6139999999999999</v>
      </c>
      <c r="FL109">
        <v>0.505</v>
      </c>
      <c r="FM109">
        <v>400</v>
      </c>
      <c r="FN109">
        <v>22</v>
      </c>
      <c r="FO109">
        <v>0.11</v>
      </c>
      <c r="FP109">
        <v>0.03</v>
      </c>
      <c r="FQ109">
        <v>42.379234033536783</v>
      </c>
      <c r="FR109">
        <v>1.919367862253442</v>
      </c>
      <c r="FS109">
        <v>0.1621272351082588</v>
      </c>
      <c r="FT109">
        <v>0</v>
      </c>
      <c r="FU109">
        <v>0.43333375269615171</v>
      </c>
      <c r="FV109">
        <v>-2.5743800077836429E-2</v>
      </c>
      <c r="FW109">
        <v>2.187736344819986E-3</v>
      </c>
      <c r="FX109">
        <v>1</v>
      </c>
      <c r="FY109">
        <v>1</v>
      </c>
      <c r="FZ109">
        <v>2</v>
      </c>
      <c r="GA109" t="s">
        <v>460</v>
      </c>
      <c r="GB109">
        <v>3.1175199999999998</v>
      </c>
      <c r="GC109">
        <v>2.8650799999999998</v>
      </c>
      <c r="GD109">
        <v>8.2564399999999996E-2</v>
      </c>
      <c r="GE109">
        <v>9.5356300000000005E-2</v>
      </c>
      <c r="GF109">
        <v>0.129528</v>
      </c>
      <c r="GG109">
        <v>0.11226899999999999</v>
      </c>
      <c r="GH109">
        <v>27745.7</v>
      </c>
      <c r="GI109">
        <v>21279.8</v>
      </c>
      <c r="GJ109">
        <v>29154.1</v>
      </c>
      <c r="GK109">
        <v>21922.7</v>
      </c>
      <c r="GL109">
        <v>33977.9</v>
      </c>
      <c r="GM109">
        <v>26775.4</v>
      </c>
      <c r="GN109">
        <v>40453.5</v>
      </c>
      <c r="GO109">
        <v>31149.200000000001</v>
      </c>
      <c r="GP109">
        <v>2.0325000000000002</v>
      </c>
      <c r="GQ109">
        <v>1.8033999999999999</v>
      </c>
      <c r="GR109">
        <v>8.5085599999999997E-2</v>
      </c>
      <c r="GS109">
        <v>0</v>
      </c>
      <c r="GT109">
        <v>28.611799999999999</v>
      </c>
      <c r="GU109">
        <v>999.9</v>
      </c>
      <c r="GV109">
        <v>29.5</v>
      </c>
      <c r="GW109">
        <v>43.7</v>
      </c>
      <c r="GX109">
        <v>26.717300000000002</v>
      </c>
      <c r="GY109">
        <v>61.469799999999999</v>
      </c>
      <c r="GZ109">
        <v>14.162699999999999</v>
      </c>
      <c r="HA109">
        <v>1</v>
      </c>
      <c r="HB109">
        <v>0.21526400000000001</v>
      </c>
      <c r="HC109">
        <v>0.233181</v>
      </c>
      <c r="HD109">
        <v>20.273800000000001</v>
      </c>
      <c r="HE109">
        <v>5.2346599999999999</v>
      </c>
      <c r="HF109">
        <v>11.974</v>
      </c>
      <c r="HG109">
        <v>4.9749999999999996</v>
      </c>
      <c r="HH109">
        <v>3.2839999999999998</v>
      </c>
      <c r="HI109">
        <v>9999</v>
      </c>
      <c r="HJ109">
        <v>9999</v>
      </c>
      <c r="HK109">
        <v>9999</v>
      </c>
      <c r="HL109">
        <v>999.9</v>
      </c>
      <c r="HM109">
        <v>1.8613299999999999</v>
      </c>
      <c r="HN109">
        <v>1.8631</v>
      </c>
      <c r="HO109">
        <v>1.8684000000000001</v>
      </c>
      <c r="HP109">
        <v>1.85914</v>
      </c>
      <c r="HQ109">
        <v>1.85745</v>
      </c>
      <c r="HR109">
        <v>1.8611599999999999</v>
      </c>
      <c r="HS109">
        <v>1.8650199999999999</v>
      </c>
      <c r="HT109">
        <v>1.86707</v>
      </c>
      <c r="HU109">
        <v>5</v>
      </c>
      <c r="HV109">
        <v>0</v>
      </c>
      <c r="HW109">
        <v>0</v>
      </c>
      <c r="HX109">
        <v>0</v>
      </c>
      <c r="HY109" t="s">
        <v>422</v>
      </c>
      <c r="HZ109" t="s">
        <v>423</v>
      </c>
      <c r="IA109" t="s">
        <v>424</v>
      </c>
      <c r="IB109" t="s">
        <v>424</v>
      </c>
      <c r="IC109" t="s">
        <v>424</v>
      </c>
      <c r="ID109" t="s">
        <v>424</v>
      </c>
      <c r="IE109">
        <v>0</v>
      </c>
      <c r="IF109">
        <v>100</v>
      </c>
      <c r="IG109">
        <v>100</v>
      </c>
      <c r="IH109">
        <v>2.61</v>
      </c>
      <c r="II109">
        <v>0.88739999999999997</v>
      </c>
      <c r="IJ109">
        <v>2.4031268238153909</v>
      </c>
      <c r="IK109">
        <v>1.118558698776514E-3</v>
      </c>
      <c r="IL109">
        <v>-1.6939696309573479E-6</v>
      </c>
      <c r="IM109">
        <v>5.4698917449866148E-10</v>
      </c>
      <c r="IN109">
        <v>-7.3854417956027429E-3</v>
      </c>
      <c r="IO109">
        <v>-7.6058941998734366E-3</v>
      </c>
      <c r="IP109">
        <v>1.6984902717538061E-3</v>
      </c>
      <c r="IQ109">
        <v>-9.6352527008986976E-6</v>
      </c>
      <c r="IR109">
        <v>2</v>
      </c>
      <c r="IS109">
        <v>2021</v>
      </c>
      <c r="IT109">
        <v>2</v>
      </c>
      <c r="IU109">
        <v>40</v>
      </c>
      <c r="IV109">
        <v>2.2000000000000002</v>
      </c>
      <c r="IW109">
        <v>2.1</v>
      </c>
      <c r="IX109">
        <v>1.03027</v>
      </c>
      <c r="IY109">
        <v>2.5488300000000002</v>
      </c>
      <c r="IZ109">
        <v>1.34399</v>
      </c>
      <c r="JA109">
        <v>2.2326700000000002</v>
      </c>
      <c r="JB109">
        <v>1.5918000000000001</v>
      </c>
      <c r="JC109">
        <v>2.4841299999999999</v>
      </c>
      <c r="JD109">
        <v>46.8855</v>
      </c>
      <c r="JE109">
        <v>24.14</v>
      </c>
      <c r="JF109">
        <v>18</v>
      </c>
      <c r="JG109">
        <v>516.68200000000002</v>
      </c>
      <c r="JH109">
        <v>407.20699999999999</v>
      </c>
      <c r="JI109">
        <v>28.4237</v>
      </c>
      <c r="JJ109">
        <v>30.283100000000001</v>
      </c>
      <c r="JK109">
        <v>29.9999</v>
      </c>
      <c r="JL109">
        <v>30.2698</v>
      </c>
      <c r="JM109">
        <v>30.241900000000001</v>
      </c>
      <c r="JN109">
        <v>20.710699999999999</v>
      </c>
      <c r="JO109">
        <v>12.2163</v>
      </c>
      <c r="JP109">
        <v>19.055499999999999</v>
      </c>
      <c r="JQ109">
        <v>28.422999999999998</v>
      </c>
      <c r="JR109">
        <v>400</v>
      </c>
      <c r="JS109">
        <v>21.963999999999999</v>
      </c>
      <c r="JT109">
        <v>99.393100000000004</v>
      </c>
      <c r="JU109">
        <v>98.412999999999997</v>
      </c>
    </row>
    <row r="110" spans="1:281" x14ac:dyDescent="0.25">
      <c r="A110">
        <v>94</v>
      </c>
      <c r="B110">
        <v>1693516424.5999999</v>
      </c>
      <c r="C110">
        <v>21498</v>
      </c>
      <c r="D110" t="s">
        <v>893</v>
      </c>
      <c r="E110" t="s">
        <v>894</v>
      </c>
      <c r="F110" t="s">
        <v>413</v>
      </c>
      <c r="G110" t="s">
        <v>565</v>
      </c>
      <c r="H110" t="s">
        <v>415</v>
      </c>
      <c r="I110" t="s">
        <v>415</v>
      </c>
      <c r="J110">
        <v>1693516424.5999999</v>
      </c>
      <c r="K110">
        <f t="shared" si="92"/>
        <v>5.6362083946307181E-3</v>
      </c>
      <c r="L110">
        <f t="shared" si="93"/>
        <v>5.6362083946307182</v>
      </c>
      <c r="M110">
        <f t="shared" si="94"/>
        <v>44.606728080534275</v>
      </c>
      <c r="N110">
        <f t="shared" si="95"/>
        <v>443.315</v>
      </c>
      <c r="O110">
        <f t="shared" si="96"/>
        <v>255.48281849233061</v>
      </c>
      <c r="P110">
        <f t="shared" si="97"/>
        <v>25.443291466004734</v>
      </c>
      <c r="Q110">
        <f t="shared" si="98"/>
        <v>44.149320188396494</v>
      </c>
      <c r="R110">
        <f t="shared" si="99"/>
        <v>0.42401033259516652</v>
      </c>
      <c r="S110">
        <f t="shared" si="100"/>
        <v>2.9196959386127235</v>
      </c>
      <c r="T110">
        <f t="shared" si="101"/>
        <v>0.39253277277406878</v>
      </c>
      <c r="U110">
        <f t="shared" si="102"/>
        <v>0.24796609809911929</v>
      </c>
      <c r="V110">
        <f t="shared" si="103"/>
        <v>344.37759964450794</v>
      </c>
      <c r="W110">
        <f t="shared" si="104"/>
        <v>31.1597322371288</v>
      </c>
      <c r="X110">
        <f t="shared" si="105"/>
        <v>30.0184</v>
      </c>
      <c r="Y110">
        <f t="shared" si="106"/>
        <v>4.2649546347291931</v>
      </c>
      <c r="Z110">
        <f t="shared" si="107"/>
        <v>65.478588818319949</v>
      </c>
      <c r="AA110">
        <f t="shared" si="108"/>
        <v>2.8863396735057498</v>
      </c>
      <c r="AB110">
        <f t="shared" si="109"/>
        <v>4.4080664009334827</v>
      </c>
      <c r="AC110">
        <f t="shared" si="110"/>
        <v>1.3786149612234433</v>
      </c>
      <c r="AD110">
        <f t="shared" si="111"/>
        <v>-248.55679020321466</v>
      </c>
      <c r="AE110">
        <f t="shared" si="112"/>
        <v>90.650488262129613</v>
      </c>
      <c r="AF110">
        <f t="shared" si="113"/>
        <v>6.9245033454948794</v>
      </c>
      <c r="AG110">
        <f t="shared" si="114"/>
        <v>193.39580104891778</v>
      </c>
      <c r="AH110">
        <v>0</v>
      </c>
      <c r="AI110">
        <v>0</v>
      </c>
      <c r="AJ110">
        <f t="shared" si="115"/>
        <v>1</v>
      </c>
      <c r="AK110">
        <f t="shared" si="116"/>
        <v>0</v>
      </c>
      <c r="AL110">
        <f t="shared" si="117"/>
        <v>51959.267695412789</v>
      </c>
      <c r="AM110" t="s">
        <v>416</v>
      </c>
      <c r="AN110">
        <v>10366.9</v>
      </c>
      <c r="AO110">
        <v>993.59653846153856</v>
      </c>
      <c r="AP110">
        <v>3431.87</v>
      </c>
      <c r="AQ110">
        <f t="shared" si="118"/>
        <v>0.71047955241266758</v>
      </c>
      <c r="AR110">
        <v>-3.9894345373445681</v>
      </c>
      <c r="AS110" t="s">
        <v>895</v>
      </c>
      <c r="AT110">
        <v>10371.4</v>
      </c>
      <c r="AU110">
        <v>771.46988461538479</v>
      </c>
      <c r="AV110">
        <v>1089.966378417281</v>
      </c>
      <c r="AW110">
        <f t="shared" si="119"/>
        <v>0.29220763145408102</v>
      </c>
      <c r="AX110">
        <v>0.5</v>
      </c>
      <c r="AY110">
        <f t="shared" si="120"/>
        <v>1513.218599822254</v>
      </c>
      <c r="AZ110">
        <f t="shared" si="121"/>
        <v>44.606728080534275</v>
      </c>
      <c r="BA110">
        <f t="shared" si="122"/>
        <v>221.08701146316085</v>
      </c>
      <c r="BB110">
        <f t="shared" si="123"/>
        <v>3.2114436488942882E-2</v>
      </c>
      <c r="BC110">
        <f t="shared" si="124"/>
        <v>2.1486017073144512</v>
      </c>
      <c r="BD110">
        <f t="shared" si="125"/>
        <v>612.55071320369518</v>
      </c>
      <c r="BE110" t="s">
        <v>896</v>
      </c>
      <c r="BF110">
        <v>599.30999999999995</v>
      </c>
      <c r="BG110">
        <f t="shared" si="126"/>
        <v>599.30999999999995</v>
      </c>
      <c r="BH110">
        <f t="shared" si="127"/>
        <v>0.45015735176139438</v>
      </c>
      <c r="BI110">
        <f t="shared" si="128"/>
        <v>0.64912331279433477</v>
      </c>
      <c r="BJ110">
        <f t="shared" si="129"/>
        <v>0.82677988165571747</v>
      </c>
      <c r="BK110">
        <f t="shared" si="130"/>
        <v>3.3049395324114341</v>
      </c>
      <c r="BL110">
        <f t="shared" si="131"/>
        <v>0.96047619699927478</v>
      </c>
      <c r="BM110">
        <f t="shared" si="132"/>
        <v>0.50426607745644036</v>
      </c>
      <c r="BN110">
        <f t="shared" si="133"/>
        <v>0.49573392254355964</v>
      </c>
      <c r="BO110">
        <v>2335</v>
      </c>
      <c r="BP110">
        <v>290.00000000000011</v>
      </c>
      <c r="BQ110">
        <v>999.49</v>
      </c>
      <c r="BR110">
        <v>135</v>
      </c>
      <c r="BS110">
        <v>10371.4</v>
      </c>
      <c r="BT110">
        <v>995.41</v>
      </c>
      <c r="BU110">
        <v>4.08</v>
      </c>
      <c r="BV110">
        <v>300.00000000000011</v>
      </c>
      <c r="BW110">
        <v>38.4</v>
      </c>
      <c r="BX110">
        <v>1089.966378417281</v>
      </c>
      <c r="BY110">
        <v>1.38918478332379</v>
      </c>
      <c r="BZ110">
        <v>-98.069311825002913</v>
      </c>
      <c r="CA110">
        <v>1.177790131982217</v>
      </c>
      <c r="CB110">
        <v>0.99597767459501751</v>
      </c>
      <c r="CC110">
        <v>-1.1272134371523921E-2</v>
      </c>
      <c r="CD110">
        <v>289.99999999999989</v>
      </c>
      <c r="CE110">
        <v>984.19</v>
      </c>
      <c r="CF110">
        <v>655</v>
      </c>
      <c r="CG110">
        <v>10339.1</v>
      </c>
      <c r="CH110">
        <v>995.11</v>
      </c>
      <c r="CI110">
        <v>-10.92</v>
      </c>
      <c r="CW110">
        <f t="shared" si="134"/>
        <v>1800.04</v>
      </c>
      <c r="CX110">
        <f t="shared" si="135"/>
        <v>1513.218599822254</v>
      </c>
      <c r="CY110">
        <f t="shared" si="136"/>
        <v>0.84065831860528317</v>
      </c>
      <c r="CZ110">
        <f t="shared" si="137"/>
        <v>0.19131663721056641</v>
      </c>
      <c r="DA110">
        <v>6</v>
      </c>
      <c r="DB110">
        <v>0.5</v>
      </c>
      <c r="DC110" t="s">
        <v>419</v>
      </c>
      <c r="DD110">
        <v>2</v>
      </c>
      <c r="DE110">
        <v>1693516424.5999999</v>
      </c>
      <c r="DF110">
        <v>443.315</v>
      </c>
      <c r="DG110">
        <v>499.904</v>
      </c>
      <c r="DH110">
        <v>28.982500000000002</v>
      </c>
      <c r="DI110">
        <v>22.407800000000002</v>
      </c>
      <c r="DJ110">
        <v>440.48399999999998</v>
      </c>
      <c r="DK110">
        <v>28.065799999999999</v>
      </c>
      <c r="DL110">
        <v>499.447</v>
      </c>
      <c r="DM110">
        <v>99.489099999999993</v>
      </c>
      <c r="DN110">
        <v>9.9951100000000001E-2</v>
      </c>
      <c r="DO110">
        <v>30.5943</v>
      </c>
      <c r="DP110">
        <v>30.0184</v>
      </c>
      <c r="DQ110">
        <v>999.9</v>
      </c>
      <c r="DR110">
        <v>0</v>
      </c>
      <c r="DS110">
        <v>0</v>
      </c>
      <c r="DT110">
        <v>9995</v>
      </c>
      <c r="DU110">
        <v>0</v>
      </c>
      <c r="DV110">
        <v>95.464500000000001</v>
      </c>
      <c r="DW110">
        <v>-56.589700000000001</v>
      </c>
      <c r="DX110">
        <v>456.54599999999999</v>
      </c>
      <c r="DY110">
        <v>511.363</v>
      </c>
      <c r="DZ110">
        <v>6.5746900000000004</v>
      </c>
      <c r="EA110">
        <v>499.904</v>
      </c>
      <c r="EB110">
        <v>22.407800000000002</v>
      </c>
      <c r="EC110">
        <v>2.8834399999999998</v>
      </c>
      <c r="ED110">
        <v>2.22933</v>
      </c>
      <c r="EE110">
        <v>23.369700000000002</v>
      </c>
      <c r="EF110">
        <v>19.174700000000001</v>
      </c>
      <c r="EG110">
        <v>1800.04</v>
      </c>
      <c r="EH110">
        <v>0.97799700000000001</v>
      </c>
      <c r="EI110">
        <v>2.2002600000000001E-2</v>
      </c>
      <c r="EJ110">
        <v>0</v>
      </c>
      <c r="EK110">
        <v>771.73900000000003</v>
      </c>
      <c r="EL110">
        <v>5.0002700000000004</v>
      </c>
      <c r="EM110">
        <v>14414.3</v>
      </c>
      <c r="EN110">
        <v>16249</v>
      </c>
      <c r="EO110">
        <v>47.625</v>
      </c>
      <c r="EP110">
        <v>48.125</v>
      </c>
      <c r="EQ110">
        <v>48.5</v>
      </c>
      <c r="ER110">
        <v>47.686999999999998</v>
      </c>
      <c r="ES110">
        <v>49.186999999999998</v>
      </c>
      <c r="ET110">
        <v>1755.54</v>
      </c>
      <c r="EU110">
        <v>39.5</v>
      </c>
      <c r="EV110">
        <v>0</v>
      </c>
      <c r="EW110">
        <v>104.4000000953674</v>
      </c>
      <c r="EX110">
        <v>0</v>
      </c>
      <c r="EY110">
        <v>771.46988461538479</v>
      </c>
      <c r="EZ110">
        <v>0.67292308231435338</v>
      </c>
      <c r="FA110">
        <v>20.758974384020942</v>
      </c>
      <c r="FB110">
        <v>14411.784615384609</v>
      </c>
      <c r="FC110">
        <v>15</v>
      </c>
      <c r="FD110">
        <v>1693516395.5999999</v>
      </c>
      <c r="FE110" t="s">
        <v>897</v>
      </c>
      <c r="FF110">
        <v>1693516382.5999999</v>
      </c>
      <c r="FG110">
        <v>1693516395.5999999</v>
      </c>
      <c r="FH110">
        <v>103</v>
      </c>
      <c r="FI110">
        <v>0.216</v>
      </c>
      <c r="FJ110">
        <v>1.2999999999999999E-2</v>
      </c>
      <c r="FK110">
        <v>2.8239999999999998</v>
      </c>
      <c r="FL110">
        <v>0.53100000000000003</v>
      </c>
      <c r="FM110">
        <v>500</v>
      </c>
      <c r="FN110">
        <v>22</v>
      </c>
      <c r="FO110">
        <v>0.09</v>
      </c>
      <c r="FP110">
        <v>0.04</v>
      </c>
      <c r="FQ110">
        <v>44.723020138343607</v>
      </c>
      <c r="FR110">
        <v>-0.51499426431751094</v>
      </c>
      <c r="FS110">
        <v>0.12301344623138449</v>
      </c>
      <c r="FT110">
        <v>1</v>
      </c>
      <c r="FU110">
        <v>0.42096665312714532</v>
      </c>
      <c r="FV110">
        <v>3.4368392160499223E-2</v>
      </c>
      <c r="FW110">
        <v>2.8850836335193742E-3</v>
      </c>
      <c r="FX110">
        <v>1</v>
      </c>
      <c r="FY110">
        <v>2</v>
      </c>
      <c r="FZ110">
        <v>2</v>
      </c>
      <c r="GA110" t="s">
        <v>421</v>
      </c>
      <c r="GB110">
        <v>3.1174200000000001</v>
      </c>
      <c r="GC110">
        <v>2.8650500000000001</v>
      </c>
      <c r="GD110">
        <v>0.10008400000000001</v>
      </c>
      <c r="GE110">
        <v>0.112744</v>
      </c>
      <c r="GF110">
        <v>0.13036700000000001</v>
      </c>
      <c r="GG110">
        <v>0.11404599999999999</v>
      </c>
      <c r="GH110">
        <v>27216.400000000001</v>
      </c>
      <c r="GI110">
        <v>20870.7</v>
      </c>
      <c r="GJ110">
        <v>29154.6</v>
      </c>
      <c r="GK110">
        <v>21922.6</v>
      </c>
      <c r="GL110">
        <v>33946.1</v>
      </c>
      <c r="GM110">
        <v>26723</v>
      </c>
      <c r="GN110">
        <v>40454.1</v>
      </c>
      <c r="GO110">
        <v>31149</v>
      </c>
      <c r="GP110">
        <v>2.0306999999999999</v>
      </c>
      <c r="GQ110">
        <v>1.8055000000000001</v>
      </c>
      <c r="GR110">
        <v>8.0019199999999999E-2</v>
      </c>
      <c r="GS110">
        <v>0</v>
      </c>
      <c r="GT110">
        <v>28.7149</v>
      </c>
      <c r="GU110">
        <v>999.9</v>
      </c>
      <c r="GV110">
        <v>29.6</v>
      </c>
      <c r="GW110">
        <v>43.7</v>
      </c>
      <c r="GX110">
        <v>26.809000000000001</v>
      </c>
      <c r="GY110">
        <v>61.579700000000003</v>
      </c>
      <c r="GZ110">
        <v>14.1426</v>
      </c>
      <c r="HA110">
        <v>1</v>
      </c>
      <c r="HB110">
        <v>0.216585</v>
      </c>
      <c r="HC110">
        <v>1.2419899999999999</v>
      </c>
      <c r="HD110">
        <v>20.2684</v>
      </c>
      <c r="HE110">
        <v>5.2352600000000002</v>
      </c>
      <c r="HF110">
        <v>11.974</v>
      </c>
      <c r="HG110">
        <v>4.9744000000000002</v>
      </c>
      <c r="HH110">
        <v>3.2839999999999998</v>
      </c>
      <c r="HI110">
        <v>9999</v>
      </c>
      <c r="HJ110">
        <v>9999</v>
      </c>
      <c r="HK110">
        <v>9999</v>
      </c>
      <c r="HL110">
        <v>999.9</v>
      </c>
      <c r="HM110">
        <v>1.86134</v>
      </c>
      <c r="HN110">
        <v>1.8630899999999999</v>
      </c>
      <c r="HO110">
        <v>1.8683799999999999</v>
      </c>
      <c r="HP110">
        <v>1.8591599999999999</v>
      </c>
      <c r="HQ110">
        <v>1.85747</v>
      </c>
      <c r="HR110">
        <v>1.86111</v>
      </c>
      <c r="HS110">
        <v>1.8650100000000001</v>
      </c>
      <c r="HT110">
        <v>1.86707</v>
      </c>
      <c r="HU110">
        <v>5</v>
      </c>
      <c r="HV110">
        <v>0</v>
      </c>
      <c r="HW110">
        <v>0</v>
      </c>
      <c r="HX110">
        <v>0</v>
      </c>
      <c r="HY110" t="s">
        <v>422</v>
      </c>
      <c r="HZ110" t="s">
        <v>423</v>
      </c>
      <c r="IA110" t="s">
        <v>424</v>
      </c>
      <c r="IB110" t="s">
        <v>424</v>
      </c>
      <c r="IC110" t="s">
        <v>424</v>
      </c>
      <c r="ID110" t="s">
        <v>424</v>
      </c>
      <c r="IE110">
        <v>0</v>
      </c>
      <c r="IF110">
        <v>100</v>
      </c>
      <c r="IG110">
        <v>100</v>
      </c>
      <c r="IH110">
        <v>2.831</v>
      </c>
      <c r="II110">
        <v>0.91669999999999996</v>
      </c>
      <c r="IJ110">
        <v>2.6196189464337438</v>
      </c>
      <c r="IK110">
        <v>1.118558698776514E-3</v>
      </c>
      <c r="IL110">
        <v>-1.6939696309573479E-6</v>
      </c>
      <c r="IM110">
        <v>5.4698917449866148E-10</v>
      </c>
      <c r="IN110">
        <v>5.2733002591135447E-3</v>
      </c>
      <c r="IO110">
        <v>-7.6058941998734366E-3</v>
      </c>
      <c r="IP110">
        <v>1.6984902717538061E-3</v>
      </c>
      <c r="IQ110">
        <v>-9.6352527008986976E-6</v>
      </c>
      <c r="IR110">
        <v>2</v>
      </c>
      <c r="IS110">
        <v>2021</v>
      </c>
      <c r="IT110">
        <v>2</v>
      </c>
      <c r="IU110">
        <v>40</v>
      </c>
      <c r="IV110">
        <v>0.7</v>
      </c>
      <c r="IW110">
        <v>0.5</v>
      </c>
      <c r="IX110">
        <v>1.2353499999999999</v>
      </c>
      <c r="IY110">
        <v>2.5439500000000002</v>
      </c>
      <c r="IZ110">
        <v>1.34399</v>
      </c>
      <c r="JA110">
        <v>2.2326700000000002</v>
      </c>
      <c r="JB110">
        <v>1.5918000000000001</v>
      </c>
      <c r="JC110">
        <v>2.4621599999999999</v>
      </c>
      <c r="JD110">
        <v>46.856000000000002</v>
      </c>
      <c r="JE110">
        <v>24.14</v>
      </c>
      <c r="JF110">
        <v>18</v>
      </c>
      <c r="JG110">
        <v>515.40300000000002</v>
      </c>
      <c r="JH110">
        <v>408.39100000000002</v>
      </c>
      <c r="JI110">
        <v>27.3369</v>
      </c>
      <c r="JJ110">
        <v>30.269200000000001</v>
      </c>
      <c r="JK110">
        <v>30.0001</v>
      </c>
      <c r="JL110">
        <v>30.2593</v>
      </c>
      <c r="JM110">
        <v>30.228899999999999</v>
      </c>
      <c r="JN110">
        <v>24.793800000000001</v>
      </c>
      <c r="JO110">
        <v>10.0365</v>
      </c>
      <c r="JP110">
        <v>19.340499999999999</v>
      </c>
      <c r="JQ110">
        <v>27.353100000000001</v>
      </c>
      <c r="JR110">
        <v>500</v>
      </c>
      <c r="JS110">
        <v>22.304099999999998</v>
      </c>
      <c r="JT110">
        <v>99.394800000000004</v>
      </c>
      <c r="JU110">
        <v>98.412300000000002</v>
      </c>
    </row>
    <row r="111" spans="1:281" x14ac:dyDescent="0.25">
      <c r="A111">
        <v>95</v>
      </c>
      <c r="B111">
        <v>1693516540.5999999</v>
      </c>
      <c r="C111">
        <v>21614</v>
      </c>
      <c r="D111" t="s">
        <v>898</v>
      </c>
      <c r="E111" t="s">
        <v>899</v>
      </c>
      <c r="F111" t="s">
        <v>413</v>
      </c>
      <c r="G111" t="s">
        <v>565</v>
      </c>
      <c r="H111" t="s">
        <v>415</v>
      </c>
      <c r="I111" t="s">
        <v>415</v>
      </c>
      <c r="J111">
        <v>1693516540.5999999</v>
      </c>
      <c r="K111">
        <f t="shared" si="92"/>
        <v>5.5110044354596145E-3</v>
      </c>
      <c r="L111">
        <f t="shared" si="93"/>
        <v>5.5110044354596148</v>
      </c>
      <c r="M111">
        <f t="shared" si="94"/>
        <v>45.138030744164794</v>
      </c>
      <c r="N111">
        <f t="shared" si="95"/>
        <v>641.61</v>
      </c>
      <c r="O111">
        <f t="shared" si="96"/>
        <v>442.08686692606028</v>
      </c>
      <c r="P111">
        <f t="shared" si="97"/>
        <v>44.026235983738978</v>
      </c>
      <c r="Q111">
        <f t="shared" si="98"/>
        <v>63.896205435687001</v>
      </c>
      <c r="R111">
        <f t="shared" si="99"/>
        <v>0.41160013067413809</v>
      </c>
      <c r="S111">
        <f t="shared" si="100"/>
        <v>2.9266660115557279</v>
      </c>
      <c r="T111">
        <f t="shared" si="101"/>
        <v>0.38193432882186579</v>
      </c>
      <c r="U111">
        <f t="shared" si="102"/>
        <v>0.24119589103731867</v>
      </c>
      <c r="V111">
        <f t="shared" si="103"/>
        <v>344.36751280806374</v>
      </c>
      <c r="W111">
        <f t="shared" si="104"/>
        <v>31.002310664965886</v>
      </c>
      <c r="X111">
        <f t="shared" si="105"/>
        <v>29.925699999999999</v>
      </c>
      <c r="Y111">
        <f t="shared" si="106"/>
        <v>4.2423010964246846</v>
      </c>
      <c r="Z111">
        <f t="shared" si="107"/>
        <v>65.506427247128244</v>
      </c>
      <c r="AA111">
        <f t="shared" si="108"/>
        <v>2.8565520598131302</v>
      </c>
      <c r="AB111">
        <f t="shared" si="109"/>
        <v>4.3607202832732108</v>
      </c>
      <c r="AC111">
        <f t="shared" si="110"/>
        <v>1.3857490366115544</v>
      </c>
      <c r="AD111">
        <f t="shared" si="111"/>
        <v>-243.03529560376899</v>
      </c>
      <c r="AE111">
        <f t="shared" si="112"/>
        <v>75.719782405394952</v>
      </c>
      <c r="AF111">
        <f t="shared" si="113"/>
        <v>5.7621910026478798</v>
      </c>
      <c r="AG111">
        <f t="shared" si="114"/>
        <v>182.81419061233754</v>
      </c>
      <c r="AH111">
        <v>0</v>
      </c>
      <c r="AI111">
        <v>0</v>
      </c>
      <c r="AJ111">
        <f t="shared" si="115"/>
        <v>1</v>
      </c>
      <c r="AK111">
        <f t="shared" si="116"/>
        <v>0</v>
      </c>
      <c r="AL111">
        <f t="shared" si="117"/>
        <v>52190.218440697667</v>
      </c>
      <c r="AM111" t="s">
        <v>416</v>
      </c>
      <c r="AN111">
        <v>10366.9</v>
      </c>
      <c r="AO111">
        <v>993.59653846153856</v>
      </c>
      <c r="AP111">
        <v>3431.87</v>
      </c>
      <c r="AQ111">
        <f t="shared" si="118"/>
        <v>0.71047955241266758</v>
      </c>
      <c r="AR111">
        <v>-3.9894345373445681</v>
      </c>
      <c r="AS111" t="s">
        <v>900</v>
      </c>
      <c r="AT111">
        <v>10371</v>
      </c>
      <c r="AU111">
        <v>772.75283999999999</v>
      </c>
      <c r="AV111">
        <v>1096.6810027249919</v>
      </c>
      <c r="AW111">
        <f t="shared" si="119"/>
        <v>0.29537136315857326</v>
      </c>
      <c r="AX111">
        <v>0.5</v>
      </c>
      <c r="AY111">
        <f t="shared" si="120"/>
        <v>1513.1763064040317</v>
      </c>
      <c r="AZ111">
        <f t="shared" si="121"/>
        <v>45.138030744164794</v>
      </c>
      <c r="BA111">
        <f t="shared" si="122"/>
        <v>223.47447416090688</v>
      </c>
      <c r="BB111">
        <f t="shared" si="123"/>
        <v>3.2466451578440116E-2</v>
      </c>
      <c r="BC111">
        <f t="shared" si="124"/>
        <v>2.1293238338884484</v>
      </c>
      <c r="BD111">
        <f t="shared" si="125"/>
        <v>614.66570813427086</v>
      </c>
      <c r="BE111" t="s">
        <v>901</v>
      </c>
      <c r="BF111">
        <v>598.99</v>
      </c>
      <c r="BG111">
        <f t="shared" si="126"/>
        <v>598.99</v>
      </c>
      <c r="BH111">
        <f t="shared" si="127"/>
        <v>0.45381565057509698</v>
      </c>
      <c r="BI111">
        <f t="shared" si="128"/>
        <v>0.65086200263094618</v>
      </c>
      <c r="BJ111">
        <f t="shared" si="129"/>
        <v>0.824316242578227</v>
      </c>
      <c r="BK111">
        <f t="shared" si="130"/>
        <v>3.1423567560784669</v>
      </c>
      <c r="BL111">
        <f t="shared" si="131"/>
        <v>0.95772235317755894</v>
      </c>
      <c r="BM111">
        <f t="shared" si="132"/>
        <v>0.50450779444034199</v>
      </c>
      <c r="BN111">
        <f t="shared" si="133"/>
        <v>0.49549220555965801</v>
      </c>
      <c r="BO111">
        <v>2337</v>
      </c>
      <c r="BP111">
        <v>290.00000000000011</v>
      </c>
      <c r="BQ111">
        <v>1004.77</v>
      </c>
      <c r="BR111">
        <v>135</v>
      </c>
      <c r="BS111">
        <v>10371</v>
      </c>
      <c r="BT111">
        <v>1000.77</v>
      </c>
      <c r="BU111">
        <v>4</v>
      </c>
      <c r="BV111">
        <v>300.00000000000011</v>
      </c>
      <c r="BW111">
        <v>38.4</v>
      </c>
      <c r="BX111">
        <v>1096.6810027249919</v>
      </c>
      <c r="BY111">
        <v>1.254251603796517</v>
      </c>
      <c r="BZ111">
        <v>-99.46612582240563</v>
      </c>
      <c r="CA111">
        <v>1.063334765162312</v>
      </c>
      <c r="CB111">
        <v>0.99681022436558298</v>
      </c>
      <c r="CC111">
        <v>-1.127148342602893E-2</v>
      </c>
      <c r="CD111">
        <v>289.99999999999989</v>
      </c>
      <c r="CE111">
        <v>988.9</v>
      </c>
      <c r="CF111">
        <v>695</v>
      </c>
      <c r="CG111">
        <v>10334.799999999999</v>
      </c>
      <c r="CH111">
        <v>1000.44</v>
      </c>
      <c r="CI111">
        <v>-11.54</v>
      </c>
      <c r="CW111">
        <f t="shared" si="134"/>
        <v>1799.99</v>
      </c>
      <c r="CX111">
        <f t="shared" si="135"/>
        <v>1513.1763064040317</v>
      </c>
      <c r="CY111">
        <f t="shared" si="136"/>
        <v>0.84065817388098363</v>
      </c>
      <c r="CZ111">
        <f t="shared" si="137"/>
        <v>0.1913163477619674</v>
      </c>
      <c r="DA111">
        <v>6</v>
      </c>
      <c r="DB111">
        <v>0.5</v>
      </c>
      <c r="DC111" t="s">
        <v>419</v>
      </c>
      <c r="DD111">
        <v>2</v>
      </c>
      <c r="DE111">
        <v>1693516540.5999999</v>
      </c>
      <c r="DF111">
        <v>641.61</v>
      </c>
      <c r="DG111">
        <v>700.09500000000003</v>
      </c>
      <c r="DH111">
        <v>28.683900000000001</v>
      </c>
      <c r="DI111">
        <v>22.251999999999999</v>
      </c>
      <c r="DJ111">
        <v>638.65099999999995</v>
      </c>
      <c r="DK111">
        <v>27.782499999999999</v>
      </c>
      <c r="DL111">
        <v>499.34800000000001</v>
      </c>
      <c r="DM111">
        <v>99.487499999999997</v>
      </c>
      <c r="DN111">
        <v>9.9796700000000002E-2</v>
      </c>
      <c r="DO111">
        <v>30.4056</v>
      </c>
      <c r="DP111">
        <v>29.925699999999999</v>
      </c>
      <c r="DQ111">
        <v>999.9</v>
      </c>
      <c r="DR111">
        <v>0</v>
      </c>
      <c r="DS111">
        <v>0</v>
      </c>
      <c r="DT111">
        <v>10035</v>
      </c>
      <c r="DU111">
        <v>0</v>
      </c>
      <c r="DV111">
        <v>95.118200000000002</v>
      </c>
      <c r="DW111">
        <v>-58.485399999999998</v>
      </c>
      <c r="DX111">
        <v>660.55700000000002</v>
      </c>
      <c r="DY111">
        <v>716.02800000000002</v>
      </c>
      <c r="DZ111">
        <v>6.4319100000000002</v>
      </c>
      <c r="EA111">
        <v>700.09500000000003</v>
      </c>
      <c r="EB111">
        <v>22.251999999999999</v>
      </c>
      <c r="EC111">
        <v>2.8536899999999998</v>
      </c>
      <c r="ED111">
        <v>2.2137899999999999</v>
      </c>
      <c r="EE111">
        <v>23.198</v>
      </c>
      <c r="EF111">
        <v>19.0625</v>
      </c>
      <c r="EG111">
        <v>1799.99</v>
      </c>
      <c r="EH111">
        <v>0.97799700000000001</v>
      </c>
      <c r="EI111">
        <v>2.2002600000000001E-2</v>
      </c>
      <c r="EJ111">
        <v>0</v>
      </c>
      <c r="EK111">
        <v>772.60299999999995</v>
      </c>
      <c r="EL111">
        <v>5.0002700000000004</v>
      </c>
      <c r="EM111">
        <v>14431.8</v>
      </c>
      <c r="EN111">
        <v>16248.5</v>
      </c>
      <c r="EO111">
        <v>47.686999999999998</v>
      </c>
      <c r="EP111">
        <v>48.186999999999998</v>
      </c>
      <c r="EQ111">
        <v>48.561999999999998</v>
      </c>
      <c r="ER111">
        <v>47.875</v>
      </c>
      <c r="ES111">
        <v>49.311999999999998</v>
      </c>
      <c r="ET111">
        <v>1755.49</v>
      </c>
      <c r="EU111">
        <v>39.49</v>
      </c>
      <c r="EV111">
        <v>0</v>
      </c>
      <c r="EW111">
        <v>114.19999980926509</v>
      </c>
      <c r="EX111">
        <v>0</v>
      </c>
      <c r="EY111">
        <v>772.75283999999999</v>
      </c>
      <c r="EZ111">
        <v>-0.61384614724325193</v>
      </c>
      <c r="FA111">
        <v>-12.630769227194451</v>
      </c>
      <c r="FB111">
        <v>14433.64</v>
      </c>
      <c r="FC111">
        <v>15</v>
      </c>
      <c r="FD111">
        <v>1693516509.5999999</v>
      </c>
      <c r="FE111" t="s">
        <v>902</v>
      </c>
      <c r="FF111">
        <v>1693516507.0999999</v>
      </c>
      <c r="FG111">
        <v>1693516509.5999999</v>
      </c>
      <c r="FH111">
        <v>104</v>
      </c>
      <c r="FI111">
        <v>0.17299999999999999</v>
      </c>
      <c r="FJ111">
        <v>3.0000000000000001E-3</v>
      </c>
      <c r="FK111">
        <v>2.9350000000000001</v>
      </c>
      <c r="FL111">
        <v>0.53400000000000003</v>
      </c>
      <c r="FM111">
        <v>700</v>
      </c>
      <c r="FN111">
        <v>22</v>
      </c>
      <c r="FO111">
        <v>0.14000000000000001</v>
      </c>
      <c r="FP111">
        <v>0.04</v>
      </c>
      <c r="FQ111">
        <v>45.160858748297258</v>
      </c>
      <c r="FR111">
        <v>-0.68420147293894351</v>
      </c>
      <c r="FS111">
        <v>8.9184740358086087E-2</v>
      </c>
      <c r="FT111">
        <v>1</v>
      </c>
      <c r="FU111">
        <v>0.41059960582329541</v>
      </c>
      <c r="FV111">
        <v>3.4611441957474273E-2</v>
      </c>
      <c r="FW111">
        <v>2.9034480876660028E-3</v>
      </c>
      <c r="FX111">
        <v>1</v>
      </c>
      <c r="FY111">
        <v>2</v>
      </c>
      <c r="FZ111">
        <v>2</v>
      </c>
      <c r="GA111" t="s">
        <v>421</v>
      </c>
      <c r="GB111">
        <v>3.11727</v>
      </c>
      <c r="GC111">
        <v>2.8652500000000001</v>
      </c>
      <c r="GD111">
        <v>0.131157</v>
      </c>
      <c r="GE111">
        <v>0.143122</v>
      </c>
      <c r="GF111">
        <v>0.12944</v>
      </c>
      <c r="GG111">
        <v>0.113487</v>
      </c>
      <c r="GH111">
        <v>26276.1</v>
      </c>
      <c r="GI111">
        <v>20154.7</v>
      </c>
      <c r="GJ111">
        <v>29154.1</v>
      </c>
      <c r="GK111">
        <v>21921.1</v>
      </c>
      <c r="GL111">
        <v>33986</v>
      </c>
      <c r="GM111">
        <v>26740.1</v>
      </c>
      <c r="GN111">
        <v>40452.9</v>
      </c>
      <c r="GO111">
        <v>31146.5</v>
      </c>
      <c r="GP111">
        <v>2.0308000000000002</v>
      </c>
      <c r="GQ111">
        <v>1.806</v>
      </c>
      <c r="GR111">
        <v>7.9214599999999996E-2</v>
      </c>
      <c r="GS111">
        <v>0</v>
      </c>
      <c r="GT111">
        <v>28.635100000000001</v>
      </c>
      <c r="GU111">
        <v>999.9</v>
      </c>
      <c r="GV111">
        <v>29.6</v>
      </c>
      <c r="GW111">
        <v>43.7</v>
      </c>
      <c r="GX111">
        <v>26.808900000000001</v>
      </c>
      <c r="GY111">
        <v>61.469700000000003</v>
      </c>
      <c r="GZ111">
        <v>14.130599999999999</v>
      </c>
      <c r="HA111">
        <v>1</v>
      </c>
      <c r="HB111">
        <v>0.21713399999999999</v>
      </c>
      <c r="HC111">
        <v>0.61702599999999996</v>
      </c>
      <c r="HD111">
        <v>20.272400000000001</v>
      </c>
      <c r="HE111">
        <v>5.2346599999999999</v>
      </c>
      <c r="HF111">
        <v>11.974</v>
      </c>
      <c r="HG111">
        <v>4.9749999999999996</v>
      </c>
      <c r="HH111">
        <v>3.2839999999999998</v>
      </c>
      <c r="HI111">
        <v>9999</v>
      </c>
      <c r="HJ111">
        <v>9999</v>
      </c>
      <c r="HK111">
        <v>9999</v>
      </c>
      <c r="HL111">
        <v>999.9</v>
      </c>
      <c r="HM111">
        <v>1.8613299999999999</v>
      </c>
      <c r="HN111">
        <v>1.86304</v>
      </c>
      <c r="HO111">
        <v>1.8684099999999999</v>
      </c>
      <c r="HP111">
        <v>1.8591299999999999</v>
      </c>
      <c r="HQ111">
        <v>1.85745</v>
      </c>
      <c r="HR111">
        <v>1.86113</v>
      </c>
      <c r="HS111">
        <v>1.86497</v>
      </c>
      <c r="HT111">
        <v>1.86707</v>
      </c>
      <c r="HU111">
        <v>5</v>
      </c>
      <c r="HV111">
        <v>0</v>
      </c>
      <c r="HW111">
        <v>0</v>
      </c>
      <c r="HX111">
        <v>0</v>
      </c>
      <c r="HY111" t="s">
        <v>422</v>
      </c>
      <c r="HZ111" t="s">
        <v>423</v>
      </c>
      <c r="IA111" t="s">
        <v>424</v>
      </c>
      <c r="IB111" t="s">
        <v>424</v>
      </c>
      <c r="IC111" t="s">
        <v>424</v>
      </c>
      <c r="ID111" t="s">
        <v>424</v>
      </c>
      <c r="IE111">
        <v>0</v>
      </c>
      <c r="IF111">
        <v>100</v>
      </c>
      <c r="IG111">
        <v>100</v>
      </c>
      <c r="IH111">
        <v>2.9590000000000001</v>
      </c>
      <c r="II111">
        <v>0.90139999999999998</v>
      </c>
      <c r="IJ111">
        <v>2.7929782004694892</v>
      </c>
      <c r="IK111">
        <v>1.118558698776514E-3</v>
      </c>
      <c r="IL111">
        <v>-1.6939696309573479E-6</v>
      </c>
      <c r="IM111">
        <v>5.4698917449866148E-10</v>
      </c>
      <c r="IN111">
        <v>8.3340394281203878E-3</v>
      </c>
      <c r="IO111">
        <v>-7.6058941998734366E-3</v>
      </c>
      <c r="IP111">
        <v>1.6984902717538061E-3</v>
      </c>
      <c r="IQ111">
        <v>-9.6352527008986976E-6</v>
      </c>
      <c r="IR111">
        <v>2</v>
      </c>
      <c r="IS111">
        <v>2021</v>
      </c>
      <c r="IT111">
        <v>2</v>
      </c>
      <c r="IU111">
        <v>40</v>
      </c>
      <c r="IV111">
        <v>0.6</v>
      </c>
      <c r="IW111">
        <v>0.5</v>
      </c>
      <c r="IX111">
        <v>1.62598</v>
      </c>
      <c r="IY111">
        <v>2.5354000000000001</v>
      </c>
      <c r="IZ111">
        <v>1.34399</v>
      </c>
      <c r="JA111">
        <v>2.2326700000000002</v>
      </c>
      <c r="JB111">
        <v>1.5918000000000001</v>
      </c>
      <c r="JC111">
        <v>2.4157700000000002</v>
      </c>
      <c r="JD111">
        <v>46.8264</v>
      </c>
      <c r="JE111">
        <v>24.14</v>
      </c>
      <c r="JF111">
        <v>18</v>
      </c>
      <c r="JG111">
        <v>515.56299999999999</v>
      </c>
      <c r="JH111">
        <v>408.75599999999997</v>
      </c>
      <c r="JI111">
        <v>27.737100000000002</v>
      </c>
      <c r="JJ111">
        <v>30.2988</v>
      </c>
      <c r="JK111">
        <v>30</v>
      </c>
      <c r="JL111">
        <v>30.2698</v>
      </c>
      <c r="JM111">
        <v>30.236699999999999</v>
      </c>
      <c r="JN111">
        <v>32.627800000000001</v>
      </c>
      <c r="JO111">
        <v>11.4506</v>
      </c>
      <c r="JP111">
        <v>19.619599999999998</v>
      </c>
      <c r="JQ111">
        <v>27.745100000000001</v>
      </c>
      <c r="JR111">
        <v>700</v>
      </c>
      <c r="JS111">
        <v>22.170500000000001</v>
      </c>
      <c r="JT111">
        <v>99.392300000000006</v>
      </c>
      <c r="JU111">
        <v>98.404799999999994</v>
      </c>
    </row>
    <row r="112" spans="1:281" x14ac:dyDescent="0.25">
      <c r="A112">
        <v>96</v>
      </c>
      <c r="B112">
        <v>1693516640.0999999</v>
      </c>
      <c r="C112">
        <v>21713.5</v>
      </c>
      <c r="D112" t="s">
        <v>903</v>
      </c>
      <c r="E112" t="s">
        <v>904</v>
      </c>
      <c r="F112" t="s">
        <v>413</v>
      </c>
      <c r="G112" t="s">
        <v>565</v>
      </c>
      <c r="H112" t="s">
        <v>415</v>
      </c>
      <c r="I112" t="s">
        <v>415</v>
      </c>
      <c r="J112">
        <v>1693516640.0999999</v>
      </c>
      <c r="K112">
        <f t="shared" si="92"/>
        <v>4.9701999221551524E-3</v>
      </c>
      <c r="L112">
        <f t="shared" si="93"/>
        <v>4.9701999221551523</v>
      </c>
      <c r="M112">
        <f t="shared" si="94"/>
        <v>44.582941121298425</v>
      </c>
      <c r="N112">
        <f t="shared" si="95"/>
        <v>841.39599999999996</v>
      </c>
      <c r="O112">
        <f t="shared" si="96"/>
        <v>606.61596162378373</v>
      </c>
      <c r="P112">
        <f t="shared" si="97"/>
        <v>60.410581692523046</v>
      </c>
      <c r="Q112">
        <f t="shared" si="98"/>
        <v>83.7914347945988</v>
      </c>
      <c r="R112">
        <f t="shared" si="99"/>
        <v>0.34672670782022241</v>
      </c>
      <c r="S112">
        <f t="shared" si="100"/>
        <v>2.9344987622375083</v>
      </c>
      <c r="T112">
        <f t="shared" si="101"/>
        <v>0.32546891778268155</v>
      </c>
      <c r="U112">
        <f t="shared" si="102"/>
        <v>0.20521930196451676</v>
      </c>
      <c r="V112">
        <f t="shared" si="103"/>
        <v>344.41119964463348</v>
      </c>
      <c r="W112">
        <f t="shared" si="104"/>
        <v>31.20804578009048</v>
      </c>
      <c r="X112">
        <f t="shared" si="105"/>
        <v>30.0061</v>
      </c>
      <c r="Y112">
        <f t="shared" si="106"/>
        <v>4.2619427724878678</v>
      </c>
      <c r="Z112">
        <f t="shared" si="107"/>
        <v>63.851168052938093</v>
      </c>
      <c r="AA112">
        <f t="shared" si="108"/>
        <v>2.7950561482935101</v>
      </c>
      <c r="AB112">
        <f t="shared" si="109"/>
        <v>4.377454999689542</v>
      </c>
      <c r="AC112">
        <f t="shared" si="110"/>
        <v>1.4668866241943577</v>
      </c>
      <c r="AD112">
        <f t="shared" si="111"/>
        <v>-219.18581656704222</v>
      </c>
      <c r="AE112">
        <f t="shared" si="112"/>
        <v>73.786670806610744</v>
      </c>
      <c r="AF112">
        <f t="shared" si="113"/>
        <v>5.6041778088526089</v>
      </c>
      <c r="AG112">
        <f t="shared" si="114"/>
        <v>204.61623169305463</v>
      </c>
      <c r="AH112">
        <v>0</v>
      </c>
      <c r="AI112">
        <v>0</v>
      </c>
      <c r="AJ112">
        <f t="shared" si="115"/>
        <v>1</v>
      </c>
      <c r="AK112">
        <f t="shared" si="116"/>
        <v>0</v>
      </c>
      <c r="AL112">
        <f t="shared" si="117"/>
        <v>52402.264248468891</v>
      </c>
      <c r="AM112" t="s">
        <v>416</v>
      </c>
      <c r="AN112">
        <v>10366.9</v>
      </c>
      <c r="AO112">
        <v>993.59653846153856</v>
      </c>
      <c r="AP112">
        <v>3431.87</v>
      </c>
      <c r="AQ112">
        <f t="shared" si="118"/>
        <v>0.71047955241266758</v>
      </c>
      <c r="AR112">
        <v>-3.9894345373445681</v>
      </c>
      <c r="AS112" t="s">
        <v>905</v>
      </c>
      <c r="AT112">
        <v>10370.700000000001</v>
      </c>
      <c r="AU112">
        <v>771.29230769230765</v>
      </c>
      <c r="AV112">
        <v>1094.9218711227491</v>
      </c>
      <c r="AW112">
        <f t="shared" si="119"/>
        <v>0.2955732020391435</v>
      </c>
      <c r="AX112">
        <v>0.5</v>
      </c>
      <c r="AY112">
        <f t="shared" si="120"/>
        <v>1513.3694998223168</v>
      </c>
      <c r="AZ112">
        <f t="shared" si="121"/>
        <v>44.582941121298425</v>
      </c>
      <c r="BA112">
        <f t="shared" si="122"/>
        <v>223.65573446542959</v>
      </c>
      <c r="BB112">
        <f t="shared" si="123"/>
        <v>3.2095516438216731E-2</v>
      </c>
      <c r="BC112">
        <f t="shared" si="124"/>
        <v>2.1343514916556647</v>
      </c>
      <c r="BD112">
        <f t="shared" si="125"/>
        <v>614.1127121833</v>
      </c>
      <c r="BE112" t="s">
        <v>906</v>
      </c>
      <c r="BF112">
        <v>598.49</v>
      </c>
      <c r="BG112">
        <f t="shared" si="126"/>
        <v>598.49</v>
      </c>
      <c r="BH112">
        <f t="shared" si="127"/>
        <v>0.45339478935944577</v>
      </c>
      <c r="BI112">
        <f t="shared" si="128"/>
        <v>0.6519113341746342</v>
      </c>
      <c r="BJ112">
        <f t="shared" si="129"/>
        <v>0.82479163715324122</v>
      </c>
      <c r="BK112">
        <f t="shared" si="130"/>
        <v>3.1939649733253108</v>
      </c>
      <c r="BL112">
        <f t="shared" si="131"/>
        <v>0.9584438192600111</v>
      </c>
      <c r="BM112">
        <f t="shared" si="132"/>
        <v>0.50585544611165068</v>
      </c>
      <c r="BN112">
        <f t="shared" si="133"/>
        <v>0.49414455388834932</v>
      </c>
      <c r="BO112">
        <v>2339</v>
      </c>
      <c r="BP112">
        <v>290.00000000000011</v>
      </c>
      <c r="BQ112">
        <v>1004.35</v>
      </c>
      <c r="BR112">
        <v>135</v>
      </c>
      <c r="BS112">
        <v>10370.700000000001</v>
      </c>
      <c r="BT112">
        <v>999.81</v>
      </c>
      <c r="BU112">
        <v>4.54</v>
      </c>
      <c r="BV112">
        <v>300.00000000000011</v>
      </c>
      <c r="BW112">
        <v>38.4</v>
      </c>
      <c r="BX112">
        <v>1094.9218711227491</v>
      </c>
      <c r="BY112">
        <v>1.360084224229104</v>
      </c>
      <c r="BZ112">
        <v>-98.637273550703142</v>
      </c>
      <c r="CA112">
        <v>1.1530293160503471</v>
      </c>
      <c r="CB112">
        <v>0.99618848066577392</v>
      </c>
      <c r="CC112">
        <v>-1.1271429588431581E-2</v>
      </c>
      <c r="CD112">
        <v>289.99999999999989</v>
      </c>
      <c r="CE112">
        <v>988.55</v>
      </c>
      <c r="CF112">
        <v>625</v>
      </c>
      <c r="CG112">
        <v>10341.4</v>
      </c>
      <c r="CH112">
        <v>999.54</v>
      </c>
      <c r="CI112">
        <v>-10.99</v>
      </c>
      <c r="CW112">
        <f t="shared" si="134"/>
        <v>1800.22</v>
      </c>
      <c r="CX112">
        <f t="shared" si="135"/>
        <v>1513.3694998223168</v>
      </c>
      <c r="CY112">
        <f t="shared" si="136"/>
        <v>0.84065808613520387</v>
      </c>
      <c r="CZ112">
        <f t="shared" si="137"/>
        <v>0.19131617227040779</v>
      </c>
      <c r="DA112">
        <v>6</v>
      </c>
      <c r="DB112">
        <v>0.5</v>
      </c>
      <c r="DC112" t="s">
        <v>419</v>
      </c>
      <c r="DD112">
        <v>2</v>
      </c>
      <c r="DE112">
        <v>1693516640.0999999</v>
      </c>
      <c r="DF112">
        <v>841.39599999999996</v>
      </c>
      <c r="DG112">
        <v>899.87300000000005</v>
      </c>
      <c r="DH112">
        <v>28.066700000000001</v>
      </c>
      <c r="DI112">
        <v>22.273900000000001</v>
      </c>
      <c r="DJ112">
        <v>838.15599999999995</v>
      </c>
      <c r="DK112">
        <v>27.518699999999999</v>
      </c>
      <c r="DL112">
        <v>500.34899999999999</v>
      </c>
      <c r="DM112">
        <v>99.486500000000007</v>
      </c>
      <c r="DN112">
        <v>9.9705299999999997E-2</v>
      </c>
      <c r="DO112">
        <v>30.4725</v>
      </c>
      <c r="DP112">
        <v>30.0061</v>
      </c>
      <c r="DQ112">
        <v>999.9</v>
      </c>
      <c r="DR112">
        <v>0</v>
      </c>
      <c r="DS112">
        <v>0</v>
      </c>
      <c r="DT112">
        <v>10080</v>
      </c>
      <c r="DU112">
        <v>0</v>
      </c>
      <c r="DV112">
        <v>96.849699999999999</v>
      </c>
      <c r="DW112">
        <v>-58.854399999999998</v>
      </c>
      <c r="DX112">
        <v>865.60500000000002</v>
      </c>
      <c r="DY112">
        <v>920.37300000000005</v>
      </c>
      <c r="DZ112">
        <v>6.1293499999999996</v>
      </c>
      <c r="EA112">
        <v>899.87300000000005</v>
      </c>
      <c r="EB112">
        <v>22.273900000000001</v>
      </c>
      <c r="EC112">
        <v>2.8257400000000001</v>
      </c>
      <c r="ED112">
        <v>2.2159499999999999</v>
      </c>
      <c r="EE112">
        <v>23.0352</v>
      </c>
      <c r="EF112">
        <v>19.078099999999999</v>
      </c>
      <c r="EG112">
        <v>1800.22</v>
      </c>
      <c r="EH112">
        <v>0.97800100000000001</v>
      </c>
      <c r="EI112">
        <v>2.1999000000000001E-2</v>
      </c>
      <c r="EJ112">
        <v>0</v>
      </c>
      <c r="EK112">
        <v>771.12</v>
      </c>
      <c r="EL112">
        <v>5.0002700000000004</v>
      </c>
      <c r="EM112">
        <v>14408.1</v>
      </c>
      <c r="EN112">
        <v>16250.6</v>
      </c>
      <c r="EO112">
        <v>47.625</v>
      </c>
      <c r="EP112">
        <v>48.186999999999998</v>
      </c>
      <c r="EQ112">
        <v>48.561999999999998</v>
      </c>
      <c r="ER112">
        <v>47.75</v>
      </c>
      <c r="ES112">
        <v>49.25</v>
      </c>
      <c r="ET112">
        <v>1755.73</v>
      </c>
      <c r="EU112">
        <v>39.49</v>
      </c>
      <c r="EV112">
        <v>0</v>
      </c>
      <c r="EW112">
        <v>97.799999952316284</v>
      </c>
      <c r="EX112">
        <v>0</v>
      </c>
      <c r="EY112">
        <v>771.29230769230765</v>
      </c>
      <c r="EZ112">
        <v>-1.517264958822393</v>
      </c>
      <c r="FA112">
        <v>-31.880341838078781</v>
      </c>
      <c r="FB112">
        <v>14411.15</v>
      </c>
      <c r="FC112">
        <v>15</v>
      </c>
      <c r="FD112">
        <v>1693516667.0999999</v>
      </c>
      <c r="FE112" t="s">
        <v>907</v>
      </c>
      <c r="FF112">
        <v>1693516663.5999999</v>
      </c>
      <c r="FG112">
        <v>1693516667.0999999</v>
      </c>
      <c r="FH112">
        <v>105</v>
      </c>
      <c r="FI112">
        <v>0.41199999999999998</v>
      </c>
      <c r="FJ112">
        <v>4.0000000000000001E-3</v>
      </c>
      <c r="FK112">
        <v>3.24</v>
      </c>
      <c r="FL112">
        <v>0.54800000000000004</v>
      </c>
      <c r="FM112">
        <v>900</v>
      </c>
      <c r="FN112">
        <v>22</v>
      </c>
      <c r="FO112">
        <v>0.19</v>
      </c>
      <c r="FP112">
        <v>0.04</v>
      </c>
      <c r="FQ112">
        <v>44.933416446524319</v>
      </c>
      <c r="FR112">
        <v>-0.19353383945423469</v>
      </c>
      <c r="FS112">
        <v>0.1303125876810598</v>
      </c>
      <c r="FT112">
        <v>1</v>
      </c>
      <c r="FU112">
        <v>0.37834702533735748</v>
      </c>
      <c r="FV112">
        <v>2.447373598259142E-3</v>
      </c>
      <c r="FW112">
        <v>5.7572506212090339E-4</v>
      </c>
      <c r="FX112">
        <v>1</v>
      </c>
      <c r="FY112">
        <v>2</v>
      </c>
      <c r="FZ112">
        <v>2</v>
      </c>
      <c r="GA112" t="s">
        <v>421</v>
      </c>
      <c r="GB112">
        <v>3.11842</v>
      </c>
      <c r="GC112">
        <v>2.8655599999999999</v>
      </c>
      <c r="GD112">
        <v>0.15796399999999999</v>
      </c>
      <c r="GE112">
        <v>0.16936300000000001</v>
      </c>
      <c r="GF112">
        <v>0.128581</v>
      </c>
      <c r="GG112">
        <v>0.113567</v>
      </c>
      <c r="GH112">
        <v>25466.6</v>
      </c>
      <c r="GI112">
        <v>19539</v>
      </c>
      <c r="GJ112">
        <v>29155.3</v>
      </c>
      <c r="GK112">
        <v>21922.7</v>
      </c>
      <c r="GL112">
        <v>34024.800000000003</v>
      </c>
      <c r="GM112">
        <v>26742.2</v>
      </c>
      <c r="GN112">
        <v>40454.9</v>
      </c>
      <c r="GO112">
        <v>31149.4</v>
      </c>
      <c r="GP112">
        <v>2.0318999999999998</v>
      </c>
      <c r="GQ112">
        <v>1.8065</v>
      </c>
      <c r="GR112">
        <v>9.3519699999999997E-2</v>
      </c>
      <c r="GS112">
        <v>0</v>
      </c>
      <c r="GT112">
        <v>28.482299999999999</v>
      </c>
      <c r="GU112">
        <v>999.9</v>
      </c>
      <c r="GV112">
        <v>29.5</v>
      </c>
      <c r="GW112">
        <v>43.6</v>
      </c>
      <c r="GX112">
        <v>26.579799999999999</v>
      </c>
      <c r="GY112">
        <v>61.009700000000002</v>
      </c>
      <c r="GZ112">
        <v>13.649800000000001</v>
      </c>
      <c r="HA112">
        <v>1</v>
      </c>
      <c r="HB112">
        <v>0.21545700000000001</v>
      </c>
      <c r="HC112">
        <v>0.492004</v>
      </c>
      <c r="HD112">
        <v>20.273900000000001</v>
      </c>
      <c r="HE112">
        <v>5.2340600000000004</v>
      </c>
      <c r="HF112">
        <v>11.974</v>
      </c>
      <c r="HG112">
        <v>4.9741999999999997</v>
      </c>
      <c r="HH112">
        <v>3.2839</v>
      </c>
      <c r="HI112">
        <v>9999</v>
      </c>
      <c r="HJ112">
        <v>9999</v>
      </c>
      <c r="HK112">
        <v>9999</v>
      </c>
      <c r="HL112">
        <v>999.9</v>
      </c>
      <c r="HM112">
        <v>1.8613599999999999</v>
      </c>
      <c r="HN112">
        <v>1.86304</v>
      </c>
      <c r="HO112">
        <v>1.86835</v>
      </c>
      <c r="HP112">
        <v>1.85914</v>
      </c>
      <c r="HQ112">
        <v>1.85745</v>
      </c>
      <c r="HR112">
        <v>1.86111</v>
      </c>
      <c r="HS112">
        <v>1.86496</v>
      </c>
      <c r="HT112">
        <v>1.86707</v>
      </c>
      <c r="HU112">
        <v>5</v>
      </c>
      <c r="HV112">
        <v>0</v>
      </c>
      <c r="HW112">
        <v>0</v>
      </c>
      <c r="HX112">
        <v>0</v>
      </c>
      <c r="HY112" t="s">
        <v>422</v>
      </c>
      <c r="HZ112" t="s">
        <v>423</v>
      </c>
      <c r="IA112" t="s">
        <v>424</v>
      </c>
      <c r="IB112" t="s">
        <v>424</v>
      </c>
      <c r="IC112" t="s">
        <v>424</v>
      </c>
      <c r="ID112" t="s">
        <v>424</v>
      </c>
      <c r="IE112">
        <v>0</v>
      </c>
      <c r="IF112">
        <v>100</v>
      </c>
      <c r="IG112">
        <v>100</v>
      </c>
      <c r="IH112">
        <v>3.24</v>
      </c>
      <c r="II112">
        <v>0.54800000000000004</v>
      </c>
      <c r="IJ112">
        <v>2.7929782004694892</v>
      </c>
      <c r="IK112">
        <v>1.118558698776514E-3</v>
      </c>
      <c r="IL112">
        <v>-1.6939696309573479E-6</v>
      </c>
      <c r="IM112">
        <v>5.4698917449866148E-10</v>
      </c>
      <c r="IN112">
        <v>8.3340394281203878E-3</v>
      </c>
      <c r="IO112">
        <v>-7.6058941998734366E-3</v>
      </c>
      <c r="IP112">
        <v>1.6984902717538061E-3</v>
      </c>
      <c r="IQ112">
        <v>-9.6352527008986976E-6</v>
      </c>
      <c r="IR112">
        <v>2</v>
      </c>
      <c r="IS112">
        <v>2021</v>
      </c>
      <c r="IT112">
        <v>2</v>
      </c>
      <c r="IU112">
        <v>40</v>
      </c>
      <c r="IV112">
        <v>2.2000000000000002</v>
      </c>
      <c r="IW112">
        <v>2.2000000000000002</v>
      </c>
      <c r="IX112">
        <v>2.0007299999999999</v>
      </c>
      <c r="IY112">
        <v>2.5463900000000002</v>
      </c>
      <c r="IZ112">
        <v>1.34399</v>
      </c>
      <c r="JA112">
        <v>2.2314500000000002</v>
      </c>
      <c r="JB112">
        <v>1.5918000000000001</v>
      </c>
      <c r="JC112">
        <v>2.2668499999999998</v>
      </c>
      <c r="JD112">
        <v>46.737900000000003</v>
      </c>
      <c r="JE112">
        <v>24.122499999999999</v>
      </c>
      <c r="JF112">
        <v>18</v>
      </c>
      <c r="JG112">
        <v>516.11800000000005</v>
      </c>
      <c r="JH112">
        <v>408.94400000000002</v>
      </c>
      <c r="JI112">
        <v>28.0547</v>
      </c>
      <c r="JJ112">
        <v>30.275200000000002</v>
      </c>
      <c r="JK112">
        <v>30.0001</v>
      </c>
      <c r="JL112">
        <v>30.2515</v>
      </c>
      <c r="JM112">
        <v>30.221</v>
      </c>
      <c r="JN112">
        <v>40.1342</v>
      </c>
      <c r="JO112">
        <v>10.5214</v>
      </c>
      <c r="JP112">
        <v>19.619599999999998</v>
      </c>
      <c r="JQ112">
        <v>28.057099999999998</v>
      </c>
      <c r="JR112">
        <v>900</v>
      </c>
      <c r="JS112">
        <v>22.356200000000001</v>
      </c>
      <c r="JT112">
        <v>99.396900000000002</v>
      </c>
      <c r="JU112">
        <v>98.413200000000003</v>
      </c>
    </row>
    <row r="113" spans="1:281" x14ac:dyDescent="0.25">
      <c r="A113">
        <v>97</v>
      </c>
      <c r="B113">
        <v>1693516788.0999999</v>
      </c>
      <c r="C113">
        <v>21861.5</v>
      </c>
      <c r="D113" t="s">
        <v>908</v>
      </c>
      <c r="E113" t="s">
        <v>909</v>
      </c>
      <c r="F113" t="s">
        <v>413</v>
      </c>
      <c r="G113" t="s">
        <v>565</v>
      </c>
      <c r="H113" t="s">
        <v>415</v>
      </c>
      <c r="I113" t="s">
        <v>415</v>
      </c>
      <c r="J113">
        <v>1693516788.0999999</v>
      </c>
      <c r="K113">
        <f t="shared" ref="K113:K128" si="138">(L113)/1000</f>
        <v>4.9526679840181647E-3</v>
      </c>
      <c r="L113">
        <f t="shared" ref="L113:L128" si="139">1000*DL113*AJ113*(DH113-DI113)/(100*DA113*(1000-AJ113*DH113))</f>
        <v>4.9526679840181647</v>
      </c>
      <c r="M113">
        <f t="shared" ref="M113:M128" si="140">DL113*AJ113*(DG113-DF113*(1000-AJ113*DI113)/(1000-AJ113*DH113))/(100*DA113)</f>
        <v>43.13301288636157</v>
      </c>
      <c r="N113">
        <f t="shared" ref="N113:N128" si="141">DF113 - IF(AJ113&gt;1, M113*DA113*100/(AL113*DT113), 0)</f>
        <v>1141.4100000000001</v>
      </c>
      <c r="O113">
        <f t="shared" ref="O113:O128" si="142">((U113-K113/2)*N113-M113)/(U113+K113/2)</f>
        <v>911.75653348763194</v>
      </c>
      <c r="P113">
        <f t="shared" ref="P113:P128" si="143">O113*(DM113+DN113)/1000</f>
        <v>90.8051583461109</v>
      </c>
      <c r="Q113">
        <f t="shared" ref="Q113:Q128" si="144">(DF113 - IF(AJ113&gt;1, M113*DA113*100/(AL113*DT113), 0))*(DM113+DN113)/1000</f>
        <v>113.67718462227</v>
      </c>
      <c r="R113">
        <f t="shared" ref="R113:R128" si="145">2/((1/T113-1/S113)+SIGN(T113)*SQRT((1/T113-1/S113)*(1/T113-1/S113) + 4*DB113/((DB113+1)*(DB113+1))*(2*1/T113*1/S113-1/S113*1/S113)))</f>
        <v>0.35537651397632669</v>
      </c>
      <c r="S113">
        <f t="shared" ref="S113:S128" si="146">IF(LEFT(DC113,1)&lt;&gt;"0",IF(LEFT(DC113,1)="1",3,DD113),$D$5+$E$5*(DT113*DM113/($K$5*1000))+$F$5*(DT113*DM113/($K$5*1000))*MAX(MIN(DA113,$J$5),$I$5)*MAX(MIN(DA113,$J$5),$I$5)+$G$5*MAX(MIN(DA113,$J$5),$I$5)*(DT113*DM113/($K$5*1000))+$H$5*(DT113*DM113/($K$5*1000))*(DT113*DM113/($K$5*1000)))</f>
        <v>2.9074701673096603</v>
      </c>
      <c r="T113">
        <f t="shared" ref="T113:T128" si="147">K113*(1000-(1000*0.61365*EXP(17.502*X113/(240.97+X113))/(DM113+DN113)+DH113)/2)/(1000*0.61365*EXP(17.502*X113/(240.97+X113))/(DM113+DN113)-DH113)</f>
        <v>0.33288824976991938</v>
      </c>
      <c r="U113">
        <f t="shared" ref="U113:U128" si="148">1/((DB113+1)/(R113/1.6)+1/(S113/1.37)) + DB113/((DB113+1)/(R113/1.6) + DB113/(S113/1.37))</f>
        <v>0.20995693945641214</v>
      </c>
      <c r="V113">
        <f t="shared" ref="V113:V128" si="149">(CW113*CZ113)</f>
        <v>344.34279964456238</v>
      </c>
      <c r="W113">
        <f t="shared" ref="W113:W128" si="150">(DO113+(V113+2*0.95*0.0000000567*(((DO113+$B$7)+273)^4-(DO113+273)^4)-44100*K113)/(1.84*29.3*S113+8*0.95*0.0000000567*(DO113+273)^3))</f>
        <v>31.167797772266734</v>
      </c>
      <c r="X113">
        <f t="shared" ref="X113:X128" si="151">($C$7*DP113+$D$7*DQ113+$E$7*W113)</f>
        <v>30.030100000000001</v>
      </c>
      <c r="Y113">
        <f t="shared" ref="Y113:Y128" si="152">0.61365*EXP(17.502*X113/(240.97+X113))</f>
        <v>4.2678212980947547</v>
      </c>
      <c r="Z113">
        <f t="shared" ref="Z113:Z128" si="153">(AA113/AB113*100)</f>
        <v>65.042709228857788</v>
      </c>
      <c r="AA113">
        <f t="shared" ref="AA113:AA128" si="154">DH113*(DM113+DN113)/1000</f>
        <v>2.8389467858291</v>
      </c>
      <c r="AB113">
        <f t="shared" ref="AB113:AB128" si="155">0.61365*EXP(17.502*DO113/(240.97+DO113))</f>
        <v>4.3647425199341665</v>
      </c>
      <c r="AC113">
        <f t="shared" ref="AC113:AC128" si="156">(Y113-DH113*(DM113+DN113)/1000)</f>
        <v>1.4288745122656548</v>
      </c>
      <c r="AD113">
        <f t="shared" ref="AD113:AD128" si="157">(-K113*44100)</f>
        <v>-218.41265809520107</v>
      </c>
      <c r="AE113">
        <f t="shared" ref="AE113:AE128" si="158">2*29.3*S113*0.92*(DO113-X113)</f>
        <v>61.382333398055444</v>
      </c>
      <c r="AF113">
        <f t="shared" ref="AF113:AF128" si="159">2*0.95*0.0000000567*(((DO113+$B$7)+273)^4-(X113+273)^4)</f>
        <v>4.7047699947591575</v>
      </c>
      <c r="AG113">
        <f t="shared" ref="AG113:AG128" si="160">V113+AF113+AD113+AE113</f>
        <v>192.01724494217589</v>
      </c>
      <c r="AH113">
        <v>0</v>
      </c>
      <c r="AI113">
        <v>0</v>
      </c>
      <c r="AJ113">
        <f t="shared" ref="AJ113:AJ128" si="161">IF(AH113*$H$13&gt;=AL113,1,(AL113/(AL113-AH113*$H$13)))</f>
        <v>1</v>
      </c>
      <c r="AK113">
        <f t="shared" ref="AK113:AK128" si="162">(AJ113-1)*100</f>
        <v>0</v>
      </c>
      <c r="AL113">
        <f t="shared" ref="AL113:AL128" si="163">MAX(0,($B$13+$C$13*DT113)/(1+$D$13*DT113)*DM113/(DO113+273)*$E$13)</f>
        <v>51641.173854660025</v>
      </c>
      <c r="AM113" t="s">
        <v>416</v>
      </c>
      <c r="AN113">
        <v>10366.9</v>
      </c>
      <c r="AO113">
        <v>993.59653846153856</v>
      </c>
      <c r="AP113">
        <v>3431.87</v>
      </c>
      <c r="AQ113">
        <f t="shared" ref="AQ113:AQ128" si="164">1-AO113/AP113</f>
        <v>0.71047955241266758</v>
      </c>
      <c r="AR113">
        <v>-3.9894345373445681</v>
      </c>
      <c r="AS113" t="s">
        <v>910</v>
      </c>
      <c r="AT113">
        <v>10359.6</v>
      </c>
      <c r="AU113">
        <v>769.46826923076924</v>
      </c>
      <c r="AV113">
        <v>1094.292542218767</v>
      </c>
      <c r="AW113">
        <f t="shared" ref="AW113:AW128" si="165">1-AU113/AV113</f>
        <v>0.29683495085271272</v>
      </c>
      <c r="AX113">
        <v>0.5</v>
      </c>
      <c r="AY113">
        <f t="shared" ref="AY113:AY128" si="166">CX113</f>
        <v>1513.0670998222813</v>
      </c>
      <c r="AZ113">
        <f t="shared" ref="AZ113:AZ128" si="167">M113</f>
        <v>43.13301288636157</v>
      </c>
      <c r="BA113">
        <f t="shared" ref="BA113:BA128" si="168">AW113*AX113*AY113</f>
        <v>224.56559910630173</v>
      </c>
      <c r="BB113">
        <f t="shared" ref="BB113:BB128" si="169">(AZ113-AR113)/AY113</f>
        <v>3.1143660072471966E-2</v>
      </c>
      <c r="BC113">
        <f t="shared" ref="BC113:BC128" si="170">(AP113-AV113)/AV113</f>
        <v>2.1361540608159535</v>
      </c>
      <c r="BD113">
        <f t="shared" ref="BD113:BD128" si="171">AO113/(AQ113+AO113/AV113)</f>
        <v>613.91468846088776</v>
      </c>
      <c r="BE113" t="s">
        <v>911</v>
      </c>
      <c r="BF113">
        <v>595.64</v>
      </c>
      <c r="BG113">
        <f t="shared" ref="BG113:BG128" si="172">IF(BF113&lt;&gt;0, BF113, BD113)</f>
        <v>595.64</v>
      </c>
      <c r="BH113">
        <f t="shared" ref="BH113:BH128" si="173">1-BG113/AV113</f>
        <v>0.45568485846363216</v>
      </c>
      <c r="BI113">
        <f t="shared" ref="BI113:BI128" si="174">(AV113-AU113)/(AV113-BG113)</f>
        <v>0.65140402481993576</v>
      </c>
      <c r="BJ113">
        <f t="shared" ref="BJ113:BJ128" si="175">(AP113-AV113)/(AP113-BG113)</f>
        <v>0.82418473035728157</v>
      </c>
      <c r="BK113">
        <f t="shared" ref="BK113:BK128" si="176">(AV113-AU113)/(AV113-AO113)</f>
        <v>3.2257911026055015</v>
      </c>
      <c r="BL113">
        <f t="shared" ref="BL113:BL128" si="177">(AP113-AV113)/(AP113-AO113)</f>
        <v>0.95870192357599893</v>
      </c>
      <c r="BM113">
        <f t="shared" ref="BM113:BM128" si="178">(BI113*BG113/AU113)</f>
        <v>0.50424729499454091</v>
      </c>
      <c r="BN113">
        <f t="shared" ref="BN113:BN128" si="179">(1-BM113)</f>
        <v>0.49575270500545909</v>
      </c>
      <c r="BO113">
        <v>2341</v>
      </c>
      <c r="BP113">
        <v>290.00000000000011</v>
      </c>
      <c r="BQ113">
        <v>1001.6</v>
      </c>
      <c r="BR113">
        <v>195</v>
      </c>
      <c r="BS113">
        <v>10359.6</v>
      </c>
      <c r="BT113">
        <v>997.91</v>
      </c>
      <c r="BU113">
        <v>3.69</v>
      </c>
      <c r="BV113">
        <v>300.00000000000011</v>
      </c>
      <c r="BW113">
        <v>38.4</v>
      </c>
      <c r="BX113">
        <v>1094.292542218767</v>
      </c>
      <c r="BY113">
        <v>1.100728270763599</v>
      </c>
      <c r="BZ113">
        <v>-99.853123089796284</v>
      </c>
      <c r="CA113">
        <v>0.933114020664643</v>
      </c>
      <c r="CB113">
        <v>0.99756082174224936</v>
      </c>
      <c r="CC113">
        <v>-1.127076262513905E-2</v>
      </c>
      <c r="CD113">
        <v>289.99999999999989</v>
      </c>
      <c r="CE113">
        <v>987.17</v>
      </c>
      <c r="CF113">
        <v>695</v>
      </c>
      <c r="CG113">
        <v>10334.1</v>
      </c>
      <c r="CH113">
        <v>997.67</v>
      </c>
      <c r="CI113">
        <v>-10.5</v>
      </c>
      <c r="CW113">
        <f t="shared" ref="CW113:CW128" si="180">$B$11*DU113+$C$11*DV113+$F$11*EG113*(1-EJ113)</f>
        <v>1799.86</v>
      </c>
      <c r="CX113">
        <f t="shared" ref="CX113:CX128" si="181">CW113*CY113</f>
        <v>1513.0670998222813</v>
      </c>
      <c r="CY113">
        <f t="shared" ref="CY113:CY128" si="182">($B$11*$D$9+$C$11*$D$9+$F$11*((ET113+EL113)/MAX(ET113+EL113+EU113, 0.1)*$I$9+EU113/MAX(ET113+EL113+EU113, 0.1)*$J$9))/($B$11+$C$11+$F$11)</f>
        <v>0.84065821776264893</v>
      </c>
      <c r="CZ113">
        <f t="shared" ref="CZ113:CZ128" si="183">($B$11*$K$9+$C$11*$K$9+$F$11*((ET113+EL113)/MAX(ET113+EL113+EU113, 0.1)*$P$9+EU113/MAX(ET113+EL113+EU113, 0.1)*$Q$9))/($B$11+$C$11+$F$11)</f>
        <v>0.19131643552529776</v>
      </c>
      <c r="DA113">
        <v>6</v>
      </c>
      <c r="DB113">
        <v>0.5</v>
      </c>
      <c r="DC113" t="s">
        <v>419</v>
      </c>
      <c r="DD113">
        <v>2</v>
      </c>
      <c r="DE113">
        <v>1693516788.0999999</v>
      </c>
      <c r="DF113">
        <v>1141.4100000000001</v>
      </c>
      <c r="DG113">
        <v>1200</v>
      </c>
      <c r="DH113">
        <v>28.505299999999998</v>
      </c>
      <c r="DI113">
        <v>22.726900000000001</v>
      </c>
      <c r="DJ113">
        <v>1138.25</v>
      </c>
      <c r="DK113">
        <v>27.6035</v>
      </c>
      <c r="DL113">
        <v>499.601</v>
      </c>
      <c r="DM113">
        <v>99.492900000000006</v>
      </c>
      <c r="DN113">
        <v>0.100747</v>
      </c>
      <c r="DO113">
        <v>30.421700000000001</v>
      </c>
      <c r="DP113">
        <v>30.030100000000001</v>
      </c>
      <c r="DQ113">
        <v>999.9</v>
      </c>
      <c r="DR113">
        <v>0</v>
      </c>
      <c r="DS113">
        <v>0</v>
      </c>
      <c r="DT113">
        <v>9925</v>
      </c>
      <c r="DU113">
        <v>0</v>
      </c>
      <c r="DV113">
        <v>95.758899999999997</v>
      </c>
      <c r="DW113">
        <v>-58.592399999999998</v>
      </c>
      <c r="DX113">
        <v>1174.9000000000001</v>
      </c>
      <c r="DY113">
        <v>1227.9100000000001</v>
      </c>
      <c r="DZ113">
        <v>5.7784500000000003</v>
      </c>
      <c r="EA113">
        <v>1200</v>
      </c>
      <c r="EB113">
        <v>22.726900000000001</v>
      </c>
      <c r="EC113">
        <v>2.8360799999999999</v>
      </c>
      <c r="ED113">
        <v>2.2611699999999999</v>
      </c>
      <c r="EE113">
        <v>23.095600000000001</v>
      </c>
      <c r="EF113">
        <v>19.4024</v>
      </c>
      <c r="EG113">
        <v>1799.86</v>
      </c>
      <c r="EH113">
        <v>0.97799700000000001</v>
      </c>
      <c r="EI113">
        <v>2.2002500000000001E-2</v>
      </c>
      <c r="EJ113">
        <v>0</v>
      </c>
      <c r="EK113">
        <v>769.42100000000005</v>
      </c>
      <c r="EL113">
        <v>5.0002700000000004</v>
      </c>
      <c r="EM113">
        <v>14376</v>
      </c>
      <c r="EN113">
        <v>16247.3</v>
      </c>
      <c r="EO113">
        <v>47.686999999999998</v>
      </c>
      <c r="EP113">
        <v>48.186999999999998</v>
      </c>
      <c r="EQ113">
        <v>48.625</v>
      </c>
      <c r="ER113">
        <v>47.686999999999998</v>
      </c>
      <c r="ES113">
        <v>49.25</v>
      </c>
      <c r="ET113">
        <v>1755.37</v>
      </c>
      <c r="EU113">
        <v>39.49</v>
      </c>
      <c r="EV113">
        <v>0</v>
      </c>
      <c r="EW113">
        <v>145.79999995231631</v>
      </c>
      <c r="EX113">
        <v>0</v>
      </c>
      <c r="EY113">
        <v>769.46826923076924</v>
      </c>
      <c r="EZ113">
        <v>-0.67873503825008208</v>
      </c>
      <c r="FA113">
        <v>-2.5333334145088351</v>
      </c>
      <c r="FB113">
        <v>14379.20384615385</v>
      </c>
      <c r="FC113">
        <v>15</v>
      </c>
      <c r="FD113">
        <v>1693516750.0999999</v>
      </c>
      <c r="FE113" t="s">
        <v>912</v>
      </c>
      <c r="FF113">
        <v>1693516743.5999999</v>
      </c>
      <c r="FG113">
        <v>1693516750.0999999</v>
      </c>
      <c r="FH113">
        <v>106</v>
      </c>
      <c r="FI113">
        <v>6.7000000000000004E-2</v>
      </c>
      <c r="FJ113">
        <v>8.0000000000000002E-3</v>
      </c>
      <c r="FK113">
        <v>3.12</v>
      </c>
      <c r="FL113">
        <v>0.57799999999999996</v>
      </c>
      <c r="FM113">
        <v>1200</v>
      </c>
      <c r="FN113">
        <v>23</v>
      </c>
      <c r="FO113">
        <v>0.19</v>
      </c>
      <c r="FP113">
        <v>0.06</v>
      </c>
      <c r="FQ113">
        <v>43.114813888647952</v>
      </c>
      <c r="FR113">
        <v>-0.57112499752527957</v>
      </c>
      <c r="FS113">
        <v>0.12926549066016871</v>
      </c>
      <c r="FT113">
        <v>1</v>
      </c>
      <c r="FU113">
        <v>0.36360400316418162</v>
      </c>
      <c r="FV113">
        <v>7.2223466069567749E-3</v>
      </c>
      <c r="FW113">
        <v>3.8178960714748329E-3</v>
      </c>
      <c r="FX113">
        <v>1</v>
      </c>
      <c r="FY113">
        <v>2</v>
      </c>
      <c r="FZ113">
        <v>2</v>
      </c>
      <c r="GA113" t="s">
        <v>421</v>
      </c>
      <c r="GB113">
        <v>3.1176699999999999</v>
      </c>
      <c r="GC113">
        <v>2.8652500000000001</v>
      </c>
      <c r="GD113">
        <v>0.19284599999999999</v>
      </c>
      <c r="GE113">
        <v>0.203711</v>
      </c>
      <c r="GF113">
        <v>0.128882</v>
      </c>
      <c r="GG113">
        <v>0.115199</v>
      </c>
      <c r="GH113">
        <v>24413.8</v>
      </c>
      <c r="GI113">
        <v>18732</v>
      </c>
      <c r="GJ113">
        <v>29157.3</v>
      </c>
      <c r="GK113">
        <v>21923.4</v>
      </c>
      <c r="GL113">
        <v>34017.4</v>
      </c>
      <c r="GM113">
        <v>26697.4</v>
      </c>
      <c r="GN113">
        <v>40457.4</v>
      </c>
      <c r="GO113">
        <v>31151.3</v>
      </c>
      <c r="GP113">
        <v>2.0327999999999999</v>
      </c>
      <c r="GQ113">
        <v>1.8093999999999999</v>
      </c>
      <c r="GR113">
        <v>0.100508</v>
      </c>
      <c r="GS113">
        <v>0</v>
      </c>
      <c r="GT113">
        <v>28.392399999999999</v>
      </c>
      <c r="GU113">
        <v>999.9</v>
      </c>
      <c r="GV113">
        <v>29.7</v>
      </c>
      <c r="GW113">
        <v>43.6</v>
      </c>
      <c r="GX113">
        <v>26.758700000000001</v>
      </c>
      <c r="GY113">
        <v>61.509700000000002</v>
      </c>
      <c r="GZ113">
        <v>14.0946</v>
      </c>
      <c r="HA113">
        <v>1</v>
      </c>
      <c r="HB113">
        <v>0.210447</v>
      </c>
      <c r="HC113">
        <v>0.84164499999999998</v>
      </c>
      <c r="HD113">
        <v>20.272099999999998</v>
      </c>
      <c r="HE113">
        <v>5.2328599999999996</v>
      </c>
      <c r="HF113">
        <v>11.974</v>
      </c>
      <c r="HG113">
        <v>4.9748000000000001</v>
      </c>
      <c r="HH113">
        <v>3.2839999999999998</v>
      </c>
      <c r="HI113">
        <v>9999</v>
      </c>
      <c r="HJ113">
        <v>9999</v>
      </c>
      <c r="HK113">
        <v>9999</v>
      </c>
      <c r="HL113">
        <v>999.9</v>
      </c>
      <c r="HM113">
        <v>1.86138</v>
      </c>
      <c r="HN113">
        <v>1.86303</v>
      </c>
      <c r="HO113">
        <v>1.86835</v>
      </c>
      <c r="HP113">
        <v>1.8591299999999999</v>
      </c>
      <c r="HQ113">
        <v>1.85745</v>
      </c>
      <c r="HR113">
        <v>1.86113</v>
      </c>
      <c r="HS113">
        <v>1.86493</v>
      </c>
      <c r="HT113">
        <v>1.86707</v>
      </c>
      <c r="HU113">
        <v>5</v>
      </c>
      <c r="HV113">
        <v>0</v>
      </c>
      <c r="HW113">
        <v>0</v>
      </c>
      <c r="HX113">
        <v>0</v>
      </c>
      <c r="HY113" t="s">
        <v>422</v>
      </c>
      <c r="HZ113" t="s">
        <v>423</v>
      </c>
      <c r="IA113" t="s">
        <v>424</v>
      </c>
      <c r="IB113" t="s">
        <v>424</v>
      </c>
      <c r="IC113" t="s">
        <v>424</v>
      </c>
      <c r="ID113" t="s">
        <v>424</v>
      </c>
      <c r="IE113">
        <v>0</v>
      </c>
      <c r="IF113">
        <v>100</v>
      </c>
      <c r="IG113">
        <v>100</v>
      </c>
      <c r="IH113">
        <v>3.16</v>
      </c>
      <c r="II113">
        <v>0.90180000000000005</v>
      </c>
      <c r="IJ113">
        <v>3.2700277762330998</v>
      </c>
      <c r="IK113">
        <v>1.118558698776514E-3</v>
      </c>
      <c r="IL113">
        <v>-1.6939696309573479E-6</v>
      </c>
      <c r="IM113">
        <v>5.4698917449866148E-10</v>
      </c>
      <c r="IN113">
        <v>2.0334333764614021E-2</v>
      </c>
      <c r="IO113">
        <v>-7.6058941998734366E-3</v>
      </c>
      <c r="IP113">
        <v>1.6984902717538061E-3</v>
      </c>
      <c r="IQ113">
        <v>-9.6352527008986976E-6</v>
      </c>
      <c r="IR113">
        <v>2</v>
      </c>
      <c r="IS113">
        <v>2021</v>
      </c>
      <c r="IT113">
        <v>2</v>
      </c>
      <c r="IU113">
        <v>40</v>
      </c>
      <c r="IV113">
        <v>0.7</v>
      </c>
      <c r="IW113">
        <v>0.6</v>
      </c>
      <c r="IX113">
        <v>2.5415000000000001</v>
      </c>
      <c r="IY113">
        <v>2.5280800000000001</v>
      </c>
      <c r="IZ113">
        <v>1.34399</v>
      </c>
      <c r="JA113">
        <v>2.2326700000000002</v>
      </c>
      <c r="JB113">
        <v>1.5918000000000001</v>
      </c>
      <c r="JC113">
        <v>2.4731399999999999</v>
      </c>
      <c r="JD113">
        <v>46.444200000000002</v>
      </c>
      <c r="JE113">
        <v>24.14</v>
      </c>
      <c r="JF113">
        <v>18</v>
      </c>
      <c r="JG113">
        <v>516.23400000000004</v>
      </c>
      <c r="JH113">
        <v>410.31400000000002</v>
      </c>
      <c r="JI113">
        <v>27.786899999999999</v>
      </c>
      <c r="JJ113">
        <v>30.209499999999998</v>
      </c>
      <c r="JK113">
        <v>30</v>
      </c>
      <c r="JL113">
        <v>30.199300000000001</v>
      </c>
      <c r="JM113">
        <v>30.1677</v>
      </c>
      <c r="JN113">
        <v>50.938899999999997</v>
      </c>
      <c r="JO113">
        <v>9.7353199999999998</v>
      </c>
      <c r="JP113">
        <v>21.478100000000001</v>
      </c>
      <c r="JQ113">
        <v>27.776700000000002</v>
      </c>
      <c r="JR113">
        <v>1200</v>
      </c>
      <c r="JS113">
        <v>22.703499999999998</v>
      </c>
      <c r="JT113">
        <v>99.403199999999998</v>
      </c>
      <c r="JU113">
        <v>98.418099999999995</v>
      </c>
    </row>
    <row r="114" spans="1:281" x14ac:dyDescent="0.25">
      <c r="A114">
        <v>98</v>
      </c>
      <c r="B114">
        <v>1693516906.5999999</v>
      </c>
      <c r="C114">
        <v>21980</v>
      </c>
      <c r="D114" t="s">
        <v>913</v>
      </c>
      <c r="E114" t="s">
        <v>914</v>
      </c>
      <c r="F114" t="s">
        <v>413</v>
      </c>
      <c r="G114" t="s">
        <v>565</v>
      </c>
      <c r="H114" t="s">
        <v>415</v>
      </c>
      <c r="I114" t="s">
        <v>415</v>
      </c>
      <c r="J114">
        <v>1693516906.5999999</v>
      </c>
      <c r="K114">
        <f t="shared" si="138"/>
        <v>4.5699038613854943E-3</v>
      </c>
      <c r="L114">
        <f t="shared" si="139"/>
        <v>4.5699038613854945</v>
      </c>
      <c r="M114">
        <f t="shared" si="140"/>
        <v>41.834692231890095</v>
      </c>
      <c r="N114">
        <f t="shared" si="141"/>
        <v>1441.48</v>
      </c>
      <c r="O114">
        <f t="shared" si="142"/>
        <v>1195.3742864976562</v>
      </c>
      <c r="P114">
        <f t="shared" si="143"/>
        <v>119.04479458493708</v>
      </c>
      <c r="Q114">
        <f t="shared" si="144"/>
        <v>143.55394158683998</v>
      </c>
      <c r="R114">
        <f t="shared" si="145"/>
        <v>0.32774605428322401</v>
      </c>
      <c r="S114">
        <f t="shared" si="146"/>
        <v>2.9108898664754488</v>
      </c>
      <c r="T114">
        <f t="shared" si="147"/>
        <v>0.30853842333901688</v>
      </c>
      <c r="U114">
        <f t="shared" si="148"/>
        <v>0.19446837232538522</v>
      </c>
      <c r="V114">
        <f t="shared" si="149"/>
        <v>344.371299644592</v>
      </c>
      <c r="W114">
        <f t="shared" si="150"/>
        <v>31.206787412167131</v>
      </c>
      <c r="X114">
        <f t="shared" si="151"/>
        <v>29.987200000000001</v>
      </c>
      <c r="Y114">
        <f t="shared" si="152"/>
        <v>4.2573184014574643</v>
      </c>
      <c r="Z114">
        <f t="shared" si="153"/>
        <v>65.172369836685945</v>
      </c>
      <c r="AA114">
        <f t="shared" si="154"/>
        <v>2.8347989659599002</v>
      </c>
      <c r="AB114">
        <f t="shared" si="155"/>
        <v>4.3496944687811148</v>
      </c>
      <c r="AC114">
        <f t="shared" si="156"/>
        <v>1.4225194354975641</v>
      </c>
      <c r="AD114">
        <f t="shared" si="157"/>
        <v>-201.5327602871003</v>
      </c>
      <c r="AE114">
        <f t="shared" si="158"/>
        <v>58.72391491494875</v>
      </c>
      <c r="AF114">
        <f t="shared" si="159"/>
        <v>4.4934276175179493</v>
      </c>
      <c r="AG114">
        <f t="shared" si="160"/>
        <v>206.05588188995841</v>
      </c>
      <c r="AH114">
        <v>0</v>
      </c>
      <c r="AI114">
        <v>0</v>
      </c>
      <c r="AJ114">
        <f t="shared" si="161"/>
        <v>1</v>
      </c>
      <c r="AK114">
        <f t="shared" si="162"/>
        <v>0</v>
      </c>
      <c r="AL114">
        <f t="shared" si="163"/>
        <v>51748.514795730895</v>
      </c>
      <c r="AM114" t="s">
        <v>416</v>
      </c>
      <c r="AN114">
        <v>10366.9</v>
      </c>
      <c r="AO114">
        <v>993.59653846153856</v>
      </c>
      <c r="AP114">
        <v>3431.87</v>
      </c>
      <c r="AQ114">
        <f t="shared" si="164"/>
        <v>0.71047955241266758</v>
      </c>
      <c r="AR114">
        <v>-3.9894345373445681</v>
      </c>
      <c r="AS114" t="s">
        <v>915</v>
      </c>
      <c r="AT114">
        <v>10371.4</v>
      </c>
      <c r="AU114">
        <v>768.07436000000007</v>
      </c>
      <c r="AV114">
        <v>1087.7860820923311</v>
      </c>
      <c r="AW114">
        <f t="shared" si="165"/>
        <v>0.29391047316708907</v>
      </c>
      <c r="AX114">
        <v>0.5</v>
      </c>
      <c r="AY114">
        <f t="shared" si="166"/>
        <v>1513.1930998222956</v>
      </c>
      <c r="AZ114">
        <f t="shared" si="167"/>
        <v>41.834692231890095</v>
      </c>
      <c r="BA114">
        <f t="shared" si="168"/>
        <v>222.37164998097256</v>
      </c>
      <c r="BB114">
        <f t="shared" si="169"/>
        <v>3.0283066169556352E-2</v>
      </c>
      <c r="BC114">
        <f t="shared" si="170"/>
        <v>2.1549125848336637</v>
      </c>
      <c r="BD114">
        <f t="shared" si="171"/>
        <v>611.8614991896394</v>
      </c>
      <c r="BE114" t="s">
        <v>916</v>
      </c>
      <c r="BF114">
        <v>599.27</v>
      </c>
      <c r="BG114">
        <f t="shared" si="172"/>
        <v>599.27</v>
      </c>
      <c r="BH114">
        <f t="shared" si="173"/>
        <v>0.44909205048172873</v>
      </c>
      <c r="BI114">
        <f t="shared" si="174"/>
        <v>0.65445485586266627</v>
      </c>
      <c r="BJ114">
        <f t="shared" si="175"/>
        <v>0.82753792201781717</v>
      </c>
      <c r="BK114">
        <f t="shared" si="176"/>
        <v>3.3943441041135971</v>
      </c>
      <c r="BL114">
        <f t="shared" si="177"/>
        <v>0.96137039379850253</v>
      </c>
      <c r="BM114">
        <f t="shared" si="178"/>
        <v>0.5106213433199619</v>
      </c>
      <c r="BN114">
        <f t="shared" si="179"/>
        <v>0.4893786566800381</v>
      </c>
      <c r="BO114">
        <v>2343</v>
      </c>
      <c r="BP114">
        <v>290.00000000000011</v>
      </c>
      <c r="BQ114">
        <v>997.94</v>
      </c>
      <c r="BR114">
        <v>125</v>
      </c>
      <c r="BS114">
        <v>10371.4</v>
      </c>
      <c r="BT114">
        <v>994.56</v>
      </c>
      <c r="BU114">
        <v>3.38</v>
      </c>
      <c r="BV114">
        <v>300.00000000000011</v>
      </c>
      <c r="BW114">
        <v>38.4</v>
      </c>
      <c r="BX114">
        <v>1087.7860820923311</v>
      </c>
      <c r="BY114">
        <v>0.99444390761337365</v>
      </c>
      <c r="BZ114">
        <v>-96.690041539402614</v>
      </c>
      <c r="CA114">
        <v>0.84294120641161663</v>
      </c>
      <c r="CB114">
        <v>0.99787643346487187</v>
      </c>
      <c r="CC114">
        <v>-1.1269856507230251E-2</v>
      </c>
      <c r="CD114">
        <v>289.99999999999989</v>
      </c>
      <c r="CE114">
        <v>985.02</v>
      </c>
      <c r="CF114">
        <v>645</v>
      </c>
      <c r="CG114">
        <v>10337.9</v>
      </c>
      <c r="CH114">
        <v>994.26</v>
      </c>
      <c r="CI114">
        <v>-9.24</v>
      </c>
      <c r="CW114">
        <f t="shared" si="180"/>
        <v>1800.01</v>
      </c>
      <c r="CX114">
        <f t="shared" si="181"/>
        <v>1513.1930998222956</v>
      </c>
      <c r="CY114">
        <f t="shared" si="182"/>
        <v>0.84065816291148143</v>
      </c>
      <c r="CZ114">
        <f t="shared" si="183"/>
        <v>0.19131632582296321</v>
      </c>
      <c r="DA114">
        <v>6</v>
      </c>
      <c r="DB114">
        <v>0.5</v>
      </c>
      <c r="DC114" t="s">
        <v>419</v>
      </c>
      <c r="DD114">
        <v>2</v>
      </c>
      <c r="DE114">
        <v>1693516906.5999999</v>
      </c>
      <c r="DF114">
        <v>1441.48</v>
      </c>
      <c r="DG114">
        <v>1499.53</v>
      </c>
      <c r="DH114">
        <v>28.465299999999999</v>
      </c>
      <c r="DI114">
        <v>23.142700000000001</v>
      </c>
      <c r="DJ114">
        <v>1438.12</v>
      </c>
      <c r="DK114">
        <v>27.555900000000001</v>
      </c>
      <c r="DL114">
        <v>500.48700000000002</v>
      </c>
      <c r="DM114">
        <v>99.487300000000005</v>
      </c>
      <c r="DN114">
        <v>0.10058300000000001</v>
      </c>
      <c r="DO114">
        <v>30.3614</v>
      </c>
      <c r="DP114">
        <v>29.987200000000001</v>
      </c>
      <c r="DQ114">
        <v>999.9</v>
      </c>
      <c r="DR114">
        <v>0</v>
      </c>
      <c r="DS114">
        <v>0</v>
      </c>
      <c r="DT114">
        <v>9945</v>
      </c>
      <c r="DU114">
        <v>0</v>
      </c>
      <c r="DV114">
        <v>95.198999999999998</v>
      </c>
      <c r="DW114">
        <v>-58.059399999999997</v>
      </c>
      <c r="DX114">
        <v>1483.71</v>
      </c>
      <c r="DY114">
        <v>1535.06</v>
      </c>
      <c r="DZ114">
        <v>5.3225600000000002</v>
      </c>
      <c r="EA114">
        <v>1499.53</v>
      </c>
      <c r="EB114">
        <v>23.142700000000001</v>
      </c>
      <c r="EC114">
        <v>2.8319299999999998</v>
      </c>
      <c r="ED114">
        <v>2.3024100000000001</v>
      </c>
      <c r="EE114">
        <v>23.071400000000001</v>
      </c>
      <c r="EF114">
        <v>19.693200000000001</v>
      </c>
      <c r="EG114">
        <v>1800.01</v>
      </c>
      <c r="EH114">
        <v>0.97800100000000001</v>
      </c>
      <c r="EI114">
        <v>2.1998899999999998E-2</v>
      </c>
      <c r="EJ114">
        <v>0</v>
      </c>
      <c r="EK114">
        <v>767.92399999999998</v>
      </c>
      <c r="EL114">
        <v>5.0002700000000004</v>
      </c>
      <c r="EM114">
        <v>14348.5</v>
      </c>
      <c r="EN114">
        <v>16248.7</v>
      </c>
      <c r="EO114">
        <v>47.75</v>
      </c>
      <c r="EP114">
        <v>48.25</v>
      </c>
      <c r="EQ114">
        <v>48.686999999999998</v>
      </c>
      <c r="ER114">
        <v>47.75</v>
      </c>
      <c r="ES114">
        <v>49.311999999999998</v>
      </c>
      <c r="ET114">
        <v>1755.52</v>
      </c>
      <c r="EU114">
        <v>39.49</v>
      </c>
      <c r="EV114">
        <v>0</v>
      </c>
      <c r="EW114">
        <v>116.3999998569489</v>
      </c>
      <c r="EX114">
        <v>0</v>
      </c>
      <c r="EY114">
        <v>768.07436000000007</v>
      </c>
      <c r="EZ114">
        <v>-2.2840000177036801</v>
      </c>
      <c r="FA114">
        <v>-18.807692313826429</v>
      </c>
      <c r="FB114">
        <v>14350.592000000001</v>
      </c>
      <c r="FC114">
        <v>15</v>
      </c>
      <c r="FD114">
        <v>1693516865.0999999</v>
      </c>
      <c r="FE114" t="s">
        <v>917</v>
      </c>
      <c r="FF114">
        <v>1693516865.0999999</v>
      </c>
      <c r="FG114">
        <v>1693516856.0999999</v>
      </c>
      <c r="FH114">
        <v>107</v>
      </c>
      <c r="FI114">
        <v>0.35299999999999998</v>
      </c>
      <c r="FJ114">
        <v>1.0999999999999999E-2</v>
      </c>
      <c r="FK114">
        <v>3.3359999999999999</v>
      </c>
      <c r="FL114">
        <v>0.6</v>
      </c>
      <c r="FM114">
        <v>1500</v>
      </c>
      <c r="FN114">
        <v>23</v>
      </c>
      <c r="FO114">
        <v>0.2</v>
      </c>
      <c r="FP114">
        <v>0.05</v>
      </c>
      <c r="FQ114">
        <v>42.229046918943062</v>
      </c>
      <c r="FR114">
        <v>-0.40423878300792587</v>
      </c>
      <c r="FS114">
        <v>0.16728969271990751</v>
      </c>
      <c r="FT114">
        <v>1</v>
      </c>
      <c r="FU114">
        <v>0.33136370081716382</v>
      </c>
      <c r="FV114">
        <v>-2.8772537208661731E-2</v>
      </c>
      <c r="FW114">
        <v>2.1942618354217269E-3</v>
      </c>
      <c r="FX114">
        <v>1</v>
      </c>
      <c r="FY114">
        <v>2</v>
      </c>
      <c r="FZ114">
        <v>2</v>
      </c>
      <c r="GA114" t="s">
        <v>421</v>
      </c>
      <c r="GB114">
        <v>3.1187900000000002</v>
      </c>
      <c r="GC114">
        <v>2.8652700000000002</v>
      </c>
      <c r="GD114">
        <v>0.22309999999999999</v>
      </c>
      <c r="GE114">
        <v>0.233572</v>
      </c>
      <c r="GF114">
        <v>0.12872800000000001</v>
      </c>
      <c r="GG114">
        <v>0.11666700000000001</v>
      </c>
      <c r="GH114">
        <v>23500.7</v>
      </c>
      <c r="GI114">
        <v>18031.400000000001</v>
      </c>
      <c r="GJ114">
        <v>29159.5</v>
      </c>
      <c r="GK114">
        <v>21925.4</v>
      </c>
      <c r="GL114">
        <v>34028.9</v>
      </c>
      <c r="GM114">
        <v>26658.1</v>
      </c>
      <c r="GN114">
        <v>40460.400000000001</v>
      </c>
      <c r="GO114">
        <v>31154.400000000001</v>
      </c>
      <c r="GP114">
        <v>2.0333000000000001</v>
      </c>
      <c r="GQ114">
        <v>1.8126</v>
      </c>
      <c r="GR114">
        <v>9.3698500000000004E-2</v>
      </c>
      <c r="GS114">
        <v>0</v>
      </c>
      <c r="GT114">
        <v>28.4604</v>
      </c>
      <c r="GU114">
        <v>999.9</v>
      </c>
      <c r="GV114">
        <v>30.2</v>
      </c>
      <c r="GW114">
        <v>43.5</v>
      </c>
      <c r="GX114">
        <v>27.068200000000001</v>
      </c>
      <c r="GY114">
        <v>61.469700000000003</v>
      </c>
      <c r="GZ114">
        <v>13.4976</v>
      </c>
      <c r="HA114">
        <v>1</v>
      </c>
      <c r="HB114">
        <v>0.20682900000000001</v>
      </c>
      <c r="HC114">
        <v>0.69986899999999996</v>
      </c>
      <c r="HD114">
        <v>20.3294</v>
      </c>
      <c r="HE114">
        <v>5.2340600000000004</v>
      </c>
      <c r="HF114">
        <v>11.974</v>
      </c>
      <c r="HG114">
        <v>4.9753999999999996</v>
      </c>
      <c r="HH114">
        <v>3.2839</v>
      </c>
      <c r="HI114">
        <v>9999</v>
      </c>
      <c r="HJ114">
        <v>9999</v>
      </c>
      <c r="HK114">
        <v>9999</v>
      </c>
      <c r="HL114">
        <v>999.9</v>
      </c>
      <c r="HM114">
        <v>1.8612500000000001</v>
      </c>
      <c r="HN114">
        <v>1.8629500000000001</v>
      </c>
      <c r="HO114">
        <v>1.8682700000000001</v>
      </c>
      <c r="HP114">
        <v>1.85904</v>
      </c>
      <c r="HQ114">
        <v>1.8573200000000001</v>
      </c>
      <c r="HR114">
        <v>1.8610100000000001</v>
      </c>
      <c r="HS114">
        <v>1.8648800000000001</v>
      </c>
      <c r="HT114">
        <v>1.8669100000000001</v>
      </c>
      <c r="HU114">
        <v>5</v>
      </c>
      <c r="HV114">
        <v>0</v>
      </c>
      <c r="HW114">
        <v>0</v>
      </c>
      <c r="HX114">
        <v>0</v>
      </c>
      <c r="HY114" t="s">
        <v>422</v>
      </c>
      <c r="HZ114" t="s">
        <v>423</v>
      </c>
      <c r="IA114" t="s">
        <v>424</v>
      </c>
      <c r="IB114" t="s">
        <v>424</v>
      </c>
      <c r="IC114" t="s">
        <v>424</v>
      </c>
      <c r="ID114" t="s">
        <v>424</v>
      </c>
      <c r="IE114">
        <v>0</v>
      </c>
      <c r="IF114">
        <v>100</v>
      </c>
      <c r="IG114">
        <v>100</v>
      </c>
      <c r="IH114">
        <v>3.36</v>
      </c>
      <c r="II114">
        <v>0.90939999999999999</v>
      </c>
      <c r="IJ114">
        <v>3.6222096955323879</v>
      </c>
      <c r="IK114">
        <v>1.118558698776514E-3</v>
      </c>
      <c r="IL114">
        <v>-1.6939696309573479E-6</v>
      </c>
      <c r="IM114">
        <v>5.4698917449866148E-10</v>
      </c>
      <c r="IN114">
        <v>3.088439763498918E-2</v>
      </c>
      <c r="IO114">
        <v>-7.6058941998734366E-3</v>
      </c>
      <c r="IP114">
        <v>1.6984902717538061E-3</v>
      </c>
      <c r="IQ114">
        <v>-9.6352527008986976E-6</v>
      </c>
      <c r="IR114">
        <v>2</v>
      </c>
      <c r="IS114">
        <v>2021</v>
      </c>
      <c r="IT114">
        <v>2</v>
      </c>
      <c r="IU114">
        <v>40</v>
      </c>
      <c r="IV114">
        <v>0.7</v>
      </c>
      <c r="IW114">
        <v>0.8</v>
      </c>
      <c r="IX114">
        <v>3.0578599999999998</v>
      </c>
      <c r="IY114">
        <v>2.5354000000000001</v>
      </c>
      <c r="IZ114">
        <v>1.34399</v>
      </c>
      <c r="JA114">
        <v>2.2314500000000002</v>
      </c>
      <c r="JB114">
        <v>1.5918000000000001</v>
      </c>
      <c r="JC114">
        <v>2.3889200000000002</v>
      </c>
      <c r="JD114">
        <v>46.269100000000002</v>
      </c>
      <c r="JE114">
        <v>16.4086</v>
      </c>
      <c r="JF114">
        <v>18</v>
      </c>
      <c r="JG114">
        <v>516.29999999999995</v>
      </c>
      <c r="JH114">
        <v>412.06900000000002</v>
      </c>
      <c r="JI114">
        <v>27.560099999999998</v>
      </c>
      <c r="JJ114">
        <v>30.186199999999999</v>
      </c>
      <c r="JK114">
        <v>30.0001</v>
      </c>
      <c r="JL114">
        <v>30.1707</v>
      </c>
      <c r="JM114">
        <v>30.140499999999999</v>
      </c>
      <c r="JN114">
        <v>61.252800000000001</v>
      </c>
      <c r="JO114">
        <v>10.686199999999999</v>
      </c>
      <c r="JP114">
        <v>23.553000000000001</v>
      </c>
      <c r="JQ114">
        <v>27.509799999999998</v>
      </c>
      <c r="JR114">
        <v>1500</v>
      </c>
      <c r="JS114">
        <v>23.104700000000001</v>
      </c>
      <c r="JT114">
        <v>99.410600000000002</v>
      </c>
      <c r="JU114">
        <v>98.427499999999995</v>
      </c>
    </row>
    <row r="115" spans="1:281" x14ac:dyDescent="0.25">
      <c r="A115">
        <v>99</v>
      </c>
      <c r="B115">
        <v>1693519648.0999999</v>
      </c>
      <c r="C115">
        <v>24721.5</v>
      </c>
      <c r="D115" t="s">
        <v>918</v>
      </c>
      <c r="E115" t="s">
        <v>919</v>
      </c>
      <c r="F115" t="s">
        <v>413</v>
      </c>
      <c r="G115" t="s">
        <v>778</v>
      </c>
      <c r="H115" t="s">
        <v>494</v>
      </c>
      <c r="I115" t="s">
        <v>415</v>
      </c>
      <c r="J115">
        <v>1693519648.0999999</v>
      </c>
      <c r="K115">
        <f t="shared" si="138"/>
        <v>4.3007214844199334E-3</v>
      </c>
      <c r="L115">
        <f t="shared" si="139"/>
        <v>4.3007214844199337</v>
      </c>
      <c r="M115">
        <f t="shared" si="140"/>
        <v>39.470982652298126</v>
      </c>
      <c r="N115">
        <f t="shared" si="141"/>
        <v>350.76900000000001</v>
      </c>
      <c r="O115">
        <f t="shared" si="142"/>
        <v>126.86266175681702</v>
      </c>
      <c r="P115">
        <f t="shared" si="143"/>
        <v>12.633035211749318</v>
      </c>
      <c r="Q115">
        <f t="shared" si="144"/>
        <v>34.929719011291205</v>
      </c>
      <c r="R115">
        <f t="shared" si="145"/>
        <v>0.30363854096773535</v>
      </c>
      <c r="S115">
        <f t="shared" si="146"/>
        <v>2.923045971899163</v>
      </c>
      <c r="T115">
        <f t="shared" si="147"/>
        <v>0.28714085846956205</v>
      </c>
      <c r="U115">
        <f t="shared" si="148"/>
        <v>0.18087055214574524</v>
      </c>
      <c r="V115">
        <f t="shared" si="149"/>
        <v>344.37699964459796</v>
      </c>
      <c r="W115">
        <f t="shared" si="150"/>
        <v>31.254553316241044</v>
      </c>
      <c r="X115">
        <f t="shared" si="151"/>
        <v>30.029800000000002</v>
      </c>
      <c r="Y115">
        <f t="shared" si="152"/>
        <v>4.2677477729351745</v>
      </c>
      <c r="Z115">
        <f t="shared" si="153"/>
        <v>65.119273706113319</v>
      </c>
      <c r="AA115">
        <f t="shared" si="154"/>
        <v>2.8294079157038405</v>
      </c>
      <c r="AB115">
        <f t="shared" si="155"/>
        <v>4.3449623355338787</v>
      </c>
      <c r="AC115">
        <f t="shared" si="156"/>
        <v>1.438339857231334</v>
      </c>
      <c r="AD115">
        <f t="shared" si="157"/>
        <v>-189.66181746291906</v>
      </c>
      <c r="AE115">
        <f t="shared" si="158"/>
        <v>49.261775737014823</v>
      </c>
      <c r="AF115">
        <f t="shared" si="159"/>
        <v>3.7541671049837282</v>
      </c>
      <c r="AG115">
        <f t="shared" si="160"/>
        <v>207.73112502367744</v>
      </c>
      <c r="AH115">
        <v>0</v>
      </c>
      <c r="AI115">
        <v>0</v>
      </c>
      <c r="AJ115">
        <f t="shared" si="161"/>
        <v>1</v>
      </c>
      <c r="AK115">
        <f t="shared" si="162"/>
        <v>0</v>
      </c>
      <c r="AL115">
        <f t="shared" si="163"/>
        <v>52097.698810327929</v>
      </c>
      <c r="AM115" t="s">
        <v>416</v>
      </c>
      <c r="AN115">
        <v>10366.9</v>
      </c>
      <c r="AO115">
        <v>993.59653846153856</v>
      </c>
      <c r="AP115">
        <v>3431.87</v>
      </c>
      <c r="AQ115">
        <f t="shared" si="164"/>
        <v>0.71047955241266758</v>
      </c>
      <c r="AR115">
        <v>-3.9894345373445681</v>
      </c>
      <c r="AS115" t="s">
        <v>920</v>
      </c>
      <c r="AT115">
        <v>10374.9</v>
      </c>
      <c r="AU115">
        <v>746.15407692307701</v>
      </c>
      <c r="AV115">
        <v>1026.1165210239251</v>
      </c>
      <c r="AW115">
        <f t="shared" si="165"/>
        <v>0.27283689363220032</v>
      </c>
      <c r="AX115">
        <v>0.5</v>
      </c>
      <c r="AY115">
        <f t="shared" si="166"/>
        <v>1513.2182998222988</v>
      </c>
      <c r="AZ115">
        <f t="shared" si="167"/>
        <v>39.470982652298126</v>
      </c>
      <c r="BA115">
        <f t="shared" si="168"/>
        <v>206.43089015545777</v>
      </c>
      <c r="BB115">
        <f t="shared" si="169"/>
        <v>2.872052049248041E-2</v>
      </c>
      <c r="BC115">
        <f t="shared" si="170"/>
        <v>2.3445227025245234</v>
      </c>
      <c r="BD115">
        <f t="shared" si="171"/>
        <v>591.85375111283213</v>
      </c>
      <c r="BE115" t="s">
        <v>921</v>
      </c>
      <c r="BF115">
        <v>588.86</v>
      </c>
      <c r="BG115">
        <f t="shared" si="172"/>
        <v>588.86</v>
      </c>
      <c r="BH115">
        <f t="shared" si="173"/>
        <v>0.42612755185697859</v>
      </c>
      <c r="BI115">
        <f t="shared" si="174"/>
        <v>0.64027048343443582</v>
      </c>
      <c r="BJ115">
        <f t="shared" si="175"/>
        <v>0.84619944318735252</v>
      </c>
      <c r="BK115">
        <f t="shared" si="176"/>
        <v>8.6089358616280443</v>
      </c>
      <c r="BL115">
        <f t="shared" si="177"/>
        <v>0.9866627008515001</v>
      </c>
      <c r="BM115">
        <f t="shared" si="178"/>
        <v>0.50529734881294619</v>
      </c>
      <c r="BN115">
        <f t="shared" si="179"/>
        <v>0.49470265118705381</v>
      </c>
      <c r="BO115">
        <v>2345</v>
      </c>
      <c r="BP115">
        <v>290.00000000000011</v>
      </c>
      <c r="BQ115">
        <v>948.99</v>
      </c>
      <c r="BR115">
        <v>205</v>
      </c>
      <c r="BS115">
        <v>10374.9</v>
      </c>
      <c r="BT115">
        <v>947.92</v>
      </c>
      <c r="BU115">
        <v>1.07</v>
      </c>
      <c r="BV115">
        <v>300.00000000000011</v>
      </c>
      <c r="BW115">
        <v>38.4</v>
      </c>
      <c r="BX115">
        <v>1026.1165210239251</v>
      </c>
      <c r="BY115">
        <v>1.147172318430046</v>
      </c>
      <c r="BZ115">
        <v>-81.132874299180074</v>
      </c>
      <c r="CA115">
        <v>0.97407913143840552</v>
      </c>
      <c r="CB115">
        <v>0.99598020880807614</v>
      </c>
      <c r="CC115">
        <v>-1.1289112124582879E-2</v>
      </c>
      <c r="CD115">
        <v>289.99999999999989</v>
      </c>
      <c r="CE115">
        <v>941.78</v>
      </c>
      <c r="CF115">
        <v>665</v>
      </c>
      <c r="CG115">
        <v>10353.799999999999</v>
      </c>
      <c r="CH115">
        <v>947.76</v>
      </c>
      <c r="CI115">
        <v>-5.98</v>
      </c>
      <c r="CW115">
        <f t="shared" si="180"/>
        <v>1800.04</v>
      </c>
      <c r="CX115">
        <f t="shared" si="181"/>
        <v>1513.2182998222988</v>
      </c>
      <c r="CY115">
        <f t="shared" si="182"/>
        <v>0.84065815194234506</v>
      </c>
      <c r="CZ115">
        <f t="shared" si="183"/>
        <v>0.19131630388469031</v>
      </c>
      <c r="DA115">
        <v>6</v>
      </c>
      <c r="DB115">
        <v>0.5</v>
      </c>
      <c r="DC115" t="s">
        <v>419</v>
      </c>
      <c r="DD115">
        <v>2</v>
      </c>
      <c r="DE115">
        <v>1693519648.0999999</v>
      </c>
      <c r="DF115">
        <v>350.76900000000001</v>
      </c>
      <c r="DG115">
        <v>399.90199999999999</v>
      </c>
      <c r="DH115">
        <v>28.4133</v>
      </c>
      <c r="DI115">
        <v>23.403400000000001</v>
      </c>
      <c r="DJ115">
        <v>348.20100000000002</v>
      </c>
      <c r="DK115">
        <v>27.463799999999999</v>
      </c>
      <c r="DL115">
        <v>500.43200000000002</v>
      </c>
      <c r="DM115">
        <v>99.480500000000006</v>
      </c>
      <c r="DN115">
        <v>9.9904800000000002E-2</v>
      </c>
      <c r="DO115">
        <v>30.342400000000001</v>
      </c>
      <c r="DP115">
        <v>30.029800000000002</v>
      </c>
      <c r="DQ115">
        <v>999.9</v>
      </c>
      <c r="DR115">
        <v>0</v>
      </c>
      <c r="DS115">
        <v>0</v>
      </c>
      <c r="DT115">
        <v>10015</v>
      </c>
      <c r="DU115">
        <v>0</v>
      </c>
      <c r="DV115">
        <v>286.815</v>
      </c>
      <c r="DW115">
        <v>-49.132800000000003</v>
      </c>
      <c r="DX115">
        <v>361.02699999999999</v>
      </c>
      <c r="DY115">
        <v>409.48599999999999</v>
      </c>
      <c r="DZ115">
        <v>5.0099</v>
      </c>
      <c r="EA115">
        <v>399.90199999999999</v>
      </c>
      <c r="EB115">
        <v>23.403400000000001</v>
      </c>
      <c r="EC115">
        <v>2.8265699999999998</v>
      </c>
      <c r="ED115">
        <v>2.3281800000000001</v>
      </c>
      <c r="EE115">
        <v>23.040099999999999</v>
      </c>
      <c r="EF115">
        <v>19.872699999999998</v>
      </c>
      <c r="EG115">
        <v>1800.04</v>
      </c>
      <c r="EH115">
        <v>0.97799800000000003</v>
      </c>
      <c r="EI115">
        <v>2.2001900000000001E-2</v>
      </c>
      <c r="EJ115">
        <v>0</v>
      </c>
      <c r="EK115">
        <v>746.21900000000005</v>
      </c>
      <c r="EL115">
        <v>5.0002700000000004</v>
      </c>
      <c r="EM115">
        <v>14807.8</v>
      </c>
      <c r="EN115">
        <v>16249</v>
      </c>
      <c r="EO115">
        <v>47.311999999999998</v>
      </c>
      <c r="EP115">
        <v>47.936999999999998</v>
      </c>
      <c r="EQ115">
        <v>48.25</v>
      </c>
      <c r="ER115">
        <v>47.5</v>
      </c>
      <c r="ES115">
        <v>48.875</v>
      </c>
      <c r="ET115">
        <v>1755.55</v>
      </c>
      <c r="EU115">
        <v>39.49</v>
      </c>
      <c r="EV115">
        <v>0</v>
      </c>
      <c r="EW115">
        <v>2739.7999999523158</v>
      </c>
      <c r="EX115">
        <v>0</v>
      </c>
      <c r="EY115">
        <v>746.15407692307701</v>
      </c>
      <c r="EZ115">
        <v>0.39357265779604372</v>
      </c>
      <c r="FA115">
        <v>5.6068376545404703</v>
      </c>
      <c r="FB115">
        <v>14806.91538461538</v>
      </c>
      <c r="FC115">
        <v>15</v>
      </c>
      <c r="FD115">
        <v>1693519618.0999999</v>
      </c>
      <c r="FE115" t="s">
        <v>922</v>
      </c>
      <c r="FF115">
        <v>1693519612.5999999</v>
      </c>
      <c r="FG115">
        <v>1693519618.0999999</v>
      </c>
      <c r="FH115">
        <v>110</v>
      </c>
      <c r="FI115">
        <v>0.113</v>
      </c>
      <c r="FJ115">
        <v>-2E-3</v>
      </c>
      <c r="FK115">
        <v>2.573</v>
      </c>
      <c r="FL115">
        <v>0.66300000000000003</v>
      </c>
      <c r="FM115">
        <v>400</v>
      </c>
      <c r="FN115">
        <v>23</v>
      </c>
      <c r="FO115">
        <v>0.08</v>
      </c>
      <c r="FP115">
        <v>0.04</v>
      </c>
      <c r="FQ115">
        <v>39.624626387404703</v>
      </c>
      <c r="FR115">
        <v>9.2286984469603525E-2</v>
      </c>
      <c r="FS115">
        <v>8.6060400229035952E-2</v>
      </c>
      <c r="FT115">
        <v>1</v>
      </c>
      <c r="FU115">
        <v>0.30589600140600942</v>
      </c>
      <c r="FV115">
        <v>2.8686711004090631E-2</v>
      </c>
      <c r="FW115">
        <v>4.3460767001661698E-3</v>
      </c>
      <c r="FX115">
        <v>1</v>
      </c>
      <c r="FY115">
        <v>2</v>
      </c>
      <c r="FZ115">
        <v>2</v>
      </c>
      <c r="GA115" t="s">
        <v>421</v>
      </c>
      <c r="GB115">
        <v>3.1188199999999999</v>
      </c>
      <c r="GC115">
        <v>2.8652000000000002</v>
      </c>
      <c r="GD115">
        <v>8.3679500000000004E-2</v>
      </c>
      <c r="GE115">
        <v>9.5688499999999996E-2</v>
      </c>
      <c r="GF115">
        <v>0.12878899999999999</v>
      </c>
      <c r="GG115">
        <v>0.117919</v>
      </c>
      <c r="GH115">
        <v>27767.8</v>
      </c>
      <c r="GI115">
        <v>21333.7</v>
      </c>
      <c r="GJ115">
        <v>29206.5</v>
      </c>
      <c r="GK115">
        <v>21982.7</v>
      </c>
      <c r="GL115">
        <v>34053.1</v>
      </c>
      <c r="GM115">
        <v>26670.1</v>
      </c>
      <c r="GN115">
        <v>40524</v>
      </c>
      <c r="GO115">
        <v>31227.7</v>
      </c>
      <c r="GP115">
        <v>2.0461</v>
      </c>
      <c r="GQ115">
        <v>1.8818999999999999</v>
      </c>
      <c r="GR115">
        <v>3.7834E-2</v>
      </c>
      <c r="GS115">
        <v>0</v>
      </c>
      <c r="GT115">
        <v>29.413799999999998</v>
      </c>
      <c r="GU115">
        <v>999.9</v>
      </c>
      <c r="GV115">
        <v>44.8</v>
      </c>
      <c r="GW115">
        <v>36.5</v>
      </c>
      <c r="GX115">
        <v>27.628699999999998</v>
      </c>
      <c r="GY115">
        <v>61.8217</v>
      </c>
      <c r="GZ115">
        <v>12.0913</v>
      </c>
      <c r="HA115">
        <v>1</v>
      </c>
      <c r="HB115">
        <v>0.11518299999999999</v>
      </c>
      <c r="HC115">
        <v>1.0081899999999999</v>
      </c>
      <c r="HD115">
        <v>20.3325</v>
      </c>
      <c r="HE115">
        <v>5.2346599999999999</v>
      </c>
      <c r="HF115">
        <v>11.974</v>
      </c>
      <c r="HG115">
        <v>4.9749999999999996</v>
      </c>
      <c r="HH115">
        <v>3.2835999999999999</v>
      </c>
      <c r="HI115">
        <v>9999</v>
      </c>
      <c r="HJ115">
        <v>9999</v>
      </c>
      <c r="HK115">
        <v>9999</v>
      </c>
      <c r="HL115">
        <v>999.9</v>
      </c>
      <c r="HM115">
        <v>1.86066</v>
      </c>
      <c r="HN115">
        <v>1.8623400000000001</v>
      </c>
      <c r="HO115">
        <v>1.8678300000000001</v>
      </c>
      <c r="HP115">
        <v>1.8583700000000001</v>
      </c>
      <c r="HQ115">
        <v>1.85684</v>
      </c>
      <c r="HR115">
        <v>1.8604700000000001</v>
      </c>
      <c r="HS115">
        <v>1.86432</v>
      </c>
      <c r="HT115">
        <v>1.86646</v>
      </c>
      <c r="HU115">
        <v>5</v>
      </c>
      <c r="HV115">
        <v>0</v>
      </c>
      <c r="HW115">
        <v>0</v>
      </c>
      <c r="HX115">
        <v>0</v>
      </c>
      <c r="HY115" t="s">
        <v>422</v>
      </c>
      <c r="HZ115" t="s">
        <v>423</v>
      </c>
      <c r="IA115" t="s">
        <v>424</v>
      </c>
      <c r="IB115" t="s">
        <v>424</v>
      </c>
      <c r="IC115" t="s">
        <v>424</v>
      </c>
      <c r="ID115" t="s">
        <v>424</v>
      </c>
      <c r="IE115">
        <v>0</v>
      </c>
      <c r="IF115">
        <v>100</v>
      </c>
      <c r="IG115">
        <v>100</v>
      </c>
      <c r="IH115">
        <v>2.5680000000000001</v>
      </c>
      <c r="II115">
        <v>0.94950000000000001</v>
      </c>
      <c r="IJ115">
        <v>2.361533825052736</v>
      </c>
      <c r="IK115">
        <v>1.118558698776514E-3</v>
      </c>
      <c r="IL115">
        <v>-1.6939696309573479E-6</v>
      </c>
      <c r="IM115">
        <v>5.4698917449866148E-10</v>
      </c>
      <c r="IN115">
        <v>7.6861028286263511E-2</v>
      </c>
      <c r="IO115">
        <v>-7.6058941998734366E-3</v>
      </c>
      <c r="IP115">
        <v>1.6984902717538061E-3</v>
      </c>
      <c r="IQ115">
        <v>-9.6352527008986976E-6</v>
      </c>
      <c r="IR115">
        <v>2</v>
      </c>
      <c r="IS115">
        <v>2021</v>
      </c>
      <c r="IT115">
        <v>2</v>
      </c>
      <c r="IU115">
        <v>40</v>
      </c>
      <c r="IV115">
        <v>0.6</v>
      </c>
      <c r="IW115">
        <v>0.5</v>
      </c>
      <c r="IX115">
        <v>1.0363800000000001</v>
      </c>
      <c r="IY115">
        <v>2.52075</v>
      </c>
      <c r="IZ115">
        <v>1.34399</v>
      </c>
      <c r="JA115">
        <v>2.2363300000000002</v>
      </c>
      <c r="JB115">
        <v>1.5918000000000001</v>
      </c>
      <c r="JC115">
        <v>2.34741</v>
      </c>
      <c r="JD115">
        <v>38.305599999999998</v>
      </c>
      <c r="JE115">
        <v>15.9795</v>
      </c>
      <c r="JF115">
        <v>18</v>
      </c>
      <c r="JG115">
        <v>513.15899999999999</v>
      </c>
      <c r="JH115">
        <v>445.46899999999999</v>
      </c>
      <c r="JI115">
        <v>27.095199999999998</v>
      </c>
      <c r="JJ115">
        <v>29.053699999999999</v>
      </c>
      <c r="JK115">
        <v>29.9998</v>
      </c>
      <c r="JL115">
        <v>28.9239</v>
      </c>
      <c r="JM115">
        <v>28.862500000000001</v>
      </c>
      <c r="JN115">
        <v>20.825199999999999</v>
      </c>
      <c r="JO115">
        <v>25.227399999999999</v>
      </c>
      <c r="JP115">
        <v>59.643000000000001</v>
      </c>
      <c r="JQ115">
        <v>27.097200000000001</v>
      </c>
      <c r="JR115">
        <v>400</v>
      </c>
      <c r="JS115">
        <v>23.421900000000001</v>
      </c>
      <c r="JT115">
        <v>99.568600000000004</v>
      </c>
      <c r="JU115">
        <v>98.669700000000006</v>
      </c>
    </row>
    <row r="116" spans="1:281" x14ac:dyDescent="0.25">
      <c r="A116">
        <v>100</v>
      </c>
      <c r="B116">
        <v>1693519747.5999999</v>
      </c>
      <c r="C116">
        <v>24821</v>
      </c>
      <c r="D116" t="s">
        <v>923</v>
      </c>
      <c r="E116" t="s">
        <v>924</v>
      </c>
      <c r="F116" t="s">
        <v>413</v>
      </c>
      <c r="G116" t="s">
        <v>778</v>
      </c>
      <c r="H116" t="s">
        <v>494</v>
      </c>
      <c r="I116" t="s">
        <v>415</v>
      </c>
      <c r="J116">
        <v>1693519747.5999999</v>
      </c>
      <c r="K116">
        <f t="shared" si="138"/>
        <v>4.2995359566081063E-3</v>
      </c>
      <c r="L116">
        <f t="shared" si="139"/>
        <v>4.2995359566081062</v>
      </c>
      <c r="M116">
        <f t="shared" si="140"/>
        <v>31.137718886904622</v>
      </c>
      <c r="N116">
        <f t="shared" si="141"/>
        <v>261.262</v>
      </c>
      <c r="O116">
        <f t="shared" si="142"/>
        <v>86.497865117858737</v>
      </c>
      <c r="P116">
        <f t="shared" si="143"/>
        <v>8.6138295222521108</v>
      </c>
      <c r="Q116">
        <f t="shared" si="144"/>
        <v>26.017593909123999</v>
      </c>
      <c r="R116">
        <f t="shared" si="145"/>
        <v>0.30649476489267963</v>
      </c>
      <c r="S116">
        <f t="shared" si="146"/>
        <v>2.9081885574769242</v>
      </c>
      <c r="T116">
        <f t="shared" si="147"/>
        <v>0.28961371186641033</v>
      </c>
      <c r="U116">
        <f t="shared" si="148"/>
        <v>0.18244774267087119</v>
      </c>
      <c r="V116">
        <f t="shared" si="149"/>
        <v>344.37639964468792</v>
      </c>
      <c r="W116">
        <f t="shared" si="150"/>
        <v>31.262885071151167</v>
      </c>
      <c r="X116">
        <f t="shared" si="151"/>
        <v>29.999300000000002</v>
      </c>
      <c r="Y116">
        <f t="shared" si="152"/>
        <v>4.2602784737029769</v>
      </c>
      <c r="Z116">
        <f t="shared" si="153"/>
        <v>65.223508499678246</v>
      </c>
      <c r="AA116">
        <f t="shared" si="154"/>
        <v>2.8345376968373999</v>
      </c>
      <c r="AB116">
        <f t="shared" si="155"/>
        <v>4.3458835043370643</v>
      </c>
      <c r="AC116">
        <f t="shared" si="156"/>
        <v>1.425740776865577</v>
      </c>
      <c r="AD116">
        <f t="shared" si="157"/>
        <v>-189.60953568641747</v>
      </c>
      <c r="AE116">
        <f t="shared" si="158"/>
        <v>54.373475491909069</v>
      </c>
      <c r="AF116">
        <f t="shared" si="159"/>
        <v>4.1643397703985912</v>
      </c>
      <c r="AG116">
        <f t="shared" si="160"/>
        <v>213.30467922057812</v>
      </c>
      <c r="AH116">
        <v>0</v>
      </c>
      <c r="AI116">
        <v>0</v>
      </c>
      <c r="AJ116">
        <f t="shared" si="161"/>
        <v>1</v>
      </c>
      <c r="AK116">
        <f t="shared" si="162"/>
        <v>0</v>
      </c>
      <c r="AL116">
        <f t="shared" si="163"/>
        <v>51674.26914929584</v>
      </c>
      <c r="AM116" t="s">
        <v>416</v>
      </c>
      <c r="AN116">
        <v>10366.9</v>
      </c>
      <c r="AO116">
        <v>993.59653846153856</v>
      </c>
      <c r="AP116">
        <v>3431.87</v>
      </c>
      <c r="AQ116">
        <f t="shared" si="164"/>
        <v>0.71047955241266758</v>
      </c>
      <c r="AR116">
        <v>-3.9894345373445681</v>
      </c>
      <c r="AS116" t="s">
        <v>925</v>
      </c>
      <c r="AT116">
        <v>10373.9</v>
      </c>
      <c r="AU116">
        <v>731.30567999999994</v>
      </c>
      <c r="AV116">
        <v>954.22353425755068</v>
      </c>
      <c r="AW116">
        <f t="shared" si="165"/>
        <v>0.23361177570515035</v>
      </c>
      <c r="AX116">
        <v>0.5</v>
      </c>
      <c r="AY116">
        <f t="shared" si="166"/>
        <v>1513.2179998223439</v>
      </c>
      <c r="AZ116">
        <f t="shared" si="167"/>
        <v>31.137718886904622</v>
      </c>
      <c r="BA116">
        <f t="shared" si="168"/>
        <v>176.75277198374681</v>
      </c>
      <c r="BB116">
        <f t="shared" si="169"/>
        <v>2.3213544531173441E-2</v>
      </c>
      <c r="BC116">
        <f t="shared" si="170"/>
        <v>2.5965053017375253</v>
      </c>
      <c r="BD116">
        <f t="shared" si="171"/>
        <v>567.2050403319206</v>
      </c>
      <c r="BE116" t="s">
        <v>926</v>
      </c>
      <c r="BF116">
        <v>571.71</v>
      </c>
      <c r="BG116">
        <f t="shared" si="172"/>
        <v>571.71</v>
      </c>
      <c r="BH116">
        <f t="shared" si="173"/>
        <v>0.40086365565818038</v>
      </c>
      <c r="BI116">
        <f t="shared" si="174"/>
        <v>0.58277115524873857</v>
      </c>
      <c r="BJ116">
        <f t="shared" si="175"/>
        <v>0.86626149087549287</v>
      </c>
      <c r="BK116">
        <f t="shared" si="176"/>
        <v>-5.6616927959734555</v>
      </c>
      <c r="BL116">
        <f t="shared" si="177"/>
        <v>1.0161479033525407</v>
      </c>
      <c r="BM116">
        <f t="shared" si="178"/>
        <v>0.45559074170907077</v>
      </c>
      <c r="BN116">
        <f t="shared" si="179"/>
        <v>0.54440925829092923</v>
      </c>
      <c r="BO116">
        <v>2347</v>
      </c>
      <c r="BP116">
        <v>290.00000000000011</v>
      </c>
      <c r="BQ116">
        <v>892.09</v>
      </c>
      <c r="BR116">
        <v>185</v>
      </c>
      <c r="BS116">
        <v>10373.9</v>
      </c>
      <c r="BT116">
        <v>891.62</v>
      </c>
      <c r="BU116">
        <v>0.47</v>
      </c>
      <c r="BV116">
        <v>300.00000000000011</v>
      </c>
      <c r="BW116">
        <v>38.4</v>
      </c>
      <c r="BX116">
        <v>954.22353425755068</v>
      </c>
      <c r="BY116">
        <v>1.10162495316773</v>
      </c>
      <c r="BZ116">
        <v>-64.941384372182981</v>
      </c>
      <c r="CA116">
        <v>0.93501394701159068</v>
      </c>
      <c r="CB116">
        <v>0.99422917865692495</v>
      </c>
      <c r="CC116">
        <v>-1.1284398220244719E-2</v>
      </c>
      <c r="CD116">
        <v>289.99999999999989</v>
      </c>
      <c r="CE116">
        <v>887.8</v>
      </c>
      <c r="CF116">
        <v>685</v>
      </c>
      <c r="CG116">
        <v>10347.5</v>
      </c>
      <c r="CH116">
        <v>891.46</v>
      </c>
      <c r="CI116">
        <v>-3.66</v>
      </c>
      <c r="CW116">
        <f t="shared" si="180"/>
        <v>1800.04</v>
      </c>
      <c r="CX116">
        <f t="shared" si="181"/>
        <v>1513.2179998223439</v>
      </c>
      <c r="CY116">
        <f t="shared" si="182"/>
        <v>0.84065798527940716</v>
      </c>
      <c r="CZ116">
        <f t="shared" si="183"/>
        <v>0.19131597055881422</v>
      </c>
      <c r="DA116">
        <v>6</v>
      </c>
      <c r="DB116">
        <v>0.5</v>
      </c>
      <c r="DC116" t="s">
        <v>419</v>
      </c>
      <c r="DD116">
        <v>2</v>
      </c>
      <c r="DE116">
        <v>1693519747.5999999</v>
      </c>
      <c r="DF116">
        <v>261.262</v>
      </c>
      <c r="DG116">
        <v>300.00700000000001</v>
      </c>
      <c r="DH116">
        <v>28.463699999999999</v>
      </c>
      <c r="DI116">
        <v>23.446999999999999</v>
      </c>
      <c r="DJ116">
        <v>258.96199999999999</v>
      </c>
      <c r="DK116">
        <v>27.510400000000001</v>
      </c>
      <c r="DL116">
        <v>499.59</v>
      </c>
      <c r="DM116">
        <v>99.483699999999999</v>
      </c>
      <c r="DN116">
        <v>0.100602</v>
      </c>
      <c r="DO116">
        <v>30.3461</v>
      </c>
      <c r="DP116">
        <v>29.999300000000002</v>
      </c>
      <c r="DQ116">
        <v>999.9</v>
      </c>
      <c r="DR116">
        <v>0</v>
      </c>
      <c r="DS116">
        <v>0</v>
      </c>
      <c r="DT116">
        <v>9930</v>
      </c>
      <c r="DU116">
        <v>0</v>
      </c>
      <c r="DV116">
        <v>279.23700000000002</v>
      </c>
      <c r="DW116">
        <v>-38.744300000000003</v>
      </c>
      <c r="DX116">
        <v>268.91699999999997</v>
      </c>
      <c r="DY116">
        <v>307.20999999999998</v>
      </c>
      <c r="DZ116">
        <v>5.0166700000000004</v>
      </c>
      <c r="EA116">
        <v>300.00700000000001</v>
      </c>
      <c r="EB116">
        <v>23.446999999999999</v>
      </c>
      <c r="EC116">
        <v>2.8316699999999999</v>
      </c>
      <c r="ED116">
        <v>2.3325900000000002</v>
      </c>
      <c r="EE116">
        <v>23.069900000000001</v>
      </c>
      <c r="EF116">
        <v>19.903300000000002</v>
      </c>
      <c r="EG116">
        <v>1800.04</v>
      </c>
      <c r="EH116">
        <v>0.97800500000000001</v>
      </c>
      <c r="EI116">
        <v>2.19945E-2</v>
      </c>
      <c r="EJ116">
        <v>0</v>
      </c>
      <c r="EK116">
        <v>730.90899999999999</v>
      </c>
      <c r="EL116">
        <v>5.0002700000000004</v>
      </c>
      <c r="EM116">
        <v>14541.3</v>
      </c>
      <c r="EN116">
        <v>16249</v>
      </c>
      <c r="EO116">
        <v>47.811999999999998</v>
      </c>
      <c r="EP116">
        <v>48.311999999999998</v>
      </c>
      <c r="EQ116">
        <v>48.75</v>
      </c>
      <c r="ER116">
        <v>47.875</v>
      </c>
      <c r="ES116">
        <v>49.375</v>
      </c>
      <c r="ET116">
        <v>1755.56</v>
      </c>
      <c r="EU116">
        <v>39.479999999999997</v>
      </c>
      <c r="EV116">
        <v>0</v>
      </c>
      <c r="EW116">
        <v>97.799999952316284</v>
      </c>
      <c r="EX116">
        <v>0</v>
      </c>
      <c r="EY116">
        <v>731.30567999999994</v>
      </c>
      <c r="EZ116">
        <v>-4.936769224374105</v>
      </c>
      <c r="FA116">
        <v>-67.261538493340083</v>
      </c>
      <c r="FB116">
        <v>14549.02</v>
      </c>
      <c r="FC116">
        <v>15</v>
      </c>
      <c r="FD116">
        <v>1693519714.5999999</v>
      </c>
      <c r="FE116" t="s">
        <v>927</v>
      </c>
      <c r="FF116">
        <v>1693519711.0999999</v>
      </c>
      <c r="FG116">
        <v>1693519714.5999999</v>
      </c>
      <c r="FH116">
        <v>111</v>
      </c>
      <c r="FI116">
        <v>-0.247</v>
      </c>
      <c r="FJ116">
        <v>1E-3</v>
      </c>
      <c r="FK116">
        <v>2.3119999999999998</v>
      </c>
      <c r="FL116">
        <v>0.67400000000000004</v>
      </c>
      <c r="FM116">
        <v>300</v>
      </c>
      <c r="FN116">
        <v>23</v>
      </c>
      <c r="FO116">
        <v>0.12</v>
      </c>
      <c r="FP116">
        <v>0.06</v>
      </c>
      <c r="FQ116">
        <v>31.075672826038041</v>
      </c>
      <c r="FR116">
        <v>0.56023068712113078</v>
      </c>
      <c r="FS116">
        <v>8.3145267156012309E-2</v>
      </c>
      <c r="FT116">
        <v>1</v>
      </c>
      <c r="FU116">
        <v>0.31237952903700439</v>
      </c>
      <c r="FV116">
        <v>-2.7656108287513661E-2</v>
      </c>
      <c r="FW116">
        <v>2.431654130681605E-3</v>
      </c>
      <c r="FX116">
        <v>1</v>
      </c>
      <c r="FY116">
        <v>2</v>
      </c>
      <c r="FZ116">
        <v>2</v>
      </c>
      <c r="GA116" t="s">
        <v>421</v>
      </c>
      <c r="GB116">
        <v>3.1178699999999999</v>
      </c>
      <c r="GC116">
        <v>2.8651499999999999</v>
      </c>
      <c r="GD116">
        <v>6.5658999999999995E-2</v>
      </c>
      <c r="GE116">
        <v>7.6220399999999994E-2</v>
      </c>
      <c r="GF116">
        <v>0.128964</v>
      </c>
      <c r="GG116">
        <v>0.118091</v>
      </c>
      <c r="GH116">
        <v>28315.3</v>
      </c>
      <c r="GI116">
        <v>21794.400000000001</v>
      </c>
      <c r="GJ116">
        <v>29207.7</v>
      </c>
      <c r="GK116">
        <v>21984</v>
      </c>
      <c r="GL116">
        <v>34044.800000000003</v>
      </c>
      <c r="GM116">
        <v>26664.5</v>
      </c>
      <c r="GN116">
        <v>40525.599999999999</v>
      </c>
      <c r="GO116">
        <v>31229.200000000001</v>
      </c>
      <c r="GP116">
        <v>2.0474000000000001</v>
      </c>
      <c r="GQ116">
        <v>1.8842000000000001</v>
      </c>
      <c r="GR116">
        <v>3.31551E-2</v>
      </c>
      <c r="GS116">
        <v>0</v>
      </c>
      <c r="GT116">
        <v>29.459499999999998</v>
      </c>
      <c r="GU116">
        <v>999.9</v>
      </c>
      <c r="GV116">
        <v>45.5</v>
      </c>
      <c r="GW116">
        <v>36.4</v>
      </c>
      <c r="GX116">
        <v>27.904</v>
      </c>
      <c r="GY116">
        <v>61.731699999999996</v>
      </c>
      <c r="GZ116">
        <v>12.4399</v>
      </c>
      <c r="HA116">
        <v>1</v>
      </c>
      <c r="HB116">
        <v>0.111585</v>
      </c>
      <c r="HC116">
        <v>1.2823100000000001</v>
      </c>
      <c r="HD116">
        <v>20.329999999999998</v>
      </c>
      <c r="HE116">
        <v>5.2322600000000001</v>
      </c>
      <c r="HF116">
        <v>11.974</v>
      </c>
      <c r="HG116">
        <v>4.9748000000000001</v>
      </c>
      <c r="HH116">
        <v>3.2833999999999999</v>
      </c>
      <c r="HI116">
        <v>9999</v>
      </c>
      <c r="HJ116">
        <v>9999</v>
      </c>
      <c r="HK116">
        <v>9999</v>
      </c>
      <c r="HL116">
        <v>999.9</v>
      </c>
      <c r="HM116">
        <v>1.8606799999999999</v>
      </c>
      <c r="HN116">
        <v>1.8623400000000001</v>
      </c>
      <c r="HO116">
        <v>1.86782</v>
      </c>
      <c r="HP116">
        <v>1.8583700000000001</v>
      </c>
      <c r="HQ116">
        <v>1.8568100000000001</v>
      </c>
      <c r="HR116">
        <v>1.8604700000000001</v>
      </c>
      <c r="HS116">
        <v>1.86432</v>
      </c>
      <c r="HT116">
        <v>1.8664400000000001</v>
      </c>
      <c r="HU116">
        <v>5</v>
      </c>
      <c r="HV116">
        <v>0</v>
      </c>
      <c r="HW116">
        <v>0</v>
      </c>
      <c r="HX116">
        <v>0</v>
      </c>
      <c r="HY116" t="s">
        <v>422</v>
      </c>
      <c r="HZ116" t="s">
        <v>423</v>
      </c>
      <c r="IA116" t="s">
        <v>424</v>
      </c>
      <c r="IB116" t="s">
        <v>424</v>
      </c>
      <c r="IC116" t="s">
        <v>424</v>
      </c>
      <c r="ID116" t="s">
        <v>424</v>
      </c>
      <c r="IE116">
        <v>0</v>
      </c>
      <c r="IF116">
        <v>100</v>
      </c>
      <c r="IG116">
        <v>100</v>
      </c>
      <c r="IH116">
        <v>2.2999999999999998</v>
      </c>
      <c r="II116">
        <v>0.95330000000000004</v>
      </c>
      <c r="IJ116">
        <v>2.1149037041497989</v>
      </c>
      <c r="IK116">
        <v>1.118558698776514E-3</v>
      </c>
      <c r="IL116">
        <v>-1.6939696309573479E-6</v>
      </c>
      <c r="IM116">
        <v>5.4698917449866148E-10</v>
      </c>
      <c r="IN116">
        <v>7.7724281217622759E-2</v>
      </c>
      <c r="IO116">
        <v>-7.6058941998734366E-3</v>
      </c>
      <c r="IP116">
        <v>1.6984902717538061E-3</v>
      </c>
      <c r="IQ116">
        <v>-9.6352527008986976E-6</v>
      </c>
      <c r="IR116">
        <v>2</v>
      </c>
      <c r="IS116">
        <v>2021</v>
      </c>
      <c r="IT116">
        <v>2</v>
      </c>
      <c r="IU116">
        <v>40</v>
      </c>
      <c r="IV116">
        <v>0.6</v>
      </c>
      <c r="IW116">
        <v>0.6</v>
      </c>
      <c r="IX116">
        <v>0.82397500000000001</v>
      </c>
      <c r="IY116">
        <v>2.5122100000000001</v>
      </c>
      <c r="IZ116">
        <v>1.34399</v>
      </c>
      <c r="JA116">
        <v>2.2363300000000002</v>
      </c>
      <c r="JB116">
        <v>1.5918000000000001</v>
      </c>
      <c r="JC116">
        <v>2.32666</v>
      </c>
      <c r="JD116">
        <v>38.159300000000002</v>
      </c>
      <c r="JE116">
        <v>15.9795</v>
      </c>
      <c r="JF116">
        <v>18</v>
      </c>
      <c r="JG116">
        <v>513.42899999999997</v>
      </c>
      <c r="JH116">
        <v>446.45600000000002</v>
      </c>
      <c r="JI116">
        <v>26.671800000000001</v>
      </c>
      <c r="JJ116">
        <v>28.992699999999999</v>
      </c>
      <c r="JK116">
        <v>29.9999</v>
      </c>
      <c r="JL116">
        <v>28.862200000000001</v>
      </c>
      <c r="JM116">
        <v>28.803599999999999</v>
      </c>
      <c r="JN116">
        <v>16.573699999999999</v>
      </c>
      <c r="JO116">
        <v>25.297699999999999</v>
      </c>
      <c r="JP116">
        <v>60.733400000000003</v>
      </c>
      <c r="JQ116">
        <v>26.6831</v>
      </c>
      <c r="JR116">
        <v>300</v>
      </c>
      <c r="JS116">
        <v>23.531199999999998</v>
      </c>
      <c r="JT116">
        <v>99.572599999999994</v>
      </c>
      <c r="JU116">
        <v>98.674899999999994</v>
      </c>
    </row>
    <row r="117" spans="1:281" x14ac:dyDescent="0.25">
      <c r="A117">
        <v>101</v>
      </c>
      <c r="B117">
        <v>1693519896.0999999</v>
      </c>
      <c r="C117">
        <v>24969.5</v>
      </c>
      <c r="D117" t="s">
        <v>928</v>
      </c>
      <c r="E117" t="s">
        <v>929</v>
      </c>
      <c r="F117" t="s">
        <v>413</v>
      </c>
      <c r="G117" t="s">
        <v>778</v>
      </c>
      <c r="H117" t="s">
        <v>494</v>
      </c>
      <c r="I117" t="s">
        <v>415</v>
      </c>
      <c r="J117">
        <v>1693519896.0999999</v>
      </c>
      <c r="K117">
        <f t="shared" si="138"/>
        <v>4.8566572787486929E-3</v>
      </c>
      <c r="L117">
        <f t="shared" si="139"/>
        <v>4.8566572787486928</v>
      </c>
      <c r="M117">
        <f t="shared" si="140"/>
        <v>22.977698428037066</v>
      </c>
      <c r="N117">
        <f t="shared" si="141"/>
        <v>171.643</v>
      </c>
      <c r="O117">
        <f t="shared" si="142"/>
        <v>58.752576132540518</v>
      </c>
      <c r="P117">
        <f t="shared" si="143"/>
        <v>5.8510859808970581</v>
      </c>
      <c r="Q117">
        <f t="shared" si="144"/>
        <v>17.093683666798</v>
      </c>
      <c r="R117">
        <f t="shared" si="145"/>
        <v>0.35262935798726908</v>
      </c>
      <c r="S117">
        <f t="shared" si="146"/>
        <v>2.9266889218844301</v>
      </c>
      <c r="T117">
        <f t="shared" si="147"/>
        <v>0.33061153706694257</v>
      </c>
      <c r="U117">
        <f t="shared" si="148"/>
        <v>0.2084957589633909</v>
      </c>
      <c r="V117">
        <f t="shared" si="149"/>
        <v>344.37949964450996</v>
      </c>
      <c r="W117">
        <f t="shared" si="150"/>
        <v>31.184496383326856</v>
      </c>
      <c r="X117">
        <f t="shared" si="151"/>
        <v>29.983599999999999</v>
      </c>
      <c r="Y117">
        <f t="shared" si="152"/>
        <v>4.2564380648484299</v>
      </c>
      <c r="Z117">
        <f t="shared" si="153"/>
        <v>65.210943504773795</v>
      </c>
      <c r="AA117">
        <f t="shared" si="154"/>
        <v>2.8456542152225999</v>
      </c>
      <c r="AB117">
        <f t="shared" si="155"/>
        <v>4.3637678927529748</v>
      </c>
      <c r="AC117">
        <f t="shared" si="156"/>
        <v>1.41078384962583</v>
      </c>
      <c r="AD117">
        <f t="shared" si="157"/>
        <v>-214.17858599281735</v>
      </c>
      <c r="AE117">
        <f t="shared" si="158"/>
        <v>68.509662200610322</v>
      </c>
      <c r="AF117">
        <f t="shared" si="159"/>
        <v>5.2152759392182899</v>
      </c>
      <c r="AG117">
        <f t="shared" si="160"/>
        <v>203.92585179152127</v>
      </c>
      <c r="AH117">
        <v>0</v>
      </c>
      <c r="AI117">
        <v>0</v>
      </c>
      <c r="AJ117">
        <f t="shared" si="161"/>
        <v>1</v>
      </c>
      <c r="AK117">
        <f t="shared" si="162"/>
        <v>0</v>
      </c>
      <c r="AL117">
        <f t="shared" si="163"/>
        <v>52188.801886436828</v>
      </c>
      <c r="AM117" t="s">
        <v>416</v>
      </c>
      <c r="AN117">
        <v>10366.9</v>
      </c>
      <c r="AO117">
        <v>993.59653846153856</v>
      </c>
      <c r="AP117">
        <v>3431.87</v>
      </c>
      <c r="AQ117">
        <f t="shared" si="164"/>
        <v>0.71047955241266758</v>
      </c>
      <c r="AR117">
        <v>-3.9894345373445681</v>
      </c>
      <c r="AS117" t="s">
        <v>930</v>
      </c>
      <c r="AT117">
        <v>10356.9</v>
      </c>
      <c r="AU117">
        <v>731.60973076923062</v>
      </c>
      <c r="AV117">
        <v>893.56978956862429</v>
      </c>
      <c r="AW117">
        <f t="shared" si="165"/>
        <v>0.18125059809551169</v>
      </c>
      <c r="AX117">
        <v>0.5</v>
      </c>
      <c r="AY117">
        <f t="shared" si="166"/>
        <v>1513.226999822255</v>
      </c>
      <c r="AZ117">
        <f t="shared" si="167"/>
        <v>22.977698428037066</v>
      </c>
      <c r="BA117">
        <f t="shared" si="168"/>
        <v>137.13664938603026</v>
      </c>
      <c r="BB117">
        <f t="shared" si="169"/>
        <v>1.7820943565340308E-2</v>
      </c>
      <c r="BC117">
        <f t="shared" si="170"/>
        <v>2.8406289470201918</v>
      </c>
      <c r="BD117">
        <f t="shared" si="171"/>
        <v>545.20716901396554</v>
      </c>
      <c r="BE117" t="s">
        <v>931</v>
      </c>
      <c r="BF117">
        <v>567.49</v>
      </c>
      <c r="BG117">
        <f t="shared" si="172"/>
        <v>567.49</v>
      </c>
      <c r="BH117">
        <f t="shared" si="173"/>
        <v>0.36491809971109368</v>
      </c>
      <c r="BI117">
        <f t="shared" si="174"/>
        <v>0.49668843019572906</v>
      </c>
      <c r="BJ117">
        <f t="shared" si="175"/>
        <v>0.88616042928360605</v>
      </c>
      <c r="BK117">
        <f t="shared" si="176"/>
        <v>-1.6191674786189783</v>
      </c>
      <c r="BL117">
        <f t="shared" si="177"/>
        <v>1.0410235974228259</v>
      </c>
      <c r="BM117">
        <f t="shared" si="178"/>
        <v>0.38526786262863733</v>
      </c>
      <c r="BN117">
        <f t="shared" si="179"/>
        <v>0.61473213737136267</v>
      </c>
      <c r="BO117">
        <v>2349</v>
      </c>
      <c r="BP117">
        <v>290.00000000000011</v>
      </c>
      <c r="BQ117">
        <v>850.04</v>
      </c>
      <c r="BR117">
        <v>275</v>
      </c>
      <c r="BS117">
        <v>10356.9</v>
      </c>
      <c r="BT117">
        <v>849.37</v>
      </c>
      <c r="BU117">
        <v>0.67</v>
      </c>
      <c r="BV117">
        <v>300.00000000000011</v>
      </c>
      <c r="BW117">
        <v>38.4</v>
      </c>
      <c r="BX117">
        <v>893.56978956862429</v>
      </c>
      <c r="BY117">
        <v>1.125966882962274</v>
      </c>
      <c r="BZ117">
        <v>-45.775482531537058</v>
      </c>
      <c r="CA117">
        <v>0.95525961914792867</v>
      </c>
      <c r="CB117">
        <v>0.98795320875682913</v>
      </c>
      <c r="CC117">
        <v>-1.12794549499444E-2</v>
      </c>
      <c r="CD117">
        <v>289.99999999999989</v>
      </c>
      <c r="CE117">
        <v>847.36</v>
      </c>
      <c r="CF117">
        <v>695</v>
      </c>
      <c r="CG117">
        <v>10342.1</v>
      </c>
      <c r="CH117">
        <v>849.31</v>
      </c>
      <c r="CI117">
        <v>-1.95</v>
      </c>
      <c r="CW117">
        <f t="shared" si="180"/>
        <v>1800.05</v>
      </c>
      <c r="CX117">
        <f t="shared" si="181"/>
        <v>1513.226999822255</v>
      </c>
      <c r="CY117">
        <f t="shared" si="182"/>
        <v>0.84065831494805976</v>
      </c>
      <c r="CZ117">
        <f t="shared" si="183"/>
        <v>0.19131662989611953</v>
      </c>
      <c r="DA117">
        <v>6</v>
      </c>
      <c r="DB117">
        <v>0.5</v>
      </c>
      <c r="DC117" t="s">
        <v>419</v>
      </c>
      <c r="DD117">
        <v>2</v>
      </c>
      <c r="DE117">
        <v>1693519896.0999999</v>
      </c>
      <c r="DF117">
        <v>171.643</v>
      </c>
      <c r="DG117">
        <v>200.18700000000001</v>
      </c>
      <c r="DH117">
        <v>28.574100000000001</v>
      </c>
      <c r="DI117">
        <v>22.918500000000002</v>
      </c>
      <c r="DJ117">
        <v>169.625</v>
      </c>
      <c r="DK117">
        <v>27.6142</v>
      </c>
      <c r="DL117">
        <v>500.51799999999997</v>
      </c>
      <c r="DM117">
        <v>99.488799999999998</v>
      </c>
      <c r="DN117">
        <v>9.9786E-2</v>
      </c>
      <c r="DO117">
        <v>30.4178</v>
      </c>
      <c r="DP117">
        <v>29.983599999999999</v>
      </c>
      <c r="DQ117">
        <v>999.9</v>
      </c>
      <c r="DR117">
        <v>0</v>
      </c>
      <c r="DS117">
        <v>0</v>
      </c>
      <c r="DT117">
        <v>10035</v>
      </c>
      <c r="DU117">
        <v>0</v>
      </c>
      <c r="DV117">
        <v>270.61399999999998</v>
      </c>
      <c r="DW117">
        <v>-28.544699999999999</v>
      </c>
      <c r="DX117">
        <v>176.691</v>
      </c>
      <c r="DY117">
        <v>204.88300000000001</v>
      </c>
      <c r="DZ117">
        <v>5.6555900000000001</v>
      </c>
      <c r="EA117">
        <v>200.18700000000001</v>
      </c>
      <c r="EB117">
        <v>22.918500000000002</v>
      </c>
      <c r="EC117">
        <v>2.8428</v>
      </c>
      <c r="ED117">
        <v>2.2801300000000002</v>
      </c>
      <c r="EE117">
        <v>23.134699999999999</v>
      </c>
      <c r="EF117">
        <v>19.5367</v>
      </c>
      <c r="EG117">
        <v>1800.05</v>
      </c>
      <c r="EH117">
        <v>0.97799599999999998</v>
      </c>
      <c r="EI117">
        <v>2.2003999999999999E-2</v>
      </c>
      <c r="EJ117">
        <v>0</v>
      </c>
      <c r="EK117">
        <v>731.20600000000002</v>
      </c>
      <c r="EL117">
        <v>5.0002700000000004</v>
      </c>
      <c r="EM117">
        <v>14574.6</v>
      </c>
      <c r="EN117">
        <v>16249.1</v>
      </c>
      <c r="EO117">
        <v>48.436999999999998</v>
      </c>
      <c r="EP117">
        <v>48.811999999999998</v>
      </c>
      <c r="EQ117">
        <v>49.311999999999998</v>
      </c>
      <c r="ER117">
        <v>48.311999999999998</v>
      </c>
      <c r="ES117">
        <v>49.875</v>
      </c>
      <c r="ET117">
        <v>1755.55</v>
      </c>
      <c r="EU117">
        <v>39.5</v>
      </c>
      <c r="EV117">
        <v>0</v>
      </c>
      <c r="EW117">
        <v>146.39999985694891</v>
      </c>
      <c r="EX117">
        <v>0</v>
      </c>
      <c r="EY117">
        <v>731.60973076923062</v>
      </c>
      <c r="EZ117">
        <v>-1.9774017166512681</v>
      </c>
      <c r="FA117">
        <v>11.0666664660371</v>
      </c>
      <c r="FB117">
        <v>14573.01923076923</v>
      </c>
      <c r="FC117">
        <v>15</v>
      </c>
      <c r="FD117">
        <v>1693519858.0999999</v>
      </c>
      <c r="FE117" t="s">
        <v>932</v>
      </c>
      <c r="FF117">
        <v>1693519849.0999999</v>
      </c>
      <c r="FG117">
        <v>1693519858.0999999</v>
      </c>
      <c r="FH117">
        <v>112</v>
      </c>
      <c r="FI117">
        <v>-0.24099999999999999</v>
      </c>
      <c r="FJ117">
        <v>0</v>
      </c>
      <c r="FK117">
        <v>2.0329999999999999</v>
      </c>
      <c r="FL117">
        <v>0.65900000000000003</v>
      </c>
      <c r="FM117">
        <v>200</v>
      </c>
      <c r="FN117">
        <v>23</v>
      </c>
      <c r="FO117">
        <v>0.13</v>
      </c>
      <c r="FP117">
        <v>0.05</v>
      </c>
      <c r="FQ117">
        <v>22.674333402332241</v>
      </c>
      <c r="FR117">
        <v>0.60856352825219262</v>
      </c>
      <c r="FS117">
        <v>7.7561429474836061E-2</v>
      </c>
      <c r="FT117">
        <v>1</v>
      </c>
      <c r="FU117">
        <v>0.35624556314331141</v>
      </c>
      <c r="FV117">
        <v>-2.9575177164354802E-2</v>
      </c>
      <c r="FW117">
        <v>2.487612066411076E-3</v>
      </c>
      <c r="FX117">
        <v>1</v>
      </c>
      <c r="FY117">
        <v>2</v>
      </c>
      <c r="FZ117">
        <v>2</v>
      </c>
      <c r="GA117" t="s">
        <v>421</v>
      </c>
      <c r="GB117">
        <v>3.1188099999999999</v>
      </c>
      <c r="GC117">
        <v>2.8652500000000001</v>
      </c>
      <c r="GD117">
        <v>4.5314599999999997E-2</v>
      </c>
      <c r="GE117">
        <v>5.4058000000000002E-2</v>
      </c>
      <c r="GF117">
        <v>0.12933700000000001</v>
      </c>
      <c r="GG117">
        <v>0.116259</v>
      </c>
      <c r="GH117">
        <v>28936.5</v>
      </c>
      <c r="GI117">
        <v>22322.6</v>
      </c>
      <c r="GJ117">
        <v>29212</v>
      </c>
      <c r="GK117">
        <v>21989</v>
      </c>
      <c r="GL117">
        <v>34031.199999999997</v>
      </c>
      <c r="GM117">
        <v>26723.4</v>
      </c>
      <c r="GN117">
        <v>40531</v>
      </c>
      <c r="GO117">
        <v>31235.7</v>
      </c>
      <c r="GP117">
        <v>2.0487000000000002</v>
      </c>
      <c r="GQ117">
        <v>1.8869</v>
      </c>
      <c r="GR117">
        <v>3.5613800000000001E-2</v>
      </c>
      <c r="GS117">
        <v>0</v>
      </c>
      <c r="GT117">
        <v>29.403700000000001</v>
      </c>
      <c r="GU117">
        <v>999.9</v>
      </c>
      <c r="GV117">
        <v>45.9</v>
      </c>
      <c r="GW117">
        <v>36.1</v>
      </c>
      <c r="GX117">
        <v>27.690200000000001</v>
      </c>
      <c r="GY117">
        <v>61.531700000000001</v>
      </c>
      <c r="GZ117">
        <v>12.131399999999999</v>
      </c>
      <c r="HA117">
        <v>1</v>
      </c>
      <c r="HB117">
        <v>0.10424799999999999</v>
      </c>
      <c r="HC117">
        <v>0.62137299999999995</v>
      </c>
      <c r="HD117">
        <v>20.334599999999998</v>
      </c>
      <c r="HE117">
        <v>5.2346599999999999</v>
      </c>
      <c r="HF117">
        <v>11.974</v>
      </c>
      <c r="HG117">
        <v>4.9753999999999996</v>
      </c>
      <c r="HH117">
        <v>3.2837000000000001</v>
      </c>
      <c r="HI117">
        <v>9999</v>
      </c>
      <c r="HJ117">
        <v>9999</v>
      </c>
      <c r="HK117">
        <v>9999</v>
      </c>
      <c r="HL117">
        <v>999.9</v>
      </c>
      <c r="HM117">
        <v>1.8606400000000001</v>
      </c>
      <c r="HN117">
        <v>1.8623400000000001</v>
      </c>
      <c r="HO117">
        <v>1.86782</v>
      </c>
      <c r="HP117">
        <v>1.8583700000000001</v>
      </c>
      <c r="HQ117">
        <v>1.85677</v>
      </c>
      <c r="HR117">
        <v>1.8604099999999999</v>
      </c>
      <c r="HS117">
        <v>1.86432</v>
      </c>
      <c r="HT117">
        <v>1.8664099999999999</v>
      </c>
      <c r="HU117">
        <v>5</v>
      </c>
      <c r="HV117">
        <v>0</v>
      </c>
      <c r="HW117">
        <v>0</v>
      </c>
      <c r="HX117">
        <v>0</v>
      </c>
      <c r="HY117" t="s">
        <v>422</v>
      </c>
      <c r="HZ117" t="s">
        <v>423</v>
      </c>
      <c r="IA117" t="s">
        <v>424</v>
      </c>
      <c r="IB117" t="s">
        <v>424</v>
      </c>
      <c r="IC117" t="s">
        <v>424</v>
      </c>
      <c r="ID117" t="s">
        <v>424</v>
      </c>
      <c r="IE117">
        <v>0</v>
      </c>
      <c r="IF117">
        <v>100</v>
      </c>
      <c r="IG117">
        <v>100</v>
      </c>
      <c r="IH117">
        <v>2.0179999999999998</v>
      </c>
      <c r="II117">
        <v>0.95989999999999998</v>
      </c>
      <c r="IJ117">
        <v>1.873941073264336</v>
      </c>
      <c r="IK117">
        <v>1.118558698776514E-3</v>
      </c>
      <c r="IL117">
        <v>-1.6939696309573479E-6</v>
      </c>
      <c r="IM117">
        <v>5.4698917449866148E-10</v>
      </c>
      <c r="IN117">
        <v>7.7643856344674078E-2</v>
      </c>
      <c r="IO117">
        <v>-7.6058941998734366E-3</v>
      </c>
      <c r="IP117">
        <v>1.6984902717538061E-3</v>
      </c>
      <c r="IQ117">
        <v>-9.6352527008986976E-6</v>
      </c>
      <c r="IR117">
        <v>2</v>
      </c>
      <c r="IS117">
        <v>2021</v>
      </c>
      <c r="IT117">
        <v>2</v>
      </c>
      <c r="IU117">
        <v>40</v>
      </c>
      <c r="IV117">
        <v>0.8</v>
      </c>
      <c r="IW117">
        <v>0.6</v>
      </c>
      <c r="IX117">
        <v>0.60180699999999998</v>
      </c>
      <c r="IY117">
        <v>2.5061</v>
      </c>
      <c r="IZ117">
        <v>1.34399</v>
      </c>
      <c r="JA117">
        <v>2.2363300000000002</v>
      </c>
      <c r="JB117">
        <v>1.5918000000000001</v>
      </c>
      <c r="JC117">
        <v>2.3779300000000001</v>
      </c>
      <c r="JD117">
        <v>37.989100000000001</v>
      </c>
      <c r="JE117">
        <v>15.9795</v>
      </c>
      <c r="JF117">
        <v>18</v>
      </c>
      <c r="JG117">
        <v>513.50199999999995</v>
      </c>
      <c r="JH117">
        <v>447.48399999999998</v>
      </c>
      <c r="JI117">
        <v>27.326599999999999</v>
      </c>
      <c r="JJ117">
        <v>28.909600000000001</v>
      </c>
      <c r="JK117">
        <v>29.9999</v>
      </c>
      <c r="JL117">
        <v>28.779399999999999</v>
      </c>
      <c r="JM117">
        <v>28.719100000000001</v>
      </c>
      <c r="JN117">
        <v>12.1508</v>
      </c>
      <c r="JO117">
        <v>26.582599999999999</v>
      </c>
      <c r="JP117">
        <v>61.446800000000003</v>
      </c>
      <c r="JQ117">
        <v>27.334599999999998</v>
      </c>
      <c r="JR117">
        <v>200</v>
      </c>
      <c r="JS117">
        <v>22.899100000000001</v>
      </c>
      <c r="JT117">
        <v>99.586399999999998</v>
      </c>
      <c r="JU117">
        <v>98.696200000000005</v>
      </c>
    </row>
    <row r="118" spans="1:281" x14ac:dyDescent="0.25">
      <c r="A118">
        <v>102</v>
      </c>
      <c r="B118">
        <v>1693520017.0999999</v>
      </c>
      <c r="C118">
        <v>25090.5</v>
      </c>
      <c r="D118" t="s">
        <v>933</v>
      </c>
      <c r="E118" t="s">
        <v>934</v>
      </c>
      <c r="F118" t="s">
        <v>413</v>
      </c>
      <c r="G118" t="s">
        <v>778</v>
      </c>
      <c r="H118" t="s">
        <v>494</v>
      </c>
      <c r="I118" t="s">
        <v>415</v>
      </c>
      <c r="J118">
        <v>1693520017.0999999</v>
      </c>
      <c r="K118">
        <f t="shared" si="138"/>
        <v>5.2928195649860057E-3</v>
      </c>
      <c r="L118">
        <f t="shared" si="139"/>
        <v>5.2928195649860061</v>
      </c>
      <c r="M118">
        <f t="shared" si="140"/>
        <v>14.672081347733693</v>
      </c>
      <c r="N118">
        <f t="shared" si="141"/>
        <v>101.76</v>
      </c>
      <c r="O118">
        <f t="shared" si="142"/>
        <v>36.866544891192909</v>
      </c>
      <c r="P118">
        <f t="shared" si="143"/>
        <v>3.6715743247845651</v>
      </c>
      <c r="Q118">
        <f t="shared" si="144"/>
        <v>10.134375336576003</v>
      </c>
      <c r="R118">
        <f t="shared" si="145"/>
        <v>0.39452893312581544</v>
      </c>
      <c r="S118">
        <f t="shared" si="146"/>
        <v>2.9179856419429551</v>
      </c>
      <c r="T118">
        <f t="shared" si="147"/>
        <v>0.36710999687840079</v>
      </c>
      <c r="U118">
        <f t="shared" si="148"/>
        <v>0.23174823974206796</v>
      </c>
      <c r="V118">
        <f t="shared" si="149"/>
        <v>344.3655996445861</v>
      </c>
      <c r="W118">
        <f t="shared" si="150"/>
        <v>31.185507774301822</v>
      </c>
      <c r="X118">
        <f t="shared" si="151"/>
        <v>29.984100000000002</v>
      </c>
      <c r="Y118">
        <f t="shared" si="152"/>
        <v>4.2565603243340924</v>
      </c>
      <c r="Z118">
        <f t="shared" si="153"/>
        <v>65.393995444366738</v>
      </c>
      <c r="AA118">
        <f t="shared" si="154"/>
        <v>2.8720935229361402</v>
      </c>
      <c r="AB118">
        <f t="shared" si="155"/>
        <v>4.3919835505073914</v>
      </c>
      <c r="AC118">
        <f t="shared" si="156"/>
        <v>1.3844668013979522</v>
      </c>
      <c r="AD118">
        <f t="shared" si="157"/>
        <v>-233.41334281588286</v>
      </c>
      <c r="AE118">
        <f t="shared" si="158"/>
        <v>85.940879625500344</v>
      </c>
      <c r="AF118">
        <f t="shared" si="159"/>
        <v>6.5654089246397955</v>
      </c>
      <c r="AG118">
        <f t="shared" si="160"/>
        <v>203.45854537884335</v>
      </c>
      <c r="AH118">
        <v>0</v>
      </c>
      <c r="AI118">
        <v>0</v>
      </c>
      <c r="AJ118">
        <f t="shared" si="161"/>
        <v>1</v>
      </c>
      <c r="AK118">
        <f t="shared" si="162"/>
        <v>0</v>
      </c>
      <c r="AL118">
        <f t="shared" si="163"/>
        <v>51921.574259334324</v>
      </c>
      <c r="AM118" t="s">
        <v>416</v>
      </c>
      <c r="AN118">
        <v>10366.9</v>
      </c>
      <c r="AO118">
        <v>993.59653846153856</v>
      </c>
      <c r="AP118">
        <v>3431.87</v>
      </c>
      <c r="AQ118">
        <f t="shared" si="164"/>
        <v>0.71047955241266758</v>
      </c>
      <c r="AR118">
        <v>-3.9894345373445681</v>
      </c>
      <c r="AS118" t="s">
        <v>935</v>
      </c>
      <c r="AT118">
        <v>10363.700000000001</v>
      </c>
      <c r="AU118">
        <v>737.83992000000012</v>
      </c>
      <c r="AV118">
        <v>850.62950123876931</v>
      </c>
      <c r="AW118">
        <f t="shared" si="165"/>
        <v>0.13259542618086262</v>
      </c>
      <c r="AX118">
        <v>0.5</v>
      </c>
      <c r="AY118">
        <f t="shared" si="166"/>
        <v>1513.1678998222928</v>
      </c>
      <c r="AZ118">
        <f t="shared" si="167"/>
        <v>14.672081347733693</v>
      </c>
      <c r="BA118">
        <f t="shared" si="168"/>
        <v>100.31957128006887</v>
      </c>
      <c r="BB118">
        <f t="shared" si="169"/>
        <v>1.2332746344453829E-2</v>
      </c>
      <c r="BC118">
        <f t="shared" si="170"/>
        <v>3.0345062039374104</v>
      </c>
      <c r="BD118">
        <f t="shared" si="171"/>
        <v>528.91628925129066</v>
      </c>
      <c r="BE118" t="s">
        <v>936</v>
      </c>
      <c r="BF118">
        <v>571.75</v>
      </c>
      <c r="BG118">
        <f t="shared" si="172"/>
        <v>571.75</v>
      </c>
      <c r="BH118">
        <f t="shared" si="173"/>
        <v>0.32785072799924986</v>
      </c>
      <c r="BI118">
        <f t="shared" si="174"/>
        <v>0.40443840704592238</v>
      </c>
      <c r="BJ118">
        <f t="shared" si="175"/>
        <v>0.90249377605178482</v>
      </c>
      <c r="BK118">
        <f t="shared" si="176"/>
        <v>-0.78892018348972304</v>
      </c>
      <c r="BL118">
        <f t="shared" si="177"/>
        <v>1.0586345377079085</v>
      </c>
      <c r="BM118">
        <f t="shared" si="178"/>
        <v>0.31339814092534607</v>
      </c>
      <c r="BN118">
        <f t="shared" si="179"/>
        <v>0.68660185907465388</v>
      </c>
      <c r="BO118">
        <v>2351</v>
      </c>
      <c r="BP118">
        <v>290.00000000000011</v>
      </c>
      <c r="BQ118">
        <v>821.89</v>
      </c>
      <c r="BR118">
        <v>205</v>
      </c>
      <c r="BS118">
        <v>10363.700000000001</v>
      </c>
      <c r="BT118">
        <v>820.84</v>
      </c>
      <c r="BU118">
        <v>1.05</v>
      </c>
      <c r="BV118">
        <v>300.00000000000011</v>
      </c>
      <c r="BW118">
        <v>38.4</v>
      </c>
      <c r="BX118">
        <v>850.62950123876931</v>
      </c>
      <c r="BY118">
        <v>0.94130592178936889</v>
      </c>
      <c r="BZ118">
        <v>-30.874435396464872</v>
      </c>
      <c r="CA118">
        <v>0.79838046589351197</v>
      </c>
      <c r="CB118">
        <v>0.98162092728041672</v>
      </c>
      <c r="CC118">
        <v>-1.127638464961069E-2</v>
      </c>
      <c r="CD118">
        <v>289.99999999999989</v>
      </c>
      <c r="CE118">
        <v>818.03</v>
      </c>
      <c r="CF118">
        <v>685</v>
      </c>
      <c r="CG118">
        <v>10340.1</v>
      </c>
      <c r="CH118">
        <v>820.77</v>
      </c>
      <c r="CI118">
        <v>-2.74</v>
      </c>
      <c r="CW118">
        <f t="shared" si="180"/>
        <v>1799.98</v>
      </c>
      <c r="CX118">
        <f t="shared" si="181"/>
        <v>1513.1678998222928</v>
      </c>
      <c r="CY118">
        <f t="shared" si="182"/>
        <v>0.84065817388098363</v>
      </c>
      <c r="CZ118">
        <f t="shared" si="183"/>
        <v>0.1913163477619674</v>
      </c>
      <c r="DA118">
        <v>6</v>
      </c>
      <c r="DB118">
        <v>0.5</v>
      </c>
      <c r="DC118" t="s">
        <v>419</v>
      </c>
      <c r="DD118">
        <v>2</v>
      </c>
      <c r="DE118">
        <v>1693520017.0999999</v>
      </c>
      <c r="DF118">
        <v>101.76</v>
      </c>
      <c r="DG118">
        <v>120.032</v>
      </c>
      <c r="DH118">
        <v>28.838899999999999</v>
      </c>
      <c r="DI118">
        <v>22.664200000000001</v>
      </c>
      <c r="DJ118">
        <v>99.815799999999996</v>
      </c>
      <c r="DK118">
        <v>27.868099999999998</v>
      </c>
      <c r="DL118">
        <v>499.47500000000002</v>
      </c>
      <c r="DM118">
        <v>99.491500000000002</v>
      </c>
      <c r="DN118">
        <v>9.9452600000000002E-2</v>
      </c>
      <c r="DO118">
        <v>30.5304</v>
      </c>
      <c r="DP118">
        <v>29.984100000000002</v>
      </c>
      <c r="DQ118">
        <v>999.9</v>
      </c>
      <c r="DR118">
        <v>0</v>
      </c>
      <c r="DS118">
        <v>0</v>
      </c>
      <c r="DT118">
        <v>9985</v>
      </c>
      <c r="DU118">
        <v>0</v>
      </c>
      <c r="DV118">
        <v>264.29899999999998</v>
      </c>
      <c r="DW118">
        <v>-18.272500000000001</v>
      </c>
      <c r="DX118">
        <v>104.782</v>
      </c>
      <c r="DY118">
        <v>122.816</v>
      </c>
      <c r="DZ118">
        <v>6.1746699999999999</v>
      </c>
      <c r="EA118">
        <v>120.032</v>
      </c>
      <c r="EB118">
        <v>22.664200000000001</v>
      </c>
      <c r="EC118">
        <v>2.8692299999999999</v>
      </c>
      <c r="ED118">
        <v>2.2549000000000001</v>
      </c>
      <c r="EE118">
        <v>23.2879</v>
      </c>
      <c r="EF118">
        <v>19.357800000000001</v>
      </c>
      <c r="EG118">
        <v>1799.98</v>
      </c>
      <c r="EH118">
        <v>0.97799999999999998</v>
      </c>
      <c r="EI118">
        <v>2.20004E-2</v>
      </c>
      <c r="EJ118">
        <v>0</v>
      </c>
      <c r="EK118">
        <v>737.09500000000003</v>
      </c>
      <c r="EL118">
        <v>5.0002700000000004</v>
      </c>
      <c r="EM118">
        <v>14691.2</v>
      </c>
      <c r="EN118">
        <v>16248.4</v>
      </c>
      <c r="EO118">
        <v>48.811999999999998</v>
      </c>
      <c r="EP118">
        <v>49.186999999999998</v>
      </c>
      <c r="EQ118">
        <v>49.75</v>
      </c>
      <c r="ER118">
        <v>48.625</v>
      </c>
      <c r="ES118">
        <v>50.25</v>
      </c>
      <c r="ET118">
        <v>1755.49</v>
      </c>
      <c r="EU118">
        <v>39.49</v>
      </c>
      <c r="EV118">
        <v>0</v>
      </c>
      <c r="EW118">
        <v>118.7999999523163</v>
      </c>
      <c r="EX118">
        <v>0</v>
      </c>
      <c r="EY118">
        <v>737.83992000000012</v>
      </c>
      <c r="EZ118">
        <v>-3.2166923131039469</v>
      </c>
      <c r="FA118">
        <v>-60.730769365690811</v>
      </c>
      <c r="FB118">
        <v>14695.364</v>
      </c>
      <c r="FC118">
        <v>15</v>
      </c>
      <c r="FD118">
        <v>1693519985.5999999</v>
      </c>
      <c r="FE118" t="s">
        <v>937</v>
      </c>
      <c r="FF118">
        <v>1693519973.5999999</v>
      </c>
      <c r="FG118">
        <v>1693519985.5999999</v>
      </c>
      <c r="FH118">
        <v>113</v>
      </c>
      <c r="FI118">
        <v>-2.5000000000000001E-2</v>
      </c>
      <c r="FJ118">
        <v>-5.0000000000000001E-3</v>
      </c>
      <c r="FK118">
        <v>1.958</v>
      </c>
      <c r="FL118">
        <v>0.63300000000000001</v>
      </c>
      <c r="FM118">
        <v>120</v>
      </c>
      <c r="FN118">
        <v>23</v>
      </c>
      <c r="FO118">
        <v>0.22</v>
      </c>
      <c r="FP118">
        <v>0.05</v>
      </c>
      <c r="FQ118">
        <v>14.56723295887312</v>
      </c>
      <c r="FR118">
        <v>0.63405467542298655</v>
      </c>
      <c r="FS118">
        <v>8.023626420645219E-2</v>
      </c>
      <c r="FT118">
        <v>1</v>
      </c>
      <c r="FU118">
        <v>0.39566413717597232</v>
      </c>
      <c r="FV118">
        <v>2.883199312679963E-2</v>
      </c>
      <c r="FW118">
        <v>3.463548211758859E-3</v>
      </c>
      <c r="FX118">
        <v>1</v>
      </c>
      <c r="FY118">
        <v>2</v>
      </c>
      <c r="FZ118">
        <v>2</v>
      </c>
      <c r="GA118" t="s">
        <v>421</v>
      </c>
      <c r="GB118">
        <v>3.11755</v>
      </c>
      <c r="GC118">
        <v>2.8644699999999998</v>
      </c>
      <c r="GD118">
        <v>2.75918E-2</v>
      </c>
      <c r="GE118">
        <v>3.3863200000000003E-2</v>
      </c>
      <c r="GF118">
        <v>0.130193</v>
      </c>
      <c r="GG118">
        <v>0.11538</v>
      </c>
      <c r="GH118">
        <v>29476.9</v>
      </c>
      <c r="GI118">
        <v>22802.799999999999</v>
      </c>
      <c r="GJ118">
        <v>29214.6</v>
      </c>
      <c r="GK118">
        <v>21992.3</v>
      </c>
      <c r="GL118">
        <v>33996.300000000003</v>
      </c>
      <c r="GM118">
        <v>26752.1</v>
      </c>
      <c r="GN118">
        <v>40534.400000000001</v>
      </c>
      <c r="GO118">
        <v>31240.2</v>
      </c>
      <c r="GP118">
        <v>2.0497999999999998</v>
      </c>
      <c r="GQ118">
        <v>1.8885000000000001</v>
      </c>
      <c r="GR118">
        <v>3.8445E-2</v>
      </c>
      <c r="GS118">
        <v>0</v>
      </c>
      <c r="GT118">
        <v>29.3582</v>
      </c>
      <c r="GU118">
        <v>999.9</v>
      </c>
      <c r="GV118">
        <v>46.2</v>
      </c>
      <c r="GW118">
        <v>35.9</v>
      </c>
      <c r="GX118">
        <v>27.563400000000001</v>
      </c>
      <c r="GY118">
        <v>61.731699999999996</v>
      </c>
      <c r="GZ118">
        <v>12.600199999999999</v>
      </c>
      <c r="HA118">
        <v>1</v>
      </c>
      <c r="HB118">
        <v>9.9298800000000007E-2</v>
      </c>
      <c r="HC118">
        <v>0.62288699999999997</v>
      </c>
      <c r="HD118">
        <v>20.3338</v>
      </c>
      <c r="HE118">
        <v>5.2310699999999999</v>
      </c>
      <c r="HF118">
        <v>11.974</v>
      </c>
      <c r="HG118">
        <v>4.9744000000000002</v>
      </c>
      <c r="HH118">
        <v>3.2829000000000002</v>
      </c>
      <c r="HI118">
        <v>9999</v>
      </c>
      <c r="HJ118">
        <v>9999</v>
      </c>
      <c r="HK118">
        <v>9999</v>
      </c>
      <c r="HL118">
        <v>999.9</v>
      </c>
      <c r="HM118">
        <v>1.86066</v>
      </c>
      <c r="HN118">
        <v>1.8623400000000001</v>
      </c>
      <c r="HO118">
        <v>1.86782</v>
      </c>
      <c r="HP118">
        <v>1.85833</v>
      </c>
      <c r="HQ118">
        <v>1.85677</v>
      </c>
      <c r="HR118">
        <v>1.86042</v>
      </c>
      <c r="HS118">
        <v>1.86432</v>
      </c>
      <c r="HT118">
        <v>1.8664000000000001</v>
      </c>
      <c r="HU118">
        <v>5</v>
      </c>
      <c r="HV118">
        <v>0</v>
      </c>
      <c r="HW118">
        <v>0</v>
      </c>
      <c r="HX118">
        <v>0</v>
      </c>
      <c r="HY118" t="s">
        <v>422</v>
      </c>
      <c r="HZ118" t="s">
        <v>423</v>
      </c>
      <c r="IA118" t="s">
        <v>424</v>
      </c>
      <c r="IB118" t="s">
        <v>424</v>
      </c>
      <c r="IC118" t="s">
        <v>424</v>
      </c>
      <c r="ID118" t="s">
        <v>424</v>
      </c>
      <c r="IE118">
        <v>0</v>
      </c>
      <c r="IF118">
        <v>100</v>
      </c>
      <c r="IG118">
        <v>100</v>
      </c>
      <c r="IH118">
        <v>1.944</v>
      </c>
      <c r="II118">
        <v>0.9708</v>
      </c>
      <c r="IJ118">
        <v>1.848835356206419</v>
      </c>
      <c r="IK118">
        <v>1.118558698776514E-3</v>
      </c>
      <c r="IL118">
        <v>-1.6939696309573479E-6</v>
      </c>
      <c r="IM118">
        <v>5.4698917449866148E-10</v>
      </c>
      <c r="IN118">
        <v>7.2246211637441604E-2</v>
      </c>
      <c r="IO118">
        <v>-7.6058941998734366E-3</v>
      </c>
      <c r="IP118">
        <v>1.6984902717538061E-3</v>
      </c>
      <c r="IQ118">
        <v>-9.6352527008986976E-6</v>
      </c>
      <c r="IR118">
        <v>2</v>
      </c>
      <c r="IS118">
        <v>2021</v>
      </c>
      <c r="IT118">
        <v>2</v>
      </c>
      <c r="IU118">
        <v>40</v>
      </c>
      <c r="IV118">
        <v>0.7</v>
      </c>
      <c r="IW118">
        <v>0.5</v>
      </c>
      <c r="IX118">
        <v>0.41992200000000002</v>
      </c>
      <c r="IY118">
        <v>2.5305200000000001</v>
      </c>
      <c r="IZ118">
        <v>1.34399</v>
      </c>
      <c r="JA118">
        <v>2.2363300000000002</v>
      </c>
      <c r="JB118">
        <v>1.5918000000000001</v>
      </c>
      <c r="JC118">
        <v>2.4230999999999998</v>
      </c>
      <c r="JD118">
        <v>37.843699999999998</v>
      </c>
      <c r="JE118">
        <v>15.962</v>
      </c>
      <c r="JF118">
        <v>18</v>
      </c>
      <c r="JG118">
        <v>513.56500000000005</v>
      </c>
      <c r="JH118">
        <v>447.911</v>
      </c>
      <c r="JI118">
        <v>27.4618</v>
      </c>
      <c r="JJ118">
        <v>28.825600000000001</v>
      </c>
      <c r="JK118">
        <v>29.9998</v>
      </c>
      <c r="JL118">
        <v>28.71</v>
      </c>
      <c r="JM118">
        <v>28.648299999999999</v>
      </c>
      <c r="JN118">
        <v>8.4942499999999992</v>
      </c>
      <c r="JO118">
        <v>27.0181</v>
      </c>
      <c r="JP118">
        <v>61.548000000000002</v>
      </c>
      <c r="JQ118">
        <v>27.446300000000001</v>
      </c>
      <c r="JR118">
        <v>120</v>
      </c>
      <c r="JS118">
        <v>22.6083</v>
      </c>
      <c r="JT118">
        <v>99.594899999999996</v>
      </c>
      <c r="JU118">
        <v>98.710599999999999</v>
      </c>
    </row>
    <row r="119" spans="1:281" x14ac:dyDescent="0.25">
      <c r="A119">
        <v>103</v>
      </c>
      <c r="B119">
        <v>1693520129.0999999</v>
      </c>
      <c r="C119">
        <v>25202.5</v>
      </c>
      <c r="D119" t="s">
        <v>938</v>
      </c>
      <c r="E119" t="s">
        <v>939</v>
      </c>
      <c r="F119" t="s">
        <v>413</v>
      </c>
      <c r="G119" t="s">
        <v>778</v>
      </c>
      <c r="H119" t="s">
        <v>494</v>
      </c>
      <c r="I119" t="s">
        <v>415</v>
      </c>
      <c r="J119">
        <v>1693520129.0999999</v>
      </c>
      <c r="K119">
        <f t="shared" si="138"/>
        <v>5.6968417983512456E-3</v>
      </c>
      <c r="L119">
        <f t="shared" si="139"/>
        <v>5.6968417983512456</v>
      </c>
      <c r="M119">
        <f t="shared" si="140"/>
        <v>9.1226069038892152</v>
      </c>
      <c r="N119">
        <f t="shared" si="141"/>
        <v>58.687899999999999</v>
      </c>
      <c r="O119">
        <f t="shared" si="142"/>
        <v>21.837044851121675</v>
      </c>
      <c r="P119">
        <f t="shared" si="143"/>
        <v>2.1747509626164216</v>
      </c>
      <c r="Q119">
        <f t="shared" si="144"/>
        <v>5.8447270630751298</v>
      </c>
      <c r="R119">
        <f t="shared" si="145"/>
        <v>0.43453743652005877</v>
      </c>
      <c r="S119">
        <f t="shared" si="146"/>
        <v>2.9302074104474438</v>
      </c>
      <c r="T119">
        <f t="shared" si="147"/>
        <v>0.40165137653271149</v>
      </c>
      <c r="U119">
        <f t="shared" si="148"/>
        <v>0.25377907247812603</v>
      </c>
      <c r="V119">
        <f t="shared" si="149"/>
        <v>344.36499964467612</v>
      </c>
      <c r="W119">
        <f t="shared" si="150"/>
        <v>31.123254717388367</v>
      </c>
      <c r="X119">
        <f t="shared" si="151"/>
        <v>29.949400000000001</v>
      </c>
      <c r="Y119">
        <f t="shared" si="152"/>
        <v>4.2480827764133133</v>
      </c>
      <c r="Z119">
        <f t="shared" si="153"/>
        <v>65.544442489279234</v>
      </c>
      <c r="AA119">
        <f t="shared" si="154"/>
        <v>2.8861376746029399</v>
      </c>
      <c r="AB119">
        <f t="shared" si="155"/>
        <v>4.4033293517982255</v>
      </c>
      <c r="AC119">
        <f t="shared" si="156"/>
        <v>1.3619451018103734</v>
      </c>
      <c r="AD119">
        <f t="shared" si="157"/>
        <v>-251.23072330728994</v>
      </c>
      <c r="AE119">
        <f t="shared" si="158"/>
        <v>98.907109371130034</v>
      </c>
      <c r="AF119">
        <f t="shared" si="159"/>
        <v>7.5248307379566208</v>
      </c>
      <c r="AG119">
        <f t="shared" si="160"/>
        <v>199.56621644647282</v>
      </c>
      <c r="AH119">
        <v>0</v>
      </c>
      <c r="AI119">
        <v>0</v>
      </c>
      <c r="AJ119">
        <f t="shared" si="161"/>
        <v>1</v>
      </c>
      <c r="AK119">
        <f t="shared" si="162"/>
        <v>0</v>
      </c>
      <c r="AL119">
        <f t="shared" si="163"/>
        <v>52262.072969917775</v>
      </c>
      <c r="AM119" t="s">
        <v>416</v>
      </c>
      <c r="AN119">
        <v>10366.9</v>
      </c>
      <c r="AO119">
        <v>993.59653846153856</v>
      </c>
      <c r="AP119">
        <v>3431.87</v>
      </c>
      <c r="AQ119">
        <f t="shared" si="164"/>
        <v>0.71047955241266758</v>
      </c>
      <c r="AR119">
        <v>-3.9894345373445681</v>
      </c>
      <c r="AS119" t="s">
        <v>940</v>
      </c>
      <c r="AT119">
        <v>10363.299999999999</v>
      </c>
      <c r="AU119">
        <v>742.84068000000002</v>
      </c>
      <c r="AV119">
        <v>821.14402093848946</v>
      </c>
      <c r="AW119">
        <f t="shared" si="165"/>
        <v>9.5358839548020047E-2</v>
      </c>
      <c r="AX119">
        <v>0.5</v>
      </c>
      <c r="AY119">
        <f t="shared" si="166"/>
        <v>1513.1675998223382</v>
      </c>
      <c r="AZ119">
        <f t="shared" si="167"/>
        <v>9.1226069038892152</v>
      </c>
      <c r="BA119">
        <f t="shared" si="168"/>
        <v>72.14695318036047</v>
      </c>
      <c r="BB119">
        <f t="shared" si="169"/>
        <v>8.6652935489586712E-3</v>
      </c>
      <c r="BC119">
        <f t="shared" si="170"/>
        <v>3.1793764704974641</v>
      </c>
      <c r="BD119">
        <f t="shared" si="171"/>
        <v>517.36494902176071</v>
      </c>
      <c r="BE119" t="s">
        <v>941</v>
      </c>
      <c r="BF119">
        <v>578.03</v>
      </c>
      <c r="BG119">
        <f t="shared" si="172"/>
        <v>578.03</v>
      </c>
      <c r="BH119">
        <f t="shared" si="173"/>
        <v>0.29606745557330283</v>
      </c>
      <c r="BI119">
        <f t="shared" si="174"/>
        <v>0.32208484165666879</v>
      </c>
      <c r="BJ119">
        <f t="shared" si="175"/>
        <v>0.91481161489835106</v>
      </c>
      <c r="BK119">
        <f t="shared" si="176"/>
        <v>-0.45405739541044293</v>
      </c>
      <c r="BL119">
        <f t="shared" si="177"/>
        <v>1.0707273077623696</v>
      </c>
      <c r="BM119">
        <f t="shared" si="178"/>
        <v>0.25062534408159259</v>
      </c>
      <c r="BN119">
        <f t="shared" si="179"/>
        <v>0.74937465591840735</v>
      </c>
      <c r="BO119">
        <v>2353</v>
      </c>
      <c r="BP119">
        <v>290.00000000000011</v>
      </c>
      <c r="BQ119">
        <v>799.77</v>
      </c>
      <c r="BR119">
        <v>195</v>
      </c>
      <c r="BS119">
        <v>10363.299999999999</v>
      </c>
      <c r="BT119">
        <v>798.76</v>
      </c>
      <c r="BU119">
        <v>1.01</v>
      </c>
      <c r="BV119">
        <v>300.00000000000011</v>
      </c>
      <c r="BW119">
        <v>38.4</v>
      </c>
      <c r="BX119">
        <v>821.14402093848946</v>
      </c>
      <c r="BY119">
        <v>0.93753230743441873</v>
      </c>
      <c r="BZ119">
        <v>-23.1923028375837</v>
      </c>
      <c r="CA119">
        <v>0.7950182816789374</v>
      </c>
      <c r="CB119">
        <v>0.96814590090023411</v>
      </c>
      <c r="CC119">
        <v>-1.1273951279199119E-2</v>
      </c>
      <c r="CD119">
        <v>289.99999999999989</v>
      </c>
      <c r="CE119">
        <v>795.9</v>
      </c>
      <c r="CF119">
        <v>655</v>
      </c>
      <c r="CG119">
        <v>10340.799999999999</v>
      </c>
      <c r="CH119">
        <v>798.72</v>
      </c>
      <c r="CI119">
        <v>-2.82</v>
      </c>
      <c r="CW119">
        <f t="shared" si="180"/>
        <v>1799.98</v>
      </c>
      <c r="CX119">
        <f t="shared" si="181"/>
        <v>1513.1675998223382</v>
      </c>
      <c r="CY119">
        <f t="shared" si="182"/>
        <v>0.84065800721249018</v>
      </c>
      <c r="CZ119">
        <f t="shared" si="183"/>
        <v>0.19131601442498034</v>
      </c>
      <c r="DA119">
        <v>6</v>
      </c>
      <c r="DB119">
        <v>0.5</v>
      </c>
      <c r="DC119" t="s">
        <v>419</v>
      </c>
      <c r="DD119">
        <v>2</v>
      </c>
      <c r="DE119">
        <v>1693520129.0999999</v>
      </c>
      <c r="DF119">
        <v>58.687899999999999</v>
      </c>
      <c r="DG119">
        <v>70.040000000000006</v>
      </c>
      <c r="DH119">
        <v>28.9802</v>
      </c>
      <c r="DI119">
        <v>22.3399</v>
      </c>
      <c r="DJ119">
        <v>56.694200000000002</v>
      </c>
      <c r="DK119">
        <v>28.002800000000001</v>
      </c>
      <c r="DL119">
        <v>499.834</v>
      </c>
      <c r="DM119">
        <v>99.490300000000005</v>
      </c>
      <c r="DN119">
        <v>9.9684700000000001E-2</v>
      </c>
      <c r="DO119">
        <v>30.575500000000002</v>
      </c>
      <c r="DP119">
        <v>29.949400000000001</v>
      </c>
      <c r="DQ119">
        <v>999.9</v>
      </c>
      <c r="DR119">
        <v>0</v>
      </c>
      <c r="DS119">
        <v>0</v>
      </c>
      <c r="DT119">
        <v>10055</v>
      </c>
      <c r="DU119">
        <v>0</v>
      </c>
      <c r="DV119">
        <v>255.27199999999999</v>
      </c>
      <c r="DW119">
        <v>-11.3521</v>
      </c>
      <c r="DX119">
        <v>60.439399999999999</v>
      </c>
      <c r="DY119">
        <v>71.6404</v>
      </c>
      <c r="DZ119">
        <v>6.6403699999999999</v>
      </c>
      <c r="EA119">
        <v>70.040000000000006</v>
      </c>
      <c r="EB119">
        <v>22.3399</v>
      </c>
      <c r="EC119">
        <v>2.8832499999999999</v>
      </c>
      <c r="ED119">
        <v>2.2225999999999999</v>
      </c>
      <c r="EE119">
        <v>23.368600000000001</v>
      </c>
      <c r="EF119">
        <v>19.126100000000001</v>
      </c>
      <c r="EG119">
        <v>1799.98</v>
      </c>
      <c r="EH119">
        <v>0.97800299999999996</v>
      </c>
      <c r="EI119">
        <v>2.1996700000000001E-2</v>
      </c>
      <c r="EJ119">
        <v>0</v>
      </c>
      <c r="EK119">
        <v>741.94600000000003</v>
      </c>
      <c r="EL119">
        <v>5.0002700000000004</v>
      </c>
      <c r="EM119">
        <v>14787.7</v>
      </c>
      <c r="EN119">
        <v>16248.5</v>
      </c>
      <c r="EO119">
        <v>49.061999999999998</v>
      </c>
      <c r="EP119">
        <v>49.375</v>
      </c>
      <c r="EQ119">
        <v>50</v>
      </c>
      <c r="ER119">
        <v>48.811999999999998</v>
      </c>
      <c r="ES119">
        <v>50.5</v>
      </c>
      <c r="ET119">
        <v>1755.5</v>
      </c>
      <c r="EU119">
        <v>39.479999999999997</v>
      </c>
      <c r="EV119">
        <v>0</v>
      </c>
      <c r="EW119">
        <v>109.7999999523163</v>
      </c>
      <c r="EX119">
        <v>0</v>
      </c>
      <c r="EY119">
        <v>742.84068000000002</v>
      </c>
      <c r="EZ119">
        <v>-2.4363846217968641</v>
      </c>
      <c r="FA119">
        <v>-38.800000016491957</v>
      </c>
      <c r="FB119">
        <v>14792.812</v>
      </c>
      <c r="FC119">
        <v>15</v>
      </c>
      <c r="FD119">
        <v>1693520099.0999999</v>
      </c>
      <c r="FE119" t="s">
        <v>942</v>
      </c>
      <c r="FF119">
        <v>1693520077.5999999</v>
      </c>
      <c r="FG119">
        <v>1693520099.0999999</v>
      </c>
      <c r="FH119">
        <v>114</v>
      </c>
      <c r="FI119">
        <v>8.6999999999999994E-2</v>
      </c>
      <c r="FJ119">
        <v>-2E-3</v>
      </c>
      <c r="FK119">
        <v>2.004</v>
      </c>
      <c r="FL119">
        <v>0.61399999999999999</v>
      </c>
      <c r="FM119">
        <v>70</v>
      </c>
      <c r="FN119">
        <v>22</v>
      </c>
      <c r="FO119">
        <v>0.31</v>
      </c>
      <c r="FP119">
        <v>0.04</v>
      </c>
      <c r="FQ119">
        <v>9.039218218222441</v>
      </c>
      <c r="FR119">
        <v>0.22015923971193571</v>
      </c>
      <c r="FS119">
        <v>4.7196266016111779E-2</v>
      </c>
      <c r="FT119">
        <v>1</v>
      </c>
      <c r="FU119">
        <v>0.43883586638192762</v>
      </c>
      <c r="FV119">
        <v>2.0328228023317071E-2</v>
      </c>
      <c r="FW119">
        <v>6.5606126514106749E-3</v>
      </c>
      <c r="FX119">
        <v>1</v>
      </c>
      <c r="FY119">
        <v>2</v>
      </c>
      <c r="FZ119">
        <v>2</v>
      </c>
      <c r="GA119" t="s">
        <v>421</v>
      </c>
      <c r="GB119">
        <v>3.11788</v>
      </c>
      <c r="GC119">
        <v>2.86531</v>
      </c>
      <c r="GD119">
        <v>1.59031E-2</v>
      </c>
      <c r="GE119">
        <v>2.0165300000000001E-2</v>
      </c>
      <c r="GF119">
        <v>0.13065299999999999</v>
      </c>
      <c r="GG119">
        <v>0.11423999999999999</v>
      </c>
      <c r="GH119">
        <v>29832.7</v>
      </c>
      <c r="GI119">
        <v>23129.8</v>
      </c>
      <c r="GJ119">
        <v>29215.5</v>
      </c>
      <c r="GK119">
        <v>21995.4</v>
      </c>
      <c r="GL119">
        <v>33976.6</v>
      </c>
      <c r="GM119">
        <v>26789.200000000001</v>
      </c>
      <c r="GN119">
        <v>40535.599999999999</v>
      </c>
      <c r="GO119">
        <v>31244.799999999999</v>
      </c>
      <c r="GP119">
        <v>2.0503999999999998</v>
      </c>
      <c r="GQ119">
        <v>1.8909</v>
      </c>
      <c r="GR119">
        <v>4.6789600000000001E-2</v>
      </c>
      <c r="GS119">
        <v>0</v>
      </c>
      <c r="GT119">
        <v>29.1874</v>
      </c>
      <c r="GU119">
        <v>999.9</v>
      </c>
      <c r="GV119">
        <v>46.4</v>
      </c>
      <c r="GW119">
        <v>35.700000000000003</v>
      </c>
      <c r="GX119">
        <v>27.381599999999999</v>
      </c>
      <c r="GY119">
        <v>61.451700000000002</v>
      </c>
      <c r="GZ119">
        <v>12.1875</v>
      </c>
      <c r="HA119">
        <v>1</v>
      </c>
      <c r="HB119">
        <v>9.4024399999999994E-2</v>
      </c>
      <c r="HC119">
        <v>0.524837</v>
      </c>
      <c r="HD119">
        <v>20.334900000000001</v>
      </c>
      <c r="HE119">
        <v>5.2346599999999999</v>
      </c>
      <c r="HF119">
        <v>11.974</v>
      </c>
      <c r="HG119">
        <v>4.9740000000000002</v>
      </c>
      <c r="HH119">
        <v>3.2831999999999999</v>
      </c>
      <c r="HI119">
        <v>9999</v>
      </c>
      <c r="HJ119">
        <v>9999</v>
      </c>
      <c r="HK119">
        <v>9999</v>
      </c>
      <c r="HL119">
        <v>999.9</v>
      </c>
      <c r="HM119">
        <v>1.86066</v>
      </c>
      <c r="HN119">
        <v>1.8623400000000001</v>
      </c>
      <c r="HO119">
        <v>1.86782</v>
      </c>
      <c r="HP119">
        <v>1.8583499999999999</v>
      </c>
      <c r="HQ119">
        <v>1.85677</v>
      </c>
      <c r="HR119">
        <v>1.8603799999999999</v>
      </c>
      <c r="HS119">
        <v>1.86432</v>
      </c>
      <c r="HT119">
        <v>1.8664099999999999</v>
      </c>
      <c r="HU119">
        <v>5</v>
      </c>
      <c r="HV119">
        <v>0</v>
      </c>
      <c r="HW119">
        <v>0</v>
      </c>
      <c r="HX119">
        <v>0</v>
      </c>
      <c r="HY119" t="s">
        <v>422</v>
      </c>
      <c r="HZ119" t="s">
        <v>423</v>
      </c>
      <c r="IA119" t="s">
        <v>424</v>
      </c>
      <c r="IB119" t="s">
        <v>424</v>
      </c>
      <c r="IC119" t="s">
        <v>424</v>
      </c>
      <c r="ID119" t="s">
        <v>424</v>
      </c>
      <c r="IE119">
        <v>0</v>
      </c>
      <c r="IF119">
        <v>100</v>
      </c>
      <c r="IG119">
        <v>100</v>
      </c>
      <c r="IH119">
        <v>1.994</v>
      </c>
      <c r="II119">
        <v>0.97740000000000005</v>
      </c>
      <c r="IJ119">
        <v>1.935624283316125</v>
      </c>
      <c r="IK119">
        <v>1.118558698776514E-3</v>
      </c>
      <c r="IL119">
        <v>-1.6939696309573479E-6</v>
      </c>
      <c r="IM119">
        <v>5.4698917449866148E-10</v>
      </c>
      <c r="IN119">
        <v>7.0052417414939283E-2</v>
      </c>
      <c r="IO119">
        <v>-7.6058941998734366E-3</v>
      </c>
      <c r="IP119">
        <v>1.6984902717538061E-3</v>
      </c>
      <c r="IQ119">
        <v>-9.6352527008986976E-6</v>
      </c>
      <c r="IR119">
        <v>2</v>
      </c>
      <c r="IS119">
        <v>2021</v>
      </c>
      <c r="IT119">
        <v>2</v>
      </c>
      <c r="IU119">
        <v>40</v>
      </c>
      <c r="IV119">
        <v>0.9</v>
      </c>
      <c r="IW119">
        <v>0.5</v>
      </c>
      <c r="IX119">
        <v>0.305176</v>
      </c>
      <c r="IY119">
        <v>2.5451700000000002</v>
      </c>
      <c r="IZ119">
        <v>1.34399</v>
      </c>
      <c r="JA119">
        <v>2.2363300000000002</v>
      </c>
      <c r="JB119">
        <v>1.5918000000000001</v>
      </c>
      <c r="JC119">
        <v>2.4438499999999999</v>
      </c>
      <c r="JD119">
        <v>37.747</v>
      </c>
      <c r="JE119">
        <v>15.9533</v>
      </c>
      <c r="JF119">
        <v>18</v>
      </c>
      <c r="JG119">
        <v>513.30100000000004</v>
      </c>
      <c r="JH119">
        <v>448.86900000000003</v>
      </c>
      <c r="JI119">
        <v>27.611799999999999</v>
      </c>
      <c r="JJ119">
        <v>28.749300000000002</v>
      </c>
      <c r="JK119">
        <v>30</v>
      </c>
      <c r="JL119">
        <v>28.639900000000001</v>
      </c>
      <c r="JM119">
        <v>28.578900000000001</v>
      </c>
      <c r="JN119">
        <v>6.19407</v>
      </c>
      <c r="JO119">
        <v>27.593900000000001</v>
      </c>
      <c r="JP119">
        <v>61.558599999999998</v>
      </c>
      <c r="JQ119">
        <v>27.634499999999999</v>
      </c>
      <c r="JR119">
        <v>70</v>
      </c>
      <c r="JS119">
        <v>22.308499999999999</v>
      </c>
      <c r="JT119">
        <v>99.598100000000002</v>
      </c>
      <c r="JU119">
        <v>98.724900000000005</v>
      </c>
    </row>
    <row r="120" spans="1:281" x14ac:dyDescent="0.25">
      <c r="A120">
        <v>104</v>
      </c>
      <c r="B120">
        <v>1693520244.5999999</v>
      </c>
      <c r="C120">
        <v>25318</v>
      </c>
      <c r="D120" t="s">
        <v>943</v>
      </c>
      <c r="E120" t="s">
        <v>944</v>
      </c>
      <c r="F120" t="s">
        <v>413</v>
      </c>
      <c r="G120" t="s">
        <v>778</v>
      </c>
      <c r="H120" t="s">
        <v>494</v>
      </c>
      <c r="I120" t="s">
        <v>415</v>
      </c>
      <c r="J120">
        <v>1693520244.5999999</v>
      </c>
      <c r="K120">
        <f t="shared" si="138"/>
        <v>6.0317993801271555E-3</v>
      </c>
      <c r="L120">
        <f t="shared" si="139"/>
        <v>6.0317993801271559</v>
      </c>
      <c r="M120">
        <f t="shared" si="140"/>
        <v>3.9416954840290273</v>
      </c>
      <c r="N120">
        <f t="shared" si="141"/>
        <v>25.0412</v>
      </c>
      <c r="O120">
        <f t="shared" si="142"/>
        <v>9.9917828134481965</v>
      </c>
      <c r="P120">
        <f t="shared" si="143"/>
        <v>0.99511418063861168</v>
      </c>
      <c r="Q120">
        <f t="shared" si="144"/>
        <v>2.4939346346348401</v>
      </c>
      <c r="R120">
        <f t="shared" si="145"/>
        <v>0.46234739218381732</v>
      </c>
      <c r="S120">
        <f t="shared" si="146"/>
        <v>2.9363724410354601</v>
      </c>
      <c r="T120">
        <f t="shared" si="147"/>
        <v>0.42538052741775867</v>
      </c>
      <c r="U120">
        <f t="shared" si="148"/>
        <v>0.26893742102217955</v>
      </c>
      <c r="V120">
        <f t="shared" si="149"/>
        <v>344.38839964460976</v>
      </c>
      <c r="W120">
        <f t="shared" si="150"/>
        <v>31.144180928925724</v>
      </c>
      <c r="X120">
        <f t="shared" si="151"/>
        <v>29.993099999999998</v>
      </c>
      <c r="Y120">
        <f t="shared" si="152"/>
        <v>4.2587615184795657</v>
      </c>
      <c r="Z120">
        <f t="shared" si="153"/>
        <v>65.39038004144804</v>
      </c>
      <c r="AA120">
        <f t="shared" si="154"/>
        <v>2.8972873202198404</v>
      </c>
      <c r="AB120">
        <f t="shared" si="155"/>
        <v>4.4307546742860024</v>
      </c>
      <c r="AC120">
        <f t="shared" si="156"/>
        <v>1.3614741982597254</v>
      </c>
      <c r="AD120">
        <f t="shared" si="157"/>
        <v>-266.00235266360755</v>
      </c>
      <c r="AE120">
        <f t="shared" si="158"/>
        <v>109.38924632940308</v>
      </c>
      <c r="AF120">
        <f t="shared" si="159"/>
        <v>8.3110959475799948</v>
      </c>
      <c r="AG120">
        <f t="shared" si="160"/>
        <v>196.08638925798527</v>
      </c>
      <c r="AH120">
        <v>0</v>
      </c>
      <c r="AI120">
        <v>0</v>
      </c>
      <c r="AJ120">
        <f t="shared" si="161"/>
        <v>1</v>
      </c>
      <c r="AK120">
        <f t="shared" si="162"/>
        <v>0</v>
      </c>
      <c r="AL120">
        <f t="shared" si="163"/>
        <v>52419.422997057227</v>
      </c>
      <c r="AM120" t="s">
        <v>416</v>
      </c>
      <c r="AN120">
        <v>10366.9</v>
      </c>
      <c r="AO120">
        <v>993.59653846153856</v>
      </c>
      <c r="AP120">
        <v>3431.87</v>
      </c>
      <c r="AQ120">
        <f t="shared" si="164"/>
        <v>0.71047955241266758</v>
      </c>
      <c r="AR120">
        <v>-3.9894345373445681</v>
      </c>
      <c r="AS120" t="s">
        <v>945</v>
      </c>
      <c r="AT120">
        <v>10381.299999999999</v>
      </c>
      <c r="AU120">
        <v>748.18159999999989</v>
      </c>
      <c r="AV120">
        <v>798.0170475062248</v>
      </c>
      <c r="AW120">
        <f t="shared" si="165"/>
        <v>6.244910138443649E-2</v>
      </c>
      <c r="AX120">
        <v>0.5</v>
      </c>
      <c r="AY120">
        <f t="shared" si="166"/>
        <v>1513.2686998223048</v>
      </c>
      <c r="AZ120">
        <f t="shared" si="167"/>
        <v>3.9416954840290273</v>
      </c>
      <c r="BA120">
        <f t="shared" si="168"/>
        <v>47.251135228548755</v>
      </c>
      <c r="BB120">
        <f t="shared" si="169"/>
        <v>5.2410586581913094E-3</v>
      </c>
      <c r="BC120">
        <f t="shared" si="170"/>
        <v>3.3004971018156475</v>
      </c>
      <c r="BD120">
        <f t="shared" si="171"/>
        <v>508.08762097016813</v>
      </c>
      <c r="BE120" t="s">
        <v>946</v>
      </c>
      <c r="BF120">
        <v>594.04</v>
      </c>
      <c r="BG120">
        <f t="shared" si="172"/>
        <v>594.04</v>
      </c>
      <c r="BH120">
        <f t="shared" si="173"/>
        <v>0.25560487478763261</v>
      </c>
      <c r="BI120">
        <f t="shared" si="174"/>
        <v>0.24431889820693706</v>
      </c>
      <c r="BJ120">
        <f t="shared" si="175"/>
        <v>0.92812217521619511</v>
      </c>
      <c r="BK120">
        <f t="shared" si="176"/>
        <v>-0.25480916870578918</v>
      </c>
      <c r="BL120">
        <f t="shared" si="177"/>
        <v>1.0802122871123363</v>
      </c>
      <c r="BM120">
        <f t="shared" si="178"/>
        <v>0.19398391819693092</v>
      </c>
      <c r="BN120">
        <f t="shared" si="179"/>
        <v>0.80601608180306905</v>
      </c>
      <c r="BO120">
        <v>2355</v>
      </c>
      <c r="BP120">
        <v>290.00000000000011</v>
      </c>
      <c r="BQ120">
        <v>785.19</v>
      </c>
      <c r="BR120">
        <v>105</v>
      </c>
      <c r="BS120">
        <v>10381.299999999999</v>
      </c>
      <c r="BT120">
        <v>783.17</v>
      </c>
      <c r="BU120">
        <v>2.02</v>
      </c>
      <c r="BV120">
        <v>300.00000000000011</v>
      </c>
      <c r="BW120">
        <v>38.4</v>
      </c>
      <c r="BX120">
        <v>798.0170475062248</v>
      </c>
      <c r="BY120">
        <v>1.0065916690651879</v>
      </c>
      <c r="BZ120">
        <v>-15.41474691753179</v>
      </c>
      <c r="CA120">
        <v>0.85360843590392455</v>
      </c>
      <c r="CB120">
        <v>0.9209270636402993</v>
      </c>
      <c r="CC120">
        <v>-1.127434994438265E-2</v>
      </c>
      <c r="CD120">
        <v>289.99999999999989</v>
      </c>
      <c r="CE120">
        <v>781.02</v>
      </c>
      <c r="CF120">
        <v>675</v>
      </c>
      <c r="CG120">
        <v>10339.200000000001</v>
      </c>
      <c r="CH120">
        <v>783.11</v>
      </c>
      <c r="CI120">
        <v>-2.09</v>
      </c>
      <c r="CW120">
        <f t="shared" si="180"/>
        <v>1800.1</v>
      </c>
      <c r="CX120">
        <f t="shared" si="181"/>
        <v>1513.2686998223048</v>
      </c>
      <c r="CY120">
        <f t="shared" si="182"/>
        <v>0.84065813000516909</v>
      </c>
      <c r="CZ120">
        <f t="shared" si="183"/>
        <v>0.19131626001033819</v>
      </c>
      <c r="DA120">
        <v>6</v>
      </c>
      <c r="DB120">
        <v>0.5</v>
      </c>
      <c r="DC120" t="s">
        <v>419</v>
      </c>
      <c r="DD120">
        <v>2</v>
      </c>
      <c r="DE120">
        <v>1693520244.5999999</v>
      </c>
      <c r="DF120">
        <v>25.0412</v>
      </c>
      <c r="DG120">
        <v>29.947600000000001</v>
      </c>
      <c r="DH120">
        <v>29.091200000000001</v>
      </c>
      <c r="DI120">
        <v>22.070599999999999</v>
      </c>
      <c r="DJ120">
        <v>23.105799999999999</v>
      </c>
      <c r="DK120">
        <v>28.119199999999999</v>
      </c>
      <c r="DL120">
        <v>500.49799999999999</v>
      </c>
      <c r="DM120">
        <v>99.494</v>
      </c>
      <c r="DN120">
        <v>9.9255700000000002E-2</v>
      </c>
      <c r="DO120">
        <v>30.684100000000001</v>
      </c>
      <c r="DP120">
        <v>29.993099999999998</v>
      </c>
      <c r="DQ120">
        <v>999.9</v>
      </c>
      <c r="DR120">
        <v>0</v>
      </c>
      <c r="DS120">
        <v>0</v>
      </c>
      <c r="DT120">
        <v>10090</v>
      </c>
      <c r="DU120">
        <v>0</v>
      </c>
      <c r="DV120">
        <v>248.11</v>
      </c>
      <c r="DW120">
        <v>-4.9064699999999997</v>
      </c>
      <c r="DX120">
        <v>25.791499999999999</v>
      </c>
      <c r="DY120">
        <v>30.6235</v>
      </c>
      <c r="DZ120">
        <v>7.0206499999999998</v>
      </c>
      <c r="EA120">
        <v>29.947600000000001</v>
      </c>
      <c r="EB120">
        <v>22.070599999999999</v>
      </c>
      <c r="EC120">
        <v>2.8944000000000001</v>
      </c>
      <c r="ED120">
        <v>2.1958899999999999</v>
      </c>
      <c r="EE120">
        <v>23.432600000000001</v>
      </c>
      <c r="EF120">
        <v>18.932300000000001</v>
      </c>
      <c r="EG120">
        <v>1800.1</v>
      </c>
      <c r="EH120">
        <v>0.97800299999999996</v>
      </c>
      <c r="EI120">
        <v>2.1996700000000001E-2</v>
      </c>
      <c r="EJ120">
        <v>0</v>
      </c>
      <c r="EK120">
        <v>747.89300000000003</v>
      </c>
      <c r="EL120">
        <v>5.0002700000000004</v>
      </c>
      <c r="EM120">
        <v>14836.9</v>
      </c>
      <c r="EN120">
        <v>16249.5</v>
      </c>
      <c r="EO120">
        <v>49.311999999999998</v>
      </c>
      <c r="EP120">
        <v>49.5</v>
      </c>
      <c r="EQ120">
        <v>50.186999999999998</v>
      </c>
      <c r="ER120">
        <v>48.936999999999998</v>
      </c>
      <c r="ES120">
        <v>50.686999999999998</v>
      </c>
      <c r="ET120">
        <v>1755.61</v>
      </c>
      <c r="EU120">
        <v>39.49</v>
      </c>
      <c r="EV120">
        <v>0</v>
      </c>
      <c r="EW120">
        <v>113.3999998569489</v>
      </c>
      <c r="EX120">
        <v>0</v>
      </c>
      <c r="EY120">
        <v>748.18159999999989</v>
      </c>
      <c r="EZ120">
        <v>-2.266000000930056</v>
      </c>
      <c r="FA120">
        <v>-31.06923082749768</v>
      </c>
      <c r="FB120">
        <v>14840.276</v>
      </c>
      <c r="FC120">
        <v>15</v>
      </c>
      <c r="FD120">
        <v>1693520215.0999999</v>
      </c>
      <c r="FE120" t="s">
        <v>947</v>
      </c>
      <c r="FF120">
        <v>1693520203.5999999</v>
      </c>
      <c r="FG120">
        <v>1693520215.0999999</v>
      </c>
      <c r="FH120">
        <v>115</v>
      </c>
      <c r="FI120">
        <v>-2.5000000000000001E-2</v>
      </c>
      <c r="FJ120">
        <v>-1.2999999999999999E-2</v>
      </c>
      <c r="FK120">
        <v>1.94</v>
      </c>
      <c r="FL120">
        <v>0.58299999999999996</v>
      </c>
      <c r="FM120">
        <v>30</v>
      </c>
      <c r="FN120">
        <v>22</v>
      </c>
      <c r="FO120">
        <v>0.93</v>
      </c>
      <c r="FP120">
        <v>0.04</v>
      </c>
      <c r="FQ120">
        <v>3.968834355006758</v>
      </c>
      <c r="FR120">
        <v>-0.13334419017847129</v>
      </c>
      <c r="FS120">
        <v>3.9228774148002077E-2</v>
      </c>
      <c r="FT120">
        <v>1</v>
      </c>
      <c r="FU120">
        <v>0.46771656820635038</v>
      </c>
      <c r="FV120">
        <v>1.746925385367146E-2</v>
      </c>
      <c r="FW120">
        <v>5.2609026528367912E-3</v>
      </c>
      <c r="FX120">
        <v>1</v>
      </c>
      <c r="FY120">
        <v>2</v>
      </c>
      <c r="FZ120">
        <v>2</v>
      </c>
      <c r="GA120" t="s">
        <v>421</v>
      </c>
      <c r="GB120">
        <v>3.1185800000000001</v>
      </c>
      <c r="GC120">
        <v>2.8652000000000002</v>
      </c>
      <c r="GD120">
        <v>6.5223199999999999E-3</v>
      </c>
      <c r="GE120">
        <v>8.7058900000000009E-3</v>
      </c>
      <c r="GF120">
        <v>0.13106100000000001</v>
      </c>
      <c r="GG120">
        <v>0.113299</v>
      </c>
      <c r="GH120">
        <v>30120.6</v>
      </c>
      <c r="GI120">
        <v>23404.6</v>
      </c>
      <c r="GJ120">
        <v>29218.400000000001</v>
      </c>
      <c r="GK120">
        <v>21999.1</v>
      </c>
      <c r="GL120">
        <v>33961.5</v>
      </c>
      <c r="GM120">
        <v>26820.5</v>
      </c>
      <c r="GN120">
        <v>40540</v>
      </c>
      <c r="GO120">
        <v>31249.4</v>
      </c>
      <c r="GP120">
        <v>2.0524</v>
      </c>
      <c r="GQ120">
        <v>1.8929</v>
      </c>
      <c r="GR120">
        <v>6.9886400000000001E-2</v>
      </c>
      <c r="GS120">
        <v>0</v>
      </c>
      <c r="GT120">
        <v>28.854800000000001</v>
      </c>
      <c r="GU120">
        <v>999.9</v>
      </c>
      <c r="GV120">
        <v>46.6</v>
      </c>
      <c r="GW120">
        <v>35.5</v>
      </c>
      <c r="GX120">
        <v>27.196100000000001</v>
      </c>
      <c r="GY120">
        <v>61.411700000000003</v>
      </c>
      <c r="GZ120">
        <v>12.0433</v>
      </c>
      <c r="HA120">
        <v>1</v>
      </c>
      <c r="HB120">
        <v>8.7804900000000005E-2</v>
      </c>
      <c r="HC120">
        <v>0.37848599999999999</v>
      </c>
      <c r="HD120">
        <v>20.3354</v>
      </c>
      <c r="HE120">
        <v>5.2346599999999999</v>
      </c>
      <c r="HF120">
        <v>11.974</v>
      </c>
      <c r="HG120">
        <v>4.9749999999999996</v>
      </c>
      <c r="HH120">
        <v>3.2833999999999999</v>
      </c>
      <c r="HI120">
        <v>9999</v>
      </c>
      <c r="HJ120">
        <v>9999</v>
      </c>
      <c r="HK120">
        <v>9999</v>
      </c>
      <c r="HL120">
        <v>999.9</v>
      </c>
      <c r="HM120">
        <v>1.86066</v>
      </c>
      <c r="HN120">
        <v>1.8623400000000001</v>
      </c>
      <c r="HO120">
        <v>1.86775</v>
      </c>
      <c r="HP120">
        <v>1.85833</v>
      </c>
      <c r="HQ120">
        <v>1.8568</v>
      </c>
      <c r="HR120">
        <v>1.8603799999999999</v>
      </c>
      <c r="HS120">
        <v>1.86432</v>
      </c>
      <c r="HT120">
        <v>1.8664099999999999</v>
      </c>
      <c r="HU120">
        <v>5</v>
      </c>
      <c r="HV120">
        <v>0</v>
      </c>
      <c r="HW120">
        <v>0</v>
      </c>
      <c r="HX120">
        <v>0</v>
      </c>
      <c r="HY120" t="s">
        <v>422</v>
      </c>
      <c r="HZ120" t="s">
        <v>423</v>
      </c>
      <c r="IA120" t="s">
        <v>424</v>
      </c>
      <c r="IB120" t="s">
        <v>424</v>
      </c>
      <c r="IC120" t="s">
        <v>424</v>
      </c>
      <c r="ID120" t="s">
        <v>424</v>
      </c>
      <c r="IE120">
        <v>0</v>
      </c>
      <c r="IF120">
        <v>100</v>
      </c>
      <c r="IG120">
        <v>100</v>
      </c>
      <c r="IH120">
        <v>1.9350000000000001</v>
      </c>
      <c r="II120">
        <v>0.97199999999999998</v>
      </c>
      <c r="IJ120">
        <v>1.9104104106461921</v>
      </c>
      <c r="IK120">
        <v>1.118558698776514E-3</v>
      </c>
      <c r="IL120">
        <v>-1.6939696309573479E-6</v>
      </c>
      <c r="IM120">
        <v>5.4698917449866148E-10</v>
      </c>
      <c r="IN120">
        <v>5.7106679553397988E-2</v>
      </c>
      <c r="IO120">
        <v>-7.6058941998734366E-3</v>
      </c>
      <c r="IP120">
        <v>1.6984902717538061E-3</v>
      </c>
      <c r="IQ120">
        <v>-9.6352527008986976E-6</v>
      </c>
      <c r="IR120">
        <v>2</v>
      </c>
      <c r="IS120">
        <v>2021</v>
      </c>
      <c r="IT120">
        <v>2</v>
      </c>
      <c r="IU120">
        <v>40</v>
      </c>
      <c r="IV120">
        <v>0.7</v>
      </c>
      <c r="IW120">
        <v>0.5</v>
      </c>
      <c r="IX120">
        <v>0.21606400000000001</v>
      </c>
      <c r="IY120">
        <v>2.5744600000000002</v>
      </c>
      <c r="IZ120">
        <v>1.34399</v>
      </c>
      <c r="JA120">
        <v>2.2363300000000002</v>
      </c>
      <c r="JB120">
        <v>1.5918000000000001</v>
      </c>
      <c r="JC120">
        <v>2.36206</v>
      </c>
      <c r="JD120">
        <v>37.650399999999998</v>
      </c>
      <c r="JE120">
        <v>15.9358</v>
      </c>
      <c r="JF120">
        <v>18</v>
      </c>
      <c r="JG120">
        <v>513.86</v>
      </c>
      <c r="JH120">
        <v>449.49799999999999</v>
      </c>
      <c r="JI120">
        <v>27.904199999999999</v>
      </c>
      <c r="JJ120">
        <v>28.6584</v>
      </c>
      <c r="JK120">
        <v>29.9999</v>
      </c>
      <c r="JL120">
        <v>28.561199999999999</v>
      </c>
      <c r="JM120">
        <v>28.501300000000001</v>
      </c>
      <c r="JN120">
        <v>4.3916199999999996</v>
      </c>
      <c r="JO120">
        <v>27.782</v>
      </c>
      <c r="JP120">
        <v>61.546900000000001</v>
      </c>
      <c r="JQ120">
        <v>27.91</v>
      </c>
      <c r="JR120">
        <v>30</v>
      </c>
      <c r="JS120">
        <v>22.017099999999999</v>
      </c>
      <c r="JT120">
        <v>99.608400000000003</v>
      </c>
      <c r="JU120">
        <v>98.740399999999994</v>
      </c>
    </row>
    <row r="121" spans="1:281" x14ac:dyDescent="0.25">
      <c r="A121">
        <v>105</v>
      </c>
      <c r="B121">
        <v>1693520354.5</v>
      </c>
      <c r="C121">
        <v>25427.900000095371</v>
      </c>
      <c r="D121" t="s">
        <v>948</v>
      </c>
      <c r="E121" t="s">
        <v>949</v>
      </c>
      <c r="F121" t="s">
        <v>413</v>
      </c>
      <c r="G121" t="s">
        <v>778</v>
      </c>
      <c r="H121" t="s">
        <v>494</v>
      </c>
      <c r="I121" t="s">
        <v>415</v>
      </c>
      <c r="J121">
        <v>1693520354.5</v>
      </c>
      <c r="K121">
        <f t="shared" si="138"/>
        <v>6.2548194086999073E-3</v>
      </c>
      <c r="L121">
        <f t="shared" si="139"/>
        <v>6.2548194086999072</v>
      </c>
      <c r="M121">
        <f t="shared" si="140"/>
        <v>1.1461761652244258</v>
      </c>
      <c r="N121">
        <f t="shared" si="141"/>
        <v>8.5321999999999996</v>
      </c>
      <c r="O121">
        <f t="shared" si="142"/>
        <v>4.3167674470851756</v>
      </c>
      <c r="P121">
        <f t="shared" si="143"/>
        <v>0.42989360074375704</v>
      </c>
      <c r="Q121">
        <f t="shared" si="144"/>
        <v>0.84969557087041991</v>
      </c>
      <c r="R121">
        <f t="shared" si="145"/>
        <v>0.48546636989410252</v>
      </c>
      <c r="S121">
        <f t="shared" si="146"/>
        <v>2.9388744624486578</v>
      </c>
      <c r="T121">
        <f t="shared" si="147"/>
        <v>0.44491529551098813</v>
      </c>
      <c r="U121">
        <f t="shared" si="148"/>
        <v>0.28143260171224654</v>
      </c>
      <c r="V121">
        <f t="shared" si="149"/>
        <v>344.40869964472154</v>
      </c>
      <c r="W121">
        <f t="shared" si="150"/>
        <v>31.172030693505711</v>
      </c>
      <c r="X121">
        <f t="shared" si="151"/>
        <v>30.012899999999998</v>
      </c>
      <c r="Y121">
        <f t="shared" si="152"/>
        <v>4.263607637863057</v>
      </c>
      <c r="Z121">
        <f t="shared" si="153"/>
        <v>65.446493765800412</v>
      </c>
      <c r="AA121">
        <f t="shared" si="154"/>
        <v>2.9140230033047101</v>
      </c>
      <c r="AB121">
        <f t="shared" si="155"/>
        <v>4.452527302276132</v>
      </c>
      <c r="AC121">
        <f t="shared" si="156"/>
        <v>1.3495846345583469</v>
      </c>
      <c r="AD121">
        <f t="shared" si="157"/>
        <v>-275.83753592366588</v>
      </c>
      <c r="AE121">
        <f t="shared" si="158"/>
        <v>119.93953421478601</v>
      </c>
      <c r="AF121">
        <f t="shared" si="159"/>
        <v>9.1096775477689302</v>
      </c>
      <c r="AG121">
        <f t="shared" si="160"/>
        <v>197.62037548361059</v>
      </c>
      <c r="AH121">
        <v>0</v>
      </c>
      <c r="AI121">
        <v>0</v>
      </c>
      <c r="AJ121">
        <f t="shared" si="161"/>
        <v>1</v>
      </c>
      <c r="AK121">
        <f t="shared" si="162"/>
        <v>0</v>
      </c>
      <c r="AL121">
        <f t="shared" si="163"/>
        <v>52475.936938428291</v>
      </c>
      <c r="AM121" t="s">
        <v>416</v>
      </c>
      <c r="AN121">
        <v>10366.9</v>
      </c>
      <c r="AO121">
        <v>993.59653846153856</v>
      </c>
      <c r="AP121">
        <v>3431.87</v>
      </c>
      <c r="AQ121">
        <f t="shared" si="164"/>
        <v>0.71047955241266758</v>
      </c>
      <c r="AR121">
        <v>-3.9894345373445681</v>
      </c>
      <c r="AS121" t="s">
        <v>950</v>
      </c>
      <c r="AT121">
        <v>10389.799999999999</v>
      </c>
      <c r="AU121">
        <v>750.83234615384629</v>
      </c>
      <c r="AV121">
        <v>790.58138603503141</v>
      </c>
      <c r="AW121">
        <f t="shared" si="165"/>
        <v>5.027823900653261E-2</v>
      </c>
      <c r="AX121">
        <v>0.5</v>
      </c>
      <c r="AY121">
        <f t="shared" si="166"/>
        <v>1513.3607998223608</v>
      </c>
      <c r="AZ121">
        <f t="shared" si="167"/>
        <v>1.1461761652244258</v>
      </c>
      <c r="BA121">
        <f t="shared" si="168"/>
        <v>38.044557998293008</v>
      </c>
      <c r="BB121">
        <f t="shared" si="169"/>
        <v>3.3935137629914919E-3</v>
      </c>
      <c r="BC121">
        <f t="shared" si="170"/>
        <v>3.3409446018096998</v>
      </c>
      <c r="BD121">
        <f t="shared" si="171"/>
        <v>505.06317954662347</v>
      </c>
      <c r="BE121" t="s">
        <v>951</v>
      </c>
      <c r="BF121">
        <v>604.22</v>
      </c>
      <c r="BG121">
        <f t="shared" si="172"/>
        <v>604.22</v>
      </c>
      <c r="BH121">
        <f t="shared" si="173"/>
        <v>0.23572700967534987</v>
      </c>
      <c r="BI121">
        <f t="shared" si="174"/>
        <v>0.2132901065337284</v>
      </c>
      <c r="BJ121">
        <f t="shared" si="175"/>
        <v>0.93409319186072137</v>
      </c>
      <c r="BK121">
        <f t="shared" si="176"/>
        <v>-0.19579346371978096</v>
      </c>
      <c r="BL121">
        <f t="shared" si="177"/>
        <v>1.0832618472164364</v>
      </c>
      <c r="BM121">
        <f t="shared" si="178"/>
        <v>0.17164171046968046</v>
      </c>
      <c r="BN121">
        <f t="shared" si="179"/>
        <v>0.82835828953031954</v>
      </c>
      <c r="BO121">
        <v>2357</v>
      </c>
      <c r="BP121">
        <v>290.00000000000011</v>
      </c>
      <c r="BQ121">
        <v>780.31</v>
      </c>
      <c r="BR121">
        <v>65</v>
      </c>
      <c r="BS121">
        <v>10389.799999999999</v>
      </c>
      <c r="BT121">
        <v>777.76</v>
      </c>
      <c r="BU121">
        <v>2.5499999999999998</v>
      </c>
      <c r="BV121">
        <v>300.00000000000011</v>
      </c>
      <c r="BW121">
        <v>38.4</v>
      </c>
      <c r="BX121">
        <v>790.58138603503141</v>
      </c>
      <c r="BY121">
        <v>0.8015649475343416</v>
      </c>
      <c r="BZ121">
        <v>-13.320849559779781</v>
      </c>
      <c r="CA121">
        <v>0.67965915280289491</v>
      </c>
      <c r="CB121">
        <v>0.93206075067770267</v>
      </c>
      <c r="CC121">
        <v>-1.127301779755285E-2</v>
      </c>
      <c r="CD121">
        <v>289.99999999999989</v>
      </c>
      <c r="CE121">
        <v>775.23</v>
      </c>
      <c r="CF121">
        <v>695</v>
      </c>
      <c r="CG121">
        <v>10336</v>
      </c>
      <c r="CH121">
        <v>777.69</v>
      </c>
      <c r="CI121">
        <v>-2.46</v>
      </c>
      <c r="CW121">
        <f t="shared" si="180"/>
        <v>1800.21</v>
      </c>
      <c r="CX121">
        <f t="shared" si="181"/>
        <v>1513.3607998223608</v>
      </c>
      <c r="CY121">
        <f t="shared" si="182"/>
        <v>0.84065792314361143</v>
      </c>
      <c r="CZ121">
        <f t="shared" si="183"/>
        <v>0.1913158462872229</v>
      </c>
      <c r="DA121">
        <v>6</v>
      </c>
      <c r="DB121">
        <v>0.5</v>
      </c>
      <c r="DC121" t="s">
        <v>419</v>
      </c>
      <c r="DD121">
        <v>2</v>
      </c>
      <c r="DE121">
        <v>1693520354.5</v>
      </c>
      <c r="DF121">
        <v>8.5321999999999996</v>
      </c>
      <c r="DG121">
        <v>9.9709299999999992</v>
      </c>
      <c r="DH121">
        <v>29.261099999999999</v>
      </c>
      <c r="DI121">
        <v>21.9786</v>
      </c>
      <c r="DJ121">
        <v>6.6335300000000004</v>
      </c>
      <c r="DK121">
        <v>28.2759</v>
      </c>
      <c r="DL121">
        <v>500.25099999999998</v>
      </c>
      <c r="DM121">
        <v>99.487899999999996</v>
      </c>
      <c r="DN121">
        <v>9.9026100000000006E-2</v>
      </c>
      <c r="DO121">
        <v>30.7699</v>
      </c>
      <c r="DP121">
        <v>30.012899999999998</v>
      </c>
      <c r="DQ121">
        <v>999.9</v>
      </c>
      <c r="DR121">
        <v>0</v>
      </c>
      <c r="DS121">
        <v>0</v>
      </c>
      <c r="DT121">
        <v>10105</v>
      </c>
      <c r="DU121">
        <v>0</v>
      </c>
      <c r="DV121">
        <v>241.02799999999999</v>
      </c>
      <c r="DW121">
        <v>-1.4387399999999999</v>
      </c>
      <c r="DX121">
        <v>8.7893799999999995</v>
      </c>
      <c r="DY121">
        <v>10.195</v>
      </c>
      <c r="DZ121">
        <v>7.28247</v>
      </c>
      <c r="EA121">
        <v>9.9709299999999992</v>
      </c>
      <c r="EB121">
        <v>21.9786</v>
      </c>
      <c r="EC121">
        <v>2.91113</v>
      </c>
      <c r="ED121">
        <v>2.1866099999999999</v>
      </c>
      <c r="EE121">
        <v>23.528099999999998</v>
      </c>
      <c r="EF121">
        <v>18.8645</v>
      </c>
      <c r="EG121">
        <v>1800.21</v>
      </c>
      <c r="EH121">
        <v>0.97800699999999996</v>
      </c>
      <c r="EI121">
        <v>2.1993100000000002E-2</v>
      </c>
      <c r="EJ121">
        <v>0</v>
      </c>
      <c r="EK121">
        <v>750.85699999999997</v>
      </c>
      <c r="EL121">
        <v>5.0002700000000004</v>
      </c>
      <c r="EM121">
        <v>14883.9</v>
      </c>
      <c r="EN121">
        <v>16250.6</v>
      </c>
      <c r="EO121">
        <v>49.5</v>
      </c>
      <c r="EP121">
        <v>49.625</v>
      </c>
      <c r="EQ121">
        <v>50.375</v>
      </c>
      <c r="ER121">
        <v>49.061999999999998</v>
      </c>
      <c r="ES121">
        <v>50.875</v>
      </c>
      <c r="ET121">
        <v>1755.73</v>
      </c>
      <c r="EU121">
        <v>39.479999999999997</v>
      </c>
      <c r="EV121">
        <v>0</v>
      </c>
      <c r="EW121">
        <v>108.19999980926509</v>
      </c>
      <c r="EX121">
        <v>0</v>
      </c>
      <c r="EY121">
        <v>750.83234615384629</v>
      </c>
      <c r="EZ121">
        <v>-0.74061536437084341</v>
      </c>
      <c r="FA121">
        <v>-17.343589699557882</v>
      </c>
      <c r="FB121">
        <v>14886.10384615385</v>
      </c>
      <c r="FC121">
        <v>15</v>
      </c>
      <c r="FD121">
        <v>1693520324.5</v>
      </c>
      <c r="FE121" t="s">
        <v>952</v>
      </c>
      <c r="FF121">
        <v>1693520300.5999999</v>
      </c>
      <c r="FG121">
        <v>1693520324.5</v>
      </c>
      <c r="FH121">
        <v>116</v>
      </c>
      <c r="FI121">
        <v>-1.9E-2</v>
      </c>
      <c r="FJ121">
        <v>3.0000000000000001E-3</v>
      </c>
      <c r="FK121">
        <v>1.9</v>
      </c>
      <c r="FL121">
        <v>0.57499999999999996</v>
      </c>
      <c r="FM121">
        <v>10</v>
      </c>
      <c r="FN121">
        <v>22</v>
      </c>
      <c r="FO121">
        <v>0.71</v>
      </c>
      <c r="FP121">
        <v>0.04</v>
      </c>
      <c r="FQ121">
        <v>1.2183786438841171</v>
      </c>
      <c r="FR121">
        <v>-4.7620125379734092E-3</v>
      </c>
      <c r="FS121">
        <v>4.2682238709564377E-2</v>
      </c>
      <c r="FT121">
        <v>1</v>
      </c>
      <c r="FU121">
        <v>0.48857029121905832</v>
      </c>
      <c r="FV121">
        <v>1.509349822001042E-2</v>
      </c>
      <c r="FW121">
        <v>5.5937322752086516E-3</v>
      </c>
      <c r="FX121">
        <v>1</v>
      </c>
      <c r="FY121">
        <v>2</v>
      </c>
      <c r="FZ121">
        <v>2</v>
      </c>
      <c r="GA121" t="s">
        <v>421</v>
      </c>
      <c r="GB121">
        <v>3.1182799999999999</v>
      </c>
      <c r="GC121">
        <v>2.8651200000000001</v>
      </c>
      <c r="GD121">
        <v>1.87459E-3</v>
      </c>
      <c r="GE121">
        <v>2.9042E-3</v>
      </c>
      <c r="GF121">
        <v>0.13158500000000001</v>
      </c>
      <c r="GG121">
        <v>0.112981</v>
      </c>
      <c r="GH121">
        <v>30264.1</v>
      </c>
      <c r="GI121">
        <v>23545.9</v>
      </c>
      <c r="GJ121">
        <v>29220.5</v>
      </c>
      <c r="GK121">
        <v>22002.799999999999</v>
      </c>
      <c r="GL121">
        <v>33940.800000000003</v>
      </c>
      <c r="GM121">
        <v>26833.4</v>
      </c>
      <c r="GN121">
        <v>40542.6</v>
      </c>
      <c r="GO121">
        <v>31254</v>
      </c>
      <c r="GP121">
        <v>2.0531000000000001</v>
      </c>
      <c r="GQ121">
        <v>1.8954</v>
      </c>
      <c r="GR121">
        <v>8.7693300000000002E-2</v>
      </c>
      <c r="GS121">
        <v>0</v>
      </c>
      <c r="GT121">
        <v>28.584099999999999</v>
      </c>
      <c r="GU121">
        <v>999.9</v>
      </c>
      <c r="GV121">
        <v>46.8</v>
      </c>
      <c r="GW121">
        <v>35.299999999999997</v>
      </c>
      <c r="GX121">
        <v>27.014399999999998</v>
      </c>
      <c r="GY121">
        <v>61.2117</v>
      </c>
      <c r="GZ121">
        <v>12.0753</v>
      </c>
      <c r="HA121">
        <v>1</v>
      </c>
      <c r="HB121">
        <v>8.2378099999999996E-2</v>
      </c>
      <c r="HC121">
        <v>0.34717900000000002</v>
      </c>
      <c r="HD121">
        <v>20.336099999999998</v>
      </c>
      <c r="HE121">
        <v>5.2346599999999999</v>
      </c>
      <c r="HF121">
        <v>11.974</v>
      </c>
      <c r="HG121">
        <v>4.9736000000000002</v>
      </c>
      <c r="HH121">
        <v>3.2833000000000001</v>
      </c>
      <c r="HI121">
        <v>9999</v>
      </c>
      <c r="HJ121">
        <v>9999</v>
      </c>
      <c r="HK121">
        <v>9999</v>
      </c>
      <c r="HL121">
        <v>999.9</v>
      </c>
      <c r="HM121">
        <v>1.86066</v>
      </c>
      <c r="HN121">
        <v>1.8623400000000001</v>
      </c>
      <c r="HO121">
        <v>1.86782</v>
      </c>
      <c r="HP121">
        <v>1.85826</v>
      </c>
      <c r="HQ121">
        <v>1.8567800000000001</v>
      </c>
      <c r="HR121">
        <v>1.8603799999999999</v>
      </c>
      <c r="HS121">
        <v>1.86432</v>
      </c>
      <c r="HT121">
        <v>1.86635</v>
      </c>
      <c r="HU121">
        <v>5</v>
      </c>
      <c r="HV121">
        <v>0</v>
      </c>
      <c r="HW121">
        <v>0</v>
      </c>
      <c r="HX121">
        <v>0</v>
      </c>
      <c r="HY121" t="s">
        <v>422</v>
      </c>
      <c r="HZ121" t="s">
        <v>423</v>
      </c>
      <c r="IA121" t="s">
        <v>424</v>
      </c>
      <c r="IB121" t="s">
        <v>424</v>
      </c>
      <c r="IC121" t="s">
        <v>424</v>
      </c>
      <c r="ID121" t="s">
        <v>424</v>
      </c>
      <c r="IE121">
        <v>0</v>
      </c>
      <c r="IF121">
        <v>100</v>
      </c>
      <c r="IG121">
        <v>100</v>
      </c>
      <c r="IH121">
        <v>1.899</v>
      </c>
      <c r="II121">
        <v>0.98519999999999996</v>
      </c>
      <c r="IJ121">
        <v>1.891316694531455</v>
      </c>
      <c r="IK121">
        <v>1.118558698776514E-3</v>
      </c>
      <c r="IL121">
        <v>-1.6939696309573479E-6</v>
      </c>
      <c r="IM121">
        <v>5.4698917449866148E-10</v>
      </c>
      <c r="IN121">
        <v>6.008047396566607E-2</v>
      </c>
      <c r="IO121">
        <v>-7.6058941998734366E-3</v>
      </c>
      <c r="IP121">
        <v>1.6984902717538061E-3</v>
      </c>
      <c r="IQ121">
        <v>-9.6352527008986976E-6</v>
      </c>
      <c r="IR121">
        <v>2</v>
      </c>
      <c r="IS121">
        <v>2021</v>
      </c>
      <c r="IT121">
        <v>2</v>
      </c>
      <c r="IU121">
        <v>40</v>
      </c>
      <c r="IV121">
        <v>0.9</v>
      </c>
      <c r="IW121">
        <v>0.5</v>
      </c>
      <c r="IX121">
        <v>0.17089799999999999</v>
      </c>
      <c r="IY121">
        <v>2.5915499999999998</v>
      </c>
      <c r="IZ121">
        <v>1.34399</v>
      </c>
      <c r="JA121">
        <v>2.2375500000000001</v>
      </c>
      <c r="JB121">
        <v>1.5918000000000001</v>
      </c>
      <c r="JC121">
        <v>2.2705099999999998</v>
      </c>
      <c r="JD121">
        <v>37.53</v>
      </c>
      <c r="JE121">
        <v>15.918200000000001</v>
      </c>
      <c r="JF121">
        <v>18</v>
      </c>
      <c r="JG121">
        <v>513.62900000000002</v>
      </c>
      <c r="JH121">
        <v>450.495</v>
      </c>
      <c r="JI121">
        <v>28.018999999999998</v>
      </c>
      <c r="JJ121">
        <v>28.576499999999999</v>
      </c>
      <c r="JK121">
        <v>30</v>
      </c>
      <c r="JL121">
        <v>28.488399999999999</v>
      </c>
      <c r="JM121">
        <v>28.428699999999999</v>
      </c>
      <c r="JN121">
        <v>3.5076499999999999</v>
      </c>
      <c r="JO121">
        <v>27.6906</v>
      </c>
      <c r="JP121">
        <v>61.604700000000001</v>
      </c>
      <c r="JQ121">
        <v>28.007899999999999</v>
      </c>
      <c r="JR121">
        <v>10</v>
      </c>
      <c r="JS121">
        <v>21.9373</v>
      </c>
      <c r="JT121">
        <v>99.615099999999998</v>
      </c>
      <c r="JU121">
        <v>98.755799999999994</v>
      </c>
    </row>
    <row r="122" spans="1:281" x14ac:dyDescent="0.25">
      <c r="A122">
        <v>106</v>
      </c>
      <c r="B122">
        <v>1693520544</v>
      </c>
      <c r="C122">
        <v>25617.400000095371</v>
      </c>
      <c r="D122" t="s">
        <v>953</v>
      </c>
      <c r="E122" t="s">
        <v>954</v>
      </c>
      <c r="F122" t="s">
        <v>413</v>
      </c>
      <c r="G122" t="s">
        <v>778</v>
      </c>
      <c r="H122" t="s">
        <v>494</v>
      </c>
      <c r="I122" t="s">
        <v>415</v>
      </c>
      <c r="J122">
        <v>1693520544</v>
      </c>
      <c r="K122">
        <f t="shared" si="138"/>
        <v>5.9798020513977309E-3</v>
      </c>
      <c r="L122">
        <f t="shared" si="139"/>
        <v>5.9798020513977308</v>
      </c>
      <c r="M122">
        <f t="shared" si="140"/>
        <v>37.686991175811492</v>
      </c>
      <c r="N122">
        <f t="shared" si="141"/>
        <v>352.24200000000002</v>
      </c>
      <c r="O122">
        <f t="shared" si="142"/>
        <v>204.82441660838899</v>
      </c>
      <c r="P122">
        <f t="shared" si="143"/>
        <v>20.398256183377875</v>
      </c>
      <c r="Q122">
        <f t="shared" si="144"/>
        <v>35.079423994078198</v>
      </c>
      <c r="R122">
        <f t="shared" si="145"/>
        <v>0.45878412506608668</v>
      </c>
      <c r="S122">
        <f t="shared" si="146"/>
        <v>2.9266959711754357</v>
      </c>
      <c r="T122">
        <f t="shared" si="147"/>
        <v>0.42225067435021452</v>
      </c>
      <c r="U122">
        <f t="shared" si="148"/>
        <v>0.26694620628580124</v>
      </c>
      <c r="V122">
        <f t="shared" si="149"/>
        <v>344.37059964441005</v>
      </c>
      <c r="W122">
        <f t="shared" si="150"/>
        <v>31.304541059836239</v>
      </c>
      <c r="X122">
        <f t="shared" si="151"/>
        <v>30.002300000000002</v>
      </c>
      <c r="Y122">
        <f t="shared" si="152"/>
        <v>4.2610126533337676</v>
      </c>
      <c r="Z122">
        <f t="shared" si="153"/>
        <v>64.940318117100844</v>
      </c>
      <c r="AA122">
        <f t="shared" si="154"/>
        <v>2.9013757556778499</v>
      </c>
      <c r="AB122">
        <f t="shared" si="155"/>
        <v>4.4677572266370307</v>
      </c>
      <c r="AC122">
        <f t="shared" si="156"/>
        <v>1.3596368976559177</v>
      </c>
      <c r="AD122">
        <f t="shared" si="157"/>
        <v>-263.70927046663991</v>
      </c>
      <c r="AE122">
        <f t="shared" si="158"/>
        <v>130.55050906803311</v>
      </c>
      <c r="AF122">
        <f t="shared" si="159"/>
        <v>9.9592907452563768</v>
      </c>
      <c r="AG122">
        <f t="shared" si="160"/>
        <v>221.17112899105965</v>
      </c>
      <c r="AH122">
        <v>0</v>
      </c>
      <c r="AI122">
        <v>0</v>
      </c>
      <c r="AJ122">
        <f t="shared" si="161"/>
        <v>1</v>
      </c>
      <c r="AK122">
        <f t="shared" si="162"/>
        <v>0</v>
      </c>
      <c r="AL122">
        <f t="shared" si="163"/>
        <v>52118.259401639727</v>
      </c>
      <c r="AM122" t="s">
        <v>416</v>
      </c>
      <c r="AN122">
        <v>10366.9</v>
      </c>
      <c r="AO122">
        <v>993.59653846153856</v>
      </c>
      <c r="AP122">
        <v>3431.87</v>
      </c>
      <c r="AQ122">
        <f t="shared" si="164"/>
        <v>0.71047955241266758</v>
      </c>
      <c r="AR122">
        <v>-3.9894345373445681</v>
      </c>
      <c r="AS122" t="s">
        <v>955</v>
      </c>
      <c r="AT122">
        <v>10356</v>
      </c>
      <c r="AU122">
        <v>721.19195999999999</v>
      </c>
      <c r="AV122">
        <v>966.06045295590843</v>
      </c>
      <c r="AW122">
        <f t="shared" si="165"/>
        <v>0.25347119034494248</v>
      </c>
      <c r="AX122">
        <v>0.5</v>
      </c>
      <c r="AY122">
        <f t="shared" si="166"/>
        <v>1513.185299822205</v>
      </c>
      <c r="AZ122">
        <f t="shared" si="167"/>
        <v>37.686991175811492</v>
      </c>
      <c r="BA122">
        <f t="shared" si="168"/>
        <v>191.7744395792015</v>
      </c>
      <c r="BB122">
        <f t="shared" si="169"/>
        <v>2.7542182519254534E-2</v>
      </c>
      <c r="BC122">
        <f t="shared" si="170"/>
        <v>2.5524381414220176</v>
      </c>
      <c r="BD122">
        <f t="shared" si="171"/>
        <v>571.36643631620643</v>
      </c>
      <c r="BE122" t="s">
        <v>956</v>
      </c>
      <c r="BF122">
        <v>571.91</v>
      </c>
      <c r="BG122">
        <f t="shared" si="172"/>
        <v>571.91</v>
      </c>
      <c r="BH122">
        <f t="shared" si="173"/>
        <v>0.40799771044338329</v>
      </c>
      <c r="BI122">
        <f t="shared" si="174"/>
        <v>0.62125640379081482</v>
      </c>
      <c r="BJ122">
        <f t="shared" si="175"/>
        <v>0.86218322880183329</v>
      </c>
      <c r="BK122">
        <f t="shared" si="176"/>
        <v>-8.8926399108486844</v>
      </c>
      <c r="BL122">
        <f t="shared" si="177"/>
        <v>1.0112932720385905</v>
      </c>
      <c r="BM122">
        <f t="shared" si="178"/>
        <v>0.49266044215468641</v>
      </c>
      <c r="BN122">
        <f t="shared" si="179"/>
        <v>0.50733955784531359</v>
      </c>
      <c r="BO122">
        <v>2359</v>
      </c>
      <c r="BP122">
        <v>290.00000000000011</v>
      </c>
      <c r="BQ122">
        <v>887.8</v>
      </c>
      <c r="BR122">
        <v>235</v>
      </c>
      <c r="BS122">
        <v>10356</v>
      </c>
      <c r="BT122">
        <v>885.93</v>
      </c>
      <c r="BU122">
        <v>1.87</v>
      </c>
      <c r="BV122">
        <v>300.00000000000011</v>
      </c>
      <c r="BW122">
        <v>38.4</v>
      </c>
      <c r="BX122">
        <v>966.06045295590843</v>
      </c>
      <c r="BY122">
        <v>1.178495964882267</v>
      </c>
      <c r="BZ122">
        <v>-82.98518718400544</v>
      </c>
      <c r="CA122">
        <v>0.99919481834691282</v>
      </c>
      <c r="CB122">
        <v>0.99595705499128218</v>
      </c>
      <c r="CC122">
        <v>-1.1272740823136821E-2</v>
      </c>
      <c r="CD122">
        <v>289.99999999999989</v>
      </c>
      <c r="CE122">
        <v>870.49</v>
      </c>
      <c r="CF122">
        <v>635</v>
      </c>
      <c r="CG122">
        <v>10341.200000000001</v>
      </c>
      <c r="CH122">
        <v>885.81</v>
      </c>
      <c r="CI122">
        <v>-15.32</v>
      </c>
      <c r="CW122">
        <f t="shared" si="180"/>
        <v>1800</v>
      </c>
      <c r="CX122">
        <f t="shared" si="181"/>
        <v>1513.185299822205</v>
      </c>
      <c r="CY122">
        <f t="shared" si="182"/>
        <v>0.84065849990122499</v>
      </c>
      <c r="CZ122">
        <f t="shared" si="183"/>
        <v>0.19131699980245004</v>
      </c>
      <c r="DA122">
        <v>6</v>
      </c>
      <c r="DB122">
        <v>0.5</v>
      </c>
      <c r="DC122" t="s">
        <v>419</v>
      </c>
      <c r="DD122">
        <v>2</v>
      </c>
      <c r="DE122">
        <v>1693520544</v>
      </c>
      <c r="DF122">
        <v>352.24200000000002</v>
      </c>
      <c r="DG122">
        <v>399.99599999999998</v>
      </c>
      <c r="DH122">
        <v>29.133500000000002</v>
      </c>
      <c r="DI122">
        <v>22.166499999999999</v>
      </c>
      <c r="DJ122">
        <v>349.71800000000002</v>
      </c>
      <c r="DK122">
        <v>28.155899999999999</v>
      </c>
      <c r="DL122">
        <v>499.97899999999998</v>
      </c>
      <c r="DM122">
        <v>99.489199999999997</v>
      </c>
      <c r="DN122">
        <v>9.9787100000000004E-2</v>
      </c>
      <c r="DO122">
        <v>30.829699999999999</v>
      </c>
      <c r="DP122">
        <v>30.002300000000002</v>
      </c>
      <c r="DQ122">
        <v>999.9</v>
      </c>
      <c r="DR122">
        <v>0</v>
      </c>
      <c r="DS122">
        <v>0</v>
      </c>
      <c r="DT122">
        <v>10035</v>
      </c>
      <c r="DU122">
        <v>0</v>
      </c>
      <c r="DV122">
        <v>230.99600000000001</v>
      </c>
      <c r="DW122">
        <v>-47.7545</v>
      </c>
      <c r="DX122">
        <v>362.81200000000001</v>
      </c>
      <c r="DY122">
        <v>409.06400000000002</v>
      </c>
      <c r="DZ122">
        <v>6.9670199999999998</v>
      </c>
      <c r="EA122">
        <v>399.99599999999998</v>
      </c>
      <c r="EB122">
        <v>22.166499999999999</v>
      </c>
      <c r="EC122">
        <v>2.8984700000000001</v>
      </c>
      <c r="ED122">
        <v>2.20533</v>
      </c>
      <c r="EE122">
        <v>23.4559</v>
      </c>
      <c r="EF122">
        <v>19.001100000000001</v>
      </c>
      <c r="EG122">
        <v>1800</v>
      </c>
      <c r="EH122">
        <v>0.97799000000000003</v>
      </c>
      <c r="EI122">
        <v>2.2009899999999999E-2</v>
      </c>
      <c r="EJ122">
        <v>0</v>
      </c>
      <c r="EK122">
        <v>719.83600000000001</v>
      </c>
      <c r="EL122">
        <v>5.0002700000000004</v>
      </c>
      <c r="EM122">
        <v>14315.4</v>
      </c>
      <c r="EN122">
        <v>16248.6</v>
      </c>
      <c r="EO122">
        <v>49.75</v>
      </c>
      <c r="EP122">
        <v>49.811999999999998</v>
      </c>
      <c r="EQ122">
        <v>50.625</v>
      </c>
      <c r="ER122">
        <v>49.311999999999998</v>
      </c>
      <c r="ES122">
        <v>51.125</v>
      </c>
      <c r="ET122">
        <v>1755.49</v>
      </c>
      <c r="EU122">
        <v>39.51</v>
      </c>
      <c r="EV122">
        <v>0</v>
      </c>
      <c r="EW122">
        <v>187.79999995231631</v>
      </c>
      <c r="EX122">
        <v>0</v>
      </c>
      <c r="EY122">
        <v>721.19195999999999</v>
      </c>
      <c r="EZ122">
        <v>-11.73076923391756</v>
      </c>
      <c r="FA122">
        <v>-209.46923075580051</v>
      </c>
      <c r="FB122">
        <v>14340.392</v>
      </c>
      <c r="FC122">
        <v>15</v>
      </c>
      <c r="FD122">
        <v>1693520455.5</v>
      </c>
      <c r="FE122" t="s">
        <v>957</v>
      </c>
      <c r="FF122">
        <v>1693520441.5</v>
      </c>
      <c r="FG122">
        <v>1693520455.5</v>
      </c>
      <c r="FH122">
        <v>117</v>
      </c>
      <c r="FI122">
        <v>0.42499999999999999</v>
      </c>
      <c r="FJ122">
        <v>0</v>
      </c>
      <c r="FK122">
        <v>2.528</v>
      </c>
      <c r="FL122">
        <v>0.57099999999999995</v>
      </c>
      <c r="FM122">
        <v>400</v>
      </c>
      <c r="FN122">
        <v>22</v>
      </c>
      <c r="FO122">
        <v>0.2</v>
      </c>
      <c r="FP122">
        <v>0.05</v>
      </c>
      <c r="FQ122">
        <v>37.348480826477868</v>
      </c>
      <c r="FR122">
        <v>2.6419716158994091</v>
      </c>
      <c r="FS122">
        <v>0.21313475351938549</v>
      </c>
      <c r="FT122">
        <v>0</v>
      </c>
      <c r="FU122">
        <v>0.46147765610936847</v>
      </c>
      <c r="FV122">
        <v>-1.9678395201933011E-3</v>
      </c>
      <c r="FW122">
        <v>7.2427839337830331E-4</v>
      </c>
      <c r="FX122">
        <v>1</v>
      </c>
      <c r="FY122">
        <v>1</v>
      </c>
      <c r="FZ122">
        <v>2</v>
      </c>
      <c r="GA122" t="s">
        <v>460</v>
      </c>
      <c r="GB122">
        <v>3.1180099999999999</v>
      </c>
      <c r="GC122">
        <v>2.8652500000000001</v>
      </c>
      <c r="GD122">
        <v>8.4103300000000006E-2</v>
      </c>
      <c r="GE122">
        <v>9.5835100000000006E-2</v>
      </c>
      <c r="GF122">
        <v>0.13123199999999999</v>
      </c>
      <c r="GG122">
        <v>0.113687</v>
      </c>
      <c r="GH122">
        <v>27773.8</v>
      </c>
      <c r="GI122">
        <v>21355</v>
      </c>
      <c r="GJ122">
        <v>29223.3</v>
      </c>
      <c r="GK122">
        <v>22006.5</v>
      </c>
      <c r="GL122">
        <v>33965.5</v>
      </c>
      <c r="GM122">
        <v>26821.9</v>
      </c>
      <c r="GN122">
        <v>40546.800000000003</v>
      </c>
      <c r="GO122">
        <v>31257.1</v>
      </c>
      <c r="GP122">
        <v>2.0552000000000001</v>
      </c>
      <c r="GQ122">
        <v>1.9013</v>
      </c>
      <c r="GR122">
        <v>0.10058300000000001</v>
      </c>
      <c r="GS122">
        <v>0</v>
      </c>
      <c r="GT122">
        <v>28.363299999999999</v>
      </c>
      <c r="GU122">
        <v>999.9</v>
      </c>
      <c r="GV122">
        <v>47</v>
      </c>
      <c r="GW122">
        <v>35</v>
      </c>
      <c r="GX122">
        <v>26.684699999999999</v>
      </c>
      <c r="GY122">
        <v>61.831800000000001</v>
      </c>
      <c r="GZ122">
        <v>12.4519</v>
      </c>
      <c r="HA122">
        <v>1</v>
      </c>
      <c r="HB122">
        <v>7.3323200000000005E-2</v>
      </c>
      <c r="HC122">
        <v>0.116122</v>
      </c>
      <c r="HD122">
        <v>20.336300000000001</v>
      </c>
      <c r="HE122">
        <v>5.2346599999999999</v>
      </c>
      <c r="HF122">
        <v>11.974</v>
      </c>
      <c r="HG122">
        <v>4.9749999999999996</v>
      </c>
      <c r="HH122">
        <v>3.2833000000000001</v>
      </c>
      <c r="HI122">
        <v>9999</v>
      </c>
      <c r="HJ122">
        <v>9999</v>
      </c>
      <c r="HK122">
        <v>9999</v>
      </c>
      <c r="HL122">
        <v>999.9</v>
      </c>
      <c r="HM122">
        <v>1.8606400000000001</v>
      </c>
      <c r="HN122">
        <v>1.8623400000000001</v>
      </c>
      <c r="HO122">
        <v>1.86774</v>
      </c>
      <c r="HP122">
        <v>1.8582799999999999</v>
      </c>
      <c r="HQ122">
        <v>1.85673</v>
      </c>
      <c r="HR122">
        <v>1.8603499999999999</v>
      </c>
      <c r="HS122">
        <v>1.86432</v>
      </c>
      <c r="HT122">
        <v>1.86636</v>
      </c>
      <c r="HU122">
        <v>5</v>
      </c>
      <c r="HV122">
        <v>0</v>
      </c>
      <c r="HW122">
        <v>0</v>
      </c>
      <c r="HX122">
        <v>0</v>
      </c>
      <c r="HY122" t="s">
        <v>422</v>
      </c>
      <c r="HZ122" t="s">
        <v>423</v>
      </c>
      <c r="IA122" t="s">
        <v>424</v>
      </c>
      <c r="IB122" t="s">
        <v>424</v>
      </c>
      <c r="IC122" t="s">
        <v>424</v>
      </c>
      <c r="ID122" t="s">
        <v>424</v>
      </c>
      <c r="IE122">
        <v>0</v>
      </c>
      <c r="IF122">
        <v>100</v>
      </c>
      <c r="IG122">
        <v>100</v>
      </c>
      <c r="IH122">
        <v>2.524</v>
      </c>
      <c r="II122">
        <v>0.97760000000000002</v>
      </c>
      <c r="IJ122">
        <v>2.3163707740820452</v>
      </c>
      <c r="IK122">
        <v>1.118558698776514E-3</v>
      </c>
      <c r="IL122">
        <v>-1.6939696309573479E-6</v>
      </c>
      <c r="IM122">
        <v>5.4698917449866148E-10</v>
      </c>
      <c r="IN122">
        <v>6.0359744198846037E-2</v>
      </c>
      <c r="IO122">
        <v>-7.6058941998734366E-3</v>
      </c>
      <c r="IP122">
        <v>1.6984902717538061E-3</v>
      </c>
      <c r="IQ122">
        <v>-9.6352527008986976E-6</v>
      </c>
      <c r="IR122">
        <v>2</v>
      </c>
      <c r="IS122">
        <v>2021</v>
      </c>
      <c r="IT122">
        <v>2</v>
      </c>
      <c r="IU122">
        <v>40</v>
      </c>
      <c r="IV122">
        <v>1.7</v>
      </c>
      <c r="IW122">
        <v>1.5</v>
      </c>
      <c r="IX122">
        <v>1.03271</v>
      </c>
      <c r="IY122">
        <v>2.50122</v>
      </c>
      <c r="IZ122">
        <v>1.34399</v>
      </c>
      <c r="JA122">
        <v>2.2375500000000001</v>
      </c>
      <c r="JB122">
        <v>1.5918000000000001</v>
      </c>
      <c r="JC122">
        <v>2.47925</v>
      </c>
      <c r="JD122">
        <v>37.265900000000002</v>
      </c>
      <c r="JE122">
        <v>15.900700000000001</v>
      </c>
      <c r="JF122">
        <v>18</v>
      </c>
      <c r="JG122">
        <v>513.88300000000004</v>
      </c>
      <c r="JH122">
        <v>453.37900000000002</v>
      </c>
      <c r="JI122">
        <v>28.1983</v>
      </c>
      <c r="JJ122">
        <v>28.460799999999999</v>
      </c>
      <c r="JK122">
        <v>30</v>
      </c>
      <c r="JL122">
        <v>28.3706</v>
      </c>
      <c r="JM122">
        <v>28.318000000000001</v>
      </c>
      <c r="JN122">
        <v>20.756399999999999</v>
      </c>
      <c r="JO122">
        <v>24.9087</v>
      </c>
      <c r="JP122">
        <v>61.883000000000003</v>
      </c>
      <c r="JQ122">
        <v>28.1981</v>
      </c>
      <c r="JR122">
        <v>400</v>
      </c>
      <c r="JS122">
        <v>22.2395</v>
      </c>
      <c r="JT122">
        <v>99.625100000000003</v>
      </c>
      <c r="JU122">
        <v>98.768299999999996</v>
      </c>
    </row>
    <row r="123" spans="1:281" x14ac:dyDescent="0.25">
      <c r="A123">
        <v>107</v>
      </c>
      <c r="B123">
        <v>1693520733.5</v>
      </c>
      <c r="C123">
        <v>25806.900000095371</v>
      </c>
      <c r="D123" t="s">
        <v>958</v>
      </c>
      <c r="E123" t="s">
        <v>959</v>
      </c>
      <c r="F123" t="s">
        <v>413</v>
      </c>
      <c r="G123" t="s">
        <v>778</v>
      </c>
      <c r="H123" t="s">
        <v>494</v>
      </c>
      <c r="I123" t="s">
        <v>415</v>
      </c>
      <c r="J123">
        <v>1693520733.5</v>
      </c>
      <c r="K123">
        <f t="shared" si="138"/>
        <v>5.5362430528467258E-3</v>
      </c>
      <c r="L123">
        <f t="shared" si="139"/>
        <v>5.5362430528467259</v>
      </c>
      <c r="M123">
        <f t="shared" si="140"/>
        <v>43.757420300810161</v>
      </c>
      <c r="N123">
        <f t="shared" si="141"/>
        <v>345.22199999999998</v>
      </c>
      <c r="O123">
        <f t="shared" si="142"/>
        <v>162.16670200179681</v>
      </c>
      <c r="P123">
        <f t="shared" si="143"/>
        <v>16.150003890620166</v>
      </c>
      <c r="Q123">
        <f t="shared" si="144"/>
        <v>34.380280133377198</v>
      </c>
      <c r="R123">
        <f t="shared" si="145"/>
        <v>0.42162590516007986</v>
      </c>
      <c r="S123">
        <f t="shared" si="146"/>
        <v>2.9293154457069779</v>
      </c>
      <c r="T123">
        <f t="shared" si="147"/>
        <v>0.39058163739207652</v>
      </c>
      <c r="U123">
        <f t="shared" si="148"/>
        <v>0.24671197382950719</v>
      </c>
      <c r="V123">
        <f t="shared" si="149"/>
        <v>344.37949964450996</v>
      </c>
      <c r="W123">
        <f t="shared" si="150"/>
        <v>31.381471337088701</v>
      </c>
      <c r="X123">
        <f t="shared" si="151"/>
        <v>30.014900000000001</v>
      </c>
      <c r="Y123">
        <f t="shared" si="152"/>
        <v>4.2640974120021067</v>
      </c>
      <c r="Z123">
        <f t="shared" si="153"/>
        <v>65.123463102008316</v>
      </c>
      <c r="AA123">
        <f t="shared" si="154"/>
        <v>2.9032854008270195</v>
      </c>
      <c r="AB123">
        <f t="shared" si="155"/>
        <v>4.4581250175215059</v>
      </c>
      <c r="AC123">
        <f t="shared" si="156"/>
        <v>1.3608120111750872</v>
      </c>
      <c r="AD123">
        <f t="shared" si="157"/>
        <v>-244.14831863054062</v>
      </c>
      <c r="AE123">
        <f t="shared" si="158"/>
        <v>122.70792259805734</v>
      </c>
      <c r="AF123">
        <f t="shared" si="159"/>
        <v>9.3514662727055828</v>
      </c>
      <c r="AG123">
        <f t="shared" si="160"/>
        <v>232.29056988473226</v>
      </c>
      <c r="AH123">
        <v>0</v>
      </c>
      <c r="AI123">
        <v>0</v>
      </c>
      <c r="AJ123">
        <f t="shared" si="161"/>
        <v>1</v>
      </c>
      <c r="AK123">
        <f t="shared" si="162"/>
        <v>0</v>
      </c>
      <c r="AL123">
        <f t="shared" si="163"/>
        <v>52199.392321200037</v>
      </c>
      <c r="AM123" t="s">
        <v>416</v>
      </c>
      <c r="AN123">
        <v>10366.9</v>
      </c>
      <c r="AO123">
        <v>993.59653846153856</v>
      </c>
      <c r="AP123">
        <v>3431.87</v>
      </c>
      <c r="AQ123">
        <f t="shared" si="164"/>
        <v>0.71047955241266758</v>
      </c>
      <c r="AR123">
        <v>-3.9894345373445681</v>
      </c>
      <c r="AS123" t="s">
        <v>960</v>
      </c>
      <c r="AT123">
        <v>10368.1</v>
      </c>
      <c r="AU123">
        <v>727.49159999999983</v>
      </c>
      <c r="AV123">
        <v>1015.466078179992</v>
      </c>
      <c r="AW123">
        <f t="shared" si="165"/>
        <v>0.2835884766294956</v>
      </c>
      <c r="AX123">
        <v>0.5</v>
      </c>
      <c r="AY123">
        <f t="shared" si="166"/>
        <v>1513.226999822255</v>
      </c>
      <c r="AZ123">
        <f t="shared" si="167"/>
        <v>43.757420300810161</v>
      </c>
      <c r="BA123">
        <f t="shared" si="168"/>
        <v>214.56686983710765</v>
      </c>
      <c r="BB123">
        <f t="shared" si="169"/>
        <v>3.1553002189204343E-2</v>
      </c>
      <c r="BC123">
        <f t="shared" si="170"/>
        <v>2.379600829356014</v>
      </c>
      <c r="BD123">
        <f t="shared" si="171"/>
        <v>588.29485736499566</v>
      </c>
      <c r="BE123" t="s">
        <v>961</v>
      </c>
      <c r="BF123">
        <v>578.92999999999995</v>
      </c>
      <c r="BG123">
        <f t="shared" si="172"/>
        <v>578.92999999999995</v>
      </c>
      <c r="BH123">
        <f t="shared" si="173"/>
        <v>0.42988740595096053</v>
      </c>
      <c r="BI123">
        <f t="shared" si="174"/>
        <v>0.65968082038171161</v>
      </c>
      <c r="BJ123">
        <f t="shared" si="175"/>
        <v>0.84698729094197833</v>
      </c>
      <c r="BK123">
        <f t="shared" si="176"/>
        <v>13.167834434896696</v>
      </c>
      <c r="BL123">
        <f t="shared" si="177"/>
        <v>0.99103072724883989</v>
      </c>
      <c r="BM123">
        <f t="shared" si="178"/>
        <v>0.52496691005584717</v>
      </c>
      <c r="BN123">
        <f t="shared" si="179"/>
        <v>0.47503308994415283</v>
      </c>
      <c r="BO123">
        <v>2361</v>
      </c>
      <c r="BP123">
        <v>290.00000000000011</v>
      </c>
      <c r="BQ123">
        <v>932.31</v>
      </c>
      <c r="BR123">
        <v>155</v>
      </c>
      <c r="BS123">
        <v>10368.1</v>
      </c>
      <c r="BT123">
        <v>930.02</v>
      </c>
      <c r="BU123">
        <v>2.29</v>
      </c>
      <c r="BV123">
        <v>300.00000000000011</v>
      </c>
      <c r="BW123">
        <v>38.4</v>
      </c>
      <c r="BX123">
        <v>1015.466078179992</v>
      </c>
      <c r="BY123">
        <v>1.4360381221183001</v>
      </c>
      <c r="BZ123">
        <v>-88.587352443638025</v>
      </c>
      <c r="CA123">
        <v>1.217404585213963</v>
      </c>
      <c r="CB123">
        <v>0.99473990011440538</v>
      </c>
      <c r="CC123">
        <v>-1.127179777530591E-2</v>
      </c>
      <c r="CD123">
        <v>289.99999999999989</v>
      </c>
      <c r="CE123">
        <v>919.39</v>
      </c>
      <c r="CF123">
        <v>645</v>
      </c>
      <c r="CG123">
        <v>10338.9</v>
      </c>
      <c r="CH123">
        <v>929.78</v>
      </c>
      <c r="CI123">
        <v>-10.39</v>
      </c>
      <c r="CW123">
        <f t="shared" si="180"/>
        <v>1800.05</v>
      </c>
      <c r="CX123">
        <f t="shared" si="181"/>
        <v>1513.226999822255</v>
      </c>
      <c r="CY123">
        <f t="shared" si="182"/>
        <v>0.84065831494805976</v>
      </c>
      <c r="CZ123">
        <f t="shared" si="183"/>
        <v>0.19131662989611953</v>
      </c>
      <c r="DA123">
        <v>6</v>
      </c>
      <c r="DB123">
        <v>0.5</v>
      </c>
      <c r="DC123" t="s">
        <v>419</v>
      </c>
      <c r="DD123">
        <v>2</v>
      </c>
      <c r="DE123">
        <v>1693520733.5</v>
      </c>
      <c r="DF123">
        <v>345.22199999999998</v>
      </c>
      <c r="DG123">
        <v>400.02</v>
      </c>
      <c r="DH123">
        <v>29.152699999999999</v>
      </c>
      <c r="DI123">
        <v>22.703399999999998</v>
      </c>
      <c r="DJ123">
        <v>342.66699999999997</v>
      </c>
      <c r="DK123">
        <v>28.159800000000001</v>
      </c>
      <c r="DL123">
        <v>500.04</v>
      </c>
      <c r="DM123">
        <v>99.489199999999997</v>
      </c>
      <c r="DN123">
        <v>9.9702600000000002E-2</v>
      </c>
      <c r="DO123">
        <v>30.791899999999998</v>
      </c>
      <c r="DP123">
        <v>30.014900000000001</v>
      </c>
      <c r="DQ123">
        <v>999.9</v>
      </c>
      <c r="DR123">
        <v>0</v>
      </c>
      <c r="DS123">
        <v>0</v>
      </c>
      <c r="DT123">
        <v>10050</v>
      </c>
      <c r="DU123">
        <v>0</v>
      </c>
      <c r="DV123">
        <v>220.10499999999999</v>
      </c>
      <c r="DW123">
        <v>-54.797600000000003</v>
      </c>
      <c r="DX123">
        <v>355.58800000000002</v>
      </c>
      <c r="DY123">
        <v>409.31200000000001</v>
      </c>
      <c r="DZ123">
        <v>6.4493299999999998</v>
      </c>
      <c r="EA123">
        <v>400.02</v>
      </c>
      <c r="EB123">
        <v>22.703399999999998</v>
      </c>
      <c r="EC123">
        <v>2.9003800000000002</v>
      </c>
      <c r="ED123">
        <v>2.25874</v>
      </c>
      <c r="EE123">
        <v>23.466799999999999</v>
      </c>
      <c r="EF123">
        <v>19.385100000000001</v>
      </c>
      <c r="EG123">
        <v>1800.05</v>
      </c>
      <c r="EH123">
        <v>0.97799400000000003</v>
      </c>
      <c r="EI123">
        <v>2.20062E-2</v>
      </c>
      <c r="EJ123">
        <v>0</v>
      </c>
      <c r="EK123">
        <v>728.17</v>
      </c>
      <c r="EL123">
        <v>5.0002700000000004</v>
      </c>
      <c r="EM123">
        <v>14382.3</v>
      </c>
      <c r="EN123">
        <v>16249</v>
      </c>
      <c r="EO123">
        <v>49.936999999999998</v>
      </c>
      <c r="EP123">
        <v>50</v>
      </c>
      <c r="EQ123">
        <v>50.811999999999998</v>
      </c>
      <c r="ER123">
        <v>49.5</v>
      </c>
      <c r="ES123">
        <v>51.25</v>
      </c>
      <c r="ET123">
        <v>1755.55</v>
      </c>
      <c r="EU123">
        <v>39.5</v>
      </c>
      <c r="EV123">
        <v>0</v>
      </c>
      <c r="EW123">
        <v>187.79999995231631</v>
      </c>
      <c r="EX123">
        <v>0</v>
      </c>
      <c r="EY123">
        <v>727.49159999999983</v>
      </c>
      <c r="EZ123">
        <v>8.3226922972685724</v>
      </c>
      <c r="FA123">
        <v>2.584615964121356</v>
      </c>
      <c r="FB123">
        <v>14367.06</v>
      </c>
      <c r="FC123">
        <v>15</v>
      </c>
      <c r="FD123">
        <v>1693520614.5</v>
      </c>
      <c r="FE123" t="s">
        <v>962</v>
      </c>
      <c r="FF123">
        <v>1693520612.5</v>
      </c>
      <c r="FG123">
        <v>1693520614.5</v>
      </c>
      <c r="FH123">
        <v>118</v>
      </c>
      <c r="FI123">
        <v>3.2000000000000001E-2</v>
      </c>
      <c r="FJ123">
        <v>1.4999999999999999E-2</v>
      </c>
      <c r="FK123">
        <v>2.56</v>
      </c>
      <c r="FL123">
        <v>0.61099999999999999</v>
      </c>
      <c r="FM123">
        <v>400</v>
      </c>
      <c r="FN123">
        <v>22</v>
      </c>
      <c r="FO123">
        <v>0.17</v>
      </c>
      <c r="FP123">
        <v>0.03</v>
      </c>
      <c r="FQ123">
        <v>43.489223356824567</v>
      </c>
      <c r="FR123">
        <v>1.7397393426799841</v>
      </c>
      <c r="FS123">
        <v>0.15274602210975349</v>
      </c>
      <c r="FT123">
        <v>0</v>
      </c>
      <c r="FU123">
        <v>0.41980119076418759</v>
      </c>
      <c r="FV123">
        <v>3.5975834401849099E-3</v>
      </c>
      <c r="FW123">
        <v>7.8640692286345592E-4</v>
      </c>
      <c r="FX123">
        <v>1</v>
      </c>
      <c r="FY123">
        <v>1</v>
      </c>
      <c r="FZ123">
        <v>2</v>
      </c>
      <c r="GA123" t="s">
        <v>460</v>
      </c>
      <c r="GB123">
        <v>3.11822</v>
      </c>
      <c r="GC123">
        <v>2.8652899999999999</v>
      </c>
      <c r="GD123">
        <v>8.2771300000000006E-2</v>
      </c>
      <c r="GE123">
        <v>9.5865900000000004E-2</v>
      </c>
      <c r="GF123">
        <v>0.131272</v>
      </c>
      <c r="GG123">
        <v>0.11562799999999999</v>
      </c>
      <c r="GH123">
        <v>27816.3</v>
      </c>
      <c r="GI123">
        <v>21356.7</v>
      </c>
      <c r="GJ123">
        <v>29225.1</v>
      </c>
      <c r="GK123">
        <v>22008.799999999999</v>
      </c>
      <c r="GL123">
        <v>33965.599999999999</v>
      </c>
      <c r="GM123">
        <v>26766.3</v>
      </c>
      <c r="GN123">
        <v>40550.199999999997</v>
      </c>
      <c r="GO123">
        <v>31260.799999999999</v>
      </c>
      <c r="GP123">
        <v>2.0565000000000002</v>
      </c>
      <c r="GQ123">
        <v>1.9038999999999999</v>
      </c>
      <c r="GR123">
        <v>0.107437</v>
      </c>
      <c r="GS123">
        <v>0</v>
      </c>
      <c r="GT123">
        <v>28.264099999999999</v>
      </c>
      <c r="GU123">
        <v>999.9</v>
      </c>
      <c r="GV123">
        <v>47.8</v>
      </c>
      <c r="GW123">
        <v>34.700000000000003</v>
      </c>
      <c r="GX123">
        <v>26.688199999999998</v>
      </c>
      <c r="GY123">
        <v>61.741799999999998</v>
      </c>
      <c r="GZ123">
        <v>12.103400000000001</v>
      </c>
      <c r="HA123">
        <v>1</v>
      </c>
      <c r="HB123">
        <v>6.8993899999999997E-2</v>
      </c>
      <c r="HC123">
        <v>0.57577299999999998</v>
      </c>
      <c r="HD123">
        <v>20.3352</v>
      </c>
      <c r="HE123">
        <v>5.2352600000000002</v>
      </c>
      <c r="HF123">
        <v>11.974</v>
      </c>
      <c r="HG123">
        <v>4.9753999999999996</v>
      </c>
      <c r="HH123">
        <v>3.2833000000000001</v>
      </c>
      <c r="HI123">
        <v>9999</v>
      </c>
      <c r="HJ123">
        <v>9999</v>
      </c>
      <c r="HK123">
        <v>9999</v>
      </c>
      <c r="HL123">
        <v>999.9</v>
      </c>
      <c r="HM123">
        <v>1.8606400000000001</v>
      </c>
      <c r="HN123">
        <v>1.8623099999999999</v>
      </c>
      <c r="HO123">
        <v>1.86775</v>
      </c>
      <c r="HP123">
        <v>1.85822</v>
      </c>
      <c r="HQ123">
        <v>1.85669</v>
      </c>
      <c r="HR123">
        <v>1.8603499999999999</v>
      </c>
      <c r="HS123">
        <v>1.86429</v>
      </c>
      <c r="HT123">
        <v>1.8663000000000001</v>
      </c>
      <c r="HU123">
        <v>5</v>
      </c>
      <c r="HV123">
        <v>0</v>
      </c>
      <c r="HW123">
        <v>0</v>
      </c>
      <c r="HX123">
        <v>0</v>
      </c>
      <c r="HY123" t="s">
        <v>422</v>
      </c>
      <c r="HZ123" t="s">
        <v>423</v>
      </c>
      <c r="IA123" t="s">
        <v>424</v>
      </c>
      <c r="IB123" t="s">
        <v>424</v>
      </c>
      <c r="IC123" t="s">
        <v>424</v>
      </c>
      <c r="ID123" t="s">
        <v>424</v>
      </c>
      <c r="IE123">
        <v>0</v>
      </c>
      <c r="IF123">
        <v>100</v>
      </c>
      <c r="IG123">
        <v>100</v>
      </c>
      <c r="IH123">
        <v>2.5550000000000002</v>
      </c>
      <c r="II123">
        <v>0.9929</v>
      </c>
      <c r="IJ123">
        <v>2.348571814942761</v>
      </c>
      <c r="IK123">
        <v>1.118558698776514E-3</v>
      </c>
      <c r="IL123">
        <v>-1.6939696309573479E-6</v>
      </c>
      <c r="IM123">
        <v>5.4698917449866148E-10</v>
      </c>
      <c r="IN123">
        <v>7.5373183262433141E-2</v>
      </c>
      <c r="IO123">
        <v>-7.6058941998734366E-3</v>
      </c>
      <c r="IP123">
        <v>1.6984902717538061E-3</v>
      </c>
      <c r="IQ123">
        <v>-9.6352527008986976E-6</v>
      </c>
      <c r="IR123">
        <v>2</v>
      </c>
      <c r="IS123">
        <v>2021</v>
      </c>
      <c r="IT123">
        <v>2</v>
      </c>
      <c r="IU123">
        <v>40</v>
      </c>
      <c r="IV123">
        <v>2</v>
      </c>
      <c r="IW123">
        <v>2</v>
      </c>
      <c r="IX123">
        <v>1.03271</v>
      </c>
      <c r="IY123">
        <v>2.5097700000000001</v>
      </c>
      <c r="IZ123">
        <v>1.34399</v>
      </c>
      <c r="JA123">
        <v>2.2375500000000001</v>
      </c>
      <c r="JB123">
        <v>1.5918000000000001</v>
      </c>
      <c r="JC123">
        <v>2.4584999999999999</v>
      </c>
      <c r="JD123">
        <v>37.027000000000001</v>
      </c>
      <c r="JE123">
        <v>15.874499999999999</v>
      </c>
      <c r="JF123">
        <v>18</v>
      </c>
      <c r="JG123">
        <v>513.9</v>
      </c>
      <c r="JH123">
        <v>454.32</v>
      </c>
      <c r="JI123">
        <v>27.821000000000002</v>
      </c>
      <c r="JJ123">
        <v>28.380800000000001</v>
      </c>
      <c r="JK123">
        <v>30</v>
      </c>
      <c r="JL123">
        <v>28.283200000000001</v>
      </c>
      <c r="JM123">
        <v>28.2316</v>
      </c>
      <c r="JN123">
        <v>20.7501</v>
      </c>
      <c r="JO123">
        <v>23.6374</v>
      </c>
      <c r="JP123">
        <v>63.437800000000003</v>
      </c>
      <c r="JQ123">
        <v>27.81</v>
      </c>
      <c r="JR123">
        <v>400</v>
      </c>
      <c r="JS123">
        <v>22.694600000000001</v>
      </c>
      <c r="JT123">
        <v>99.632599999999996</v>
      </c>
      <c r="JU123">
        <v>98.779600000000002</v>
      </c>
    </row>
    <row r="124" spans="1:281" x14ac:dyDescent="0.25">
      <c r="A124">
        <v>108</v>
      </c>
      <c r="B124">
        <v>1693520858.5</v>
      </c>
      <c r="C124">
        <v>25931.900000095371</v>
      </c>
      <c r="D124" t="s">
        <v>963</v>
      </c>
      <c r="E124" t="s">
        <v>964</v>
      </c>
      <c r="F124" t="s">
        <v>413</v>
      </c>
      <c r="G124" t="s">
        <v>778</v>
      </c>
      <c r="H124" t="s">
        <v>494</v>
      </c>
      <c r="I124" t="s">
        <v>415</v>
      </c>
      <c r="J124">
        <v>1693520858.5</v>
      </c>
      <c r="K124">
        <f t="shared" si="138"/>
        <v>5.3733385651124769E-3</v>
      </c>
      <c r="L124">
        <f t="shared" si="139"/>
        <v>5.3733385651124772</v>
      </c>
      <c r="M124">
        <f t="shared" si="140"/>
        <v>46.189853695271893</v>
      </c>
      <c r="N124">
        <f t="shared" si="141"/>
        <v>441.79899999999998</v>
      </c>
      <c r="O124">
        <f t="shared" si="142"/>
        <v>239.70428984460796</v>
      </c>
      <c r="P124">
        <f t="shared" si="143"/>
        <v>23.872361429074289</v>
      </c>
      <c r="Q124">
        <f t="shared" si="144"/>
        <v>43.999151679098894</v>
      </c>
      <c r="R124">
        <f t="shared" si="145"/>
        <v>0.40513877049998726</v>
      </c>
      <c r="S124">
        <f t="shared" si="146"/>
        <v>2.9214824920336371</v>
      </c>
      <c r="T124">
        <f t="shared" si="147"/>
        <v>0.37631499470280139</v>
      </c>
      <c r="U124">
        <f t="shared" si="148"/>
        <v>0.23761546065770286</v>
      </c>
      <c r="V124">
        <f t="shared" si="149"/>
        <v>344.39279964452373</v>
      </c>
      <c r="W124">
        <f t="shared" si="150"/>
        <v>31.387597586093236</v>
      </c>
      <c r="X124">
        <f t="shared" si="151"/>
        <v>29.999099999999999</v>
      </c>
      <c r="Y124">
        <f t="shared" si="152"/>
        <v>4.2602295323143267</v>
      </c>
      <c r="Z124">
        <f t="shared" si="153"/>
        <v>64.948274022346993</v>
      </c>
      <c r="AA124">
        <f t="shared" si="154"/>
        <v>2.8892310515921</v>
      </c>
      <c r="AB124">
        <f t="shared" si="155"/>
        <v>4.4485109036122985</v>
      </c>
      <c r="AC124">
        <f t="shared" si="156"/>
        <v>1.3709984807222266</v>
      </c>
      <c r="AD124">
        <f t="shared" si="157"/>
        <v>-236.96423072146024</v>
      </c>
      <c r="AE124">
        <f t="shared" si="158"/>
        <v>118.91473790344106</v>
      </c>
      <c r="AF124">
        <f t="shared" si="159"/>
        <v>9.0842800599962459</v>
      </c>
      <c r="AG124">
        <f t="shared" si="160"/>
        <v>235.42758688650076</v>
      </c>
      <c r="AH124">
        <v>0</v>
      </c>
      <c r="AI124">
        <v>0</v>
      </c>
      <c r="AJ124">
        <f t="shared" si="161"/>
        <v>1</v>
      </c>
      <c r="AK124">
        <f t="shared" si="162"/>
        <v>0</v>
      </c>
      <c r="AL124">
        <f t="shared" si="163"/>
        <v>51982.8109932597</v>
      </c>
      <c r="AM124" t="s">
        <v>416</v>
      </c>
      <c r="AN124">
        <v>10366.9</v>
      </c>
      <c r="AO124">
        <v>993.59653846153856</v>
      </c>
      <c r="AP124">
        <v>3431.87</v>
      </c>
      <c r="AQ124">
        <f t="shared" si="164"/>
        <v>0.71047955241266758</v>
      </c>
      <c r="AR124">
        <v>-3.9894345373445681</v>
      </c>
      <c r="AS124" t="s">
        <v>965</v>
      </c>
      <c r="AT124">
        <v>10367.200000000001</v>
      </c>
      <c r="AU124">
        <v>743.23192000000006</v>
      </c>
      <c r="AV124">
        <v>1062.2816478810139</v>
      </c>
      <c r="AW124">
        <f t="shared" si="165"/>
        <v>0.30034381984988467</v>
      </c>
      <c r="AX124">
        <v>0.5</v>
      </c>
      <c r="AY124">
        <f t="shared" si="166"/>
        <v>1513.2857998222619</v>
      </c>
      <c r="AZ124">
        <f t="shared" si="167"/>
        <v>46.189853695271893</v>
      </c>
      <c r="BA124">
        <f t="shared" si="168"/>
        <v>227.25301882160304</v>
      </c>
      <c r="BB124">
        <f t="shared" si="169"/>
        <v>3.3159161500431779E-2</v>
      </c>
      <c r="BC124">
        <f t="shared" si="170"/>
        <v>2.2306592200342745</v>
      </c>
      <c r="BD124">
        <f t="shared" si="171"/>
        <v>603.70858270230485</v>
      </c>
      <c r="BE124" t="s">
        <v>966</v>
      </c>
      <c r="BF124">
        <v>584.30999999999995</v>
      </c>
      <c r="BG124">
        <f t="shared" si="172"/>
        <v>584.30999999999995</v>
      </c>
      <c r="BH124">
        <f t="shared" si="173"/>
        <v>0.44994813648004539</v>
      </c>
      <c r="BI124">
        <f t="shared" si="174"/>
        <v>0.66750764254627493</v>
      </c>
      <c r="BJ124">
        <f t="shared" si="175"/>
        <v>0.83214694409213019</v>
      </c>
      <c r="BK124">
        <f t="shared" si="176"/>
        <v>4.6451076598350554</v>
      </c>
      <c r="BL124">
        <f t="shared" si="177"/>
        <v>0.97183043226983346</v>
      </c>
      <c r="BM124">
        <f t="shared" si="178"/>
        <v>0.52477750231208287</v>
      </c>
      <c r="BN124">
        <f t="shared" si="179"/>
        <v>0.47522249768791713</v>
      </c>
      <c r="BO124">
        <v>2363</v>
      </c>
      <c r="BP124">
        <v>290.00000000000011</v>
      </c>
      <c r="BQ124">
        <v>970.19</v>
      </c>
      <c r="BR124">
        <v>155</v>
      </c>
      <c r="BS124">
        <v>10367.200000000001</v>
      </c>
      <c r="BT124">
        <v>968.01</v>
      </c>
      <c r="BU124">
        <v>2.1800000000000002</v>
      </c>
      <c r="BV124">
        <v>300.00000000000011</v>
      </c>
      <c r="BW124">
        <v>38.4</v>
      </c>
      <c r="BX124">
        <v>1062.2816478810139</v>
      </c>
      <c r="BY124">
        <v>1.300553585399475</v>
      </c>
      <c r="BZ124">
        <v>-97.731868600321775</v>
      </c>
      <c r="CA124">
        <v>1.102440495170542</v>
      </c>
      <c r="CB124">
        <v>0.9964498118423698</v>
      </c>
      <c r="CC124">
        <v>-1.1270981535038929E-2</v>
      </c>
      <c r="CD124">
        <v>289.99999999999989</v>
      </c>
      <c r="CE124">
        <v>955.67</v>
      </c>
      <c r="CF124">
        <v>625</v>
      </c>
      <c r="CG124">
        <v>10340.1</v>
      </c>
      <c r="CH124">
        <v>967.76</v>
      </c>
      <c r="CI124">
        <v>-12.09</v>
      </c>
      <c r="CW124">
        <f t="shared" si="180"/>
        <v>1800.12</v>
      </c>
      <c r="CX124">
        <f t="shared" si="181"/>
        <v>1513.2857998222619</v>
      </c>
      <c r="CY124">
        <f t="shared" si="182"/>
        <v>0.8406582893486334</v>
      </c>
      <c r="CZ124">
        <f t="shared" si="183"/>
        <v>0.1913165786972667</v>
      </c>
      <c r="DA124">
        <v>6</v>
      </c>
      <c r="DB124">
        <v>0.5</v>
      </c>
      <c r="DC124" t="s">
        <v>419</v>
      </c>
      <c r="DD124">
        <v>2</v>
      </c>
      <c r="DE124">
        <v>1693520858.5</v>
      </c>
      <c r="DF124">
        <v>441.79899999999998</v>
      </c>
      <c r="DG124">
        <v>500.10399999999998</v>
      </c>
      <c r="DH124">
        <v>29.010999999999999</v>
      </c>
      <c r="DI124">
        <v>22.747</v>
      </c>
      <c r="DJ124">
        <v>439.03899999999999</v>
      </c>
      <c r="DK124">
        <v>28.013200000000001</v>
      </c>
      <c r="DL124">
        <v>499.75599999999997</v>
      </c>
      <c r="DM124">
        <v>99.491100000000003</v>
      </c>
      <c r="DN124">
        <v>9.9781099999999998E-2</v>
      </c>
      <c r="DO124">
        <v>30.754100000000001</v>
      </c>
      <c r="DP124">
        <v>29.999099999999999</v>
      </c>
      <c r="DQ124">
        <v>999.9</v>
      </c>
      <c r="DR124">
        <v>0</v>
      </c>
      <c r="DS124">
        <v>0</v>
      </c>
      <c r="DT124">
        <v>10005</v>
      </c>
      <c r="DU124">
        <v>0</v>
      </c>
      <c r="DV124">
        <v>214.755</v>
      </c>
      <c r="DW124">
        <v>-58.3048</v>
      </c>
      <c r="DX124">
        <v>454.99900000000002</v>
      </c>
      <c r="DY124">
        <v>511.74400000000003</v>
      </c>
      <c r="DZ124">
        <v>6.2639899999999997</v>
      </c>
      <c r="EA124">
        <v>500.10399999999998</v>
      </c>
      <c r="EB124">
        <v>22.747</v>
      </c>
      <c r="EC124">
        <v>2.8863300000000001</v>
      </c>
      <c r="ED124">
        <v>2.2631199999999998</v>
      </c>
      <c r="EE124">
        <v>23.386299999999999</v>
      </c>
      <c r="EF124">
        <v>19.4163</v>
      </c>
      <c r="EG124">
        <v>1800.12</v>
      </c>
      <c r="EH124">
        <v>0.97799700000000001</v>
      </c>
      <c r="EI124">
        <v>2.2002600000000001E-2</v>
      </c>
      <c r="EJ124">
        <v>0</v>
      </c>
      <c r="EK124">
        <v>743.33900000000006</v>
      </c>
      <c r="EL124">
        <v>5.0002700000000004</v>
      </c>
      <c r="EM124">
        <v>14374.5</v>
      </c>
      <c r="EN124">
        <v>16249.7</v>
      </c>
      <c r="EO124">
        <v>50.061999999999998</v>
      </c>
      <c r="EP124">
        <v>50.125</v>
      </c>
      <c r="EQ124">
        <v>51</v>
      </c>
      <c r="ER124">
        <v>49.561999999999998</v>
      </c>
      <c r="ES124">
        <v>51.375</v>
      </c>
      <c r="ET124">
        <v>1755.62</v>
      </c>
      <c r="EU124">
        <v>39.5</v>
      </c>
      <c r="EV124">
        <v>0</v>
      </c>
      <c r="EW124">
        <v>123</v>
      </c>
      <c r="EX124">
        <v>0</v>
      </c>
      <c r="EY124">
        <v>743.23192000000006</v>
      </c>
      <c r="EZ124">
        <v>1.6151538392561751</v>
      </c>
      <c r="FA124">
        <v>70.684614894101145</v>
      </c>
      <c r="FB124">
        <v>14373.596</v>
      </c>
      <c r="FC124">
        <v>15</v>
      </c>
      <c r="FD124">
        <v>1693520815</v>
      </c>
      <c r="FE124" t="s">
        <v>967</v>
      </c>
      <c r="FF124">
        <v>1693520807</v>
      </c>
      <c r="FG124">
        <v>1693520815</v>
      </c>
      <c r="FH124">
        <v>119</v>
      </c>
      <c r="FI124">
        <v>0.2</v>
      </c>
      <c r="FJ124">
        <v>1.4E-2</v>
      </c>
      <c r="FK124">
        <v>2.7530000000000001</v>
      </c>
      <c r="FL124">
        <v>0.64100000000000001</v>
      </c>
      <c r="FM124">
        <v>500</v>
      </c>
      <c r="FN124">
        <v>23</v>
      </c>
      <c r="FO124">
        <v>0.12</v>
      </c>
      <c r="FP124">
        <v>0.03</v>
      </c>
      <c r="FQ124">
        <v>46.161741544489267</v>
      </c>
      <c r="FR124">
        <v>-6.6865543310500927E-3</v>
      </c>
      <c r="FS124">
        <v>7.4686278194646016E-2</v>
      </c>
      <c r="FT124">
        <v>1</v>
      </c>
      <c r="FU124">
        <v>0.40884758941779692</v>
      </c>
      <c r="FV124">
        <v>-4.6815795989651028E-2</v>
      </c>
      <c r="FW124">
        <v>3.6608117718202808E-3</v>
      </c>
      <c r="FX124">
        <v>1</v>
      </c>
      <c r="FY124">
        <v>2</v>
      </c>
      <c r="FZ124">
        <v>2</v>
      </c>
      <c r="GA124" t="s">
        <v>421</v>
      </c>
      <c r="GB124">
        <v>3.1179000000000001</v>
      </c>
      <c r="GC124">
        <v>2.8649800000000001</v>
      </c>
      <c r="GD124">
        <v>0.10034</v>
      </c>
      <c r="GE124">
        <v>0.113341</v>
      </c>
      <c r="GF124">
        <v>0.13080600000000001</v>
      </c>
      <c r="GG124">
        <v>0.115795</v>
      </c>
      <c r="GH124">
        <v>27285</v>
      </c>
      <c r="GI124">
        <v>20944.599999999999</v>
      </c>
      <c r="GJ124">
        <v>29226.400000000001</v>
      </c>
      <c r="GK124">
        <v>22009.3</v>
      </c>
      <c r="GL124">
        <v>33987.199999999997</v>
      </c>
      <c r="GM124">
        <v>26762.5</v>
      </c>
      <c r="GN124">
        <v>40551.5</v>
      </c>
      <c r="GO124">
        <v>31260.7</v>
      </c>
      <c r="GP124">
        <v>2.0558000000000001</v>
      </c>
      <c r="GQ124">
        <v>1.9075</v>
      </c>
      <c r="GR124">
        <v>0.113279</v>
      </c>
      <c r="GS124">
        <v>0</v>
      </c>
      <c r="GT124">
        <v>28.152799999999999</v>
      </c>
      <c r="GU124">
        <v>999.9</v>
      </c>
      <c r="GV124">
        <v>48.4</v>
      </c>
      <c r="GW124">
        <v>34.5</v>
      </c>
      <c r="GX124">
        <v>26.726900000000001</v>
      </c>
      <c r="GY124">
        <v>62.2318</v>
      </c>
      <c r="GZ124">
        <v>12.492000000000001</v>
      </c>
      <c r="HA124">
        <v>1</v>
      </c>
      <c r="HB124">
        <v>6.6951200000000002E-2</v>
      </c>
      <c r="HC124">
        <v>0.22866</v>
      </c>
      <c r="HD124">
        <v>20.335999999999999</v>
      </c>
      <c r="HE124">
        <v>5.2352600000000002</v>
      </c>
      <c r="HF124">
        <v>11.974</v>
      </c>
      <c r="HG124">
        <v>4.9752000000000001</v>
      </c>
      <c r="HH124">
        <v>3.2829999999999999</v>
      </c>
      <c r="HI124">
        <v>9999</v>
      </c>
      <c r="HJ124">
        <v>9999</v>
      </c>
      <c r="HK124">
        <v>9999</v>
      </c>
      <c r="HL124">
        <v>999.9</v>
      </c>
      <c r="HM124">
        <v>1.86066</v>
      </c>
      <c r="HN124">
        <v>1.8623099999999999</v>
      </c>
      <c r="HO124">
        <v>1.8677299999999999</v>
      </c>
      <c r="HP124">
        <v>1.85822</v>
      </c>
      <c r="HQ124">
        <v>1.85669</v>
      </c>
      <c r="HR124">
        <v>1.8603499999999999</v>
      </c>
      <c r="HS124">
        <v>1.86429</v>
      </c>
      <c r="HT124">
        <v>1.8663000000000001</v>
      </c>
      <c r="HU124">
        <v>5</v>
      </c>
      <c r="HV124">
        <v>0</v>
      </c>
      <c r="HW124">
        <v>0</v>
      </c>
      <c r="HX124">
        <v>0</v>
      </c>
      <c r="HY124" t="s">
        <v>422</v>
      </c>
      <c r="HZ124" t="s">
        <v>423</v>
      </c>
      <c r="IA124" t="s">
        <v>424</v>
      </c>
      <c r="IB124" t="s">
        <v>424</v>
      </c>
      <c r="IC124" t="s">
        <v>424</v>
      </c>
      <c r="ID124" t="s">
        <v>424</v>
      </c>
      <c r="IE124">
        <v>0</v>
      </c>
      <c r="IF124">
        <v>100</v>
      </c>
      <c r="IG124">
        <v>100</v>
      </c>
      <c r="IH124">
        <v>2.76</v>
      </c>
      <c r="II124">
        <v>0.99780000000000002</v>
      </c>
      <c r="IJ124">
        <v>2.5487674926298118</v>
      </c>
      <c r="IK124">
        <v>1.118558698776514E-3</v>
      </c>
      <c r="IL124">
        <v>-1.6939696309573479E-6</v>
      </c>
      <c r="IM124">
        <v>5.4698917449866148E-10</v>
      </c>
      <c r="IN124">
        <v>8.9821922243927266E-2</v>
      </c>
      <c r="IO124">
        <v>-7.6058941998734366E-3</v>
      </c>
      <c r="IP124">
        <v>1.6984902717538061E-3</v>
      </c>
      <c r="IQ124">
        <v>-9.6352527008986976E-6</v>
      </c>
      <c r="IR124">
        <v>2</v>
      </c>
      <c r="IS124">
        <v>2021</v>
      </c>
      <c r="IT124">
        <v>2</v>
      </c>
      <c r="IU124">
        <v>40</v>
      </c>
      <c r="IV124">
        <v>0.9</v>
      </c>
      <c r="IW124">
        <v>0.7</v>
      </c>
      <c r="IX124">
        <v>1.2365699999999999</v>
      </c>
      <c r="IY124">
        <v>2.50122</v>
      </c>
      <c r="IZ124">
        <v>1.34399</v>
      </c>
      <c r="JA124">
        <v>2.2375500000000001</v>
      </c>
      <c r="JB124">
        <v>1.5918000000000001</v>
      </c>
      <c r="JC124">
        <v>2.50244</v>
      </c>
      <c r="JD124">
        <v>36.8842</v>
      </c>
      <c r="JE124">
        <v>15.8482</v>
      </c>
      <c r="JF124">
        <v>18</v>
      </c>
      <c r="JG124">
        <v>513.12900000000002</v>
      </c>
      <c r="JH124">
        <v>456.34800000000001</v>
      </c>
      <c r="JI124">
        <v>27.986599999999999</v>
      </c>
      <c r="JJ124">
        <v>28.351700000000001</v>
      </c>
      <c r="JK124">
        <v>29.9998</v>
      </c>
      <c r="JL124">
        <v>28.249500000000001</v>
      </c>
      <c r="JM124">
        <v>28.193300000000001</v>
      </c>
      <c r="JN124">
        <v>24.812000000000001</v>
      </c>
      <c r="JO124">
        <v>24.346299999999999</v>
      </c>
      <c r="JP124">
        <v>64.923299999999998</v>
      </c>
      <c r="JQ124">
        <v>27.987200000000001</v>
      </c>
      <c r="JR124">
        <v>500</v>
      </c>
      <c r="JS124">
        <v>22.858000000000001</v>
      </c>
      <c r="JT124">
        <v>99.636300000000006</v>
      </c>
      <c r="JU124">
        <v>98.780299999999997</v>
      </c>
    </row>
    <row r="125" spans="1:281" x14ac:dyDescent="0.25">
      <c r="A125">
        <v>109</v>
      </c>
      <c r="B125">
        <v>1693520975.5</v>
      </c>
      <c r="C125">
        <v>26048.900000095371</v>
      </c>
      <c r="D125" t="s">
        <v>968</v>
      </c>
      <c r="E125" t="s">
        <v>969</v>
      </c>
      <c r="F125" t="s">
        <v>413</v>
      </c>
      <c r="G125" t="s">
        <v>778</v>
      </c>
      <c r="H125" t="s">
        <v>494</v>
      </c>
      <c r="I125" t="s">
        <v>415</v>
      </c>
      <c r="J125">
        <v>1693520975.5</v>
      </c>
      <c r="K125">
        <f t="shared" si="138"/>
        <v>5.0422608754933295E-3</v>
      </c>
      <c r="L125">
        <f t="shared" si="139"/>
        <v>5.0422608754933291</v>
      </c>
      <c r="M125">
        <f t="shared" si="140"/>
        <v>46.626092936900591</v>
      </c>
      <c r="N125">
        <f t="shared" si="141"/>
        <v>640.18700000000001</v>
      </c>
      <c r="O125">
        <f t="shared" si="142"/>
        <v>418.22350310795542</v>
      </c>
      <c r="P125">
        <f t="shared" si="143"/>
        <v>41.65008986317207</v>
      </c>
      <c r="Q125">
        <f t="shared" si="144"/>
        <v>63.7550158732993</v>
      </c>
      <c r="R125">
        <f t="shared" si="145"/>
        <v>0.37697894285323569</v>
      </c>
      <c r="S125">
        <f t="shared" si="146"/>
        <v>2.9301739050734135</v>
      </c>
      <c r="T125">
        <f t="shared" si="147"/>
        <v>0.35195891334311924</v>
      </c>
      <c r="U125">
        <f t="shared" si="148"/>
        <v>0.22208374152571564</v>
      </c>
      <c r="V125">
        <f t="shared" si="149"/>
        <v>344.41309964463545</v>
      </c>
      <c r="W125">
        <f t="shared" si="150"/>
        <v>31.422656995958071</v>
      </c>
      <c r="X125">
        <f t="shared" si="151"/>
        <v>29.9907</v>
      </c>
      <c r="Y125">
        <f t="shared" si="152"/>
        <v>4.2581744363970335</v>
      </c>
      <c r="Z125">
        <f t="shared" si="153"/>
        <v>64.981561095226439</v>
      </c>
      <c r="AA125">
        <f t="shared" si="154"/>
        <v>2.8825978744582801</v>
      </c>
      <c r="AB125">
        <f t="shared" si="155"/>
        <v>4.4360243519450266</v>
      </c>
      <c r="AC125">
        <f t="shared" si="156"/>
        <v>1.3755765619387534</v>
      </c>
      <c r="AD125">
        <f t="shared" si="157"/>
        <v>-222.36370460925582</v>
      </c>
      <c r="AE125">
        <f t="shared" si="158"/>
        <v>112.82327070432075</v>
      </c>
      <c r="AF125">
        <f t="shared" si="159"/>
        <v>8.5909194634678272</v>
      </c>
      <c r="AG125">
        <f t="shared" si="160"/>
        <v>243.46358520316824</v>
      </c>
      <c r="AH125">
        <v>0</v>
      </c>
      <c r="AI125">
        <v>0</v>
      </c>
      <c r="AJ125">
        <f t="shared" si="161"/>
        <v>1</v>
      </c>
      <c r="AK125">
        <f t="shared" si="162"/>
        <v>0</v>
      </c>
      <c r="AL125">
        <f t="shared" si="163"/>
        <v>52238.807949206363</v>
      </c>
      <c r="AM125" t="s">
        <v>416</v>
      </c>
      <c r="AN125">
        <v>10366.9</v>
      </c>
      <c r="AO125">
        <v>993.59653846153856</v>
      </c>
      <c r="AP125">
        <v>3431.87</v>
      </c>
      <c r="AQ125">
        <f t="shared" si="164"/>
        <v>0.71047955241266758</v>
      </c>
      <c r="AR125">
        <v>-3.9894345373445681</v>
      </c>
      <c r="AS125" t="s">
        <v>970</v>
      </c>
      <c r="AT125">
        <v>10359.1</v>
      </c>
      <c r="AU125">
        <v>746.42799999999988</v>
      </c>
      <c r="AV125">
        <v>1074.014259473762</v>
      </c>
      <c r="AW125">
        <f t="shared" si="165"/>
        <v>0.30501108954947254</v>
      </c>
      <c r="AX125">
        <v>0.5</v>
      </c>
      <c r="AY125">
        <f t="shared" si="166"/>
        <v>1513.3778998223179</v>
      </c>
      <c r="AZ125">
        <f t="shared" si="167"/>
        <v>46.626092936900591</v>
      </c>
      <c r="BA125">
        <f t="shared" si="168"/>
        <v>230.79852106244883</v>
      </c>
      <c r="BB125">
        <f t="shared" si="169"/>
        <v>3.3445398852585205E-2</v>
      </c>
      <c r="BC125">
        <f t="shared" si="170"/>
        <v>2.195367258607464</v>
      </c>
      <c r="BD125">
        <f t="shared" si="171"/>
        <v>607.47999749476048</v>
      </c>
      <c r="BE125" t="s">
        <v>971</v>
      </c>
      <c r="BF125">
        <v>586.85</v>
      </c>
      <c r="BG125">
        <f t="shared" si="172"/>
        <v>586.85</v>
      </c>
      <c r="BH125">
        <f t="shared" si="173"/>
        <v>0.45359198462826678</v>
      </c>
      <c r="BI125">
        <f t="shared" si="174"/>
        <v>0.67243491923570697</v>
      </c>
      <c r="BJ125">
        <f t="shared" si="175"/>
        <v>0.82876596316589624</v>
      </c>
      <c r="BK125">
        <f t="shared" si="176"/>
        <v>4.0735581082180792</v>
      </c>
      <c r="BL125">
        <f t="shared" si="177"/>
        <v>0.96701858004004082</v>
      </c>
      <c r="BM125">
        <f t="shared" si="178"/>
        <v>0.52867581649331841</v>
      </c>
      <c r="BN125">
        <f t="shared" si="179"/>
        <v>0.47132418350668159</v>
      </c>
      <c r="BO125">
        <v>2365</v>
      </c>
      <c r="BP125">
        <v>290.00000000000011</v>
      </c>
      <c r="BQ125">
        <v>980.05</v>
      </c>
      <c r="BR125">
        <v>195</v>
      </c>
      <c r="BS125">
        <v>10359.1</v>
      </c>
      <c r="BT125">
        <v>977.69</v>
      </c>
      <c r="BU125">
        <v>2.36</v>
      </c>
      <c r="BV125">
        <v>300.00000000000011</v>
      </c>
      <c r="BW125">
        <v>38.4</v>
      </c>
      <c r="BX125">
        <v>1074.014259473762</v>
      </c>
      <c r="BY125">
        <v>1.133984475276667</v>
      </c>
      <c r="BZ125">
        <v>-99.783273452431999</v>
      </c>
      <c r="CA125">
        <v>0.96115373921720715</v>
      </c>
      <c r="CB125">
        <v>0.9974087969212071</v>
      </c>
      <c r="CC125">
        <v>-1.126995083426029E-2</v>
      </c>
      <c r="CD125">
        <v>289.99999999999989</v>
      </c>
      <c r="CE125">
        <v>966.37</v>
      </c>
      <c r="CF125">
        <v>645</v>
      </c>
      <c r="CG125">
        <v>10336.9</v>
      </c>
      <c r="CH125">
        <v>977.48</v>
      </c>
      <c r="CI125">
        <v>-11.11</v>
      </c>
      <c r="CW125">
        <f t="shared" si="180"/>
        <v>1800.23</v>
      </c>
      <c r="CX125">
        <f t="shared" si="181"/>
        <v>1513.3778998223179</v>
      </c>
      <c r="CY125">
        <f t="shared" si="182"/>
        <v>0.84065808247963747</v>
      </c>
      <c r="CZ125">
        <f t="shared" si="183"/>
        <v>0.19131616495927489</v>
      </c>
      <c r="DA125">
        <v>6</v>
      </c>
      <c r="DB125">
        <v>0.5</v>
      </c>
      <c r="DC125" t="s">
        <v>419</v>
      </c>
      <c r="DD125">
        <v>2</v>
      </c>
      <c r="DE125">
        <v>1693520975.5</v>
      </c>
      <c r="DF125">
        <v>640.18700000000001</v>
      </c>
      <c r="DG125">
        <v>699.947</v>
      </c>
      <c r="DH125">
        <v>28.9452</v>
      </c>
      <c r="DI125">
        <v>23.076000000000001</v>
      </c>
      <c r="DJ125">
        <v>637.16999999999996</v>
      </c>
      <c r="DK125">
        <v>27.9377</v>
      </c>
      <c r="DL125">
        <v>500.54300000000001</v>
      </c>
      <c r="DM125">
        <v>99.488399999999999</v>
      </c>
      <c r="DN125">
        <v>9.9713899999999994E-2</v>
      </c>
      <c r="DO125">
        <v>30.704899999999999</v>
      </c>
      <c r="DP125">
        <v>29.9907</v>
      </c>
      <c r="DQ125">
        <v>999.9</v>
      </c>
      <c r="DR125">
        <v>0</v>
      </c>
      <c r="DS125">
        <v>0</v>
      </c>
      <c r="DT125">
        <v>10055</v>
      </c>
      <c r="DU125">
        <v>0</v>
      </c>
      <c r="DV125">
        <v>208.30199999999999</v>
      </c>
      <c r="DW125">
        <v>-59.76</v>
      </c>
      <c r="DX125">
        <v>659.26900000000001</v>
      </c>
      <c r="DY125">
        <v>716.48</v>
      </c>
      <c r="DZ125">
        <v>5.8692299999999999</v>
      </c>
      <c r="EA125">
        <v>699.947</v>
      </c>
      <c r="EB125">
        <v>23.076000000000001</v>
      </c>
      <c r="EC125">
        <v>2.8797100000000002</v>
      </c>
      <c r="ED125">
        <v>2.2957900000000002</v>
      </c>
      <c r="EE125">
        <v>23.348299999999998</v>
      </c>
      <c r="EF125">
        <v>19.646899999999999</v>
      </c>
      <c r="EG125">
        <v>1800.23</v>
      </c>
      <c r="EH125">
        <v>0.97800100000000001</v>
      </c>
      <c r="EI125">
        <v>2.1998899999999998E-2</v>
      </c>
      <c r="EJ125">
        <v>0</v>
      </c>
      <c r="EK125">
        <v>746.38499999999999</v>
      </c>
      <c r="EL125">
        <v>5.0002700000000004</v>
      </c>
      <c r="EM125">
        <v>14086.3</v>
      </c>
      <c r="EN125">
        <v>16250.7</v>
      </c>
      <c r="EO125">
        <v>50.125</v>
      </c>
      <c r="EP125">
        <v>50.311999999999998</v>
      </c>
      <c r="EQ125">
        <v>51.061999999999998</v>
      </c>
      <c r="ER125">
        <v>49.686999999999998</v>
      </c>
      <c r="ES125">
        <v>51.5</v>
      </c>
      <c r="ET125">
        <v>1755.74</v>
      </c>
      <c r="EU125">
        <v>39.49</v>
      </c>
      <c r="EV125">
        <v>0</v>
      </c>
      <c r="EW125">
        <v>114.7999999523163</v>
      </c>
      <c r="EX125">
        <v>0</v>
      </c>
      <c r="EY125">
        <v>746.42799999999988</v>
      </c>
      <c r="EZ125">
        <v>-2.2115555615070641</v>
      </c>
      <c r="FA125">
        <v>-143.8290607137952</v>
      </c>
      <c r="FB125">
        <v>14108.353846153839</v>
      </c>
      <c r="FC125">
        <v>15</v>
      </c>
      <c r="FD125">
        <v>1693520934.5</v>
      </c>
      <c r="FE125" t="s">
        <v>972</v>
      </c>
      <c r="FF125">
        <v>1693520925</v>
      </c>
      <c r="FG125">
        <v>1693520934.5</v>
      </c>
      <c r="FH125">
        <v>120</v>
      </c>
      <c r="FI125">
        <v>0.30099999999999999</v>
      </c>
      <c r="FJ125">
        <v>1.4999999999999999E-2</v>
      </c>
      <c r="FK125">
        <v>2.992</v>
      </c>
      <c r="FL125">
        <v>0.67300000000000004</v>
      </c>
      <c r="FM125">
        <v>700</v>
      </c>
      <c r="FN125">
        <v>23</v>
      </c>
      <c r="FO125">
        <v>0.11</v>
      </c>
      <c r="FP125">
        <v>0.04</v>
      </c>
      <c r="FQ125">
        <v>46.647979187735942</v>
      </c>
      <c r="FR125">
        <v>-0.29221052612097098</v>
      </c>
      <c r="FS125">
        <v>0.1095610176333314</v>
      </c>
      <c r="FT125">
        <v>1</v>
      </c>
      <c r="FU125">
        <v>0.38292683582175491</v>
      </c>
      <c r="FV125">
        <v>-4.9991971288287522E-2</v>
      </c>
      <c r="FW125">
        <v>3.8816953405986488E-3</v>
      </c>
      <c r="FX125">
        <v>1</v>
      </c>
      <c r="FY125">
        <v>2</v>
      </c>
      <c r="FZ125">
        <v>2</v>
      </c>
      <c r="GA125" t="s">
        <v>421</v>
      </c>
      <c r="GB125">
        <v>3.1188899999999999</v>
      </c>
      <c r="GC125">
        <v>2.8653599999999999</v>
      </c>
      <c r="GD125">
        <v>0.131573</v>
      </c>
      <c r="GE125">
        <v>0.14379400000000001</v>
      </c>
      <c r="GF125">
        <v>0.13056699999999999</v>
      </c>
      <c r="GG125">
        <v>0.116967</v>
      </c>
      <c r="GH125">
        <v>26339.4</v>
      </c>
      <c r="GI125">
        <v>20226.5</v>
      </c>
      <c r="GJ125">
        <v>29227.599999999999</v>
      </c>
      <c r="GK125">
        <v>22010.2</v>
      </c>
      <c r="GL125">
        <v>34000.800000000003</v>
      </c>
      <c r="GM125">
        <v>26731.4</v>
      </c>
      <c r="GN125">
        <v>40552.9</v>
      </c>
      <c r="GO125">
        <v>31263</v>
      </c>
      <c r="GP125">
        <v>2.0554000000000001</v>
      </c>
      <c r="GQ125">
        <v>1.9103000000000001</v>
      </c>
      <c r="GR125">
        <v>0.116259</v>
      </c>
      <c r="GS125">
        <v>0</v>
      </c>
      <c r="GT125">
        <v>28.095700000000001</v>
      </c>
      <c r="GU125">
        <v>999.9</v>
      </c>
      <c r="GV125">
        <v>49.4</v>
      </c>
      <c r="GW125">
        <v>34.4</v>
      </c>
      <c r="GX125">
        <v>27.1281</v>
      </c>
      <c r="GY125">
        <v>61.631799999999998</v>
      </c>
      <c r="GZ125">
        <v>12.119400000000001</v>
      </c>
      <c r="HA125">
        <v>1</v>
      </c>
      <c r="HB125">
        <v>6.4735799999999996E-2</v>
      </c>
      <c r="HC125">
        <v>0.50658000000000003</v>
      </c>
      <c r="HD125">
        <v>20.3353</v>
      </c>
      <c r="HE125">
        <v>5.23346</v>
      </c>
      <c r="HF125">
        <v>11.974</v>
      </c>
      <c r="HG125">
        <v>4.9737999999999998</v>
      </c>
      <c r="HH125">
        <v>3.2833000000000001</v>
      </c>
      <c r="HI125">
        <v>9999</v>
      </c>
      <c r="HJ125">
        <v>9999</v>
      </c>
      <c r="HK125">
        <v>9999</v>
      </c>
      <c r="HL125">
        <v>999.9</v>
      </c>
      <c r="HM125">
        <v>1.8605799999999999</v>
      </c>
      <c r="HN125">
        <v>1.86226</v>
      </c>
      <c r="HO125">
        <v>1.8676999999999999</v>
      </c>
      <c r="HP125">
        <v>1.8582399999999999</v>
      </c>
      <c r="HQ125">
        <v>1.85669</v>
      </c>
      <c r="HR125">
        <v>1.8603499999999999</v>
      </c>
      <c r="HS125">
        <v>1.86426</v>
      </c>
      <c r="HT125">
        <v>1.8663000000000001</v>
      </c>
      <c r="HU125">
        <v>5</v>
      </c>
      <c r="HV125">
        <v>0</v>
      </c>
      <c r="HW125">
        <v>0</v>
      </c>
      <c r="HX125">
        <v>0</v>
      </c>
      <c r="HY125" t="s">
        <v>422</v>
      </c>
      <c r="HZ125" t="s">
        <v>423</v>
      </c>
      <c r="IA125" t="s">
        <v>424</v>
      </c>
      <c r="IB125" t="s">
        <v>424</v>
      </c>
      <c r="IC125" t="s">
        <v>424</v>
      </c>
      <c r="ID125" t="s">
        <v>424</v>
      </c>
      <c r="IE125">
        <v>0</v>
      </c>
      <c r="IF125">
        <v>100</v>
      </c>
      <c r="IG125">
        <v>100</v>
      </c>
      <c r="IH125">
        <v>3.0169999999999999</v>
      </c>
      <c r="II125">
        <v>1.0075000000000001</v>
      </c>
      <c r="IJ125">
        <v>2.8497130424165951</v>
      </c>
      <c r="IK125">
        <v>1.118558698776514E-3</v>
      </c>
      <c r="IL125">
        <v>-1.6939696309573479E-6</v>
      </c>
      <c r="IM125">
        <v>5.4698917449866148E-10</v>
      </c>
      <c r="IN125">
        <v>0.1043786485209935</v>
      </c>
      <c r="IO125">
        <v>-7.6058941998734366E-3</v>
      </c>
      <c r="IP125">
        <v>1.6984902717538061E-3</v>
      </c>
      <c r="IQ125">
        <v>-9.6352527008986976E-6</v>
      </c>
      <c r="IR125">
        <v>2</v>
      </c>
      <c r="IS125">
        <v>2021</v>
      </c>
      <c r="IT125">
        <v>2</v>
      </c>
      <c r="IU125">
        <v>40</v>
      </c>
      <c r="IV125">
        <v>0.8</v>
      </c>
      <c r="IW125">
        <v>0.7</v>
      </c>
      <c r="IX125">
        <v>1.62598</v>
      </c>
      <c r="IY125">
        <v>2.4890099999999999</v>
      </c>
      <c r="IZ125">
        <v>1.34399</v>
      </c>
      <c r="JA125">
        <v>2.2387700000000001</v>
      </c>
      <c r="JB125">
        <v>1.5918000000000001</v>
      </c>
      <c r="JC125">
        <v>2.3877000000000002</v>
      </c>
      <c r="JD125">
        <v>36.7654</v>
      </c>
      <c r="JE125">
        <v>15.821899999999999</v>
      </c>
      <c r="JF125">
        <v>18</v>
      </c>
      <c r="JG125">
        <v>512.529</v>
      </c>
      <c r="JH125">
        <v>457.85300000000001</v>
      </c>
      <c r="JI125">
        <v>27.636800000000001</v>
      </c>
      <c r="JJ125">
        <v>28.3155</v>
      </c>
      <c r="JK125">
        <v>30</v>
      </c>
      <c r="JL125">
        <v>28.213100000000001</v>
      </c>
      <c r="JM125">
        <v>28.155000000000001</v>
      </c>
      <c r="JN125">
        <v>32.634700000000002</v>
      </c>
      <c r="JO125">
        <v>24.413699999999999</v>
      </c>
      <c r="JP125">
        <v>67.080299999999994</v>
      </c>
      <c r="JQ125">
        <v>27.643999999999998</v>
      </c>
      <c r="JR125">
        <v>700</v>
      </c>
      <c r="JS125">
        <v>23.267499999999998</v>
      </c>
      <c r="JT125">
        <v>99.640100000000004</v>
      </c>
      <c r="JU125">
        <v>98.786100000000005</v>
      </c>
    </row>
    <row r="126" spans="1:281" x14ac:dyDescent="0.25">
      <c r="A126">
        <v>110</v>
      </c>
      <c r="B126">
        <v>1693521094</v>
      </c>
      <c r="C126">
        <v>26167.400000095371</v>
      </c>
      <c r="D126" t="s">
        <v>973</v>
      </c>
      <c r="E126" t="s">
        <v>974</v>
      </c>
      <c r="F126" t="s">
        <v>413</v>
      </c>
      <c r="G126" t="s">
        <v>778</v>
      </c>
      <c r="H126" t="s">
        <v>494</v>
      </c>
      <c r="I126" t="s">
        <v>415</v>
      </c>
      <c r="J126">
        <v>1693521094</v>
      </c>
      <c r="K126">
        <f t="shared" si="138"/>
        <v>4.628629007070441E-3</v>
      </c>
      <c r="L126">
        <f t="shared" si="139"/>
        <v>4.6286290070704412</v>
      </c>
      <c r="M126">
        <f t="shared" si="140"/>
        <v>45.814388768506909</v>
      </c>
      <c r="N126">
        <f t="shared" si="141"/>
        <v>840.41899999999998</v>
      </c>
      <c r="O126">
        <f t="shared" si="142"/>
        <v>596.82884691161598</v>
      </c>
      <c r="P126">
        <f t="shared" si="143"/>
        <v>59.440148430834178</v>
      </c>
      <c r="Q126">
        <f t="shared" si="144"/>
        <v>83.700093188509996</v>
      </c>
      <c r="R126">
        <f t="shared" si="145"/>
        <v>0.34066239500089457</v>
      </c>
      <c r="S126">
        <f t="shared" si="146"/>
        <v>2.9118635373164414</v>
      </c>
      <c r="T126">
        <f t="shared" si="147"/>
        <v>0.31996877816187613</v>
      </c>
      <c r="U126">
        <f t="shared" si="148"/>
        <v>0.2017348882241522</v>
      </c>
      <c r="V126">
        <f t="shared" si="149"/>
        <v>344.32569964454467</v>
      </c>
      <c r="W126">
        <f t="shared" si="150"/>
        <v>31.495853959474186</v>
      </c>
      <c r="X126">
        <f t="shared" si="151"/>
        <v>30.028199999999998</v>
      </c>
      <c r="Y126">
        <f t="shared" si="152"/>
        <v>4.2673556573939511</v>
      </c>
      <c r="Z126">
        <f t="shared" si="153"/>
        <v>65.028030863590331</v>
      </c>
      <c r="AA126">
        <f t="shared" si="154"/>
        <v>2.8783357149609996</v>
      </c>
      <c r="AB126">
        <f t="shared" si="155"/>
        <v>4.4262999766960514</v>
      </c>
      <c r="AC126">
        <f t="shared" si="156"/>
        <v>1.3890199424329515</v>
      </c>
      <c r="AD126">
        <f t="shared" si="157"/>
        <v>-204.12253921180644</v>
      </c>
      <c r="AE126">
        <f t="shared" si="158"/>
        <v>100.20313423729425</v>
      </c>
      <c r="AF126">
        <f t="shared" si="159"/>
        <v>7.6779024929505155</v>
      </c>
      <c r="AG126">
        <f t="shared" si="160"/>
        <v>248.084197162983</v>
      </c>
      <c r="AH126">
        <v>0</v>
      </c>
      <c r="AI126">
        <v>0</v>
      </c>
      <c r="AJ126">
        <f t="shared" si="161"/>
        <v>1</v>
      </c>
      <c r="AK126">
        <f t="shared" si="162"/>
        <v>0</v>
      </c>
      <c r="AL126">
        <f t="shared" si="163"/>
        <v>51724.290941877749</v>
      </c>
      <c r="AM126" t="s">
        <v>416</v>
      </c>
      <c r="AN126">
        <v>10366.9</v>
      </c>
      <c r="AO126">
        <v>993.59653846153856</v>
      </c>
      <c r="AP126">
        <v>3431.87</v>
      </c>
      <c r="AQ126">
        <f t="shared" si="164"/>
        <v>0.71047955241266758</v>
      </c>
      <c r="AR126">
        <v>-3.9894345373445681</v>
      </c>
      <c r="AS126" t="s">
        <v>975</v>
      </c>
      <c r="AT126">
        <v>10373.700000000001</v>
      </c>
      <c r="AU126">
        <v>744.27542307692306</v>
      </c>
      <c r="AV126">
        <v>1074.802645474276</v>
      </c>
      <c r="AW126">
        <f t="shared" si="165"/>
        <v>0.3075236405391446</v>
      </c>
      <c r="AX126">
        <v>0.5</v>
      </c>
      <c r="AY126">
        <f t="shared" si="166"/>
        <v>1512.9914998222721</v>
      </c>
      <c r="AZ126">
        <f t="shared" si="167"/>
        <v>45.814388768506909</v>
      </c>
      <c r="BA126">
        <f t="shared" si="168"/>
        <v>232.64032706506285</v>
      </c>
      <c r="BB126">
        <f t="shared" si="169"/>
        <v>3.2917450832804965E-2</v>
      </c>
      <c r="BC126">
        <f t="shared" si="170"/>
        <v>2.1930234024364776</v>
      </c>
      <c r="BD126">
        <f t="shared" si="171"/>
        <v>607.73213898546067</v>
      </c>
      <c r="BE126" t="s">
        <v>976</v>
      </c>
      <c r="BF126">
        <v>586.19000000000005</v>
      </c>
      <c r="BG126">
        <f t="shared" si="172"/>
        <v>586.19000000000005</v>
      </c>
      <c r="BH126">
        <f t="shared" si="173"/>
        <v>0.45460685041267912</v>
      </c>
      <c r="BI126">
        <f t="shared" si="174"/>
        <v>0.67646063903344933</v>
      </c>
      <c r="BJ126">
        <f t="shared" si="175"/>
        <v>0.82829670044619363</v>
      </c>
      <c r="BK126">
        <f t="shared" si="176"/>
        <v>4.0702261757912943</v>
      </c>
      <c r="BL126">
        <f t="shared" si="177"/>
        <v>0.96669524223033643</v>
      </c>
      <c r="BM126">
        <f t="shared" si="178"/>
        <v>0.53277919665235896</v>
      </c>
      <c r="BN126">
        <f t="shared" si="179"/>
        <v>0.46722080334764104</v>
      </c>
      <c r="BO126">
        <v>2367</v>
      </c>
      <c r="BP126">
        <v>290.00000000000011</v>
      </c>
      <c r="BQ126">
        <v>979</v>
      </c>
      <c r="BR126">
        <v>115</v>
      </c>
      <c r="BS126">
        <v>10373.700000000001</v>
      </c>
      <c r="BT126">
        <v>977.17</v>
      </c>
      <c r="BU126">
        <v>1.83</v>
      </c>
      <c r="BV126">
        <v>300.00000000000011</v>
      </c>
      <c r="BW126">
        <v>38.4</v>
      </c>
      <c r="BX126">
        <v>1074.802645474276</v>
      </c>
      <c r="BY126">
        <v>1.244237587657826</v>
      </c>
      <c r="BZ126">
        <v>-101.2809655064235</v>
      </c>
      <c r="CA126">
        <v>1.054500692213701</v>
      </c>
      <c r="CB126">
        <v>0.9969739234974383</v>
      </c>
      <c r="CC126">
        <v>-1.1269019799777539E-2</v>
      </c>
      <c r="CD126">
        <v>289.99999999999989</v>
      </c>
      <c r="CE126">
        <v>966.47</v>
      </c>
      <c r="CF126">
        <v>665</v>
      </c>
      <c r="CG126">
        <v>10333.9</v>
      </c>
      <c r="CH126">
        <v>976.79</v>
      </c>
      <c r="CI126">
        <v>-10.32</v>
      </c>
      <c r="CW126">
        <f t="shared" si="180"/>
        <v>1799.77</v>
      </c>
      <c r="CX126">
        <f t="shared" si="181"/>
        <v>1512.9914998222721</v>
      </c>
      <c r="CY126">
        <f t="shared" si="182"/>
        <v>0.84065825067773781</v>
      </c>
      <c r="CZ126">
        <f t="shared" si="183"/>
        <v>0.19131650135547579</v>
      </c>
      <c r="DA126">
        <v>6</v>
      </c>
      <c r="DB126">
        <v>0.5</v>
      </c>
      <c r="DC126" t="s">
        <v>419</v>
      </c>
      <c r="DD126">
        <v>2</v>
      </c>
      <c r="DE126">
        <v>1693521094</v>
      </c>
      <c r="DF126">
        <v>840.41899999999998</v>
      </c>
      <c r="DG126">
        <v>900.096</v>
      </c>
      <c r="DH126">
        <v>28.9009</v>
      </c>
      <c r="DI126">
        <v>23.504200000000001</v>
      </c>
      <c r="DJ126">
        <v>837.41300000000001</v>
      </c>
      <c r="DK126">
        <v>27.882000000000001</v>
      </c>
      <c r="DL126">
        <v>499.73399999999998</v>
      </c>
      <c r="DM126">
        <v>99.492699999999999</v>
      </c>
      <c r="DN126">
        <v>0.10059</v>
      </c>
      <c r="DO126">
        <v>30.666499999999999</v>
      </c>
      <c r="DP126">
        <v>30.028199999999998</v>
      </c>
      <c r="DQ126">
        <v>999.9</v>
      </c>
      <c r="DR126">
        <v>0</v>
      </c>
      <c r="DS126">
        <v>0</v>
      </c>
      <c r="DT126">
        <v>9950</v>
      </c>
      <c r="DU126">
        <v>0</v>
      </c>
      <c r="DV126">
        <v>203.64400000000001</v>
      </c>
      <c r="DW126">
        <v>-59.677199999999999</v>
      </c>
      <c r="DX126">
        <v>865.43</v>
      </c>
      <c r="DY126">
        <v>921.76099999999997</v>
      </c>
      <c r="DZ126">
        <v>5.3967499999999999</v>
      </c>
      <c r="EA126">
        <v>900.096</v>
      </c>
      <c r="EB126">
        <v>23.504200000000001</v>
      </c>
      <c r="EC126">
        <v>2.8754300000000002</v>
      </c>
      <c r="ED126">
        <v>2.3384900000000002</v>
      </c>
      <c r="EE126">
        <v>23.323599999999999</v>
      </c>
      <c r="EF126">
        <v>19.943999999999999</v>
      </c>
      <c r="EG126">
        <v>1799.77</v>
      </c>
      <c r="EH126">
        <v>0.97799700000000001</v>
      </c>
      <c r="EI126">
        <v>2.2002600000000001E-2</v>
      </c>
      <c r="EJ126">
        <v>0</v>
      </c>
      <c r="EK126">
        <v>743.84100000000001</v>
      </c>
      <c r="EL126">
        <v>5.0002700000000004</v>
      </c>
      <c r="EM126">
        <v>13905.3</v>
      </c>
      <c r="EN126">
        <v>16246.5</v>
      </c>
      <c r="EO126">
        <v>50.25</v>
      </c>
      <c r="EP126">
        <v>50.436999999999998</v>
      </c>
      <c r="EQ126">
        <v>51.186999999999998</v>
      </c>
      <c r="ER126">
        <v>49.811999999999998</v>
      </c>
      <c r="ES126">
        <v>51.561999999999998</v>
      </c>
      <c r="ET126">
        <v>1755.28</v>
      </c>
      <c r="EU126">
        <v>39.49</v>
      </c>
      <c r="EV126">
        <v>0</v>
      </c>
      <c r="EW126">
        <v>116.3999998569489</v>
      </c>
      <c r="EX126">
        <v>0</v>
      </c>
      <c r="EY126">
        <v>744.27542307692306</v>
      </c>
      <c r="EZ126">
        <v>-0.75018804351073209</v>
      </c>
      <c r="FA126">
        <v>-28.779487183752899</v>
      </c>
      <c r="FB126">
        <v>13912.01538461539</v>
      </c>
      <c r="FC126">
        <v>15</v>
      </c>
      <c r="FD126">
        <v>1693521064</v>
      </c>
      <c r="FE126" t="s">
        <v>977</v>
      </c>
      <c r="FF126">
        <v>1693521052</v>
      </c>
      <c r="FG126">
        <v>1693521064</v>
      </c>
      <c r="FH126">
        <v>121</v>
      </c>
      <c r="FI126">
        <v>8.5999999999999993E-2</v>
      </c>
      <c r="FJ126">
        <v>1.4999999999999999E-2</v>
      </c>
      <c r="FK126">
        <v>2.97</v>
      </c>
      <c r="FL126">
        <v>0.70199999999999996</v>
      </c>
      <c r="FM126">
        <v>900</v>
      </c>
      <c r="FN126">
        <v>23</v>
      </c>
      <c r="FO126">
        <v>0.17</v>
      </c>
      <c r="FP126">
        <v>0.05</v>
      </c>
      <c r="FQ126">
        <v>45.91086540860794</v>
      </c>
      <c r="FR126">
        <v>-0.51493153579585094</v>
      </c>
      <c r="FS126">
        <v>0.1761802516249682</v>
      </c>
      <c r="FT126">
        <v>1</v>
      </c>
      <c r="FU126">
        <v>0.347376962773431</v>
      </c>
      <c r="FV126">
        <v>-9.3498500750670462E-3</v>
      </c>
      <c r="FW126">
        <v>1.810876536711541E-3</v>
      </c>
      <c r="FX126">
        <v>1</v>
      </c>
      <c r="FY126">
        <v>2</v>
      </c>
      <c r="FZ126">
        <v>2</v>
      </c>
      <c r="GA126" t="s">
        <v>421</v>
      </c>
      <c r="GB126">
        <v>3.1180599999999998</v>
      </c>
      <c r="GC126">
        <v>2.86531</v>
      </c>
      <c r="GD126">
        <v>0.15861600000000001</v>
      </c>
      <c r="GE126">
        <v>0.170208</v>
      </c>
      <c r="GF126">
        <v>0.13040399999999999</v>
      </c>
      <c r="GG126">
        <v>0.118492</v>
      </c>
      <c r="GH126">
        <v>25522.9</v>
      </c>
      <c r="GI126">
        <v>19605.599999999999</v>
      </c>
      <c r="GJ126">
        <v>29231.1</v>
      </c>
      <c r="GK126">
        <v>22013</v>
      </c>
      <c r="GL126">
        <v>34012.9</v>
      </c>
      <c r="GM126">
        <v>26690.5</v>
      </c>
      <c r="GN126">
        <v>40556.9</v>
      </c>
      <c r="GO126">
        <v>31266.6</v>
      </c>
      <c r="GP126">
        <v>2.0550999999999999</v>
      </c>
      <c r="GQ126">
        <v>1.9132</v>
      </c>
      <c r="GR126">
        <v>0.125885</v>
      </c>
      <c r="GS126">
        <v>0</v>
      </c>
      <c r="GT126">
        <v>27.976199999999999</v>
      </c>
      <c r="GU126">
        <v>999.9</v>
      </c>
      <c r="GV126">
        <v>50.6</v>
      </c>
      <c r="GW126">
        <v>34.200000000000003</v>
      </c>
      <c r="GX126">
        <v>27.477499999999999</v>
      </c>
      <c r="GY126">
        <v>62.091799999999999</v>
      </c>
      <c r="GZ126">
        <v>11.991199999999999</v>
      </c>
      <c r="HA126">
        <v>1</v>
      </c>
      <c r="HB126">
        <v>6.0355699999999998E-2</v>
      </c>
      <c r="HC126">
        <v>0.546373</v>
      </c>
      <c r="HD126">
        <v>20.3354</v>
      </c>
      <c r="HE126">
        <v>5.2340600000000004</v>
      </c>
      <c r="HF126">
        <v>11.9734</v>
      </c>
      <c r="HG126">
        <v>4.9745999999999997</v>
      </c>
      <c r="HH126">
        <v>3.2831000000000001</v>
      </c>
      <c r="HI126">
        <v>9999</v>
      </c>
      <c r="HJ126">
        <v>9999</v>
      </c>
      <c r="HK126">
        <v>9999</v>
      </c>
      <c r="HL126">
        <v>999.9</v>
      </c>
      <c r="HM126">
        <v>1.8606</v>
      </c>
      <c r="HN126">
        <v>1.86229</v>
      </c>
      <c r="HO126">
        <v>1.86768</v>
      </c>
      <c r="HP126">
        <v>1.85822</v>
      </c>
      <c r="HQ126">
        <v>1.85669</v>
      </c>
      <c r="HR126">
        <v>1.8603499999999999</v>
      </c>
      <c r="HS126">
        <v>1.8642000000000001</v>
      </c>
      <c r="HT126">
        <v>1.8663000000000001</v>
      </c>
      <c r="HU126">
        <v>5</v>
      </c>
      <c r="HV126">
        <v>0</v>
      </c>
      <c r="HW126">
        <v>0</v>
      </c>
      <c r="HX126">
        <v>0</v>
      </c>
      <c r="HY126" t="s">
        <v>422</v>
      </c>
      <c r="HZ126" t="s">
        <v>423</v>
      </c>
      <c r="IA126" t="s">
        <v>424</v>
      </c>
      <c r="IB126" t="s">
        <v>424</v>
      </c>
      <c r="IC126" t="s">
        <v>424</v>
      </c>
      <c r="ID126" t="s">
        <v>424</v>
      </c>
      <c r="IE126">
        <v>0</v>
      </c>
      <c r="IF126">
        <v>100</v>
      </c>
      <c r="IG126">
        <v>100</v>
      </c>
      <c r="IH126">
        <v>3.0059999999999998</v>
      </c>
      <c r="II126">
        <v>1.0188999999999999</v>
      </c>
      <c r="IJ126">
        <v>2.9352449030047012</v>
      </c>
      <c r="IK126">
        <v>1.118558698776514E-3</v>
      </c>
      <c r="IL126">
        <v>-1.6939696309573479E-6</v>
      </c>
      <c r="IM126">
        <v>5.4698917449866148E-10</v>
      </c>
      <c r="IN126">
        <v>0.119374691085565</v>
      </c>
      <c r="IO126">
        <v>-7.6058941998734366E-3</v>
      </c>
      <c r="IP126">
        <v>1.6984902717538061E-3</v>
      </c>
      <c r="IQ126">
        <v>-9.6352527008986976E-6</v>
      </c>
      <c r="IR126">
        <v>2</v>
      </c>
      <c r="IS126">
        <v>2021</v>
      </c>
      <c r="IT126">
        <v>2</v>
      </c>
      <c r="IU126">
        <v>40</v>
      </c>
      <c r="IV126">
        <v>0.7</v>
      </c>
      <c r="IW126">
        <v>0.5</v>
      </c>
      <c r="IX126">
        <v>2.0007299999999999</v>
      </c>
      <c r="IY126">
        <v>2.50122</v>
      </c>
      <c r="IZ126">
        <v>1.34399</v>
      </c>
      <c r="JA126">
        <v>2.2387700000000001</v>
      </c>
      <c r="JB126">
        <v>1.5918000000000001</v>
      </c>
      <c r="JC126">
        <v>2.3547400000000001</v>
      </c>
      <c r="JD126">
        <v>36.6706</v>
      </c>
      <c r="JE126">
        <v>15.7957</v>
      </c>
      <c r="JF126">
        <v>18</v>
      </c>
      <c r="JG126">
        <v>511.89699999999999</v>
      </c>
      <c r="JH126">
        <v>459.35500000000002</v>
      </c>
      <c r="JI126">
        <v>27.696899999999999</v>
      </c>
      <c r="JJ126">
        <v>28.267199999999999</v>
      </c>
      <c r="JK126">
        <v>29.9999</v>
      </c>
      <c r="JL126">
        <v>28.166399999999999</v>
      </c>
      <c r="JM126">
        <v>28.108599999999999</v>
      </c>
      <c r="JN126">
        <v>40.123800000000003</v>
      </c>
      <c r="JO126">
        <v>25.646699999999999</v>
      </c>
      <c r="JP126">
        <v>69.572299999999998</v>
      </c>
      <c r="JQ126">
        <v>27.692699999999999</v>
      </c>
      <c r="JR126">
        <v>900</v>
      </c>
      <c r="JS126">
        <v>23.551200000000001</v>
      </c>
      <c r="JT126">
        <v>99.650700000000001</v>
      </c>
      <c r="JU126">
        <v>98.798000000000002</v>
      </c>
    </row>
    <row r="127" spans="1:281" x14ac:dyDescent="0.25">
      <c r="A127">
        <v>111</v>
      </c>
      <c r="B127">
        <v>1693521256.5</v>
      </c>
      <c r="C127">
        <v>26329.900000095371</v>
      </c>
      <c r="D127" t="s">
        <v>978</v>
      </c>
      <c r="E127" t="s">
        <v>979</v>
      </c>
      <c r="F127" t="s">
        <v>413</v>
      </c>
      <c r="G127" t="s">
        <v>778</v>
      </c>
      <c r="H127" t="s">
        <v>494</v>
      </c>
      <c r="I127" t="s">
        <v>415</v>
      </c>
      <c r="J127">
        <v>1693521256.5</v>
      </c>
      <c r="K127">
        <f t="shared" si="138"/>
        <v>3.9760812476487212E-3</v>
      </c>
      <c r="L127">
        <f t="shared" si="139"/>
        <v>3.9760812476487208</v>
      </c>
      <c r="M127">
        <f t="shared" si="140"/>
        <v>44.154009453121191</v>
      </c>
      <c r="N127">
        <f t="shared" si="141"/>
        <v>1141.4100000000001</v>
      </c>
      <c r="O127">
        <f t="shared" si="142"/>
        <v>860.48198409471956</v>
      </c>
      <c r="P127">
        <f t="shared" si="143"/>
        <v>85.701213093651077</v>
      </c>
      <c r="Q127">
        <f t="shared" si="144"/>
        <v>113.680731782127</v>
      </c>
      <c r="R127">
        <f t="shared" si="145"/>
        <v>0.28686819129673907</v>
      </c>
      <c r="S127">
        <f t="shared" si="146"/>
        <v>2.9290289039627719</v>
      </c>
      <c r="T127">
        <f t="shared" si="147"/>
        <v>0.27212346027308237</v>
      </c>
      <c r="U127">
        <f t="shared" si="148"/>
        <v>0.17133873916739922</v>
      </c>
      <c r="V127">
        <f t="shared" si="149"/>
        <v>344.33649964464649</v>
      </c>
      <c r="W127">
        <f t="shared" si="150"/>
        <v>31.519402720122908</v>
      </c>
      <c r="X127">
        <f t="shared" si="151"/>
        <v>30.013000000000002</v>
      </c>
      <c r="Y127">
        <f t="shared" si="152"/>
        <v>4.2636321254055831</v>
      </c>
      <c r="Z127">
        <f t="shared" si="153"/>
        <v>65.148382900729047</v>
      </c>
      <c r="AA127">
        <f t="shared" si="154"/>
        <v>2.8604387143349395</v>
      </c>
      <c r="AB127">
        <f t="shared" si="155"/>
        <v>4.3906519041210608</v>
      </c>
      <c r="AC127">
        <f t="shared" si="156"/>
        <v>1.4031934110706437</v>
      </c>
      <c r="AD127">
        <f t="shared" si="157"/>
        <v>-175.3451830213086</v>
      </c>
      <c r="AE127">
        <f t="shared" si="158"/>
        <v>80.865611791092292</v>
      </c>
      <c r="AF127">
        <f t="shared" si="159"/>
        <v>6.1551126971889918</v>
      </c>
      <c r="AG127">
        <f t="shared" si="160"/>
        <v>256.01204111161917</v>
      </c>
      <c r="AH127">
        <v>0</v>
      </c>
      <c r="AI127">
        <v>0</v>
      </c>
      <c r="AJ127">
        <f t="shared" si="161"/>
        <v>1</v>
      </c>
      <c r="AK127">
        <f t="shared" si="162"/>
        <v>0</v>
      </c>
      <c r="AL127">
        <f t="shared" si="163"/>
        <v>52237.288422527025</v>
      </c>
      <c r="AM127" t="s">
        <v>416</v>
      </c>
      <c r="AN127">
        <v>10366.9</v>
      </c>
      <c r="AO127">
        <v>993.59653846153856</v>
      </c>
      <c r="AP127">
        <v>3431.87</v>
      </c>
      <c r="AQ127">
        <f t="shared" si="164"/>
        <v>0.71047955241266758</v>
      </c>
      <c r="AR127">
        <v>-3.9894345373445681</v>
      </c>
      <c r="AS127" t="s">
        <v>980</v>
      </c>
      <c r="AT127">
        <v>10356.9</v>
      </c>
      <c r="AU127">
        <v>740.92304000000001</v>
      </c>
      <c r="AV127">
        <v>1067.8808154672149</v>
      </c>
      <c r="AW127">
        <f t="shared" si="165"/>
        <v>0.30617440704201215</v>
      </c>
      <c r="AX127">
        <v>0.5</v>
      </c>
      <c r="AY127">
        <f t="shared" si="166"/>
        <v>1513.0415998223232</v>
      </c>
      <c r="AZ127">
        <f t="shared" si="167"/>
        <v>44.154009453121191</v>
      </c>
      <c r="BA127">
        <f t="shared" si="168"/>
        <v>231.62730732774861</v>
      </c>
      <c r="BB127">
        <f t="shared" si="169"/>
        <v>3.1818982370424749E-2</v>
      </c>
      <c r="BC127">
        <f t="shared" si="170"/>
        <v>2.2137200615393597</v>
      </c>
      <c r="BD127">
        <f t="shared" si="171"/>
        <v>605.51289516893792</v>
      </c>
      <c r="BE127" t="s">
        <v>981</v>
      </c>
      <c r="BF127">
        <v>583.77</v>
      </c>
      <c r="BG127">
        <f t="shared" si="172"/>
        <v>583.77</v>
      </c>
      <c r="BH127">
        <f t="shared" si="173"/>
        <v>0.45333787109510781</v>
      </c>
      <c r="BI127">
        <f t="shared" si="174"/>
        <v>0.67537796103908199</v>
      </c>
      <c r="BJ127">
        <f t="shared" si="175"/>
        <v>0.83002323813517254</v>
      </c>
      <c r="BK127">
        <f t="shared" si="176"/>
        <v>4.401439828811025</v>
      </c>
      <c r="BL127">
        <f t="shared" si="177"/>
        <v>0.9695340665526474</v>
      </c>
      <c r="BM127">
        <f t="shared" si="178"/>
        <v>0.53212732096411097</v>
      </c>
      <c r="BN127">
        <f t="shared" si="179"/>
        <v>0.46787267903588903</v>
      </c>
      <c r="BO127">
        <v>2369</v>
      </c>
      <c r="BP127">
        <v>290.00000000000011</v>
      </c>
      <c r="BQ127">
        <v>974.4</v>
      </c>
      <c r="BR127">
        <v>195</v>
      </c>
      <c r="BS127">
        <v>10356.9</v>
      </c>
      <c r="BT127">
        <v>972.01</v>
      </c>
      <c r="BU127">
        <v>2.39</v>
      </c>
      <c r="BV127">
        <v>300.00000000000011</v>
      </c>
      <c r="BW127">
        <v>38.4</v>
      </c>
      <c r="BX127">
        <v>1067.8808154672149</v>
      </c>
      <c r="BY127">
        <v>1.190403105805981</v>
      </c>
      <c r="BZ127">
        <v>-99.291122801846072</v>
      </c>
      <c r="CA127">
        <v>1.00874425429782</v>
      </c>
      <c r="CB127">
        <v>0.99711831815361918</v>
      </c>
      <c r="CC127">
        <v>-1.126752347052281E-2</v>
      </c>
      <c r="CD127">
        <v>289.99999999999989</v>
      </c>
      <c r="CE127">
        <v>961.54</v>
      </c>
      <c r="CF127">
        <v>655</v>
      </c>
      <c r="CG127">
        <v>10333.6</v>
      </c>
      <c r="CH127">
        <v>971.8</v>
      </c>
      <c r="CI127">
        <v>-10.26</v>
      </c>
      <c r="CW127">
        <f t="shared" si="180"/>
        <v>1799.83</v>
      </c>
      <c r="CX127">
        <f t="shared" si="181"/>
        <v>1513.0415998223232</v>
      </c>
      <c r="CY127">
        <f t="shared" si="182"/>
        <v>0.84065806205159554</v>
      </c>
      <c r="CZ127">
        <f t="shared" si="183"/>
        <v>0.19131612410319113</v>
      </c>
      <c r="DA127">
        <v>6</v>
      </c>
      <c r="DB127">
        <v>0.5</v>
      </c>
      <c r="DC127" t="s">
        <v>419</v>
      </c>
      <c r="DD127">
        <v>2</v>
      </c>
      <c r="DE127">
        <v>1693521256.5</v>
      </c>
      <c r="DF127">
        <v>1141.4100000000001</v>
      </c>
      <c r="DG127">
        <v>1199.8399999999999</v>
      </c>
      <c r="DH127">
        <v>28.720199999999998</v>
      </c>
      <c r="DI127">
        <v>24.085999999999999</v>
      </c>
      <c r="DJ127">
        <v>1138.32</v>
      </c>
      <c r="DK127">
        <v>27.688400000000001</v>
      </c>
      <c r="DL127">
        <v>500.00700000000001</v>
      </c>
      <c r="DM127">
        <v>99.497699999999995</v>
      </c>
      <c r="DN127">
        <v>9.9054699999999996E-2</v>
      </c>
      <c r="DO127">
        <v>30.525099999999998</v>
      </c>
      <c r="DP127">
        <v>30.013000000000002</v>
      </c>
      <c r="DQ127">
        <v>999.9</v>
      </c>
      <c r="DR127">
        <v>0</v>
      </c>
      <c r="DS127">
        <v>0</v>
      </c>
      <c r="DT127">
        <v>10047.5</v>
      </c>
      <c r="DU127">
        <v>0</v>
      </c>
      <c r="DV127">
        <v>201.999</v>
      </c>
      <c r="DW127">
        <v>-58.433799999999998</v>
      </c>
      <c r="DX127">
        <v>1175.1600000000001</v>
      </c>
      <c r="DY127">
        <v>1229.45</v>
      </c>
      <c r="DZ127">
        <v>4.6342600000000003</v>
      </c>
      <c r="EA127">
        <v>1199.8399999999999</v>
      </c>
      <c r="EB127">
        <v>24.085999999999999</v>
      </c>
      <c r="EC127">
        <v>2.8576000000000001</v>
      </c>
      <c r="ED127">
        <v>2.3965000000000001</v>
      </c>
      <c r="EE127">
        <v>23.220600000000001</v>
      </c>
      <c r="EF127">
        <v>20.3401</v>
      </c>
      <c r="EG127">
        <v>1799.83</v>
      </c>
      <c r="EH127">
        <v>0.97800100000000001</v>
      </c>
      <c r="EI127">
        <v>2.1998899999999998E-2</v>
      </c>
      <c r="EJ127">
        <v>0</v>
      </c>
      <c r="EK127">
        <v>740.34400000000005</v>
      </c>
      <c r="EL127">
        <v>5.0002700000000004</v>
      </c>
      <c r="EM127">
        <v>13804.3</v>
      </c>
      <c r="EN127">
        <v>16247.1</v>
      </c>
      <c r="EO127">
        <v>50.311999999999998</v>
      </c>
      <c r="EP127">
        <v>50.561999999999998</v>
      </c>
      <c r="EQ127">
        <v>51.311999999999998</v>
      </c>
      <c r="ER127">
        <v>49.936999999999998</v>
      </c>
      <c r="ES127">
        <v>51.686999999999998</v>
      </c>
      <c r="ET127">
        <v>1755.35</v>
      </c>
      <c r="EU127">
        <v>39.479999999999997</v>
      </c>
      <c r="EV127">
        <v>0</v>
      </c>
      <c r="EW127">
        <v>160.39999985694891</v>
      </c>
      <c r="EX127">
        <v>0</v>
      </c>
      <c r="EY127">
        <v>740.92304000000001</v>
      </c>
      <c r="EZ127">
        <v>-1.9516153875553459</v>
      </c>
      <c r="FA127">
        <v>-26.292307842982911</v>
      </c>
      <c r="FB127">
        <v>13809.672</v>
      </c>
      <c r="FC127">
        <v>15</v>
      </c>
      <c r="FD127">
        <v>1693521225</v>
      </c>
      <c r="FE127" t="s">
        <v>982</v>
      </c>
      <c r="FF127">
        <v>1693521225</v>
      </c>
      <c r="FG127">
        <v>1693521222.5</v>
      </c>
      <c r="FH127">
        <v>122</v>
      </c>
      <c r="FI127">
        <v>0.26900000000000002</v>
      </c>
      <c r="FJ127">
        <v>2.5000000000000001E-2</v>
      </c>
      <c r="FK127">
        <v>3.0550000000000002</v>
      </c>
      <c r="FL127">
        <v>0.76500000000000001</v>
      </c>
      <c r="FM127">
        <v>1200</v>
      </c>
      <c r="FN127">
        <v>24</v>
      </c>
      <c r="FO127">
        <v>0.13</v>
      </c>
      <c r="FP127">
        <v>0.06</v>
      </c>
      <c r="FQ127">
        <v>44.384009145161642</v>
      </c>
      <c r="FR127">
        <v>-0.6385762162994354</v>
      </c>
      <c r="FS127">
        <v>0.14221413554975601</v>
      </c>
      <c r="FT127">
        <v>1</v>
      </c>
      <c r="FU127">
        <v>0.29396710423947447</v>
      </c>
      <c r="FV127">
        <v>-2.4700249677696288E-2</v>
      </c>
      <c r="FW127">
        <v>2.5572140811803441E-3</v>
      </c>
      <c r="FX127">
        <v>1</v>
      </c>
      <c r="FY127">
        <v>2</v>
      </c>
      <c r="FZ127">
        <v>2</v>
      </c>
      <c r="GA127" t="s">
        <v>421</v>
      </c>
      <c r="GB127">
        <v>3.1185200000000002</v>
      </c>
      <c r="GC127">
        <v>2.8646199999999999</v>
      </c>
      <c r="GD127">
        <v>0.193718</v>
      </c>
      <c r="GE127">
        <v>0.20464499999999999</v>
      </c>
      <c r="GF127">
        <v>0.129797</v>
      </c>
      <c r="GG127">
        <v>0.120546</v>
      </c>
      <c r="GH127">
        <v>24462.5</v>
      </c>
      <c r="GI127">
        <v>18793.400000000001</v>
      </c>
      <c r="GJ127">
        <v>29234.6</v>
      </c>
      <c r="GK127">
        <v>22013.599999999999</v>
      </c>
      <c r="GL127">
        <v>34043.699999999997</v>
      </c>
      <c r="GM127">
        <v>26632.3</v>
      </c>
      <c r="GN127">
        <v>40560.800000000003</v>
      </c>
      <c r="GO127">
        <v>31268</v>
      </c>
      <c r="GP127">
        <v>2.0560999999999998</v>
      </c>
      <c r="GQ127">
        <v>1.9185000000000001</v>
      </c>
      <c r="GR127">
        <v>0.12889500000000001</v>
      </c>
      <c r="GS127">
        <v>0</v>
      </c>
      <c r="GT127">
        <v>27.911899999999999</v>
      </c>
      <c r="GU127">
        <v>999.9</v>
      </c>
      <c r="GV127">
        <v>52.1</v>
      </c>
      <c r="GW127">
        <v>34</v>
      </c>
      <c r="GX127">
        <v>27.977399999999999</v>
      </c>
      <c r="GY127">
        <v>61.971800000000002</v>
      </c>
      <c r="GZ127">
        <v>12.2196</v>
      </c>
      <c r="HA127">
        <v>1</v>
      </c>
      <c r="HB127">
        <v>5.4908499999999999E-2</v>
      </c>
      <c r="HC127">
        <v>0.49351899999999999</v>
      </c>
      <c r="HD127">
        <v>20.334700000000002</v>
      </c>
      <c r="HE127">
        <v>5.2310699999999999</v>
      </c>
      <c r="HF127">
        <v>11.9734</v>
      </c>
      <c r="HG127">
        <v>4.9729999999999999</v>
      </c>
      <c r="HH127">
        <v>3.2824</v>
      </c>
      <c r="HI127">
        <v>9999</v>
      </c>
      <c r="HJ127">
        <v>9999</v>
      </c>
      <c r="HK127">
        <v>9999</v>
      </c>
      <c r="HL127">
        <v>999.9</v>
      </c>
      <c r="HM127">
        <v>1.8606</v>
      </c>
      <c r="HN127">
        <v>1.8622000000000001</v>
      </c>
      <c r="HO127">
        <v>1.86771</v>
      </c>
      <c r="HP127">
        <v>1.85822</v>
      </c>
      <c r="HQ127">
        <v>1.85669</v>
      </c>
      <c r="HR127">
        <v>1.8603499999999999</v>
      </c>
      <c r="HS127">
        <v>1.86426</v>
      </c>
      <c r="HT127">
        <v>1.8663000000000001</v>
      </c>
      <c r="HU127">
        <v>5</v>
      </c>
      <c r="HV127">
        <v>0</v>
      </c>
      <c r="HW127">
        <v>0</v>
      </c>
      <c r="HX127">
        <v>0</v>
      </c>
      <c r="HY127" t="s">
        <v>422</v>
      </c>
      <c r="HZ127" t="s">
        <v>423</v>
      </c>
      <c r="IA127" t="s">
        <v>424</v>
      </c>
      <c r="IB127" t="s">
        <v>424</v>
      </c>
      <c r="IC127" t="s">
        <v>424</v>
      </c>
      <c r="ID127" t="s">
        <v>424</v>
      </c>
      <c r="IE127">
        <v>0</v>
      </c>
      <c r="IF127">
        <v>100</v>
      </c>
      <c r="IG127">
        <v>100</v>
      </c>
      <c r="IH127">
        <v>3.09</v>
      </c>
      <c r="II127">
        <v>1.0318000000000001</v>
      </c>
      <c r="IJ127">
        <v>3.2046691028649672</v>
      </c>
      <c r="IK127">
        <v>1.118558698776514E-3</v>
      </c>
      <c r="IL127">
        <v>-1.6939696309573479E-6</v>
      </c>
      <c r="IM127">
        <v>5.4698917449866148E-10</v>
      </c>
      <c r="IN127">
        <v>0.14484686033645591</v>
      </c>
      <c r="IO127">
        <v>-7.6058941998734366E-3</v>
      </c>
      <c r="IP127">
        <v>1.6984902717538061E-3</v>
      </c>
      <c r="IQ127">
        <v>-9.6352527008986976E-6</v>
      </c>
      <c r="IR127">
        <v>2</v>
      </c>
      <c r="IS127">
        <v>2021</v>
      </c>
      <c r="IT127">
        <v>2</v>
      </c>
      <c r="IU127">
        <v>40</v>
      </c>
      <c r="IV127">
        <v>0.5</v>
      </c>
      <c r="IW127">
        <v>0.6</v>
      </c>
      <c r="IX127">
        <v>2.5390600000000001</v>
      </c>
      <c r="IY127">
        <v>2.47925</v>
      </c>
      <c r="IZ127">
        <v>1.34399</v>
      </c>
      <c r="JA127">
        <v>2.2387700000000001</v>
      </c>
      <c r="JB127">
        <v>1.5918000000000001</v>
      </c>
      <c r="JC127">
        <v>2.4365199999999998</v>
      </c>
      <c r="JD127">
        <v>36.505099999999999</v>
      </c>
      <c r="JE127">
        <v>15.7781</v>
      </c>
      <c r="JF127">
        <v>18</v>
      </c>
      <c r="JG127">
        <v>511.87900000000002</v>
      </c>
      <c r="JH127">
        <v>462.25799999999998</v>
      </c>
      <c r="JI127">
        <v>27.498699999999999</v>
      </c>
      <c r="JJ127">
        <v>28.192599999999999</v>
      </c>
      <c r="JK127">
        <v>29.9999</v>
      </c>
      <c r="JL127">
        <v>28.096399999999999</v>
      </c>
      <c r="JM127">
        <v>28.040800000000001</v>
      </c>
      <c r="JN127">
        <v>50.883699999999997</v>
      </c>
      <c r="JO127">
        <v>25.6599</v>
      </c>
      <c r="JP127">
        <v>74.215400000000002</v>
      </c>
      <c r="JQ127">
        <v>27.496400000000001</v>
      </c>
      <c r="JR127">
        <v>1200</v>
      </c>
      <c r="JS127">
        <v>24.114899999999999</v>
      </c>
      <c r="JT127">
        <v>99.661299999999997</v>
      </c>
      <c r="JU127">
        <v>98.801699999999997</v>
      </c>
    </row>
    <row r="128" spans="1:281" x14ac:dyDescent="0.25">
      <c r="A128">
        <v>112</v>
      </c>
      <c r="B128">
        <v>1693521356</v>
      </c>
      <c r="C128">
        <v>26429.400000095371</v>
      </c>
      <c r="D128" t="s">
        <v>983</v>
      </c>
      <c r="E128" t="s">
        <v>984</v>
      </c>
      <c r="F128" t="s">
        <v>413</v>
      </c>
      <c r="G128" t="s">
        <v>778</v>
      </c>
      <c r="H128" t="s">
        <v>494</v>
      </c>
      <c r="I128" t="s">
        <v>415</v>
      </c>
      <c r="J128">
        <v>1693521356</v>
      </c>
      <c r="K128">
        <f t="shared" si="138"/>
        <v>3.2520018904183151E-3</v>
      </c>
      <c r="L128">
        <f t="shared" si="139"/>
        <v>3.252001890418315</v>
      </c>
      <c r="M128">
        <f t="shared" si="140"/>
        <v>43.949487082015594</v>
      </c>
      <c r="N128">
        <f t="shared" si="141"/>
        <v>1441.6479999999999</v>
      </c>
      <c r="O128">
        <f t="shared" si="142"/>
        <v>1090.3466867904299</v>
      </c>
      <c r="P128">
        <f t="shared" si="143"/>
        <v>108.60042393652176</v>
      </c>
      <c r="Q128">
        <f t="shared" si="144"/>
        <v>143.59064494257598</v>
      </c>
      <c r="R128">
        <f t="shared" si="145"/>
        <v>0.22700863980800948</v>
      </c>
      <c r="S128">
        <f t="shared" si="146"/>
        <v>2.913766129360305</v>
      </c>
      <c r="T128">
        <f t="shared" si="147"/>
        <v>0.21762092401077157</v>
      </c>
      <c r="U128">
        <f t="shared" si="148"/>
        <v>0.13682417636545283</v>
      </c>
      <c r="V128">
        <f t="shared" si="149"/>
        <v>344.37069964468202</v>
      </c>
      <c r="W128">
        <f t="shared" si="150"/>
        <v>31.666974270576695</v>
      </c>
      <c r="X128">
        <f t="shared" si="151"/>
        <v>30.0213</v>
      </c>
      <c r="Y128">
        <f t="shared" si="152"/>
        <v>4.2656650187569234</v>
      </c>
      <c r="Z128">
        <f t="shared" si="153"/>
        <v>64.632817470655397</v>
      </c>
      <c r="AA128">
        <f t="shared" si="154"/>
        <v>2.8302929187657</v>
      </c>
      <c r="AB128">
        <f t="shared" si="155"/>
        <v>4.3790337935534218</v>
      </c>
      <c r="AC128">
        <f t="shared" si="156"/>
        <v>1.4353720999912234</v>
      </c>
      <c r="AD128">
        <f t="shared" si="157"/>
        <v>-143.41328336744769</v>
      </c>
      <c r="AE128">
        <f t="shared" si="158"/>
        <v>71.867284001478225</v>
      </c>
      <c r="AF128">
        <f t="shared" si="159"/>
        <v>5.497821560875976</v>
      </c>
      <c r="AG128">
        <f t="shared" si="160"/>
        <v>278.32252183958855</v>
      </c>
      <c r="AH128">
        <v>0</v>
      </c>
      <c r="AI128">
        <v>0</v>
      </c>
      <c r="AJ128">
        <f t="shared" si="161"/>
        <v>1</v>
      </c>
      <c r="AK128">
        <f t="shared" si="162"/>
        <v>0</v>
      </c>
      <c r="AL128">
        <f t="shared" si="163"/>
        <v>51810.549810511562</v>
      </c>
      <c r="AM128" t="s">
        <v>416</v>
      </c>
      <c r="AN128">
        <v>10366.9</v>
      </c>
      <c r="AO128">
        <v>993.59653846153856</v>
      </c>
      <c r="AP128">
        <v>3431.87</v>
      </c>
      <c r="AQ128">
        <f t="shared" si="164"/>
        <v>0.71047955241266758</v>
      </c>
      <c r="AR128">
        <v>-3.9894345373445681</v>
      </c>
      <c r="AS128" t="s">
        <v>985</v>
      </c>
      <c r="AT128">
        <v>10347</v>
      </c>
      <c r="AU128">
        <v>739.53836000000001</v>
      </c>
      <c r="AV128">
        <v>1062.5723197383579</v>
      </c>
      <c r="AW128">
        <f t="shared" si="165"/>
        <v>0.304011269386257</v>
      </c>
      <c r="AX128">
        <v>0.5</v>
      </c>
      <c r="AY128">
        <f t="shared" si="166"/>
        <v>1513.1927998223409</v>
      </c>
      <c r="AZ128">
        <f t="shared" si="167"/>
        <v>43.949487082015594</v>
      </c>
      <c r="BA128">
        <f t="shared" si="168"/>
        <v>230.01383195006707</v>
      </c>
      <c r="BB128">
        <f t="shared" si="169"/>
        <v>3.1680643487722461E-2</v>
      </c>
      <c r="BC128">
        <f t="shared" si="170"/>
        <v>2.2297754573966744</v>
      </c>
      <c r="BD128">
        <f t="shared" si="171"/>
        <v>603.80245274854826</v>
      </c>
      <c r="BE128" t="s">
        <v>986</v>
      </c>
      <c r="BF128">
        <v>586.57000000000005</v>
      </c>
      <c r="BG128">
        <f t="shared" si="172"/>
        <v>586.57000000000005</v>
      </c>
      <c r="BH128">
        <f t="shared" si="173"/>
        <v>0.44797169180500218</v>
      </c>
      <c r="BI128">
        <f t="shared" si="174"/>
        <v>0.6786394652780654</v>
      </c>
      <c r="BJ128">
        <f t="shared" si="175"/>
        <v>0.83270575343958186</v>
      </c>
      <c r="BK128">
        <f t="shared" si="176"/>
        <v>4.6832954083105065</v>
      </c>
      <c r="BL128">
        <f t="shared" si="177"/>
        <v>0.9717112201051894</v>
      </c>
      <c r="BM128">
        <f t="shared" si="178"/>
        <v>0.53826761758261576</v>
      </c>
      <c r="BN128">
        <f t="shared" si="179"/>
        <v>0.46173238241738424</v>
      </c>
      <c r="BO128">
        <v>2371</v>
      </c>
      <c r="BP128">
        <v>290.00000000000011</v>
      </c>
      <c r="BQ128">
        <v>971.01</v>
      </c>
      <c r="BR128">
        <v>255</v>
      </c>
      <c r="BS128">
        <v>10347</v>
      </c>
      <c r="BT128">
        <v>968.98</v>
      </c>
      <c r="BU128">
        <v>2.0299999999999998</v>
      </c>
      <c r="BV128">
        <v>300.00000000000011</v>
      </c>
      <c r="BW128">
        <v>38.4</v>
      </c>
      <c r="BX128">
        <v>1062.5723197383579</v>
      </c>
      <c r="BY128">
        <v>1.108140883427631</v>
      </c>
      <c r="BZ128">
        <v>-96.839803698381388</v>
      </c>
      <c r="CA128">
        <v>0.93895317608775852</v>
      </c>
      <c r="CB128">
        <v>0.99737459442808518</v>
      </c>
      <c r="CC128">
        <v>-1.126653770856508E-2</v>
      </c>
      <c r="CD128">
        <v>289.99999999999989</v>
      </c>
      <c r="CE128">
        <v>959.56</v>
      </c>
      <c r="CF128">
        <v>665</v>
      </c>
      <c r="CG128">
        <v>10331.6</v>
      </c>
      <c r="CH128">
        <v>968.84</v>
      </c>
      <c r="CI128">
        <v>-9.2799999999999994</v>
      </c>
      <c r="CW128">
        <f t="shared" si="180"/>
        <v>1800.01</v>
      </c>
      <c r="CX128">
        <f t="shared" si="181"/>
        <v>1513.1927998223409</v>
      </c>
      <c r="CY128">
        <f t="shared" si="182"/>
        <v>0.84065799624576587</v>
      </c>
      <c r="CZ128">
        <f t="shared" si="183"/>
        <v>0.19131599249153172</v>
      </c>
      <c r="DA128">
        <v>6</v>
      </c>
      <c r="DB128">
        <v>0.5</v>
      </c>
      <c r="DC128" t="s">
        <v>419</v>
      </c>
      <c r="DD128">
        <v>2</v>
      </c>
      <c r="DE128">
        <v>1693521356</v>
      </c>
      <c r="DF128">
        <v>1441.6479999999999</v>
      </c>
      <c r="DG128">
        <v>1499.97</v>
      </c>
      <c r="DH128">
        <v>28.4161</v>
      </c>
      <c r="DI128">
        <v>24.627400000000002</v>
      </c>
      <c r="DJ128">
        <v>1438.51</v>
      </c>
      <c r="DK128">
        <v>27.5991</v>
      </c>
      <c r="DL128">
        <v>500.37099999999998</v>
      </c>
      <c r="DM128">
        <v>99.501000000000005</v>
      </c>
      <c r="DN128">
        <v>0.10073699999999999</v>
      </c>
      <c r="DO128">
        <v>30.4788</v>
      </c>
      <c r="DP128">
        <v>30.0213</v>
      </c>
      <c r="DQ128">
        <v>999.9</v>
      </c>
      <c r="DR128">
        <v>0</v>
      </c>
      <c r="DS128">
        <v>0</v>
      </c>
      <c r="DT128">
        <v>9960</v>
      </c>
      <c r="DU128">
        <v>0</v>
      </c>
      <c r="DV128">
        <v>199.60400000000001</v>
      </c>
      <c r="DW128">
        <v>-58.5229</v>
      </c>
      <c r="DX128">
        <v>1483.93</v>
      </c>
      <c r="DY128">
        <v>1537.84</v>
      </c>
      <c r="DZ128">
        <v>3.9977999999999998</v>
      </c>
      <c r="EA128">
        <v>1499.97</v>
      </c>
      <c r="EB128">
        <v>24.627400000000002</v>
      </c>
      <c r="EC128">
        <v>2.8482400000000001</v>
      </c>
      <c r="ED128">
        <v>2.45045</v>
      </c>
      <c r="EE128">
        <v>23.1663</v>
      </c>
      <c r="EF128">
        <v>20.7011</v>
      </c>
      <c r="EG128">
        <v>1800.01</v>
      </c>
      <c r="EH128">
        <v>0.97800500000000001</v>
      </c>
      <c r="EI128">
        <v>2.1995199999999999E-2</v>
      </c>
      <c r="EJ128">
        <v>0</v>
      </c>
      <c r="EK128">
        <v>739.57100000000003</v>
      </c>
      <c r="EL128">
        <v>5.0002700000000004</v>
      </c>
      <c r="EM128">
        <v>13774.9</v>
      </c>
      <c r="EN128">
        <v>16248.7</v>
      </c>
      <c r="EO128">
        <v>50.375</v>
      </c>
      <c r="EP128">
        <v>50.625</v>
      </c>
      <c r="EQ128">
        <v>51.375</v>
      </c>
      <c r="ER128">
        <v>49.936999999999998</v>
      </c>
      <c r="ES128">
        <v>51.686999999999998</v>
      </c>
      <c r="ET128">
        <v>1755.53</v>
      </c>
      <c r="EU128">
        <v>39.479999999999997</v>
      </c>
      <c r="EV128">
        <v>0</v>
      </c>
      <c r="EW128">
        <v>97.400000095367432</v>
      </c>
      <c r="EX128">
        <v>0</v>
      </c>
      <c r="EY128">
        <v>739.53836000000001</v>
      </c>
      <c r="EZ128">
        <v>-1.2961538429911881</v>
      </c>
      <c r="FA128">
        <v>-18.976923031719121</v>
      </c>
      <c r="FB128">
        <v>13777.92</v>
      </c>
      <c r="FC128">
        <v>15</v>
      </c>
      <c r="FD128">
        <v>1693521385</v>
      </c>
      <c r="FE128" t="s">
        <v>987</v>
      </c>
      <c r="FF128">
        <v>1693521385</v>
      </c>
      <c r="FG128">
        <v>1693521385</v>
      </c>
      <c r="FH128">
        <v>123</v>
      </c>
      <c r="FI128">
        <v>0.222</v>
      </c>
      <c r="FJ128">
        <v>2.4E-2</v>
      </c>
      <c r="FK128">
        <v>3.1379999999999999</v>
      </c>
      <c r="FL128">
        <v>0.81699999999999995</v>
      </c>
      <c r="FM128">
        <v>1500</v>
      </c>
      <c r="FN128">
        <v>25</v>
      </c>
      <c r="FO128">
        <v>0.17</v>
      </c>
      <c r="FP128">
        <v>0.05</v>
      </c>
      <c r="FQ128">
        <v>43.942035307543371</v>
      </c>
      <c r="FR128">
        <v>-0.27754241531451679</v>
      </c>
      <c r="FS128">
        <v>0.1147361410983278</v>
      </c>
      <c r="FT128">
        <v>1</v>
      </c>
      <c r="FU128">
        <v>0.245445820773837</v>
      </c>
      <c r="FV128">
        <v>-1.9186587725290659E-2</v>
      </c>
      <c r="FW128">
        <v>1.4691896773579361E-3</v>
      </c>
      <c r="FX128">
        <v>1</v>
      </c>
      <c r="FY128">
        <v>2</v>
      </c>
      <c r="FZ128">
        <v>2</v>
      </c>
      <c r="GA128" t="s">
        <v>421</v>
      </c>
      <c r="GB128">
        <v>3.1190600000000002</v>
      </c>
      <c r="GC128">
        <v>2.8655499999999998</v>
      </c>
      <c r="GD128">
        <v>0.22412599999999999</v>
      </c>
      <c r="GE128">
        <v>0.23469899999999999</v>
      </c>
      <c r="GF128">
        <v>0.129521</v>
      </c>
      <c r="GG128">
        <v>0.122433</v>
      </c>
      <c r="GH128">
        <v>23541.5</v>
      </c>
      <c r="GI128">
        <v>18085.8</v>
      </c>
      <c r="GJ128">
        <v>29234.799999999999</v>
      </c>
      <c r="GK128">
        <v>22015.3</v>
      </c>
      <c r="GL128">
        <v>34057.5</v>
      </c>
      <c r="GM128">
        <v>26580.2</v>
      </c>
      <c r="GN128">
        <v>40560.9</v>
      </c>
      <c r="GO128">
        <v>31270.9</v>
      </c>
      <c r="GP128">
        <v>2.0573999999999999</v>
      </c>
      <c r="GQ128">
        <v>1.9218999999999999</v>
      </c>
      <c r="GR128">
        <v>0.133187</v>
      </c>
      <c r="GS128">
        <v>0</v>
      </c>
      <c r="GT128">
        <v>27.850100000000001</v>
      </c>
      <c r="GU128">
        <v>999.9</v>
      </c>
      <c r="GV128">
        <v>53.3</v>
      </c>
      <c r="GW128">
        <v>33.799999999999997</v>
      </c>
      <c r="GX128">
        <v>28.300799999999999</v>
      </c>
      <c r="GY128">
        <v>61.691800000000001</v>
      </c>
      <c r="GZ128">
        <v>11.742800000000001</v>
      </c>
      <c r="HA128">
        <v>1</v>
      </c>
      <c r="HB128">
        <v>5.2408499999999997E-2</v>
      </c>
      <c r="HC128">
        <v>0.38703700000000002</v>
      </c>
      <c r="HD128">
        <v>20.335999999999999</v>
      </c>
      <c r="HE128">
        <v>5.2340600000000004</v>
      </c>
      <c r="HF128">
        <v>11.972799999999999</v>
      </c>
      <c r="HG128">
        <v>4.9752000000000001</v>
      </c>
      <c r="HH128">
        <v>3.2829999999999999</v>
      </c>
      <c r="HI128">
        <v>9999</v>
      </c>
      <c r="HJ128">
        <v>9999</v>
      </c>
      <c r="HK128">
        <v>9999</v>
      </c>
      <c r="HL128">
        <v>999.9</v>
      </c>
      <c r="HM128">
        <v>1.8605799999999999</v>
      </c>
      <c r="HN128">
        <v>1.86232</v>
      </c>
      <c r="HO128">
        <v>1.86774</v>
      </c>
      <c r="HP128">
        <v>1.8582399999999999</v>
      </c>
      <c r="HQ128">
        <v>1.85669</v>
      </c>
      <c r="HR128">
        <v>1.8603499999999999</v>
      </c>
      <c r="HS128">
        <v>1.8642700000000001</v>
      </c>
      <c r="HT128">
        <v>1.8663000000000001</v>
      </c>
      <c r="HU128">
        <v>5</v>
      </c>
      <c r="HV128">
        <v>0</v>
      </c>
      <c r="HW128">
        <v>0</v>
      </c>
      <c r="HX128">
        <v>0</v>
      </c>
      <c r="HY128" t="s">
        <v>422</v>
      </c>
      <c r="HZ128" t="s">
        <v>423</v>
      </c>
      <c r="IA128" t="s">
        <v>424</v>
      </c>
      <c r="IB128" t="s">
        <v>424</v>
      </c>
      <c r="IC128" t="s">
        <v>424</v>
      </c>
      <c r="ID128" t="s">
        <v>424</v>
      </c>
      <c r="IE128">
        <v>0</v>
      </c>
      <c r="IF128">
        <v>100</v>
      </c>
      <c r="IG128">
        <v>100</v>
      </c>
      <c r="IH128">
        <v>3.1379999999999999</v>
      </c>
      <c r="II128">
        <v>0.81699999999999995</v>
      </c>
      <c r="IJ128">
        <v>3.2046691028649672</v>
      </c>
      <c r="IK128">
        <v>1.118558698776514E-3</v>
      </c>
      <c r="IL128">
        <v>-1.6939696309573479E-6</v>
      </c>
      <c r="IM128">
        <v>5.4698917449866148E-10</v>
      </c>
      <c r="IN128">
        <v>0.14484686033645591</v>
      </c>
      <c r="IO128">
        <v>-7.6058941998734366E-3</v>
      </c>
      <c r="IP128">
        <v>1.6984902717538061E-3</v>
      </c>
      <c r="IQ128">
        <v>-9.6352527008986976E-6</v>
      </c>
      <c r="IR128">
        <v>2</v>
      </c>
      <c r="IS128">
        <v>2021</v>
      </c>
      <c r="IT128">
        <v>2</v>
      </c>
      <c r="IU128">
        <v>40</v>
      </c>
      <c r="IV128">
        <v>2.2000000000000002</v>
      </c>
      <c r="IW128">
        <v>2.2000000000000002</v>
      </c>
      <c r="IX128">
        <v>3.0517599999999998</v>
      </c>
      <c r="IY128">
        <v>2.49756</v>
      </c>
      <c r="IZ128">
        <v>1.34399</v>
      </c>
      <c r="JA128">
        <v>2.2387700000000001</v>
      </c>
      <c r="JB128">
        <v>1.5918000000000001</v>
      </c>
      <c r="JC128">
        <v>2.2863799999999999</v>
      </c>
      <c r="JD128">
        <v>36.410699999999999</v>
      </c>
      <c r="JE128">
        <v>15.734400000000001</v>
      </c>
      <c r="JF128">
        <v>18</v>
      </c>
      <c r="JG128">
        <v>512.29200000000003</v>
      </c>
      <c r="JH128">
        <v>464.13400000000001</v>
      </c>
      <c r="JI128">
        <v>27.617799999999999</v>
      </c>
      <c r="JJ128">
        <v>28.147300000000001</v>
      </c>
      <c r="JK128">
        <v>29.9999</v>
      </c>
      <c r="JL128">
        <v>28.051200000000001</v>
      </c>
      <c r="JM128">
        <v>27.998000000000001</v>
      </c>
      <c r="JN128">
        <v>61.133099999999999</v>
      </c>
      <c r="JO128">
        <v>24.701799999999999</v>
      </c>
      <c r="JP128">
        <v>77.765600000000006</v>
      </c>
      <c r="JQ128">
        <v>27.610199999999999</v>
      </c>
      <c r="JR128">
        <v>1500</v>
      </c>
      <c r="JS128">
        <v>24.505299999999998</v>
      </c>
      <c r="JT128">
        <v>99.661799999999999</v>
      </c>
      <c r="JU128">
        <v>98.810299999999998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2023-08-31T22:36:11Z</dcterms:created>
  <dcterms:modified xsi:type="dcterms:W3CDTF">2023-09-06T16:24:59Z</dcterms:modified>
</cp:coreProperties>
</file>