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field 2023\Aug 29 2023 ACi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CZ128" i="1" l="1"/>
  <c r="V128" i="1" s="1"/>
  <c r="CY128" i="1"/>
  <c r="CW128" i="1"/>
  <c r="CX128" i="1" s="1"/>
  <c r="AY128" i="1" s="1"/>
  <c r="BL128" i="1"/>
  <c r="BK128" i="1"/>
  <c r="BJ128" i="1"/>
  <c r="BI128" i="1"/>
  <c r="BM128" i="1" s="1"/>
  <c r="BN128" i="1" s="1"/>
  <c r="BG128" i="1"/>
  <c r="BH128" i="1" s="1"/>
  <c r="BD128" i="1"/>
  <c r="BC128" i="1"/>
  <c r="BA128" i="1"/>
  <c r="AW128" i="1"/>
  <c r="AQ128" i="1"/>
  <c r="AL128" i="1"/>
  <c r="AJ128" i="1" s="1"/>
  <c r="AB128" i="1"/>
  <c r="Z128" i="1" s="1"/>
  <c r="AA128" i="1"/>
  <c r="S128" i="1"/>
  <c r="CZ127" i="1"/>
  <c r="CY127" i="1"/>
  <c r="CX127" i="1" s="1"/>
  <c r="CW127" i="1"/>
  <c r="BL127" i="1"/>
  <c r="BK127" i="1"/>
  <c r="BJ127" i="1"/>
  <c r="BI127" i="1"/>
  <c r="BM127" i="1" s="1"/>
  <c r="BN127" i="1" s="1"/>
  <c r="BH127" i="1"/>
  <c r="BG127" i="1"/>
  <c r="BC127" i="1"/>
  <c r="AY127" i="1"/>
  <c r="BA127" i="1" s="1"/>
  <c r="AW127" i="1"/>
  <c r="AQ127" i="1"/>
  <c r="BD127" i="1" s="1"/>
  <c r="AL127" i="1"/>
  <c r="AJ127" i="1"/>
  <c r="N127" i="1" s="1"/>
  <c r="AB127" i="1"/>
  <c r="AA127" i="1"/>
  <c r="Z127" i="1"/>
  <c r="V127" i="1"/>
  <c r="S127" i="1"/>
  <c r="CZ126" i="1"/>
  <c r="CY126" i="1"/>
  <c r="CW126" i="1"/>
  <c r="BL126" i="1"/>
  <c r="BK126" i="1"/>
  <c r="BG126" i="1"/>
  <c r="BC126" i="1"/>
  <c r="AW126" i="1"/>
  <c r="AQ126" i="1"/>
  <c r="BD126" i="1" s="1"/>
  <c r="AL126" i="1"/>
  <c r="AJ126" i="1" s="1"/>
  <c r="AB126" i="1"/>
  <c r="Z126" i="1" s="1"/>
  <c r="AA126" i="1"/>
  <c r="S126" i="1"/>
  <c r="M126" i="1"/>
  <c r="AZ126" i="1" s="1"/>
  <c r="CZ125" i="1"/>
  <c r="CY125" i="1"/>
  <c r="CX125" i="1"/>
  <c r="AY125" i="1" s="1"/>
  <c r="CW125" i="1"/>
  <c r="BL125" i="1"/>
  <c r="BK125" i="1"/>
  <c r="BH125" i="1"/>
  <c r="BG125" i="1"/>
  <c r="BJ125" i="1" s="1"/>
  <c r="BC125" i="1"/>
  <c r="AW125" i="1"/>
  <c r="BA125" i="1" s="1"/>
  <c r="AQ125" i="1"/>
  <c r="BD125" i="1" s="1"/>
  <c r="AL125" i="1"/>
  <c r="AK125" i="1"/>
  <c r="AJ125" i="1"/>
  <c r="Q125" i="1" s="1"/>
  <c r="AB125" i="1"/>
  <c r="AA125" i="1"/>
  <c r="Z125" i="1" s="1"/>
  <c r="V125" i="1"/>
  <c r="S125" i="1"/>
  <c r="N125" i="1"/>
  <c r="M125" i="1"/>
  <c r="AZ125" i="1" s="1"/>
  <c r="BB125" i="1" s="1"/>
  <c r="CZ124" i="1"/>
  <c r="CY124" i="1"/>
  <c r="CW124" i="1"/>
  <c r="CX124" i="1" s="1"/>
  <c r="AY124" i="1" s="1"/>
  <c r="BA124" i="1" s="1"/>
  <c r="BL124" i="1"/>
  <c r="BK124" i="1"/>
  <c r="BG124" i="1"/>
  <c r="BJ124" i="1" s="1"/>
  <c r="BD124" i="1"/>
  <c r="BC124" i="1"/>
  <c r="AW124" i="1"/>
  <c r="AQ124" i="1"/>
  <c r="AL124" i="1"/>
  <c r="AJ124" i="1" s="1"/>
  <c r="AB124" i="1"/>
  <c r="AA124" i="1"/>
  <c r="Z124" i="1" s="1"/>
  <c r="S124" i="1"/>
  <c r="Q124" i="1"/>
  <c r="CZ123" i="1"/>
  <c r="CY123" i="1"/>
  <c r="CX123" i="1" s="1"/>
  <c r="CW123" i="1"/>
  <c r="BL123" i="1"/>
  <c r="BK123" i="1"/>
  <c r="BI123" i="1"/>
  <c r="BM123" i="1" s="1"/>
  <c r="BN123" i="1" s="1"/>
  <c r="BH123" i="1"/>
  <c r="BG123" i="1"/>
  <c r="BJ123" i="1" s="1"/>
  <c r="BC123" i="1"/>
  <c r="AY123" i="1"/>
  <c r="BA123" i="1" s="1"/>
  <c r="AW123" i="1"/>
  <c r="AQ123" i="1"/>
  <c r="BD123" i="1" s="1"/>
  <c r="AL123" i="1"/>
  <c r="AJ123" i="1"/>
  <c r="N123" i="1" s="1"/>
  <c r="AB123" i="1"/>
  <c r="AA123" i="1"/>
  <c r="Z123" i="1"/>
  <c r="V123" i="1"/>
  <c r="S123" i="1"/>
  <c r="Q123" i="1"/>
  <c r="CZ122" i="1"/>
  <c r="CY122" i="1"/>
  <c r="CW122" i="1"/>
  <c r="BL122" i="1"/>
  <c r="BK122" i="1"/>
  <c r="BG122" i="1"/>
  <c r="BC122" i="1"/>
  <c r="AW122" i="1"/>
  <c r="AQ122" i="1"/>
  <c r="BD122" i="1" s="1"/>
  <c r="AL122" i="1"/>
  <c r="AJ122" i="1" s="1"/>
  <c r="AB122" i="1"/>
  <c r="AA122" i="1"/>
  <c r="Z122" i="1" s="1"/>
  <c r="S122" i="1"/>
  <c r="CZ121" i="1"/>
  <c r="CY121" i="1"/>
  <c r="CW121" i="1"/>
  <c r="CX121" i="1" s="1"/>
  <c r="AY121" i="1" s="1"/>
  <c r="BL121" i="1"/>
  <c r="BK121" i="1"/>
  <c r="BG121" i="1"/>
  <c r="BJ121" i="1" s="1"/>
  <c r="BC121" i="1"/>
  <c r="AW121" i="1"/>
  <c r="BA121" i="1" s="1"/>
  <c r="AQ121" i="1"/>
  <c r="BD121" i="1" s="1"/>
  <c r="AL121" i="1"/>
  <c r="AK121" i="1"/>
  <c r="AJ121" i="1"/>
  <c r="L121" i="1" s="1"/>
  <c r="K121" i="1" s="1"/>
  <c r="AB121" i="1"/>
  <c r="AA121" i="1"/>
  <c r="Z121" i="1" s="1"/>
  <c r="S121" i="1"/>
  <c r="Q121" i="1"/>
  <c r="N121" i="1"/>
  <c r="M121" i="1"/>
  <c r="AZ121" i="1" s="1"/>
  <c r="BB121" i="1" s="1"/>
  <c r="CZ120" i="1"/>
  <c r="CY120" i="1"/>
  <c r="CW120" i="1"/>
  <c r="CX120" i="1" s="1"/>
  <c r="AY120" i="1" s="1"/>
  <c r="BL120" i="1"/>
  <c r="BK120" i="1"/>
  <c r="BG120" i="1"/>
  <c r="BJ120" i="1" s="1"/>
  <c r="BD120" i="1"/>
  <c r="BC120" i="1"/>
  <c r="BA120" i="1"/>
  <c r="AW120" i="1"/>
  <c r="AQ120" i="1"/>
  <c r="AL120" i="1"/>
  <c r="AJ120" i="1" s="1"/>
  <c r="AB120" i="1"/>
  <c r="AA120" i="1"/>
  <c r="Z120" i="1" s="1"/>
  <c r="S120" i="1"/>
  <c r="Q120" i="1"/>
  <c r="CZ119" i="1"/>
  <c r="CY119" i="1"/>
  <c r="CW119" i="1"/>
  <c r="BL119" i="1"/>
  <c r="BK119" i="1"/>
  <c r="BI119" i="1"/>
  <c r="BM119" i="1" s="1"/>
  <c r="BN119" i="1" s="1"/>
  <c r="BG119" i="1"/>
  <c r="BH119" i="1" s="1"/>
  <c r="BC119" i="1"/>
  <c r="AW119" i="1"/>
  <c r="AQ119" i="1"/>
  <c r="BD119" i="1" s="1"/>
  <c r="AL119" i="1"/>
  <c r="AJ119" i="1"/>
  <c r="N119" i="1" s="1"/>
  <c r="AB119" i="1"/>
  <c r="AA119" i="1"/>
  <c r="Z119" i="1"/>
  <c r="S119" i="1"/>
  <c r="Q119" i="1"/>
  <c r="CZ118" i="1"/>
  <c r="CY118" i="1"/>
  <c r="CW118" i="1"/>
  <c r="BL118" i="1"/>
  <c r="BK118" i="1"/>
  <c r="BI118" i="1"/>
  <c r="BM118" i="1" s="1"/>
  <c r="BN118" i="1" s="1"/>
  <c r="BG118" i="1"/>
  <c r="BC118" i="1"/>
  <c r="AW118" i="1"/>
  <c r="AQ118" i="1"/>
  <c r="BD118" i="1" s="1"/>
  <c r="AL118" i="1"/>
  <c r="AJ118" i="1" s="1"/>
  <c r="AB118" i="1"/>
  <c r="AA118" i="1"/>
  <c r="Z118" i="1" s="1"/>
  <c r="S118" i="1"/>
  <c r="M118" i="1"/>
  <c r="AZ118" i="1" s="1"/>
  <c r="CZ117" i="1"/>
  <c r="CY117" i="1"/>
  <c r="CW117" i="1"/>
  <c r="BL117" i="1"/>
  <c r="BK117" i="1"/>
  <c r="BG117" i="1"/>
  <c r="BC117" i="1"/>
  <c r="AW117" i="1"/>
  <c r="AQ117" i="1"/>
  <c r="BD117" i="1" s="1"/>
  <c r="AL117" i="1"/>
  <c r="AK117" i="1"/>
  <c r="AJ117" i="1"/>
  <c r="L117" i="1" s="1"/>
  <c r="AB117" i="1"/>
  <c r="AA117" i="1"/>
  <c r="Z117" i="1" s="1"/>
  <c r="S117" i="1"/>
  <c r="Q117" i="1"/>
  <c r="N117" i="1"/>
  <c r="M117" i="1"/>
  <c r="AZ117" i="1" s="1"/>
  <c r="K117" i="1"/>
  <c r="CZ116" i="1"/>
  <c r="CY116" i="1"/>
  <c r="CW116" i="1"/>
  <c r="CX116" i="1" s="1"/>
  <c r="BL116" i="1"/>
  <c r="BK116" i="1"/>
  <c r="BI116" i="1"/>
  <c r="BM116" i="1" s="1"/>
  <c r="BN116" i="1" s="1"/>
  <c r="BG116" i="1"/>
  <c r="BJ116" i="1" s="1"/>
  <c r="BC116" i="1"/>
  <c r="BA116" i="1"/>
  <c r="AY116" i="1"/>
  <c r="AW116" i="1"/>
  <c r="AQ116" i="1"/>
  <c r="BD116" i="1" s="1"/>
  <c r="AL116" i="1"/>
  <c r="AJ116" i="1" s="1"/>
  <c r="AK116" i="1"/>
  <c r="AB116" i="1"/>
  <c r="AA116" i="1"/>
  <c r="Z116" i="1" s="1"/>
  <c r="S116" i="1"/>
  <c r="Q116" i="1"/>
  <c r="CZ115" i="1"/>
  <c r="CY115" i="1"/>
  <c r="CW115" i="1"/>
  <c r="BL115" i="1"/>
  <c r="BK115" i="1"/>
  <c r="BI115" i="1"/>
  <c r="BM115" i="1" s="1"/>
  <c r="BN115" i="1" s="1"/>
  <c r="BG115" i="1"/>
  <c r="BC115" i="1"/>
  <c r="AW115" i="1"/>
  <c r="AQ115" i="1"/>
  <c r="BD115" i="1" s="1"/>
  <c r="AL115" i="1"/>
  <c r="AK115" i="1"/>
  <c r="AJ115" i="1"/>
  <c r="N115" i="1" s="1"/>
  <c r="AB115" i="1"/>
  <c r="AA115" i="1"/>
  <c r="Z115" i="1" s="1"/>
  <c r="S115" i="1"/>
  <c r="Q115" i="1"/>
  <c r="M115" i="1"/>
  <c r="AZ115" i="1" s="1"/>
  <c r="CZ114" i="1"/>
  <c r="CY114" i="1"/>
  <c r="CW114" i="1"/>
  <c r="BL114" i="1"/>
  <c r="BK114" i="1"/>
  <c r="BG114" i="1"/>
  <c r="BC114" i="1"/>
  <c r="AW114" i="1"/>
  <c r="AQ114" i="1"/>
  <c r="BD114" i="1" s="1"/>
  <c r="AL114" i="1"/>
  <c r="AJ114" i="1" s="1"/>
  <c r="AK114" i="1"/>
  <c r="AB114" i="1"/>
  <c r="AA114" i="1"/>
  <c r="Z114" i="1" s="1"/>
  <c r="S114" i="1"/>
  <c r="M114" i="1"/>
  <c r="AZ114" i="1" s="1"/>
  <c r="CZ113" i="1"/>
  <c r="CY113" i="1"/>
  <c r="CX113" i="1" s="1"/>
  <c r="AY113" i="1" s="1"/>
  <c r="CW113" i="1"/>
  <c r="V113" i="1" s="1"/>
  <c r="BL113" i="1"/>
  <c r="BK113" i="1"/>
  <c r="BI113" i="1"/>
  <c r="BM113" i="1" s="1"/>
  <c r="BN113" i="1" s="1"/>
  <c r="BG113" i="1"/>
  <c r="BJ113" i="1" s="1"/>
  <c r="BC113" i="1"/>
  <c r="AW113" i="1"/>
  <c r="AQ113" i="1"/>
  <c r="BD113" i="1" s="1"/>
  <c r="AL113" i="1"/>
  <c r="AK113" i="1"/>
  <c r="AJ113" i="1"/>
  <c r="L113" i="1" s="1"/>
  <c r="K113" i="1" s="1"/>
  <c r="AB113" i="1"/>
  <c r="AA113" i="1"/>
  <c r="Z113" i="1"/>
  <c r="S113" i="1"/>
  <c r="N113" i="1"/>
  <c r="CZ112" i="1"/>
  <c r="CY112" i="1"/>
  <c r="CW112" i="1"/>
  <c r="BL112" i="1"/>
  <c r="BK112" i="1"/>
  <c r="BG112" i="1"/>
  <c r="BH112" i="1" s="1"/>
  <c r="BD112" i="1"/>
  <c r="BC112" i="1"/>
  <c r="AW112" i="1"/>
  <c r="AQ112" i="1"/>
  <c r="AL112" i="1"/>
  <c r="AJ112" i="1" s="1"/>
  <c r="N112" i="1" s="1"/>
  <c r="AK112" i="1"/>
  <c r="AB112" i="1"/>
  <c r="AA112" i="1"/>
  <c r="Z112" i="1" s="1"/>
  <c r="S112" i="1"/>
  <c r="M112" i="1"/>
  <c r="AZ112" i="1" s="1"/>
  <c r="CZ111" i="1"/>
  <c r="CY111" i="1"/>
  <c r="CW111" i="1"/>
  <c r="CX111" i="1" s="1"/>
  <c r="AY111" i="1" s="1"/>
  <c r="BA111" i="1" s="1"/>
  <c r="BM111" i="1"/>
  <c r="BN111" i="1" s="1"/>
  <c r="BL111" i="1"/>
  <c r="BK111" i="1"/>
  <c r="BI111" i="1"/>
  <c r="BG111" i="1"/>
  <c r="BJ111" i="1" s="1"/>
  <c r="BC111" i="1"/>
  <c r="AW111" i="1"/>
  <c r="AQ111" i="1"/>
  <c r="BD111" i="1" s="1"/>
  <c r="AL111" i="1"/>
  <c r="AK111" i="1"/>
  <c r="AJ111" i="1"/>
  <c r="L111" i="1" s="1"/>
  <c r="AD111" i="1"/>
  <c r="AB111" i="1"/>
  <c r="AA111" i="1"/>
  <c r="Z111" i="1"/>
  <c r="V111" i="1"/>
  <c r="S111" i="1"/>
  <c r="Q111" i="1"/>
  <c r="N111" i="1"/>
  <c r="M111" i="1"/>
  <c r="AZ111" i="1" s="1"/>
  <c r="K111" i="1"/>
  <c r="CZ110" i="1"/>
  <c r="CY110" i="1"/>
  <c r="CW110" i="1"/>
  <c r="CX110" i="1" s="1"/>
  <c r="BL110" i="1"/>
  <c r="BK110" i="1"/>
  <c r="BJ110" i="1"/>
  <c r="BI110" i="1"/>
  <c r="BM110" i="1" s="1"/>
  <c r="BN110" i="1" s="1"/>
  <c r="BG110" i="1"/>
  <c r="BH110" i="1" s="1"/>
  <c r="BC110" i="1"/>
  <c r="AY110" i="1"/>
  <c r="BA110" i="1" s="1"/>
  <c r="AW110" i="1"/>
  <c r="AQ110" i="1"/>
  <c r="BD110" i="1" s="1"/>
  <c r="AL110" i="1"/>
  <c r="AJ110" i="1" s="1"/>
  <c r="N110" i="1" s="1"/>
  <c r="AK110" i="1"/>
  <c r="AB110" i="1"/>
  <c r="AA110" i="1"/>
  <c r="S110" i="1"/>
  <c r="Q110" i="1"/>
  <c r="L110" i="1"/>
  <c r="K110" i="1"/>
  <c r="AD110" i="1" s="1"/>
  <c r="CZ109" i="1"/>
  <c r="V109" i="1" s="1"/>
  <c r="CY109" i="1"/>
  <c r="CX109" i="1"/>
  <c r="AY109" i="1" s="1"/>
  <c r="BA109" i="1" s="1"/>
  <c r="CW109" i="1"/>
  <c r="BL109" i="1"/>
  <c r="BK109" i="1"/>
  <c r="BJ109" i="1"/>
  <c r="BI109" i="1"/>
  <c r="BM109" i="1" s="1"/>
  <c r="BN109" i="1" s="1"/>
  <c r="BH109" i="1"/>
  <c r="BG109" i="1"/>
  <c r="BC109" i="1"/>
  <c r="AW109" i="1"/>
  <c r="AQ109" i="1"/>
  <c r="BD109" i="1" s="1"/>
  <c r="AL109" i="1"/>
  <c r="AJ109" i="1"/>
  <c r="N109" i="1" s="1"/>
  <c r="AB109" i="1"/>
  <c r="AA109" i="1"/>
  <c r="Z109" i="1"/>
  <c r="S109" i="1"/>
  <c r="Q109" i="1"/>
  <c r="CZ108" i="1"/>
  <c r="CY108" i="1"/>
  <c r="CX108" i="1"/>
  <c r="AY108" i="1" s="1"/>
  <c r="CW108" i="1"/>
  <c r="BL108" i="1"/>
  <c r="BK108" i="1"/>
  <c r="BJ108" i="1"/>
  <c r="BI108" i="1"/>
  <c r="BM108" i="1" s="1"/>
  <c r="BN108" i="1" s="1"/>
  <c r="BH108" i="1"/>
  <c r="BG108" i="1"/>
  <c r="BC108" i="1"/>
  <c r="AW108" i="1"/>
  <c r="BA108" i="1" s="1"/>
  <c r="AQ108" i="1"/>
  <c r="BD108" i="1" s="1"/>
  <c r="AL108" i="1"/>
  <c r="AJ108" i="1" s="1"/>
  <c r="AB108" i="1"/>
  <c r="Z108" i="1" s="1"/>
  <c r="AA108" i="1"/>
  <c r="V108" i="1"/>
  <c r="S108" i="1"/>
  <c r="CZ107" i="1"/>
  <c r="CY107" i="1"/>
  <c r="CW107" i="1"/>
  <c r="CX107" i="1" s="1"/>
  <c r="AY107" i="1" s="1"/>
  <c r="BL107" i="1"/>
  <c r="BK107" i="1"/>
  <c r="BG107" i="1"/>
  <c r="BJ107" i="1" s="1"/>
  <c r="BD107" i="1"/>
  <c r="BC107" i="1"/>
  <c r="AW107" i="1"/>
  <c r="BA107" i="1" s="1"/>
  <c r="AQ107" i="1"/>
  <c r="AL107" i="1"/>
  <c r="AJ107" i="1" s="1"/>
  <c r="AB107" i="1"/>
  <c r="Z107" i="1" s="1"/>
  <c r="AA107" i="1"/>
  <c r="S107" i="1"/>
  <c r="L107" i="1"/>
  <c r="K107" i="1" s="1"/>
  <c r="AD107" i="1" s="1"/>
  <c r="CZ106" i="1"/>
  <c r="V106" i="1" s="1"/>
  <c r="CY106" i="1"/>
  <c r="CX106" i="1" s="1"/>
  <c r="AY106" i="1" s="1"/>
  <c r="BA106" i="1" s="1"/>
  <c r="CW106" i="1"/>
  <c r="BM106" i="1"/>
  <c r="BN106" i="1" s="1"/>
  <c r="BL106" i="1"/>
  <c r="BK106" i="1"/>
  <c r="BJ106" i="1"/>
  <c r="BI106" i="1"/>
  <c r="BH106" i="1"/>
  <c r="BG106" i="1"/>
  <c r="BD106" i="1"/>
  <c r="BC106" i="1"/>
  <c r="AW106" i="1"/>
  <c r="AQ106" i="1"/>
  <c r="AL106" i="1"/>
  <c r="AJ106" i="1"/>
  <c r="AB106" i="1"/>
  <c r="AA106" i="1"/>
  <c r="Z106" i="1"/>
  <c r="S106" i="1"/>
  <c r="CZ105" i="1"/>
  <c r="V105" i="1" s="1"/>
  <c r="CY105" i="1"/>
  <c r="CX105" i="1" s="1"/>
  <c r="AY105" i="1" s="1"/>
  <c r="BA105" i="1" s="1"/>
  <c r="CW105" i="1"/>
  <c r="BL105" i="1"/>
  <c r="BK105" i="1"/>
  <c r="BJ105" i="1"/>
  <c r="BI105" i="1"/>
  <c r="BM105" i="1" s="1"/>
  <c r="BN105" i="1" s="1"/>
  <c r="BH105" i="1"/>
  <c r="BG105" i="1"/>
  <c r="BC105" i="1"/>
  <c r="AW105" i="1"/>
  <c r="AQ105" i="1"/>
  <c r="BD105" i="1" s="1"/>
  <c r="AL105" i="1"/>
  <c r="AJ105" i="1"/>
  <c r="N105" i="1" s="1"/>
  <c r="AB105" i="1"/>
  <c r="AA105" i="1"/>
  <c r="Z105" i="1"/>
  <c r="S105" i="1"/>
  <c r="Q105" i="1"/>
  <c r="CZ104" i="1"/>
  <c r="CY104" i="1"/>
  <c r="CX104" i="1" s="1"/>
  <c r="AY104" i="1" s="1"/>
  <c r="CW104" i="1"/>
  <c r="BL104" i="1"/>
  <c r="BK104" i="1"/>
  <c r="BJ104" i="1"/>
  <c r="BI104" i="1"/>
  <c r="BM104" i="1" s="1"/>
  <c r="BN104" i="1" s="1"/>
  <c r="BH104" i="1"/>
  <c r="BG104" i="1"/>
  <c r="BC104" i="1"/>
  <c r="AW104" i="1"/>
  <c r="AQ104" i="1"/>
  <c r="BD104" i="1" s="1"/>
  <c r="AL104" i="1"/>
  <c r="AJ104" i="1" s="1"/>
  <c r="AB104" i="1"/>
  <c r="Z104" i="1" s="1"/>
  <c r="AA104" i="1"/>
  <c r="V104" i="1"/>
  <c r="S104" i="1"/>
  <c r="N104" i="1"/>
  <c r="CZ103" i="1"/>
  <c r="CY103" i="1"/>
  <c r="CW103" i="1"/>
  <c r="BL103" i="1"/>
  <c r="BK103" i="1"/>
  <c r="BG103" i="1"/>
  <c r="BD103" i="1"/>
  <c r="BC103" i="1"/>
  <c r="AW103" i="1"/>
  <c r="AQ103" i="1"/>
  <c r="AL103" i="1"/>
  <c r="AJ103" i="1" s="1"/>
  <c r="AB103" i="1"/>
  <c r="AA103" i="1"/>
  <c r="Z103" i="1" s="1"/>
  <c r="S103" i="1"/>
  <c r="L103" i="1"/>
  <c r="K103" i="1" s="1"/>
  <c r="AD103" i="1" s="1"/>
  <c r="CZ102" i="1"/>
  <c r="V102" i="1" s="1"/>
  <c r="CY102" i="1"/>
  <c r="CW102" i="1"/>
  <c r="CX102" i="1" s="1"/>
  <c r="AY102" i="1" s="1"/>
  <c r="BA102" i="1" s="1"/>
  <c r="BM102" i="1"/>
  <c r="BN102" i="1" s="1"/>
  <c r="BL102" i="1"/>
  <c r="BK102" i="1"/>
  <c r="BJ102" i="1"/>
  <c r="BI102" i="1"/>
  <c r="BG102" i="1"/>
  <c r="BH102" i="1" s="1"/>
  <c r="BD102" i="1"/>
  <c r="BC102" i="1"/>
  <c r="AW102" i="1"/>
  <c r="AQ102" i="1"/>
  <c r="AL102" i="1"/>
  <c r="AK102" i="1"/>
  <c r="AJ102" i="1"/>
  <c r="AB102" i="1"/>
  <c r="AA102" i="1"/>
  <c r="Z102" i="1"/>
  <c r="S102" i="1"/>
  <c r="CZ101" i="1"/>
  <c r="V101" i="1" s="1"/>
  <c r="CY101" i="1"/>
  <c r="CX101" i="1" s="1"/>
  <c r="AY101" i="1" s="1"/>
  <c r="BA101" i="1" s="1"/>
  <c r="CW101" i="1"/>
  <c r="BL101" i="1"/>
  <c r="BK101" i="1"/>
  <c r="BJ101" i="1"/>
  <c r="BI101" i="1"/>
  <c r="BM101" i="1" s="1"/>
  <c r="BN101" i="1" s="1"/>
  <c r="BH101" i="1"/>
  <c r="BG101" i="1"/>
  <c r="BC101" i="1"/>
  <c r="AW101" i="1"/>
  <c r="AQ101" i="1"/>
  <c r="BD101" i="1" s="1"/>
  <c r="AL101" i="1"/>
  <c r="AJ101" i="1"/>
  <c r="N101" i="1" s="1"/>
  <c r="AB101" i="1"/>
  <c r="AA101" i="1"/>
  <c r="Z101" i="1"/>
  <c r="S101" i="1"/>
  <c r="Q101" i="1"/>
  <c r="CZ100" i="1"/>
  <c r="CY100" i="1"/>
  <c r="CX100" i="1"/>
  <c r="CW100" i="1"/>
  <c r="BL100" i="1"/>
  <c r="BK100" i="1"/>
  <c r="BI100" i="1"/>
  <c r="BM100" i="1" s="1"/>
  <c r="BN100" i="1" s="1"/>
  <c r="BH100" i="1"/>
  <c r="BG100" i="1"/>
  <c r="BJ100" i="1" s="1"/>
  <c r="BC100" i="1"/>
  <c r="AY100" i="1"/>
  <c r="AW100" i="1"/>
  <c r="AQ100" i="1"/>
  <c r="BD100" i="1" s="1"/>
  <c r="AL100" i="1"/>
  <c r="AJ100" i="1" s="1"/>
  <c r="AB100" i="1"/>
  <c r="Z100" i="1" s="1"/>
  <c r="AA100" i="1"/>
  <c r="V100" i="1"/>
  <c r="S100" i="1"/>
  <c r="N100" i="1"/>
  <c r="CZ99" i="1"/>
  <c r="CY99" i="1"/>
  <c r="CW99" i="1"/>
  <c r="BL99" i="1"/>
  <c r="BK99" i="1"/>
  <c r="BG99" i="1"/>
  <c r="BC99" i="1"/>
  <c r="AW99" i="1"/>
  <c r="AQ99" i="1"/>
  <c r="BD99" i="1" s="1"/>
  <c r="AL99" i="1"/>
  <c r="AJ99" i="1" s="1"/>
  <c r="AB99" i="1"/>
  <c r="AA99" i="1"/>
  <c r="S99" i="1"/>
  <c r="CZ98" i="1"/>
  <c r="CY98" i="1"/>
  <c r="CW98" i="1"/>
  <c r="CX98" i="1" s="1"/>
  <c r="AY98" i="1" s="1"/>
  <c r="BA98" i="1" s="1"/>
  <c r="BL98" i="1"/>
  <c r="BK98" i="1"/>
  <c r="BG98" i="1"/>
  <c r="BJ98" i="1" s="1"/>
  <c r="BD98" i="1"/>
  <c r="BC98" i="1"/>
  <c r="AW98" i="1"/>
  <c r="AQ98" i="1"/>
  <c r="AL98" i="1"/>
  <c r="AJ98" i="1" s="1"/>
  <c r="AB98" i="1"/>
  <c r="AA98" i="1"/>
  <c r="Z98" i="1"/>
  <c r="S98" i="1"/>
  <c r="CZ97" i="1"/>
  <c r="V97" i="1" s="1"/>
  <c r="CY97" i="1"/>
  <c r="CW97" i="1"/>
  <c r="BL97" i="1"/>
  <c r="BK97" i="1"/>
  <c r="BJ97" i="1"/>
  <c r="BI97" i="1"/>
  <c r="BM97" i="1" s="1"/>
  <c r="BN97" i="1" s="1"/>
  <c r="BG97" i="1"/>
  <c r="BH97" i="1" s="1"/>
  <c r="BC97" i="1"/>
  <c r="AW97" i="1"/>
  <c r="AQ97" i="1"/>
  <c r="BD97" i="1" s="1"/>
  <c r="AL97" i="1"/>
  <c r="AJ97" i="1"/>
  <c r="AB97" i="1"/>
  <c r="AA97" i="1"/>
  <c r="Z97" i="1"/>
  <c r="S97" i="1"/>
  <c r="CZ96" i="1"/>
  <c r="V96" i="1" s="1"/>
  <c r="CY96" i="1"/>
  <c r="CW96" i="1"/>
  <c r="BL96" i="1"/>
  <c r="BK96" i="1"/>
  <c r="BG96" i="1"/>
  <c r="BC96" i="1"/>
  <c r="AW96" i="1"/>
  <c r="AQ96" i="1"/>
  <c r="BD96" i="1" s="1"/>
  <c r="AL96" i="1"/>
  <c r="AJ96" i="1" s="1"/>
  <c r="AB96" i="1"/>
  <c r="AA96" i="1"/>
  <c r="Z96" i="1" s="1"/>
  <c r="S96" i="1"/>
  <c r="N96" i="1"/>
  <c r="CZ95" i="1"/>
  <c r="CY95" i="1"/>
  <c r="CX95" i="1" s="1"/>
  <c r="AY95" i="1" s="1"/>
  <c r="CW95" i="1"/>
  <c r="BM95" i="1"/>
  <c r="BN95" i="1" s="1"/>
  <c r="BL95" i="1"/>
  <c r="BK95" i="1"/>
  <c r="BJ95" i="1"/>
  <c r="BI95" i="1"/>
  <c r="BH95" i="1"/>
  <c r="BG95" i="1"/>
  <c r="BD95" i="1"/>
  <c r="BC95" i="1"/>
  <c r="AZ95" i="1"/>
  <c r="AW95" i="1"/>
  <c r="AQ95" i="1"/>
  <c r="AL95" i="1"/>
  <c r="AJ95" i="1" s="1"/>
  <c r="AK95" i="1"/>
  <c r="AB95" i="1"/>
  <c r="AA95" i="1"/>
  <c r="V95" i="1"/>
  <c r="W95" i="1" s="1"/>
  <c r="X95" i="1" s="1"/>
  <c r="S95" i="1"/>
  <c r="Q95" i="1"/>
  <c r="N95" i="1"/>
  <c r="M95" i="1"/>
  <c r="L95" i="1"/>
  <c r="K95" i="1" s="1"/>
  <c r="CZ94" i="1"/>
  <c r="CY94" i="1"/>
  <c r="CX94" i="1"/>
  <c r="AY94" i="1" s="1"/>
  <c r="CW94" i="1"/>
  <c r="BL94" i="1"/>
  <c r="BK94" i="1"/>
  <c r="BJ94" i="1"/>
  <c r="BI94" i="1"/>
  <c r="BM94" i="1" s="1"/>
  <c r="BN94" i="1" s="1"/>
  <c r="BH94" i="1"/>
  <c r="BG94" i="1"/>
  <c r="BD94" i="1"/>
  <c r="BC94" i="1"/>
  <c r="AW94" i="1"/>
  <c r="BA94" i="1" s="1"/>
  <c r="AQ94" i="1"/>
  <c r="AL94" i="1"/>
  <c r="AJ94" i="1"/>
  <c r="M94" i="1" s="1"/>
  <c r="AZ94" i="1" s="1"/>
  <c r="AB94" i="1"/>
  <c r="AA94" i="1"/>
  <c r="Z94" i="1"/>
  <c r="V94" i="1"/>
  <c r="S94" i="1"/>
  <c r="N94" i="1"/>
  <c r="CZ93" i="1"/>
  <c r="CY93" i="1"/>
  <c r="CW93" i="1"/>
  <c r="CX93" i="1" s="1"/>
  <c r="AY93" i="1" s="1"/>
  <c r="BA93" i="1" s="1"/>
  <c r="BL93" i="1"/>
  <c r="BK93" i="1"/>
  <c r="BG93" i="1"/>
  <c r="BJ93" i="1" s="1"/>
  <c r="BD93" i="1"/>
  <c r="BC93" i="1"/>
  <c r="AW93" i="1"/>
  <c r="AQ93" i="1"/>
  <c r="AL93" i="1"/>
  <c r="AJ93" i="1" s="1"/>
  <c r="AB93" i="1"/>
  <c r="Z93" i="1" s="1"/>
  <c r="AA93" i="1"/>
  <c r="S93" i="1"/>
  <c r="CZ92" i="1"/>
  <c r="CY92" i="1"/>
  <c r="CX92" i="1"/>
  <c r="AY92" i="1" s="1"/>
  <c r="CW92" i="1"/>
  <c r="BL92" i="1"/>
  <c r="BK92" i="1"/>
  <c r="BJ92" i="1"/>
  <c r="BH92" i="1"/>
  <c r="BG92" i="1"/>
  <c r="BI92" i="1" s="1"/>
  <c r="BM92" i="1" s="1"/>
  <c r="BN92" i="1" s="1"/>
  <c r="BC92" i="1"/>
  <c r="AW92" i="1"/>
  <c r="AQ92" i="1"/>
  <c r="BD92" i="1" s="1"/>
  <c r="AL92" i="1"/>
  <c r="AJ92" i="1"/>
  <c r="AB92" i="1"/>
  <c r="AA92" i="1"/>
  <c r="Z92" i="1"/>
  <c r="V92" i="1"/>
  <c r="S92" i="1"/>
  <c r="CZ91" i="1"/>
  <c r="V91" i="1" s="1"/>
  <c r="CY91" i="1"/>
  <c r="CX91" i="1"/>
  <c r="AY91" i="1" s="1"/>
  <c r="BA91" i="1" s="1"/>
  <c r="CW91" i="1"/>
  <c r="BL91" i="1"/>
  <c r="BK91" i="1"/>
  <c r="BJ91" i="1"/>
  <c r="BH91" i="1"/>
  <c r="BG91" i="1"/>
  <c r="BI91" i="1" s="1"/>
  <c r="BM91" i="1" s="1"/>
  <c r="BN91" i="1" s="1"/>
  <c r="BD91" i="1"/>
  <c r="BC91" i="1"/>
  <c r="AW91" i="1"/>
  <c r="AQ91" i="1"/>
  <c r="AL91" i="1"/>
  <c r="AJ91" i="1" s="1"/>
  <c r="AB91" i="1"/>
  <c r="AA91" i="1"/>
  <c r="Z91" i="1" s="1"/>
  <c r="S91" i="1"/>
  <c r="CZ90" i="1"/>
  <c r="CY90" i="1"/>
  <c r="CX90" i="1"/>
  <c r="AY90" i="1" s="1"/>
  <c r="CW90" i="1"/>
  <c r="BL90" i="1"/>
  <c r="BK90" i="1"/>
  <c r="BI90" i="1"/>
  <c r="BM90" i="1" s="1"/>
  <c r="BN90" i="1" s="1"/>
  <c r="BH90" i="1"/>
  <c r="BG90" i="1"/>
  <c r="BJ90" i="1" s="1"/>
  <c r="BD90" i="1"/>
  <c r="BC90" i="1"/>
  <c r="AW90" i="1"/>
  <c r="BA90" i="1" s="1"/>
  <c r="AQ90" i="1"/>
  <c r="AL90" i="1"/>
  <c r="AJ90" i="1"/>
  <c r="M90" i="1" s="1"/>
  <c r="AZ90" i="1" s="1"/>
  <c r="AB90" i="1"/>
  <c r="AA90" i="1"/>
  <c r="Z90" i="1"/>
  <c r="V90" i="1"/>
  <c r="S90" i="1"/>
  <c r="N90" i="1"/>
  <c r="CZ89" i="1"/>
  <c r="CY89" i="1"/>
  <c r="CW89" i="1"/>
  <c r="CX89" i="1" s="1"/>
  <c r="AY89" i="1" s="1"/>
  <c r="BA89" i="1" s="1"/>
  <c r="BL89" i="1"/>
  <c r="BK89" i="1"/>
  <c r="BG89" i="1"/>
  <c r="BJ89" i="1" s="1"/>
  <c r="BD89" i="1"/>
  <c r="BC89" i="1"/>
  <c r="AW89" i="1"/>
  <c r="AQ89" i="1"/>
  <c r="AL89" i="1"/>
  <c r="AJ89" i="1" s="1"/>
  <c r="AB89" i="1"/>
  <c r="Z89" i="1" s="1"/>
  <c r="AA89" i="1"/>
  <c r="S89" i="1"/>
  <c r="CZ88" i="1"/>
  <c r="CY88" i="1"/>
  <c r="CX88" i="1"/>
  <c r="AY88" i="1" s="1"/>
  <c r="CW88" i="1"/>
  <c r="BL88" i="1"/>
  <c r="BK88" i="1"/>
  <c r="BJ88" i="1"/>
  <c r="BH88" i="1"/>
  <c r="BG88" i="1"/>
  <c r="BI88" i="1" s="1"/>
  <c r="BM88" i="1" s="1"/>
  <c r="BN88" i="1" s="1"/>
  <c r="BC88" i="1"/>
  <c r="AW88" i="1"/>
  <c r="AQ88" i="1"/>
  <c r="BD88" i="1" s="1"/>
  <c r="AL88" i="1"/>
  <c r="AJ88" i="1"/>
  <c r="AB88" i="1"/>
  <c r="AA88" i="1"/>
  <c r="Z88" i="1"/>
  <c r="V88" i="1"/>
  <c r="S88" i="1"/>
  <c r="CZ87" i="1"/>
  <c r="V87" i="1" s="1"/>
  <c r="CY87" i="1"/>
  <c r="CX87" i="1"/>
  <c r="CW87" i="1"/>
  <c r="BL87" i="1"/>
  <c r="BK87" i="1"/>
  <c r="BJ87" i="1"/>
  <c r="BI87" i="1"/>
  <c r="BM87" i="1" s="1"/>
  <c r="BN87" i="1" s="1"/>
  <c r="BH87" i="1"/>
  <c r="BG87" i="1"/>
  <c r="BD87" i="1"/>
  <c r="BC87" i="1"/>
  <c r="BA87" i="1"/>
  <c r="AY87" i="1"/>
  <c r="AW87" i="1"/>
  <c r="AQ87" i="1"/>
  <c r="AL87" i="1"/>
  <c r="AJ87" i="1" s="1"/>
  <c r="AB87" i="1"/>
  <c r="AA87" i="1"/>
  <c r="Z87" i="1" s="1"/>
  <c r="S87" i="1"/>
  <c r="Q87" i="1"/>
  <c r="CZ86" i="1"/>
  <c r="CY86" i="1"/>
  <c r="CX86" i="1" s="1"/>
  <c r="AY86" i="1" s="1"/>
  <c r="CW86" i="1"/>
  <c r="BL86" i="1"/>
  <c r="BK86" i="1"/>
  <c r="BI86" i="1"/>
  <c r="BM86" i="1" s="1"/>
  <c r="BN86" i="1" s="1"/>
  <c r="BH86" i="1"/>
  <c r="BG86" i="1"/>
  <c r="BJ86" i="1" s="1"/>
  <c r="BC86" i="1"/>
  <c r="AW86" i="1"/>
  <c r="AQ86" i="1"/>
  <c r="BD86" i="1" s="1"/>
  <c r="AL86" i="1"/>
  <c r="AJ86" i="1"/>
  <c r="M86" i="1" s="1"/>
  <c r="AZ86" i="1" s="1"/>
  <c r="AB86" i="1"/>
  <c r="AA86" i="1"/>
  <c r="Z86" i="1"/>
  <c r="V86" i="1"/>
  <c r="S86" i="1"/>
  <c r="N86" i="1"/>
  <c r="CZ85" i="1"/>
  <c r="CY85" i="1"/>
  <c r="CW85" i="1"/>
  <c r="BL85" i="1"/>
  <c r="BK85" i="1"/>
  <c r="BG85" i="1"/>
  <c r="BC85" i="1"/>
  <c r="AW85" i="1"/>
  <c r="AQ85" i="1"/>
  <c r="BD85" i="1" s="1"/>
  <c r="AL85" i="1"/>
  <c r="AJ85" i="1" s="1"/>
  <c r="AB85" i="1"/>
  <c r="Z85" i="1" s="1"/>
  <c r="AA85" i="1"/>
  <c r="S85" i="1"/>
  <c r="L85" i="1"/>
  <c r="K85" i="1" s="1"/>
  <c r="AD85" i="1" s="1"/>
  <c r="CZ84" i="1"/>
  <c r="CY84" i="1"/>
  <c r="CX84" i="1"/>
  <c r="AY84" i="1" s="1"/>
  <c r="CW84" i="1"/>
  <c r="BL84" i="1"/>
  <c r="BK84" i="1"/>
  <c r="BH84" i="1"/>
  <c r="BG84" i="1"/>
  <c r="BJ84" i="1" s="1"/>
  <c r="BC84" i="1"/>
  <c r="AW84" i="1"/>
  <c r="BA84" i="1" s="1"/>
  <c r="AQ84" i="1"/>
  <c r="BD84" i="1" s="1"/>
  <c r="AL84" i="1"/>
  <c r="AJ84" i="1"/>
  <c r="AB84" i="1"/>
  <c r="AA84" i="1"/>
  <c r="Z84" i="1" s="1"/>
  <c r="V84" i="1"/>
  <c r="S84" i="1"/>
  <c r="CZ83" i="1"/>
  <c r="CY83" i="1"/>
  <c r="CW83" i="1"/>
  <c r="CX83" i="1" s="1"/>
  <c r="AY83" i="1" s="1"/>
  <c r="BL83" i="1"/>
  <c r="BK83" i="1"/>
  <c r="BJ83" i="1"/>
  <c r="BI83" i="1"/>
  <c r="BM83" i="1" s="1"/>
  <c r="BN83" i="1" s="1"/>
  <c r="BG83" i="1"/>
  <c r="BH83" i="1" s="1"/>
  <c r="BD83" i="1"/>
  <c r="BC83" i="1"/>
  <c r="BA83" i="1"/>
  <c r="AW83" i="1"/>
  <c r="AQ83" i="1"/>
  <c r="AL83" i="1"/>
  <c r="AJ83" i="1" s="1"/>
  <c r="AB83" i="1"/>
  <c r="AA83" i="1"/>
  <c r="Z83" i="1" s="1"/>
  <c r="S83" i="1"/>
  <c r="Q83" i="1"/>
  <c r="CZ82" i="1"/>
  <c r="CY82" i="1"/>
  <c r="CX82" i="1" s="1"/>
  <c r="AY82" i="1" s="1"/>
  <c r="CW82" i="1"/>
  <c r="BL82" i="1"/>
  <c r="BK82" i="1"/>
  <c r="BI82" i="1"/>
  <c r="BM82" i="1" s="1"/>
  <c r="BN82" i="1" s="1"/>
  <c r="BH82" i="1"/>
  <c r="BG82" i="1"/>
  <c r="BJ82" i="1" s="1"/>
  <c r="BC82" i="1"/>
  <c r="AW82" i="1"/>
  <c r="BA82" i="1" s="1"/>
  <c r="AQ82" i="1"/>
  <c r="BD82" i="1" s="1"/>
  <c r="AL82" i="1"/>
  <c r="AJ82" i="1"/>
  <c r="L82" i="1" s="1"/>
  <c r="K82" i="1" s="1"/>
  <c r="AB82" i="1"/>
  <c r="AA82" i="1"/>
  <c r="Z82" i="1"/>
  <c r="W82" i="1"/>
  <c r="X82" i="1" s="1"/>
  <c r="V82" i="1"/>
  <c r="S82" i="1"/>
  <c r="Q82" i="1"/>
  <c r="N82" i="1"/>
  <c r="M82" i="1"/>
  <c r="AZ82" i="1" s="1"/>
  <c r="BB82" i="1" s="1"/>
  <c r="CZ81" i="1"/>
  <c r="CY81" i="1"/>
  <c r="CW81" i="1"/>
  <c r="BL81" i="1"/>
  <c r="BK81" i="1"/>
  <c r="BJ81" i="1"/>
  <c r="BI81" i="1"/>
  <c r="BM81" i="1" s="1"/>
  <c r="BN81" i="1" s="1"/>
  <c r="BG81" i="1"/>
  <c r="BH81" i="1" s="1"/>
  <c r="BD81" i="1"/>
  <c r="BC81" i="1"/>
  <c r="AW81" i="1"/>
  <c r="AQ81" i="1"/>
  <c r="AL81" i="1"/>
  <c r="AJ81" i="1" s="1"/>
  <c r="N81" i="1" s="1"/>
  <c r="AK81" i="1"/>
  <c r="AB81" i="1"/>
  <c r="AA81" i="1"/>
  <c r="S81" i="1"/>
  <c r="Q81" i="1"/>
  <c r="M81" i="1"/>
  <c r="AZ81" i="1" s="1"/>
  <c r="L81" i="1"/>
  <c r="K81" i="1" s="1"/>
  <c r="CZ80" i="1"/>
  <c r="CY80" i="1"/>
  <c r="CX80" i="1" s="1"/>
  <c r="AY80" i="1" s="1"/>
  <c r="CW80" i="1"/>
  <c r="BL80" i="1"/>
  <c r="BK80" i="1"/>
  <c r="BG80" i="1"/>
  <c r="BC80" i="1"/>
  <c r="AW80" i="1"/>
  <c r="AQ80" i="1"/>
  <c r="BD80" i="1" s="1"/>
  <c r="AL80" i="1"/>
  <c r="AK80" i="1"/>
  <c r="AJ80" i="1"/>
  <c r="N80" i="1" s="1"/>
  <c r="AB80" i="1"/>
  <c r="AA80" i="1"/>
  <c r="Z80" i="1"/>
  <c r="V80" i="1"/>
  <c r="S80" i="1"/>
  <c r="Q80" i="1"/>
  <c r="M80" i="1"/>
  <c r="AZ80" i="1" s="1"/>
  <c r="L80" i="1"/>
  <c r="K80" i="1" s="1"/>
  <c r="CZ79" i="1"/>
  <c r="CY79" i="1"/>
  <c r="CX79" i="1" s="1"/>
  <c r="AY79" i="1" s="1"/>
  <c r="CW79" i="1"/>
  <c r="BL79" i="1"/>
  <c r="BK79" i="1"/>
  <c r="BJ79" i="1"/>
  <c r="BI79" i="1"/>
  <c r="BM79" i="1" s="1"/>
  <c r="BN79" i="1" s="1"/>
  <c r="BH79" i="1"/>
  <c r="BG79" i="1"/>
  <c r="BC79" i="1"/>
  <c r="AW79" i="1"/>
  <c r="AQ79" i="1"/>
  <c r="BD79" i="1" s="1"/>
  <c r="AL79" i="1"/>
  <c r="AJ79" i="1"/>
  <c r="N79" i="1" s="1"/>
  <c r="AB79" i="1"/>
  <c r="AA79" i="1"/>
  <c r="Z79" i="1"/>
  <c r="V79" i="1"/>
  <c r="S79" i="1"/>
  <c r="CZ78" i="1"/>
  <c r="CY78" i="1"/>
  <c r="CW78" i="1"/>
  <c r="BL78" i="1"/>
  <c r="BK78" i="1"/>
  <c r="BG78" i="1"/>
  <c r="BC78" i="1"/>
  <c r="AW78" i="1"/>
  <c r="AQ78" i="1"/>
  <c r="BD78" i="1" s="1"/>
  <c r="AL78" i="1"/>
  <c r="AJ78" i="1" s="1"/>
  <c r="AB78" i="1"/>
  <c r="AA78" i="1"/>
  <c r="Z78" i="1" s="1"/>
  <c r="S78" i="1"/>
  <c r="CZ77" i="1"/>
  <c r="CY77" i="1"/>
  <c r="CX77" i="1" s="1"/>
  <c r="AY77" i="1" s="1"/>
  <c r="CW77" i="1"/>
  <c r="BM77" i="1"/>
  <c r="BN77" i="1" s="1"/>
  <c r="BL77" i="1"/>
  <c r="BK77" i="1"/>
  <c r="BI77" i="1"/>
  <c r="BH77" i="1"/>
  <c r="BG77" i="1"/>
  <c r="BJ77" i="1" s="1"/>
  <c r="BC77" i="1"/>
  <c r="AW77" i="1"/>
  <c r="BA77" i="1" s="1"/>
  <c r="AQ77" i="1"/>
  <c r="BD77" i="1" s="1"/>
  <c r="AL77" i="1"/>
  <c r="AK77" i="1"/>
  <c r="AJ77" i="1"/>
  <c r="M77" i="1" s="1"/>
  <c r="AZ77" i="1" s="1"/>
  <c r="BB77" i="1" s="1"/>
  <c r="AB77" i="1"/>
  <c r="AA77" i="1"/>
  <c r="Z77" i="1" s="1"/>
  <c r="V77" i="1"/>
  <c r="S77" i="1"/>
  <c r="Q77" i="1"/>
  <c r="N77" i="1"/>
  <c r="CZ76" i="1"/>
  <c r="CY76" i="1"/>
  <c r="CW76" i="1"/>
  <c r="CX76" i="1" s="1"/>
  <c r="AY76" i="1" s="1"/>
  <c r="BL76" i="1"/>
  <c r="BK76" i="1"/>
  <c r="BG76" i="1"/>
  <c r="BJ76" i="1" s="1"/>
  <c r="BC76" i="1"/>
  <c r="BA76" i="1"/>
  <c r="AW76" i="1"/>
  <c r="AQ76" i="1"/>
  <c r="BD76" i="1" s="1"/>
  <c r="AL76" i="1"/>
  <c r="AJ76" i="1" s="1"/>
  <c r="AB76" i="1"/>
  <c r="Z76" i="1" s="1"/>
  <c r="AA76" i="1"/>
  <c r="S76" i="1"/>
  <c r="Q76" i="1"/>
  <c r="CZ75" i="1"/>
  <c r="CY75" i="1"/>
  <c r="CW75" i="1"/>
  <c r="CX75" i="1" s="1"/>
  <c r="AY75" i="1" s="1"/>
  <c r="BL75" i="1"/>
  <c r="BK75" i="1"/>
  <c r="BI75" i="1"/>
  <c r="BM75" i="1" s="1"/>
  <c r="BN75" i="1" s="1"/>
  <c r="BG75" i="1"/>
  <c r="BH75" i="1" s="1"/>
  <c r="BC75" i="1"/>
  <c r="AW75" i="1"/>
  <c r="AQ75" i="1"/>
  <c r="BD75" i="1" s="1"/>
  <c r="AL75" i="1"/>
  <c r="AJ75" i="1"/>
  <c r="N75" i="1" s="1"/>
  <c r="AB75" i="1"/>
  <c r="AA75" i="1"/>
  <c r="Z75" i="1"/>
  <c r="V75" i="1"/>
  <c r="S75" i="1"/>
  <c r="CZ74" i="1"/>
  <c r="CY74" i="1"/>
  <c r="CW74" i="1"/>
  <c r="BL74" i="1"/>
  <c r="BK74" i="1"/>
  <c r="BG74" i="1"/>
  <c r="BC74" i="1"/>
  <c r="AW74" i="1"/>
  <c r="AQ74" i="1"/>
  <c r="BD74" i="1" s="1"/>
  <c r="AL74" i="1"/>
  <c r="AJ74" i="1" s="1"/>
  <c r="AB74" i="1"/>
  <c r="AA74" i="1"/>
  <c r="Z74" i="1" s="1"/>
  <c r="S74" i="1"/>
  <c r="M74" i="1"/>
  <c r="AZ74" i="1" s="1"/>
  <c r="CZ73" i="1"/>
  <c r="CY73" i="1"/>
  <c r="CX73" i="1" s="1"/>
  <c r="AY73" i="1" s="1"/>
  <c r="CW73" i="1"/>
  <c r="BM73" i="1"/>
  <c r="BN73" i="1" s="1"/>
  <c r="BL73" i="1"/>
  <c r="BK73" i="1"/>
  <c r="BI73" i="1"/>
  <c r="BH73" i="1"/>
  <c r="BG73" i="1"/>
  <c r="BJ73" i="1" s="1"/>
  <c r="BC73" i="1"/>
  <c r="AW73" i="1"/>
  <c r="BA73" i="1" s="1"/>
  <c r="AQ73" i="1"/>
  <c r="BD73" i="1" s="1"/>
  <c r="AL73" i="1"/>
  <c r="AK73" i="1"/>
  <c r="AJ73" i="1"/>
  <c r="M73" i="1" s="1"/>
  <c r="AZ73" i="1" s="1"/>
  <c r="BB73" i="1" s="1"/>
  <c r="AB73" i="1"/>
  <c r="AA73" i="1"/>
  <c r="Z73" i="1" s="1"/>
  <c r="V73" i="1"/>
  <c r="S73" i="1"/>
  <c r="Q73" i="1"/>
  <c r="N73" i="1"/>
  <c r="CZ72" i="1"/>
  <c r="CY72" i="1"/>
  <c r="CW72" i="1"/>
  <c r="CX72" i="1" s="1"/>
  <c r="AY72" i="1" s="1"/>
  <c r="BL72" i="1"/>
  <c r="BK72" i="1"/>
  <c r="BG72" i="1"/>
  <c r="BJ72" i="1" s="1"/>
  <c r="BC72" i="1"/>
  <c r="BA72" i="1"/>
  <c r="AW72" i="1"/>
  <c r="AQ72" i="1"/>
  <c r="BD72" i="1" s="1"/>
  <c r="AL72" i="1"/>
  <c r="AJ72" i="1" s="1"/>
  <c r="AB72" i="1"/>
  <c r="AA72" i="1"/>
  <c r="Z72" i="1" s="1"/>
  <c r="S72" i="1"/>
  <c r="Q72" i="1"/>
  <c r="CZ71" i="1"/>
  <c r="CY71" i="1"/>
  <c r="CW71" i="1"/>
  <c r="CX71" i="1" s="1"/>
  <c r="BL71" i="1"/>
  <c r="BK71" i="1"/>
  <c r="BI71" i="1"/>
  <c r="BM71" i="1" s="1"/>
  <c r="BN71" i="1" s="1"/>
  <c r="BG71" i="1"/>
  <c r="BH71" i="1" s="1"/>
  <c r="BC71" i="1"/>
  <c r="AY71" i="1"/>
  <c r="AW71" i="1"/>
  <c r="AQ71" i="1"/>
  <c r="BD71" i="1" s="1"/>
  <c r="AL71" i="1"/>
  <c r="AJ71" i="1"/>
  <c r="N71" i="1" s="1"/>
  <c r="AB71" i="1"/>
  <c r="AA71" i="1"/>
  <c r="Z71" i="1"/>
  <c r="S71" i="1"/>
  <c r="CZ70" i="1"/>
  <c r="CY70" i="1"/>
  <c r="CW70" i="1"/>
  <c r="BL70" i="1"/>
  <c r="BK70" i="1"/>
  <c r="BG70" i="1"/>
  <c r="BC70" i="1"/>
  <c r="AW70" i="1"/>
  <c r="AQ70" i="1"/>
  <c r="BD70" i="1" s="1"/>
  <c r="AL70" i="1"/>
  <c r="AJ70" i="1" s="1"/>
  <c r="AB70" i="1"/>
  <c r="AA70" i="1"/>
  <c r="Z70" i="1" s="1"/>
  <c r="S70" i="1"/>
  <c r="M70" i="1"/>
  <c r="AZ70" i="1" s="1"/>
  <c r="CZ69" i="1"/>
  <c r="CY69" i="1"/>
  <c r="CX69" i="1" s="1"/>
  <c r="AY69" i="1" s="1"/>
  <c r="CW69" i="1"/>
  <c r="BM69" i="1"/>
  <c r="BN69" i="1" s="1"/>
  <c r="BL69" i="1"/>
  <c r="BK69" i="1"/>
  <c r="BJ69" i="1"/>
  <c r="BI69" i="1"/>
  <c r="BH69" i="1"/>
  <c r="BG69" i="1"/>
  <c r="BC69" i="1"/>
  <c r="AW69" i="1"/>
  <c r="BA69" i="1" s="1"/>
  <c r="AQ69" i="1"/>
  <c r="BD69" i="1" s="1"/>
  <c r="AL69" i="1"/>
  <c r="AK69" i="1"/>
  <c r="AJ69" i="1"/>
  <c r="M69" i="1" s="1"/>
  <c r="AZ69" i="1" s="1"/>
  <c r="BB69" i="1" s="1"/>
  <c r="AB69" i="1"/>
  <c r="AA69" i="1"/>
  <c r="Z69" i="1" s="1"/>
  <c r="V69" i="1"/>
  <c r="S69" i="1"/>
  <c r="Q69" i="1"/>
  <c r="N69" i="1"/>
  <c r="CZ68" i="1"/>
  <c r="CY68" i="1"/>
  <c r="CW68" i="1"/>
  <c r="BL68" i="1"/>
  <c r="BK68" i="1"/>
  <c r="BG68" i="1"/>
  <c r="BC68" i="1"/>
  <c r="AW68" i="1"/>
  <c r="AQ68" i="1"/>
  <c r="BD68" i="1" s="1"/>
  <c r="AL68" i="1"/>
  <c r="AJ68" i="1" s="1"/>
  <c r="AB68" i="1"/>
  <c r="AA68" i="1"/>
  <c r="Z68" i="1" s="1"/>
  <c r="S68" i="1"/>
  <c r="Q68" i="1"/>
  <c r="M68" i="1"/>
  <c r="AZ68" i="1" s="1"/>
  <c r="CZ67" i="1"/>
  <c r="CY67" i="1"/>
  <c r="CW67" i="1"/>
  <c r="BL67" i="1"/>
  <c r="BK67" i="1"/>
  <c r="BI67" i="1"/>
  <c r="BM67" i="1" s="1"/>
  <c r="BN67" i="1" s="1"/>
  <c r="BG67" i="1"/>
  <c r="BH67" i="1" s="1"/>
  <c r="BC67" i="1"/>
  <c r="AW67" i="1"/>
  <c r="AQ67" i="1"/>
  <c r="BD67" i="1" s="1"/>
  <c r="AL67" i="1"/>
  <c r="AK67" i="1"/>
  <c r="AJ67" i="1"/>
  <c r="AB67" i="1"/>
  <c r="AA67" i="1"/>
  <c r="Z67" i="1"/>
  <c r="S67" i="1"/>
  <c r="M67" i="1"/>
  <c r="AZ67" i="1" s="1"/>
  <c r="CZ66" i="1"/>
  <c r="CY66" i="1"/>
  <c r="CW66" i="1"/>
  <c r="BL66" i="1"/>
  <c r="BK66" i="1"/>
  <c r="BG66" i="1"/>
  <c r="BH66" i="1" s="1"/>
  <c r="BC66" i="1"/>
  <c r="AW66" i="1"/>
  <c r="AQ66" i="1"/>
  <c r="BD66" i="1" s="1"/>
  <c r="AL66" i="1"/>
  <c r="AJ66" i="1" s="1"/>
  <c r="N66" i="1" s="1"/>
  <c r="AK66" i="1"/>
  <c r="AB66" i="1"/>
  <c r="AA66" i="1"/>
  <c r="S66" i="1"/>
  <c r="Q66" i="1"/>
  <c r="M66" i="1"/>
  <c r="AZ66" i="1" s="1"/>
  <c r="L66" i="1"/>
  <c r="K66" i="1" s="1"/>
  <c r="CZ65" i="1"/>
  <c r="CY65" i="1"/>
  <c r="CX65" i="1"/>
  <c r="AY65" i="1" s="1"/>
  <c r="BA65" i="1" s="1"/>
  <c r="CW65" i="1"/>
  <c r="BL65" i="1"/>
  <c r="BK65" i="1"/>
  <c r="BG65" i="1"/>
  <c r="BJ65" i="1" s="1"/>
  <c r="BC65" i="1"/>
  <c r="AZ65" i="1"/>
  <c r="BB65" i="1" s="1"/>
  <c r="AW65" i="1"/>
  <c r="AQ65" i="1"/>
  <c r="BD65" i="1" s="1"/>
  <c r="AL65" i="1"/>
  <c r="AK65" i="1"/>
  <c r="AJ65" i="1"/>
  <c r="AB65" i="1"/>
  <c r="AA65" i="1"/>
  <c r="Z65" i="1" s="1"/>
  <c r="V65" i="1"/>
  <c r="S65" i="1"/>
  <c r="Q65" i="1"/>
  <c r="N65" i="1"/>
  <c r="M65" i="1"/>
  <c r="L65" i="1"/>
  <c r="K65" i="1"/>
  <c r="CZ64" i="1"/>
  <c r="CY64" i="1"/>
  <c r="CW64" i="1"/>
  <c r="BL64" i="1"/>
  <c r="BK64" i="1"/>
  <c r="BG64" i="1"/>
  <c r="BC64" i="1"/>
  <c r="AW64" i="1"/>
  <c r="AQ64" i="1"/>
  <c r="BD64" i="1" s="1"/>
  <c r="AL64" i="1"/>
  <c r="AJ64" i="1" s="1"/>
  <c r="AB64" i="1"/>
  <c r="Z64" i="1" s="1"/>
  <c r="AA64" i="1"/>
  <c r="S64" i="1"/>
  <c r="CZ63" i="1"/>
  <c r="V63" i="1" s="1"/>
  <c r="CY63" i="1"/>
  <c r="CX63" i="1" s="1"/>
  <c r="AY63" i="1" s="1"/>
  <c r="BA63" i="1" s="1"/>
  <c r="CW63" i="1"/>
  <c r="BM63" i="1"/>
  <c r="BN63" i="1" s="1"/>
  <c r="BL63" i="1"/>
  <c r="BK63" i="1"/>
  <c r="BJ63" i="1"/>
  <c r="BI63" i="1"/>
  <c r="BH63" i="1"/>
  <c r="BG63" i="1"/>
  <c r="BD63" i="1"/>
  <c r="BC63" i="1"/>
  <c r="AW63" i="1"/>
  <c r="AQ63" i="1"/>
  <c r="AL63" i="1"/>
  <c r="AK63" i="1"/>
  <c r="AJ63" i="1"/>
  <c r="Q63" i="1" s="1"/>
  <c r="AB63" i="1"/>
  <c r="AA63" i="1"/>
  <c r="Z63" i="1" s="1"/>
  <c r="S63" i="1"/>
  <c r="CZ62" i="1"/>
  <c r="CY62" i="1"/>
  <c r="CW62" i="1"/>
  <c r="CX62" i="1" s="1"/>
  <c r="AY62" i="1" s="1"/>
  <c r="BL62" i="1"/>
  <c r="BK62" i="1"/>
  <c r="BG62" i="1"/>
  <c r="BJ62" i="1" s="1"/>
  <c r="BC62" i="1"/>
  <c r="BA62" i="1"/>
  <c r="AW62" i="1"/>
  <c r="AQ62" i="1"/>
  <c r="BD62" i="1" s="1"/>
  <c r="AL62" i="1"/>
  <c r="AJ62" i="1"/>
  <c r="N62" i="1" s="1"/>
  <c r="AB62" i="1"/>
  <c r="AA62" i="1"/>
  <c r="Z62" i="1"/>
  <c r="S62" i="1"/>
  <c r="Q62" i="1"/>
  <c r="M62" i="1"/>
  <c r="AZ62" i="1" s="1"/>
  <c r="BB62" i="1" s="1"/>
  <c r="CZ61" i="1"/>
  <c r="CY61" i="1"/>
  <c r="CX61" i="1" s="1"/>
  <c r="AY61" i="1" s="1"/>
  <c r="CW61" i="1"/>
  <c r="BM61" i="1"/>
  <c r="BN61" i="1" s="1"/>
  <c r="BL61" i="1"/>
  <c r="BK61" i="1"/>
  <c r="BJ61" i="1"/>
  <c r="BI61" i="1"/>
  <c r="BH61" i="1"/>
  <c r="BG61" i="1"/>
  <c r="BC61" i="1"/>
  <c r="AW61" i="1"/>
  <c r="AQ61" i="1"/>
  <c r="BD61" i="1" s="1"/>
  <c r="AL61" i="1"/>
  <c r="AJ61" i="1" s="1"/>
  <c r="AK61" i="1" s="1"/>
  <c r="AB61" i="1"/>
  <c r="AA61" i="1"/>
  <c r="Z61" i="1" s="1"/>
  <c r="V61" i="1"/>
  <c r="S61" i="1"/>
  <c r="CZ60" i="1"/>
  <c r="CY60" i="1"/>
  <c r="CW60" i="1"/>
  <c r="BL60" i="1"/>
  <c r="BK60" i="1"/>
  <c r="BG60" i="1"/>
  <c r="BC60" i="1"/>
  <c r="AW60" i="1"/>
  <c r="AQ60" i="1"/>
  <c r="BD60" i="1" s="1"/>
  <c r="AL60" i="1"/>
  <c r="AJ60" i="1" s="1"/>
  <c r="M60" i="1" s="1"/>
  <c r="AZ60" i="1" s="1"/>
  <c r="AB60" i="1"/>
  <c r="Z60" i="1" s="1"/>
  <c r="AA60" i="1"/>
  <c r="S60" i="1"/>
  <c r="Q60" i="1"/>
  <c r="CZ59" i="1"/>
  <c r="V59" i="1" s="1"/>
  <c r="CY59" i="1"/>
  <c r="CW59" i="1"/>
  <c r="BL59" i="1"/>
  <c r="BK59" i="1"/>
  <c r="BJ59" i="1"/>
  <c r="BI59" i="1"/>
  <c r="BM59" i="1" s="1"/>
  <c r="BN59" i="1" s="1"/>
  <c r="BG59" i="1"/>
  <c r="BH59" i="1" s="1"/>
  <c r="BD59" i="1"/>
  <c r="BC59" i="1"/>
  <c r="AW59" i="1"/>
  <c r="AQ59" i="1"/>
  <c r="AL59" i="1"/>
  <c r="AK59" i="1"/>
  <c r="AJ59" i="1"/>
  <c r="Q59" i="1" s="1"/>
  <c r="AB59" i="1"/>
  <c r="AA59" i="1"/>
  <c r="Z59" i="1" s="1"/>
  <c r="S59" i="1"/>
  <c r="CZ58" i="1"/>
  <c r="CY58" i="1"/>
  <c r="CW58" i="1"/>
  <c r="BL58" i="1"/>
  <c r="BK58" i="1"/>
  <c r="BG58" i="1"/>
  <c r="BC58" i="1"/>
  <c r="AW58" i="1"/>
  <c r="AQ58" i="1"/>
  <c r="BD58" i="1" s="1"/>
  <c r="AL58" i="1"/>
  <c r="AJ58" i="1"/>
  <c r="N58" i="1" s="1"/>
  <c r="AB58" i="1"/>
  <c r="AA58" i="1"/>
  <c r="Z58" i="1"/>
  <c r="S58" i="1"/>
  <c r="Q58" i="1"/>
  <c r="M58" i="1"/>
  <c r="AZ58" i="1" s="1"/>
  <c r="CZ57" i="1"/>
  <c r="CY57" i="1"/>
  <c r="CX57" i="1" s="1"/>
  <c r="AY57" i="1" s="1"/>
  <c r="CW57" i="1"/>
  <c r="BL57" i="1"/>
  <c r="BK57" i="1"/>
  <c r="BJ57" i="1"/>
  <c r="BI57" i="1"/>
  <c r="BM57" i="1" s="1"/>
  <c r="BN57" i="1" s="1"/>
  <c r="BH57" i="1"/>
  <c r="BG57" i="1"/>
  <c r="BC57" i="1"/>
  <c r="AW57" i="1"/>
  <c r="AQ57" i="1"/>
  <c r="BD57" i="1" s="1"/>
  <c r="AL57" i="1"/>
  <c r="AJ57" i="1" s="1"/>
  <c r="AK57" i="1"/>
  <c r="AB57" i="1"/>
  <c r="AA57" i="1"/>
  <c r="Z57" i="1" s="1"/>
  <c r="V57" i="1"/>
  <c r="S57" i="1"/>
  <c r="CZ56" i="1"/>
  <c r="CY56" i="1"/>
  <c r="CW56" i="1"/>
  <c r="BL56" i="1"/>
  <c r="BK56" i="1"/>
  <c r="BG56" i="1"/>
  <c r="BD56" i="1"/>
  <c r="BC56" i="1"/>
  <c r="AW56" i="1"/>
  <c r="AQ56" i="1"/>
  <c r="AL56" i="1"/>
  <c r="AJ56" i="1" s="1"/>
  <c r="Q56" i="1" s="1"/>
  <c r="AB56" i="1"/>
  <c r="AA56" i="1"/>
  <c r="Z56" i="1" s="1"/>
  <c r="S56" i="1"/>
  <c r="CZ55" i="1"/>
  <c r="V55" i="1" s="1"/>
  <c r="CY55" i="1"/>
  <c r="CW55" i="1"/>
  <c r="BL55" i="1"/>
  <c r="BK55" i="1"/>
  <c r="BJ55" i="1"/>
  <c r="BI55" i="1"/>
  <c r="BM55" i="1" s="1"/>
  <c r="BN55" i="1" s="1"/>
  <c r="BG55" i="1"/>
  <c r="BH55" i="1" s="1"/>
  <c r="BD55" i="1"/>
  <c r="BC55" i="1"/>
  <c r="AW55" i="1"/>
  <c r="AQ55" i="1"/>
  <c r="AL55" i="1"/>
  <c r="AK55" i="1"/>
  <c r="AJ55" i="1"/>
  <c r="AB55" i="1"/>
  <c r="AA55" i="1"/>
  <c r="Z55" i="1" s="1"/>
  <c r="S55" i="1"/>
  <c r="CZ54" i="1"/>
  <c r="CY54" i="1"/>
  <c r="CW54" i="1"/>
  <c r="BL54" i="1"/>
  <c r="BK54" i="1"/>
  <c r="BJ54" i="1"/>
  <c r="BG54" i="1"/>
  <c r="BC54" i="1"/>
  <c r="AZ54" i="1"/>
  <c r="AW54" i="1"/>
  <c r="AQ54" i="1"/>
  <c r="BD54" i="1" s="1"/>
  <c r="AL54" i="1"/>
  <c r="AJ54" i="1"/>
  <c r="N54" i="1" s="1"/>
  <c r="AB54" i="1"/>
  <c r="AA54" i="1"/>
  <c r="Z54" i="1"/>
  <c r="S54" i="1"/>
  <c r="Q54" i="1"/>
  <c r="M54" i="1"/>
  <c r="CZ53" i="1"/>
  <c r="CY53" i="1"/>
  <c r="CX53" i="1"/>
  <c r="AY53" i="1" s="1"/>
  <c r="CW53" i="1"/>
  <c r="BM53" i="1"/>
  <c r="BN53" i="1" s="1"/>
  <c r="BL53" i="1"/>
  <c r="BK53" i="1"/>
  <c r="BJ53" i="1"/>
  <c r="BI53" i="1"/>
  <c r="BH53" i="1"/>
  <c r="BG53" i="1"/>
  <c r="BC53" i="1"/>
  <c r="AW53" i="1"/>
  <c r="AQ53" i="1"/>
  <c r="BD53" i="1" s="1"/>
  <c r="AL53" i="1"/>
  <c r="AJ53" i="1" s="1"/>
  <c r="AK53" i="1"/>
  <c r="AB53" i="1"/>
  <c r="AA53" i="1"/>
  <c r="Z53" i="1" s="1"/>
  <c r="V53" i="1"/>
  <c r="S53" i="1"/>
  <c r="N53" i="1"/>
  <c r="CZ52" i="1"/>
  <c r="CY52" i="1"/>
  <c r="CW52" i="1"/>
  <c r="BL52" i="1"/>
  <c r="BK52" i="1"/>
  <c r="BG52" i="1"/>
  <c r="BD52" i="1"/>
  <c r="BC52" i="1"/>
  <c r="AW52" i="1"/>
  <c r="AQ52" i="1"/>
  <c r="AL52" i="1"/>
  <c r="AJ52" i="1" s="1"/>
  <c r="Q52" i="1" s="1"/>
  <c r="AB52" i="1"/>
  <c r="AA52" i="1"/>
  <c r="S52" i="1"/>
  <c r="M52" i="1"/>
  <c r="AZ52" i="1" s="1"/>
  <c r="L52" i="1"/>
  <c r="K52" i="1" s="1"/>
  <c r="CZ51" i="1"/>
  <c r="CY51" i="1"/>
  <c r="CW51" i="1"/>
  <c r="BL51" i="1"/>
  <c r="BK51" i="1"/>
  <c r="BI51" i="1"/>
  <c r="BM51" i="1" s="1"/>
  <c r="BN51" i="1" s="1"/>
  <c r="BG51" i="1"/>
  <c r="BJ51" i="1" s="1"/>
  <c r="BD51" i="1"/>
  <c r="BC51" i="1"/>
  <c r="AW51" i="1"/>
  <c r="AQ51" i="1"/>
  <c r="AL51" i="1"/>
  <c r="AK51" i="1"/>
  <c r="AJ51" i="1"/>
  <c r="AB51" i="1"/>
  <c r="AA51" i="1"/>
  <c r="Z51" i="1" s="1"/>
  <c r="V51" i="1"/>
  <c r="S51" i="1"/>
  <c r="CZ50" i="1"/>
  <c r="CY50" i="1"/>
  <c r="CW50" i="1"/>
  <c r="BL50" i="1"/>
  <c r="BK50" i="1"/>
  <c r="BG50" i="1"/>
  <c r="BC50" i="1"/>
  <c r="AZ50" i="1"/>
  <c r="AW50" i="1"/>
  <c r="AQ50" i="1"/>
  <c r="BD50" i="1" s="1"/>
  <c r="AL50" i="1"/>
  <c r="AJ50" i="1"/>
  <c r="N50" i="1" s="1"/>
  <c r="AB50" i="1"/>
  <c r="AA50" i="1"/>
  <c r="Z50" i="1"/>
  <c r="S50" i="1"/>
  <c r="Q50" i="1"/>
  <c r="M50" i="1"/>
  <c r="CZ49" i="1"/>
  <c r="CY49" i="1"/>
  <c r="CX49" i="1" s="1"/>
  <c r="AY49" i="1" s="1"/>
  <c r="CW49" i="1"/>
  <c r="BL49" i="1"/>
  <c r="BK49" i="1"/>
  <c r="BJ49" i="1"/>
  <c r="BI49" i="1"/>
  <c r="BM49" i="1" s="1"/>
  <c r="BN49" i="1" s="1"/>
  <c r="BH49" i="1"/>
  <c r="BG49" i="1"/>
  <c r="BC49" i="1"/>
  <c r="AZ49" i="1"/>
  <c r="AW49" i="1"/>
  <c r="AQ49" i="1"/>
  <c r="BD49" i="1" s="1"/>
  <c r="AL49" i="1"/>
  <c r="AK49" i="1"/>
  <c r="AJ49" i="1"/>
  <c r="AB49" i="1"/>
  <c r="AA49" i="1"/>
  <c r="Z49" i="1" s="1"/>
  <c r="W49" i="1"/>
  <c r="X49" i="1" s="1"/>
  <c r="V49" i="1"/>
  <c r="S49" i="1"/>
  <c r="AE49" i="1" s="1"/>
  <c r="Q49" i="1"/>
  <c r="N49" i="1"/>
  <c r="M49" i="1"/>
  <c r="L49" i="1"/>
  <c r="K49" i="1"/>
  <c r="AD49" i="1" s="1"/>
  <c r="CZ48" i="1"/>
  <c r="CY48" i="1"/>
  <c r="CX48" i="1"/>
  <c r="AY48" i="1" s="1"/>
  <c r="BA48" i="1" s="1"/>
  <c r="CW48" i="1"/>
  <c r="BL48" i="1"/>
  <c r="BK48" i="1"/>
  <c r="BG48" i="1"/>
  <c r="BC48" i="1"/>
  <c r="AW48" i="1"/>
  <c r="AQ48" i="1"/>
  <c r="BD48" i="1" s="1"/>
  <c r="AL48" i="1"/>
  <c r="AJ48" i="1" s="1"/>
  <c r="AB48" i="1"/>
  <c r="AA48" i="1"/>
  <c r="V48" i="1"/>
  <c r="S48" i="1"/>
  <c r="CZ47" i="1"/>
  <c r="CY47" i="1"/>
  <c r="CX47" i="1" s="1"/>
  <c r="AY47" i="1" s="1"/>
  <c r="BA47" i="1" s="1"/>
  <c r="CW47" i="1"/>
  <c r="BM47" i="1"/>
  <c r="BN47" i="1" s="1"/>
  <c r="BL47" i="1"/>
  <c r="BK47" i="1"/>
  <c r="BI47" i="1"/>
  <c r="BH47" i="1"/>
  <c r="BG47" i="1"/>
  <c r="BJ47" i="1" s="1"/>
  <c r="BD47" i="1"/>
  <c r="BC47" i="1"/>
  <c r="AW47" i="1"/>
  <c r="AQ47" i="1"/>
  <c r="AL47" i="1"/>
  <c r="AK47" i="1"/>
  <c r="AJ47" i="1"/>
  <c r="N47" i="1" s="1"/>
  <c r="AB47" i="1"/>
  <c r="AA47" i="1"/>
  <c r="Z47" i="1" s="1"/>
  <c r="V47" i="1"/>
  <c r="S47" i="1"/>
  <c r="Q47" i="1"/>
  <c r="CZ46" i="1"/>
  <c r="CY46" i="1"/>
  <c r="CW46" i="1"/>
  <c r="CX46" i="1" s="1"/>
  <c r="AY46" i="1" s="1"/>
  <c r="BL46" i="1"/>
  <c r="BK46" i="1"/>
  <c r="BJ46" i="1"/>
  <c r="BI46" i="1"/>
  <c r="BM46" i="1" s="1"/>
  <c r="BN46" i="1" s="1"/>
  <c r="BG46" i="1"/>
  <c r="BH46" i="1" s="1"/>
  <c r="BC46" i="1"/>
  <c r="BA46" i="1"/>
  <c r="AZ46" i="1"/>
  <c r="BB46" i="1" s="1"/>
  <c r="AW46" i="1"/>
  <c r="AQ46" i="1"/>
  <c r="BD46" i="1" s="1"/>
  <c r="AL46" i="1"/>
  <c r="AJ46" i="1"/>
  <c r="N46" i="1" s="1"/>
  <c r="AB46" i="1"/>
  <c r="AA46" i="1"/>
  <c r="Z46" i="1"/>
  <c r="S46" i="1"/>
  <c r="Q46" i="1"/>
  <c r="M46" i="1"/>
  <c r="L46" i="1"/>
  <c r="K46" i="1" s="1"/>
  <c r="CZ45" i="1"/>
  <c r="CY45" i="1"/>
  <c r="CW45" i="1"/>
  <c r="BL45" i="1"/>
  <c r="BK45" i="1"/>
  <c r="BI45" i="1"/>
  <c r="BM45" i="1" s="1"/>
  <c r="BN45" i="1" s="1"/>
  <c r="BG45" i="1"/>
  <c r="BH45" i="1" s="1"/>
  <c r="BC45" i="1"/>
  <c r="AW45" i="1"/>
  <c r="AQ45" i="1"/>
  <c r="BD45" i="1" s="1"/>
  <c r="AL45" i="1"/>
  <c r="AK45" i="1"/>
  <c r="AJ45" i="1"/>
  <c r="L45" i="1" s="1"/>
  <c r="K45" i="1" s="1"/>
  <c r="AB45" i="1"/>
  <c r="AA45" i="1"/>
  <c r="Z45" i="1" s="1"/>
  <c r="S45" i="1"/>
  <c r="N45" i="1"/>
  <c r="M45" i="1"/>
  <c r="AZ45" i="1" s="1"/>
  <c r="CZ44" i="1"/>
  <c r="CY44" i="1"/>
  <c r="CW44" i="1"/>
  <c r="BL44" i="1"/>
  <c r="BK44" i="1"/>
  <c r="BG44" i="1"/>
  <c r="BC44" i="1"/>
  <c r="AW44" i="1"/>
  <c r="AQ44" i="1"/>
  <c r="BD44" i="1" s="1"/>
  <c r="AL44" i="1"/>
  <c r="AJ44" i="1" s="1"/>
  <c r="M44" i="1" s="1"/>
  <c r="AZ44" i="1" s="1"/>
  <c r="AB44" i="1"/>
  <c r="AA44" i="1"/>
  <c r="Z44" i="1" s="1"/>
  <c r="S44" i="1"/>
  <c r="CZ43" i="1"/>
  <c r="CY43" i="1"/>
  <c r="CX43" i="1" s="1"/>
  <c r="AY43" i="1" s="1"/>
  <c r="BA43" i="1" s="1"/>
  <c r="CW43" i="1"/>
  <c r="BM43" i="1"/>
  <c r="BN43" i="1" s="1"/>
  <c r="BL43" i="1"/>
  <c r="BK43" i="1"/>
  <c r="BI43" i="1"/>
  <c r="BH43" i="1"/>
  <c r="BG43" i="1"/>
  <c r="BJ43" i="1" s="1"/>
  <c r="BD43" i="1"/>
  <c r="BC43" i="1"/>
  <c r="AW43" i="1"/>
  <c r="AQ43" i="1"/>
  <c r="AL43" i="1"/>
  <c r="AK43" i="1"/>
  <c r="AJ43" i="1"/>
  <c r="N43" i="1" s="1"/>
  <c r="AB43" i="1"/>
  <c r="AA43" i="1"/>
  <c r="Z43" i="1" s="1"/>
  <c r="V43" i="1"/>
  <c r="S43" i="1"/>
  <c r="Q43" i="1"/>
  <c r="CZ42" i="1"/>
  <c r="CY42" i="1"/>
  <c r="CW42" i="1"/>
  <c r="CX42" i="1" s="1"/>
  <c r="AY42" i="1" s="1"/>
  <c r="BA42" i="1" s="1"/>
  <c r="BL42" i="1"/>
  <c r="BK42" i="1"/>
  <c r="BJ42" i="1"/>
  <c r="BI42" i="1"/>
  <c r="BM42" i="1" s="1"/>
  <c r="BN42" i="1" s="1"/>
  <c r="BG42" i="1"/>
  <c r="BH42" i="1" s="1"/>
  <c r="BC42" i="1"/>
  <c r="AW42" i="1"/>
  <c r="AQ42" i="1"/>
  <c r="BD42" i="1" s="1"/>
  <c r="AL42" i="1"/>
  <c r="AJ42" i="1" s="1"/>
  <c r="AB42" i="1"/>
  <c r="Z42" i="1" s="1"/>
  <c r="AA42" i="1"/>
  <c r="S42" i="1"/>
  <c r="Q42" i="1"/>
  <c r="CZ41" i="1"/>
  <c r="CY41" i="1"/>
  <c r="CW41" i="1"/>
  <c r="BL41" i="1"/>
  <c r="BK41" i="1"/>
  <c r="BI41" i="1"/>
  <c r="BM41" i="1" s="1"/>
  <c r="BN41" i="1" s="1"/>
  <c r="BG41" i="1"/>
  <c r="BH41" i="1" s="1"/>
  <c r="BC41" i="1"/>
  <c r="AW41" i="1"/>
  <c r="AQ41" i="1"/>
  <c r="BD41" i="1" s="1"/>
  <c r="AL41" i="1"/>
  <c r="AK41" i="1"/>
  <c r="AJ41" i="1"/>
  <c r="L41" i="1" s="1"/>
  <c r="K41" i="1" s="1"/>
  <c r="AB41" i="1"/>
  <c r="AA41" i="1"/>
  <c r="Z41" i="1" s="1"/>
  <c r="S41" i="1"/>
  <c r="N41" i="1"/>
  <c r="M41" i="1"/>
  <c r="AZ41" i="1" s="1"/>
  <c r="CZ40" i="1"/>
  <c r="CY40" i="1"/>
  <c r="CW40" i="1"/>
  <c r="BL40" i="1"/>
  <c r="BK40" i="1"/>
  <c r="BG40" i="1"/>
  <c r="BC40" i="1"/>
  <c r="AW40" i="1"/>
  <c r="AQ40" i="1"/>
  <c r="BD40" i="1" s="1"/>
  <c r="AL40" i="1"/>
  <c r="AJ40" i="1" s="1"/>
  <c r="AB40" i="1"/>
  <c r="AA40" i="1"/>
  <c r="Z40" i="1" s="1"/>
  <c r="S40" i="1"/>
  <c r="CZ39" i="1"/>
  <c r="CY39" i="1"/>
  <c r="CX39" i="1" s="1"/>
  <c r="AY39" i="1" s="1"/>
  <c r="BA39" i="1" s="1"/>
  <c r="CW39" i="1"/>
  <c r="BM39" i="1"/>
  <c r="BN39" i="1" s="1"/>
  <c r="BL39" i="1"/>
  <c r="BK39" i="1"/>
  <c r="BI39" i="1"/>
  <c r="BH39" i="1"/>
  <c r="BG39" i="1"/>
  <c r="BJ39" i="1" s="1"/>
  <c r="BC39" i="1"/>
  <c r="AW39" i="1"/>
  <c r="AQ39" i="1"/>
  <c r="BD39" i="1" s="1"/>
  <c r="AL39" i="1"/>
  <c r="AK39" i="1"/>
  <c r="AJ39" i="1"/>
  <c r="N39" i="1" s="1"/>
  <c r="AB39" i="1"/>
  <c r="AA39" i="1"/>
  <c r="Z39" i="1" s="1"/>
  <c r="V39" i="1"/>
  <c r="S39" i="1"/>
  <c r="Q39" i="1"/>
  <c r="CZ38" i="1"/>
  <c r="CY38" i="1"/>
  <c r="CW38" i="1"/>
  <c r="CX38" i="1" s="1"/>
  <c r="AY38" i="1" s="1"/>
  <c r="BA38" i="1" s="1"/>
  <c r="BL38" i="1"/>
  <c r="BK38" i="1"/>
  <c r="BJ38" i="1"/>
  <c r="BI38" i="1"/>
  <c r="BM38" i="1" s="1"/>
  <c r="BN38" i="1" s="1"/>
  <c r="BG38" i="1"/>
  <c r="BH38" i="1" s="1"/>
  <c r="BC38" i="1"/>
  <c r="AW38" i="1"/>
  <c r="AQ38" i="1"/>
  <c r="BD38" i="1" s="1"/>
  <c r="AL38" i="1"/>
  <c r="AJ38" i="1" s="1"/>
  <c r="Q38" i="1" s="1"/>
  <c r="AB38" i="1"/>
  <c r="Z38" i="1" s="1"/>
  <c r="AA38" i="1"/>
  <c r="S38" i="1"/>
  <c r="CZ37" i="1"/>
  <c r="CY37" i="1"/>
  <c r="CW37" i="1"/>
  <c r="BL37" i="1"/>
  <c r="BK37" i="1"/>
  <c r="BI37" i="1"/>
  <c r="BM37" i="1" s="1"/>
  <c r="BN37" i="1" s="1"/>
  <c r="BG37" i="1"/>
  <c r="BH37" i="1" s="1"/>
  <c r="BC37" i="1"/>
  <c r="AW37" i="1"/>
  <c r="AQ37" i="1"/>
  <c r="BD37" i="1" s="1"/>
  <c r="AL37" i="1"/>
  <c r="AK37" i="1"/>
  <c r="AJ37" i="1"/>
  <c r="L37" i="1" s="1"/>
  <c r="K37" i="1" s="1"/>
  <c r="AB37" i="1"/>
  <c r="AA37" i="1"/>
  <c r="Z37" i="1" s="1"/>
  <c r="S37" i="1"/>
  <c r="N37" i="1"/>
  <c r="M37" i="1"/>
  <c r="AZ37" i="1" s="1"/>
  <c r="CZ36" i="1"/>
  <c r="CY36" i="1"/>
  <c r="CW36" i="1"/>
  <c r="BL36" i="1"/>
  <c r="BK36" i="1"/>
  <c r="BG36" i="1"/>
  <c r="BC36" i="1"/>
  <c r="AW36" i="1"/>
  <c r="AQ36" i="1"/>
  <c r="BD36" i="1" s="1"/>
  <c r="AL36" i="1"/>
  <c r="AJ36" i="1" s="1"/>
  <c r="AB36" i="1"/>
  <c r="AA36" i="1"/>
  <c r="Z36" i="1" s="1"/>
  <c r="S36" i="1"/>
  <c r="CZ35" i="1"/>
  <c r="CY35" i="1"/>
  <c r="CX35" i="1" s="1"/>
  <c r="AY35" i="1" s="1"/>
  <c r="CW35" i="1"/>
  <c r="BM35" i="1"/>
  <c r="BN35" i="1" s="1"/>
  <c r="BL35" i="1"/>
  <c r="BK35" i="1"/>
  <c r="BI35" i="1"/>
  <c r="BH35" i="1"/>
  <c r="BG35" i="1"/>
  <c r="BJ35" i="1" s="1"/>
  <c r="BC35" i="1"/>
  <c r="BA35" i="1"/>
  <c r="AW35" i="1"/>
  <c r="AQ35" i="1"/>
  <c r="BD35" i="1" s="1"/>
  <c r="AL35" i="1"/>
  <c r="AK35" i="1"/>
  <c r="AJ35" i="1"/>
  <c r="N35" i="1" s="1"/>
  <c r="AB35" i="1"/>
  <c r="AA35" i="1"/>
  <c r="Z35" i="1" s="1"/>
  <c r="V35" i="1"/>
  <c r="S35" i="1"/>
  <c r="Q35" i="1"/>
  <c r="CZ34" i="1"/>
  <c r="CY34" i="1"/>
  <c r="CW34" i="1"/>
  <c r="CX34" i="1" s="1"/>
  <c r="AY34" i="1" s="1"/>
  <c r="BA34" i="1" s="1"/>
  <c r="BL34" i="1"/>
  <c r="BK34" i="1"/>
  <c r="BJ34" i="1"/>
  <c r="BI34" i="1"/>
  <c r="BM34" i="1" s="1"/>
  <c r="BN34" i="1" s="1"/>
  <c r="BG34" i="1"/>
  <c r="BH34" i="1" s="1"/>
  <c r="BC34" i="1"/>
  <c r="AW34" i="1"/>
  <c r="AQ34" i="1"/>
  <c r="BD34" i="1" s="1"/>
  <c r="AL34" i="1"/>
  <c r="AJ34" i="1" s="1"/>
  <c r="AB34" i="1"/>
  <c r="Z34" i="1" s="1"/>
  <c r="AA34" i="1"/>
  <c r="S34" i="1"/>
  <c r="Q34" i="1"/>
  <c r="CZ33" i="1"/>
  <c r="CY33" i="1"/>
  <c r="CW33" i="1"/>
  <c r="BL33" i="1"/>
  <c r="BK33" i="1"/>
  <c r="BI33" i="1"/>
  <c r="BM33" i="1" s="1"/>
  <c r="BN33" i="1" s="1"/>
  <c r="BG33" i="1"/>
  <c r="BC33" i="1"/>
  <c r="AW33" i="1"/>
  <c r="AQ33" i="1"/>
  <c r="BD33" i="1" s="1"/>
  <c r="AL33" i="1"/>
  <c r="AK33" i="1"/>
  <c r="AJ33" i="1"/>
  <c r="L33" i="1" s="1"/>
  <c r="K33" i="1" s="1"/>
  <c r="AB33" i="1"/>
  <c r="AA33" i="1"/>
  <c r="Z33" i="1" s="1"/>
  <c r="S33" i="1"/>
  <c r="N33" i="1"/>
  <c r="M33" i="1"/>
  <c r="AZ33" i="1" s="1"/>
  <c r="CZ32" i="1"/>
  <c r="CY32" i="1"/>
  <c r="CW32" i="1"/>
  <c r="BL32" i="1"/>
  <c r="BK32" i="1"/>
  <c r="BG32" i="1"/>
  <c r="BC32" i="1"/>
  <c r="AW32" i="1"/>
  <c r="AQ32" i="1"/>
  <c r="BD32" i="1" s="1"/>
  <c r="AL32" i="1"/>
  <c r="AJ32" i="1" s="1"/>
  <c r="AK32" i="1"/>
  <c r="AB32" i="1"/>
  <c r="AA32" i="1"/>
  <c r="Z32" i="1" s="1"/>
  <c r="S32" i="1"/>
  <c r="CZ31" i="1"/>
  <c r="CY31" i="1"/>
  <c r="CX31" i="1" s="1"/>
  <c r="AY31" i="1" s="1"/>
  <c r="BA31" i="1" s="1"/>
  <c r="CW31" i="1"/>
  <c r="BM31" i="1"/>
  <c r="BN31" i="1" s="1"/>
  <c r="BL31" i="1"/>
  <c r="BK31" i="1"/>
  <c r="BI31" i="1"/>
  <c r="BH31" i="1"/>
  <c r="BG31" i="1"/>
  <c r="BJ31" i="1" s="1"/>
  <c r="BC31" i="1"/>
  <c r="AW31" i="1"/>
  <c r="AQ31" i="1"/>
  <c r="BD31" i="1" s="1"/>
  <c r="AL31" i="1"/>
  <c r="AJ31" i="1"/>
  <c r="AK31" i="1" s="1"/>
  <c r="AB31" i="1"/>
  <c r="AA31" i="1"/>
  <c r="Z31" i="1" s="1"/>
  <c r="V31" i="1"/>
  <c r="S31" i="1"/>
  <c r="CZ30" i="1"/>
  <c r="CY30" i="1"/>
  <c r="CW30" i="1"/>
  <c r="CX30" i="1" s="1"/>
  <c r="BL30" i="1"/>
  <c r="BK30" i="1"/>
  <c r="BJ30" i="1"/>
  <c r="BI30" i="1"/>
  <c r="BM30" i="1" s="1"/>
  <c r="BN30" i="1" s="1"/>
  <c r="BG30" i="1"/>
  <c r="BH30" i="1" s="1"/>
  <c r="BC30" i="1"/>
  <c r="AY30" i="1"/>
  <c r="BA30" i="1" s="1"/>
  <c r="AW30" i="1"/>
  <c r="AQ30" i="1"/>
  <c r="BD30" i="1" s="1"/>
  <c r="AL30" i="1"/>
  <c r="AJ30" i="1" s="1"/>
  <c r="Q30" i="1" s="1"/>
  <c r="AB30" i="1"/>
  <c r="AA30" i="1"/>
  <c r="Z30" i="1" s="1"/>
  <c r="S30" i="1"/>
  <c r="CZ29" i="1"/>
  <c r="CY29" i="1"/>
  <c r="CX29" i="1"/>
  <c r="CW29" i="1"/>
  <c r="V29" i="1" s="1"/>
  <c r="BL29" i="1"/>
  <c r="BK29" i="1"/>
  <c r="BG29" i="1"/>
  <c r="BJ29" i="1" s="1"/>
  <c r="BC29" i="1"/>
  <c r="AY29" i="1"/>
  <c r="AW29" i="1"/>
  <c r="AQ29" i="1"/>
  <c r="BD29" i="1" s="1"/>
  <c r="AL29" i="1"/>
  <c r="AK29" i="1"/>
  <c r="AJ29" i="1"/>
  <c r="L29" i="1" s="1"/>
  <c r="K29" i="1" s="1"/>
  <c r="AD29" i="1"/>
  <c r="AB29" i="1"/>
  <c r="AA29" i="1"/>
  <c r="Z29" i="1" s="1"/>
  <c r="S29" i="1"/>
  <c r="N29" i="1"/>
  <c r="M29" i="1"/>
  <c r="AZ29" i="1" s="1"/>
  <c r="CZ28" i="1"/>
  <c r="CY28" i="1"/>
  <c r="CW28" i="1"/>
  <c r="BL28" i="1"/>
  <c r="BK28" i="1"/>
  <c r="BG28" i="1"/>
  <c r="BD28" i="1"/>
  <c r="BC28" i="1"/>
  <c r="AW28" i="1"/>
  <c r="AQ28" i="1"/>
  <c r="AL28" i="1"/>
  <c r="AJ28" i="1" s="1"/>
  <c r="N28" i="1" s="1"/>
  <c r="AK28" i="1"/>
  <c r="AB28" i="1"/>
  <c r="AA28" i="1"/>
  <c r="Z28" i="1" s="1"/>
  <c r="S28" i="1"/>
  <c r="Q28" i="1"/>
  <c r="M28" i="1"/>
  <c r="AZ28" i="1" s="1"/>
  <c r="L28" i="1"/>
  <c r="K28" i="1"/>
  <c r="AD28" i="1" s="1"/>
  <c r="CZ27" i="1"/>
  <c r="CY27" i="1"/>
  <c r="CX27" i="1" s="1"/>
  <c r="CW27" i="1"/>
  <c r="BL27" i="1"/>
  <c r="BK27" i="1"/>
  <c r="BI27" i="1"/>
  <c r="BM27" i="1" s="1"/>
  <c r="BN27" i="1" s="1"/>
  <c r="BH27" i="1"/>
  <c r="BG27" i="1"/>
  <c r="BJ27" i="1" s="1"/>
  <c r="BC27" i="1"/>
  <c r="AY27" i="1"/>
  <c r="BA27" i="1" s="1"/>
  <c r="AW27" i="1"/>
  <c r="AQ27" i="1"/>
  <c r="BD27" i="1" s="1"/>
  <c r="AL27" i="1"/>
  <c r="AK27" i="1"/>
  <c r="AJ27" i="1"/>
  <c r="AB27" i="1"/>
  <c r="AA27" i="1"/>
  <c r="Z27" i="1" s="1"/>
  <c r="V27" i="1"/>
  <c r="S27" i="1"/>
  <c r="Q27" i="1"/>
  <c r="CZ26" i="1"/>
  <c r="CY26" i="1"/>
  <c r="CW26" i="1"/>
  <c r="BL26" i="1"/>
  <c r="BK26" i="1"/>
  <c r="BI26" i="1"/>
  <c r="BM26" i="1" s="1"/>
  <c r="BN26" i="1" s="1"/>
  <c r="BG26" i="1"/>
  <c r="BH26" i="1" s="1"/>
  <c r="BC26" i="1"/>
  <c r="AW26" i="1"/>
  <c r="AQ26" i="1"/>
  <c r="BD26" i="1" s="1"/>
  <c r="AL26" i="1"/>
  <c r="AJ26" i="1" s="1"/>
  <c r="M26" i="1" s="1"/>
  <c r="AZ26" i="1" s="1"/>
  <c r="AB26" i="1"/>
  <c r="AA26" i="1"/>
  <c r="Z26" i="1" s="1"/>
  <c r="S26" i="1"/>
  <c r="CZ25" i="1"/>
  <c r="CY25" i="1"/>
  <c r="CX25" i="1"/>
  <c r="AY25" i="1" s="1"/>
  <c r="CW25" i="1"/>
  <c r="BL25" i="1"/>
  <c r="BK25" i="1"/>
  <c r="BH25" i="1"/>
  <c r="BG25" i="1"/>
  <c r="BJ25" i="1" s="1"/>
  <c r="BC25" i="1"/>
  <c r="AW25" i="1"/>
  <c r="AQ25" i="1"/>
  <c r="BD25" i="1" s="1"/>
  <c r="AL25" i="1"/>
  <c r="AK25" i="1"/>
  <c r="AJ25" i="1"/>
  <c r="L25" i="1" s="1"/>
  <c r="K25" i="1" s="1"/>
  <c r="AB25" i="1"/>
  <c r="AA25" i="1"/>
  <c r="Z25" i="1" s="1"/>
  <c r="V25" i="1"/>
  <c r="S25" i="1"/>
  <c r="N25" i="1"/>
  <c r="M25" i="1"/>
  <c r="AZ25" i="1" s="1"/>
  <c r="CZ24" i="1"/>
  <c r="CY24" i="1"/>
  <c r="CW24" i="1"/>
  <c r="BL24" i="1"/>
  <c r="BK24" i="1"/>
  <c r="BG24" i="1"/>
  <c r="BC24" i="1"/>
  <c r="AW24" i="1"/>
  <c r="AQ24" i="1"/>
  <c r="BD24" i="1" s="1"/>
  <c r="AL24" i="1"/>
  <c r="AJ24" i="1" s="1"/>
  <c r="N24" i="1" s="1"/>
  <c r="AB24" i="1"/>
  <c r="AA24" i="1"/>
  <c r="Z24" i="1" s="1"/>
  <c r="S24" i="1"/>
  <c r="CZ23" i="1"/>
  <c r="CY23" i="1"/>
  <c r="CX23" i="1" s="1"/>
  <c r="AY23" i="1" s="1"/>
  <c r="BA23" i="1" s="1"/>
  <c r="CW23" i="1"/>
  <c r="BL23" i="1"/>
  <c r="BK23" i="1"/>
  <c r="BI23" i="1"/>
  <c r="BM23" i="1" s="1"/>
  <c r="BN23" i="1" s="1"/>
  <c r="BH23" i="1"/>
  <c r="BG23" i="1"/>
  <c r="BJ23" i="1" s="1"/>
  <c r="BC23" i="1"/>
  <c r="AW23" i="1"/>
  <c r="AQ23" i="1"/>
  <c r="BD23" i="1" s="1"/>
  <c r="AL23" i="1"/>
  <c r="AJ23" i="1"/>
  <c r="Q23" i="1" s="1"/>
  <c r="AB23" i="1"/>
  <c r="AA23" i="1"/>
  <c r="Z23" i="1"/>
  <c r="V23" i="1"/>
  <c r="S23" i="1"/>
  <c r="CZ22" i="1"/>
  <c r="CY22" i="1"/>
  <c r="CW22" i="1"/>
  <c r="BL22" i="1"/>
  <c r="BK22" i="1"/>
  <c r="BG22" i="1"/>
  <c r="BH22" i="1" s="1"/>
  <c r="BC22" i="1"/>
  <c r="AZ22" i="1"/>
  <c r="AW22" i="1"/>
  <c r="AQ22" i="1"/>
  <c r="BD22" i="1" s="1"/>
  <c r="AL22" i="1"/>
  <c r="AJ22" i="1" s="1"/>
  <c r="AB22" i="1"/>
  <c r="AA22" i="1"/>
  <c r="S22" i="1"/>
  <c r="Q22" i="1"/>
  <c r="M22" i="1"/>
  <c r="L22" i="1"/>
  <c r="K22" i="1" s="1"/>
  <c r="AD22" i="1" s="1"/>
  <c r="CZ21" i="1"/>
  <c r="CY21" i="1"/>
  <c r="CX21" i="1" s="1"/>
  <c r="AY21" i="1" s="1"/>
  <c r="CW21" i="1"/>
  <c r="BL21" i="1"/>
  <c r="BK21" i="1"/>
  <c r="BH21" i="1"/>
  <c r="BG21" i="1"/>
  <c r="BJ21" i="1" s="1"/>
  <c r="BC21" i="1"/>
  <c r="AW21" i="1"/>
  <c r="AQ21" i="1"/>
  <c r="BD21" i="1" s="1"/>
  <c r="AL21" i="1"/>
  <c r="AK21" i="1"/>
  <c r="AJ21" i="1"/>
  <c r="N21" i="1" s="1"/>
  <c r="AB21" i="1"/>
  <c r="AA21" i="1"/>
  <c r="Z21" i="1"/>
  <c r="V21" i="1"/>
  <c r="S21" i="1"/>
  <c r="CZ20" i="1"/>
  <c r="CY20" i="1"/>
  <c r="CW20" i="1"/>
  <c r="BL20" i="1"/>
  <c r="BK20" i="1"/>
  <c r="BJ20" i="1"/>
  <c r="BG20" i="1"/>
  <c r="BD20" i="1"/>
  <c r="BC20" i="1"/>
  <c r="AW20" i="1"/>
  <c r="AQ20" i="1"/>
  <c r="AL20" i="1"/>
  <c r="AJ20" i="1" s="1"/>
  <c r="N20" i="1" s="1"/>
  <c r="AB20" i="1"/>
  <c r="AA20" i="1"/>
  <c r="Z20" i="1" s="1"/>
  <c r="S20" i="1"/>
  <c r="CZ19" i="1"/>
  <c r="CY19" i="1"/>
  <c r="CX19" i="1" s="1"/>
  <c r="AY19" i="1" s="1"/>
  <c r="CW19" i="1"/>
  <c r="BL19" i="1"/>
  <c r="BK19" i="1"/>
  <c r="BJ19" i="1"/>
  <c r="BI19" i="1"/>
  <c r="BM19" i="1" s="1"/>
  <c r="BN19" i="1" s="1"/>
  <c r="BH19" i="1"/>
  <c r="BG19" i="1"/>
  <c r="BC19" i="1"/>
  <c r="AW19" i="1"/>
  <c r="AQ19" i="1"/>
  <c r="BD19" i="1" s="1"/>
  <c r="AL19" i="1"/>
  <c r="AK19" i="1"/>
  <c r="AJ19" i="1"/>
  <c r="AB19" i="1"/>
  <c r="AA19" i="1"/>
  <c r="Z19" i="1" s="1"/>
  <c r="V19" i="1"/>
  <c r="S19" i="1"/>
  <c r="Q19" i="1"/>
  <c r="N19" i="1"/>
  <c r="M19" i="1"/>
  <c r="AZ19" i="1" s="1"/>
  <c r="L19" i="1"/>
  <c r="K19" i="1" s="1"/>
  <c r="CZ18" i="1"/>
  <c r="CY18" i="1"/>
  <c r="CW18" i="1"/>
  <c r="CX18" i="1" s="1"/>
  <c r="AY18" i="1" s="1"/>
  <c r="BL18" i="1"/>
  <c r="BK18" i="1"/>
  <c r="BG18" i="1"/>
  <c r="BJ18" i="1" s="1"/>
  <c r="BC18" i="1"/>
  <c r="AW18" i="1"/>
  <c r="BA18" i="1" s="1"/>
  <c r="AQ18" i="1"/>
  <c r="BD18" i="1" s="1"/>
  <c r="AL18" i="1"/>
  <c r="AJ18" i="1" s="1"/>
  <c r="AB18" i="1"/>
  <c r="AA18" i="1"/>
  <c r="Z18" i="1" s="1"/>
  <c r="S18" i="1"/>
  <c r="CZ17" i="1"/>
  <c r="CY17" i="1"/>
  <c r="CW17" i="1"/>
  <c r="CX17" i="1" s="1"/>
  <c r="AY17" i="1" s="1"/>
  <c r="BA17" i="1" s="1"/>
  <c r="BL17" i="1"/>
  <c r="BK17" i="1"/>
  <c r="BJ17" i="1"/>
  <c r="BG17" i="1"/>
  <c r="BI17" i="1" s="1"/>
  <c r="BM17" i="1" s="1"/>
  <c r="BN17" i="1" s="1"/>
  <c r="BC17" i="1"/>
  <c r="AW17" i="1"/>
  <c r="AQ17" i="1"/>
  <c r="BD17" i="1" s="1"/>
  <c r="AL17" i="1"/>
  <c r="AK17" i="1"/>
  <c r="AJ17" i="1"/>
  <c r="Q17" i="1" s="1"/>
  <c r="AB17" i="1"/>
  <c r="AA17" i="1"/>
  <c r="Z17" i="1" s="1"/>
  <c r="S17" i="1"/>
  <c r="BA19" i="1" l="1"/>
  <c r="BB44" i="1"/>
  <c r="L18" i="1"/>
  <c r="K18" i="1" s="1"/>
  <c r="AK18" i="1"/>
  <c r="M18" i="1"/>
  <c r="AZ18" i="1" s="1"/>
  <c r="BB18" i="1" s="1"/>
  <c r="Q18" i="1"/>
  <c r="N18" i="1"/>
  <c r="AD25" i="1"/>
  <c r="BB26" i="1"/>
  <c r="AD19" i="1"/>
  <c r="W19" i="1"/>
  <c r="X19" i="1" s="1"/>
  <c r="T19" i="1" s="1"/>
  <c r="R19" i="1" s="1"/>
  <c r="U19" i="1" s="1"/>
  <c r="O19" i="1" s="1"/>
  <c r="P19" i="1" s="1"/>
  <c r="BB19" i="1"/>
  <c r="W29" i="1"/>
  <c r="X29" i="1" s="1"/>
  <c r="AE25" i="1"/>
  <c r="L40" i="1"/>
  <c r="K40" i="1" s="1"/>
  <c r="AK40" i="1"/>
  <c r="Q40" i="1"/>
  <c r="N40" i="1"/>
  <c r="BJ80" i="1"/>
  <c r="BI80" i="1"/>
  <c r="BM80" i="1" s="1"/>
  <c r="BN80" i="1" s="1"/>
  <c r="BH80" i="1"/>
  <c r="L17" i="1"/>
  <c r="K17" i="1" s="1"/>
  <c r="V18" i="1"/>
  <c r="BH18" i="1"/>
  <c r="L20" i="1"/>
  <c r="K20" i="1" s="1"/>
  <c r="M21" i="1"/>
  <c r="AZ21" i="1" s="1"/>
  <c r="BB21" i="1" s="1"/>
  <c r="BI21" i="1"/>
  <c r="BM21" i="1" s="1"/>
  <c r="BN21" i="1" s="1"/>
  <c r="L24" i="1"/>
  <c r="K24" i="1" s="1"/>
  <c r="BI25" i="1"/>
  <c r="BM25" i="1" s="1"/>
  <c r="BN25" i="1" s="1"/>
  <c r="BJ26" i="1"/>
  <c r="L32" i="1"/>
  <c r="K32" i="1" s="1"/>
  <c r="Q32" i="1"/>
  <c r="N32" i="1"/>
  <c r="CX32" i="1"/>
  <c r="AY32" i="1" s="1"/>
  <c r="BA32" i="1" s="1"/>
  <c r="V32" i="1"/>
  <c r="CX33" i="1"/>
  <c r="AY33" i="1" s="1"/>
  <c r="V33" i="1"/>
  <c r="CX36" i="1"/>
  <c r="AY36" i="1" s="1"/>
  <c r="BA36" i="1" s="1"/>
  <c r="V36" i="1"/>
  <c r="AD45" i="1"/>
  <c r="M17" i="1"/>
  <c r="AZ17" i="1" s="1"/>
  <c r="BB17" i="1" s="1"/>
  <c r="BI18" i="1"/>
  <c r="BM18" i="1" s="1"/>
  <c r="BN18" i="1" s="1"/>
  <c r="M20" i="1"/>
  <c r="AZ20" i="1" s="1"/>
  <c r="N22" i="1"/>
  <c r="AK22" i="1"/>
  <c r="BI22" i="1"/>
  <c r="BM22" i="1" s="1"/>
  <c r="BN22" i="1" s="1"/>
  <c r="M24" i="1"/>
  <c r="AZ24" i="1" s="1"/>
  <c r="BB24" i="1" s="1"/>
  <c r="W25" i="1"/>
  <c r="X25" i="1" s="1"/>
  <c r="M32" i="1"/>
  <c r="AZ32" i="1" s="1"/>
  <c r="BB32" i="1" s="1"/>
  <c r="BA33" i="1"/>
  <c r="L36" i="1"/>
  <c r="K36" i="1" s="1"/>
  <c r="AK36" i="1"/>
  <c r="Q36" i="1"/>
  <c r="N36" i="1"/>
  <c r="M40" i="1"/>
  <c r="AZ40" i="1" s="1"/>
  <c r="AD41" i="1"/>
  <c r="N26" i="1"/>
  <c r="L26" i="1"/>
  <c r="K26" i="1" s="1"/>
  <c r="AK26" i="1"/>
  <c r="N17" i="1"/>
  <c r="V17" i="1"/>
  <c r="BH17" i="1"/>
  <c r="BA21" i="1"/>
  <c r="BJ22" i="1"/>
  <c r="Q24" i="1"/>
  <c r="BJ24" i="1"/>
  <c r="BI24" i="1"/>
  <c r="BM24" i="1" s="1"/>
  <c r="BN24" i="1" s="1"/>
  <c r="BH24" i="1"/>
  <c r="T29" i="1"/>
  <c r="R29" i="1" s="1"/>
  <c r="U29" i="1" s="1"/>
  <c r="O29" i="1" s="1"/>
  <c r="P29" i="1" s="1"/>
  <c r="BH29" i="1"/>
  <c r="BJ44" i="1"/>
  <c r="BI44" i="1"/>
  <c r="BM44" i="1" s="1"/>
  <c r="BN44" i="1" s="1"/>
  <c r="BH44" i="1"/>
  <c r="AK48" i="1"/>
  <c r="L48" i="1"/>
  <c r="K48" i="1" s="1"/>
  <c r="Q48" i="1"/>
  <c r="N48" i="1"/>
  <c r="CX24" i="1"/>
  <c r="AY24" i="1" s="1"/>
  <c r="BA24" i="1" s="1"/>
  <c r="V24" i="1"/>
  <c r="BA37" i="1"/>
  <c r="BJ58" i="1"/>
  <c r="BI58" i="1"/>
  <c r="BM58" i="1" s="1"/>
  <c r="BN58" i="1" s="1"/>
  <c r="BH58" i="1"/>
  <c r="M108" i="1"/>
  <c r="AZ108" i="1" s="1"/>
  <c r="BB108" i="1" s="1"/>
  <c r="L108" i="1"/>
  <c r="K108" i="1" s="1"/>
  <c r="AK108" i="1"/>
  <c r="Q108" i="1"/>
  <c r="N108" i="1"/>
  <c r="Q20" i="1"/>
  <c r="Z22" i="1"/>
  <c r="AK24" i="1"/>
  <c r="BB25" i="1"/>
  <c r="BA25" i="1"/>
  <c r="Q26" i="1"/>
  <c r="CX26" i="1"/>
  <c r="AY26" i="1" s="1"/>
  <c r="BA26" i="1" s="1"/>
  <c r="V26" i="1"/>
  <c r="N27" i="1"/>
  <c r="M27" i="1"/>
  <c r="AZ27" i="1" s="1"/>
  <c r="BB27" i="1" s="1"/>
  <c r="L27" i="1"/>
  <c r="K27" i="1" s="1"/>
  <c r="CX28" i="1"/>
  <c r="AY28" i="1" s="1"/>
  <c r="BA28" i="1" s="1"/>
  <c r="V28" i="1"/>
  <c r="BI29" i="1"/>
  <c r="BM29" i="1" s="1"/>
  <c r="BN29" i="1" s="1"/>
  <c r="BB33" i="1"/>
  <c r="M36" i="1"/>
  <c r="AZ36" i="1" s="1"/>
  <c r="AD37" i="1"/>
  <c r="BJ40" i="1"/>
  <c r="BI40" i="1"/>
  <c r="BM40" i="1" s="1"/>
  <c r="BN40" i="1" s="1"/>
  <c r="BH40" i="1"/>
  <c r="CX45" i="1"/>
  <c r="AY45" i="1" s="1"/>
  <c r="BB45" i="1" s="1"/>
  <c r="CX20" i="1"/>
  <c r="AY20" i="1" s="1"/>
  <c r="BA20" i="1" s="1"/>
  <c r="V20" i="1"/>
  <c r="BJ32" i="1"/>
  <c r="BI32" i="1"/>
  <c r="BM32" i="1" s="1"/>
  <c r="BN32" i="1" s="1"/>
  <c r="BH32" i="1"/>
  <c r="BH33" i="1"/>
  <c r="BJ33" i="1"/>
  <c r="N34" i="1"/>
  <c r="M34" i="1"/>
  <c r="AZ34" i="1" s="1"/>
  <c r="BB34" i="1" s="1"/>
  <c r="L34" i="1"/>
  <c r="K34" i="1" s="1"/>
  <c r="AK34" i="1"/>
  <c r="CX41" i="1"/>
  <c r="AY41" i="1" s="1"/>
  <c r="BB41" i="1" s="1"/>
  <c r="M48" i="1"/>
  <c r="AZ48" i="1" s="1"/>
  <c r="BB48" i="1" s="1"/>
  <c r="Y49" i="1"/>
  <c r="AC49" i="1" s="1"/>
  <c r="AF49" i="1"/>
  <c r="AD52" i="1"/>
  <c r="N31" i="1"/>
  <c r="M31" i="1"/>
  <c r="AZ31" i="1" s="1"/>
  <c r="BB31" i="1" s="1"/>
  <c r="L31" i="1"/>
  <c r="K31" i="1" s="1"/>
  <c r="N38" i="1"/>
  <c r="M38" i="1"/>
  <c r="AZ38" i="1" s="1"/>
  <c r="BB38" i="1" s="1"/>
  <c r="L38" i="1"/>
  <c r="K38" i="1" s="1"/>
  <c r="AK38" i="1"/>
  <c r="CX22" i="1"/>
  <c r="AY22" i="1" s="1"/>
  <c r="BA22" i="1" s="1"/>
  <c r="V22" i="1"/>
  <c r="N23" i="1"/>
  <c r="M23" i="1"/>
  <c r="AZ23" i="1" s="1"/>
  <c r="BB23" i="1" s="1"/>
  <c r="L23" i="1"/>
  <c r="K23" i="1" s="1"/>
  <c r="AD33" i="1"/>
  <c r="BJ36" i="1"/>
  <c r="BI36" i="1"/>
  <c r="BM36" i="1" s="1"/>
  <c r="BN36" i="1" s="1"/>
  <c r="BH36" i="1"/>
  <c r="BA41" i="1"/>
  <c r="N42" i="1"/>
  <c r="M42" i="1"/>
  <c r="AZ42" i="1" s="1"/>
  <c r="BB42" i="1" s="1"/>
  <c r="L42" i="1"/>
  <c r="K42" i="1" s="1"/>
  <c r="AK42" i="1"/>
  <c r="CX44" i="1"/>
  <c r="AY44" i="1" s="1"/>
  <c r="BA44" i="1" s="1"/>
  <c r="V44" i="1"/>
  <c r="AK20" i="1"/>
  <c r="BI20" i="1"/>
  <c r="BM20" i="1" s="1"/>
  <c r="BN20" i="1" s="1"/>
  <c r="BH20" i="1"/>
  <c r="L21" i="1"/>
  <c r="K21" i="1" s="1"/>
  <c r="Q21" i="1"/>
  <c r="AK23" i="1"/>
  <c r="BJ28" i="1"/>
  <c r="BI28" i="1"/>
  <c r="BM28" i="1" s="1"/>
  <c r="BN28" i="1" s="1"/>
  <c r="BH28" i="1"/>
  <c r="BB29" i="1"/>
  <c r="BA29" i="1"/>
  <c r="N30" i="1"/>
  <c r="M30" i="1"/>
  <c r="AZ30" i="1" s="1"/>
  <c r="BB30" i="1" s="1"/>
  <c r="L30" i="1"/>
  <c r="K30" i="1" s="1"/>
  <c r="AK30" i="1"/>
  <c r="Q31" i="1"/>
  <c r="CX37" i="1"/>
  <c r="AY37" i="1" s="1"/>
  <c r="BB37" i="1" s="1"/>
  <c r="CX40" i="1"/>
  <c r="AY40" i="1" s="1"/>
  <c r="BA40" i="1" s="1"/>
  <c r="V40" i="1"/>
  <c r="L44" i="1"/>
  <c r="K44" i="1" s="1"/>
  <c r="AK44" i="1"/>
  <c r="Q44" i="1"/>
  <c r="N44" i="1"/>
  <c r="AD46" i="1"/>
  <c r="L35" i="1"/>
  <c r="K35" i="1" s="1"/>
  <c r="BJ37" i="1"/>
  <c r="L39" i="1"/>
  <c r="K39" i="1" s="1"/>
  <c r="BJ41" i="1"/>
  <c r="L43" i="1"/>
  <c r="K43" i="1" s="1"/>
  <c r="BJ45" i="1"/>
  <c r="L47" i="1"/>
  <c r="K47" i="1" s="1"/>
  <c r="BB52" i="1"/>
  <c r="BJ52" i="1"/>
  <c r="BI52" i="1"/>
  <c r="BM52" i="1" s="1"/>
  <c r="BN52" i="1" s="1"/>
  <c r="BH52" i="1"/>
  <c r="L56" i="1"/>
  <c r="K56" i="1" s="1"/>
  <c r="N57" i="1"/>
  <c r="M57" i="1"/>
  <c r="AZ57" i="1" s="1"/>
  <c r="BB57" i="1" s="1"/>
  <c r="L57" i="1"/>
  <c r="K57" i="1" s="1"/>
  <c r="Q57" i="1"/>
  <c r="Q25" i="1"/>
  <c r="Q29" i="1"/>
  <c r="Q33" i="1"/>
  <c r="M35" i="1"/>
  <c r="AZ35" i="1" s="1"/>
  <c r="BB35" i="1" s="1"/>
  <c r="Q37" i="1"/>
  <c r="M39" i="1"/>
  <c r="AZ39" i="1" s="1"/>
  <c r="BB39" i="1" s="1"/>
  <c r="Q41" i="1"/>
  <c r="M43" i="1"/>
  <c r="AZ43" i="1" s="1"/>
  <c r="BB43" i="1" s="1"/>
  <c r="Q45" i="1"/>
  <c r="AK46" i="1"/>
  <c r="M47" i="1"/>
  <c r="AZ47" i="1" s="1"/>
  <c r="BB47" i="1" s="1"/>
  <c r="Z48" i="1"/>
  <c r="CX50" i="1"/>
  <c r="AY50" i="1" s="1"/>
  <c r="BA50" i="1" s="1"/>
  <c r="V50" i="1"/>
  <c r="M56" i="1"/>
  <c r="AZ56" i="1" s="1"/>
  <c r="BB56" i="1" s="1"/>
  <c r="BJ56" i="1"/>
  <c r="BI56" i="1"/>
  <c r="BM56" i="1" s="1"/>
  <c r="BN56" i="1" s="1"/>
  <c r="BH56" i="1"/>
  <c r="CX64" i="1"/>
  <c r="AY64" i="1" s="1"/>
  <c r="BA64" i="1" s="1"/>
  <c r="V64" i="1"/>
  <c r="BA49" i="1"/>
  <c r="AK52" i="1"/>
  <c r="N52" i="1"/>
  <c r="M53" i="1"/>
  <c r="AZ53" i="1" s="1"/>
  <c r="BB53" i="1" s="1"/>
  <c r="L53" i="1"/>
  <c r="K53" i="1" s="1"/>
  <c r="Q53" i="1"/>
  <c r="CX54" i="1"/>
  <c r="AY54" i="1" s="1"/>
  <c r="BA54" i="1" s="1"/>
  <c r="V54" i="1"/>
  <c r="BA57" i="1"/>
  <c r="CX58" i="1"/>
  <c r="AY58" i="1" s="1"/>
  <c r="BA58" i="1" s="1"/>
  <c r="V58" i="1"/>
  <c r="CX59" i="1"/>
  <c r="AY59" i="1" s="1"/>
  <c r="BA59" i="1" s="1"/>
  <c r="N61" i="1"/>
  <c r="M61" i="1"/>
  <c r="AZ61" i="1" s="1"/>
  <c r="BB61" i="1" s="1"/>
  <c r="L61" i="1"/>
  <c r="K61" i="1" s="1"/>
  <c r="Q61" i="1"/>
  <c r="L64" i="1"/>
  <c r="K64" i="1" s="1"/>
  <c r="AK64" i="1"/>
  <c r="Q64" i="1"/>
  <c r="N64" i="1"/>
  <c r="BB54" i="1"/>
  <c r="AK56" i="1"/>
  <c r="N56" i="1"/>
  <c r="BJ60" i="1"/>
  <c r="BI60" i="1"/>
  <c r="BM60" i="1" s="1"/>
  <c r="BN60" i="1" s="1"/>
  <c r="BH60" i="1"/>
  <c r="W63" i="1"/>
  <c r="X63" i="1" s="1"/>
  <c r="CX78" i="1"/>
  <c r="AY78" i="1" s="1"/>
  <c r="BA78" i="1" s="1"/>
  <c r="V78" i="1"/>
  <c r="V30" i="1"/>
  <c r="V34" i="1"/>
  <c r="V38" i="1"/>
  <c r="V42" i="1"/>
  <c r="V46" i="1"/>
  <c r="BB49" i="1"/>
  <c r="CX51" i="1"/>
  <c r="AY51" i="1" s="1"/>
  <c r="BA51" i="1" s="1"/>
  <c r="CX52" i="1"/>
  <c r="AY52" i="1" s="1"/>
  <c r="BA52" i="1" s="1"/>
  <c r="V52" i="1"/>
  <c r="W53" i="1"/>
  <c r="X53" i="1" s="1"/>
  <c r="BA53" i="1"/>
  <c r="CX56" i="1"/>
  <c r="AY56" i="1" s="1"/>
  <c r="BA56" i="1" s="1"/>
  <c r="V56" i="1"/>
  <c r="BA61" i="1"/>
  <c r="M64" i="1"/>
  <c r="AZ64" i="1" s="1"/>
  <c r="BB64" i="1" s="1"/>
  <c r="BJ48" i="1"/>
  <c r="BI48" i="1"/>
  <c r="BM48" i="1" s="1"/>
  <c r="BN48" i="1" s="1"/>
  <c r="BI50" i="1"/>
  <c r="BM50" i="1" s="1"/>
  <c r="BN50" i="1" s="1"/>
  <c r="BH50" i="1"/>
  <c r="CX55" i="1"/>
  <c r="AY55" i="1" s="1"/>
  <c r="BA55" i="1" s="1"/>
  <c r="V37" i="1"/>
  <c r="V41" i="1"/>
  <c r="V45" i="1"/>
  <c r="BH48" i="1"/>
  <c r="T49" i="1"/>
  <c r="R49" i="1" s="1"/>
  <c r="U49" i="1" s="1"/>
  <c r="O49" i="1" s="1"/>
  <c r="P49" i="1" s="1"/>
  <c r="AG49" i="1"/>
  <c r="BJ50" i="1"/>
  <c r="Q51" i="1"/>
  <c r="N51" i="1"/>
  <c r="M51" i="1"/>
  <c r="AZ51" i="1" s="1"/>
  <c r="BB51" i="1" s="1"/>
  <c r="L51" i="1"/>
  <c r="K51" i="1" s="1"/>
  <c r="Z52" i="1"/>
  <c r="BI54" i="1"/>
  <c r="BM54" i="1" s="1"/>
  <c r="BN54" i="1" s="1"/>
  <c r="BH54" i="1"/>
  <c r="Q55" i="1"/>
  <c r="N55" i="1"/>
  <c r="M55" i="1"/>
  <c r="AZ55" i="1" s="1"/>
  <c r="BB55" i="1" s="1"/>
  <c r="L55" i="1"/>
  <c r="K55" i="1" s="1"/>
  <c r="L60" i="1"/>
  <c r="K60" i="1" s="1"/>
  <c r="AK60" i="1"/>
  <c r="N60" i="1"/>
  <c r="CX60" i="1"/>
  <c r="AY60" i="1" s="1"/>
  <c r="BA60" i="1" s="1"/>
  <c r="V60" i="1"/>
  <c r="BJ64" i="1"/>
  <c r="BI64" i="1"/>
  <c r="BM64" i="1" s="1"/>
  <c r="BN64" i="1" s="1"/>
  <c r="BH64" i="1"/>
  <c r="AD66" i="1"/>
  <c r="L59" i="1"/>
  <c r="K59" i="1" s="1"/>
  <c r="L63" i="1"/>
  <c r="K63" i="1" s="1"/>
  <c r="N68" i="1"/>
  <c r="AK68" i="1"/>
  <c r="CX68" i="1"/>
  <c r="AY68" i="1" s="1"/>
  <c r="BA68" i="1" s="1"/>
  <c r="V68" i="1"/>
  <c r="CX70" i="1"/>
  <c r="AY70" i="1" s="1"/>
  <c r="BA70" i="1" s="1"/>
  <c r="V70" i="1"/>
  <c r="BJ74" i="1"/>
  <c r="BI74" i="1"/>
  <c r="BM74" i="1" s="1"/>
  <c r="BN74" i="1" s="1"/>
  <c r="BH74" i="1"/>
  <c r="L78" i="1"/>
  <c r="K78" i="1" s="1"/>
  <c r="AK78" i="1"/>
  <c r="Q78" i="1"/>
  <c r="N78" i="1"/>
  <c r="AF82" i="1"/>
  <c r="AE82" i="1"/>
  <c r="Y82" i="1"/>
  <c r="AC82" i="1" s="1"/>
  <c r="AK50" i="1"/>
  <c r="AK54" i="1"/>
  <c r="AK58" i="1"/>
  <c r="M59" i="1"/>
  <c r="AZ59" i="1" s="1"/>
  <c r="BB59" i="1" s="1"/>
  <c r="AK62" i="1"/>
  <c r="M63" i="1"/>
  <c r="AZ63" i="1" s="1"/>
  <c r="BB63" i="1" s="1"/>
  <c r="BI66" i="1"/>
  <c r="BM66" i="1" s="1"/>
  <c r="BN66" i="1" s="1"/>
  <c r="L70" i="1"/>
  <c r="K70" i="1" s="1"/>
  <c r="AK70" i="1"/>
  <c r="Q70" i="1"/>
  <c r="N70" i="1"/>
  <c r="BA75" i="1"/>
  <c r="N76" i="1"/>
  <c r="M76" i="1"/>
  <c r="AZ76" i="1" s="1"/>
  <c r="BB76" i="1" s="1"/>
  <c r="L76" i="1"/>
  <c r="K76" i="1" s="1"/>
  <c r="AK76" i="1"/>
  <c r="AD80" i="1"/>
  <c r="AF95" i="1"/>
  <c r="AE95" i="1"/>
  <c r="Y95" i="1"/>
  <c r="AC95" i="1" s="1"/>
  <c r="L50" i="1"/>
  <c r="K50" i="1" s="1"/>
  <c r="BH51" i="1"/>
  <c r="L54" i="1"/>
  <c r="K54" i="1" s="1"/>
  <c r="L58" i="1"/>
  <c r="K58" i="1" s="1"/>
  <c r="N59" i="1"/>
  <c r="L62" i="1"/>
  <c r="K62" i="1" s="1"/>
  <c r="N63" i="1"/>
  <c r="Z66" i="1"/>
  <c r="BJ66" i="1"/>
  <c r="CX67" i="1"/>
  <c r="AY67" i="1" s="1"/>
  <c r="BB67" i="1" s="1"/>
  <c r="M78" i="1"/>
  <c r="AZ78" i="1" s="1"/>
  <c r="BB78" i="1" s="1"/>
  <c r="BB80" i="1"/>
  <c r="BB70" i="1"/>
  <c r="CX74" i="1"/>
  <c r="AY74" i="1" s="1"/>
  <c r="BA74" i="1" s="1"/>
  <c r="V74" i="1"/>
  <c r="V62" i="1"/>
  <c r="BH62" i="1"/>
  <c r="BH65" i="1"/>
  <c r="L74" i="1"/>
  <c r="K74" i="1" s="1"/>
  <c r="AK74" i="1"/>
  <c r="Q74" i="1"/>
  <c r="N74" i="1"/>
  <c r="BJ78" i="1"/>
  <c r="BI78" i="1"/>
  <c r="BM78" i="1" s="1"/>
  <c r="BN78" i="1" s="1"/>
  <c r="BH78" i="1"/>
  <c r="BI62" i="1"/>
  <c r="BM62" i="1" s="1"/>
  <c r="BN62" i="1" s="1"/>
  <c r="AD65" i="1"/>
  <c r="BI65" i="1"/>
  <c r="BM65" i="1" s="1"/>
  <c r="BN65" i="1" s="1"/>
  <c r="N67" i="1"/>
  <c r="L67" i="1"/>
  <c r="K67" i="1" s="1"/>
  <c r="Q67" i="1"/>
  <c r="L68" i="1"/>
  <c r="K68" i="1" s="1"/>
  <c r="BJ68" i="1"/>
  <c r="BI68" i="1"/>
  <c r="BM68" i="1" s="1"/>
  <c r="BN68" i="1" s="1"/>
  <c r="BH68" i="1"/>
  <c r="BJ70" i="1"/>
  <c r="BI70" i="1"/>
  <c r="BM70" i="1" s="1"/>
  <c r="BN70" i="1" s="1"/>
  <c r="BH70" i="1"/>
  <c r="BA71" i="1"/>
  <c r="N72" i="1"/>
  <c r="M72" i="1"/>
  <c r="AZ72" i="1" s="1"/>
  <c r="BB72" i="1" s="1"/>
  <c r="L72" i="1"/>
  <c r="K72" i="1" s="1"/>
  <c r="AK72" i="1"/>
  <c r="BA79" i="1"/>
  <c r="BA80" i="1"/>
  <c r="AD81" i="1"/>
  <c r="T82" i="1"/>
  <c r="R82" i="1" s="1"/>
  <c r="U82" i="1" s="1"/>
  <c r="O82" i="1" s="1"/>
  <c r="P82" i="1" s="1"/>
  <c r="AD82" i="1"/>
  <c r="W65" i="1"/>
  <c r="X65" i="1" s="1"/>
  <c r="AE65" i="1" s="1"/>
  <c r="CX66" i="1"/>
  <c r="AY66" i="1" s="1"/>
  <c r="BA66" i="1" s="1"/>
  <c r="V66" i="1"/>
  <c r="BB68" i="1"/>
  <c r="BB74" i="1"/>
  <c r="BJ67" i="1"/>
  <c r="L69" i="1"/>
  <c r="K69" i="1" s="1"/>
  <c r="BJ71" i="1"/>
  <c r="L73" i="1"/>
  <c r="K73" i="1" s="1"/>
  <c r="BJ75" i="1"/>
  <c r="L77" i="1"/>
  <c r="K77" i="1" s="1"/>
  <c r="Q84" i="1"/>
  <c r="N84" i="1"/>
  <c r="M84" i="1"/>
  <c r="AZ84" i="1" s="1"/>
  <c r="BB84" i="1" s="1"/>
  <c r="L84" i="1"/>
  <c r="K84" i="1" s="1"/>
  <c r="AK85" i="1"/>
  <c r="Q85" i="1"/>
  <c r="N85" i="1"/>
  <c r="BA88" i="1"/>
  <c r="Q71" i="1"/>
  <c r="Q75" i="1"/>
  <c r="Q79" i="1"/>
  <c r="AK84" i="1"/>
  <c r="M85" i="1"/>
  <c r="AZ85" i="1" s="1"/>
  <c r="CX85" i="1"/>
  <c r="AY85" i="1" s="1"/>
  <c r="BA85" i="1" s="1"/>
  <c r="V85" i="1"/>
  <c r="BA86" i="1"/>
  <c r="AK89" i="1"/>
  <c r="Q89" i="1"/>
  <c r="N89" i="1"/>
  <c r="M89" i="1"/>
  <c r="AZ89" i="1" s="1"/>
  <c r="BB89" i="1" s="1"/>
  <c r="N91" i="1"/>
  <c r="M91" i="1"/>
  <c r="AZ91" i="1" s="1"/>
  <c r="BB91" i="1" s="1"/>
  <c r="L91" i="1"/>
  <c r="K91" i="1" s="1"/>
  <c r="AK91" i="1"/>
  <c r="Q91" i="1"/>
  <c r="BA92" i="1"/>
  <c r="AK99" i="1"/>
  <c r="Q99" i="1"/>
  <c r="L99" i="1"/>
  <c r="K99" i="1" s="1"/>
  <c r="N99" i="1"/>
  <c r="N83" i="1"/>
  <c r="M83" i="1"/>
  <c r="AZ83" i="1" s="1"/>
  <c r="BB83" i="1" s="1"/>
  <c r="L83" i="1"/>
  <c r="K83" i="1" s="1"/>
  <c r="AK83" i="1"/>
  <c r="AK93" i="1"/>
  <c r="Q93" i="1"/>
  <c r="N93" i="1"/>
  <c r="M93" i="1"/>
  <c r="AZ93" i="1" s="1"/>
  <c r="BB93" i="1" s="1"/>
  <c r="N98" i="1"/>
  <c r="M98" i="1"/>
  <c r="AZ98" i="1" s="1"/>
  <c r="BB98" i="1" s="1"/>
  <c r="AK98" i="1"/>
  <c r="Q98" i="1"/>
  <c r="L98" i="1"/>
  <c r="K98" i="1" s="1"/>
  <c r="CX118" i="1"/>
  <c r="AY118" i="1" s="1"/>
  <c r="BA118" i="1" s="1"/>
  <c r="V118" i="1"/>
  <c r="AK71" i="1"/>
  <c r="AK75" i="1"/>
  <c r="AK79" i="1"/>
  <c r="CX81" i="1"/>
  <c r="AY81" i="1" s="1"/>
  <c r="BA81" i="1" s="1"/>
  <c r="V81" i="1"/>
  <c r="BA95" i="1"/>
  <c r="BJ96" i="1"/>
  <c r="BI96" i="1"/>
  <c r="BM96" i="1" s="1"/>
  <c r="BN96" i="1" s="1"/>
  <c r="BH96" i="1"/>
  <c r="AD117" i="1"/>
  <c r="L71" i="1"/>
  <c r="K71" i="1" s="1"/>
  <c r="V72" i="1"/>
  <c r="BH72" i="1"/>
  <c r="L75" i="1"/>
  <c r="K75" i="1" s="1"/>
  <c r="V76" i="1"/>
  <c r="BH76" i="1"/>
  <c r="L79" i="1"/>
  <c r="K79" i="1" s="1"/>
  <c r="W80" i="1"/>
  <c r="X80" i="1" s="1"/>
  <c r="L89" i="1"/>
  <c r="K89" i="1" s="1"/>
  <c r="BB90" i="1"/>
  <c r="Q106" i="1"/>
  <c r="N106" i="1"/>
  <c r="M106" i="1"/>
  <c r="AZ106" i="1" s="1"/>
  <c r="BB106" i="1" s="1"/>
  <c r="L106" i="1"/>
  <c r="K106" i="1" s="1"/>
  <c r="AK106" i="1"/>
  <c r="M71" i="1"/>
  <c r="AZ71" i="1" s="1"/>
  <c r="BB71" i="1" s="1"/>
  <c r="BI72" i="1"/>
  <c r="BM72" i="1" s="1"/>
  <c r="BN72" i="1" s="1"/>
  <c r="M75" i="1"/>
  <c r="AZ75" i="1" s="1"/>
  <c r="BB75" i="1" s="1"/>
  <c r="BI76" i="1"/>
  <c r="BM76" i="1" s="1"/>
  <c r="BN76" i="1" s="1"/>
  <c r="M79" i="1"/>
  <c r="AZ79" i="1" s="1"/>
  <c r="BB79" i="1" s="1"/>
  <c r="Z81" i="1"/>
  <c r="BJ85" i="1"/>
  <c r="BI85" i="1"/>
  <c r="BM85" i="1" s="1"/>
  <c r="BN85" i="1" s="1"/>
  <c r="BH85" i="1"/>
  <c r="N87" i="1"/>
  <c r="M87" i="1"/>
  <c r="AZ87" i="1" s="1"/>
  <c r="BB87" i="1" s="1"/>
  <c r="L87" i="1"/>
  <c r="K87" i="1" s="1"/>
  <c r="W87" i="1" s="1"/>
  <c r="X87" i="1" s="1"/>
  <c r="AK87" i="1"/>
  <c r="Q88" i="1"/>
  <c r="N88" i="1"/>
  <c r="M88" i="1"/>
  <c r="AZ88" i="1" s="1"/>
  <c r="BB88" i="1" s="1"/>
  <c r="L88" i="1"/>
  <c r="K88" i="1" s="1"/>
  <c r="AK88" i="1"/>
  <c r="L93" i="1"/>
  <c r="K93" i="1" s="1"/>
  <c r="BB94" i="1"/>
  <c r="AD95" i="1"/>
  <c r="T95" i="1"/>
  <c r="R95" i="1" s="1"/>
  <c r="U95" i="1" s="1"/>
  <c r="O95" i="1" s="1"/>
  <c r="P95" i="1" s="1"/>
  <c r="M99" i="1"/>
  <c r="AZ99" i="1" s="1"/>
  <c r="BB99" i="1" s="1"/>
  <c r="V67" i="1"/>
  <c r="V71" i="1"/>
  <c r="BB86" i="1"/>
  <c r="Q92" i="1"/>
  <c r="N92" i="1"/>
  <c r="M92" i="1"/>
  <c r="AZ92" i="1" s="1"/>
  <c r="BB92" i="1" s="1"/>
  <c r="L92" i="1"/>
  <c r="K92" i="1" s="1"/>
  <c r="AK92" i="1"/>
  <c r="CX96" i="1"/>
  <c r="AY96" i="1" s="1"/>
  <c r="BA96" i="1" s="1"/>
  <c r="L96" i="1"/>
  <c r="K96" i="1" s="1"/>
  <c r="W96" i="1" s="1"/>
  <c r="X96" i="1" s="1"/>
  <c r="AK96" i="1"/>
  <c r="N97" i="1"/>
  <c r="M97" i="1"/>
  <c r="AZ97" i="1" s="1"/>
  <c r="BB97" i="1" s="1"/>
  <c r="L97" i="1"/>
  <c r="K97" i="1" s="1"/>
  <c r="AK97" i="1"/>
  <c r="CX99" i="1"/>
  <c r="AY99" i="1" s="1"/>
  <c r="V99" i="1"/>
  <c r="BJ103" i="1"/>
  <c r="BI103" i="1"/>
  <c r="BM103" i="1" s="1"/>
  <c r="BN103" i="1" s="1"/>
  <c r="BH103" i="1"/>
  <c r="M104" i="1"/>
  <c r="AZ104" i="1" s="1"/>
  <c r="BB104" i="1" s="1"/>
  <c r="L104" i="1"/>
  <c r="K104" i="1" s="1"/>
  <c r="AK104" i="1"/>
  <c r="Q104" i="1"/>
  <c r="V89" i="1"/>
  <c r="BH89" i="1"/>
  <c r="V93" i="1"/>
  <c r="BH93" i="1"/>
  <c r="Z95" i="1"/>
  <c r="BA99" i="1"/>
  <c r="CX112" i="1"/>
  <c r="AY112" i="1" s="1"/>
  <c r="BA112" i="1" s="1"/>
  <c r="V112" i="1"/>
  <c r="AD121" i="1"/>
  <c r="Q86" i="1"/>
  <c r="BI89" i="1"/>
  <c r="BM89" i="1" s="1"/>
  <c r="BN89" i="1" s="1"/>
  <c r="Q90" i="1"/>
  <c r="BI93" i="1"/>
  <c r="BM93" i="1" s="1"/>
  <c r="BN93" i="1" s="1"/>
  <c r="Q94" i="1"/>
  <c r="Q96" i="1"/>
  <c r="Q102" i="1"/>
  <c r="N102" i="1"/>
  <c r="M102" i="1"/>
  <c r="AZ102" i="1" s="1"/>
  <c r="BB102" i="1" s="1"/>
  <c r="L102" i="1"/>
  <c r="K102" i="1" s="1"/>
  <c r="W102" i="1" s="1"/>
  <c r="X102" i="1" s="1"/>
  <c r="BA104" i="1"/>
  <c r="BB111" i="1"/>
  <c r="AD113" i="1"/>
  <c r="BH114" i="1"/>
  <c r="BJ114" i="1"/>
  <c r="BI114" i="1"/>
  <c r="BM114" i="1" s="1"/>
  <c r="BN114" i="1" s="1"/>
  <c r="AK103" i="1"/>
  <c r="Q103" i="1"/>
  <c r="N103" i="1"/>
  <c r="W108" i="1"/>
  <c r="X108" i="1" s="1"/>
  <c r="BB112" i="1"/>
  <c r="AK82" i="1"/>
  <c r="W84" i="1"/>
  <c r="X84" i="1" s="1"/>
  <c r="AE84" i="1" s="1"/>
  <c r="BI84" i="1"/>
  <c r="BM84" i="1" s="1"/>
  <c r="BN84" i="1" s="1"/>
  <c r="AK86" i="1"/>
  <c r="W88" i="1"/>
  <c r="X88" i="1" s="1"/>
  <c r="AK90" i="1"/>
  <c r="W92" i="1"/>
  <c r="X92" i="1" s="1"/>
  <c r="AK94" i="1"/>
  <c r="Q97" i="1"/>
  <c r="Z99" i="1"/>
  <c r="BJ99" i="1"/>
  <c r="BI99" i="1"/>
  <c r="BM99" i="1" s="1"/>
  <c r="BN99" i="1" s="1"/>
  <c r="BH99" i="1"/>
  <c r="M100" i="1"/>
  <c r="AZ100" i="1" s="1"/>
  <c r="BB100" i="1" s="1"/>
  <c r="L100" i="1"/>
  <c r="K100" i="1" s="1"/>
  <c r="AK100" i="1"/>
  <c r="Q100" i="1"/>
  <c r="M103" i="1"/>
  <c r="AZ103" i="1" s="1"/>
  <c r="CX103" i="1"/>
  <c r="AY103" i="1" s="1"/>
  <c r="V103" i="1"/>
  <c r="W113" i="1"/>
  <c r="X113" i="1" s="1"/>
  <c r="T113" i="1" s="1"/>
  <c r="R113" i="1" s="1"/>
  <c r="U113" i="1" s="1"/>
  <c r="O113" i="1" s="1"/>
  <c r="P113" i="1" s="1"/>
  <c r="V83" i="1"/>
  <c r="L86" i="1"/>
  <c r="K86" i="1" s="1"/>
  <c r="W86" i="1" s="1"/>
  <c r="X86" i="1" s="1"/>
  <c r="L90" i="1"/>
  <c r="K90" i="1" s="1"/>
  <c r="L94" i="1"/>
  <c r="K94" i="1" s="1"/>
  <c r="BB95" i="1"/>
  <c r="BA103" i="1"/>
  <c r="AK107" i="1"/>
  <c r="Q107" i="1"/>
  <c r="N107" i="1"/>
  <c r="M107" i="1"/>
  <c r="AZ107" i="1" s="1"/>
  <c r="BB107" i="1" s="1"/>
  <c r="BJ122" i="1"/>
  <c r="BI122" i="1"/>
  <c r="BM122" i="1" s="1"/>
  <c r="BN122" i="1" s="1"/>
  <c r="BH122" i="1"/>
  <c r="M96" i="1"/>
  <c r="AZ96" i="1" s="1"/>
  <c r="CX97" i="1"/>
  <c r="AY97" i="1" s="1"/>
  <c r="BA97" i="1" s="1"/>
  <c r="BA100" i="1"/>
  <c r="AE113" i="1"/>
  <c r="BA113" i="1"/>
  <c r="T111" i="1"/>
  <c r="R111" i="1" s="1"/>
  <c r="U111" i="1" s="1"/>
  <c r="O111" i="1" s="1"/>
  <c r="P111" i="1" s="1"/>
  <c r="L114" i="1"/>
  <c r="K114" i="1" s="1"/>
  <c r="N114" i="1"/>
  <c r="BB117" i="1"/>
  <c r="V107" i="1"/>
  <c r="BH107" i="1"/>
  <c r="W111" i="1"/>
  <c r="X111" i="1" s="1"/>
  <c r="BI112" i="1"/>
  <c r="BM112" i="1" s="1"/>
  <c r="BN112" i="1" s="1"/>
  <c r="N116" i="1"/>
  <c r="M116" i="1"/>
  <c r="AZ116" i="1" s="1"/>
  <c r="BB116" i="1" s="1"/>
  <c r="L116" i="1"/>
  <c r="K116" i="1" s="1"/>
  <c r="CX126" i="1"/>
  <c r="AY126" i="1" s="1"/>
  <c r="BA126" i="1" s="1"/>
  <c r="V126" i="1"/>
  <c r="N128" i="1"/>
  <c r="M128" i="1"/>
  <c r="AZ128" i="1" s="1"/>
  <c r="BB128" i="1" s="1"/>
  <c r="L128" i="1"/>
  <c r="K128" i="1" s="1"/>
  <c r="W128" i="1" s="1"/>
  <c r="X128" i="1" s="1"/>
  <c r="AK128" i="1"/>
  <c r="AK101" i="1"/>
  <c r="AK105" i="1"/>
  <c r="BI107" i="1"/>
  <c r="BM107" i="1" s="1"/>
  <c r="BN107" i="1" s="1"/>
  <c r="AK109" i="1"/>
  <c r="M110" i="1"/>
  <c r="AZ110" i="1" s="1"/>
  <c r="BB110" i="1" s="1"/>
  <c r="V110" i="1"/>
  <c r="Q112" i="1"/>
  <c r="BJ112" i="1"/>
  <c r="CX117" i="1"/>
  <c r="AY117" i="1" s="1"/>
  <c r="BA117" i="1" s="1"/>
  <c r="V117" i="1"/>
  <c r="CX122" i="1"/>
  <c r="AY122" i="1" s="1"/>
  <c r="BA122" i="1" s="1"/>
  <c r="V122" i="1"/>
  <c r="N124" i="1"/>
  <c r="M124" i="1"/>
  <c r="AZ124" i="1" s="1"/>
  <c r="BB124" i="1" s="1"/>
  <c r="L124" i="1"/>
  <c r="K124" i="1" s="1"/>
  <c r="AK124" i="1"/>
  <c r="L126" i="1"/>
  <c r="K126" i="1" s="1"/>
  <c r="AK126" i="1"/>
  <c r="Q126" i="1"/>
  <c r="N126" i="1"/>
  <c r="V98" i="1"/>
  <c r="BH98" i="1"/>
  <c r="L101" i="1"/>
  <c r="K101" i="1" s="1"/>
  <c r="L105" i="1"/>
  <c r="K105" i="1" s="1"/>
  <c r="L109" i="1"/>
  <c r="K109" i="1" s="1"/>
  <c r="M113" i="1"/>
  <c r="AZ113" i="1" s="1"/>
  <c r="BB113" i="1" s="1"/>
  <c r="Q114" i="1"/>
  <c r="CX115" i="1"/>
  <c r="AY115" i="1" s="1"/>
  <c r="BA115" i="1" s="1"/>
  <c r="V115" i="1"/>
  <c r="BJ118" i="1"/>
  <c r="BH118" i="1"/>
  <c r="L122" i="1"/>
  <c r="K122" i="1" s="1"/>
  <c r="AK122" i="1"/>
  <c r="Q122" i="1"/>
  <c r="N122" i="1"/>
  <c r="Q128" i="1"/>
  <c r="BI98" i="1"/>
  <c r="BM98" i="1" s="1"/>
  <c r="BN98" i="1" s="1"/>
  <c r="M101" i="1"/>
  <c r="AZ101" i="1" s="1"/>
  <c r="BB101" i="1" s="1"/>
  <c r="M105" i="1"/>
  <c r="AZ105" i="1" s="1"/>
  <c r="BB105" i="1" s="1"/>
  <c r="M109" i="1"/>
  <c r="AZ109" i="1" s="1"/>
  <c r="BB109" i="1" s="1"/>
  <c r="BH111" i="1"/>
  <c r="CX119" i="1"/>
  <c r="AY119" i="1" s="1"/>
  <c r="BA119" i="1" s="1"/>
  <c r="BB126" i="1"/>
  <c r="CX114" i="1"/>
  <c r="AY114" i="1" s="1"/>
  <c r="BA114" i="1" s="1"/>
  <c r="V114" i="1"/>
  <c r="BB118" i="1"/>
  <c r="N120" i="1"/>
  <c r="M120" i="1"/>
  <c r="AZ120" i="1" s="1"/>
  <c r="BB120" i="1" s="1"/>
  <c r="L120" i="1"/>
  <c r="K120" i="1" s="1"/>
  <c r="AK120" i="1"/>
  <c r="M122" i="1"/>
  <c r="AZ122" i="1" s="1"/>
  <c r="BB122" i="1" s="1"/>
  <c r="Z110" i="1"/>
  <c r="L112" i="1"/>
  <c r="K112" i="1" s="1"/>
  <c r="Q113" i="1"/>
  <c r="BH113" i="1"/>
  <c r="BH115" i="1"/>
  <c r="BJ115" i="1"/>
  <c r="BJ117" i="1"/>
  <c r="BI117" i="1"/>
  <c r="BM117" i="1" s="1"/>
  <c r="BN117" i="1" s="1"/>
  <c r="BH117" i="1"/>
  <c r="L118" i="1"/>
  <c r="K118" i="1" s="1"/>
  <c r="AK118" i="1"/>
  <c r="Q118" i="1"/>
  <c r="N118" i="1"/>
  <c r="BJ126" i="1"/>
  <c r="BI126" i="1"/>
  <c r="BM126" i="1" s="1"/>
  <c r="BN126" i="1" s="1"/>
  <c r="BH126" i="1"/>
  <c r="BJ119" i="1"/>
  <c r="L125" i="1"/>
  <c r="K125" i="1" s="1"/>
  <c r="Q127" i="1"/>
  <c r="V121" i="1"/>
  <c r="BH121" i="1"/>
  <c r="AK119" i="1"/>
  <c r="BI121" i="1"/>
  <c r="BM121" i="1" s="1"/>
  <c r="BN121" i="1" s="1"/>
  <c r="AK123" i="1"/>
  <c r="W125" i="1"/>
  <c r="X125" i="1" s="1"/>
  <c r="BI125" i="1"/>
  <c r="BM125" i="1" s="1"/>
  <c r="BN125" i="1" s="1"/>
  <c r="AK127" i="1"/>
  <c r="L115" i="1"/>
  <c r="K115" i="1" s="1"/>
  <c r="V116" i="1"/>
  <c r="BH116" i="1"/>
  <c r="L119" i="1"/>
  <c r="K119" i="1" s="1"/>
  <c r="V120" i="1"/>
  <c r="BH120" i="1"/>
  <c r="L123" i="1"/>
  <c r="K123" i="1" s="1"/>
  <c r="V124" i="1"/>
  <c r="BH124" i="1"/>
  <c r="L127" i="1"/>
  <c r="K127" i="1" s="1"/>
  <c r="M119" i="1"/>
  <c r="AZ119" i="1" s="1"/>
  <c r="BB119" i="1" s="1"/>
  <c r="BI120" i="1"/>
  <c r="BM120" i="1" s="1"/>
  <c r="BN120" i="1" s="1"/>
  <c r="M123" i="1"/>
  <c r="AZ123" i="1" s="1"/>
  <c r="BB123" i="1" s="1"/>
  <c r="BI124" i="1"/>
  <c r="BM124" i="1" s="1"/>
  <c r="BN124" i="1" s="1"/>
  <c r="M127" i="1"/>
  <c r="AZ127" i="1" s="1"/>
  <c r="BB127" i="1" s="1"/>
  <c r="V119" i="1"/>
  <c r="AF128" i="1" l="1"/>
  <c r="Y128" i="1"/>
  <c r="AC128" i="1" s="1"/>
  <c r="AE128" i="1"/>
  <c r="Y86" i="1"/>
  <c r="AC86" i="1" s="1"/>
  <c r="AF86" i="1"/>
  <c r="AE86" i="1"/>
  <c r="AF87" i="1"/>
  <c r="AG87" i="1" s="1"/>
  <c r="Y87" i="1"/>
  <c r="AC87" i="1" s="1"/>
  <c r="AE87" i="1"/>
  <c r="Y102" i="1"/>
  <c r="AC102" i="1" s="1"/>
  <c r="AF102" i="1"/>
  <c r="AE102" i="1"/>
  <c r="AF96" i="1"/>
  <c r="AE96" i="1"/>
  <c r="Y96" i="1"/>
  <c r="AC96" i="1" s="1"/>
  <c r="Y125" i="1"/>
  <c r="AC125" i="1" s="1"/>
  <c r="AF125" i="1"/>
  <c r="AD112" i="1"/>
  <c r="AD122" i="1"/>
  <c r="AD126" i="1"/>
  <c r="T100" i="1"/>
  <c r="R100" i="1" s="1"/>
  <c r="U100" i="1" s="1"/>
  <c r="O100" i="1" s="1"/>
  <c r="P100" i="1" s="1"/>
  <c r="AD100" i="1"/>
  <c r="W100" i="1"/>
  <c r="X100" i="1" s="1"/>
  <c r="Y92" i="1"/>
  <c r="AC92" i="1" s="1"/>
  <c r="AF92" i="1"/>
  <c r="W112" i="1"/>
  <c r="X112" i="1" s="1"/>
  <c r="AD106" i="1"/>
  <c r="T106" i="1"/>
  <c r="R106" i="1" s="1"/>
  <c r="U106" i="1" s="1"/>
  <c r="O106" i="1" s="1"/>
  <c r="P106" i="1" s="1"/>
  <c r="W118" i="1"/>
  <c r="X118" i="1" s="1"/>
  <c r="W68" i="1"/>
  <c r="X68" i="1" s="1"/>
  <c r="Y63" i="1"/>
  <c r="AC63" i="1" s="1"/>
  <c r="AF63" i="1"/>
  <c r="W120" i="1"/>
  <c r="X120" i="1" s="1"/>
  <c r="AD105" i="1"/>
  <c r="AD116" i="1"/>
  <c r="W89" i="1"/>
  <c r="X89" i="1" s="1"/>
  <c r="AD79" i="1"/>
  <c r="T79" i="1"/>
  <c r="R79" i="1" s="1"/>
  <c r="U79" i="1" s="1"/>
  <c r="O79" i="1" s="1"/>
  <c r="P79" i="1" s="1"/>
  <c r="W79" i="1"/>
  <c r="X79" i="1" s="1"/>
  <c r="W66" i="1"/>
  <c r="X66" i="1" s="1"/>
  <c r="AD62" i="1"/>
  <c r="AG95" i="1"/>
  <c r="AD60" i="1"/>
  <c r="AD51" i="1"/>
  <c r="W51" i="1"/>
  <c r="X51" i="1" s="1"/>
  <c r="W45" i="1"/>
  <c r="X45" i="1" s="1"/>
  <c r="W46" i="1"/>
  <c r="X46" i="1" s="1"/>
  <c r="AD61" i="1"/>
  <c r="W61" i="1"/>
  <c r="X61" i="1" s="1"/>
  <c r="W54" i="1"/>
  <c r="X54" i="1" s="1"/>
  <c r="BB50" i="1"/>
  <c r="W50" i="1"/>
  <c r="X50" i="1" s="1"/>
  <c r="AD57" i="1"/>
  <c r="W57" i="1"/>
  <c r="X57" i="1" s="1"/>
  <c r="W47" i="1"/>
  <c r="X47" i="1" s="1"/>
  <c r="T47" i="1" s="1"/>
  <c r="R47" i="1" s="1"/>
  <c r="U47" i="1" s="1"/>
  <c r="O47" i="1" s="1"/>
  <c r="P47" i="1" s="1"/>
  <c r="AD47" i="1"/>
  <c r="AD42" i="1"/>
  <c r="T42" i="1"/>
  <c r="R42" i="1" s="1"/>
  <c r="U42" i="1" s="1"/>
  <c r="O42" i="1" s="1"/>
  <c r="P42" i="1" s="1"/>
  <c r="AD38" i="1"/>
  <c r="W24" i="1"/>
  <c r="X24" i="1" s="1"/>
  <c r="W33" i="1"/>
  <c r="X33" i="1" s="1"/>
  <c r="W18" i="1"/>
  <c r="X18" i="1" s="1"/>
  <c r="T40" i="1"/>
  <c r="R40" i="1" s="1"/>
  <c r="U40" i="1" s="1"/>
  <c r="O40" i="1" s="1"/>
  <c r="P40" i="1" s="1"/>
  <c r="AD40" i="1"/>
  <c r="T118" i="1"/>
  <c r="R118" i="1" s="1"/>
  <c r="U118" i="1" s="1"/>
  <c r="O118" i="1" s="1"/>
  <c r="P118" i="1" s="1"/>
  <c r="AD118" i="1"/>
  <c r="AD109" i="1"/>
  <c r="W117" i="1"/>
  <c r="X117" i="1" s="1"/>
  <c r="AE125" i="1"/>
  <c r="W107" i="1"/>
  <c r="X107" i="1" s="1"/>
  <c r="Y108" i="1"/>
  <c r="AC108" i="1" s="1"/>
  <c r="AF108" i="1"/>
  <c r="AE108" i="1"/>
  <c r="AF80" i="1"/>
  <c r="Y80" i="1"/>
  <c r="AC80" i="1" s="1"/>
  <c r="W73" i="1"/>
  <c r="X73" i="1" s="1"/>
  <c r="AD73" i="1"/>
  <c r="AD67" i="1"/>
  <c r="W56" i="1"/>
  <c r="X56" i="1" s="1"/>
  <c r="AE19" i="1"/>
  <c r="Y19" i="1"/>
  <c r="AC19" i="1" s="1"/>
  <c r="AF19" i="1"/>
  <c r="AD119" i="1"/>
  <c r="W114" i="1"/>
  <c r="X114" i="1" s="1"/>
  <c r="AD101" i="1"/>
  <c r="T101" i="1"/>
  <c r="R101" i="1" s="1"/>
  <c r="U101" i="1" s="1"/>
  <c r="O101" i="1" s="1"/>
  <c r="P101" i="1" s="1"/>
  <c r="W109" i="1"/>
  <c r="X109" i="1" s="1"/>
  <c r="T109" i="1" s="1"/>
  <c r="R109" i="1" s="1"/>
  <c r="U109" i="1" s="1"/>
  <c r="O109" i="1" s="1"/>
  <c r="P109" i="1" s="1"/>
  <c r="Y88" i="1"/>
  <c r="AC88" i="1" s="1"/>
  <c r="AF88" i="1"/>
  <c r="BB114" i="1"/>
  <c r="W106" i="1"/>
  <c r="X106" i="1" s="1"/>
  <c r="AD91" i="1"/>
  <c r="AD84" i="1"/>
  <c r="T84" i="1"/>
  <c r="R84" i="1" s="1"/>
  <c r="U84" i="1" s="1"/>
  <c r="O84" i="1" s="1"/>
  <c r="P84" i="1" s="1"/>
  <c r="W69" i="1"/>
  <c r="X69" i="1" s="1"/>
  <c r="AD69" i="1"/>
  <c r="T69" i="1"/>
  <c r="R69" i="1" s="1"/>
  <c r="U69" i="1" s="1"/>
  <c r="O69" i="1" s="1"/>
  <c r="P69" i="1" s="1"/>
  <c r="W62" i="1"/>
  <c r="X62" i="1" s="1"/>
  <c r="T62" i="1" s="1"/>
  <c r="R62" i="1" s="1"/>
  <c r="U62" i="1" s="1"/>
  <c r="O62" i="1" s="1"/>
  <c r="P62" i="1" s="1"/>
  <c r="T65" i="1"/>
  <c r="R65" i="1" s="1"/>
  <c r="U65" i="1" s="1"/>
  <c r="O65" i="1" s="1"/>
  <c r="P65" i="1" s="1"/>
  <c r="AG82" i="1"/>
  <c r="AD55" i="1"/>
  <c r="W41" i="1"/>
  <c r="X41" i="1" s="1"/>
  <c r="W42" i="1"/>
  <c r="X42" i="1" s="1"/>
  <c r="AD23" i="1"/>
  <c r="W23" i="1"/>
  <c r="X23" i="1" s="1"/>
  <c r="T23" i="1" s="1"/>
  <c r="R23" i="1" s="1"/>
  <c r="U23" i="1" s="1"/>
  <c r="O23" i="1" s="1"/>
  <c r="P23" i="1" s="1"/>
  <c r="W28" i="1"/>
  <c r="X28" i="1" s="1"/>
  <c r="AD26" i="1"/>
  <c r="BB40" i="1"/>
  <c r="Y25" i="1"/>
  <c r="AC25" i="1" s="1"/>
  <c r="AF25" i="1"/>
  <c r="AG25" i="1" s="1"/>
  <c r="AD17" i="1"/>
  <c r="BB28" i="1"/>
  <c r="AD18" i="1"/>
  <c r="AD124" i="1"/>
  <c r="T96" i="1"/>
  <c r="R96" i="1" s="1"/>
  <c r="U96" i="1" s="1"/>
  <c r="O96" i="1" s="1"/>
  <c r="P96" i="1" s="1"/>
  <c r="AD96" i="1"/>
  <c r="W76" i="1"/>
  <c r="X76" i="1" s="1"/>
  <c r="W81" i="1"/>
  <c r="X81" i="1" s="1"/>
  <c r="W64" i="1"/>
  <c r="X64" i="1" s="1"/>
  <c r="W20" i="1"/>
  <c r="X20" i="1" s="1"/>
  <c r="T108" i="1"/>
  <c r="R108" i="1" s="1"/>
  <c r="U108" i="1" s="1"/>
  <c r="O108" i="1" s="1"/>
  <c r="P108" i="1" s="1"/>
  <c r="AD108" i="1"/>
  <c r="W32" i="1"/>
  <c r="X32" i="1" s="1"/>
  <c r="AD127" i="1"/>
  <c r="W127" i="1"/>
  <c r="X127" i="1" s="1"/>
  <c r="T127" i="1" s="1"/>
  <c r="R127" i="1" s="1"/>
  <c r="U127" i="1" s="1"/>
  <c r="O127" i="1" s="1"/>
  <c r="P127" i="1" s="1"/>
  <c r="W116" i="1"/>
  <c r="X116" i="1" s="1"/>
  <c r="T116" i="1" s="1"/>
  <c r="R116" i="1" s="1"/>
  <c r="U116" i="1" s="1"/>
  <c r="O116" i="1" s="1"/>
  <c r="P116" i="1" s="1"/>
  <c r="W115" i="1"/>
  <c r="X115" i="1" s="1"/>
  <c r="W98" i="1"/>
  <c r="X98" i="1" s="1"/>
  <c r="W110" i="1"/>
  <c r="X110" i="1" s="1"/>
  <c r="BB115" i="1"/>
  <c r="T114" i="1"/>
  <c r="R114" i="1" s="1"/>
  <c r="U114" i="1" s="1"/>
  <c r="O114" i="1" s="1"/>
  <c r="P114" i="1" s="1"/>
  <c r="AD114" i="1"/>
  <c r="AD90" i="1"/>
  <c r="W105" i="1"/>
  <c r="X105" i="1" s="1"/>
  <c r="W99" i="1"/>
  <c r="X99" i="1" s="1"/>
  <c r="AD93" i="1"/>
  <c r="AD75" i="1"/>
  <c r="T75" i="1"/>
  <c r="R75" i="1" s="1"/>
  <c r="U75" i="1" s="1"/>
  <c r="O75" i="1" s="1"/>
  <c r="P75" i="1" s="1"/>
  <c r="W75" i="1"/>
  <c r="X75" i="1" s="1"/>
  <c r="AD72" i="1"/>
  <c r="W91" i="1"/>
  <c r="X91" i="1" s="1"/>
  <c r="AD54" i="1"/>
  <c r="T54" i="1"/>
  <c r="R54" i="1" s="1"/>
  <c r="U54" i="1" s="1"/>
  <c r="O54" i="1" s="1"/>
  <c r="P54" i="1" s="1"/>
  <c r="AD70" i="1"/>
  <c r="AD63" i="1"/>
  <c r="T63" i="1"/>
  <c r="R63" i="1" s="1"/>
  <c r="U63" i="1" s="1"/>
  <c r="O63" i="1" s="1"/>
  <c r="P63" i="1" s="1"/>
  <c r="W52" i="1"/>
  <c r="X52" i="1" s="1"/>
  <c r="W34" i="1"/>
  <c r="X34" i="1" s="1"/>
  <c r="T53" i="1"/>
  <c r="R53" i="1" s="1"/>
  <c r="U53" i="1" s="1"/>
  <c r="O53" i="1" s="1"/>
  <c r="P53" i="1" s="1"/>
  <c r="AD53" i="1"/>
  <c r="AD56" i="1"/>
  <c r="T56" i="1"/>
  <c r="R56" i="1" s="1"/>
  <c r="U56" i="1" s="1"/>
  <c r="O56" i="1" s="1"/>
  <c r="P56" i="1" s="1"/>
  <c r="W31" i="1"/>
  <c r="X31" i="1" s="1"/>
  <c r="AD31" i="1"/>
  <c r="T31" i="1"/>
  <c r="R31" i="1" s="1"/>
  <c r="U31" i="1" s="1"/>
  <c r="O31" i="1" s="1"/>
  <c r="P31" i="1" s="1"/>
  <c r="AD27" i="1"/>
  <c r="W27" i="1"/>
  <c r="X27" i="1" s="1"/>
  <c r="W55" i="1"/>
  <c r="X55" i="1" s="1"/>
  <c r="AD24" i="1"/>
  <c r="T24" i="1"/>
  <c r="R24" i="1" s="1"/>
  <c r="U24" i="1" s="1"/>
  <c r="O24" i="1" s="1"/>
  <c r="P24" i="1" s="1"/>
  <c r="Y29" i="1"/>
  <c r="AC29" i="1" s="1"/>
  <c r="AF29" i="1"/>
  <c r="AG29" i="1" s="1"/>
  <c r="AE29" i="1"/>
  <c r="W103" i="1"/>
  <c r="X103" i="1" s="1"/>
  <c r="AD87" i="1"/>
  <c r="T87" i="1"/>
  <c r="R87" i="1" s="1"/>
  <c r="U87" i="1" s="1"/>
  <c r="O87" i="1" s="1"/>
  <c r="P87" i="1" s="1"/>
  <c r="AD99" i="1"/>
  <c r="T99" i="1"/>
  <c r="R99" i="1" s="1"/>
  <c r="U99" i="1" s="1"/>
  <c r="O99" i="1" s="1"/>
  <c r="P99" i="1" s="1"/>
  <c r="W85" i="1"/>
  <c r="X85" i="1" s="1"/>
  <c r="T80" i="1"/>
  <c r="R80" i="1" s="1"/>
  <c r="U80" i="1" s="1"/>
  <c r="O80" i="1" s="1"/>
  <c r="P80" i="1" s="1"/>
  <c r="W37" i="1"/>
  <c r="X37" i="1" s="1"/>
  <c r="W38" i="1"/>
  <c r="X38" i="1" s="1"/>
  <c r="AD34" i="1"/>
  <c r="AD115" i="1"/>
  <c r="T115" i="1"/>
  <c r="R115" i="1" s="1"/>
  <c r="U115" i="1" s="1"/>
  <c r="O115" i="1" s="1"/>
  <c r="P115" i="1" s="1"/>
  <c r="W121" i="1"/>
  <c r="X121" i="1" s="1"/>
  <c r="T86" i="1"/>
  <c r="R86" i="1" s="1"/>
  <c r="U86" i="1" s="1"/>
  <c r="O86" i="1" s="1"/>
  <c r="P86" i="1" s="1"/>
  <c r="AD86" i="1"/>
  <c r="BB103" i="1"/>
  <c r="Y84" i="1"/>
  <c r="AC84" i="1" s="1"/>
  <c r="AF84" i="1"/>
  <c r="BB85" i="1"/>
  <c r="AE80" i="1"/>
  <c r="AD74" i="1"/>
  <c r="AD76" i="1"/>
  <c r="T76" i="1"/>
  <c r="R76" i="1" s="1"/>
  <c r="U76" i="1" s="1"/>
  <c r="O76" i="1" s="1"/>
  <c r="P76" i="1" s="1"/>
  <c r="BA67" i="1"/>
  <c r="W90" i="1"/>
  <c r="X90" i="1" s="1"/>
  <c r="T90" i="1" s="1"/>
  <c r="R90" i="1" s="1"/>
  <c r="U90" i="1" s="1"/>
  <c r="O90" i="1" s="1"/>
  <c r="P90" i="1" s="1"/>
  <c r="W70" i="1"/>
  <c r="X70" i="1" s="1"/>
  <c r="AD59" i="1"/>
  <c r="W59" i="1"/>
  <c r="X59" i="1" s="1"/>
  <c r="W60" i="1"/>
  <c r="X60" i="1" s="1"/>
  <c r="T60" i="1" s="1"/>
  <c r="R60" i="1" s="1"/>
  <c r="U60" i="1" s="1"/>
  <c r="O60" i="1" s="1"/>
  <c r="P60" i="1" s="1"/>
  <c r="W30" i="1"/>
  <c r="X30" i="1" s="1"/>
  <c r="W58" i="1"/>
  <c r="X58" i="1" s="1"/>
  <c r="W39" i="1"/>
  <c r="X39" i="1" s="1"/>
  <c r="AD39" i="1"/>
  <c r="T39" i="1"/>
  <c r="R39" i="1" s="1"/>
  <c r="U39" i="1" s="1"/>
  <c r="O39" i="1" s="1"/>
  <c r="P39" i="1" s="1"/>
  <c r="AD30" i="1"/>
  <c r="T30" i="1"/>
  <c r="R30" i="1" s="1"/>
  <c r="U30" i="1" s="1"/>
  <c r="O30" i="1" s="1"/>
  <c r="P30" i="1" s="1"/>
  <c r="W22" i="1"/>
  <c r="X22" i="1" s="1"/>
  <c r="BA45" i="1"/>
  <c r="T25" i="1"/>
  <c r="R25" i="1" s="1"/>
  <c r="U25" i="1" s="1"/>
  <c r="O25" i="1" s="1"/>
  <c r="P25" i="1" s="1"/>
  <c r="AD128" i="1"/>
  <c r="T128" i="1"/>
  <c r="R128" i="1" s="1"/>
  <c r="U128" i="1" s="1"/>
  <c r="O128" i="1" s="1"/>
  <c r="P128" i="1" s="1"/>
  <c r="AD98" i="1"/>
  <c r="T98" i="1"/>
  <c r="R98" i="1" s="1"/>
  <c r="U98" i="1" s="1"/>
  <c r="O98" i="1" s="1"/>
  <c r="P98" i="1" s="1"/>
  <c r="Y65" i="1"/>
  <c r="AC65" i="1" s="1"/>
  <c r="AF65" i="1"/>
  <c r="AG65" i="1" s="1"/>
  <c r="W119" i="1"/>
  <c r="X119" i="1" s="1"/>
  <c r="W124" i="1"/>
  <c r="X124" i="1" s="1"/>
  <c r="AD120" i="1"/>
  <c r="W122" i="1"/>
  <c r="X122" i="1" s="1"/>
  <c r="T122" i="1" s="1"/>
  <c r="R122" i="1" s="1"/>
  <c r="U122" i="1" s="1"/>
  <c r="O122" i="1" s="1"/>
  <c r="P122" i="1" s="1"/>
  <c r="W126" i="1"/>
  <c r="X126" i="1" s="1"/>
  <c r="T126" i="1" s="1"/>
  <c r="R126" i="1" s="1"/>
  <c r="U126" i="1" s="1"/>
  <c r="O126" i="1" s="1"/>
  <c r="P126" i="1" s="1"/>
  <c r="AF111" i="1"/>
  <c r="Y111" i="1"/>
  <c r="AC111" i="1" s="1"/>
  <c r="AE111" i="1"/>
  <c r="BB96" i="1"/>
  <c r="W83" i="1"/>
  <c r="X83" i="1" s="1"/>
  <c r="W101" i="1"/>
  <c r="X101" i="1" s="1"/>
  <c r="W71" i="1"/>
  <c r="X71" i="1" s="1"/>
  <c r="AD88" i="1"/>
  <c r="T88" i="1"/>
  <c r="R88" i="1" s="1"/>
  <c r="U88" i="1" s="1"/>
  <c r="O88" i="1" s="1"/>
  <c r="P88" i="1" s="1"/>
  <c r="AD89" i="1"/>
  <c r="T89" i="1"/>
  <c r="R89" i="1" s="1"/>
  <c r="U89" i="1" s="1"/>
  <c r="O89" i="1" s="1"/>
  <c r="P89" i="1" s="1"/>
  <c r="W72" i="1"/>
  <c r="X72" i="1" s="1"/>
  <c r="T72" i="1" s="1"/>
  <c r="R72" i="1" s="1"/>
  <c r="U72" i="1" s="1"/>
  <c r="O72" i="1" s="1"/>
  <c r="P72" i="1" s="1"/>
  <c r="AE88" i="1"/>
  <c r="W77" i="1"/>
  <c r="X77" i="1" s="1"/>
  <c r="AD77" i="1"/>
  <c r="T77" i="1"/>
  <c r="R77" i="1" s="1"/>
  <c r="U77" i="1" s="1"/>
  <c r="O77" i="1" s="1"/>
  <c r="P77" i="1" s="1"/>
  <c r="BB81" i="1"/>
  <c r="AD68" i="1"/>
  <c r="T68" i="1"/>
  <c r="R68" i="1" s="1"/>
  <c r="U68" i="1" s="1"/>
  <c r="O68" i="1" s="1"/>
  <c r="P68" i="1" s="1"/>
  <c r="W74" i="1"/>
  <c r="X74" i="1" s="1"/>
  <c r="AD50" i="1"/>
  <c r="T50" i="1"/>
  <c r="R50" i="1" s="1"/>
  <c r="U50" i="1" s="1"/>
  <c r="O50" i="1" s="1"/>
  <c r="P50" i="1" s="1"/>
  <c r="W78" i="1"/>
  <c r="X78" i="1" s="1"/>
  <c r="T44" i="1"/>
  <c r="R44" i="1" s="1"/>
  <c r="U44" i="1" s="1"/>
  <c r="O44" i="1" s="1"/>
  <c r="P44" i="1" s="1"/>
  <c r="AD44" i="1"/>
  <c r="W44" i="1"/>
  <c r="X44" i="1" s="1"/>
  <c r="BB60" i="1"/>
  <c r="AD48" i="1"/>
  <c r="T48" i="1"/>
  <c r="R48" i="1" s="1"/>
  <c r="U48" i="1" s="1"/>
  <c r="O48" i="1" s="1"/>
  <c r="P48" i="1" s="1"/>
  <c r="W48" i="1"/>
  <c r="X48" i="1" s="1"/>
  <c r="AD36" i="1"/>
  <c r="AD94" i="1"/>
  <c r="AD102" i="1"/>
  <c r="T102" i="1"/>
  <c r="R102" i="1" s="1"/>
  <c r="U102" i="1" s="1"/>
  <c r="O102" i="1" s="1"/>
  <c r="P102" i="1" s="1"/>
  <c r="W94" i="1"/>
  <c r="X94" i="1" s="1"/>
  <c r="T94" i="1" s="1"/>
  <c r="R94" i="1" s="1"/>
  <c r="U94" i="1" s="1"/>
  <c r="O94" i="1" s="1"/>
  <c r="P94" i="1" s="1"/>
  <c r="AD58" i="1"/>
  <c r="T58" i="1"/>
  <c r="R58" i="1" s="1"/>
  <c r="U58" i="1" s="1"/>
  <c r="O58" i="1" s="1"/>
  <c r="P58" i="1" s="1"/>
  <c r="Y53" i="1"/>
  <c r="AC53" i="1" s="1"/>
  <c r="AF53" i="1"/>
  <c r="AE53" i="1"/>
  <c r="W43" i="1"/>
  <c r="X43" i="1" s="1"/>
  <c r="AD43" i="1"/>
  <c r="T43" i="1"/>
  <c r="R43" i="1" s="1"/>
  <c r="U43" i="1" s="1"/>
  <c r="O43" i="1" s="1"/>
  <c r="P43" i="1" s="1"/>
  <c r="AD123" i="1"/>
  <c r="T123" i="1"/>
  <c r="R123" i="1" s="1"/>
  <c r="U123" i="1" s="1"/>
  <c r="O123" i="1" s="1"/>
  <c r="P123" i="1" s="1"/>
  <c r="W123" i="1"/>
  <c r="X123" i="1" s="1"/>
  <c r="AD125" i="1"/>
  <c r="T125" i="1"/>
  <c r="R125" i="1" s="1"/>
  <c r="U125" i="1" s="1"/>
  <c r="O125" i="1" s="1"/>
  <c r="P125" i="1" s="1"/>
  <c r="AF113" i="1"/>
  <c r="AG113" i="1" s="1"/>
  <c r="Y113" i="1"/>
  <c r="AC113" i="1" s="1"/>
  <c r="W93" i="1"/>
  <c r="X93" i="1" s="1"/>
  <c r="T104" i="1"/>
  <c r="R104" i="1" s="1"/>
  <c r="U104" i="1" s="1"/>
  <c r="O104" i="1" s="1"/>
  <c r="P104" i="1" s="1"/>
  <c r="AD104" i="1"/>
  <c r="W104" i="1"/>
  <c r="X104" i="1" s="1"/>
  <c r="AD97" i="1"/>
  <c r="W97" i="1"/>
  <c r="X97" i="1" s="1"/>
  <c r="T97" i="1" s="1"/>
  <c r="R97" i="1" s="1"/>
  <c r="U97" i="1" s="1"/>
  <c r="O97" i="1" s="1"/>
  <c r="P97" i="1" s="1"/>
  <c r="AD92" i="1"/>
  <c r="T92" i="1"/>
  <c r="R92" i="1" s="1"/>
  <c r="U92" i="1" s="1"/>
  <c r="O92" i="1" s="1"/>
  <c r="P92" i="1" s="1"/>
  <c r="W67" i="1"/>
  <c r="X67" i="1" s="1"/>
  <c r="T67" i="1" s="1"/>
  <c r="R67" i="1" s="1"/>
  <c r="U67" i="1" s="1"/>
  <c r="O67" i="1" s="1"/>
  <c r="P67" i="1" s="1"/>
  <c r="AD71" i="1"/>
  <c r="T71" i="1"/>
  <c r="R71" i="1" s="1"/>
  <c r="U71" i="1" s="1"/>
  <c r="O71" i="1" s="1"/>
  <c r="P71" i="1" s="1"/>
  <c r="AD83" i="1"/>
  <c r="T83" i="1"/>
  <c r="R83" i="1" s="1"/>
  <c r="U83" i="1" s="1"/>
  <c r="O83" i="1" s="1"/>
  <c r="P83" i="1" s="1"/>
  <c r="AE92" i="1"/>
  <c r="T78" i="1"/>
  <c r="R78" i="1" s="1"/>
  <c r="U78" i="1" s="1"/>
  <c r="O78" i="1" s="1"/>
  <c r="P78" i="1" s="1"/>
  <c r="AD78" i="1"/>
  <c r="T64" i="1"/>
  <c r="R64" i="1" s="1"/>
  <c r="U64" i="1" s="1"/>
  <c r="O64" i="1" s="1"/>
  <c r="P64" i="1" s="1"/>
  <c r="AD64" i="1"/>
  <c r="AE63" i="1"/>
  <c r="W35" i="1"/>
  <c r="X35" i="1" s="1"/>
  <c r="AD35" i="1"/>
  <c r="T35" i="1"/>
  <c r="R35" i="1" s="1"/>
  <c r="U35" i="1" s="1"/>
  <c r="O35" i="1" s="1"/>
  <c r="P35" i="1" s="1"/>
  <c r="W40" i="1"/>
  <c r="X40" i="1" s="1"/>
  <c r="T21" i="1"/>
  <c r="R21" i="1" s="1"/>
  <c r="U21" i="1" s="1"/>
  <c r="O21" i="1" s="1"/>
  <c r="P21" i="1" s="1"/>
  <c r="AD21" i="1"/>
  <c r="W21" i="1"/>
  <c r="X21" i="1" s="1"/>
  <c r="BB22" i="1"/>
  <c r="BB66" i="1"/>
  <c r="BB58" i="1"/>
  <c r="BB36" i="1"/>
  <c r="W26" i="1"/>
  <c r="X26" i="1" s="1"/>
  <c r="T26" i="1" s="1"/>
  <c r="R26" i="1" s="1"/>
  <c r="U26" i="1" s="1"/>
  <c r="O26" i="1" s="1"/>
  <c r="P26" i="1" s="1"/>
  <c r="W17" i="1"/>
  <c r="X17" i="1" s="1"/>
  <c r="BB20" i="1"/>
  <c r="W36" i="1"/>
  <c r="X36" i="1" s="1"/>
  <c r="T32" i="1"/>
  <c r="R32" i="1" s="1"/>
  <c r="U32" i="1" s="1"/>
  <c r="O32" i="1" s="1"/>
  <c r="P32" i="1" s="1"/>
  <c r="AD32" i="1"/>
  <c r="AD20" i="1"/>
  <c r="AF34" i="1" l="1"/>
  <c r="AG34" i="1" s="1"/>
  <c r="Y34" i="1"/>
  <c r="AC34" i="1" s="1"/>
  <c r="AE34" i="1"/>
  <c r="Y91" i="1"/>
  <c r="AC91" i="1" s="1"/>
  <c r="AF91" i="1"/>
  <c r="AG91" i="1" s="1"/>
  <c r="AE91" i="1"/>
  <c r="Y110" i="1"/>
  <c r="AC110" i="1" s="1"/>
  <c r="AF110" i="1"/>
  <c r="AG110" i="1" s="1"/>
  <c r="T110" i="1"/>
  <c r="R110" i="1" s="1"/>
  <c r="U110" i="1" s="1"/>
  <c r="O110" i="1" s="1"/>
  <c r="P110" i="1" s="1"/>
  <c r="AE110" i="1"/>
  <c r="AF20" i="1"/>
  <c r="Y20" i="1"/>
  <c r="AC20" i="1" s="1"/>
  <c r="AE20" i="1"/>
  <c r="Y117" i="1"/>
  <c r="AC117" i="1" s="1"/>
  <c r="AF117" i="1"/>
  <c r="AE117" i="1"/>
  <c r="T117" i="1"/>
  <c r="R117" i="1" s="1"/>
  <c r="U117" i="1" s="1"/>
  <c r="O117" i="1" s="1"/>
  <c r="P117" i="1" s="1"/>
  <c r="AF120" i="1"/>
  <c r="Y120" i="1"/>
  <c r="AC120" i="1" s="1"/>
  <c r="AE120" i="1"/>
  <c r="AF35" i="1"/>
  <c r="AG35" i="1" s="1"/>
  <c r="Y35" i="1"/>
  <c r="AC35" i="1" s="1"/>
  <c r="AE35" i="1"/>
  <c r="Y43" i="1"/>
  <c r="AC43" i="1" s="1"/>
  <c r="AF43" i="1"/>
  <c r="AG43" i="1" s="1"/>
  <c r="AE43" i="1"/>
  <c r="Y77" i="1"/>
  <c r="AC77" i="1" s="1"/>
  <c r="AF77" i="1"/>
  <c r="AE77" i="1"/>
  <c r="Y71" i="1"/>
  <c r="AC71" i="1" s="1"/>
  <c r="AF71" i="1"/>
  <c r="AE71" i="1"/>
  <c r="AG111" i="1"/>
  <c r="AF124" i="1"/>
  <c r="Y124" i="1"/>
  <c r="AC124" i="1" s="1"/>
  <c r="AE124" i="1"/>
  <c r="Y59" i="1"/>
  <c r="AC59" i="1" s="1"/>
  <c r="AF59" i="1"/>
  <c r="AE59" i="1"/>
  <c r="AF31" i="1"/>
  <c r="AG31" i="1" s="1"/>
  <c r="Y31" i="1"/>
  <c r="AC31" i="1" s="1"/>
  <c r="AE31" i="1"/>
  <c r="AF52" i="1"/>
  <c r="Y52" i="1"/>
  <c r="AC52" i="1" s="1"/>
  <c r="AE52" i="1"/>
  <c r="T52" i="1"/>
  <c r="R52" i="1" s="1"/>
  <c r="U52" i="1" s="1"/>
  <c r="O52" i="1" s="1"/>
  <c r="P52" i="1" s="1"/>
  <c r="Y64" i="1"/>
  <c r="AC64" i="1" s="1"/>
  <c r="AF64" i="1"/>
  <c r="AG64" i="1" s="1"/>
  <c r="AE64" i="1"/>
  <c r="T124" i="1"/>
  <c r="R124" i="1" s="1"/>
  <c r="U124" i="1" s="1"/>
  <c r="O124" i="1" s="1"/>
  <c r="P124" i="1" s="1"/>
  <c r="T91" i="1"/>
  <c r="R91" i="1" s="1"/>
  <c r="U91" i="1" s="1"/>
  <c r="O91" i="1" s="1"/>
  <c r="P91" i="1" s="1"/>
  <c r="AG80" i="1"/>
  <c r="AF50" i="1"/>
  <c r="AG50" i="1" s="1"/>
  <c r="Y50" i="1"/>
  <c r="AC50" i="1" s="1"/>
  <c r="AE50" i="1"/>
  <c r="AF46" i="1"/>
  <c r="AG46" i="1" s="1"/>
  <c r="AE46" i="1"/>
  <c r="Y46" i="1"/>
  <c r="AC46" i="1" s="1"/>
  <c r="T46" i="1"/>
  <c r="R46" i="1" s="1"/>
  <c r="U46" i="1" s="1"/>
  <c r="O46" i="1" s="1"/>
  <c r="P46" i="1" s="1"/>
  <c r="Y89" i="1"/>
  <c r="AC89" i="1" s="1"/>
  <c r="AF89" i="1"/>
  <c r="AG89" i="1" s="1"/>
  <c r="AE89" i="1"/>
  <c r="AG63" i="1"/>
  <c r="AF112" i="1"/>
  <c r="AG112" i="1" s="1"/>
  <c r="AE112" i="1"/>
  <c r="Y112" i="1"/>
  <c r="AC112" i="1" s="1"/>
  <c r="Y36" i="1"/>
  <c r="AC36" i="1" s="1"/>
  <c r="AF36" i="1"/>
  <c r="AE36" i="1"/>
  <c r="AF23" i="1"/>
  <c r="Y23" i="1"/>
  <c r="AC23" i="1" s="1"/>
  <c r="AE23" i="1"/>
  <c r="Y73" i="1"/>
  <c r="AC73" i="1" s="1"/>
  <c r="AF73" i="1"/>
  <c r="AE73" i="1"/>
  <c r="Y99" i="1"/>
  <c r="AC99" i="1" s="1"/>
  <c r="AF99" i="1"/>
  <c r="AG99" i="1" s="1"/>
  <c r="AE99" i="1"/>
  <c r="Y127" i="1"/>
  <c r="AC127" i="1" s="1"/>
  <c r="AF127" i="1"/>
  <c r="AG127" i="1" s="1"/>
  <c r="AE127" i="1"/>
  <c r="Y18" i="1"/>
  <c r="AC18" i="1" s="1"/>
  <c r="AF18" i="1"/>
  <c r="AG18" i="1" s="1"/>
  <c r="AE18" i="1"/>
  <c r="Y17" i="1"/>
  <c r="AC17" i="1" s="1"/>
  <c r="AF17" i="1"/>
  <c r="AG17" i="1" s="1"/>
  <c r="AE17" i="1"/>
  <c r="Y21" i="1"/>
  <c r="AC21" i="1" s="1"/>
  <c r="AF21" i="1"/>
  <c r="AG21" i="1" s="1"/>
  <c r="AE21" i="1"/>
  <c r="Y44" i="1"/>
  <c r="AC44" i="1" s="1"/>
  <c r="AF44" i="1"/>
  <c r="AE44" i="1"/>
  <c r="Y126" i="1"/>
  <c r="AC126" i="1" s="1"/>
  <c r="AF126" i="1"/>
  <c r="AE126" i="1"/>
  <c r="Y119" i="1"/>
  <c r="AC119" i="1" s="1"/>
  <c r="AF119" i="1"/>
  <c r="AE119" i="1"/>
  <c r="Y39" i="1"/>
  <c r="AC39" i="1" s="1"/>
  <c r="AF39" i="1"/>
  <c r="AG39" i="1" s="1"/>
  <c r="AE39" i="1"/>
  <c r="T59" i="1"/>
  <c r="R59" i="1" s="1"/>
  <c r="U59" i="1" s="1"/>
  <c r="O59" i="1" s="1"/>
  <c r="P59" i="1" s="1"/>
  <c r="AF38" i="1"/>
  <c r="AG38" i="1" s="1"/>
  <c r="AE38" i="1"/>
  <c r="Y38" i="1"/>
  <c r="AC38" i="1" s="1"/>
  <c r="AE105" i="1"/>
  <c r="Y105" i="1"/>
  <c r="AC105" i="1" s="1"/>
  <c r="AF105" i="1"/>
  <c r="AG105" i="1" s="1"/>
  <c r="AF114" i="1"/>
  <c r="Y114" i="1"/>
  <c r="AC114" i="1" s="1"/>
  <c r="AE114" i="1"/>
  <c r="AF56" i="1"/>
  <c r="AG56" i="1" s="1"/>
  <c r="Y56" i="1"/>
  <c r="AC56" i="1" s="1"/>
  <c r="AE56" i="1"/>
  <c r="Y33" i="1"/>
  <c r="AC33" i="1" s="1"/>
  <c r="AF33" i="1"/>
  <c r="AG33" i="1" s="1"/>
  <c r="AE33" i="1"/>
  <c r="T33" i="1"/>
  <c r="R33" i="1" s="1"/>
  <c r="U33" i="1" s="1"/>
  <c r="O33" i="1" s="1"/>
  <c r="P33" i="1" s="1"/>
  <c r="Y45" i="1"/>
  <c r="AC45" i="1" s="1"/>
  <c r="AF45" i="1"/>
  <c r="AG45" i="1" s="1"/>
  <c r="AE45" i="1"/>
  <c r="T45" i="1"/>
  <c r="R45" i="1" s="1"/>
  <c r="U45" i="1" s="1"/>
  <c r="O45" i="1" s="1"/>
  <c r="P45" i="1" s="1"/>
  <c r="AG96" i="1"/>
  <c r="AG86" i="1"/>
  <c r="Y74" i="1"/>
  <c r="AC74" i="1" s="1"/>
  <c r="AF74" i="1"/>
  <c r="AE74" i="1"/>
  <c r="T20" i="1"/>
  <c r="R20" i="1" s="1"/>
  <c r="U20" i="1" s="1"/>
  <c r="O20" i="1" s="1"/>
  <c r="P20" i="1" s="1"/>
  <c r="Y104" i="1"/>
  <c r="AC104" i="1" s="1"/>
  <c r="AF104" i="1"/>
  <c r="AG104" i="1" s="1"/>
  <c r="AE104" i="1"/>
  <c r="AG53" i="1"/>
  <c r="AE101" i="1"/>
  <c r="Y101" i="1"/>
  <c r="AC101" i="1" s="1"/>
  <c r="AF101" i="1"/>
  <c r="AG101" i="1" s="1"/>
  <c r="T74" i="1"/>
  <c r="R74" i="1" s="1"/>
  <c r="U74" i="1" s="1"/>
  <c r="O74" i="1" s="1"/>
  <c r="P74" i="1" s="1"/>
  <c r="Y121" i="1"/>
  <c r="AC121" i="1" s="1"/>
  <c r="AF121" i="1"/>
  <c r="T121" i="1"/>
  <c r="R121" i="1" s="1"/>
  <c r="U121" i="1" s="1"/>
  <c r="O121" i="1" s="1"/>
  <c r="P121" i="1" s="1"/>
  <c r="AE121" i="1"/>
  <c r="Y37" i="1"/>
  <c r="AC37" i="1" s="1"/>
  <c r="AF37" i="1"/>
  <c r="AE37" i="1"/>
  <c r="T37" i="1"/>
  <c r="R37" i="1" s="1"/>
  <c r="U37" i="1" s="1"/>
  <c r="O37" i="1" s="1"/>
  <c r="P37" i="1" s="1"/>
  <c r="Y55" i="1"/>
  <c r="AC55" i="1" s="1"/>
  <c r="AF55" i="1"/>
  <c r="AG55" i="1" s="1"/>
  <c r="AE55" i="1"/>
  <c r="Y75" i="1"/>
  <c r="AC75" i="1" s="1"/>
  <c r="AF75" i="1"/>
  <c r="AE75" i="1"/>
  <c r="AF98" i="1"/>
  <c r="AG98" i="1" s="1"/>
  <c r="Y98" i="1"/>
  <c r="AC98" i="1" s="1"/>
  <c r="AE98" i="1"/>
  <c r="Y32" i="1"/>
  <c r="AC32" i="1" s="1"/>
  <c r="AF32" i="1"/>
  <c r="AE32" i="1"/>
  <c r="Y81" i="1"/>
  <c r="AC81" i="1" s="1"/>
  <c r="AF81" i="1"/>
  <c r="T81" i="1"/>
  <c r="R81" i="1" s="1"/>
  <c r="U81" i="1" s="1"/>
  <c r="O81" i="1" s="1"/>
  <c r="P81" i="1" s="1"/>
  <c r="AE81" i="1"/>
  <c r="AF42" i="1"/>
  <c r="AE42" i="1"/>
  <c r="Y42" i="1"/>
  <c r="AC42" i="1" s="1"/>
  <c r="AF62" i="1"/>
  <c r="AG62" i="1" s="1"/>
  <c r="AE62" i="1"/>
  <c r="Y62" i="1"/>
  <c r="AC62" i="1" s="1"/>
  <c r="Y106" i="1"/>
  <c r="AC106" i="1" s="1"/>
  <c r="AF106" i="1"/>
  <c r="AG106" i="1" s="1"/>
  <c r="AE106" i="1"/>
  <c r="AG108" i="1"/>
  <c r="AG92" i="1"/>
  <c r="Y67" i="1"/>
  <c r="AC67" i="1" s="1"/>
  <c r="AF67" i="1"/>
  <c r="AE67" i="1"/>
  <c r="Y123" i="1"/>
  <c r="AC123" i="1" s="1"/>
  <c r="AF123" i="1"/>
  <c r="AG123" i="1" s="1"/>
  <c r="AE123" i="1"/>
  <c r="AF72" i="1"/>
  <c r="AG72" i="1" s="1"/>
  <c r="AE72" i="1"/>
  <c r="Y72" i="1"/>
  <c r="AC72" i="1" s="1"/>
  <c r="Y122" i="1"/>
  <c r="AC122" i="1" s="1"/>
  <c r="AF122" i="1"/>
  <c r="AE122" i="1"/>
  <c r="AE22" i="1"/>
  <c r="T22" i="1"/>
  <c r="R22" i="1" s="1"/>
  <c r="U22" i="1" s="1"/>
  <c r="O22" i="1" s="1"/>
  <c r="P22" i="1" s="1"/>
  <c r="Y22" i="1"/>
  <c r="AC22" i="1" s="1"/>
  <c r="AF22" i="1"/>
  <c r="AF58" i="1"/>
  <c r="AG58" i="1" s="1"/>
  <c r="AE58" i="1"/>
  <c r="Y58" i="1"/>
  <c r="AC58" i="1" s="1"/>
  <c r="Y70" i="1"/>
  <c r="AC70" i="1" s="1"/>
  <c r="AF70" i="1"/>
  <c r="AG70" i="1" s="1"/>
  <c r="AE70" i="1"/>
  <c r="Y103" i="1"/>
  <c r="AC103" i="1" s="1"/>
  <c r="AF103" i="1"/>
  <c r="AE103" i="1"/>
  <c r="T103" i="1"/>
  <c r="R103" i="1" s="1"/>
  <c r="U103" i="1" s="1"/>
  <c r="O103" i="1" s="1"/>
  <c r="P103" i="1" s="1"/>
  <c r="AF27" i="1"/>
  <c r="Y27" i="1"/>
  <c r="AC27" i="1" s="1"/>
  <c r="AE27" i="1"/>
  <c r="AF115" i="1"/>
  <c r="AG115" i="1" s="1"/>
  <c r="Y115" i="1"/>
  <c r="AC115" i="1" s="1"/>
  <c r="AE115" i="1"/>
  <c r="T18" i="1"/>
  <c r="R18" i="1" s="1"/>
  <c r="U18" i="1" s="1"/>
  <c r="O18" i="1" s="1"/>
  <c r="P18" i="1" s="1"/>
  <c r="Y41" i="1"/>
  <c r="AC41" i="1" s="1"/>
  <c r="AF41" i="1"/>
  <c r="AE41" i="1"/>
  <c r="T41" i="1"/>
  <c r="R41" i="1" s="1"/>
  <c r="U41" i="1" s="1"/>
  <c r="O41" i="1" s="1"/>
  <c r="P41" i="1" s="1"/>
  <c r="T119" i="1"/>
  <c r="R119" i="1" s="1"/>
  <c r="U119" i="1" s="1"/>
  <c r="O119" i="1" s="1"/>
  <c r="P119" i="1" s="1"/>
  <c r="Y47" i="1"/>
  <c r="AC47" i="1" s="1"/>
  <c r="AF47" i="1"/>
  <c r="AE47" i="1"/>
  <c r="AF54" i="1"/>
  <c r="Y54" i="1"/>
  <c r="AC54" i="1" s="1"/>
  <c r="AE54" i="1"/>
  <c r="Y51" i="1"/>
  <c r="AC51" i="1" s="1"/>
  <c r="AF51" i="1"/>
  <c r="AE51" i="1"/>
  <c r="AF66" i="1"/>
  <c r="AE66" i="1"/>
  <c r="Y66" i="1"/>
  <c r="AC66" i="1" s="1"/>
  <c r="T66" i="1"/>
  <c r="R66" i="1" s="1"/>
  <c r="U66" i="1" s="1"/>
  <c r="O66" i="1" s="1"/>
  <c r="P66" i="1" s="1"/>
  <c r="AF68" i="1"/>
  <c r="AG68" i="1" s="1"/>
  <c r="AE68" i="1"/>
  <c r="Y68" i="1"/>
  <c r="AC68" i="1" s="1"/>
  <c r="T112" i="1"/>
  <c r="R112" i="1" s="1"/>
  <c r="U112" i="1" s="1"/>
  <c r="O112" i="1" s="1"/>
  <c r="P112" i="1" s="1"/>
  <c r="AG102" i="1"/>
  <c r="T36" i="1"/>
  <c r="R36" i="1" s="1"/>
  <c r="U36" i="1" s="1"/>
  <c r="O36" i="1" s="1"/>
  <c r="P36" i="1" s="1"/>
  <c r="Y83" i="1"/>
  <c r="AC83" i="1" s="1"/>
  <c r="AF83" i="1"/>
  <c r="AE83" i="1"/>
  <c r="T27" i="1"/>
  <c r="R27" i="1" s="1"/>
  <c r="U27" i="1" s="1"/>
  <c r="O27" i="1" s="1"/>
  <c r="P27" i="1" s="1"/>
  <c r="T70" i="1"/>
  <c r="R70" i="1" s="1"/>
  <c r="U70" i="1" s="1"/>
  <c r="O70" i="1" s="1"/>
  <c r="P70" i="1" s="1"/>
  <c r="AF28" i="1"/>
  <c r="AG28" i="1" s="1"/>
  <c r="Y28" i="1"/>
  <c r="AC28" i="1" s="1"/>
  <c r="T28" i="1"/>
  <c r="R28" i="1" s="1"/>
  <c r="U28" i="1" s="1"/>
  <c r="O28" i="1" s="1"/>
  <c r="P28" i="1" s="1"/>
  <c r="AE28" i="1"/>
  <c r="AG88" i="1"/>
  <c r="T73" i="1"/>
  <c r="R73" i="1" s="1"/>
  <c r="U73" i="1" s="1"/>
  <c r="O73" i="1" s="1"/>
  <c r="P73" i="1" s="1"/>
  <c r="Y107" i="1"/>
  <c r="AC107" i="1" s="1"/>
  <c r="AF107" i="1"/>
  <c r="AG107" i="1" s="1"/>
  <c r="T107" i="1"/>
  <c r="R107" i="1" s="1"/>
  <c r="U107" i="1" s="1"/>
  <c r="O107" i="1" s="1"/>
  <c r="P107" i="1" s="1"/>
  <c r="AE107" i="1"/>
  <c r="AF24" i="1"/>
  <c r="AG24" i="1" s="1"/>
  <c r="Y24" i="1"/>
  <c r="AC24" i="1" s="1"/>
  <c r="AE24" i="1"/>
  <c r="Y57" i="1"/>
  <c r="AC57" i="1" s="1"/>
  <c r="AF57" i="1"/>
  <c r="AG57" i="1" s="1"/>
  <c r="AE57" i="1"/>
  <c r="Y61" i="1"/>
  <c r="AC61" i="1" s="1"/>
  <c r="AF61" i="1"/>
  <c r="AE61" i="1"/>
  <c r="T51" i="1"/>
  <c r="R51" i="1" s="1"/>
  <c r="U51" i="1" s="1"/>
  <c r="O51" i="1" s="1"/>
  <c r="P51" i="1" s="1"/>
  <c r="T105" i="1"/>
  <c r="R105" i="1" s="1"/>
  <c r="U105" i="1" s="1"/>
  <c r="O105" i="1" s="1"/>
  <c r="P105" i="1" s="1"/>
  <c r="Y118" i="1"/>
  <c r="AC118" i="1" s="1"/>
  <c r="AF118" i="1"/>
  <c r="AG118" i="1" s="1"/>
  <c r="AE118" i="1"/>
  <c r="Y100" i="1"/>
  <c r="AC100" i="1" s="1"/>
  <c r="AF100" i="1"/>
  <c r="AE100" i="1"/>
  <c r="Y94" i="1"/>
  <c r="AC94" i="1" s="1"/>
  <c r="AF94" i="1"/>
  <c r="AE94" i="1"/>
  <c r="T34" i="1"/>
  <c r="R34" i="1" s="1"/>
  <c r="U34" i="1" s="1"/>
  <c r="O34" i="1" s="1"/>
  <c r="P34" i="1" s="1"/>
  <c r="AF116" i="1"/>
  <c r="AG116" i="1" s="1"/>
  <c r="Y116" i="1"/>
  <c r="AC116" i="1" s="1"/>
  <c r="AE116" i="1"/>
  <c r="AE109" i="1"/>
  <c r="Y109" i="1"/>
  <c r="AC109" i="1" s="1"/>
  <c r="AF109" i="1"/>
  <c r="AF97" i="1"/>
  <c r="AG97" i="1" s="1"/>
  <c r="AE97" i="1"/>
  <c r="Y97" i="1"/>
  <c r="AC97" i="1" s="1"/>
  <c r="AF60" i="1"/>
  <c r="Y60" i="1"/>
  <c r="AC60" i="1" s="1"/>
  <c r="AE60" i="1"/>
  <c r="AF26" i="1"/>
  <c r="AE26" i="1"/>
  <c r="Y26" i="1"/>
  <c r="AC26" i="1" s="1"/>
  <c r="Y40" i="1"/>
  <c r="AC40" i="1" s="1"/>
  <c r="AF40" i="1"/>
  <c r="AE40" i="1"/>
  <c r="Y93" i="1"/>
  <c r="AC93" i="1" s="1"/>
  <c r="AF93" i="1"/>
  <c r="AG93" i="1" s="1"/>
  <c r="AE93" i="1"/>
  <c r="AF48" i="1"/>
  <c r="AE48" i="1"/>
  <c r="Y48" i="1"/>
  <c r="AC48" i="1" s="1"/>
  <c r="Y78" i="1"/>
  <c r="AC78" i="1" s="1"/>
  <c r="AF78" i="1"/>
  <c r="AG78" i="1" s="1"/>
  <c r="AE78" i="1"/>
  <c r="T120" i="1"/>
  <c r="R120" i="1" s="1"/>
  <c r="U120" i="1" s="1"/>
  <c r="O120" i="1" s="1"/>
  <c r="P120" i="1" s="1"/>
  <c r="AF30" i="1"/>
  <c r="AE30" i="1"/>
  <c r="Y30" i="1"/>
  <c r="AC30" i="1" s="1"/>
  <c r="Y90" i="1"/>
  <c r="AC90" i="1" s="1"/>
  <c r="AF90" i="1"/>
  <c r="AE90" i="1"/>
  <c r="AG84" i="1"/>
  <c r="Y85" i="1"/>
  <c r="AC85" i="1" s="1"/>
  <c r="AF85" i="1"/>
  <c r="AE85" i="1"/>
  <c r="T85" i="1"/>
  <c r="R85" i="1" s="1"/>
  <c r="U85" i="1" s="1"/>
  <c r="O85" i="1" s="1"/>
  <c r="P85" i="1" s="1"/>
  <c r="T93" i="1"/>
  <c r="R93" i="1" s="1"/>
  <c r="U93" i="1" s="1"/>
  <c r="O93" i="1" s="1"/>
  <c r="P93" i="1" s="1"/>
  <c r="AF76" i="1"/>
  <c r="AE76" i="1"/>
  <c r="Y76" i="1"/>
  <c r="AC76" i="1" s="1"/>
  <c r="T17" i="1"/>
  <c r="R17" i="1" s="1"/>
  <c r="U17" i="1" s="1"/>
  <c r="O17" i="1" s="1"/>
  <c r="P17" i="1" s="1"/>
  <c r="T55" i="1"/>
  <c r="R55" i="1" s="1"/>
  <c r="U55" i="1" s="1"/>
  <c r="O55" i="1" s="1"/>
  <c r="P55" i="1" s="1"/>
  <c r="Y69" i="1"/>
  <c r="AC69" i="1" s="1"/>
  <c r="AF69" i="1"/>
  <c r="AG69" i="1" s="1"/>
  <c r="AE69" i="1"/>
  <c r="AG19" i="1"/>
  <c r="T38" i="1"/>
  <c r="R38" i="1" s="1"/>
  <c r="U38" i="1" s="1"/>
  <c r="O38" i="1" s="1"/>
  <c r="P38" i="1" s="1"/>
  <c r="T57" i="1"/>
  <c r="R57" i="1" s="1"/>
  <c r="U57" i="1" s="1"/>
  <c r="O57" i="1" s="1"/>
  <c r="P57" i="1" s="1"/>
  <c r="T61" i="1"/>
  <c r="R61" i="1" s="1"/>
  <c r="U61" i="1" s="1"/>
  <c r="O61" i="1" s="1"/>
  <c r="P61" i="1" s="1"/>
  <c r="Y79" i="1"/>
  <c r="AC79" i="1" s="1"/>
  <c r="AF79" i="1"/>
  <c r="AE79" i="1"/>
  <c r="AG125" i="1"/>
  <c r="AG128" i="1"/>
  <c r="AG79" i="1" l="1"/>
  <c r="AG48" i="1"/>
  <c r="AG109" i="1"/>
  <c r="AG94" i="1"/>
  <c r="AG83" i="1"/>
  <c r="AG41" i="1"/>
  <c r="AG27" i="1"/>
  <c r="AG122" i="1"/>
  <c r="AG81" i="1"/>
  <c r="AG37" i="1"/>
  <c r="AG74" i="1"/>
  <c r="AG126" i="1"/>
  <c r="AG71" i="1"/>
  <c r="AG117" i="1"/>
  <c r="AG85" i="1"/>
  <c r="AG30" i="1"/>
  <c r="AG26" i="1"/>
  <c r="AG54" i="1"/>
  <c r="AG67" i="1"/>
  <c r="AG75" i="1"/>
  <c r="AG114" i="1"/>
  <c r="AG23" i="1"/>
  <c r="AG59" i="1"/>
  <c r="AG100" i="1"/>
  <c r="AG61" i="1"/>
  <c r="AG66" i="1"/>
  <c r="AG47" i="1"/>
  <c r="AG103" i="1"/>
  <c r="AG22" i="1"/>
  <c r="AG32" i="1"/>
  <c r="AG44" i="1"/>
  <c r="AG36" i="1"/>
  <c r="AG77" i="1"/>
  <c r="AG60" i="1"/>
  <c r="AG121" i="1"/>
  <c r="AG52" i="1"/>
  <c r="AG20" i="1"/>
  <c r="AG76" i="1"/>
  <c r="AG90" i="1"/>
  <c r="AG40" i="1"/>
  <c r="AG51" i="1"/>
  <c r="AG42" i="1"/>
  <c r="AG119" i="1"/>
  <c r="AG73" i="1"/>
  <c r="AG124" i="1"/>
  <c r="AG120" i="1"/>
</calcChain>
</file>

<file path=xl/sharedStrings.xml><?xml version="1.0" encoding="utf-8"?>
<sst xmlns="http://schemas.openxmlformats.org/spreadsheetml/2006/main" count="2842" uniqueCount="988">
  <si>
    <t>File opened</t>
  </si>
  <si>
    <t>2023-08-31 09:21:19</t>
  </si>
  <si>
    <t>Console s/n</t>
  </si>
  <si>
    <t>68C-812062</t>
  </si>
  <si>
    <t>Console ver</t>
  </si>
  <si>
    <t>Bluestem v.2.1.08</t>
  </si>
  <si>
    <t>Scripts ver</t>
  </si>
  <si>
    <t>2022.05  2.1.08, Aug 2022</t>
  </si>
  <si>
    <t>Head s/n</t>
  </si>
  <si>
    <t>68H-712052</t>
  </si>
  <si>
    <t>Head ver</t>
  </si>
  <si>
    <t>1.4.22</t>
  </si>
  <si>
    <t>Head cal</t>
  </si>
  <si>
    <t>{"oxygen": "21", "co2azero": "0.88426", "co2aspan1": "0.998745", "co2aspan2": "-0.0206825", "co2aspan2a": "0.292025", "co2aspan2b": "0.289895", "co2aspanconc1": "2490", "co2aspanconc2": "303.6", "co2bzero": "0.888078", "co2bspan1": "0.998975", "co2bspan2": "-0.0218624", "co2bspan2a": "0.292018", "co2bspan2b": "0.289854", "co2bspanconc1": "2490", "co2bspanconc2": "303.6", "h2oazero": "1.01698", "h2oaspan1": "1.01138", "h2oaspan2": "0", "h2oaspan2a": "0.0735416", "h2oaspan2b": "0.0743788", "h2oaspanconc1": "12.1", "h2oaspanconc2": "0", "h2obzero": "1.02048", "h2obspan1": "1.02006", "h2obspan2": "0", "h2obspan2a": "0.0734461", "h2obspan2b": "0.0749195", "h2obspanconc1": "12.1", "h2obspanconc2": "0", "tazero": "-0.14447", "tbzero": "-0.109222", "flowmeterzero": "0.995458", "flowazero": "0.33092", "flowbzero": "0.27125", "chamberpressurezero": "2.66957", "ssa_ref": "29140.5", "ssb_ref": "29296.1"}</t>
  </si>
  <si>
    <t>CO2 rangematch</t>
  </si>
  <si>
    <t>Sat Aug 26 10:18</t>
  </si>
  <si>
    <t>H2O rangematch</t>
  </si>
  <si>
    <t>Sat Aug 26 10:25</t>
  </si>
  <si>
    <t>Chamber type</t>
  </si>
  <si>
    <t>6800-01A</t>
  </si>
  <si>
    <t>Chamber s/n</t>
  </si>
  <si>
    <t>MPF-281815</t>
  </si>
  <si>
    <t>Chamber rev</t>
  </si>
  <si>
    <t>0</t>
  </si>
  <si>
    <t>Chamber cal</t>
  </si>
  <si>
    <t>Fluorometer</t>
  </si>
  <si>
    <t>Flr. Version</t>
  </si>
  <si>
    <t>09:21:19</t>
  </si>
  <si>
    <t>Stability Definition:	A (GasEx): Slp&lt;0.7 Std&lt;0.2 Per=15	gsw (GasEx): Slp&lt;0.05 Std&lt;0.05 Per=15</t>
  </si>
  <si>
    <t>SysConst</t>
  </si>
  <si>
    <t>AvgTime</t>
  </si>
  <si>
    <t>1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</si>
  <si>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</si>
  <si>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</si>
  <si>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</si>
  <si>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</si>
  <si>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</si>
  <si>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</si>
  <si>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</si>
  <si>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</si>
  <si>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</si>
  <si>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</si>
  <si>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</si>
  <si>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</si>
  <si>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</si>
  <si>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</si>
  <si>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</si>
  <si>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</si>
  <si>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</si>
  <si>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</si>
  <si>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</si>
  <si>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</si>
  <si>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</si>
  <si>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</si>
  <si>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</si>
  <si>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</si>
  <si>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</si>
  <si>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</si>
  <si>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</si>
  <si>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</si>
  <si>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</si>
  <si>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</si>
  <si>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</si>
  <si>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</si>
  <si>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</si>
  <si>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</si>
  <si>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</si>
  <si>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</si>
  <si>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</si>
  <si>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</si>
  <si>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</si>
  <si>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</si>
  <si>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</si>
  <si>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</si>
  <si>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</si>
  <si>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</si>
  <si>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</si>
  <si>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</si>
  <si>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</si>
  <si>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</si>
  <si>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</si>
  <si>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2.6183 65.4738 372.088 622.844 867.695 1056.55 1255.97 1419.76</t>
  </si>
  <si>
    <t>Fs_true</t>
  </si>
  <si>
    <t>0.357766 101.834 401.911 601.059 800.419 1001.31 1201.08 1401.75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</si>
  <si>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</si>
  <si>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</si>
  <si>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</si>
  <si>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</si>
  <si>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</si>
  <si>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</si>
  <si>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</si>
  <si>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</si>
  <si>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</si>
  <si>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</si>
  <si>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</si>
  <si>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</si>
  <si>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</si>
  <si>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</si>
  <si>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</si>
  <si>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</si>
  <si>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</si>
  <si>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</si>
  <si>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</si>
  <si>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</si>
  <si>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</si>
  <si>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</si>
  <si>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</si>
  <si>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</si>
  <si>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</si>
  <si>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</si>
  <si>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</si>
  <si>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</si>
  <si>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event</t>
  </si>
  <si>
    <t>plot</t>
  </si>
  <si>
    <t>replicate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</si>
  <si>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</si>
  <si>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</si>
  <si>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</si>
  <si>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</si>
  <si>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</si>
  <si>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</si>
  <si>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</si>
  <si>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</si>
  <si>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</si>
  <si>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</si>
  <si>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</si>
  <si>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</si>
  <si>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</si>
  <si>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</si>
  <si>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</si>
  <si>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</si>
  <si>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</si>
  <si>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</si>
  <si>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</si>
  <si>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</si>
  <si>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</si>
  <si>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</si>
  <si>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</si>
  <si>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</si>
  <si>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</si>
  <si>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</si>
  <si>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</si>
  <si>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</si>
  <si>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</si>
  <si>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</si>
  <si>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</si>
  <si>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</si>
  <si>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</si>
  <si>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</si>
  <si>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</si>
  <si>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</si>
  <si>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</si>
  <si>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</si>
  <si>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</si>
  <si>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</si>
  <si>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</si>
  <si>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</si>
  <si>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</si>
  <si>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</si>
  <si>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</si>
  <si>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</si>
  <si>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</si>
  <si>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</si>
  <si>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</si>
  <si>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</si>
  <si>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</si>
  <si>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</si>
  <si>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</si>
  <si>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</si>
  <si>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</si>
  <si>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</si>
  <si>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</si>
  <si>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</si>
  <si>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</si>
  <si>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</si>
  <si>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</si>
  <si>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</si>
  <si>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</si>
  <si>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</si>
  <si>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</si>
  <si>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</si>
  <si>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</si>
  <si>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</si>
  <si>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</si>
  <si>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</si>
  <si>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</si>
  <si>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</si>
  <si>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</si>
  <si>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</si>
  <si>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</si>
  <si>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</si>
  <si>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</si>
  <si>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</si>
  <si>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</si>
  <si>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</si>
  <si>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</si>
  <si>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</si>
  <si>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</si>
  <si>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</si>
  <si>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</si>
  <si>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</si>
  <si>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</si>
  <si>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</si>
  <si>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</si>
  <si>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</si>
  <si>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</si>
  <si>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</si>
  <si>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</si>
  <si>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</si>
  <si>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</si>
  <si>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</si>
  <si>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</si>
  <si>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</si>
  <si>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</si>
  <si>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</si>
  <si>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</si>
  <si>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</si>
  <si>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</si>
  <si>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</si>
  <si>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</si>
  <si>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</si>
  <si>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</si>
  <si>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</si>
  <si>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</si>
  <si>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</si>
  <si>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</si>
  <si>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</si>
  <si>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</si>
  <si>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</si>
  <si>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</si>
  <si>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</si>
  <si>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</si>
  <si>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</si>
  <si>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</si>
  <si>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</si>
  <si>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</si>
  <si>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</si>
  <si>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</si>
  <si>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</si>
  <si>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</si>
  <si>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</si>
  <si>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</si>
  <si>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</si>
  <si>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</si>
  <si>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</si>
  <si>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</si>
  <si>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</si>
  <si>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</si>
  <si>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</si>
  <si>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</si>
  <si>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</si>
  <si>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</si>
  <si>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</si>
  <si>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</si>
  <si>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</si>
  <si>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</si>
  <si>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</si>
  <si>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</si>
  <si>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</si>
  <si>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</si>
  <si>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</si>
  <si>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</si>
  <si>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</si>
  <si>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</si>
  <si>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</si>
  <si>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</si>
  <si>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</si>
  <si>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</si>
  <si>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</si>
  <si>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</si>
  <si>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</si>
  <si>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</si>
  <si>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</si>
  <si>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</si>
  <si>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</si>
  <si>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</si>
  <si>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</si>
  <si>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</si>
  <si>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</si>
  <si>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</si>
  <si>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</si>
  <si>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</si>
  <si>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</si>
  <si>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</si>
  <si>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</si>
  <si>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</si>
  <si>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</si>
  <si>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</si>
  <si>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</si>
  <si>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</si>
  <si>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</si>
  <si>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</si>
  <si>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</si>
  <si>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</si>
  <si>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</si>
  <si>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</si>
  <si>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</si>
  <si>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</si>
  <si>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</si>
  <si>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</si>
  <si>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</si>
  <si>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</si>
  <si>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</si>
  <si>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</si>
  <si>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</si>
  <si>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</si>
  <si>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</si>
  <si>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</si>
  <si>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</si>
  <si>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</si>
  <si>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</si>
  <si>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</si>
  <si>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</si>
  <si>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</si>
  <si>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</si>
  <si>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</si>
  <si>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</si>
  <si>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</si>
  <si>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</si>
  <si>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</si>
  <si>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</si>
  <si>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</si>
  <si>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</si>
  <si>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</si>
  <si>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</si>
  <si>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</si>
  <si>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</si>
  <si>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</si>
  <si>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</si>
  <si>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</si>
  <si>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</si>
  <si>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</si>
  <si>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</si>
  <si>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</si>
  <si>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</si>
  <si>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</si>
  <si>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</si>
  <si>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</si>
  <si>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</si>
  <si>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</si>
  <si>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</si>
  <si>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</si>
  <si>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</si>
  <si>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</si>
  <si>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</si>
  <si>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</si>
  <si>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</si>
  <si>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</si>
  <si>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</si>
  <si>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</si>
  <si>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</si>
  <si>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</si>
  <si>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</si>
  <si>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</si>
  <si>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</si>
  <si>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</si>
  <si>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</si>
  <si>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</si>
  <si>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</si>
  <si>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</si>
  <si>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</si>
  <si>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</si>
  <si>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</si>
  <si>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</si>
  <si>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</si>
  <si>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</si>
  <si>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</si>
  <si>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</si>
  <si>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</si>
  <si>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</si>
  <si>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</si>
  <si>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</si>
  <si>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</si>
  <si>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</si>
  <si>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</si>
  <si>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</si>
  <si>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</si>
  <si>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</si>
  <si>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</si>
  <si>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</si>
  <si>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</si>
  <si>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</si>
  <si>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</si>
  <si>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</si>
  <si>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</si>
  <si>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</si>
  <si>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</si>
  <si>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</si>
  <si>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</si>
  <si>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</si>
  <si>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</si>
  <si>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</si>
  <si>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</si>
  <si>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</si>
  <si>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</si>
  <si>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</si>
  <si>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</si>
  <si>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</si>
  <si>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</si>
  <si>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</si>
  <si>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</si>
  <si>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</si>
  <si>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</si>
  <si>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</si>
  <si>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</si>
  <si>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</si>
  <si>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</si>
  <si>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</si>
  <si>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</si>
  <si>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</si>
  <si>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</si>
  <si>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20230831 10:27:29</t>
  </si>
  <si>
    <t>10:27:29</t>
  </si>
  <si>
    <t>none</t>
  </si>
  <si>
    <t>zg5b</t>
  </si>
  <si>
    <t>3</t>
  </si>
  <si>
    <t>2</t>
  </si>
  <si>
    <t>MPF-918-20220629-11_33_48</t>
  </si>
  <si>
    <t>MPF-7744-20230831-10_27_14</t>
  </si>
  <si>
    <t>DARK-7745-20230831-10_27_21</t>
  </si>
  <si>
    <t>0: Broadleaf</t>
  </si>
  <si>
    <t>10:26:56</t>
  </si>
  <si>
    <t>2/2</t>
  </si>
  <si>
    <t>11111111</t>
  </si>
  <si>
    <t>oooooooo</t>
  </si>
  <si>
    <t>off</t>
  </si>
  <si>
    <t>20230831 10:29:27</t>
  </si>
  <si>
    <t>10:29:27</t>
  </si>
  <si>
    <t>MPF-7746-20230831-10_29_11</t>
  </si>
  <si>
    <t>DARK-7747-20230831-10_29_18</t>
  </si>
  <si>
    <t>10:28:56</t>
  </si>
  <si>
    <t>20230831 10:31:11</t>
  </si>
  <si>
    <t>10:31:11</t>
  </si>
  <si>
    <t>MPF-7748-20230831-10_30_55</t>
  </si>
  <si>
    <t>DARK-7749-20230831-10_31_02</t>
  </si>
  <si>
    <t>10:30:42</t>
  </si>
  <si>
    <t>20230831 10:33:06</t>
  </si>
  <si>
    <t>10:33:06</t>
  </si>
  <si>
    <t>MPF-7750-20230831-10_32_51</t>
  </si>
  <si>
    <t>DARK-7751-20230831-10_32_58</t>
  </si>
  <si>
    <t>10:32:34</t>
  </si>
  <si>
    <t>20230831 10:34:53</t>
  </si>
  <si>
    <t>10:34:53</t>
  </si>
  <si>
    <t>MPF-7752-20230831-10_34_37</t>
  </si>
  <si>
    <t>DARK-7753-20230831-10_34_44</t>
  </si>
  <si>
    <t>10:34:23</t>
  </si>
  <si>
    <t>20230831 10:36:33</t>
  </si>
  <si>
    <t>10:36:33</t>
  </si>
  <si>
    <t>MPF-7754-20230831-10_36_18</t>
  </si>
  <si>
    <t>DARK-7755-20230831-10_36_25</t>
  </si>
  <si>
    <t>10:36:03</t>
  </si>
  <si>
    <t>20230831 10:38:13</t>
  </si>
  <si>
    <t>10:38:13</t>
  </si>
  <si>
    <t>MPF-7756-20230831-10_37_57</t>
  </si>
  <si>
    <t>DARK-7757-20230831-10_38_04</t>
  </si>
  <si>
    <t>10:37:41</t>
  </si>
  <si>
    <t>20230831 10:41:22</t>
  </si>
  <si>
    <t>10:41:22</t>
  </si>
  <si>
    <t>MPF-7758-20230831-10_41_07</t>
  </si>
  <si>
    <t>DARK-7759-20230831-10_41_14</t>
  </si>
  <si>
    <t>10:39:46</t>
  </si>
  <si>
    <t>1/2</t>
  </si>
  <si>
    <t>20230831 10:43:14</t>
  </si>
  <si>
    <t>10:43:14</t>
  </si>
  <si>
    <t>MPF-7760-20230831-10_42_59</t>
  </si>
  <si>
    <t>DARK-7761-20230831-10_43_06</t>
  </si>
  <si>
    <t>10:42:46</t>
  </si>
  <si>
    <t>20230831 10:45:05</t>
  </si>
  <si>
    <t>10:45:05</t>
  </si>
  <si>
    <t>MPF-7762-20230831-10_44_50</t>
  </si>
  <si>
    <t>DARK-7763-20230831-10_44_57</t>
  </si>
  <si>
    <t>10:44:37</t>
  </si>
  <si>
    <t>20230831 10:46:46</t>
  </si>
  <si>
    <t>10:46:46</t>
  </si>
  <si>
    <t>MPF-7764-20230831-10_46_31</t>
  </si>
  <si>
    <t>DARK-7765-20230831-10_46_38</t>
  </si>
  <si>
    <t>10:46:18</t>
  </si>
  <si>
    <t>20230831 10:48:33</t>
  </si>
  <si>
    <t>10:48:33</t>
  </si>
  <si>
    <t>MPF-7766-20230831-10_48_18</t>
  </si>
  <si>
    <t>DARK-7767-20230831-10_48_25</t>
  </si>
  <si>
    <t>10:48:02</t>
  </si>
  <si>
    <t>20230831 10:50:44</t>
  </si>
  <si>
    <t>10:50:44</t>
  </si>
  <si>
    <t>MPF-7768-20230831-10_50_28</t>
  </si>
  <si>
    <t>DARK-7769-20230831-10_50_35</t>
  </si>
  <si>
    <t>10:50:12</t>
  </si>
  <si>
    <t>20230831 10:53:09</t>
  </si>
  <si>
    <t>10:53:09</t>
  </si>
  <si>
    <t>MPF-7770-20230831-10_52_53</t>
  </si>
  <si>
    <t>DARK-7771-20230831-10_53_00</t>
  </si>
  <si>
    <t>10:52:33</t>
  </si>
  <si>
    <t>20230831 11:15:10</t>
  </si>
  <si>
    <t>11:15:10</t>
  </si>
  <si>
    <t>hn1a</t>
  </si>
  <si>
    <t>MPF-7772-20230831-11_14_55</t>
  </si>
  <si>
    <t>DARK-7773-20230831-11_15_02</t>
  </si>
  <si>
    <t>11:14:18</t>
  </si>
  <si>
    <t>20230831 11:16:58</t>
  </si>
  <si>
    <t>11:16:58</t>
  </si>
  <si>
    <t>MPF-7774-20230831-11_16_42</t>
  </si>
  <si>
    <t>DARK-7775-20230831-11_16_49</t>
  </si>
  <si>
    <t>11:16:29</t>
  </si>
  <si>
    <t>20230831 11:19:18</t>
  </si>
  <si>
    <t>11:19:18</t>
  </si>
  <si>
    <t>MPF-7776-20230831-11_19_03</t>
  </si>
  <si>
    <t>DARK-7777-20230831-11_19_10</t>
  </si>
  <si>
    <t>11:18:20</t>
  </si>
  <si>
    <t>20230831 11:21:11</t>
  </si>
  <si>
    <t>11:21:11</t>
  </si>
  <si>
    <t>MPF-7778-20230831-11_20_56</t>
  </si>
  <si>
    <t>DARK-7779-20230831-11_21_03</t>
  </si>
  <si>
    <t>11:20:44</t>
  </si>
  <si>
    <t>20230831 11:22:51</t>
  </si>
  <si>
    <t>11:22:51</t>
  </si>
  <si>
    <t>MPF-7780-20230831-11_22_36</t>
  </si>
  <si>
    <t>DARK-7781-20230831-11_22_43</t>
  </si>
  <si>
    <t>11:22:24</t>
  </si>
  <si>
    <t>20230831 11:24:34</t>
  </si>
  <si>
    <t>11:24:34</t>
  </si>
  <si>
    <t>MPF-7782-20230831-11_24_19</t>
  </si>
  <si>
    <t>DARK-7783-20230831-11_24_26</t>
  </si>
  <si>
    <t>11:24:08</t>
  </si>
  <si>
    <t>20230831 11:26:18</t>
  </si>
  <si>
    <t>11:26:18</t>
  </si>
  <si>
    <t>MPF-7784-20230831-11_26_02</t>
  </si>
  <si>
    <t>DARK-7785-20230831-11_26_10</t>
  </si>
  <si>
    <t>11:25:50</t>
  </si>
  <si>
    <t>20230831 11:29:27</t>
  </si>
  <si>
    <t>11:29:27</t>
  </si>
  <si>
    <t>MPF-7786-20230831-11_29_12</t>
  </si>
  <si>
    <t>DARK-7787-20230831-11_29_19</t>
  </si>
  <si>
    <t>11:27:29</t>
  </si>
  <si>
    <t>20230831 11:32:37</t>
  </si>
  <si>
    <t>11:32:37</t>
  </si>
  <si>
    <t>MPF-7788-20230831-11_32_21</t>
  </si>
  <si>
    <t>DARK-7789-20230831-11_32_29</t>
  </si>
  <si>
    <t>11:30:34</t>
  </si>
  <si>
    <t>20230831 11:34:16</t>
  </si>
  <si>
    <t>11:34:16</t>
  </si>
  <si>
    <t>MPF-7790-20230831-11_34_01</t>
  </si>
  <si>
    <t>DARK-7791-20230831-11_34_08</t>
  </si>
  <si>
    <t>11:33:47</t>
  </si>
  <si>
    <t>20230831 11:36:03</t>
  </si>
  <si>
    <t>11:36:03</t>
  </si>
  <si>
    <t>MPF-7792-20230831-11_35_47</t>
  </si>
  <si>
    <t>DARK-7793-20230831-11_35_55</t>
  </si>
  <si>
    <t>11:35:24</t>
  </si>
  <si>
    <t>20230831 11:37:44</t>
  </si>
  <si>
    <t>11:37:44</t>
  </si>
  <si>
    <t>MPF-7794-20230831-11_37_28</t>
  </si>
  <si>
    <t>DARK-7795-20230831-11_37_36</t>
  </si>
  <si>
    <t>11:37:15</t>
  </si>
  <si>
    <t>20230831 11:40:08</t>
  </si>
  <si>
    <t>11:40:08</t>
  </si>
  <si>
    <t>MPF-7796-20230831-11_39_53</t>
  </si>
  <si>
    <t>DARK-7797-20230831-11_40_00</t>
  </si>
  <si>
    <t>11:39:27</t>
  </si>
  <si>
    <t>20230831 11:42:05</t>
  </si>
  <si>
    <t>11:42:05</t>
  </si>
  <si>
    <t>MPF-7798-20230831-11_41_50</t>
  </si>
  <si>
    <t>DARK-7799-20230831-11_41_57</t>
  </si>
  <si>
    <t>11:41:20</t>
  </si>
  <si>
    <t>20230831 12:25:58</t>
  </si>
  <si>
    <t>12:25:58</t>
  </si>
  <si>
    <t>zg12a</t>
  </si>
  <si>
    <t>MPF-7800-20230831-12_25_43</t>
  </si>
  <si>
    <t>DARK-7801-20230831-12_25_50</t>
  </si>
  <si>
    <t>12:25:28</t>
  </si>
  <si>
    <t>20230831 12:27:38</t>
  </si>
  <si>
    <t>12:27:38</t>
  </si>
  <si>
    <t>MPF-7802-20230831-12_27_22</t>
  </si>
  <si>
    <t>DARK-7803-20230831-12_27_30</t>
  </si>
  <si>
    <t>12:27:09</t>
  </si>
  <si>
    <t>20230831 12:29:17</t>
  </si>
  <si>
    <t>12:29:17</t>
  </si>
  <si>
    <t>MPF-7804-20230831-12_29_02</t>
  </si>
  <si>
    <t>DARK-7805-20230831-12_29_09</t>
  </si>
  <si>
    <t>12:28:48</t>
  </si>
  <si>
    <t>20230831 12:31:41</t>
  </si>
  <si>
    <t>12:31:41</t>
  </si>
  <si>
    <t>MPF-7806-20230831-12_31_26</t>
  </si>
  <si>
    <t>DARK-7807-20230831-12_31_33</t>
  </si>
  <si>
    <t>12:31:13</t>
  </si>
  <si>
    <t>20230831 12:33:22</t>
  </si>
  <si>
    <t>12:33:22</t>
  </si>
  <si>
    <t>MPF-7808-20230831-12_33_06</t>
  </si>
  <si>
    <t>DARK-7809-20230831-12_33_14</t>
  </si>
  <si>
    <t>12:32:54</t>
  </si>
  <si>
    <t>20230831 12:35:05</t>
  </si>
  <si>
    <t>12:35:05</t>
  </si>
  <si>
    <t>MPF-7810-20230831-12_34_49</t>
  </si>
  <si>
    <t>DARK-7811-20230831-12_34_57</t>
  </si>
  <si>
    <t>12:34:37</t>
  </si>
  <si>
    <t>20230831 12:36:44</t>
  </si>
  <si>
    <t>12:36:44</t>
  </si>
  <si>
    <t>MPF-7812-20230831-12_36_29</t>
  </si>
  <si>
    <t>DARK-7813-20230831-12_36_36</t>
  </si>
  <si>
    <t>12:36:10</t>
  </si>
  <si>
    <t>20230831 12:39:54</t>
  </si>
  <si>
    <t>12:39:54</t>
  </si>
  <si>
    <t>MPF-7814-20230831-12_39_38</t>
  </si>
  <si>
    <t>DARK-7815-20230831-12_39_46</t>
  </si>
  <si>
    <t>12:38:05</t>
  </si>
  <si>
    <t>20230831 12:42:34</t>
  </si>
  <si>
    <t>12:42:34</t>
  </si>
  <si>
    <t>MPF-7816-20230831-12_42_18</t>
  </si>
  <si>
    <t>DARK-7817-20230831-12_42_26</t>
  </si>
  <si>
    <t>12:41:14</t>
  </si>
  <si>
    <t>20230831 12:44:21</t>
  </si>
  <si>
    <t>12:44:21</t>
  </si>
  <si>
    <t>MPF-7818-20230831-12_44_06</t>
  </si>
  <si>
    <t>DARK-7819-20230831-12_44_13</t>
  </si>
  <si>
    <t>12:43:40</t>
  </si>
  <si>
    <t>20230831 12:46:08</t>
  </si>
  <si>
    <t>12:46:08</t>
  </si>
  <si>
    <t>MPF-7820-20230831-12_45_53</t>
  </si>
  <si>
    <t>DARK-7821-20230831-12_46_00</t>
  </si>
  <si>
    <t>12:45:40</t>
  </si>
  <si>
    <t>20230831 12:47:53</t>
  </si>
  <si>
    <t>12:47:53</t>
  </si>
  <si>
    <t>MPF-7822-20230831-12_47_38</t>
  </si>
  <si>
    <t>DARK-7823-20230831-12_47_45</t>
  </si>
  <si>
    <t>12:47:12</t>
  </si>
  <si>
    <t>20230831 12:49:39</t>
  </si>
  <si>
    <t>12:49:39</t>
  </si>
  <si>
    <t>MPF-7824-20230831-12_49_24</t>
  </si>
  <si>
    <t>DARK-7825-20230831-12_49_31</t>
  </si>
  <si>
    <t>12:48:59</t>
  </si>
  <si>
    <t>20230831 12:51:48</t>
  </si>
  <si>
    <t>12:51:48</t>
  </si>
  <si>
    <t>MPF-7826-20230831-12_51_33</t>
  </si>
  <si>
    <t>DARK-7827-20230831-12_51_40</t>
  </si>
  <si>
    <t>12:50:54</t>
  </si>
  <si>
    <t>20230831 13:19:56</t>
  </si>
  <si>
    <t>13:19:56</t>
  </si>
  <si>
    <t>4</t>
  </si>
  <si>
    <t>MPF-7828-20230831-13_19_41</t>
  </si>
  <si>
    <t>DARK-7829-20230831-13_19_48</t>
  </si>
  <si>
    <t>13:19:27</t>
  </si>
  <si>
    <t>20230831 13:21:44</t>
  </si>
  <si>
    <t>13:21:44</t>
  </si>
  <si>
    <t>MPF-7830-20230831-13_21_29</t>
  </si>
  <si>
    <t>DARK-7831-20230831-13_21_36</t>
  </si>
  <si>
    <t>13:21:13</t>
  </si>
  <si>
    <t>20230831 13:23:47</t>
  </si>
  <si>
    <t>13:23:47</t>
  </si>
  <si>
    <t>MPF-7832-20230831-13_23_31</t>
  </si>
  <si>
    <t>DARK-7833-20230831-13_23_39</t>
  </si>
  <si>
    <t>13:23:17</t>
  </si>
  <si>
    <t>20230831 13:25:26</t>
  </si>
  <si>
    <t>13:25:26</t>
  </si>
  <si>
    <t>MPF-7834-20230831-13_25_11</t>
  </si>
  <si>
    <t>DARK-7835-20230831-13_25_18</t>
  </si>
  <si>
    <t>13:24:56</t>
  </si>
  <si>
    <t>20230831 13:27:39</t>
  </si>
  <si>
    <t>13:27:39</t>
  </si>
  <si>
    <t>MPF-7836-20230831-13_27_24</t>
  </si>
  <si>
    <t>DARK-7837-20230831-13_27_31</t>
  </si>
  <si>
    <t>13:27:09</t>
  </si>
  <si>
    <t>20230831 13:29:19</t>
  </si>
  <si>
    <t>13:29:19</t>
  </si>
  <si>
    <t>MPF-7838-20230831-13_29_03</t>
  </si>
  <si>
    <t>DARK-7839-20230831-13_29_11</t>
  </si>
  <si>
    <t>13:28:50</t>
  </si>
  <si>
    <t>20230831 13:30:58</t>
  </si>
  <si>
    <t>13:30:58</t>
  </si>
  <si>
    <t>MPF-7840-20230831-13_30_43</t>
  </si>
  <si>
    <t>DARK-7841-20230831-13_30_50</t>
  </si>
  <si>
    <t>13:30:23</t>
  </si>
  <si>
    <t>20230831 13:34:08</t>
  </si>
  <si>
    <t>13:34:08</t>
  </si>
  <si>
    <t>MPF-7842-20230831-13_33_52</t>
  </si>
  <si>
    <t>DARK-7843-20230831-13_34_00</t>
  </si>
  <si>
    <t>13:32:21</t>
  </si>
  <si>
    <t>20230831 13:36:38</t>
  </si>
  <si>
    <t>13:36:38</t>
  </si>
  <si>
    <t>MPF-7844-20230831-13_36_22</t>
  </si>
  <si>
    <t>DARK-7845-20230831-13_36_30</t>
  </si>
  <si>
    <t>13:35:52</t>
  </si>
  <si>
    <t>20230831 13:38:20</t>
  </si>
  <si>
    <t>13:38:20</t>
  </si>
  <si>
    <t>MPF-7846-20230831-13_38_04</t>
  </si>
  <si>
    <t>DARK-7847-20230831-13_38_12</t>
  </si>
  <si>
    <t>13:37:49</t>
  </si>
  <si>
    <t>20230831 13:40:06</t>
  </si>
  <si>
    <t>13:40:06</t>
  </si>
  <si>
    <t>MPF-7848-20230831-13_39_51</t>
  </si>
  <si>
    <t>DARK-7849-20230831-13_39_58</t>
  </si>
  <si>
    <t>13:39:25</t>
  </si>
  <si>
    <t>20230831 13:42:00</t>
  </si>
  <si>
    <t>13:42:00</t>
  </si>
  <si>
    <t>MPF-7850-20230831-13_41_45</t>
  </si>
  <si>
    <t>DARK-7851-20230831-13_41_52</t>
  </si>
  <si>
    <t>13:41:31</t>
  </si>
  <si>
    <t>20230831 13:44:08</t>
  </si>
  <si>
    <t>13:44:08</t>
  </si>
  <si>
    <t>MPF-7852-20230831-13_43_52</t>
  </si>
  <si>
    <t>DARK-7853-20230831-13_44_00</t>
  </si>
  <si>
    <t>13:43:36</t>
  </si>
  <si>
    <t>20230831 13:46:12</t>
  </si>
  <si>
    <t>13:46:12</t>
  </si>
  <si>
    <t>MPF-7854-20230831-13_45_56</t>
  </si>
  <si>
    <t>DARK-7855-20230831-13_46_04</t>
  </si>
  <si>
    <t>13:45:40</t>
  </si>
  <si>
    <t>20230831 14:14:28</t>
  </si>
  <si>
    <t>14:14:28</t>
  </si>
  <si>
    <t>5</t>
  </si>
  <si>
    <t>MPF-7856-20230831-14_14_13</t>
  </si>
  <si>
    <t>DARK-7857-20230831-14_14_20</t>
  </si>
  <si>
    <t>14:13:57</t>
  </si>
  <si>
    <t>20230831 14:17:08</t>
  </si>
  <si>
    <t>14:17:08</t>
  </si>
  <si>
    <t>MPF-7858-20230831-14_16_53</t>
  </si>
  <si>
    <t>DARK-7859-20230831-14_17_00</t>
  </si>
  <si>
    <t>14:15:48</t>
  </si>
  <si>
    <t>20230831 14:19:30</t>
  </si>
  <si>
    <t>14:19:30</t>
  </si>
  <si>
    <t>MPF-7860-20230831-14_19_15</t>
  </si>
  <si>
    <t>DARK-7861-20230831-14_19_22</t>
  </si>
  <si>
    <t>14:18:19</t>
  </si>
  <si>
    <t>20230831 14:21:13</t>
  </si>
  <si>
    <t>14:21:13</t>
  </si>
  <si>
    <t>MPF-7862-20230831-14_20_58</t>
  </si>
  <si>
    <t>DARK-7863-20230831-14_21_05</t>
  </si>
  <si>
    <t>14:20:42</t>
  </si>
  <si>
    <t>20230831 14:23:02</t>
  </si>
  <si>
    <t>14:23:02</t>
  </si>
  <si>
    <t>MPF-7864-20230831-14_22_47</t>
  </si>
  <si>
    <t>DARK-7865-20230831-14_22_54</t>
  </si>
  <si>
    <t>14:22:33</t>
  </si>
  <si>
    <t>20230831 14:24:47</t>
  </si>
  <si>
    <t>14:24:47</t>
  </si>
  <si>
    <t>MPF-7866-20230831-14_24_32</t>
  </si>
  <si>
    <t>DARK-7867-20230831-14_24_39</t>
  </si>
  <si>
    <t>14:24:19</t>
  </si>
  <si>
    <t>20230831 14:26:40</t>
  </si>
  <si>
    <t>14:26:40</t>
  </si>
  <si>
    <t>MPF-7868-20230831-14_26_25</t>
  </si>
  <si>
    <t>DARK-7869-20230831-14_26_32</t>
  </si>
  <si>
    <t>14:26:12</t>
  </si>
  <si>
    <t>20230831 14:29:34</t>
  </si>
  <si>
    <t>14:29:34</t>
  </si>
  <si>
    <t>MPF-7870-20230831-14_29_19</t>
  </si>
  <si>
    <t>DARK-7871-20230831-14_29_26</t>
  </si>
  <si>
    <t>14:27:51</t>
  </si>
  <si>
    <t>20230831 14:32:43</t>
  </si>
  <si>
    <t>14:32:43</t>
  </si>
  <si>
    <t>MPF-7872-20230831-14_32_28</t>
  </si>
  <si>
    <t>DARK-7873-20230831-14_32_35</t>
  </si>
  <si>
    <t>14:30:41</t>
  </si>
  <si>
    <t>20230831 14:34:36</t>
  </si>
  <si>
    <t>14:34:36</t>
  </si>
  <si>
    <t>MPF-7874-20230831-14_34_21</t>
  </si>
  <si>
    <t>DARK-7875-20230831-14_34_28</t>
  </si>
  <si>
    <t>14:34:03</t>
  </si>
  <si>
    <t>20230831 14:36:16</t>
  </si>
  <si>
    <t>14:36:16</t>
  </si>
  <si>
    <t>MPF-7876-20230831-14_36_01</t>
  </si>
  <si>
    <t>DARK-7877-20230831-14_36_08</t>
  </si>
  <si>
    <t>14:35:46</t>
  </si>
  <si>
    <t>20230831 14:38:25</t>
  </si>
  <si>
    <t>14:38:25</t>
  </si>
  <si>
    <t>MPF-7878-20230831-14_38_10</t>
  </si>
  <si>
    <t>DARK-7879-20230831-14_38_17</t>
  </si>
  <si>
    <t>14:37:55</t>
  </si>
  <si>
    <t>20230831 14:40:59</t>
  </si>
  <si>
    <t>14:40:59</t>
  </si>
  <si>
    <t>MPF-7880-20230831-14_40_44</t>
  </si>
  <si>
    <t>DARK-7881-20230831-14_40_51</t>
  </si>
  <si>
    <t>14:40:06</t>
  </si>
  <si>
    <t>20230831 14:42:48</t>
  </si>
  <si>
    <t>14:42:48</t>
  </si>
  <si>
    <t>MPF-7882-20230831-14_42_33</t>
  </si>
  <si>
    <t>DARK-7883-20230831-14_42_40</t>
  </si>
  <si>
    <t>14:42:11</t>
  </si>
  <si>
    <t>20230831 15:03:16</t>
  </si>
  <si>
    <t>15:03:16</t>
  </si>
  <si>
    <t>wt</t>
  </si>
  <si>
    <t>6</t>
  </si>
  <si>
    <t>MPF-7884-20230831-15_03_01</t>
  </si>
  <si>
    <t>DARK-7885-20230831-15_03_08</t>
  </si>
  <si>
    <t>15:02:47</t>
  </si>
  <si>
    <t>20230831 15:05:49</t>
  </si>
  <si>
    <t>15:05:49</t>
  </si>
  <si>
    <t>MPF-7886-20230831-15_05_34</t>
  </si>
  <si>
    <t>DARK-7887-20230831-15_05_41</t>
  </si>
  <si>
    <t>15:04:38</t>
  </si>
  <si>
    <t>20230831 15:08:21</t>
  </si>
  <si>
    <t>15:08:21</t>
  </si>
  <si>
    <t>MPF-7888-20230831-15_08_06</t>
  </si>
  <si>
    <t>DARK-7889-20230831-15_08_13</t>
  </si>
  <si>
    <t>15:07:02</t>
  </si>
  <si>
    <t>20230831 15:10:09</t>
  </si>
  <si>
    <t>15:10:09</t>
  </si>
  <si>
    <t>MPF-7890-20230831-15_09_54</t>
  </si>
  <si>
    <t>DARK-7891-20230831-15_10_01</t>
  </si>
  <si>
    <t>15:09:32</t>
  </si>
  <si>
    <t>20230831 15:11:48</t>
  </si>
  <si>
    <t>15:11:48</t>
  </si>
  <si>
    <t>MPF-7892-20230831-15_11_33</t>
  </si>
  <si>
    <t>DARK-7893-20230831-15_11_40</t>
  </si>
  <si>
    <t>15:12:17</t>
  </si>
  <si>
    <t>20230831 15:14:40</t>
  </si>
  <si>
    <t>15:14:40</t>
  </si>
  <si>
    <t>MPF-7894-20230831-15_14_25</t>
  </si>
  <si>
    <t>DARK-7895-20230831-15_14_32</t>
  </si>
  <si>
    <t>15:14:10</t>
  </si>
  <si>
    <t>20230831 15:16:25</t>
  </si>
  <si>
    <t>15:16:25</t>
  </si>
  <si>
    <t>MPF-7896-20230831-15_16_10</t>
  </si>
  <si>
    <t>DARK-7897-20230831-15_16_18</t>
  </si>
  <si>
    <t>15:15:56</t>
  </si>
  <si>
    <t>20230831 15:19:35</t>
  </si>
  <si>
    <t>15:19:35</t>
  </si>
  <si>
    <t>MPF-7898-20230831-15_19_20</t>
  </si>
  <si>
    <t>DARK-7899-20230831-15_19_27</t>
  </si>
  <si>
    <t>15:17:51</t>
  </si>
  <si>
    <t>20230831 15:22:11</t>
  </si>
  <si>
    <t>15:22:11</t>
  </si>
  <si>
    <t>MPF-7900-20230831-15_21_56</t>
  </si>
  <si>
    <t>DARK-7901-20230831-15_22_03</t>
  </si>
  <si>
    <t>15:20:48</t>
  </si>
  <si>
    <t>20230831 15:23:57</t>
  </si>
  <si>
    <t>15:23:57</t>
  </si>
  <si>
    <t>MPF-7902-20230831-15_23_42</t>
  </si>
  <si>
    <t>DARK-7903-20230831-15_23_49</t>
  </si>
  <si>
    <t>15:23:27</t>
  </si>
  <si>
    <t>20230831 15:25:40</t>
  </si>
  <si>
    <t>15:25:40</t>
  </si>
  <si>
    <t>MPF-7904-20230831-15_25_25</t>
  </si>
  <si>
    <t>DARK-7905-20230831-15_25_32</t>
  </si>
  <si>
    <t>15:25:10</t>
  </si>
  <si>
    <t>20230831 15:27:41</t>
  </si>
  <si>
    <t>15:27:41</t>
  </si>
  <si>
    <t>MPF-7906-20230831-15_27_26</t>
  </si>
  <si>
    <t>DARK-7907-20230831-15_27_33</t>
  </si>
  <si>
    <t>15:27:10</t>
  </si>
  <si>
    <t>20230831 15:29:25</t>
  </si>
  <si>
    <t>15:29:25</t>
  </si>
  <si>
    <t>MPF-7908-20230831-15_29_10</t>
  </si>
  <si>
    <t>DARK-7909-20230831-15_29_17</t>
  </si>
  <si>
    <t>15:28:54</t>
  </si>
  <si>
    <t>20230831 15:31:27</t>
  </si>
  <si>
    <t>15:31:27</t>
  </si>
  <si>
    <t>MPF-7910-20230831-15_31_12</t>
  </si>
  <si>
    <t>DARK-7911-20230831-15_31_19</t>
  </si>
  <si>
    <t>15:30:48</t>
  </si>
  <si>
    <t>20230831 16:07:30</t>
  </si>
  <si>
    <t>16:07:30</t>
  </si>
  <si>
    <t>MPF-7912-20230831-16_07_15</t>
  </si>
  <si>
    <t>DARK-7913-20230831-16_07_23</t>
  </si>
  <si>
    <t>16:07:02</t>
  </si>
  <si>
    <t>20230831 16:09:38</t>
  </si>
  <si>
    <t>16:09:38</t>
  </si>
  <si>
    <t>MPF-7914-20230831-16_09_23</t>
  </si>
  <si>
    <t>DARK-7915-20230831-16_09_30</t>
  </si>
  <si>
    <t>16:09:09</t>
  </si>
  <si>
    <t>20230831 16:11:19</t>
  </si>
  <si>
    <t>16:11:19</t>
  </si>
  <si>
    <t>MPF-7916-20230831-16_11_04</t>
  </si>
  <si>
    <t>DARK-7917-20230831-16_11_12</t>
  </si>
  <si>
    <t>16:10:52</t>
  </si>
  <si>
    <t>20230831 16:13:41</t>
  </si>
  <si>
    <t>16:13:41</t>
  </si>
  <si>
    <t>MPF-7918-20230831-16_13_26</t>
  </si>
  <si>
    <t>DARK-7919-20230831-16_13_34</t>
  </si>
  <si>
    <t>16:13:14</t>
  </si>
  <si>
    <t>20230831 16:15:21</t>
  </si>
  <si>
    <t>16:15:21</t>
  </si>
  <si>
    <t>MPF-7920-20230831-16_15_06</t>
  </si>
  <si>
    <t>DARK-7921-20230831-16_15_14</t>
  </si>
  <si>
    <t>16:14:53</t>
  </si>
  <si>
    <t>20230831 16:17:04</t>
  </si>
  <si>
    <t>16:17:04</t>
  </si>
  <si>
    <t>MPF-7922-20230831-16_16_49</t>
  </si>
  <si>
    <t>DARK-7923-20230831-16_16_57</t>
  </si>
  <si>
    <t>16:16:34</t>
  </si>
  <si>
    <t>20230831 16:18:44</t>
  </si>
  <si>
    <t>16:18:44</t>
  </si>
  <si>
    <t>MPF-7924-20230831-16_18_29</t>
  </si>
  <si>
    <t>DARK-7925-20230831-16_18_36</t>
  </si>
  <si>
    <t>16:18:13</t>
  </si>
  <si>
    <t>20230831 16:21:53</t>
  </si>
  <si>
    <t>16:21:53</t>
  </si>
  <si>
    <t>MPF-7926-20230831-16_21_38</t>
  </si>
  <si>
    <t>DARK-7927-20230831-16_21_46</t>
  </si>
  <si>
    <t>16:19:55</t>
  </si>
  <si>
    <t>20230831 16:24:56</t>
  </si>
  <si>
    <t>16:24:56</t>
  </si>
  <si>
    <t>MPF-7928-20230831-16_24_41</t>
  </si>
  <si>
    <t>DARK-7929-20230831-16_24_48</t>
  </si>
  <si>
    <t>16:22:59</t>
  </si>
  <si>
    <t>20230831 16:26:35</t>
  </si>
  <si>
    <t>16:26:35</t>
  </si>
  <si>
    <t>MPF-7930-20230831-16_26_20</t>
  </si>
  <si>
    <t>DARK-7931-20230831-16_26_28</t>
  </si>
  <si>
    <t>16:26:04</t>
  </si>
  <si>
    <t>20230831 16:28:35</t>
  </si>
  <si>
    <t>16:28:35</t>
  </si>
  <si>
    <t>MPF-7932-20230831-16_28_20</t>
  </si>
  <si>
    <t>DARK-7933-20230831-16_28_27</t>
  </si>
  <si>
    <t>16:28:07</t>
  </si>
  <si>
    <t>20230831 16:30:14</t>
  </si>
  <si>
    <t>16:30:14</t>
  </si>
  <si>
    <t>MPF-7934-20230831-16_29_59</t>
  </si>
  <si>
    <t>DARK-7935-20230831-16_30_07</t>
  </si>
  <si>
    <t>16:29:40</t>
  </si>
  <si>
    <t>20230831 16:32:00</t>
  </si>
  <si>
    <t>16:32:00</t>
  </si>
  <si>
    <t>MPF-7936-20230831-16_31_45</t>
  </si>
  <si>
    <t>DARK-7937-20230831-16_31_53</t>
  </si>
  <si>
    <t>16:31:26</t>
  </si>
  <si>
    <t>20230831 16:33:48</t>
  </si>
  <si>
    <t>16:33:48</t>
  </si>
  <si>
    <t>MPF-7938-20230831-16_33_33</t>
  </si>
  <si>
    <t>DARK-7939-20230831-16_33_41</t>
  </si>
  <si>
    <t>16:33:10</t>
  </si>
  <si>
    <t>20230831 17:04:42</t>
  </si>
  <si>
    <t>17:04:42</t>
  </si>
  <si>
    <t>MPF-7940-20230831-17_04_27</t>
  </si>
  <si>
    <t>DARK-7941-20230831-17_04_35</t>
  </si>
  <si>
    <t>17:04:11</t>
  </si>
  <si>
    <t>20230831 17:06:25</t>
  </si>
  <si>
    <t>17:06:25</t>
  </si>
  <si>
    <t>MPF-7942-20230831-17_06_10</t>
  </si>
  <si>
    <t>DARK-7943-20230831-17_06_17</t>
  </si>
  <si>
    <t>17:05:47</t>
  </si>
  <si>
    <t>20230831 17:08:51</t>
  </si>
  <si>
    <t>17:08:51</t>
  </si>
  <si>
    <t>MPF-7944-20230831-17_08_36</t>
  </si>
  <si>
    <t>DARK-7945-20230831-17_08_43</t>
  </si>
  <si>
    <t>17:07:35</t>
  </si>
  <si>
    <t>20230831 17:10:39</t>
  </si>
  <si>
    <t>17:10:39</t>
  </si>
  <si>
    <t>MPF-7946-20230831-17_10_24</t>
  </si>
  <si>
    <t>DARK-7947-20230831-17_10_31</t>
  </si>
  <si>
    <t>17:10:03</t>
  </si>
  <si>
    <t>20230831 17:12:27</t>
  </si>
  <si>
    <t>17:12:27</t>
  </si>
  <si>
    <t>MPF-7948-20230831-17_12_12</t>
  </si>
  <si>
    <t>DARK-7949-20230831-17_12_20</t>
  </si>
  <si>
    <t>17:11:54</t>
  </si>
  <si>
    <t>20230831 17:14:11</t>
  </si>
  <si>
    <t>17:14:11</t>
  </si>
  <si>
    <t>MPF-7950-20230831-17_13_56</t>
  </si>
  <si>
    <t>DARK-7951-20230831-17_14_04</t>
  </si>
  <si>
    <t>17:13:38</t>
  </si>
  <si>
    <t>20230831 17:16:09</t>
  </si>
  <si>
    <t>17:16:09</t>
  </si>
  <si>
    <t>MPF-7952-20230831-17_15_54</t>
  </si>
  <si>
    <t>DARK-7953-20230831-17_16_01</t>
  </si>
  <si>
    <t>17:15:34</t>
  </si>
  <si>
    <t>20230831 17:19:05</t>
  </si>
  <si>
    <t>17:19:05</t>
  </si>
  <si>
    <t>MPF-7954-20230831-17_18_50</t>
  </si>
  <si>
    <t>DARK-7955-20230831-17_18_58</t>
  </si>
  <si>
    <t>17:17:20</t>
  </si>
  <si>
    <t>20230831 17:22:12</t>
  </si>
  <si>
    <t>17:22:12</t>
  </si>
  <si>
    <t>MPF-7956-20230831-17_21_57</t>
  </si>
  <si>
    <t>DARK-7957-20230831-17_22_04</t>
  </si>
  <si>
    <t>17:20:17</t>
  </si>
  <si>
    <t>20230831 17:23:51</t>
  </si>
  <si>
    <t>17:23:51</t>
  </si>
  <si>
    <t>MPF-7958-20230831-17_23_36</t>
  </si>
  <si>
    <t>DARK-7959-20230831-17_23_44</t>
  </si>
  <si>
    <t>17:23:22</t>
  </si>
  <si>
    <t>20230831 17:25:34</t>
  </si>
  <si>
    <t>17:25:34</t>
  </si>
  <si>
    <t>MPF-7960-20230831-17_25_19</t>
  </si>
  <si>
    <t>DARK-7961-20230831-17_25_27</t>
  </si>
  <si>
    <t>17:25:07</t>
  </si>
  <si>
    <t>20230831 17:27:14</t>
  </si>
  <si>
    <t>17:27:14</t>
  </si>
  <si>
    <t>MPF-7962-20230831-17_26_59</t>
  </si>
  <si>
    <t>DARK-7963-20230831-17_27_06</t>
  </si>
  <si>
    <t>17:26:38</t>
  </si>
  <si>
    <t>20230831 17:28:53</t>
  </si>
  <si>
    <t>17:28:53</t>
  </si>
  <si>
    <t>MPF-7964-20230831-17_28_38</t>
  </si>
  <si>
    <t>DARK-7965-20230831-17_28_46</t>
  </si>
  <si>
    <t>17:28:22</t>
  </si>
  <si>
    <t>20230831 17:30:33</t>
  </si>
  <si>
    <t>17:30:33</t>
  </si>
  <si>
    <t>MPF-7966-20230831-17_30_18</t>
  </si>
  <si>
    <t>DARK-7967-20230831-17_30_25</t>
  </si>
  <si>
    <t>17:31:05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</si>
</sst>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U128"/>
  <sheetViews>
    <sheetView tabSelected="1" topLeftCell="A30" workbookViewId="0">
      <selection activeCell="I59" sqref="I59"/>
    </sheetView>
  </sheetViews>
  <sheetFormatPr defaultRowHeight="15" x14ac:dyDescent="0.25"/>
  <sheetData>
    <row r="2" spans="1:281" x14ac:dyDescent="0.25">
      <c r="A2" t="s">
        <v>29</v>
      </c>
      <c r="B2" t="s">
        <v>30</v>
      </c>
      <c r="C2" t="s">
        <v>32</v>
      </c>
    </row>
    <row r="3" spans="1:281" x14ac:dyDescent="0.25">
      <c r="B3" t="s">
        <v>31</v>
      </c>
      <c r="C3">
        <v>21</v>
      </c>
    </row>
    <row r="4" spans="1:281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1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1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1" x14ac:dyDescent="0.25">
      <c r="B7">
        <v>0</v>
      </c>
      <c r="C7">
        <v>1</v>
      </c>
      <c r="D7">
        <v>0</v>
      </c>
      <c r="E7">
        <v>0</v>
      </c>
    </row>
    <row r="8" spans="1:281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1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1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1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1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1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1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86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87</v>
      </c>
      <c r="AH14" t="s">
        <v>88</v>
      </c>
      <c r="AI14" t="s">
        <v>88</v>
      </c>
      <c r="AJ14" t="s">
        <v>88</v>
      </c>
      <c r="AK14" t="s">
        <v>88</v>
      </c>
      <c r="AL14" t="s">
        <v>88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90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91</v>
      </c>
      <c r="CW14" t="s">
        <v>92</v>
      </c>
      <c r="CX14" t="s">
        <v>92</v>
      </c>
      <c r="CY14" t="s">
        <v>92</v>
      </c>
      <c r="CZ14" t="s">
        <v>92</v>
      </c>
      <c r="DA14" t="s">
        <v>93</v>
      </c>
      <c r="DB14" t="s">
        <v>93</v>
      </c>
      <c r="DC14" t="s">
        <v>93</v>
      </c>
      <c r="DD14" t="s">
        <v>93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94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95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96</v>
      </c>
      <c r="EY14" t="s">
        <v>97</v>
      </c>
      <c r="EZ14" t="s">
        <v>97</v>
      </c>
      <c r="FA14" t="s">
        <v>97</v>
      </c>
      <c r="FB14" t="s">
        <v>97</v>
      </c>
      <c r="FC14" t="s">
        <v>97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98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99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100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101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102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103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104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  <c r="JU14" t="s">
        <v>105</v>
      </c>
    </row>
    <row r="15" spans="1:281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138</v>
      </c>
      <c r="AH15" t="s">
        <v>88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191</v>
      </c>
      <c r="CJ15" t="s">
        <v>171</v>
      </c>
      <c r="CK15" t="s">
        <v>192</v>
      </c>
      <c r="CL15" t="s">
        <v>193</v>
      </c>
      <c r="CM15" t="s">
        <v>194</v>
      </c>
      <c r="CN15" t="s">
        <v>145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210</v>
      </c>
      <c r="DE15" t="s">
        <v>115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260</v>
      </c>
      <c r="FD15" t="s">
        <v>107</v>
      </c>
      <c r="FE15" t="s">
        <v>110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  <c r="JU15" t="s">
        <v>380</v>
      </c>
    </row>
    <row r="16" spans="1:281" x14ac:dyDescent="0.25">
      <c r="B16" t="s">
        <v>381</v>
      </c>
      <c r="C16" t="s">
        <v>381</v>
      </c>
      <c r="F16" t="s">
        <v>381</v>
      </c>
      <c r="J16" t="s">
        <v>381</v>
      </c>
      <c r="K16" t="s">
        <v>382</v>
      </c>
      <c r="L16" t="s">
        <v>383</v>
      </c>
      <c r="M16" t="s">
        <v>384</v>
      </c>
      <c r="N16" t="s">
        <v>385</v>
      </c>
      <c r="O16" t="s">
        <v>385</v>
      </c>
      <c r="P16" t="s">
        <v>218</v>
      </c>
      <c r="Q16" t="s">
        <v>218</v>
      </c>
      <c r="R16" t="s">
        <v>382</v>
      </c>
      <c r="S16" t="s">
        <v>382</v>
      </c>
      <c r="T16" t="s">
        <v>382</v>
      </c>
      <c r="U16" t="s">
        <v>382</v>
      </c>
      <c r="V16" t="s">
        <v>386</v>
      </c>
      <c r="W16" t="s">
        <v>387</v>
      </c>
      <c r="X16" t="s">
        <v>387</v>
      </c>
      <c r="Y16" t="s">
        <v>388</v>
      </c>
      <c r="Z16" t="s">
        <v>389</v>
      </c>
      <c r="AA16" t="s">
        <v>388</v>
      </c>
      <c r="AB16" t="s">
        <v>388</v>
      </c>
      <c r="AC16" t="s">
        <v>388</v>
      </c>
      <c r="AD16" t="s">
        <v>386</v>
      </c>
      <c r="AE16" t="s">
        <v>386</v>
      </c>
      <c r="AF16" t="s">
        <v>386</v>
      </c>
      <c r="AG16" t="s">
        <v>386</v>
      </c>
      <c r="AH16" t="s">
        <v>390</v>
      </c>
      <c r="AI16" t="s">
        <v>389</v>
      </c>
      <c r="AK16" t="s">
        <v>389</v>
      </c>
      <c r="AL16" t="s">
        <v>390</v>
      </c>
      <c r="AR16" t="s">
        <v>384</v>
      </c>
      <c r="AY16" t="s">
        <v>384</v>
      </c>
      <c r="AZ16" t="s">
        <v>384</v>
      </c>
      <c r="BA16" t="s">
        <v>384</v>
      </c>
      <c r="BB16" t="s">
        <v>391</v>
      </c>
      <c r="BP16" t="s">
        <v>392</v>
      </c>
      <c r="BR16" t="s">
        <v>392</v>
      </c>
      <c r="BS16" t="s">
        <v>384</v>
      </c>
      <c r="BV16" t="s">
        <v>392</v>
      </c>
      <c r="BW16" t="s">
        <v>389</v>
      </c>
      <c r="BZ16" t="s">
        <v>393</v>
      </c>
      <c r="CA16" t="s">
        <v>393</v>
      </c>
      <c r="CC16" t="s">
        <v>394</v>
      </c>
      <c r="CD16" t="s">
        <v>392</v>
      </c>
      <c r="CF16" t="s">
        <v>392</v>
      </c>
      <c r="CG16" t="s">
        <v>384</v>
      </c>
      <c r="CK16" t="s">
        <v>392</v>
      </c>
      <c r="CM16" t="s">
        <v>395</v>
      </c>
      <c r="CP16" t="s">
        <v>392</v>
      </c>
      <c r="CQ16" t="s">
        <v>392</v>
      </c>
      <c r="CS16" t="s">
        <v>392</v>
      </c>
      <c r="CU16" t="s">
        <v>392</v>
      </c>
      <c r="CW16" t="s">
        <v>384</v>
      </c>
      <c r="CX16" t="s">
        <v>384</v>
      </c>
      <c r="CZ16" t="s">
        <v>396</v>
      </c>
      <c r="DA16" t="s">
        <v>397</v>
      </c>
      <c r="DD16" t="s">
        <v>382</v>
      </c>
      <c r="DE16" t="s">
        <v>381</v>
      </c>
      <c r="DF16" t="s">
        <v>385</v>
      </c>
      <c r="DG16" t="s">
        <v>385</v>
      </c>
      <c r="DH16" t="s">
        <v>398</v>
      </c>
      <c r="DI16" t="s">
        <v>398</v>
      </c>
      <c r="DJ16" t="s">
        <v>385</v>
      </c>
      <c r="DK16" t="s">
        <v>398</v>
      </c>
      <c r="DL16" t="s">
        <v>390</v>
      </c>
      <c r="DM16" t="s">
        <v>388</v>
      </c>
      <c r="DN16" t="s">
        <v>388</v>
      </c>
      <c r="DO16" t="s">
        <v>387</v>
      </c>
      <c r="DP16" t="s">
        <v>387</v>
      </c>
      <c r="DQ16" t="s">
        <v>387</v>
      </c>
      <c r="DR16" t="s">
        <v>387</v>
      </c>
      <c r="DS16" t="s">
        <v>387</v>
      </c>
      <c r="DT16" t="s">
        <v>399</v>
      </c>
      <c r="DU16" t="s">
        <v>384</v>
      </c>
      <c r="DV16" t="s">
        <v>384</v>
      </c>
      <c r="DW16" t="s">
        <v>385</v>
      </c>
      <c r="DX16" t="s">
        <v>385</v>
      </c>
      <c r="DY16" t="s">
        <v>385</v>
      </c>
      <c r="DZ16" t="s">
        <v>398</v>
      </c>
      <c r="EA16" t="s">
        <v>385</v>
      </c>
      <c r="EB16" t="s">
        <v>398</v>
      </c>
      <c r="EC16" t="s">
        <v>388</v>
      </c>
      <c r="ED16" t="s">
        <v>388</v>
      </c>
      <c r="EE16" t="s">
        <v>387</v>
      </c>
      <c r="EF16" t="s">
        <v>387</v>
      </c>
      <c r="EG16" t="s">
        <v>384</v>
      </c>
      <c r="EL16" t="s">
        <v>384</v>
      </c>
      <c r="EO16" t="s">
        <v>387</v>
      </c>
      <c r="EP16" t="s">
        <v>387</v>
      </c>
      <c r="EQ16" t="s">
        <v>387</v>
      </c>
      <c r="ER16" t="s">
        <v>387</v>
      </c>
      <c r="ES16" t="s">
        <v>387</v>
      </c>
      <c r="ET16" t="s">
        <v>384</v>
      </c>
      <c r="EU16" t="s">
        <v>384</v>
      </c>
      <c r="EV16" t="s">
        <v>384</v>
      </c>
      <c r="EW16" t="s">
        <v>381</v>
      </c>
      <c r="EZ16" t="s">
        <v>400</v>
      </c>
      <c r="FA16" t="s">
        <v>400</v>
      </c>
      <c r="FC16" t="s">
        <v>381</v>
      </c>
      <c r="FD16" t="s">
        <v>401</v>
      </c>
      <c r="FF16" t="s">
        <v>381</v>
      </c>
      <c r="FG16" t="s">
        <v>381</v>
      </c>
      <c r="FI16" t="s">
        <v>402</v>
      </c>
      <c r="FJ16" t="s">
        <v>403</v>
      </c>
      <c r="FK16" t="s">
        <v>402</v>
      </c>
      <c r="FL16" t="s">
        <v>403</v>
      </c>
      <c r="FM16" t="s">
        <v>402</v>
      </c>
      <c r="FN16" t="s">
        <v>403</v>
      </c>
      <c r="FO16" t="s">
        <v>389</v>
      </c>
      <c r="FP16" t="s">
        <v>389</v>
      </c>
      <c r="FQ16" t="s">
        <v>384</v>
      </c>
      <c r="FR16" t="s">
        <v>404</v>
      </c>
      <c r="FS16" t="s">
        <v>384</v>
      </c>
      <c r="FU16" t="s">
        <v>382</v>
      </c>
      <c r="FV16" t="s">
        <v>405</v>
      </c>
      <c r="FW16" t="s">
        <v>382</v>
      </c>
      <c r="GB16" t="s">
        <v>406</v>
      </c>
      <c r="GC16" t="s">
        <v>406</v>
      </c>
      <c r="GP16" t="s">
        <v>406</v>
      </c>
      <c r="GQ16" t="s">
        <v>406</v>
      </c>
      <c r="GR16" t="s">
        <v>407</v>
      </c>
      <c r="GS16" t="s">
        <v>407</v>
      </c>
      <c r="GT16" t="s">
        <v>387</v>
      </c>
      <c r="GU16" t="s">
        <v>387</v>
      </c>
      <c r="GV16" t="s">
        <v>389</v>
      </c>
      <c r="GW16" t="s">
        <v>387</v>
      </c>
      <c r="GX16" t="s">
        <v>398</v>
      </c>
      <c r="GY16" t="s">
        <v>389</v>
      </c>
      <c r="GZ16" t="s">
        <v>389</v>
      </c>
      <c r="HB16" t="s">
        <v>406</v>
      </c>
      <c r="HC16" t="s">
        <v>406</v>
      </c>
      <c r="HD16" t="s">
        <v>406</v>
      </c>
      <c r="HE16" t="s">
        <v>406</v>
      </c>
      <c r="HF16" t="s">
        <v>406</v>
      </c>
      <c r="HG16" t="s">
        <v>406</v>
      </c>
      <c r="HH16" t="s">
        <v>406</v>
      </c>
      <c r="HI16" t="s">
        <v>408</v>
      </c>
      <c r="HJ16" t="s">
        <v>408</v>
      </c>
      <c r="HK16" t="s">
        <v>408</v>
      </c>
      <c r="HL16" t="s">
        <v>409</v>
      </c>
      <c r="HM16" t="s">
        <v>406</v>
      </c>
      <c r="HN16" t="s">
        <v>406</v>
      </c>
      <c r="HO16" t="s">
        <v>406</v>
      </c>
      <c r="HP16" t="s">
        <v>406</v>
      </c>
      <c r="HQ16" t="s">
        <v>406</v>
      </c>
      <c r="HR16" t="s">
        <v>406</v>
      </c>
      <c r="HS16" t="s">
        <v>406</v>
      </c>
      <c r="HT16" t="s">
        <v>406</v>
      </c>
      <c r="HU16" t="s">
        <v>406</v>
      </c>
      <c r="HV16" t="s">
        <v>406</v>
      </c>
      <c r="HW16" t="s">
        <v>406</v>
      </c>
      <c r="HX16" t="s">
        <v>406</v>
      </c>
      <c r="IE16" t="s">
        <v>406</v>
      </c>
      <c r="IF16" t="s">
        <v>389</v>
      </c>
      <c r="IG16" t="s">
        <v>389</v>
      </c>
      <c r="IH16" t="s">
        <v>402</v>
      </c>
      <c r="II16" t="s">
        <v>403</v>
      </c>
      <c r="IJ16" t="s">
        <v>403</v>
      </c>
      <c r="IN16" t="s">
        <v>403</v>
      </c>
      <c r="IR16" t="s">
        <v>385</v>
      </c>
      <c r="IS16" t="s">
        <v>385</v>
      </c>
      <c r="IT16" t="s">
        <v>398</v>
      </c>
      <c r="IU16" t="s">
        <v>398</v>
      </c>
      <c r="IV16" t="s">
        <v>410</v>
      </c>
      <c r="IW16" t="s">
        <v>410</v>
      </c>
      <c r="IX16" t="s">
        <v>406</v>
      </c>
      <c r="IY16" t="s">
        <v>406</v>
      </c>
      <c r="IZ16" t="s">
        <v>406</v>
      </c>
      <c r="JA16" t="s">
        <v>406</v>
      </c>
      <c r="JB16" t="s">
        <v>406</v>
      </c>
      <c r="JC16" t="s">
        <v>406</v>
      </c>
      <c r="JD16" t="s">
        <v>387</v>
      </c>
      <c r="JE16" t="s">
        <v>406</v>
      </c>
      <c r="JG16" t="s">
        <v>390</v>
      </c>
      <c r="JH16" t="s">
        <v>390</v>
      </c>
      <c r="JI16" t="s">
        <v>387</v>
      </c>
      <c r="JJ16" t="s">
        <v>387</v>
      </c>
      <c r="JK16" t="s">
        <v>387</v>
      </c>
      <c r="JL16" t="s">
        <v>387</v>
      </c>
      <c r="JM16" t="s">
        <v>387</v>
      </c>
      <c r="JN16" t="s">
        <v>389</v>
      </c>
      <c r="JO16" t="s">
        <v>389</v>
      </c>
      <c r="JP16" t="s">
        <v>389</v>
      </c>
      <c r="JQ16" t="s">
        <v>387</v>
      </c>
      <c r="JR16" t="s">
        <v>385</v>
      </c>
      <c r="JS16" t="s">
        <v>398</v>
      </c>
      <c r="JT16" t="s">
        <v>389</v>
      </c>
      <c r="JU16" t="s">
        <v>389</v>
      </c>
    </row>
    <row r="17" spans="1:281" x14ac:dyDescent="0.25">
      <c r="A17">
        <v>1</v>
      </c>
      <c r="B17">
        <v>1693495649.5999999</v>
      </c>
      <c r="C17">
        <v>0</v>
      </c>
      <c r="D17" t="s">
        <v>411</v>
      </c>
      <c r="E17" t="s">
        <v>412</v>
      </c>
      <c r="F17" t="s">
        <v>413</v>
      </c>
      <c r="G17" t="s">
        <v>414</v>
      </c>
      <c r="H17" t="s">
        <v>415</v>
      </c>
      <c r="I17" t="s">
        <v>416</v>
      </c>
      <c r="J17">
        <v>1693495649.5999999</v>
      </c>
      <c r="K17">
        <f t="shared" ref="K17:K48" si="0">(L17)/1000</f>
        <v>3.4825125229042573E-3</v>
      </c>
      <c r="L17">
        <f t="shared" ref="L17:L48" si="1">1000*DL17*AJ17*(DH17-DI17)/(100*DA17*(1000-AJ17*DH17))</f>
        <v>3.4825125229042575</v>
      </c>
      <c r="M17">
        <f t="shared" ref="M17:M48" si="2">DL17*AJ17*(DG17-DF17*(1000-AJ17*DI17)/(1000-AJ17*DH17))/(100*DA17)</f>
        <v>34.567984657562029</v>
      </c>
      <c r="N17">
        <f t="shared" ref="N17:N48" si="3">DF17 - IF(AJ17&gt;1, M17*DA17*100/(AL17*DT17), 0)</f>
        <v>356.94099999999997</v>
      </c>
      <c r="O17">
        <f t="shared" ref="O17:O48" si="4">((U17-K17/2)*N17-M17)/(U17+K17/2)</f>
        <v>126.11532757555506</v>
      </c>
      <c r="P17">
        <f t="shared" ref="P17:P48" si="5">O17*(DM17+DN17)/1000</f>
        <v>12.580766091032286</v>
      </c>
      <c r="Q17">
        <f t="shared" ref="Q17:Q48" si="6">(DF17 - IF(AJ17&gt;1, M17*DA17*100/(AL17*DT17), 0))*(DM17+DN17)/1000</f>
        <v>35.607021887239398</v>
      </c>
      <c r="R17">
        <f t="shared" ref="R17:R48" si="7">2/((1/T17-1/S17)+SIGN(T17)*SQRT((1/T17-1/S17)*(1/T17-1/S17) + 4*DB17/((DB17+1)*(DB17+1))*(2*1/T17*1/S17-1/S17*1/S17)))</f>
        <v>0.25560306528701249</v>
      </c>
      <c r="S17">
        <f t="shared" ref="S17:S48" si="8">IF(LEFT(DC17,1)&lt;&gt;"0",IF(LEFT(DC17,1)="1",3,DD17),$D$5+$E$5*(DT17*DM17/($K$5*1000))+$F$5*(DT17*DM17/($K$5*1000))*MAX(MIN(DA17,$J$5),$I$5)*MAX(MIN(DA17,$J$5),$I$5)+$G$5*MAX(MIN(DA17,$J$5),$I$5)*(DT17*DM17/($K$5*1000))+$H$5*(DT17*DM17/($K$5*1000))*(DT17*DM17/($K$5*1000)))</f>
        <v>2.9278939137689655</v>
      </c>
      <c r="T17">
        <f t="shared" ref="T17:T48" si="9">K17*(1000-(1000*0.61365*EXP(17.502*X17/(240.97+X17))/(DM17+DN17)+DH17)/2)/(1000*0.61365*EXP(17.502*X17/(240.97+X17))/(DM17+DN17)-DH17)</f>
        <v>0.24382196392941263</v>
      </c>
      <c r="U17">
        <f t="shared" ref="U17:U48" si="10">1/((DB17+1)/(R17/1.6)+1/(S17/1.37)) + DB17/((DB17+1)/(R17/1.6) + DB17/(S17/1.37))</f>
        <v>0.15340195542667523</v>
      </c>
      <c r="V17">
        <f t="shared" ref="V17:V48" si="11">(CW17*CZ17)</f>
        <v>344.38459864423771</v>
      </c>
      <c r="W17">
        <f t="shared" ref="W17:W48" si="12">(DO17+(V17+2*0.95*0.0000000567*(((DO17+$B$7)+273)^4-(DO17+273)^4)-44100*K17)/(1.84*29.3*S17+8*0.95*0.0000000567*(DO17+273)^3))</f>
        <v>31.463803181978172</v>
      </c>
      <c r="X17">
        <f t="shared" ref="X17:X48" si="13">($C$7*DP17+$D$7*DQ17+$E$7*W17)</f>
        <v>29.842400000000001</v>
      </c>
      <c r="Y17">
        <f t="shared" ref="Y17:Y48" si="14">0.61365*EXP(17.502*X17/(240.97+X17))</f>
        <v>4.2220342099539208</v>
      </c>
      <c r="Z17">
        <f t="shared" ref="Z17:Z48" si="15">(AA17/AB17*100)</f>
        <v>65.547162999777015</v>
      </c>
      <c r="AA17">
        <f t="shared" ref="AA17:AA48" si="16">DH17*(DM17+DN17)/1000</f>
        <v>2.84770584412678</v>
      </c>
      <c r="AB17">
        <f t="shared" ref="AB17:AB48" si="17">0.61365*EXP(17.502*DO17/(240.97+DO17))</f>
        <v>4.3445142608787934</v>
      </c>
      <c r="AC17">
        <f t="shared" ref="AC17:AC48" si="18">(Y17-DH17*(DM17+DN17)/1000)</f>
        <v>1.3743283658271408</v>
      </c>
      <c r="AD17">
        <f t="shared" ref="AD17:AD48" si="19">(-K17*44100)</f>
        <v>-153.57880226007774</v>
      </c>
      <c r="AE17">
        <f t="shared" ref="AE17:AE48" si="20">2*29.3*S17*0.92*(DO17-X17)</f>
        <v>78.640180829533378</v>
      </c>
      <c r="AF17">
        <f t="shared" ref="AF17:AF48" si="21">2*0.95*0.0000000567*(((DO17+$B$7)+273)^4-(X17+273)^4)</f>
        <v>5.9775324005112029</v>
      </c>
      <c r="AG17">
        <f t="shared" ref="AG17:AG48" si="22">V17+AF17+AD17+AE17</f>
        <v>275.42350961420459</v>
      </c>
      <c r="AH17">
        <v>1</v>
      </c>
      <c r="AI17">
        <v>0</v>
      </c>
      <c r="AJ17">
        <f t="shared" ref="AJ17:AJ48" si="23">IF(AH17*$H$13&gt;=AL17,1,(AL17/(AL17-AH17*$H$13)))</f>
        <v>1</v>
      </c>
      <c r="AK17">
        <f t="shared" ref="AK17:AK48" si="24">(AJ17-1)*100</f>
        <v>0</v>
      </c>
      <c r="AL17">
        <f t="shared" ref="AL17:AL48" si="25">MAX(0,($B$13+$C$13*DT17)/(1+$D$13*DT17)*DM17/(DO17+273)*$E$13)</f>
        <v>52240.135235990689</v>
      </c>
      <c r="AM17" t="s">
        <v>417</v>
      </c>
      <c r="AN17">
        <v>10366.9</v>
      </c>
      <c r="AO17">
        <v>993.59653846153856</v>
      </c>
      <c r="AP17">
        <v>3431.87</v>
      </c>
      <c r="AQ17">
        <f t="shared" ref="AQ17:AQ48" si="26">1-AO17/AP17</f>
        <v>0.71047955241266758</v>
      </c>
      <c r="AR17">
        <v>-3.9894345373445681</v>
      </c>
      <c r="AS17" t="s">
        <v>418</v>
      </c>
      <c r="AT17">
        <v>10464.799999999999</v>
      </c>
      <c r="AU17">
        <v>736.03623999999991</v>
      </c>
      <c r="AV17">
        <v>1002.006668323928</v>
      </c>
      <c r="AW17">
        <f t="shared" ref="AW17:AW48" si="27">1-AU17/AV17</f>
        <v>0.2654377827333434</v>
      </c>
      <c r="AX17">
        <v>0.5</v>
      </c>
      <c r="AY17">
        <f t="shared" ref="AY17:AY48" si="28">CX17</f>
        <v>1513.2518993221188</v>
      </c>
      <c r="AZ17">
        <f t="shared" ref="AZ17:AZ48" si="29">M17</f>
        <v>34.567984657562029</v>
      </c>
      <c r="BA17">
        <f t="shared" ref="BA17:BA48" si="30">AW17*AX17*AY17</f>
        <v>200.8371144365419</v>
      </c>
      <c r="BB17">
        <f t="shared" ref="BB17:BB48" si="31">(AZ17-AR17)/AY17</f>
        <v>2.5479841929938372E-2</v>
      </c>
      <c r="BC17">
        <f t="shared" ref="BC17:BC48" si="32">(AP17-AV17)/AV17</f>
        <v>2.4249971666760879</v>
      </c>
      <c r="BD17">
        <f t="shared" ref="BD17:BD48" si="33">AO17/(AQ17+AO17/AV17)</f>
        <v>583.7521627651596</v>
      </c>
      <c r="BE17" t="s">
        <v>419</v>
      </c>
      <c r="BF17">
        <v>604.95000000000005</v>
      </c>
      <c r="BG17">
        <f t="shared" ref="BG17:BG48" si="34">IF(BF17&lt;&gt;0, BF17, BD17)</f>
        <v>604.95000000000005</v>
      </c>
      <c r="BH17">
        <f t="shared" ref="BH17:BH48" si="35">1-BG17/AV17</f>
        <v>0.3962615029180302</v>
      </c>
      <c r="BI17">
        <f t="shared" ref="BI17:BI48" si="36">(AV17-AU17)/(AV17-BG17)</f>
        <v>0.66985508503522551</v>
      </c>
      <c r="BJ17">
        <f t="shared" ref="BJ17:BJ48" si="37">(AP17-AV17)/(AP17-BG17)</f>
        <v>0.85954442703581002</v>
      </c>
      <c r="BK17">
        <f t="shared" ref="BK17:BK48" si="38">(AV17-AU17)/(AV17-AO17)</f>
        <v>31.625008492836947</v>
      </c>
      <c r="BL17">
        <f t="shared" ref="BL17:BL48" si="39">(AP17-AV17)/(AP17-AO17)</f>
        <v>0.99655078480939419</v>
      </c>
      <c r="BM17">
        <f t="shared" ref="BM17:BM48" si="40">(BI17*BG17/AU17)</f>
        <v>0.55055554559658604</v>
      </c>
      <c r="BN17">
        <f t="shared" ref="BN17:BN48" si="41">(1-BM17)</f>
        <v>0.44944445440341396</v>
      </c>
      <c r="BO17">
        <v>7744</v>
      </c>
      <c r="BP17">
        <v>290.00000000000011</v>
      </c>
      <c r="BQ17">
        <v>922.92</v>
      </c>
      <c r="BR17">
        <v>165</v>
      </c>
      <c r="BS17">
        <v>10464.799999999999</v>
      </c>
      <c r="BT17">
        <v>922.49</v>
      </c>
      <c r="BU17">
        <v>0.43</v>
      </c>
      <c r="BV17">
        <v>300.00000000000011</v>
      </c>
      <c r="BW17">
        <v>38.200000000000003</v>
      </c>
      <c r="BX17">
        <v>1002.006668323928</v>
      </c>
      <c r="BY17">
        <v>1.018708623013433</v>
      </c>
      <c r="BZ17">
        <v>-83.211248591071197</v>
      </c>
      <c r="CA17">
        <v>0.8726942621770899</v>
      </c>
      <c r="CB17">
        <v>0.99692968648939284</v>
      </c>
      <c r="CC17">
        <v>-1.1362460066740829E-2</v>
      </c>
      <c r="CD17">
        <v>289.99999999999989</v>
      </c>
      <c r="CE17">
        <v>912.06</v>
      </c>
      <c r="CF17">
        <v>665</v>
      </c>
      <c r="CG17">
        <v>10442.4</v>
      </c>
      <c r="CH17">
        <v>922.32</v>
      </c>
      <c r="CI17">
        <v>-10.26</v>
      </c>
      <c r="CW17">
        <f t="shared" ref="CW17:CW48" si="42">$B$11*DU17+$C$11*DV17+$F$11*EG17*(1-EJ17)</f>
        <v>1800.08</v>
      </c>
      <c r="CX17">
        <f t="shared" ref="CX17:CX48" si="43">CW17*CY17</f>
        <v>1513.2518993221188</v>
      </c>
      <c r="CY17">
        <f t="shared" ref="CY17:CY48" si="44">($B$11*$D$9+$C$11*$D$9+$F$11*((ET17+EL17)/MAX(ET17+EL17+EU17, 0.1)*$I$9+EU17/MAX(ET17+EL17+EU17, 0.1)*$J$9))/($B$11+$C$11+$F$11)</f>
        <v>0.84065813703953096</v>
      </c>
      <c r="CZ17">
        <f t="shared" ref="CZ17:CZ48" si="45">($B$11*$K$9+$C$11*$K$9+$F$11*((ET17+EL17)/MAX(ET17+EL17+EU17, 0.1)*$P$9+EU17/MAX(ET17+EL17+EU17, 0.1)*$Q$9))/($B$11+$C$11+$F$11)</f>
        <v>0.19131627407906188</v>
      </c>
      <c r="DA17">
        <v>6</v>
      </c>
      <c r="DB17">
        <v>0.5</v>
      </c>
      <c r="DC17" t="s">
        <v>420</v>
      </c>
      <c r="DD17">
        <v>2</v>
      </c>
      <c r="DE17">
        <v>1693495649.5999999</v>
      </c>
      <c r="DF17">
        <v>356.94099999999997</v>
      </c>
      <c r="DG17">
        <v>399.89499999999998</v>
      </c>
      <c r="DH17">
        <v>28.546700000000001</v>
      </c>
      <c r="DI17">
        <v>24.488800000000001</v>
      </c>
      <c r="DJ17">
        <v>356.00299999999999</v>
      </c>
      <c r="DK17">
        <v>28.2455</v>
      </c>
      <c r="DL17">
        <v>500.22399999999999</v>
      </c>
      <c r="DM17">
        <v>99.656499999999994</v>
      </c>
      <c r="DN17">
        <v>9.9543400000000004E-2</v>
      </c>
      <c r="DO17">
        <v>30.340599999999998</v>
      </c>
      <c r="DP17">
        <v>29.842400000000001</v>
      </c>
      <c r="DQ17">
        <v>999.9</v>
      </c>
      <c r="DR17">
        <v>0</v>
      </c>
      <c r="DS17">
        <v>0</v>
      </c>
      <c r="DT17">
        <v>10025</v>
      </c>
      <c r="DU17">
        <v>0</v>
      </c>
      <c r="DV17">
        <v>661.68799999999999</v>
      </c>
      <c r="DW17">
        <v>-42.954700000000003</v>
      </c>
      <c r="DX17">
        <v>367.42899999999997</v>
      </c>
      <c r="DY17">
        <v>409.93400000000003</v>
      </c>
      <c r="DZ17">
        <v>4.0578500000000002</v>
      </c>
      <c r="EA17">
        <v>399.89499999999998</v>
      </c>
      <c r="EB17">
        <v>24.488800000000001</v>
      </c>
      <c r="EC17">
        <v>2.8448600000000002</v>
      </c>
      <c r="ED17">
        <v>2.4404699999999999</v>
      </c>
      <c r="EE17">
        <v>23.146699999999999</v>
      </c>
      <c r="EF17">
        <v>20.634899999999998</v>
      </c>
      <c r="EG17">
        <v>1800.08</v>
      </c>
      <c r="EH17">
        <v>0.97800299999999996</v>
      </c>
      <c r="EI17">
        <v>2.1996499999999999E-2</v>
      </c>
      <c r="EJ17">
        <v>0</v>
      </c>
      <c r="EK17">
        <v>735.98599999999999</v>
      </c>
      <c r="EL17">
        <v>5.0010300000000001</v>
      </c>
      <c r="EM17">
        <v>13308.5</v>
      </c>
      <c r="EN17">
        <v>14701.8</v>
      </c>
      <c r="EO17">
        <v>45.375</v>
      </c>
      <c r="EP17">
        <v>46.811999999999998</v>
      </c>
      <c r="EQ17">
        <v>46.625</v>
      </c>
      <c r="ER17">
        <v>46.25</v>
      </c>
      <c r="ES17">
        <v>47.25</v>
      </c>
      <c r="ET17">
        <v>1755.59</v>
      </c>
      <c r="EU17">
        <v>39.49</v>
      </c>
      <c r="EV17">
        <v>0</v>
      </c>
      <c r="EW17">
        <v>1693495647.0999999</v>
      </c>
      <c r="EX17">
        <v>0</v>
      </c>
      <c r="EY17">
        <v>736.03623999999991</v>
      </c>
      <c r="EZ17">
        <v>0.17923077663991599</v>
      </c>
      <c r="FA17">
        <v>1859.553852244379</v>
      </c>
      <c r="FB17">
        <v>13456.528</v>
      </c>
      <c r="FC17">
        <v>15</v>
      </c>
      <c r="FD17">
        <v>1693495616.5999999</v>
      </c>
      <c r="FE17" t="s">
        <v>421</v>
      </c>
      <c r="FF17">
        <v>1693495608.5999999</v>
      </c>
      <c r="FG17">
        <v>1693495616.5999999</v>
      </c>
      <c r="FH17">
        <v>4</v>
      </c>
      <c r="FI17">
        <v>-0.48</v>
      </c>
      <c r="FJ17">
        <v>-0.01</v>
      </c>
      <c r="FK17">
        <v>0.97299999999999998</v>
      </c>
      <c r="FL17">
        <v>0.20599999999999999</v>
      </c>
      <c r="FM17">
        <v>400</v>
      </c>
      <c r="FN17">
        <v>25</v>
      </c>
      <c r="FO17">
        <v>0.17</v>
      </c>
      <c r="FP17">
        <v>0.05</v>
      </c>
      <c r="FQ17">
        <v>34.689090953252339</v>
      </c>
      <c r="FR17">
        <v>-0.62268905530770169</v>
      </c>
      <c r="FS17">
        <v>7.6963173773560767E-2</v>
      </c>
      <c r="FT17">
        <v>1</v>
      </c>
      <c r="FU17">
        <v>0.25958251902388729</v>
      </c>
      <c r="FV17">
        <v>5.1044544483279811E-3</v>
      </c>
      <c r="FW17">
        <v>2.7211155700500038E-3</v>
      </c>
      <c r="FX17">
        <v>1</v>
      </c>
      <c r="FY17">
        <v>2</v>
      </c>
      <c r="FZ17">
        <v>2</v>
      </c>
      <c r="GA17" t="s">
        <v>422</v>
      </c>
      <c r="GB17">
        <v>2.9109600000000002</v>
      </c>
      <c r="GC17">
        <v>2.8177599999999998</v>
      </c>
      <c r="GD17">
        <v>8.4152699999999997E-2</v>
      </c>
      <c r="GE17">
        <v>9.2094999999999996E-2</v>
      </c>
      <c r="GF17">
        <v>0.136045</v>
      </c>
      <c r="GG17">
        <v>0.122404</v>
      </c>
      <c r="GH17">
        <v>25614.5</v>
      </c>
      <c r="GI17">
        <v>25460.400000000001</v>
      </c>
      <c r="GJ17">
        <v>24803.7</v>
      </c>
      <c r="GK17">
        <v>25025.3</v>
      </c>
      <c r="GL17">
        <v>28438.5</v>
      </c>
      <c r="GM17">
        <v>28720.7</v>
      </c>
      <c r="GN17">
        <v>33541.4</v>
      </c>
      <c r="GO17">
        <v>33447.300000000003</v>
      </c>
      <c r="GP17">
        <v>2.02</v>
      </c>
      <c r="GQ17">
        <v>1.9177999999999999</v>
      </c>
      <c r="GR17">
        <v>0.13752300000000001</v>
      </c>
      <c r="GS17">
        <v>0</v>
      </c>
      <c r="GT17">
        <v>27.599699999999999</v>
      </c>
      <c r="GU17">
        <v>999.9</v>
      </c>
      <c r="GV17">
        <v>51.9</v>
      </c>
      <c r="GW17">
        <v>36.200000000000003</v>
      </c>
      <c r="GX17">
        <v>31.427299999999999</v>
      </c>
      <c r="GY17">
        <v>61.745800000000003</v>
      </c>
      <c r="GZ17">
        <v>27.584099999999999</v>
      </c>
      <c r="HA17">
        <v>1</v>
      </c>
      <c r="HB17">
        <v>5.7947199999999997E-2</v>
      </c>
      <c r="HC17">
        <v>-1.7999499999999999</v>
      </c>
      <c r="HD17">
        <v>20.1557</v>
      </c>
      <c r="HE17">
        <v>5.2286700000000002</v>
      </c>
      <c r="HF17">
        <v>11.9147</v>
      </c>
      <c r="HG17">
        <v>4.9606000000000003</v>
      </c>
      <c r="HH17">
        <v>3.2875999999999999</v>
      </c>
      <c r="HI17">
        <v>9999</v>
      </c>
      <c r="HJ17">
        <v>9999</v>
      </c>
      <c r="HK17">
        <v>9999</v>
      </c>
      <c r="HL17">
        <v>891.4</v>
      </c>
      <c r="HM17">
        <v>1.8809499999999999</v>
      </c>
      <c r="HN17">
        <v>1.87805</v>
      </c>
      <c r="HO17">
        <v>1.8859900000000001</v>
      </c>
      <c r="HP17">
        <v>1.88385</v>
      </c>
      <c r="HQ17">
        <v>1.8813</v>
      </c>
      <c r="HR17">
        <v>1.8803399999999999</v>
      </c>
      <c r="HS17">
        <v>1.88148</v>
      </c>
      <c r="HT17">
        <v>1.8809499999999999</v>
      </c>
      <c r="HU17">
        <v>5</v>
      </c>
      <c r="HV17">
        <v>0</v>
      </c>
      <c r="HW17">
        <v>0</v>
      </c>
      <c r="HX17">
        <v>0</v>
      </c>
      <c r="HY17" t="s">
        <v>423</v>
      </c>
      <c r="HZ17" t="s">
        <v>424</v>
      </c>
      <c r="IA17" t="s">
        <v>425</v>
      </c>
      <c r="IB17" t="s">
        <v>425</v>
      </c>
      <c r="IC17" t="s">
        <v>425</v>
      </c>
      <c r="ID17" t="s">
        <v>425</v>
      </c>
      <c r="IE17">
        <v>0</v>
      </c>
      <c r="IF17">
        <v>100</v>
      </c>
      <c r="IG17">
        <v>100</v>
      </c>
      <c r="IH17">
        <v>0.93799999999999994</v>
      </c>
      <c r="II17">
        <v>0.30120000000000002</v>
      </c>
      <c r="IJ17">
        <v>0.40510397617644101</v>
      </c>
      <c r="IK17">
        <v>2.2153513873161218E-3</v>
      </c>
      <c r="IL17">
        <v>-2.2967369670569612E-6</v>
      </c>
      <c r="IM17">
        <v>7.7859689150384122E-10</v>
      </c>
      <c r="IN17">
        <v>-8.3740685416545765E-2</v>
      </c>
      <c r="IO17">
        <v>-4.1434251034592161E-3</v>
      </c>
      <c r="IP17">
        <v>8.3987709687394815E-4</v>
      </c>
      <c r="IQ17">
        <v>-7.4586254598011197E-6</v>
      </c>
      <c r="IR17">
        <v>2</v>
      </c>
      <c r="IS17">
        <v>1930</v>
      </c>
      <c r="IT17">
        <v>2</v>
      </c>
      <c r="IU17">
        <v>41</v>
      </c>
      <c r="IV17">
        <v>0.7</v>
      </c>
      <c r="IW17">
        <v>0.6</v>
      </c>
      <c r="IX17">
        <v>0.99365199999999998</v>
      </c>
      <c r="IY17">
        <v>2.51709</v>
      </c>
      <c r="IZ17">
        <v>1.24512</v>
      </c>
      <c r="JA17">
        <v>2.2644000000000002</v>
      </c>
      <c r="JB17">
        <v>1.4501999999999999</v>
      </c>
      <c r="JC17">
        <v>2.2399900000000001</v>
      </c>
      <c r="JD17">
        <v>41.874899999999997</v>
      </c>
      <c r="JE17">
        <v>24.1313</v>
      </c>
      <c r="JF17">
        <v>18</v>
      </c>
      <c r="JG17">
        <v>494.685</v>
      </c>
      <c r="JH17">
        <v>476.07900000000001</v>
      </c>
      <c r="JI17">
        <v>29.2376</v>
      </c>
      <c r="JJ17">
        <v>28.197700000000001</v>
      </c>
      <c r="JK17">
        <v>29.9999</v>
      </c>
      <c r="JL17">
        <v>27.988099999999999</v>
      </c>
      <c r="JM17">
        <v>27.922899999999998</v>
      </c>
      <c r="JN17">
        <v>19.994199999999999</v>
      </c>
      <c r="JO17">
        <v>28.8309</v>
      </c>
      <c r="JP17">
        <v>88.362899999999996</v>
      </c>
      <c r="JQ17">
        <v>29.318200000000001</v>
      </c>
      <c r="JR17">
        <v>400</v>
      </c>
      <c r="JS17">
        <v>24.302199999999999</v>
      </c>
      <c r="JT17">
        <v>100.11</v>
      </c>
      <c r="JU17">
        <v>99.7958</v>
      </c>
    </row>
    <row r="18" spans="1:281" x14ac:dyDescent="0.25">
      <c r="A18">
        <v>2</v>
      </c>
      <c r="B18">
        <v>1693495767.0999999</v>
      </c>
      <c r="C18">
        <v>117.5</v>
      </c>
      <c r="D18" t="s">
        <v>426</v>
      </c>
      <c r="E18" t="s">
        <v>427</v>
      </c>
      <c r="F18" t="s">
        <v>413</v>
      </c>
      <c r="G18" t="s">
        <v>414</v>
      </c>
      <c r="H18" t="s">
        <v>415</v>
      </c>
      <c r="I18" t="s">
        <v>416</v>
      </c>
      <c r="J18">
        <v>1693495767.0999999</v>
      </c>
      <c r="K18">
        <f t="shared" si="0"/>
        <v>3.5977894738630531E-3</v>
      </c>
      <c r="L18">
        <f t="shared" si="1"/>
        <v>3.5977894738630529</v>
      </c>
      <c r="M18">
        <f t="shared" si="2"/>
        <v>26.842318775899649</v>
      </c>
      <c r="N18">
        <f t="shared" si="3"/>
        <v>266.584</v>
      </c>
      <c r="O18">
        <f t="shared" si="4"/>
        <v>88.821943226305521</v>
      </c>
      <c r="P18">
        <f t="shared" si="5"/>
        <v>8.8601869097573704</v>
      </c>
      <c r="Q18">
        <f t="shared" si="6"/>
        <v>26.592348482319998</v>
      </c>
      <c r="R18">
        <f t="shared" si="7"/>
        <v>0.25772425052063552</v>
      </c>
      <c r="S18">
        <f t="shared" si="8"/>
        <v>2.9155387769456329</v>
      </c>
      <c r="T18">
        <f t="shared" si="9"/>
        <v>0.24570352973076151</v>
      </c>
      <c r="U18">
        <f t="shared" si="10"/>
        <v>0.15459798989404144</v>
      </c>
      <c r="V18">
        <f t="shared" si="11"/>
        <v>344.38269864423017</v>
      </c>
      <c r="W18">
        <f t="shared" si="12"/>
        <v>31.738837303552334</v>
      </c>
      <c r="X18">
        <f t="shared" si="13"/>
        <v>30.102</v>
      </c>
      <c r="Y18">
        <f t="shared" si="14"/>
        <v>4.2854746966181949</v>
      </c>
      <c r="Z18">
        <f t="shared" si="15"/>
        <v>65.096764136710789</v>
      </c>
      <c r="AA18">
        <f t="shared" si="16"/>
        <v>2.8772632973430001</v>
      </c>
      <c r="AB18">
        <f t="shared" si="17"/>
        <v>4.4199789889715744</v>
      </c>
      <c r="AC18">
        <f t="shared" si="18"/>
        <v>1.4082113992751948</v>
      </c>
      <c r="AD18">
        <f t="shared" si="19"/>
        <v>-158.66251579736064</v>
      </c>
      <c r="AE18">
        <f t="shared" si="20"/>
        <v>84.799973069782894</v>
      </c>
      <c r="AF18">
        <f t="shared" si="21"/>
        <v>6.4910335514067121</v>
      </c>
      <c r="AG18">
        <f t="shared" si="22"/>
        <v>277.01118946805911</v>
      </c>
      <c r="AH18">
        <v>1</v>
      </c>
      <c r="AI18">
        <v>0</v>
      </c>
      <c r="AJ18">
        <f t="shared" si="23"/>
        <v>1</v>
      </c>
      <c r="AK18">
        <f t="shared" si="24"/>
        <v>0</v>
      </c>
      <c r="AL18">
        <f t="shared" si="25"/>
        <v>51836.322657120152</v>
      </c>
      <c r="AM18" t="s">
        <v>417</v>
      </c>
      <c r="AN18">
        <v>10366.9</v>
      </c>
      <c r="AO18">
        <v>993.59653846153856</v>
      </c>
      <c r="AP18">
        <v>3431.87</v>
      </c>
      <c r="AQ18">
        <f t="shared" si="26"/>
        <v>0.71047955241266758</v>
      </c>
      <c r="AR18">
        <v>-3.9894345373445681</v>
      </c>
      <c r="AS18" t="s">
        <v>428</v>
      </c>
      <c r="AT18">
        <v>10450</v>
      </c>
      <c r="AU18">
        <v>696.44950000000006</v>
      </c>
      <c r="AV18">
        <v>901.96885735319881</v>
      </c>
      <c r="AW18">
        <f t="shared" si="27"/>
        <v>0.22785637849658058</v>
      </c>
      <c r="AX18">
        <v>0.5</v>
      </c>
      <c r="AY18">
        <f t="shared" si="28"/>
        <v>1513.2434993221148</v>
      </c>
      <c r="AZ18">
        <f t="shared" si="29"/>
        <v>26.842318775899649</v>
      </c>
      <c r="BA18">
        <f t="shared" si="30"/>
        <v>172.40109176951492</v>
      </c>
      <c r="BB18">
        <f t="shared" si="31"/>
        <v>2.0374614744458421E-2</v>
      </c>
      <c r="BC18">
        <f t="shared" si="32"/>
        <v>2.804865292212773</v>
      </c>
      <c r="BD18">
        <f t="shared" si="33"/>
        <v>548.32253243812374</v>
      </c>
      <c r="BE18" t="s">
        <v>429</v>
      </c>
      <c r="BF18">
        <v>585.66</v>
      </c>
      <c r="BG18">
        <f t="shared" si="34"/>
        <v>585.66</v>
      </c>
      <c r="BH18">
        <f t="shared" si="35"/>
        <v>0.35068711605121039</v>
      </c>
      <c r="BI18">
        <f t="shared" si="36"/>
        <v>0.64974265682263332</v>
      </c>
      <c r="BJ18">
        <f t="shared" si="37"/>
        <v>0.8888666481555475</v>
      </c>
      <c r="BK18">
        <f t="shared" si="38"/>
        <v>-2.2429832870068438</v>
      </c>
      <c r="BL18">
        <f t="shared" si="39"/>
        <v>1.0375789190809326</v>
      </c>
      <c r="BM18">
        <f t="shared" si="40"/>
        <v>0.54638316833416267</v>
      </c>
      <c r="BN18">
        <f t="shared" si="41"/>
        <v>0.45361683166583733</v>
      </c>
      <c r="BO18">
        <v>7746</v>
      </c>
      <c r="BP18">
        <v>290.00000000000011</v>
      </c>
      <c r="BQ18">
        <v>839.75</v>
      </c>
      <c r="BR18">
        <v>295</v>
      </c>
      <c r="BS18">
        <v>10450</v>
      </c>
      <c r="BT18">
        <v>839.68</v>
      </c>
      <c r="BU18">
        <v>7.0000000000000007E-2</v>
      </c>
      <c r="BV18">
        <v>300.00000000000011</v>
      </c>
      <c r="BW18">
        <v>38.200000000000003</v>
      </c>
      <c r="BX18">
        <v>901.96885735319881</v>
      </c>
      <c r="BY18">
        <v>0.97549637176829118</v>
      </c>
      <c r="BZ18">
        <v>-65.087800482428648</v>
      </c>
      <c r="CA18">
        <v>0.83562598276700328</v>
      </c>
      <c r="CB18">
        <v>0.99540608450716017</v>
      </c>
      <c r="CC18">
        <v>-1.136164827586208E-2</v>
      </c>
      <c r="CD18">
        <v>289.99999999999989</v>
      </c>
      <c r="CE18">
        <v>832.21</v>
      </c>
      <c r="CF18">
        <v>675</v>
      </c>
      <c r="CG18">
        <v>10440.9</v>
      </c>
      <c r="CH18">
        <v>839.63</v>
      </c>
      <c r="CI18">
        <v>-7.42</v>
      </c>
      <c r="CW18">
        <f t="shared" si="42"/>
        <v>1800.07</v>
      </c>
      <c r="CX18">
        <f t="shared" si="43"/>
        <v>1513.2434993221148</v>
      </c>
      <c r="CY18">
        <f t="shared" si="44"/>
        <v>0.84065814069570344</v>
      </c>
      <c r="CZ18">
        <f t="shared" si="45"/>
        <v>0.19131628139140711</v>
      </c>
      <c r="DA18">
        <v>6</v>
      </c>
      <c r="DB18">
        <v>0.5</v>
      </c>
      <c r="DC18" t="s">
        <v>420</v>
      </c>
      <c r="DD18">
        <v>2</v>
      </c>
      <c r="DE18">
        <v>1693495767.0999999</v>
      </c>
      <c r="DF18">
        <v>266.584</v>
      </c>
      <c r="DG18">
        <v>299.90499999999997</v>
      </c>
      <c r="DH18">
        <v>28.844100000000001</v>
      </c>
      <c r="DI18">
        <v>24.656400000000001</v>
      </c>
      <c r="DJ18">
        <v>265.738</v>
      </c>
      <c r="DK18">
        <v>28.534500000000001</v>
      </c>
      <c r="DL18">
        <v>500.61099999999999</v>
      </c>
      <c r="DM18">
        <v>99.651899999999998</v>
      </c>
      <c r="DN18">
        <v>0.10033</v>
      </c>
      <c r="DO18">
        <v>30.641500000000001</v>
      </c>
      <c r="DP18">
        <v>30.102</v>
      </c>
      <c r="DQ18">
        <v>999.9</v>
      </c>
      <c r="DR18">
        <v>0</v>
      </c>
      <c r="DS18">
        <v>0</v>
      </c>
      <c r="DT18">
        <v>9955</v>
      </c>
      <c r="DU18">
        <v>0</v>
      </c>
      <c r="DV18">
        <v>1536.82</v>
      </c>
      <c r="DW18">
        <v>-33.321199999999997</v>
      </c>
      <c r="DX18">
        <v>274.50200000000001</v>
      </c>
      <c r="DY18">
        <v>307.48700000000002</v>
      </c>
      <c r="DZ18">
        <v>4.1876499999999997</v>
      </c>
      <c r="EA18">
        <v>299.90499999999997</v>
      </c>
      <c r="EB18">
        <v>24.656400000000001</v>
      </c>
      <c r="EC18">
        <v>2.8743699999999999</v>
      </c>
      <c r="ED18">
        <v>2.4570599999999998</v>
      </c>
      <c r="EE18">
        <v>23.317499999999999</v>
      </c>
      <c r="EF18">
        <v>20.744800000000001</v>
      </c>
      <c r="EG18">
        <v>1800.07</v>
      </c>
      <c r="EH18">
        <v>0.97800299999999996</v>
      </c>
      <c r="EI18">
        <v>2.1996499999999999E-2</v>
      </c>
      <c r="EJ18">
        <v>0</v>
      </c>
      <c r="EK18">
        <v>696.02599999999995</v>
      </c>
      <c r="EL18">
        <v>5.0010300000000001</v>
      </c>
      <c r="EM18">
        <v>13277.2</v>
      </c>
      <c r="EN18">
        <v>14701.7</v>
      </c>
      <c r="EO18">
        <v>45.375</v>
      </c>
      <c r="EP18">
        <v>46.936999999999998</v>
      </c>
      <c r="EQ18">
        <v>46.811999999999998</v>
      </c>
      <c r="ER18">
        <v>46.375</v>
      </c>
      <c r="ES18">
        <v>47.25</v>
      </c>
      <c r="ET18">
        <v>1755.58</v>
      </c>
      <c r="EU18">
        <v>39.49</v>
      </c>
      <c r="EV18">
        <v>0</v>
      </c>
      <c r="EW18">
        <v>115.7999999523163</v>
      </c>
      <c r="EX18">
        <v>0</v>
      </c>
      <c r="EY18">
        <v>696.44950000000006</v>
      </c>
      <c r="EZ18">
        <v>-3.21357264627727</v>
      </c>
      <c r="FA18">
        <v>-91.682051315070694</v>
      </c>
      <c r="FB18">
        <v>13287.865384615379</v>
      </c>
      <c r="FC18">
        <v>15</v>
      </c>
      <c r="FD18">
        <v>1693495736.0999999</v>
      </c>
      <c r="FE18" t="s">
        <v>430</v>
      </c>
      <c r="FF18">
        <v>1693495729.5999999</v>
      </c>
      <c r="FG18">
        <v>1693495736.0999999</v>
      </c>
      <c r="FH18">
        <v>5</v>
      </c>
      <c r="FI18">
        <v>0</v>
      </c>
      <c r="FJ18">
        <v>1E-3</v>
      </c>
      <c r="FK18">
        <v>0.88300000000000001</v>
      </c>
      <c r="FL18">
        <v>0.20799999999999999</v>
      </c>
      <c r="FM18">
        <v>300</v>
      </c>
      <c r="FN18">
        <v>25</v>
      </c>
      <c r="FO18">
        <v>0.22</v>
      </c>
      <c r="FP18">
        <v>0.09</v>
      </c>
      <c r="FQ18">
        <v>26.925927848460411</v>
      </c>
      <c r="FR18">
        <v>-0.25135741746951429</v>
      </c>
      <c r="FS18">
        <v>5.7121737811927031E-2</v>
      </c>
      <c r="FT18">
        <v>1</v>
      </c>
      <c r="FU18">
        <v>0.25737740759450611</v>
      </c>
      <c r="FV18">
        <v>4.9136226040001688E-2</v>
      </c>
      <c r="FW18">
        <v>4.6834454525895982E-3</v>
      </c>
      <c r="FX18">
        <v>1</v>
      </c>
      <c r="FY18">
        <v>2</v>
      </c>
      <c r="FZ18">
        <v>2</v>
      </c>
      <c r="GA18" t="s">
        <v>422</v>
      </c>
      <c r="GB18">
        <v>2.9119999999999999</v>
      </c>
      <c r="GC18">
        <v>2.8179500000000002</v>
      </c>
      <c r="GD18">
        <v>6.6407300000000002E-2</v>
      </c>
      <c r="GE18">
        <v>7.3392299999999994E-2</v>
      </c>
      <c r="GF18">
        <v>0.136993</v>
      </c>
      <c r="GG18">
        <v>0.122974</v>
      </c>
      <c r="GH18">
        <v>26114.2</v>
      </c>
      <c r="GI18">
        <v>25985.3</v>
      </c>
      <c r="GJ18">
        <v>24807</v>
      </c>
      <c r="GK18">
        <v>25025.599999999999</v>
      </c>
      <c r="GL18">
        <v>28409.200000000001</v>
      </c>
      <c r="GM18">
        <v>28701.599999999999</v>
      </c>
      <c r="GN18">
        <v>33544.699999999997</v>
      </c>
      <c r="GO18">
        <v>33447.4</v>
      </c>
      <c r="GP18">
        <v>2.0206</v>
      </c>
      <c r="GQ18">
        <v>1.9168000000000001</v>
      </c>
      <c r="GR18">
        <v>0.15109800000000001</v>
      </c>
      <c r="GS18">
        <v>0</v>
      </c>
      <c r="GT18">
        <v>27.638500000000001</v>
      </c>
      <c r="GU18">
        <v>999.9</v>
      </c>
      <c r="GV18">
        <v>51.7</v>
      </c>
      <c r="GW18">
        <v>36.299999999999997</v>
      </c>
      <c r="GX18">
        <v>31.479500000000002</v>
      </c>
      <c r="GY18">
        <v>61.855800000000002</v>
      </c>
      <c r="GZ18">
        <v>26.770800000000001</v>
      </c>
      <c r="HA18">
        <v>1</v>
      </c>
      <c r="HB18">
        <v>5.3739799999999997E-2</v>
      </c>
      <c r="HC18">
        <v>-3.6764699999999997E-2</v>
      </c>
      <c r="HD18">
        <v>20.168099999999999</v>
      </c>
      <c r="HE18">
        <v>5.2352600000000002</v>
      </c>
      <c r="HF18">
        <v>11.915900000000001</v>
      </c>
      <c r="HG18">
        <v>4.9615999999999998</v>
      </c>
      <c r="HH18">
        <v>3.2890000000000001</v>
      </c>
      <c r="HI18">
        <v>9999</v>
      </c>
      <c r="HJ18">
        <v>9999</v>
      </c>
      <c r="HK18">
        <v>9999</v>
      </c>
      <c r="HL18">
        <v>891.5</v>
      </c>
      <c r="HM18">
        <v>1.88096</v>
      </c>
      <c r="HN18">
        <v>1.87805</v>
      </c>
      <c r="HO18">
        <v>1.8859900000000001</v>
      </c>
      <c r="HP18">
        <v>1.88381</v>
      </c>
      <c r="HQ18">
        <v>1.8813500000000001</v>
      </c>
      <c r="HR18">
        <v>1.8803399999999999</v>
      </c>
      <c r="HS18">
        <v>1.8815299999999999</v>
      </c>
      <c r="HT18">
        <v>1.8809499999999999</v>
      </c>
      <c r="HU18">
        <v>5</v>
      </c>
      <c r="HV18">
        <v>0</v>
      </c>
      <c r="HW18">
        <v>0</v>
      </c>
      <c r="HX18">
        <v>0</v>
      </c>
      <c r="HY18" t="s">
        <v>423</v>
      </c>
      <c r="HZ18" t="s">
        <v>424</v>
      </c>
      <c r="IA18" t="s">
        <v>425</v>
      </c>
      <c r="IB18" t="s">
        <v>425</v>
      </c>
      <c r="IC18" t="s">
        <v>425</v>
      </c>
      <c r="ID18" t="s">
        <v>425</v>
      </c>
      <c r="IE18">
        <v>0</v>
      </c>
      <c r="IF18">
        <v>100</v>
      </c>
      <c r="IG18">
        <v>100</v>
      </c>
      <c r="IH18">
        <v>0.84599999999999997</v>
      </c>
      <c r="II18">
        <v>0.30959999999999999</v>
      </c>
      <c r="IJ18">
        <v>0.40523136576818197</v>
      </c>
      <c r="IK18">
        <v>2.2153513873161218E-3</v>
      </c>
      <c r="IL18">
        <v>-2.2967369670569612E-6</v>
      </c>
      <c r="IM18">
        <v>7.7859689150384122E-10</v>
      </c>
      <c r="IN18">
        <v>-8.2735282292125109E-2</v>
      </c>
      <c r="IO18">
        <v>-4.1434251034592161E-3</v>
      </c>
      <c r="IP18">
        <v>8.3987709687394815E-4</v>
      </c>
      <c r="IQ18">
        <v>-7.4586254598011197E-6</v>
      </c>
      <c r="IR18">
        <v>2</v>
      </c>
      <c r="IS18">
        <v>1930</v>
      </c>
      <c r="IT18">
        <v>2</v>
      </c>
      <c r="IU18">
        <v>41</v>
      </c>
      <c r="IV18">
        <v>0.6</v>
      </c>
      <c r="IW18">
        <v>0.5</v>
      </c>
      <c r="IX18">
        <v>0.79345699999999997</v>
      </c>
      <c r="IY18">
        <v>2.5122100000000001</v>
      </c>
      <c r="IZ18">
        <v>1.24512</v>
      </c>
      <c r="JA18">
        <v>2.2631800000000002</v>
      </c>
      <c r="JB18">
        <v>1.4501999999999999</v>
      </c>
      <c r="JC18">
        <v>2.2522000000000002</v>
      </c>
      <c r="JD18">
        <v>41.796100000000003</v>
      </c>
      <c r="JE18">
        <v>24.148800000000001</v>
      </c>
      <c r="JF18">
        <v>18</v>
      </c>
      <c r="JG18">
        <v>494.88900000000001</v>
      </c>
      <c r="JH18">
        <v>475.27699999999999</v>
      </c>
      <c r="JI18">
        <v>28.389900000000001</v>
      </c>
      <c r="JJ18">
        <v>28.168600000000001</v>
      </c>
      <c r="JK18">
        <v>30</v>
      </c>
      <c r="JL18">
        <v>27.9666</v>
      </c>
      <c r="JM18">
        <v>27.911100000000001</v>
      </c>
      <c r="JN18">
        <v>15.962300000000001</v>
      </c>
      <c r="JO18">
        <v>27.571200000000001</v>
      </c>
      <c r="JP18">
        <v>87.466700000000003</v>
      </c>
      <c r="JQ18">
        <v>28.310700000000001</v>
      </c>
      <c r="JR18">
        <v>300</v>
      </c>
      <c r="JS18">
        <v>24.664000000000001</v>
      </c>
      <c r="JT18">
        <v>100.121</v>
      </c>
      <c r="JU18">
        <v>99.796400000000006</v>
      </c>
    </row>
    <row r="19" spans="1:281" x14ac:dyDescent="0.25">
      <c r="A19">
        <v>3</v>
      </c>
      <c r="B19">
        <v>1693495871.0999999</v>
      </c>
      <c r="C19">
        <v>221.5</v>
      </c>
      <c r="D19" t="s">
        <v>431</v>
      </c>
      <c r="E19" t="s">
        <v>432</v>
      </c>
      <c r="F19" t="s">
        <v>413</v>
      </c>
      <c r="G19" t="s">
        <v>414</v>
      </c>
      <c r="H19" t="s">
        <v>415</v>
      </c>
      <c r="I19" t="s">
        <v>416</v>
      </c>
      <c r="J19">
        <v>1693495871.0999999</v>
      </c>
      <c r="K19">
        <f t="shared" si="0"/>
        <v>3.707397997255603E-3</v>
      </c>
      <c r="L19">
        <f t="shared" si="1"/>
        <v>3.7073979972556033</v>
      </c>
      <c r="M19">
        <f t="shared" si="2"/>
        <v>18.490226462507493</v>
      </c>
      <c r="N19">
        <f t="shared" si="3"/>
        <v>177.14400000000001</v>
      </c>
      <c r="O19">
        <f t="shared" si="4"/>
        <v>62.57954618625039</v>
      </c>
      <c r="P19">
        <f t="shared" si="5"/>
        <v>6.242872384778237</v>
      </c>
      <c r="Q19">
        <f t="shared" si="6"/>
        <v>17.671706701704</v>
      </c>
      <c r="R19">
        <f t="shared" si="7"/>
        <v>0.27630824827949396</v>
      </c>
      <c r="S19">
        <f t="shared" si="8"/>
        <v>2.9182933047301014</v>
      </c>
      <c r="T19">
        <f t="shared" si="9"/>
        <v>0.26255349158353625</v>
      </c>
      <c r="U19">
        <f t="shared" si="10"/>
        <v>0.16527466530589777</v>
      </c>
      <c r="V19">
        <f t="shared" si="11"/>
        <v>344.36309864449822</v>
      </c>
      <c r="W19">
        <f t="shared" si="12"/>
        <v>31.470403705518894</v>
      </c>
      <c r="X19">
        <f t="shared" si="13"/>
        <v>29.855699999999999</v>
      </c>
      <c r="Y19">
        <f t="shared" si="14"/>
        <v>4.2252644270326618</v>
      </c>
      <c r="Z19">
        <f t="shared" si="15"/>
        <v>65.750452386714613</v>
      </c>
      <c r="AA19">
        <f t="shared" si="16"/>
        <v>2.8666843412751</v>
      </c>
      <c r="AB19">
        <f t="shared" si="17"/>
        <v>4.3599461862475879</v>
      </c>
      <c r="AC19">
        <f t="shared" si="18"/>
        <v>1.3585800857575618</v>
      </c>
      <c r="AD19">
        <f t="shared" si="19"/>
        <v>-163.4962516789721</v>
      </c>
      <c r="AE19">
        <f t="shared" si="20"/>
        <v>86.028606462872503</v>
      </c>
      <c r="AF19">
        <f t="shared" si="21"/>
        <v>6.5630906162687817</v>
      </c>
      <c r="AG19">
        <f t="shared" si="22"/>
        <v>273.45854404466741</v>
      </c>
      <c r="AH19">
        <v>1</v>
      </c>
      <c r="AI19">
        <v>0</v>
      </c>
      <c r="AJ19">
        <f t="shared" si="23"/>
        <v>1</v>
      </c>
      <c r="AK19">
        <f t="shared" si="24"/>
        <v>0</v>
      </c>
      <c r="AL19">
        <f t="shared" si="25"/>
        <v>51955.741958972911</v>
      </c>
      <c r="AM19" t="s">
        <v>417</v>
      </c>
      <c r="AN19">
        <v>10366.9</v>
      </c>
      <c r="AO19">
        <v>993.59653846153856</v>
      </c>
      <c r="AP19">
        <v>3431.87</v>
      </c>
      <c r="AQ19">
        <f t="shared" si="26"/>
        <v>0.71047955241266758</v>
      </c>
      <c r="AR19">
        <v>-3.9894345373445681</v>
      </c>
      <c r="AS19" t="s">
        <v>433</v>
      </c>
      <c r="AT19">
        <v>10450</v>
      </c>
      <c r="AU19">
        <v>682.55696</v>
      </c>
      <c r="AV19">
        <v>825.74860180767826</v>
      </c>
      <c r="AW19">
        <f t="shared" si="27"/>
        <v>0.17340827643451273</v>
      </c>
      <c r="AX19">
        <v>0.5</v>
      </c>
      <c r="AY19">
        <f t="shared" si="28"/>
        <v>1513.1591993222492</v>
      </c>
      <c r="AZ19">
        <f t="shared" si="29"/>
        <v>18.490226462507493</v>
      </c>
      <c r="BA19">
        <f t="shared" si="30"/>
        <v>131.19716436274928</v>
      </c>
      <c r="BB19">
        <f t="shared" si="31"/>
        <v>1.4856110982850187E-2</v>
      </c>
      <c r="BC19">
        <f t="shared" si="32"/>
        <v>3.1560712212980562</v>
      </c>
      <c r="BD19">
        <f t="shared" si="33"/>
        <v>519.18903555657448</v>
      </c>
      <c r="BE19" t="s">
        <v>434</v>
      </c>
      <c r="BF19">
        <v>575.91</v>
      </c>
      <c r="BG19">
        <f t="shared" si="34"/>
        <v>575.91</v>
      </c>
      <c r="BH19">
        <f t="shared" si="35"/>
        <v>0.30256012696933055</v>
      </c>
      <c r="BI19">
        <f t="shared" si="36"/>
        <v>0.57313658006261525</v>
      </c>
      <c r="BJ19">
        <f t="shared" si="37"/>
        <v>0.91252027276023528</v>
      </c>
      <c r="BK19">
        <f t="shared" si="38"/>
        <v>-0.85310337834519345</v>
      </c>
      <c r="BL19">
        <f t="shared" si="39"/>
        <v>1.068838848185615</v>
      </c>
      <c r="BM19">
        <f t="shared" si="40"/>
        <v>0.48358614323390786</v>
      </c>
      <c r="BN19">
        <f t="shared" si="41"/>
        <v>0.51641385676609208</v>
      </c>
      <c r="BO19">
        <v>7748</v>
      </c>
      <c r="BP19">
        <v>290.00000000000011</v>
      </c>
      <c r="BQ19">
        <v>786.45</v>
      </c>
      <c r="BR19">
        <v>275</v>
      </c>
      <c r="BS19">
        <v>10450</v>
      </c>
      <c r="BT19">
        <v>785.72</v>
      </c>
      <c r="BU19">
        <v>0.73</v>
      </c>
      <c r="BV19">
        <v>300.00000000000011</v>
      </c>
      <c r="BW19">
        <v>38.200000000000003</v>
      </c>
      <c r="BX19">
        <v>825.74860180767826</v>
      </c>
      <c r="BY19">
        <v>0.98860330825793874</v>
      </c>
      <c r="BZ19">
        <v>-41.82677800777163</v>
      </c>
      <c r="CA19">
        <v>0.84676999297161448</v>
      </c>
      <c r="CB19">
        <v>0.98865447327111888</v>
      </c>
      <c r="CC19">
        <v>-1.1360471857619601E-2</v>
      </c>
      <c r="CD19">
        <v>289.99999999999989</v>
      </c>
      <c r="CE19">
        <v>782.17</v>
      </c>
      <c r="CF19">
        <v>715</v>
      </c>
      <c r="CG19">
        <v>10437.1</v>
      </c>
      <c r="CH19">
        <v>785.67</v>
      </c>
      <c r="CI19">
        <v>-3.5</v>
      </c>
      <c r="CW19">
        <f t="shared" si="42"/>
        <v>1799.97</v>
      </c>
      <c r="CX19">
        <f t="shared" si="43"/>
        <v>1513.1591993222492</v>
      </c>
      <c r="CY19">
        <f t="shared" si="44"/>
        <v>0.84065801059031486</v>
      </c>
      <c r="CZ19">
        <f t="shared" si="45"/>
        <v>0.19131602118062979</v>
      </c>
      <c r="DA19">
        <v>6</v>
      </c>
      <c r="DB19">
        <v>0.5</v>
      </c>
      <c r="DC19" t="s">
        <v>420</v>
      </c>
      <c r="DD19">
        <v>2</v>
      </c>
      <c r="DE19">
        <v>1693495871.0999999</v>
      </c>
      <c r="DF19">
        <v>177.14400000000001</v>
      </c>
      <c r="DG19">
        <v>200.09200000000001</v>
      </c>
      <c r="DH19">
        <v>28.7361</v>
      </c>
      <c r="DI19">
        <v>24.420400000000001</v>
      </c>
      <c r="DJ19">
        <v>176.60900000000001</v>
      </c>
      <c r="DK19">
        <v>28.429500000000001</v>
      </c>
      <c r="DL19">
        <v>500.61799999999999</v>
      </c>
      <c r="DM19">
        <v>99.658699999999996</v>
      </c>
      <c r="DN19">
        <v>0.10029100000000001</v>
      </c>
      <c r="DO19">
        <v>30.4025</v>
      </c>
      <c r="DP19">
        <v>29.855699999999999</v>
      </c>
      <c r="DQ19">
        <v>999.9</v>
      </c>
      <c r="DR19">
        <v>0</v>
      </c>
      <c r="DS19">
        <v>0</v>
      </c>
      <c r="DT19">
        <v>9970</v>
      </c>
      <c r="DU19">
        <v>0</v>
      </c>
      <c r="DV19">
        <v>1516.89</v>
      </c>
      <c r="DW19">
        <v>-22.9481</v>
      </c>
      <c r="DX19">
        <v>182.38499999999999</v>
      </c>
      <c r="DY19">
        <v>205.101</v>
      </c>
      <c r="DZ19">
        <v>4.3157699999999997</v>
      </c>
      <c r="EA19">
        <v>200.09200000000001</v>
      </c>
      <c r="EB19">
        <v>24.420400000000001</v>
      </c>
      <c r="EC19">
        <v>2.86381</v>
      </c>
      <c r="ED19">
        <v>2.4337</v>
      </c>
      <c r="EE19">
        <v>23.256599999999999</v>
      </c>
      <c r="EF19">
        <v>20.5898</v>
      </c>
      <c r="EG19">
        <v>1799.97</v>
      </c>
      <c r="EH19">
        <v>0.97800299999999996</v>
      </c>
      <c r="EI19">
        <v>2.1996499999999999E-2</v>
      </c>
      <c r="EJ19">
        <v>0</v>
      </c>
      <c r="EK19">
        <v>682.15300000000002</v>
      </c>
      <c r="EL19">
        <v>5.0010300000000001</v>
      </c>
      <c r="EM19">
        <v>13024</v>
      </c>
      <c r="EN19">
        <v>14700.8</v>
      </c>
      <c r="EO19">
        <v>45.5</v>
      </c>
      <c r="EP19">
        <v>47.125</v>
      </c>
      <c r="EQ19">
        <v>46.875</v>
      </c>
      <c r="ER19">
        <v>46.561999999999998</v>
      </c>
      <c r="ES19">
        <v>47.436999999999998</v>
      </c>
      <c r="ET19">
        <v>1755.49</v>
      </c>
      <c r="EU19">
        <v>39.479999999999997</v>
      </c>
      <c r="EV19">
        <v>0</v>
      </c>
      <c r="EW19">
        <v>102</v>
      </c>
      <c r="EX19">
        <v>0</v>
      </c>
      <c r="EY19">
        <v>682.55696</v>
      </c>
      <c r="EZ19">
        <v>-3.8230000129071309</v>
      </c>
      <c r="FA19">
        <v>-72.538461664197527</v>
      </c>
      <c r="FB19">
        <v>13032.255999999999</v>
      </c>
      <c r="FC19">
        <v>15</v>
      </c>
      <c r="FD19">
        <v>1693495842.5999999</v>
      </c>
      <c r="FE19" t="s">
        <v>435</v>
      </c>
      <c r="FF19">
        <v>1693495836.0999999</v>
      </c>
      <c r="FG19">
        <v>1693495842.5999999</v>
      </c>
      <c r="FH19">
        <v>6</v>
      </c>
      <c r="FI19">
        <v>-0.19400000000000001</v>
      </c>
      <c r="FJ19">
        <v>0</v>
      </c>
      <c r="FK19">
        <v>0.56699999999999995</v>
      </c>
      <c r="FL19">
        <v>0.21099999999999999</v>
      </c>
      <c r="FM19">
        <v>200</v>
      </c>
      <c r="FN19">
        <v>25</v>
      </c>
      <c r="FO19">
        <v>0.22</v>
      </c>
      <c r="FP19">
        <v>0.05</v>
      </c>
      <c r="FQ19">
        <v>18.41740099867042</v>
      </c>
      <c r="FR19">
        <v>-0.40788607573992403</v>
      </c>
      <c r="FS19">
        <v>5.666257796133755E-2</v>
      </c>
      <c r="FT19">
        <v>1</v>
      </c>
      <c r="FU19">
        <v>0.27586255321636732</v>
      </c>
      <c r="FV19">
        <v>4.2677109298521421E-2</v>
      </c>
      <c r="FW19">
        <v>4.2172894978956283E-3</v>
      </c>
      <c r="FX19">
        <v>1</v>
      </c>
      <c r="FY19">
        <v>2</v>
      </c>
      <c r="FZ19">
        <v>2</v>
      </c>
      <c r="GA19" t="s">
        <v>422</v>
      </c>
      <c r="GB19">
        <v>2.9119000000000002</v>
      </c>
      <c r="GC19">
        <v>2.8180399999999999</v>
      </c>
      <c r="GD19">
        <v>4.6578000000000001E-2</v>
      </c>
      <c r="GE19">
        <v>5.2082200000000002E-2</v>
      </c>
      <c r="GF19">
        <v>0.13664699999999999</v>
      </c>
      <c r="GG19">
        <v>0.122167</v>
      </c>
      <c r="GH19">
        <v>26667.8</v>
      </c>
      <c r="GI19">
        <v>26581.3</v>
      </c>
      <c r="GJ19">
        <v>24806.2</v>
      </c>
      <c r="GK19">
        <v>25024.5</v>
      </c>
      <c r="GL19">
        <v>28420.7</v>
      </c>
      <c r="GM19">
        <v>28726.2</v>
      </c>
      <c r="GN19">
        <v>33544.1</v>
      </c>
      <c r="GO19">
        <v>33444.400000000001</v>
      </c>
      <c r="GP19">
        <v>2.0205000000000002</v>
      </c>
      <c r="GQ19">
        <v>1.9140999999999999</v>
      </c>
      <c r="GR19">
        <v>0.12886500000000001</v>
      </c>
      <c r="GS19">
        <v>0</v>
      </c>
      <c r="GT19">
        <v>27.7545</v>
      </c>
      <c r="GU19">
        <v>999.9</v>
      </c>
      <c r="GV19">
        <v>51.6</v>
      </c>
      <c r="GW19">
        <v>36.299999999999997</v>
      </c>
      <c r="GX19">
        <v>31.4175</v>
      </c>
      <c r="GY19">
        <v>61.955800000000004</v>
      </c>
      <c r="GZ19">
        <v>26.947099999999999</v>
      </c>
      <c r="HA19">
        <v>1</v>
      </c>
      <c r="HB19">
        <v>5.7804899999999999E-2</v>
      </c>
      <c r="HC19">
        <v>-1.0659000000000001</v>
      </c>
      <c r="HD19">
        <v>20.164000000000001</v>
      </c>
      <c r="HE19">
        <v>5.2346599999999999</v>
      </c>
      <c r="HF19">
        <v>11.9153</v>
      </c>
      <c r="HG19">
        <v>4.9615999999999998</v>
      </c>
      <c r="HH19">
        <v>3.2890000000000001</v>
      </c>
      <c r="HI19">
        <v>9999</v>
      </c>
      <c r="HJ19">
        <v>9999</v>
      </c>
      <c r="HK19">
        <v>9999</v>
      </c>
      <c r="HL19">
        <v>891.5</v>
      </c>
      <c r="HM19">
        <v>1.88096</v>
      </c>
      <c r="HN19">
        <v>1.87805</v>
      </c>
      <c r="HO19">
        <v>1.88602</v>
      </c>
      <c r="HP19">
        <v>1.88385</v>
      </c>
      <c r="HQ19">
        <v>1.8813500000000001</v>
      </c>
      <c r="HR19">
        <v>1.8803399999999999</v>
      </c>
      <c r="HS19">
        <v>1.88151</v>
      </c>
      <c r="HT19">
        <v>1.8809800000000001</v>
      </c>
      <c r="HU19">
        <v>5</v>
      </c>
      <c r="HV19">
        <v>0</v>
      </c>
      <c r="HW19">
        <v>0</v>
      </c>
      <c r="HX19">
        <v>0</v>
      </c>
      <c r="HY19" t="s">
        <v>423</v>
      </c>
      <c r="HZ19" t="s">
        <v>424</v>
      </c>
      <c r="IA19" t="s">
        <v>425</v>
      </c>
      <c r="IB19" t="s">
        <v>425</v>
      </c>
      <c r="IC19" t="s">
        <v>425</v>
      </c>
      <c r="ID19" t="s">
        <v>425</v>
      </c>
      <c r="IE19">
        <v>0</v>
      </c>
      <c r="IF19">
        <v>100</v>
      </c>
      <c r="IG19">
        <v>100</v>
      </c>
      <c r="IH19">
        <v>0.53500000000000003</v>
      </c>
      <c r="II19">
        <v>0.30659999999999998</v>
      </c>
      <c r="IJ19">
        <v>0.2109522732832603</v>
      </c>
      <c r="IK19">
        <v>2.2153513873161218E-3</v>
      </c>
      <c r="IL19">
        <v>-2.2967369670569612E-6</v>
      </c>
      <c r="IM19">
        <v>7.7859689150384122E-10</v>
      </c>
      <c r="IN19">
        <v>-8.2948528742463265E-2</v>
      </c>
      <c r="IO19">
        <v>-4.1434251034592161E-3</v>
      </c>
      <c r="IP19">
        <v>8.3987709687394815E-4</v>
      </c>
      <c r="IQ19">
        <v>-7.4586254598011197E-6</v>
      </c>
      <c r="IR19">
        <v>2</v>
      </c>
      <c r="IS19">
        <v>1930</v>
      </c>
      <c r="IT19">
        <v>2</v>
      </c>
      <c r="IU19">
        <v>41</v>
      </c>
      <c r="IV19">
        <v>0.6</v>
      </c>
      <c r="IW19">
        <v>0.5</v>
      </c>
      <c r="IX19">
        <v>0.58227499999999999</v>
      </c>
      <c r="IY19">
        <v>2.5293000000000001</v>
      </c>
      <c r="IZ19">
        <v>1.24512</v>
      </c>
      <c r="JA19">
        <v>2.2631800000000002</v>
      </c>
      <c r="JB19">
        <v>1.4501999999999999</v>
      </c>
      <c r="JC19">
        <v>2.20703</v>
      </c>
      <c r="JD19">
        <v>41.901200000000003</v>
      </c>
      <c r="JE19">
        <v>24.1313</v>
      </c>
      <c r="JF19">
        <v>18</v>
      </c>
      <c r="JG19">
        <v>495.14800000000002</v>
      </c>
      <c r="JH19">
        <v>473.678</v>
      </c>
      <c r="JI19">
        <v>28.561</v>
      </c>
      <c r="JJ19">
        <v>28.231100000000001</v>
      </c>
      <c r="JK19">
        <v>30.000499999999999</v>
      </c>
      <c r="JL19">
        <v>28.003</v>
      </c>
      <c r="JM19">
        <v>27.939699999999998</v>
      </c>
      <c r="JN19">
        <v>11.7445</v>
      </c>
      <c r="JO19">
        <v>29.319800000000001</v>
      </c>
      <c r="JP19">
        <v>86.564599999999999</v>
      </c>
      <c r="JQ19">
        <v>28.6128</v>
      </c>
      <c r="JR19">
        <v>200</v>
      </c>
      <c r="JS19">
        <v>24.3156</v>
      </c>
      <c r="JT19">
        <v>100.119</v>
      </c>
      <c r="JU19">
        <v>99.789500000000004</v>
      </c>
    </row>
    <row r="20" spans="1:281" x14ac:dyDescent="0.25">
      <c r="A20">
        <v>4</v>
      </c>
      <c r="B20">
        <v>1693495986.5999999</v>
      </c>
      <c r="C20">
        <v>337</v>
      </c>
      <c r="D20" t="s">
        <v>436</v>
      </c>
      <c r="E20" t="s">
        <v>437</v>
      </c>
      <c r="F20" t="s">
        <v>413</v>
      </c>
      <c r="G20" t="s">
        <v>414</v>
      </c>
      <c r="H20" t="s">
        <v>415</v>
      </c>
      <c r="I20" t="s">
        <v>416</v>
      </c>
      <c r="J20">
        <v>1693495986.5999999</v>
      </c>
      <c r="K20">
        <f t="shared" si="0"/>
        <v>3.9354455752867194E-3</v>
      </c>
      <c r="L20">
        <f t="shared" si="1"/>
        <v>3.9354455752867197</v>
      </c>
      <c r="M20">
        <f t="shared" si="2"/>
        <v>11.364424417209586</v>
      </c>
      <c r="N20">
        <f t="shared" si="3"/>
        <v>105.83199999999999</v>
      </c>
      <c r="O20">
        <f t="shared" si="4"/>
        <v>38.035338068796733</v>
      </c>
      <c r="P20">
        <f t="shared" si="5"/>
        <v>3.7943396158931151</v>
      </c>
      <c r="Q20">
        <f t="shared" si="6"/>
        <v>10.5576174846368</v>
      </c>
      <c r="R20">
        <f t="shared" si="7"/>
        <v>0.2877105341243486</v>
      </c>
      <c r="S20">
        <f t="shared" si="8"/>
        <v>2.9218079391101313</v>
      </c>
      <c r="T20">
        <f t="shared" si="9"/>
        <v>0.27284687371112176</v>
      </c>
      <c r="U20">
        <f t="shared" si="10"/>
        <v>0.17180072181937925</v>
      </c>
      <c r="V20">
        <f t="shared" si="11"/>
        <v>344.36501180471004</v>
      </c>
      <c r="W20">
        <f t="shared" si="12"/>
        <v>31.598974521491023</v>
      </c>
      <c r="X20">
        <f t="shared" si="13"/>
        <v>29.986899999999999</v>
      </c>
      <c r="Y20">
        <f t="shared" si="14"/>
        <v>4.2572450340131791</v>
      </c>
      <c r="Z20">
        <f t="shared" si="15"/>
        <v>65.112288496036925</v>
      </c>
      <c r="AA20">
        <f t="shared" si="16"/>
        <v>2.8697661737852802</v>
      </c>
      <c r="AB20">
        <f t="shared" si="17"/>
        <v>4.4074110126845714</v>
      </c>
      <c r="AC20">
        <f t="shared" si="18"/>
        <v>1.3874788602278989</v>
      </c>
      <c r="AD20">
        <f t="shared" si="19"/>
        <v>-173.55314987014432</v>
      </c>
      <c r="AE20">
        <f t="shared" si="20"/>
        <v>95.268404214127244</v>
      </c>
      <c r="AF20">
        <f t="shared" si="21"/>
        <v>7.2707653966019619</v>
      </c>
      <c r="AG20">
        <f t="shared" si="22"/>
        <v>273.35103154529492</v>
      </c>
      <c r="AH20">
        <v>1</v>
      </c>
      <c r="AI20">
        <v>0</v>
      </c>
      <c r="AJ20">
        <f t="shared" si="23"/>
        <v>1</v>
      </c>
      <c r="AK20">
        <f t="shared" si="24"/>
        <v>0</v>
      </c>
      <c r="AL20">
        <f t="shared" si="25"/>
        <v>52023.467582610254</v>
      </c>
      <c r="AM20" t="s">
        <v>417</v>
      </c>
      <c r="AN20">
        <v>10366.9</v>
      </c>
      <c r="AO20">
        <v>993.59653846153856</v>
      </c>
      <c r="AP20">
        <v>3431.87</v>
      </c>
      <c r="AQ20">
        <f t="shared" si="26"/>
        <v>0.71047955241266758</v>
      </c>
      <c r="AR20">
        <v>-3.9894345373445681</v>
      </c>
      <c r="AS20" t="s">
        <v>438</v>
      </c>
      <c r="AT20">
        <v>10456.5</v>
      </c>
      <c r="AU20">
        <v>681.8914615384615</v>
      </c>
      <c r="AV20">
        <v>781.51628298475487</v>
      </c>
      <c r="AW20">
        <f t="shared" si="27"/>
        <v>0.12747632213855842</v>
      </c>
      <c r="AX20">
        <v>0.5</v>
      </c>
      <c r="AY20">
        <f t="shared" si="28"/>
        <v>1513.167605902355</v>
      </c>
      <c r="AZ20">
        <f t="shared" si="29"/>
        <v>11.364424417209586</v>
      </c>
      <c r="BA20">
        <f t="shared" si="30"/>
        <v>96.446520589819912</v>
      </c>
      <c r="BB20">
        <f t="shared" si="31"/>
        <v>1.0146832971221393E-2</v>
      </c>
      <c r="BC20">
        <f t="shared" si="32"/>
        <v>3.3912968606272091</v>
      </c>
      <c r="BD20">
        <f t="shared" si="33"/>
        <v>501.34805674305886</v>
      </c>
      <c r="BE20" t="s">
        <v>439</v>
      </c>
      <c r="BF20">
        <v>576.23</v>
      </c>
      <c r="BG20">
        <f t="shared" si="34"/>
        <v>576.23</v>
      </c>
      <c r="BH20">
        <f t="shared" si="35"/>
        <v>0.26267691083892541</v>
      </c>
      <c r="BI20">
        <f t="shared" si="36"/>
        <v>0.48529702032596006</v>
      </c>
      <c r="BJ20">
        <f t="shared" si="37"/>
        <v>0.92811198786095062</v>
      </c>
      <c r="BK20">
        <f t="shared" si="38"/>
        <v>-0.46975057259490732</v>
      </c>
      <c r="BL20">
        <f t="shared" si="39"/>
        <v>1.0869796841175348</v>
      </c>
      <c r="BM20">
        <f t="shared" si="40"/>
        <v>0.41009855350220564</v>
      </c>
      <c r="BN20">
        <f t="shared" si="41"/>
        <v>0.5899014464977943</v>
      </c>
      <c r="BO20">
        <v>7750</v>
      </c>
      <c r="BP20">
        <v>290.00000000000011</v>
      </c>
      <c r="BQ20">
        <v>753.19</v>
      </c>
      <c r="BR20">
        <v>215</v>
      </c>
      <c r="BS20">
        <v>10456.5</v>
      </c>
      <c r="BT20">
        <v>753.68</v>
      </c>
      <c r="BU20">
        <v>-0.49</v>
      </c>
      <c r="BV20">
        <v>300.00000000000011</v>
      </c>
      <c r="BW20">
        <v>38.200000000000003</v>
      </c>
      <c r="BX20">
        <v>781.51628298475487</v>
      </c>
      <c r="BY20">
        <v>1.01872843322191</v>
      </c>
      <c r="BZ20">
        <v>-29.108491155635601</v>
      </c>
      <c r="CA20">
        <v>0.87257051460158597</v>
      </c>
      <c r="CB20">
        <v>0.97545698941761594</v>
      </c>
      <c r="CC20">
        <v>-1.1360251167964399E-2</v>
      </c>
      <c r="CD20">
        <v>289.99999999999989</v>
      </c>
      <c r="CE20">
        <v>750.42</v>
      </c>
      <c r="CF20">
        <v>665</v>
      </c>
      <c r="CG20">
        <v>10440.6</v>
      </c>
      <c r="CH20">
        <v>753.64</v>
      </c>
      <c r="CI20">
        <v>-3.22</v>
      </c>
      <c r="CW20">
        <f t="shared" si="42"/>
        <v>1799.98</v>
      </c>
      <c r="CX20">
        <f t="shared" si="43"/>
        <v>1513.167605902355</v>
      </c>
      <c r="CY20">
        <f t="shared" si="44"/>
        <v>0.84065801059031486</v>
      </c>
      <c r="CZ20">
        <f t="shared" si="45"/>
        <v>0.19131602118062979</v>
      </c>
      <c r="DA20">
        <v>6</v>
      </c>
      <c r="DB20">
        <v>0.5</v>
      </c>
      <c r="DC20" t="s">
        <v>420</v>
      </c>
      <c r="DD20">
        <v>2</v>
      </c>
      <c r="DE20">
        <v>1693495986.5999999</v>
      </c>
      <c r="DF20">
        <v>105.83199999999999</v>
      </c>
      <c r="DG20">
        <v>119.96299999999999</v>
      </c>
      <c r="DH20">
        <v>28.767199999999999</v>
      </c>
      <c r="DI20">
        <v>24.182500000000001</v>
      </c>
      <c r="DJ20">
        <v>105.411</v>
      </c>
      <c r="DK20">
        <v>28.4648</v>
      </c>
      <c r="DL20">
        <v>500.21600000000001</v>
      </c>
      <c r="DM20">
        <v>99.659000000000006</v>
      </c>
      <c r="DN20">
        <v>9.9272399999999997E-2</v>
      </c>
      <c r="DO20">
        <v>30.591699999999999</v>
      </c>
      <c r="DP20">
        <v>29.986899999999999</v>
      </c>
      <c r="DQ20">
        <v>999.9</v>
      </c>
      <c r="DR20">
        <v>0</v>
      </c>
      <c r="DS20">
        <v>0</v>
      </c>
      <c r="DT20">
        <v>9990</v>
      </c>
      <c r="DU20">
        <v>0</v>
      </c>
      <c r="DV20">
        <v>1553.29</v>
      </c>
      <c r="DW20">
        <v>-14.130800000000001</v>
      </c>
      <c r="DX20">
        <v>108.967</v>
      </c>
      <c r="DY20">
        <v>122.93600000000001</v>
      </c>
      <c r="DZ20">
        <v>4.58467</v>
      </c>
      <c r="EA20">
        <v>119.96299999999999</v>
      </c>
      <c r="EB20">
        <v>24.182500000000001</v>
      </c>
      <c r="EC20">
        <v>2.8669099999999998</v>
      </c>
      <c r="ED20">
        <v>2.4100100000000002</v>
      </c>
      <c r="EE20">
        <v>23.2745</v>
      </c>
      <c r="EF20">
        <v>20.4312</v>
      </c>
      <c r="EG20">
        <v>1799.98</v>
      </c>
      <c r="EH20">
        <v>0.97800299999999996</v>
      </c>
      <c r="EI20">
        <v>2.1996499999999999E-2</v>
      </c>
      <c r="EJ20">
        <v>0</v>
      </c>
      <c r="EK20">
        <v>682.02099999999996</v>
      </c>
      <c r="EL20">
        <v>5.0010300000000001</v>
      </c>
      <c r="EM20">
        <v>13037.7</v>
      </c>
      <c r="EN20">
        <v>14701</v>
      </c>
      <c r="EO20">
        <v>45.5</v>
      </c>
      <c r="EP20">
        <v>47.061999999999998</v>
      </c>
      <c r="EQ20">
        <v>46.811999999999998</v>
      </c>
      <c r="ER20">
        <v>46.686999999999998</v>
      </c>
      <c r="ES20">
        <v>47.436999999999998</v>
      </c>
      <c r="ET20">
        <v>1755.49</v>
      </c>
      <c r="EU20">
        <v>39.479999999999997</v>
      </c>
      <c r="EV20">
        <v>0</v>
      </c>
      <c r="EW20">
        <v>113.6000001430511</v>
      </c>
      <c r="EX20">
        <v>0</v>
      </c>
      <c r="EY20">
        <v>681.8914615384615</v>
      </c>
      <c r="EZ20">
        <v>-1.9285469941831559</v>
      </c>
      <c r="FA20">
        <v>-25.603418808135761</v>
      </c>
      <c r="FB20">
        <v>13040.83461538462</v>
      </c>
      <c r="FC20">
        <v>15</v>
      </c>
      <c r="FD20">
        <v>1693495954.5999999</v>
      </c>
      <c r="FE20" t="s">
        <v>440</v>
      </c>
      <c r="FF20">
        <v>1693495949.5999999</v>
      </c>
      <c r="FG20">
        <v>1693495954.5999999</v>
      </c>
      <c r="FH20">
        <v>7</v>
      </c>
      <c r="FI20">
        <v>1E-3</v>
      </c>
      <c r="FJ20">
        <v>-5.0000000000000001E-3</v>
      </c>
      <c r="FK20">
        <v>0.44500000000000001</v>
      </c>
      <c r="FL20">
        <v>0.19</v>
      </c>
      <c r="FM20">
        <v>120</v>
      </c>
      <c r="FN20">
        <v>24</v>
      </c>
      <c r="FO20">
        <v>0.28999999999999998</v>
      </c>
      <c r="FP20">
        <v>0.04</v>
      </c>
      <c r="FQ20">
        <v>11.37567720659028</v>
      </c>
      <c r="FR20">
        <v>0.1692218811133871</v>
      </c>
      <c r="FS20">
        <v>4.7050214921997263E-2</v>
      </c>
      <c r="FT20">
        <v>1</v>
      </c>
      <c r="FU20">
        <v>0.28550271316884912</v>
      </c>
      <c r="FV20">
        <v>4.062762894500057E-2</v>
      </c>
      <c r="FW20">
        <v>3.2285835170959829E-3</v>
      </c>
      <c r="FX20">
        <v>1</v>
      </c>
      <c r="FY20">
        <v>2</v>
      </c>
      <c r="FZ20">
        <v>2</v>
      </c>
      <c r="GA20" t="s">
        <v>422</v>
      </c>
      <c r="GB20">
        <v>2.9107699999999999</v>
      </c>
      <c r="GC20">
        <v>2.8171900000000001</v>
      </c>
      <c r="GD20">
        <v>2.88442E-2</v>
      </c>
      <c r="GE20">
        <v>3.2648900000000002E-2</v>
      </c>
      <c r="GF20">
        <v>0.13675599999999999</v>
      </c>
      <c r="GG20">
        <v>0.121346</v>
      </c>
      <c r="GH20">
        <v>27162.799999999999</v>
      </c>
      <c r="GI20">
        <v>27124.7</v>
      </c>
      <c r="GJ20">
        <v>24805.4</v>
      </c>
      <c r="GK20">
        <v>25023.3</v>
      </c>
      <c r="GL20">
        <v>28416</v>
      </c>
      <c r="GM20">
        <v>28751.8</v>
      </c>
      <c r="GN20">
        <v>33542.699999999997</v>
      </c>
      <c r="GO20">
        <v>33442.300000000003</v>
      </c>
      <c r="GP20">
        <v>2.0196999999999998</v>
      </c>
      <c r="GQ20">
        <v>1.9121999999999999</v>
      </c>
      <c r="GR20">
        <v>0.14825199999999999</v>
      </c>
      <c r="GS20">
        <v>0</v>
      </c>
      <c r="GT20">
        <v>27.569500000000001</v>
      </c>
      <c r="GU20">
        <v>999.9</v>
      </c>
      <c r="GV20">
        <v>51.3</v>
      </c>
      <c r="GW20">
        <v>36.4</v>
      </c>
      <c r="GX20">
        <v>31.408200000000001</v>
      </c>
      <c r="GY20">
        <v>61.855800000000002</v>
      </c>
      <c r="GZ20">
        <v>27.247599999999998</v>
      </c>
      <c r="HA20">
        <v>1</v>
      </c>
      <c r="HB20">
        <v>5.9451200000000003E-2</v>
      </c>
      <c r="HC20">
        <v>-1.0333000000000001</v>
      </c>
      <c r="HD20">
        <v>20.162700000000001</v>
      </c>
      <c r="HE20">
        <v>5.2244799999999998</v>
      </c>
      <c r="HF20">
        <v>11.914099999999999</v>
      </c>
      <c r="HG20">
        <v>4.9596</v>
      </c>
      <c r="HH20">
        <v>3.2867999999999999</v>
      </c>
      <c r="HI20">
        <v>9999</v>
      </c>
      <c r="HJ20">
        <v>9999</v>
      </c>
      <c r="HK20">
        <v>9999</v>
      </c>
      <c r="HL20">
        <v>891.5</v>
      </c>
      <c r="HM20">
        <v>1.8809499999999999</v>
      </c>
      <c r="HN20">
        <v>1.87805</v>
      </c>
      <c r="HO20">
        <v>1.88605</v>
      </c>
      <c r="HP20">
        <v>1.88384</v>
      </c>
      <c r="HQ20">
        <v>1.8813200000000001</v>
      </c>
      <c r="HR20">
        <v>1.8803399999999999</v>
      </c>
      <c r="HS20">
        <v>1.88151</v>
      </c>
      <c r="HT20">
        <v>1.881</v>
      </c>
      <c r="HU20">
        <v>5</v>
      </c>
      <c r="HV20">
        <v>0</v>
      </c>
      <c r="HW20">
        <v>0</v>
      </c>
      <c r="HX20">
        <v>0</v>
      </c>
      <c r="HY20" t="s">
        <v>423</v>
      </c>
      <c r="HZ20" t="s">
        <v>424</v>
      </c>
      <c r="IA20" t="s">
        <v>425</v>
      </c>
      <c r="IB20" t="s">
        <v>425</v>
      </c>
      <c r="IC20" t="s">
        <v>425</v>
      </c>
      <c r="ID20" t="s">
        <v>425</v>
      </c>
      <c r="IE20">
        <v>0</v>
      </c>
      <c r="IF20">
        <v>100</v>
      </c>
      <c r="IG20">
        <v>100</v>
      </c>
      <c r="IH20">
        <v>0.42099999999999999</v>
      </c>
      <c r="II20">
        <v>0.3024</v>
      </c>
      <c r="IJ20">
        <v>0.21212493678528549</v>
      </c>
      <c r="IK20">
        <v>2.2153513873161218E-3</v>
      </c>
      <c r="IL20">
        <v>-2.2967369670569612E-6</v>
      </c>
      <c r="IM20">
        <v>7.7859689150384122E-10</v>
      </c>
      <c r="IN20">
        <v>-8.8152403904069795E-2</v>
      </c>
      <c r="IO20">
        <v>-4.1434251034592161E-3</v>
      </c>
      <c r="IP20">
        <v>8.3987709687394815E-4</v>
      </c>
      <c r="IQ20">
        <v>-7.4586254598011197E-6</v>
      </c>
      <c r="IR20">
        <v>2</v>
      </c>
      <c r="IS20">
        <v>1930</v>
      </c>
      <c r="IT20">
        <v>2</v>
      </c>
      <c r="IU20">
        <v>41</v>
      </c>
      <c r="IV20">
        <v>0.6</v>
      </c>
      <c r="IW20">
        <v>0.5</v>
      </c>
      <c r="IX20">
        <v>0.40893600000000002</v>
      </c>
      <c r="IY20">
        <v>2.5378400000000001</v>
      </c>
      <c r="IZ20">
        <v>1.24512</v>
      </c>
      <c r="JA20">
        <v>2.2619600000000002</v>
      </c>
      <c r="JB20">
        <v>1.4501999999999999</v>
      </c>
      <c r="JC20">
        <v>2.3925800000000002</v>
      </c>
      <c r="JD20">
        <v>42.006500000000003</v>
      </c>
      <c r="JE20">
        <v>24.1313</v>
      </c>
      <c r="JF20">
        <v>18</v>
      </c>
      <c r="JG20">
        <v>494.83199999999999</v>
      </c>
      <c r="JH20">
        <v>472.54500000000002</v>
      </c>
      <c r="JI20">
        <v>29.4496</v>
      </c>
      <c r="JJ20">
        <v>28.254899999999999</v>
      </c>
      <c r="JK20">
        <v>30.0001</v>
      </c>
      <c r="JL20">
        <v>28.026499999999999</v>
      </c>
      <c r="JM20">
        <v>27.9588</v>
      </c>
      <c r="JN20">
        <v>8.2703000000000007</v>
      </c>
      <c r="JO20">
        <v>29.570799999999998</v>
      </c>
      <c r="JP20">
        <v>84.739099999999993</v>
      </c>
      <c r="JQ20">
        <v>29.435500000000001</v>
      </c>
      <c r="JR20">
        <v>120</v>
      </c>
      <c r="JS20">
        <v>24.140699999999999</v>
      </c>
      <c r="JT20">
        <v>100.11499999999999</v>
      </c>
      <c r="JU20">
        <v>99.783799999999999</v>
      </c>
    </row>
    <row r="21" spans="1:281" x14ac:dyDescent="0.25">
      <c r="A21">
        <v>5</v>
      </c>
      <c r="B21">
        <v>1693496093.0999999</v>
      </c>
      <c r="C21">
        <v>443.5</v>
      </c>
      <c r="D21" t="s">
        <v>441</v>
      </c>
      <c r="E21" t="s">
        <v>442</v>
      </c>
      <c r="F21" t="s">
        <v>413</v>
      </c>
      <c r="G21" t="s">
        <v>414</v>
      </c>
      <c r="H21" t="s">
        <v>415</v>
      </c>
      <c r="I21" t="s">
        <v>416</v>
      </c>
      <c r="J21">
        <v>1693496093.0999999</v>
      </c>
      <c r="K21">
        <f t="shared" si="0"/>
        <v>4.1145156647550349E-3</v>
      </c>
      <c r="L21">
        <f t="shared" si="1"/>
        <v>4.1145156647550349</v>
      </c>
      <c r="M21">
        <f t="shared" si="2"/>
        <v>6.845648239769786</v>
      </c>
      <c r="N21">
        <f t="shared" si="3"/>
        <v>61.457299999999996</v>
      </c>
      <c r="O21">
        <f t="shared" si="4"/>
        <v>23.361058100653132</v>
      </c>
      <c r="P21">
        <f t="shared" si="5"/>
        <v>2.330389125537502</v>
      </c>
      <c r="Q21">
        <f t="shared" si="6"/>
        <v>6.1306907841169984</v>
      </c>
      <c r="R21">
        <f t="shared" si="7"/>
        <v>0.30961204520645497</v>
      </c>
      <c r="S21">
        <f t="shared" si="8"/>
        <v>2.9278710369559304</v>
      </c>
      <c r="T21">
        <f t="shared" si="9"/>
        <v>0.29250508153145599</v>
      </c>
      <c r="U21">
        <f t="shared" si="10"/>
        <v>0.18427385803170548</v>
      </c>
      <c r="V21">
        <f t="shared" si="11"/>
        <v>344.36309864449822</v>
      </c>
      <c r="W21">
        <f t="shared" si="12"/>
        <v>31.551845707311632</v>
      </c>
      <c r="X21">
        <f t="shared" si="13"/>
        <v>29.946300000000001</v>
      </c>
      <c r="Y21">
        <f t="shared" si="14"/>
        <v>4.2473261327470908</v>
      </c>
      <c r="Z21">
        <f t="shared" si="15"/>
        <v>65.665187099284708</v>
      </c>
      <c r="AA21">
        <f t="shared" si="16"/>
        <v>2.8943498617049999</v>
      </c>
      <c r="AB21">
        <f t="shared" si="17"/>
        <v>4.4077386961964935</v>
      </c>
      <c r="AC21">
        <f t="shared" si="18"/>
        <v>1.3529762710420909</v>
      </c>
      <c r="AD21">
        <f t="shared" si="19"/>
        <v>-181.45014081569704</v>
      </c>
      <c r="AE21">
        <f t="shared" si="20"/>
        <v>102.07990280880273</v>
      </c>
      <c r="AF21">
        <f t="shared" si="21"/>
        <v>7.7729675738322985</v>
      </c>
      <c r="AG21">
        <f t="shared" si="22"/>
        <v>272.7658282114362</v>
      </c>
      <c r="AH21">
        <v>1</v>
      </c>
      <c r="AI21">
        <v>0</v>
      </c>
      <c r="AJ21">
        <f t="shared" si="23"/>
        <v>1</v>
      </c>
      <c r="AK21">
        <f t="shared" si="24"/>
        <v>0</v>
      </c>
      <c r="AL21">
        <f t="shared" si="25"/>
        <v>52196.023133926152</v>
      </c>
      <c r="AM21" t="s">
        <v>417</v>
      </c>
      <c r="AN21">
        <v>10366.9</v>
      </c>
      <c r="AO21">
        <v>993.59653846153856</v>
      </c>
      <c r="AP21">
        <v>3431.87</v>
      </c>
      <c r="AQ21">
        <f t="shared" si="26"/>
        <v>0.71047955241266758</v>
      </c>
      <c r="AR21">
        <v>-3.9894345373445681</v>
      </c>
      <c r="AS21" t="s">
        <v>443</v>
      </c>
      <c r="AT21">
        <v>10460.1</v>
      </c>
      <c r="AU21">
        <v>683.86148000000003</v>
      </c>
      <c r="AV21">
        <v>754.05079231388459</v>
      </c>
      <c r="AW21">
        <f t="shared" si="27"/>
        <v>9.3083003199958547E-2</v>
      </c>
      <c r="AX21">
        <v>0.5</v>
      </c>
      <c r="AY21">
        <f t="shared" si="28"/>
        <v>1513.1591993222492</v>
      </c>
      <c r="AZ21">
        <f t="shared" si="29"/>
        <v>6.845648239769786</v>
      </c>
      <c r="BA21">
        <f t="shared" si="30"/>
        <v>70.424701296279821</v>
      </c>
      <c r="BB21">
        <f t="shared" si="31"/>
        <v>7.1605702704430818E-3</v>
      </c>
      <c r="BC21">
        <f t="shared" si="32"/>
        <v>3.5512451349184895</v>
      </c>
      <c r="BD21">
        <f t="shared" si="33"/>
        <v>489.90093414917806</v>
      </c>
      <c r="BE21" t="s">
        <v>444</v>
      </c>
      <c r="BF21">
        <v>583.45000000000005</v>
      </c>
      <c r="BG21">
        <f t="shared" si="34"/>
        <v>583.45000000000005</v>
      </c>
      <c r="BH21">
        <f t="shared" si="35"/>
        <v>0.22624575698724214</v>
      </c>
      <c r="BI21">
        <f t="shared" si="36"/>
        <v>0.41142430443549655</v>
      </c>
      <c r="BJ21">
        <f t="shared" si="37"/>
        <v>0.94010686896107842</v>
      </c>
      <c r="BK21">
        <f t="shared" si="38"/>
        <v>-0.29301005525107698</v>
      </c>
      <c r="BL21">
        <f t="shared" si="39"/>
        <v>1.0982440033598646</v>
      </c>
      <c r="BM21">
        <f t="shared" si="40"/>
        <v>0.35101481432013171</v>
      </c>
      <c r="BN21">
        <f t="shared" si="41"/>
        <v>0.64898518567986829</v>
      </c>
      <c r="BO21">
        <v>7752</v>
      </c>
      <c r="BP21">
        <v>290.00000000000011</v>
      </c>
      <c r="BQ21">
        <v>735.14</v>
      </c>
      <c r="BR21">
        <v>185</v>
      </c>
      <c r="BS21">
        <v>10460.1</v>
      </c>
      <c r="BT21">
        <v>735.47</v>
      </c>
      <c r="BU21">
        <v>-0.33</v>
      </c>
      <c r="BV21">
        <v>300.00000000000011</v>
      </c>
      <c r="BW21">
        <v>38.200000000000003</v>
      </c>
      <c r="BX21">
        <v>754.05079231388459</v>
      </c>
      <c r="BY21">
        <v>0.87777987780169231</v>
      </c>
      <c r="BZ21">
        <v>-19.433710422413139</v>
      </c>
      <c r="CA21">
        <v>0.7518222992963286</v>
      </c>
      <c r="CB21">
        <v>0.95977941224619701</v>
      </c>
      <c r="CC21">
        <v>-1.135966718576195E-2</v>
      </c>
      <c r="CD21">
        <v>289.99999999999989</v>
      </c>
      <c r="CE21">
        <v>733.55</v>
      </c>
      <c r="CF21">
        <v>665</v>
      </c>
      <c r="CG21">
        <v>10440.299999999999</v>
      </c>
      <c r="CH21">
        <v>735.44</v>
      </c>
      <c r="CI21">
        <v>-1.89</v>
      </c>
      <c r="CW21">
        <f t="shared" si="42"/>
        <v>1799.97</v>
      </c>
      <c r="CX21">
        <f t="shared" si="43"/>
        <v>1513.1591993222492</v>
      </c>
      <c r="CY21">
        <f t="shared" si="44"/>
        <v>0.84065801059031486</v>
      </c>
      <c r="CZ21">
        <f t="shared" si="45"/>
        <v>0.19131602118062979</v>
      </c>
      <c r="DA21">
        <v>6</v>
      </c>
      <c r="DB21">
        <v>0.5</v>
      </c>
      <c r="DC21" t="s">
        <v>420</v>
      </c>
      <c r="DD21">
        <v>2</v>
      </c>
      <c r="DE21">
        <v>1693496093.0999999</v>
      </c>
      <c r="DF21">
        <v>61.457299999999996</v>
      </c>
      <c r="DG21">
        <v>69.969899999999996</v>
      </c>
      <c r="DH21">
        <v>29.014500000000002</v>
      </c>
      <c r="DI21">
        <v>24.223500000000001</v>
      </c>
      <c r="DJ21">
        <v>61.1143</v>
      </c>
      <c r="DK21">
        <v>28.7103</v>
      </c>
      <c r="DL21">
        <v>500.33</v>
      </c>
      <c r="DM21">
        <v>99.655199999999994</v>
      </c>
      <c r="DN21">
        <v>0.10009</v>
      </c>
      <c r="DO21">
        <v>30.593</v>
      </c>
      <c r="DP21">
        <v>29.946300000000001</v>
      </c>
      <c r="DQ21">
        <v>999.9</v>
      </c>
      <c r="DR21">
        <v>0</v>
      </c>
      <c r="DS21">
        <v>0</v>
      </c>
      <c r="DT21">
        <v>10025</v>
      </c>
      <c r="DU21">
        <v>0</v>
      </c>
      <c r="DV21">
        <v>1605.66</v>
      </c>
      <c r="DW21">
        <v>-8.5126100000000005</v>
      </c>
      <c r="DX21">
        <v>63.293700000000001</v>
      </c>
      <c r="DY21">
        <v>71.706900000000005</v>
      </c>
      <c r="DZ21">
        <v>4.7910300000000001</v>
      </c>
      <c r="EA21">
        <v>69.969899999999996</v>
      </c>
      <c r="EB21">
        <v>24.223500000000001</v>
      </c>
      <c r="EC21">
        <v>2.8914399999999998</v>
      </c>
      <c r="ED21">
        <v>2.4139900000000001</v>
      </c>
      <c r="EE21">
        <v>23.415600000000001</v>
      </c>
      <c r="EF21">
        <v>20.457999999999998</v>
      </c>
      <c r="EG21">
        <v>1799.97</v>
      </c>
      <c r="EH21">
        <v>0.97800299999999996</v>
      </c>
      <c r="EI21">
        <v>2.1996499999999999E-2</v>
      </c>
      <c r="EJ21">
        <v>0</v>
      </c>
      <c r="EK21">
        <v>683.70399999999995</v>
      </c>
      <c r="EL21">
        <v>5.0010300000000001</v>
      </c>
      <c r="EM21">
        <v>13120.4</v>
      </c>
      <c r="EN21">
        <v>14700.9</v>
      </c>
      <c r="EO21">
        <v>45.686999999999998</v>
      </c>
      <c r="EP21">
        <v>47.311999999999998</v>
      </c>
      <c r="EQ21">
        <v>46.936999999999998</v>
      </c>
      <c r="ER21">
        <v>46.875</v>
      </c>
      <c r="ES21">
        <v>47.561999999999998</v>
      </c>
      <c r="ET21">
        <v>1755.49</v>
      </c>
      <c r="EU21">
        <v>39.479999999999997</v>
      </c>
      <c r="EV21">
        <v>0</v>
      </c>
      <c r="EW21">
        <v>104.6000001430511</v>
      </c>
      <c r="EX21">
        <v>0</v>
      </c>
      <c r="EY21">
        <v>683.86148000000003</v>
      </c>
      <c r="EZ21">
        <v>-1.186769220854899</v>
      </c>
      <c r="FA21">
        <v>24.992307624499642</v>
      </c>
      <c r="FB21">
        <v>13117.748</v>
      </c>
      <c r="FC21">
        <v>15</v>
      </c>
      <c r="FD21">
        <v>1693496063.0999999</v>
      </c>
      <c r="FE21" t="s">
        <v>445</v>
      </c>
      <c r="FF21">
        <v>1693496054.0999999</v>
      </c>
      <c r="FG21">
        <v>1693496063.0999999</v>
      </c>
      <c r="FH21">
        <v>8</v>
      </c>
      <c r="FI21">
        <v>4.0000000000000001E-3</v>
      </c>
      <c r="FJ21">
        <v>-4.0000000000000001E-3</v>
      </c>
      <c r="FK21">
        <v>0.35899999999999999</v>
      </c>
      <c r="FL21">
        <v>0.193</v>
      </c>
      <c r="FM21">
        <v>70</v>
      </c>
      <c r="FN21">
        <v>24</v>
      </c>
      <c r="FO21">
        <v>0.67</v>
      </c>
      <c r="FP21">
        <v>0.04</v>
      </c>
      <c r="FQ21">
        <v>6.8586429012939787</v>
      </c>
      <c r="FR21">
        <v>0.1889264093515548</v>
      </c>
      <c r="FS21">
        <v>5.3090607982951447E-2</v>
      </c>
      <c r="FT21">
        <v>1</v>
      </c>
      <c r="FU21">
        <v>0.3056002187007959</v>
      </c>
      <c r="FV21">
        <v>4.597574708320696E-2</v>
      </c>
      <c r="FW21">
        <v>4.3656657592805233E-3</v>
      </c>
      <c r="FX21">
        <v>1</v>
      </c>
      <c r="FY21">
        <v>2</v>
      </c>
      <c r="FZ21">
        <v>2</v>
      </c>
      <c r="GA21" t="s">
        <v>422</v>
      </c>
      <c r="GB21">
        <v>2.91093</v>
      </c>
      <c r="GC21">
        <v>2.8183199999999999</v>
      </c>
      <c r="GD21">
        <v>1.6998200000000002E-2</v>
      </c>
      <c r="GE21">
        <v>1.9447200000000001E-2</v>
      </c>
      <c r="GF21">
        <v>0.13753799999999999</v>
      </c>
      <c r="GG21">
        <v>0.12146899999999999</v>
      </c>
      <c r="GH21">
        <v>27491.7</v>
      </c>
      <c r="GI21">
        <v>27492.7</v>
      </c>
      <c r="GJ21">
        <v>24803.4</v>
      </c>
      <c r="GK21">
        <v>25021.599999999999</v>
      </c>
      <c r="GL21">
        <v>28387.9</v>
      </c>
      <c r="GM21">
        <v>28745.599999999999</v>
      </c>
      <c r="GN21">
        <v>33540.199999999997</v>
      </c>
      <c r="GO21">
        <v>33439.5</v>
      </c>
      <c r="GP21">
        <v>2.0188999999999999</v>
      </c>
      <c r="GQ21">
        <v>1.9087000000000001</v>
      </c>
      <c r="GR21">
        <v>0.133246</v>
      </c>
      <c r="GS21">
        <v>0</v>
      </c>
      <c r="GT21">
        <v>27.773900000000001</v>
      </c>
      <c r="GU21">
        <v>999.9</v>
      </c>
      <c r="GV21">
        <v>51.1</v>
      </c>
      <c r="GW21">
        <v>36.6</v>
      </c>
      <c r="GX21">
        <v>31.627600000000001</v>
      </c>
      <c r="GY21">
        <v>61.745800000000003</v>
      </c>
      <c r="GZ21">
        <v>27.712299999999999</v>
      </c>
      <c r="HA21">
        <v>1</v>
      </c>
      <c r="HB21">
        <v>6.46341E-2</v>
      </c>
      <c r="HC21">
        <v>-1.17953</v>
      </c>
      <c r="HD21">
        <v>20.162800000000001</v>
      </c>
      <c r="HE21">
        <v>5.2364600000000001</v>
      </c>
      <c r="HF21">
        <v>11.915900000000001</v>
      </c>
      <c r="HG21">
        <v>4.9618000000000002</v>
      </c>
      <c r="HH21">
        <v>3.2890000000000001</v>
      </c>
      <c r="HI21">
        <v>9999</v>
      </c>
      <c r="HJ21">
        <v>9999</v>
      </c>
      <c r="HK21">
        <v>9999</v>
      </c>
      <c r="HL21">
        <v>891.6</v>
      </c>
      <c r="HM21">
        <v>1.8809800000000001</v>
      </c>
      <c r="HN21">
        <v>1.8781099999999999</v>
      </c>
      <c r="HO21">
        <v>1.8860300000000001</v>
      </c>
      <c r="HP21">
        <v>1.88385</v>
      </c>
      <c r="HQ21">
        <v>1.8813899999999999</v>
      </c>
      <c r="HR21">
        <v>1.8804000000000001</v>
      </c>
      <c r="HS21">
        <v>1.8815599999999999</v>
      </c>
      <c r="HT21">
        <v>1.881</v>
      </c>
      <c r="HU21">
        <v>5</v>
      </c>
      <c r="HV21">
        <v>0</v>
      </c>
      <c r="HW21">
        <v>0</v>
      </c>
      <c r="HX21">
        <v>0</v>
      </c>
      <c r="HY21" t="s">
        <v>423</v>
      </c>
      <c r="HZ21" t="s">
        <v>424</v>
      </c>
      <c r="IA21" t="s">
        <v>425</v>
      </c>
      <c r="IB21" t="s">
        <v>425</v>
      </c>
      <c r="IC21" t="s">
        <v>425</v>
      </c>
      <c r="ID21" t="s">
        <v>425</v>
      </c>
      <c r="IE21">
        <v>0</v>
      </c>
      <c r="IF21">
        <v>100</v>
      </c>
      <c r="IG21">
        <v>100</v>
      </c>
      <c r="IH21">
        <v>0.34300000000000003</v>
      </c>
      <c r="II21">
        <v>0.30420000000000003</v>
      </c>
      <c r="IJ21">
        <v>0.21599443829184661</v>
      </c>
      <c r="IK21">
        <v>2.2153513873161218E-3</v>
      </c>
      <c r="IL21">
        <v>-2.2967369670569612E-6</v>
      </c>
      <c r="IM21">
        <v>7.7859689150384122E-10</v>
      </c>
      <c r="IN21">
        <v>-9.2605062542769886E-2</v>
      </c>
      <c r="IO21">
        <v>-4.1434251034592161E-3</v>
      </c>
      <c r="IP21">
        <v>8.3987709687394815E-4</v>
      </c>
      <c r="IQ21">
        <v>-7.4586254598011197E-6</v>
      </c>
      <c r="IR21">
        <v>2</v>
      </c>
      <c r="IS21">
        <v>1930</v>
      </c>
      <c r="IT21">
        <v>2</v>
      </c>
      <c r="IU21">
        <v>41</v>
      </c>
      <c r="IV21">
        <v>0.7</v>
      </c>
      <c r="IW21">
        <v>0.5</v>
      </c>
      <c r="IX21">
        <v>0.30029299999999998</v>
      </c>
      <c r="IY21">
        <v>2.5634800000000002</v>
      </c>
      <c r="IZ21">
        <v>1.24512</v>
      </c>
      <c r="JA21">
        <v>2.2619600000000002</v>
      </c>
      <c r="JB21">
        <v>1.4501999999999999</v>
      </c>
      <c r="JC21">
        <v>2.34985</v>
      </c>
      <c r="JD21">
        <v>42.164999999999999</v>
      </c>
      <c r="JE21">
        <v>24.14</v>
      </c>
      <c r="JF21">
        <v>18</v>
      </c>
      <c r="JG21">
        <v>494.755</v>
      </c>
      <c r="JH21">
        <v>470.59899999999999</v>
      </c>
      <c r="JI21">
        <v>29.045200000000001</v>
      </c>
      <c r="JJ21">
        <v>28.328499999999998</v>
      </c>
      <c r="JK21">
        <v>30.000399999999999</v>
      </c>
      <c r="JL21">
        <v>28.077000000000002</v>
      </c>
      <c r="JM21">
        <v>28.0091</v>
      </c>
      <c r="JN21">
        <v>6.0738799999999999</v>
      </c>
      <c r="JO21">
        <v>29.916</v>
      </c>
      <c r="JP21">
        <v>83.391199999999998</v>
      </c>
      <c r="JQ21">
        <v>28.9894</v>
      </c>
      <c r="JR21">
        <v>70</v>
      </c>
      <c r="JS21">
        <v>24.0685</v>
      </c>
      <c r="JT21">
        <v>100.107</v>
      </c>
      <c r="JU21">
        <v>99.776300000000006</v>
      </c>
    </row>
    <row r="22" spans="1:281" x14ac:dyDescent="0.25">
      <c r="A22">
        <v>6</v>
      </c>
      <c r="B22">
        <v>1693496193.5999999</v>
      </c>
      <c r="C22">
        <v>544</v>
      </c>
      <c r="D22" t="s">
        <v>446</v>
      </c>
      <c r="E22" t="s">
        <v>447</v>
      </c>
      <c r="F22" t="s">
        <v>413</v>
      </c>
      <c r="G22" t="s">
        <v>414</v>
      </c>
      <c r="H22" t="s">
        <v>415</v>
      </c>
      <c r="I22" t="s">
        <v>416</v>
      </c>
      <c r="J22">
        <v>1693496193.5999999</v>
      </c>
      <c r="K22">
        <f t="shared" si="0"/>
        <v>4.1942425020436705E-3</v>
      </c>
      <c r="L22">
        <f t="shared" si="1"/>
        <v>4.1942425020436707</v>
      </c>
      <c r="M22">
        <f t="shared" si="2"/>
        <v>2.8364180632188867</v>
      </c>
      <c r="N22">
        <f t="shared" si="3"/>
        <v>26.398599999999998</v>
      </c>
      <c r="O22">
        <f t="shared" si="4"/>
        <v>10.690548420775039</v>
      </c>
      <c r="P22">
        <f t="shared" si="5"/>
        <v>1.0665115606082016</v>
      </c>
      <c r="Q22">
        <f t="shared" si="6"/>
        <v>2.6335797730599997</v>
      </c>
      <c r="R22">
        <f t="shared" si="7"/>
        <v>0.31187147260589759</v>
      </c>
      <c r="S22">
        <f t="shared" si="8"/>
        <v>2.9174731803633907</v>
      </c>
      <c r="T22">
        <f t="shared" si="9"/>
        <v>0.29446329893728096</v>
      </c>
      <c r="U22">
        <f t="shared" si="10"/>
        <v>0.18552259583923419</v>
      </c>
      <c r="V22">
        <f t="shared" si="11"/>
        <v>344.38589864458856</v>
      </c>
      <c r="W22">
        <f t="shared" si="12"/>
        <v>31.591854138837341</v>
      </c>
      <c r="X22">
        <f t="shared" si="13"/>
        <v>30.008600000000001</v>
      </c>
      <c r="Y22">
        <f t="shared" si="14"/>
        <v>4.2625547894765692</v>
      </c>
      <c r="Z22">
        <f t="shared" si="15"/>
        <v>65.40855619773285</v>
      </c>
      <c r="AA22">
        <f t="shared" si="16"/>
        <v>2.89253225603</v>
      </c>
      <c r="AB22">
        <f t="shared" si="17"/>
        <v>4.4222536380190869</v>
      </c>
      <c r="AC22">
        <f t="shared" si="18"/>
        <v>1.3700225334465692</v>
      </c>
      <c r="AD22">
        <f t="shared" si="19"/>
        <v>-184.96609434012586</v>
      </c>
      <c r="AE22">
        <f t="shared" si="20"/>
        <v>100.9624059706302</v>
      </c>
      <c r="AF22">
        <f t="shared" si="21"/>
        <v>7.7198466873032068</v>
      </c>
      <c r="AG22">
        <f t="shared" si="22"/>
        <v>268.10205696239615</v>
      </c>
      <c r="AH22">
        <v>1</v>
      </c>
      <c r="AI22">
        <v>0</v>
      </c>
      <c r="AJ22">
        <f t="shared" si="23"/>
        <v>1</v>
      </c>
      <c r="AK22">
        <f t="shared" si="24"/>
        <v>0</v>
      </c>
      <c r="AL22">
        <f t="shared" si="25"/>
        <v>51890.035093412465</v>
      </c>
      <c r="AM22" t="s">
        <v>417</v>
      </c>
      <c r="AN22">
        <v>10366.9</v>
      </c>
      <c r="AO22">
        <v>993.59653846153856</v>
      </c>
      <c r="AP22">
        <v>3431.87</v>
      </c>
      <c r="AQ22">
        <f t="shared" si="26"/>
        <v>0.71047955241266758</v>
      </c>
      <c r="AR22">
        <v>-3.9894345373445681</v>
      </c>
      <c r="AS22" t="s">
        <v>448</v>
      </c>
      <c r="AT22">
        <v>10460.5</v>
      </c>
      <c r="AU22">
        <v>686.7278846153846</v>
      </c>
      <c r="AV22">
        <v>739.21530453703303</v>
      </c>
      <c r="AW22">
        <f t="shared" si="27"/>
        <v>7.100423868323591E-2</v>
      </c>
      <c r="AX22">
        <v>0.5</v>
      </c>
      <c r="AY22">
        <f t="shared" si="28"/>
        <v>1513.2599993222943</v>
      </c>
      <c r="AZ22">
        <f t="shared" si="29"/>
        <v>2.8364180632188867</v>
      </c>
      <c r="BA22">
        <f t="shared" si="30"/>
        <v>53.723937090836799</v>
      </c>
      <c r="BB22">
        <f t="shared" si="31"/>
        <v>4.5106938686150276E-3</v>
      </c>
      <c r="BC22">
        <f t="shared" si="32"/>
        <v>3.6425851560924638</v>
      </c>
      <c r="BD22">
        <f t="shared" si="33"/>
        <v>483.59541682152479</v>
      </c>
      <c r="BE22" t="s">
        <v>449</v>
      </c>
      <c r="BF22">
        <v>591.88</v>
      </c>
      <c r="BG22">
        <f t="shared" si="34"/>
        <v>591.88</v>
      </c>
      <c r="BH22">
        <f t="shared" si="35"/>
        <v>0.19931311436971455</v>
      </c>
      <c r="BI22">
        <f t="shared" si="36"/>
        <v>0.3562446902090301</v>
      </c>
      <c r="BJ22">
        <f t="shared" si="37"/>
        <v>0.94812118897001996</v>
      </c>
      <c r="BK22">
        <f t="shared" si="38"/>
        <v>-0.20633369495025522</v>
      </c>
      <c r="BL22">
        <f t="shared" si="39"/>
        <v>1.1043284266252891</v>
      </c>
      <c r="BM22">
        <f t="shared" si="40"/>
        <v>0.3070417147237493</v>
      </c>
      <c r="BN22">
        <f t="shared" si="41"/>
        <v>0.6929582852762507</v>
      </c>
      <c r="BO22">
        <v>7754</v>
      </c>
      <c r="BP22">
        <v>290.00000000000011</v>
      </c>
      <c r="BQ22">
        <v>723.51</v>
      </c>
      <c r="BR22">
        <v>175</v>
      </c>
      <c r="BS22">
        <v>10460.5</v>
      </c>
      <c r="BT22">
        <v>723.87</v>
      </c>
      <c r="BU22">
        <v>-0.36</v>
      </c>
      <c r="BV22">
        <v>300.00000000000011</v>
      </c>
      <c r="BW22">
        <v>38.200000000000003</v>
      </c>
      <c r="BX22">
        <v>739.21530453703303</v>
      </c>
      <c r="BY22">
        <v>0.95677538003877516</v>
      </c>
      <c r="BZ22">
        <v>-16.049266051139071</v>
      </c>
      <c r="CA22">
        <v>0.81940437007397671</v>
      </c>
      <c r="CB22">
        <v>0.93197792794468448</v>
      </c>
      <c r="CC22">
        <v>-1.135878709677419E-2</v>
      </c>
      <c r="CD22">
        <v>289.99999999999989</v>
      </c>
      <c r="CE22">
        <v>721.64</v>
      </c>
      <c r="CF22">
        <v>705</v>
      </c>
      <c r="CG22">
        <v>10436.4</v>
      </c>
      <c r="CH22">
        <v>723.84</v>
      </c>
      <c r="CI22">
        <v>-2.2000000000000002</v>
      </c>
      <c r="CW22">
        <f t="shared" si="42"/>
        <v>1800.09</v>
      </c>
      <c r="CX22">
        <f t="shared" si="43"/>
        <v>1513.2599993222943</v>
      </c>
      <c r="CY22">
        <f t="shared" si="44"/>
        <v>0.84065796672516058</v>
      </c>
      <c r="CZ22">
        <f t="shared" si="45"/>
        <v>0.19131593345032114</v>
      </c>
      <c r="DA22">
        <v>6</v>
      </c>
      <c r="DB22">
        <v>0.5</v>
      </c>
      <c r="DC22" t="s">
        <v>420</v>
      </c>
      <c r="DD22">
        <v>2</v>
      </c>
      <c r="DE22">
        <v>1693496193.5999999</v>
      </c>
      <c r="DF22">
        <v>26.398599999999998</v>
      </c>
      <c r="DG22">
        <v>29.931000000000001</v>
      </c>
      <c r="DH22">
        <v>28.994299999999999</v>
      </c>
      <c r="DI22">
        <v>24.1129</v>
      </c>
      <c r="DJ22">
        <v>26.058199999999999</v>
      </c>
      <c r="DK22">
        <v>28.6951</v>
      </c>
      <c r="DL22">
        <v>500.59</v>
      </c>
      <c r="DM22">
        <v>99.662000000000006</v>
      </c>
      <c r="DN22">
        <v>0.10009999999999999</v>
      </c>
      <c r="DO22">
        <v>30.650500000000001</v>
      </c>
      <c r="DP22">
        <v>30.008600000000001</v>
      </c>
      <c r="DQ22">
        <v>999.9</v>
      </c>
      <c r="DR22">
        <v>0</v>
      </c>
      <c r="DS22">
        <v>0</v>
      </c>
      <c r="DT22">
        <v>9965</v>
      </c>
      <c r="DU22">
        <v>0</v>
      </c>
      <c r="DV22">
        <v>1142.98</v>
      </c>
      <c r="DW22">
        <v>-3.5323899999999999</v>
      </c>
      <c r="DX22">
        <v>27.186800000000002</v>
      </c>
      <c r="DY22">
        <v>30.670500000000001</v>
      </c>
      <c r="DZ22">
        <v>4.8813599999999999</v>
      </c>
      <c r="EA22">
        <v>29.931000000000001</v>
      </c>
      <c r="EB22">
        <v>24.1129</v>
      </c>
      <c r="EC22">
        <v>2.8896299999999999</v>
      </c>
      <c r="ED22">
        <v>2.4031500000000001</v>
      </c>
      <c r="EE22">
        <v>23.4053</v>
      </c>
      <c r="EF22">
        <v>20.385000000000002</v>
      </c>
      <c r="EG22">
        <v>1800.09</v>
      </c>
      <c r="EH22">
        <v>0.97800699999999996</v>
      </c>
      <c r="EI22">
        <v>2.1992899999999999E-2</v>
      </c>
      <c r="EJ22">
        <v>0</v>
      </c>
      <c r="EK22">
        <v>686.56799999999998</v>
      </c>
      <c r="EL22">
        <v>5.0010300000000001</v>
      </c>
      <c r="EM22">
        <v>12758.9</v>
      </c>
      <c r="EN22">
        <v>14701.9</v>
      </c>
      <c r="EO22">
        <v>45.686999999999998</v>
      </c>
      <c r="EP22">
        <v>47.25</v>
      </c>
      <c r="EQ22">
        <v>47</v>
      </c>
      <c r="ER22">
        <v>46.811999999999998</v>
      </c>
      <c r="ES22">
        <v>47.625</v>
      </c>
      <c r="ET22">
        <v>1755.61</v>
      </c>
      <c r="EU22">
        <v>39.479999999999997</v>
      </c>
      <c r="EV22">
        <v>0</v>
      </c>
      <c r="EW22">
        <v>98.600000143051147</v>
      </c>
      <c r="EX22">
        <v>0</v>
      </c>
      <c r="EY22">
        <v>686.7278846153846</v>
      </c>
      <c r="EZ22">
        <v>-1.3609914495232649</v>
      </c>
      <c r="FA22">
        <v>1261.347010427332</v>
      </c>
      <c r="FB22">
        <v>12695.73846153846</v>
      </c>
      <c r="FC22">
        <v>15</v>
      </c>
      <c r="FD22">
        <v>1693496163.5999999</v>
      </c>
      <c r="FE22" t="s">
        <v>450</v>
      </c>
      <c r="FF22">
        <v>1693496150.5999999</v>
      </c>
      <c r="FG22">
        <v>1693496163.5999999</v>
      </c>
      <c r="FH22">
        <v>9</v>
      </c>
      <c r="FI22">
        <v>6.8000000000000005E-2</v>
      </c>
      <c r="FJ22">
        <v>-5.0000000000000001E-3</v>
      </c>
      <c r="FK22">
        <v>0.34799999999999998</v>
      </c>
      <c r="FL22">
        <v>0.18</v>
      </c>
      <c r="FM22">
        <v>30</v>
      </c>
      <c r="FN22">
        <v>24</v>
      </c>
      <c r="FO22">
        <v>0.84</v>
      </c>
      <c r="FP22">
        <v>0.06</v>
      </c>
      <c r="FQ22">
        <v>2.8739739855796769</v>
      </c>
      <c r="FR22">
        <v>1.3867091499607929E-2</v>
      </c>
      <c r="FS22">
        <v>4.5914531429724757E-2</v>
      </c>
      <c r="FT22">
        <v>1</v>
      </c>
      <c r="FU22">
        <v>0.31259573597566093</v>
      </c>
      <c r="FV22">
        <v>4.5794299241103141E-2</v>
      </c>
      <c r="FW22">
        <v>3.929166183440691E-3</v>
      </c>
      <c r="FX22">
        <v>1</v>
      </c>
      <c r="FY22">
        <v>2</v>
      </c>
      <c r="FZ22">
        <v>2</v>
      </c>
      <c r="GA22" t="s">
        <v>422</v>
      </c>
      <c r="GB22">
        <v>2.9114300000000002</v>
      </c>
      <c r="GC22">
        <v>2.8178000000000001</v>
      </c>
      <c r="GD22">
        <v>7.3017100000000003E-3</v>
      </c>
      <c r="GE22">
        <v>8.4059800000000004E-3</v>
      </c>
      <c r="GF22">
        <v>0.13747500000000001</v>
      </c>
      <c r="GG22">
        <v>0.12107800000000001</v>
      </c>
      <c r="GH22">
        <v>27759</v>
      </c>
      <c r="GI22">
        <v>27799.4</v>
      </c>
      <c r="GJ22">
        <v>24800.3</v>
      </c>
      <c r="GK22">
        <v>25019.5</v>
      </c>
      <c r="GL22">
        <v>28386.3</v>
      </c>
      <c r="GM22">
        <v>28755.5</v>
      </c>
      <c r="GN22">
        <v>33535.199999999997</v>
      </c>
      <c r="GO22">
        <v>33435.599999999999</v>
      </c>
      <c r="GP22">
        <v>2.0182000000000002</v>
      </c>
      <c r="GQ22">
        <v>1.9056</v>
      </c>
      <c r="GR22">
        <v>0.13530300000000001</v>
      </c>
      <c r="GS22">
        <v>0</v>
      </c>
      <c r="GT22">
        <v>27.802700000000002</v>
      </c>
      <c r="GU22">
        <v>999.9</v>
      </c>
      <c r="GV22">
        <v>50.8</v>
      </c>
      <c r="GW22">
        <v>36.799999999999997</v>
      </c>
      <c r="GX22">
        <v>31.791399999999999</v>
      </c>
      <c r="GY22">
        <v>61.9758</v>
      </c>
      <c r="GZ22">
        <v>26.225999999999999</v>
      </c>
      <c r="HA22">
        <v>1</v>
      </c>
      <c r="HB22">
        <v>7.0762199999999997E-2</v>
      </c>
      <c r="HC22">
        <v>-0.18410699999999999</v>
      </c>
      <c r="HD22">
        <v>20.167899999999999</v>
      </c>
      <c r="HE22">
        <v>5.2394499999999997</v>
      </c>
      <c r="HF22">
        <v>11.9153</v>
      </c>
      <c r="HG22">
        <v>4.9615999999999998</v>
      </c>
      <c r="HH22">
        <v>3.2890000000000001</v>
      </c>
      <c r="HI22">
        <v>9999</v>
      </c>
      <c r="HJ22">
        <v>9999</v>
      </c>
      <c r="HK22">
        <v>9999</v>
      </c>
      <c r="HL22">
        <v>891.6</v>
      </c>
      <c r="HM22">
        <v>1.8809499999999999</v>
      </c>
      <c r="HN22">
        <v>1.87805</v>
      </c>
      <c r="HO22">
        <v>1.88605</v>
      </c>
      <c r="HP22">
        <v>1.88384</v>
      </c>
      <c r="HQ22">
        <v>1.8813</v>
      </c>
      <c r="HR22">
        <v>1.8803399999999999</v>
      </c>
      <c r="HS22">
        <v>1.8814599999999999</v>
      </c>
      <c r="HT22">
        <v>1.8809800000000001</v>
      </c>
      <c r="HU22">
        <v>5</v>
      </c>
      <c r="HV22">
        <v>0</v>
      </c>
      <c r="HW22">
        <v>0</v>
      </c>
      <c r="HX22">
        <v>0</v>
      </c>
      <c r="HY22" t="s">
        <v>423</v>
      </c>
      <c r="HZ22" t="s">
        <v>424</v>
      </c>
      <c r="IA22" t="s">
        <v>425</v>
      </c>
      <c r="IB22" t="s">
        <v>425</v>
      </c>
      <c r="IC22" t="s">
        <v>425</v>
      </c>
      <c r="ID22" t="s">
        <v>425</v>
      </c>
      <c r="IE22">
        <v>0</v>
      </c>
      <c r="IF22">
        <v>100</v>
      </c>
      <c r="IG22">
        <v>100</v>
      </c>
      <c r="IH22">
        <v>0.34</v>
      </c>
      <c r="II22">
        <v>0.29920000000000002</v>
      </c>
      <c r="IJ22">
        <v>0.28416792122378509</v>
      </c>
      <c r="IK22">
        <v>2.2153513873161218E-3</v>
      </c>
      <c r="IL22">
        <v>-2.2967369670569612E-6</v>
      </c>
      <c r="IM22">
        <v>7.7859689150384122E-10</v>
      </c>
      <c r="IN22">
        <v>-9.7268452658459945E-2</v>
      </c>
      <c r="IO22">
        <v>-4.1434251034592161E-3</v>
      </c>
      <c r="IP22">
        <v>8.3987709687394815E-4</v>
      </c>
      <c r="IQ22">
        <v>-7.4586254598011197E-6</v>
      </c>
      <c r="IR22">
        <v>2</v>
      </c>
      <c r="IS22">
        <v>1930</v>
      </c>
      <c r="IT22">
        <v>2</v>
      </c>
      <c r="IU22">
        <v>41</v>
      </c>
      <c r="IV22">
        <v>0.7</v>
      </c>
      <c r="IW22">
        <v>0.5</v>
      </c>
      <c r="IX22">
        <v>0.21362300000000001</v>
      </c>
      <c r="IY22">
        <v>2.5854499999999998</v>
      </c>
      <c r="IZ22">
        <v>1.24512</v>
      </c>
      <c r="JA22">
        <v>2.2607400000000002</v>
      </c>
      <c r="JB22">
        <v>1.4501999999999999</v>
      </c>
      <c r="JC22">
        <v>2.48047</v>
      </c>
      <c r="JD22">
        <v>42.271000000000001</v>
      </c>
      <c r="JE22">
        <v>24.148800000000001</v>
      </c>
      <c r="JF22">
        <v>18</v>
      </c>
      <c r="JG22">
        <v>494.96</v>
      </c>
      <c r="JH22">
        <v>469.09199999999998</v>
      </c>
      <c r="JI22">
        <v>28.621600000000001</v>
      </c>
      <c r="JJ22">
        <v>28.417100000000001</v>
      </c>
      <c r="JK22">
        <v>30.000399999999999</v>
      </c>
      <c r="JL22">
        <v>28.151700000000002</v>
      </c>
      <c r="JM22">
        <v>28.077400000000001</v>
      </c>
      <c r="JN22">
        <v>4.34389</v>
      </c>
      <c r="JO22">
        <v>29.9757</v>
      </c>
      <c r="JP22">
        <v>82.004599999999996</v>
      </c>
      <c r="JQ22">
        <v>28.628799999999998</v>
      </c>
      <c r="JR22">
        <v>30</v>
      </c>
      <c r="JS22">
        <v>24.099299999999999</v>
      </c>
      <c r="JT22">
        <v>100.093</v>
      </c>
      <c r="JU22">
        <v>99.766000000000005</v>
      </c>
    </row>
    <row r="23" spans="1:281" x14ac:dyDescent="0.25">
      <c r="A23">
        <v>7</v>
      </c>
      <c r="B23">
        <v>1693496293.0999999</v>
      </c>
      <c r="C23">
        <v>643.5</v>
      </c>
      <c r="D23" t="s">
        <v>451</v>
      </c>
      <c r="E23" t="s">
        <v>452</v>
      </c>
      <c r="F23" t="s">
        <v>413</v>
      </c>
      <c r="G23" t="s">
        <v>414</v>
      </c>
      <c r="H23" t="s">
        <v>415</v>
      </c>
      <c r="I23" t="s">
        <v>416</v>
      </c>
      <c r="J23">
        <v>1693496293.0999999</v>
      </c>
      <c r="K23">
        <f t="shared" si="0"/>
        <v>4.3121772592212351E-3</v>
      </c>
      <c r="L23">
        <f t="shared" si="1"/>
        <v>4.3121772592212348</v>
      </c>
      <c r="M23">
        <f t="shared" si="2"/>
        <v>0.75473585401963983</v>
      </c>
      <c r="N23">
        <f t="shared" si="3"/>
        <v>9.0265000000000004</v>
      </c>
      <c r="O23">
        <f t="shared" si="4"/>
        <v>4.9086695991837157</v>
      </c>
      <c r="P23">
        <f t="shared" si="5"/>
        <v>0.489685002838185</v>
      </c>
      <c r="Q23">
        <f t="shared" si="6"/>
        <v>0.90047651177295007</v>
      </c>
      <c r="R23">
        <f t="shared" si="7"/>
        <v>0.32083187035017663</v>
      </c>
      <c r="S23">
        <f t="shared" si="8"/>
        <v>2.9147985073506888</v>
      </c>
      <c r="T23">
        <f t="shared" si="9"/>
        <v>0.30242484117159441</v>
      </c>
      <c r="U23">
        <f t="shared" si="10"/>
        <v>0.19058126206182913</v>
      </c>
      <c r="V23">
        <f t="shared" si="11"/>
        <v>344.33839864440029</v>
      </c>
      <c r="W23">
        <f t="shared" si="12"/>
        <v>31.533456755899142</v>
      </c>
      <c r="X23">
        <f t="shared" si="13"/>
        <v>29.970199999999998</v>
      </c>
      <c r="Y23">
        <f t="shared" si="14"/>
        <v>4.2531626504900499</v>
      </c>
      <c r="Z23">
        <f t="shared" si="15"/>
        <v>65.266363450349232</v>
      </c>
      <c r="AA23">
        <f t="shared" si="16"/>
        <v>2.8815946691206507</v>
      </c>
      <c r="AB23">
        <f t="shared" si="17"/>
        <v>4.415129810798784</v>
      </c>
      <c r="AC23">
        <f t="shared" si="18"/>
        <v>1.3715679813693993</v>
      </c>
      <c r="AD23">
        <f t="shared" si="19"/>
        <v>-190.16701713165648</v>
      </c>
      <c r="AE23">
        <f t="shared" si="20"/>
        <v>102.47270062935826</v>
      </c>
      <c r="AF23">
        <f t="shared" si="21"/>
        <v>7.8399352392889607</v>
      </c>
      <c r="AG23">
        <f t="shared" si="22"/>
        <v>264.48401738139103</v>
      </c>
      <c r="AH23">
        <v>1</v>
      </c>
      <c r="AI23">
        <v>0</v>
      </c>
      <c r="AJ23">
        <f t="shared" si="23"/>
        <v>1</v>
      </c>
      <c r="AK23">
        <f t="shared" si="24"/>
        <v>0</v>
      </c>
      <c r="AL23">
        <f t="shared" si="25"/>
        <v>51818.705375043355</v>
      </c>
      <c r="AM23" t="s">
        <v>417</v>
      </c>
      <c r="AN23">
        <v>10366.9</v>
      </c>
      <c r="AO23">
        <v>993.59653846153856</v>
      </c>
      <c r="AP23">
        <v>3431.87</v>
      </c>
      <c r="AQ23">
        <f t="shared" si="26"/>
        <v>0.71047955241266758</v>
      </c>
      <c r="AR23">
        <v>-3.9894345373445681</v>
      </c>
      <c r="AS23" t="s">
        <v>453</v>
      </c>
      <c r="AT23">
        <v>10464.9</v>
      </c>
      <c r="AU23">
        <v>687.94099999999992</v>
      </c>
      <c r="AV23">
        <v>728.22194513415741</v>
      </c>
      <c r="AW23">
        <f t="shared" si="27"/>
        <v>5.5314104996844971E-2</v>
      </c>
      <c r="AX23">
        <v>0.5</v>
      </c>
      <c r="AY23">
        <f t="shared" si="28"/>
        <v>1513.0499993221999</v>
      </c>
      <c r="AZ23">
        <f t="shared" si="29"/>
        <v>0.75473585401963983</v>
      </c>
      <c r="BA23">
        <f t="shared" si="30"/>
        <v>41.84650326399219</v>
      </c>
      <c r="BB23">
        <f t="shared" si="31"/>
        <v>3.1355014001450388E-3</v>
      </c>
      <c r="BC23">
        <f t="shared" si="32"/>
        <v>3.7126703924965625</v>
      </c>
      <c r="BD23">
        <f t="shared" si="33"/>
        <v>478.86616927908699</v>
      </c>
      <c r="BE23" t="s">
        <v>454</v>
      </c>
      <c r="BF23">
        <v>594.79</v>
      </c>
      <c r="BG23">
        <f t="shared" si="34"/>
        <v>594.79</v>
      </c>
      <c r="BH23">
        <f t="shared" si="35"/>
        <v>0.18322977771505611</v>
      </c>
      <c r="BI23">
        <f t="shared" si="36"/>
        <v>0.30188381870366598</v>
      </c>
      <c r="BJ23">
        <f t="shared" si="37"/>
        <v>0.95296856446270195</v>
      </c>
      <c r="BK23">
        <f t="shared" si="38"/>
        <v>-0.15178900372148524</v>
      </c>
      <c r="BL23">
        <f t="shared" si="39"/>
        <v>1.1088370921118664</v>
      </c>
      <c r="BM23">
        <f t="shared" si="40"/>
        <v>0.26100708712920656</v>
      </c>
      <c r="BN23">
        <f t="shared" si="41"/>
        <v>0.73899291287079349</v>
      </c>
      <c r="BO23">
        <v>7756</v>
      </c>
      <c r="BP23">
        <v>290.00000000000011</v>
      </c>
      <c r="BQ23">
        <v>718.77</v>
      </c>
      <c r="BR23">
        <v>145</v>
      </c>
      <c r="BS23">
        <v>10464.9</v>
      </c>
      <c r="BT23">
        <v>716.93</v>
      </c>
      <c r="BU23">
        <v>1.84</v>
      </c>
      <c r="BV23">
        <v>300.00000000000011</v>
      </c>
      <c r="BW23">
        <v>38.200000000000003</v>
      </c>
      <c r="BX23">
        <v>728.22194513415741</v>
      </c>
      <c r="BY23">
        <v>0.8866363964618732</v>
      </c>
      <c r="BZ23">
        <v>-11.81544487575238</v>
      </c>
      <c r="CA23">
        <v>0.75931768918056042</v>
      </c>
      <c r="CB23">
        <v>0.89634717062077796</v>
      </c>
      <c r="CC23">
        <v>-1.135861802002224E-2</v>
      </c>
      <c r="CD23">
        <v>289.99999999999989</v>
      </c>
      <c r="CE23">
        <v>716.13</v>
      </c>
      <c r="CF23">
        <v>645</v>
      </c>
      <c r="CG23">
        <v>10440.700000000001</v>
      </c>
      <c r="CH23">
        <v>716.91</v>
      </c>
      <c r="CI23">
        <v>-0.78</v>
      </c>
      <c r="CW23">
        <f t="shared" si="42"/>
        <v>1799.84</v>
      </c>
      <c r="CX23">
        <f t="shared" si="43"/>
        <v>1513.0499993221999</v>
      </c>
      <c r="CY23">
        <f t="shared" si="44"/>
        <v>0.84065805811749938</v>
      </c>
      <c r="CZ23">
        <f t="shared" si="45"/>
        <v>0.19131611623499883</v>
      </c>
      <c r="DA23">
        <v>6</v>
      </c>
      <c r="DB23">
        <v>0.5</v>
      </c>
      <c r="DC23" t="s">
        <v>420</v>
      </c>
      <c r="DD23">
        <v>2</v>
      </c>
      <c r="DE23">
        <v>1693496293.0999999</v>
      </c>
      <c r="DF23">
        <v>9.0265000000000004</v>
      </c>
      <c r="DG23">
        <v>9.9784100000000002</v>
      </c>
      <c r="DH23">
        <v>28.8855</v>
      </c>
      <c r="DI23">
        <v>23.8629</v>
      </c>
      <c r="DJ23">
        <v>8.6777599999999993</v>
      </c>
      <c r="DK23">
        <v>28.595099999999999</v>
      </c>
      <c r="DL23">
        <v>500.25299999999999</v>
      </c>
      <c r="DM23">
        <v>99.659800000000004</v>
      </c>
      <c r="DN23">
        <v>9.9410299999999993E-2</v>
      </c>
      <c r="DO23">
        <v>30.622299999999999</v>
      </c>
      <c r="DP23">
        <v>29.970199999999998</v>
      </c>
      <c r="DQ23">
        <v>999.9</v>
      </c>
      <c r="DR23">
        <v>0</v>
      </c>
      <c r="DS23">
        <v>0</v>
      </c>
      <c r="DT23">
        <v>9950</v>
      </c>
      <c r="DU23">
        <v>0</v>
      </c>
      <c r="DV23">
        <v>1605.37</v>
      </c>
      <c r="DW23">
        <v>-0.95191400000000004</v>
      </c>
      <c r="DX23">
        <v>9.2949900000000003</v>
      </c>
      <c r="DY23">
        <v>10.222300000000001</v>
      </c>
      <c r="DZ23">
        <v>5.0225799999999996</v>
      </c>
      <c r="EA23">
        <v>9.9784100000000002</v>
      </c>
      <c r="EB23">
        <v>23.8629</v>
      </c>
      <c r="EC23">
        <v>2.8787199999999999</v>
      </c>
      <c r="ED23">
        <v>2.3781699999999999</v>
      </c>
      <c r="EE23">
        <v>23.342600000000001</v>
      </c>
      <c r="EF23">
        <v>20.215900000000001</v>
      </c>
      <c r="EG23">
        <v>1799.84</v>
      </c>
      <c r="EH23">
        <v>0.97800299999999996</v>
      </c>
      <c r="EI23">
        <v>2.1996499999999999E-2</v>
      </c>
      <c r="EJ23">
        <v>0</v>
      </c>
      <c r="EK23">
        <v>687.81500000000005</v>
      </c>
      <c r="EL23">
        <v>5.0010300000000001</v>
      </c>
      <c r="EM23">
        <v>13190.8</v>
      </c>
      <c r="EN23">
        <v>14699.8</v>
      </c>
      <c r="EO23">
        <v>45.75</v>
      </c>
      <c r="EP23">
        <v>47.186999999999998</v>
      </c>
      <c r="EQ23">
        <v>47</v>
      </c>
      <c r="ER23">
        <v>46.686999999999998</v>
      </c>
      <c r="ES23">
        <v>47.686999999999998</v>
      </c>
      <c r="ET23">
        <v>1755.36</v>
      </c>
      <c r="EU23">
        <v>39.479999999999997</v>
      </c>
      <c r="EV23">
        <v>0</v>
      </c>
      <c r="EW23">
        <v>97.400000095367432</v>
      </c>
      <c r="EX23">
        <v>0</v>
      </c>
      <c r="EY23">
        <v>687.94099999999992</v>
      </c>
      <c r="EZ23">
        <v>-1.757401724075512</v>
      </c>
      <c r="FA23">
        <v>99.702564175463934</v>
      </c>
      <c r="FB23">
        <v>13181.61153846154</v>
      </c>
      <c r="FC23">
        <v>15</v>
      </c>
      <c r="FD23">
        <v>1693496261.0999999</v>
      </c>
      <c r="FE23" t="s">
        <v>455</v>
      </c>
      <c r="FF23">
        <v>1693496251.0999999</v>
      </c>
      <c r="FG23">
        <v>1693496261.0999999</v>
      </c>
      <c r="FH23">
        <v>10</v>
      </c>
      <c r="FI23">
        <v>4.5999999999999999E-2</v>
      </c>
      <c r="FJ23">
        <v>-6.0000000000000001E-3</v>
      </c>
      <c r="FK23">
        <v>0.35099999999999998</v>
      </c>
      <c r="FL23">
        <v>0.17199999999999999</v>
      </c>
      <c r="FM23">
        <v>10</v>
      </c>
      <c r="FN23">
        <v>24</v>
      </c>
      <c r="FO23">
        <v>0.92</v>
      </c>
      <c r="FP23">
        <v>0.03</v>
      </c>
      <c r="FQ23">
        <v>0.77110940541108897</v>
      </c>
      <c r="FR23">
        <v>-0.28250420395625481</v>
      </c>
      <c r="FS23">
        <v>3.8296046162882347E-2</v>
      </c>
      <c r="FT23">
        <v>1</v>
      </c>
      <c r="FU23">
        <v>0.32609383623966681</v>
      </c>
      <c r="FV23">
        <v>-1.788727039749979E-2</v>
      </c>
      <c r="FW23">
        <v>2.9558291482489289E-3</v>
      </c>
      <c r="FX23">
        <v>1</v>
      </c>
      <c r="FY23">
        <v>2</v>
      </c>
      <c r="FZ23">
        <v>2</v>
      </c>
      <c r="GA23" t="s">
        <v>422</v>
      </c>
      <c r="GB23">
        <v>2.91045</v>
      </c>
      <c r="GC23">
        <v>2.81698</v>
      </c>
      <c r="GD23">
        <v>2.4348600000000001E-3</v>
      </c>
      <c r="GE23">
        <v>2.80883E-3</v>
      </c>
      <c r="GF23">
        <v>0.137128</v>
      </c>
      <c r="GG23">
        <v>0.120197</v>
      </c>
      <c r="GH23">
        <v>27893.8</v>
      </c>
      <c r="GI23">
        <v>27953.8</v>
      </c>
      <c r="GJ23">
        <v>24799.3</v>
      </c>
      <c r="GK23">
        <v>25017.599999999999</v>
      </c>
      <c r="GL23">
        <v>28396.9</v>
      </c>
      <c r="GM23">
        <v>28782</v>
      </c>
      <c r="GN23">
        <v>33533.699999999997</v>
      </c>
      <c r="GO23">
        <v>33432.1</v>
      </c>
      <c r="GP23">
        <v>2.0173000000000001</v>
      </c>
      <c r="GQ23">
        <v>1.9041999999999999</v>
      </c>
      <c r="GR23">
        <v>0.138879</v>
      </c>
      <c r="GS23">
        <v>0</v>
      </c>
      <c r="GT23">
        <v>27.7058</v>
      </c>
      <c r="GU23">
        <v>999.9</v>
      </c>
      <c r="GV23">
        <v>50.4</v>
      </c>
      <c r="GW23">
        <v>36.9</v>
      </c>
      <c r="GX23">
        <v>31.714200000000002</v>
      </c>
      <c r="GY23">
        <v>62.025799999999997</v>
      </c>
      <c r="GZ23">
        <v>27.664300000000001</v>
      </c>
      <c r="HA23">
        <v>1</v>
      </c>
      <c r="HB23">
        <v>7.4634099999999995E-2</v>
      </c>
      <c r="HC23">
        <v>-0.68374699999999999</v>
      </c>
      <c r="HD23">
        <v>20.1646</v>
      </c>
      <c r="HE23">
        <v>5.2262700000000004</v>
      </c>
      <c r="HF23">
        <v>11.915900000000001</v>
      </c>
      <c r="HG23">
        <v>4.96</v>
      </c>
      <c r="HH23">
        <v>3.2866</v>
      </c>
      <c r="HI23">
        <v>9999</v>
      </c>
      <c r="HJ23">
        <v>9999</v>
      </c>
      <c r="HK23">
        <v>9999</v>
      </c>
      <c r="HL23">
        <v>891.6</v>
      </c>
      <c r="HM23">
        <v>1.8809499999999999</v>
      </c>
      <c r="HN23">
        <v>1.87805</v>
      </c>
      <c r="HO23">
        <v>1.88602</v>
      </c>
      <c r="HP23">
        <v>1.88384</v>
      </c>
      <c r="HQ23">
        <v>1.88137</v>
      </c>
      <c r="HR23">
        <v>1.8803399999999999</v>
      </c>
      <c r="HS23">
        <v>1.88147</v>
      </c>
      <c r="HT23">
        <v>1.88096</v>
      </c>
      <c r="HU23">
        <v>5</v>
      </c>
      <c r="HV23">
        <v>0</v>
      </c>
      <c r="HW23">
        <v>0</v>
      </c>
      <c r="HX23">
        <v>0</v>
      </c>
      <c r="HY23" t="s">
        <v>423</v>
      </c>
      <c r="HZ23" t="s">
        <v>424</v>
      </c>
      <c r="IA23" t="s">
        <v>425</v>
      </c>
      <c r="IB23" t="s">
        <v>425</v>
      </c>
      <c r="IC23" t="s">
        <v>425</v>
      </c>
      <c r="ID23" t="s">
        <v>425</v>
      </c>
      <c r="IE23">
        <v>0</v>
      </c>
      <c r="IF23">
        <v>100</v>
      </c>
      <c r="IG23">
        <v>100</v>
      </c>
      <c r="IH23">
        <v>0.34899999999999998</v>
      </c>
      <c r="II23">
        <v>0.29039999999999999</v>
      </c>
      <c r="IJ23">
        <v>0.32968081048223191</v>
      </c>
      <c r="IK23">
        <v>2.2153513873161218E-3</v>
      </c>
      <c r="IL23">
        <v>-2.2967369670569612E-6</v>
      </c>
      <c r="IM23">
        <v>7.7859689150384122E-10</v>
      </c>
      <c r="IN23">
        <v>-0.1034494966595066</v>
      </c>
      <c r="IO23">
        <v>-4.1434251034592161E-3</v>
      </c>
      <c r="IP23">
        <v>8.3987709687394815E-4</v>
      </c>
      <c r="IQ23">
        <v>-7.4586254598011197E-6</v>
      </c>
      <c r="IR23">
        <v>2</v>
      </c>
      <c r="IS23">
        <v>1930</v>
      </c>
      <c r="IT23">
        <v>2</v>
      </c>
      <c r="IU23">
        <v>41</v>
      </c>
      <c r="IV23">
        <v>0.7</v>
      </c>
      <c r="IW23">
        <v>0.5</v>
      </c>
      <c r="IX23">
        <v>0.17089799999999999</v>
      </c>
      <c r="IY23">
        <v>2.6122999999999998</v>
      </c>
      <c r="IZ23">
        <v>1.24512</v>
      </c>
      <c r="JA23">
        <v>2.2607400000000002</v>
      </c>
      <c r="JB23">
        <v>1.4501999999999999</v>
      </c>
      <c r="JC23">
        <v>2.2424300000000001</v>
      </c>
      <c r="JD23">
        <v>42.271000000000001</v>
      </c>
      <c r="JE23">
        <v>24.14</v>
      </c>
      <c r="JF23">
        <v>18</v>
      </c>
      <c r="JG23">
        <v>494.86200000000002</v>
      </c>
      <c r="JH23">
        <v>468.642</v>
      </c>
      <c r="JI23">
        <v>28.933599999999998</v>
      </c>
      <c r="JJ23">
        <v>28.472999999999999</v>
      </c>
      <c r="JK23">
        <v>30.0001</v>
      </c>
      <c r="JL23">
        <v>28.2072</v>
      </c>
      <c r="JM23">
        <v>28.133900000000001</v>
      </c>
      <c r="JN23">
        <v>3.4973100000000001</v>
      </c>
      <c r="JO23">
        <v>30.866599999999998</v>
      </c>
      <c r="JP23">
        <v>80.408900000000003</v>
      </c>
      <c r="JQ23">
        <v>28.942499999999999</v>
      </c>
      <c r="JR23">
        <v>10</v>
      </c>
      <c r="JS23">
        <v>23.842600000000001</v>
      </c>
      <c r="JT23">
        <v>100.089</v>
      </c>
      <c r="JU23">
        <v>99.756799999999998</v>
      </c>
    </row>
    <row r="24" spans="1:281" x14ac:dyDescent="0.25">
      <c r="A24">
        <v>8</v>
      </c>
      <c r="B24">
        <v>1693496482.5999999</v>
      </c>
      <c r="C24">
        <v>833</v>
      </c>
      <c r="D24" t="s">
        <v>456</v>
      </c>
      <c r="E24" t="s">
        <v>457</v>
      </c>
      <c r="F24" t="s">
        <v>413</v>
      </c>
      <c r="G24" t="s">
        <v>414</v>
      </c>
      <c r="H24" t="s">
        <v>415</v>
      </c>
      <c r="I24" t="s">
        <v>416</v>
      </c>
      <c r="J24">
        <v>1693496482.5999999</v>
      </c>
      <c r="K24">
        <f t="shared" si="0"/>
        <v>4.267727953330973E-3</v>
      </c>
      <c r="L24">
        <f t="shared" si="1"/>
        <v>4.2677279533309731</v>
      </c>
      <c r="M24">
        <f t="shared" si="2"/>
        <v>33.45097588222913</v>
      </c>
      <c r="N24">
        <f t="shared" si="3"/>
        <v>358.03500000000003</v>
      </c>
      <c r="O24">
        <f t="shared" si="4"/>
        <v>171.36031290311328</v>
      </c>
      <c r="P24">
        <f t="shared" si="5"/>
        <v>17.09428911761032</v>
      </c>
      <c r="Q24">
        <f t="shared" si="6"/>
        <v>35.716285180245002</v>
      </c>
      <c r="R24">
        <f t="shared" si="7"/>
        <v>0.31133095479346179</v>
      </c>
      <c r="S24">
        <f t="shared" si="8"/>
        <v>2.9270155820338868</v>
      </c>
      <c r="T24">
        <f t="shared" si="9"/>
        <v>0.2940344568966054</v>
      </c>
      <c r="U24">
        <f t="shared" si="10"/>
        <v>0.1852454342237671</v>
      </c>
      <c r="V24">
        <f t="shared" si="11"/>
        <v>344.37641180431649</v>
      </c>
      <c r="W24">
        <f t="shared" si="12"/>
        <v>31.625333503509356</v>
      </c>
      <c r="X24">
        <f t="shared" si="13"/>
        <v>30.0365</v>
      </c>
      <c r="Y24">
        <f t="shared" si="14"/>
        <v>4.269390097830418</v>
      </c>
      <c r="Z24">
        <f t="shared" si="15"/>
        <v>64.768424769972782</v>
      </c>
      <c r="AA24">
        <f t="shared" si="16"/>
        <v>2.8733236933837998</v>
      </c>
      <c r="AB24">
        <f t="shared" si="17"/>
        <v>4.436303188765983</v>
      </c>
      <c r="AC24">
        <f t="shared" si="18"/>
        <v>1.3960664044466182</v>
      </c>
      <c r="AD24">
        <f t="shared" si="19"/>
        <v>-188.2068027418959</v>
      </c>
      <c r="AE24">
        <f t="shared" si="20"/>
        <v>105.6479462872399</v>
      </c>
      <c r="AF24">
        <f t="shared" si="21"/>
        <v>8.0551016326488138</v>
      </c>
      <c r="AG24">
        <f t="shared" si="22"/>
        <v>269.87265698230931</v>
      </c>
      <c r="AH24">
        <v>1</v>
      </c>
      <c r="AI24">
        <v>0</v>
      </c>
      <c r="AJ24">
        <f t="shared" si="23"/>
        <v>1</v>
      </c>
      <c r="AK24">
        <f t="shared" si="24"/>
        <v>0</v>
      </c>
      <c r="AL24">
        <f t="shared" si="25"/>
        <v>52152.232412556979</v>
      </c>
      <c r="AM24" t="s">
        <v>417</v>
      </c>
      <c r="AN24">
        <v>10366.9</v>
      </c>
      <c r="AO24">
        <v>993.59653846153856</v>
      </c>
      <c r="AP24">
        <v>3431.87</v>
      </c>
      <c r="AQ24">
        <f t="shared" si="26"/>
        <v>0.71047955241266758</v>
      </c>
      <c r="AR24">
        <v>-3.9894345373445681</v>
      </c>
      <c r="AS24" t="s">
        <v>458</v>
      </c>
      <c r="AT24">
        <v>10456.1</v>
      </c>
      <c r="AU24">
        <v>706.39900000000011</v>
      </c>
      <c r="AV24">
        <v>962.15619814989032</v>
      </c>
      <c r="AW24">
        <f t="shared" si="27"/>
        <v>0.26581671317160382</v>
      </c>
      <c r="AX24">
        <v>0.5</v>
      </c>
      <c r="AY24">
        <f t="shared" si="28"/>
        <v>1513.2180059021582</v>
      </c>
      <c r="AZ24">
        <f t="shared" si="29"/>
        <v>33.45097588222913</v>
      </c>
      <c r="BA24">
        <f t="shared" si="30"/>
        <v>201.11931832050016</v>
      </c>
      <c r="BB24">
        <f t="shared" si="31"/>
        <v>2.4742244854040231E-2</v>
      </c>
      <c r="BC24">
        <f t="shared" si="32"/>
        <v>2.566853289101156</v>
      </c>
      <c r="BD24">
        <f t="shared" si="33"/>
        <v>569.99846598119916</v>
      </c>
      <c r="BE24" t="s">
        <v>459</v>
      </c>
      <c r="BF24">
        <v>587.21</v>
      </c>
      <c r="BG24">
        <f t="shared" si="34"/>
        <v>587.21</v>
      </c>
      <c r="BH24">
        <f t="shared" si="35"/>
        <v>0.38969368889465805</v>
      </c>
      <c r="BI24">
        <f t="shared" si="36"/>
        <v>0.68211705949248613</v>
      </c>
      <c r="BJ24">
        <f t="shared" si="37"/>
        <v>0.86819296571474613</v>
      </c>
      <c r="BK24">
        <f t="shared" si="38"/>
        <v>-8.1346828823966462</v>
      </c>
      <c r="BL24">
        <f t="shared" si="39"/>
        <v>1.0128945094992792</v>
      </c>
      <c r="BM24">
        <f t="shared" si="40"/>
        <v>0.56702509276567881</v>
      </c>
      <c r="BN24">
        <f t="shared" si="41"/>
        <v>0.43297490723432119</v>
      </c>
      <c r="BO24">
        <v>7758</v>
      </c>
      <c r="BP24">
        <v>290.00000000000011</v>
      </c>
      <c r="BQ24">
        <v>876.89</v>
      </c>
      <c r="BR24">
        <v>225</v>
      </c>
      <c r="BS24">
        <v>10456.1</v>
      </c>
      <c r="BT24">
        <v>875.89</v>
      </c>
      <c r="BU24">
        <v>1</v>
      </c>
      <c r="BV24">
        <v>300.00000000000011</v>
      </c>
      <c r="BW24">
        <v>38.200000000000003</v>
      </c>
      <c r="BX24">
        <v>962.15619814989032</v>
      </c>
      <c r="BY24">
        <v>1.2182130112828979</v>
      </c>
      <c r="BZ24">
        <v>-90.202656718997801</v>
      </c>
      <c r="CA24">
        <v>1.0434962210840271</v>
      </c>
      <c r="CB24">
        <v>0.99626683823239104</v>
      </c>
      <c r="CC24">
        <v>-1.136146251390434E-2</v>
      </c>
      <c r="CD24">
        <v>289.99999999999989</v>
      </c>
      <c r="CE24">
        <v>858.25</v>
      </c>
      <c r="CF24">
        <v>645</v>
      </c>
      <c r="CG24">
        <v>10442.799999999999</v>
      </c>
      <c r="CH24">
        <v>875.78</v>
      </c>
      <c r="CI24">
        <v>-17.53</v>
      </c>
      <c r="CW24">
        <f t="shared" si="42"/>
        <v>1800.04</v>
      </c>
      <c r="CX24">
        <f t="shared" si="43"/>
        <v>1513.2180059021582</v>
      </c>
      <c r="CY24">
        <f t="shared" si="44"/>
        <v>0.84065798865700658</v>
      </c>
      <c r="CZ24">
        <f t="shared" si="45"/>
        <v>0.19131597731401331</v>
      </c>
      <c r="DA24">
        <v>6</v>
      </c>
      <c r="DB24">
        <v>0.5</v>
      </c>
      <c r="DC24" t="s">
        <v>420</v>
      </c>
      <c r="DD24">
        <v>2</v>
      </c>
      <c r="DE24">
        <v>1693496482.5999999</v>
      </c>
      <c r="DF24">
        <v>358.03500000000003</v>
      </c>
      <c r="DG24">
        <v>399.95100000000002</v>
      </c>
      <c r="DH24">
        <v>28.8034</v>
      </c>
      <c r="DI24">
        <v>23.836600000000001</v>
      </c>
      <c r="DJ24">
        <v>357.31</v>
      </c>
      <c r="DK24">
        <v>28.5077</v>
      </c>
      <c r="DL24">
        <v>500.70100000000002</v>
      </c>
      <c r="DM24">
        <v>99.656300000000002</v>
      </c>
      <c r="DN24">
        <v>0.100107</v>
      </c>
      <c r="DO24">
        <v>30.706</v>
      </c>
      <c r="DP24">
        <v>30.0365</v>
      </c>
      <c r="DQ24">
        <v>999.9</v>
      </c>
      <c r="DR24">
        <v>0</v>
      </c>
      <c r="DS24">
        <v>0</v>
      </c>
      <c r="DT24">
        <v>10020</v>
      </c>
      <c r="DU24">
        <v>0</v>
      </c>
      <c r="DV24">
        <v>1617.4</v>
      </c>
      <c r="DW24">
        <v>-41.915500000000002</v>
      </c>
      <c r="DX24">
        <v>368.654</v>
      </c>
      <c r="DY24">
        <v>409.71699999999998</v>
      </c>
      <c r="DZ24">
        <v>4.96678</v>
      </c>
      <c r="EA24">
        <v>399.95100000000002</v>
      </c>
      <c r="EB24">
        <v>23.836600000000001</v>
      </c>
      <c r="EC24">
        <v>2.8704399999999999</v>
      </c>
      <c r="ED24">
        <v>2.37547</v>
      </c>
      <c r="EE24">
        <v>23.294899999999998</v>
      </c>
      <c r="EF24">
        <v>20.197500000000002</v>
      </c>
      <c r="EG24">
        <v>1800.04</v>
      </c>
      <c r="EH24">
        <v>0.97800299999999996</v>
      </c>
      <c r="EI24">
        <v>2.1996499999999999E-2</v>
      </c>
      <c r="EJ24">
        <v>0</v>
      </c>
      <c r="EK24">
        <v>706.202</v>
      </c>
      <c r="EL24">
        <v>5.0010300000000001</v>
      </c>
      <c r="EM24">
        <v>13529.2</v>
      </c>
      <c r="EN24">
        <v>14701.5</v>
      </c>
      <c r="EO24">
        <v>45.686999999999998</v>
      </c>
      <c r="EP24">
        <v>47.186999999999998</v>
      </c>
      <c r="EQ24">
        <v>47</v>
      </c>
      <c r="ER24">
        <v>46.561999999999998</v>
      </c>
      <c r="ES24">
        <v>47.5</v>
      </c>
      <c r="ET24">
        <v>1755.55</v>
      </c>
      <c r="EU24">
        <v>39.479999999999997</v>
      </c>
      <c r="EV24">
        <v>0</v>
      </c>
      <c r="EW24">
        <v>187.4000000953674</v>
      </c>
      <c r="EX24">
        <v>0</v>
      </c>
      <c r="EY24">
        <v>706.39900000000011</v>
      </c>
      <c r="EZ24">
        <v>1.4000000039932381</v>
      </c>
      <c r="FA24">
        <v>37.377777777071628</v>
      </c>
      <c r="FB24">
        <v>13524.17307692308</v>
      </c>
      <c r="FC24">
        <v>15</v>
      </c>
      <c r="FD24">
        <v>1693496386.5999999</v>
      </c>
      <c r="FE24" t="s">
        <v>460</v>
      </c>
      <c r="FF24">
        <v>1693496386.5999999</v>
      </c>
      <c r="FG24">
        <v>1693496382.5999999</v>
      </c>
      <c r="FH24">
        <v>11</v>
      </c>
      <c r="FI24">
        <v>-0.13800000000000001</v>
      </c>
      <c r="FJ24">
        <v>7.0000000000000001E-3</v>
      </c>
      <c r="FK24">
        <v>0.76</v>
      </c>
      <c r="FL24">
        <v>0.17399999999999999</v>
      </c>
      <c r="FM24">
        <v>400</v>
      </c>
      <c r="FN24">
        <v>24</v>
      </c>
      <c r="FO24">
        <v>0.26</v>
      </c>
      <c r="FP24">
        <v>0.05</v>
      </c>
      <c r="FQ24">
        <v>33.122109797218151</v>
      </c>
      <c r="FR24">
        <v>2.6105439821442822</v>
      </c>
      <c r="FS24">
        <v>0.20639271895468339</v>
      </c>
      <c r="FT24">
        <v>0</v>
      </c>
      <c r="FU24">
        <v>0.31216641772192277</v>
      </c>
      <c r="FV24">
        <v>-2.0560316516258438E-3</v>
      </c>
      <c r="FW24">
        <v>6.0088693851615088E-4</v>
      </c>
      <c r="FX24">
        <v>1</v>
      </c>
      <c r="FY24">
        <v>1</v>
      </c>
      <c r="FZ24">
        <v>2</v>
      </c>
      <c r="GA24" t="s">
        <v>461</v>
      </c>
      <c r="GB24">
        <v>2.9115500000000001</v>
      </c>
      <c r="GC24">
        <v>2.8182900000000002</v>
      </c>
      <c r="GD24">
        <v>8.4337899999999993E-2</v>
      </c>
      <c r="GE24">
        <v>9.2035500000000006E-2</v>
      </c>
      <c r="GF24">
        <v>0.136822</v>
      </c>
      <c r="GG24">
        <v>0.120086</v>
      </c>
      <c r="GH24">
        <v>25604.7</v>
      </c>
      <c r="GI24">
        <v>25451</v>
      </c>
      <c r="GJ24">
        <v>24799.9</v>
      </c>
      <c r="GK24">
        <v>25015.599999999999</v>
      </c>
      <c r="GL24">
        <v>28408.5</v>
      </c>
      <c r="GM24">
        <v>28783.4</v>
      </c>
      <c r="GN24">
        <v>33535</v>
      </c>
      <c r="GO24">
        <v>33429.300000000003</v>
      </c>
      <c r="GP24">
        <v>2.0179999999999998</v>
      </c>
      <c r="GQ24">
        <v>1.9026000000000001</v>
      </c>
      <c r="GR24">
        <v>0.14111399999999999</v>
      </c>
      <c r="GS24">
        <v>0</v>
      </c>
      <c r="GT24">
        <v>27.735800000000001</v>
      </c>
      <c r="GU24">
        <v>999.9</v>
      </c>
      <c r="GV24">
        <v>49.7</v>
      </c>
      <c r="GW24">
        <v>37.200000000000003</v>
      </c>
      <c r="GX24">
        <v>31.791399999999999</v>
      </c>
      <c r="GY24">
        <v>61.995899999999999</v>
      </c>
      <c r="GZ24">
        <v>26.5425</v>
      </c>
      <c r="HA24">
        <v>1</v>
      </c>
      <c r="HB24">
        <v>7.6280500000000001E-2</v>
      </c>
      <c r="HC24">
        <v>-0.14068600000000001</v>
      </c>
      <c r="HD24">
        <v>20.1676</v>
      </c>
      <c r="HE24">
        <v>5.2346599999999999</v>
      </c>
      <c r="HF24">
        <v>11.915900000000001</v>
      </c>
      <c r="HG24">
        <v>4.9615999999999998</v>
      </c>
      <c r="HH24">
        <v>3.2887</v>
      </c>
      <c r="HI24">
        <v>9999</v>
      </c>
      <c r="HJ24">
        <v>9999</v>
      </c>
      <c r="HK24">
        <v>9999</v>
      </c>
      <c r="HL24">
        <v>891.7</v>
      </c>
      <c r="HM24">
        <v>1.8809499999999999</v>
      </c>
      <c r="HN24">
        <v>1.8781000000000001</v>
      </c>
      <c r="HO24">
        <v>1.8860300000000001</v>
      </c>
      <c r="HP24">
        <v>1.88385</v>
      </c>
      <c r="HQ24">
        <v>1.8813200000000001</v>
      </c>
      <c r="HR24">
        <v>1.8803399999999999</v>
      </c>
      <c r="HS24">
        <v>1.88148</v>
      </c>
      <c r="HT24">
        <v>1.8810199999999999</v>
      </c>
      <c r="HU24">
        <v>5</v>
      </c>
      <c r="HV24">
        <v>0</v>
      </c>
      <c r="HW24">
        <v>0</v>
      </c>
      <c r="HX24">
        <v>0</v>
      </c>
      <c r="HY24" t="s">
        <v>423</v>
      </c>
      <c r="HZ24" t="s">
        <v>424</v>
      </c>
      <c r="IA24" t="s">
        <v>425</v>
      </c>
      <c r="IB24" t="s">
        <v>425</v>
      </c>
      <c r="IC24" t="s">
        <v>425</v>
      </c>
      <c r="ID24" t="s">
        <v>425</v>
      </c>
      <c r="IE24">
        <v>0</v>
      </c>
      <c r="IF24">
        <v>100</v>
      </c>
      <c r="IG24">
        <v>100</v>
      </c>
      <c r="IH24">
        <v>0.72499999999999998</v>
      </c>
      <c r="II24">
        <v>0.29570000000000002</v>
      </c>
      <c r="IJ24">
        <v>0.19160813505284549</v>
      </c>
      <c r="IK24">
        <v>2.2153513873161218E-3</v>
      </c>
      <c r="IL24">
        <v>-2.2967369670569612E-6</v>
      </c>
      <c r="IM24">
        <v>7.7859689150384122E-10</v>
      </c>
      <c r="IN24">
        <v>-9.5981150598212814E-2</v>
      </c>
      <c r="IO24">
        <v>-4.1434251034592161E-3</v>
      </c>
      <c r="IP24">
        <v>8.3987709687394815E-4</v>
      </c>
      <c r="IQ24">
        <v>-7.4586254598011197E-6</v>
      </c>
      <c r="IR24">
        <v>2</v>
      </c>
      <c r="IS24">
        <v>1930</v>
      </c>
      <c r="IT24">
        <v>2</v>
      </c>
      <c r="IU24">
        <v>41</v>
      </c>
      <c r="IV24">
        <v>1.6</v>
      </c>
      <c r="IW24">
        <v>1.7</v>
      </c>
      <c r="IX24">
        <v>0.99487300000000001</v>
      </c>
      <c r="IY24">
        <v>2.5341800000000001</v>
      </c>
      <c r="IZ24">
        <v>1.24512</v>
      </c>
      <c r="JA24">
        <v>2.2595200000000002</v>
      </c>
      <c r="JB24">
        <v>1.4501999999999999</v>
      </c>
      <c r="JC24">
        <v>2.2827099999999998</v>
      </c>
      <c r="JD24">
        <v>42.297499999999999</v>
      </c>
      <c r="JE24">
        <v>24.14</v>
      </c>
      <c r="JF24">
        <v>18</v>
      </c>
      <c r="JG24">
        <v>495.75900000000001</v>
      </c>
      <c r="JH24">
        <v>468.09300000000002</v>
      </c>
      <c r="JI24">
        <v>29.2044</v>
      </c>
      <c r="JJ24">
        <v>28.49</v>
      </c>
      <c r="JK24">
        <v>30</v>
      </c>
      <c r="JL24">
        <v>28.255700000000001</v>
      </c>
      <c r="JM24">
        <v>28.194199999999999</v>
      </c>
      <c r="JN24">
        <v>20.016400000000001</v>
      </c>
      <c r="JO24">
        <v>30.257999999999999</v>
      </c>
      <c r="JP24">
        <v>76.630300000000005</v>
      </c>
      <c r="JQ24">
        <v>29.096</v>
      </c>
      <c r="JR24">
        <v>400</v>
      </c>
      <c r="JS24">
        <v>23.835999999999999</v>
      </c>
      <c r="JT24">
        <v>100.092</v>
      </c>
      <c r="JU24">
        <v>99.748599999999996</v>
      </c>
    </row>
    <row r="25" spans="1:281" x14ac:dyDescent="0.25">
      <c r="A25">
        <v>9</v>
      </c>
      <c r="B25">
        <v>1693496594.5999999</v>
      </c>
      <c r="C25">
        <v>945</v>
      </c>
      <c r="D25" t="s">
        <v>462</v>
      </c>
      <c r="E25" t="s">
        <v>463</v>
      </c>
      <c r="F25" t="s">
        <v>413</v>
      </c>
      <c r="G25" t="s">
        <v>414</v>
      </c>
      <c r="H25" t="s">
        <v>415</v>
      </c>
      <c r="I25" t="s">
        <v>416</v>
      </c>
      <c r="J25">
        <v>1693496594.5999999</v>
      </c>
      <c r="K25">
        <f t="shared" si="0"/>
        <v>4.2628122042893445E-3</v>
      </c>
      <c r="L25">
        <f t="shared" si="1"/>
        <v>4.2628122042893448</v>
      </c>
      <c r="M25">
        <f t="shared" si="2"/>
        <v>36.504006816391588</v>
      </c>
      <c r="N25">
        <f t="shared" si="3"/>
        <v>354.49900000000002</v>
      </c>
      <c r="O25">
        <f t="shared" si="4"/>
        <v>156.05027858313431</v>
      </c>
      <c r="P25">
        <f t="shared" si="5"/>
        <v>15.568263832736779</v>
      </c>
      <c r="Q25">
        <f t="shared" si="6"/>
        <v>35.366383261540896</v>
      </c>
      <c r="R25">
        <f t="shared" si="7"/>
        <v>0.3187101064117423</v>
      </c>
      <c r="S25">
        <f t="shared" si="8"/>
        <v>2.9297852305158525</v>
      </c>
      <c r="T25">
        <f t="shared" si="9"/>
        <v>0.3006256264760272</v>
      </c>
      <c r="U25">
        <f t="shared" si="10"/>
        <v>0.18943026891688688</v>
      </c>
      <c r="V25">
        <f t="shared" si="11"/>
        <v>344.34029864440782</v>
      </c>
      <c r="W25">
        <f t="shared" si="12"/>
        <v>31.516459165238714</v>
      </c>
      <c r="X25">
        <f t="shared" si="13"/>
        <v>29.9575</v>
      </c>
      <c r="Y25">
        <f t="shared" si="14"/>
        <v>4.2500603676094943</v>
      </c>
      <c r="Z25">
        <f t="shared" si="15"/>
        <v>65.461858164015979</v>
      </c>
      <c r="AA25">
        <f t="shared" si="16"/>
        <v>2.8860147557675302</v>
      </c>
      <c r="AB25">
        <f t="shared" si="17"/>
        <v>4.4086966620112786</v>
      </c>
      <c r="AC25">
        <f t="shared" si="18"/>
        <v>1.3640456118419642</v>
      </c>
      <c r="AD25">
        <f t="shared" si="19"/>
        <v>-187.9900182091601</v>
      </c>
      <c r="AE25">
        <f t="shared" si="20"/>
        <v>100.97780665550228</v>
      </c>
      <c r="AF25">
        <f t="shared" si="21"/>
        <v>7.6845936701192326</v>
      </c>
      <c r="AG25">
        <f t="shared" si="22"/>
        <v>265.01268076086922</v>
      </c>
      <c r="AH25">
        <v>1</v>
      </c>
      <c r="AI25">
        <v>0</v>
      </c>
      <c r="AJ25">
        <f t="shared" si="23"/>
        <v>1</v>
      </c>
      <c r="AK25">
        <f t="shared" si="24"/>
        <v>0</v>
      </c>
      <c r="AL25">
        <f t="shared" si="25"/>
        <v>52250.196451241995</v>
      </c>
      <c r="AM25" t="s">
        <v>417</v>
      </c>
      <c r="AN25">
        <v>10366.9</v>
      </c>
      <c r="AO25">
        <v>993.59653846153856</v>
      </c>
      <c r="AP25">
        <v>3431.87</v>
      </c>
      <c r="AQ25">
        <f t="shared" si="26"/>
        <v>0.71047955241266758</v>
      </c>
      <c r="AR25">
        <v>-3.9894345373445681</v>
      </c>
      <c r="AS25" t="s">
        <v>464</v>
      </c>
      <c r="AT25">
        <v>10455</v>
      </c>
      <c r="AU25">
        <v>716.1917692307693</v>
      </c>
      <c r="AV25">
        <v>970.51874171590498</v>
      </c>
      <c r="AW25">
        <f t="shared" si="27"/>
        <v>0.26205261326069629</v>
      </c>
      <c r="AX25">
        <v>0.5</v>
      </c>
      <c r="AY25">
        <f t="shared" si="28"/>
        <v>1513.058399322204</v>
      </c>
      <c r="AZ25">
        <f t="shared" si="29"/>
        <v>36.504006816391588</v>
      </c>
      <c r="BA25">
        <f t="shared" si="30"/>
        <v>198.25045377921484</v>
      </c>
      <c r="BB25">
        <f t="shared" si="31"/>
        <v>2.676264271879775E-2</v>
      </c>
      <c r="BC25">
        <f t="shared" si="32"/>
        <v>2.5361192447786793</v>
      </c>
      <c r="BD25">
        <f t="shared" si="33"/>
        <v>572.92301456337532</v>
      </c>
      <c r="BE25" t="s">
        <v>465</v>
      </c>
      <c r="BF25">
        <v>592.54999999999995</v>
      </c>
      <c r="BG25">
        <f t="shared" si="34"/>
        <v>592.54999999999995</v>
      </c>
      <c r="BH25">
        <f t="shared" si="35"/>
        <v>0.38945022436933618</v>
      </c>
      <c r="BI25">
        <f t="shared" si="36"/>
        <v>0.67287832144674287</v>
      </c>
      <c r="BJ25">
        <f t="shared" si="37"/>
        <v>0.86688054121553582</v>
      </c>
      <c r="BK25">
        <f t="shared" si="38"/>
        <v>-11.02041825258971</v>
      </c>
      <c r="BL25">
        <f t="shared" si="39"/>
        <v>1.0094648106989084</v>
      </c>
      <c r="BM25">
        <f t="shared" si="40"/>
        <v>0.55671409041953812</v>
      </c>
      <c r="BN25">
        <f t="shared" si="41"/>
        <v>0.44328590958046188</v>
      </c>
      <c r="BO25">
        <v>7760</v>
      </c>
      <c r="BP25">
        <v>290.00000000000011</v>
      </c>
      <c r="BQ25">
        <v>894.16</v>
      </c>
      <c r="BR25">
        <v>225</v>
      </c>
      <c r="BS25">
        <v>10455</v>
      </c>
      <c r="BT25">
        <v>892.61</v>
      </c>
      <c r="BU25">
        <v>1.55</v>
      </c>
      <c r="BV25">
        <v>300.00000000000011</v>
      </c>
      <c r="BW25">
        <v>38.200000000000003</v>
      </c>
      <c r="BX25">
        <v>970.51874171590498</v>
      </c>
      <c r="BY25">
        <v>1.0210659518942671</v>
      </c>
      <c r="BZ25">
        <v>-81.451745962223228</v>
      </c>
      <c r="CA25">
        <v>0.87453165017217782</v>
      </c>
      <c r="CB25">
        <v>0.99678257275651039</v>
      </c>
      <c r="CC25">
        <v>-1.1360681868743051E-2</v>
      </c>
      <c r="CD25">
        <v>289.99999999999989</v>
      </c>
      <c r="CE25">
        <v>882.76</v>
      </c>
      <c r="CF25">
        <v>635</v>
      </c>
      <c r="CG25">
        <v>10442.6</v>
      </c>
      <c r="CH25">
        <v>892.52</v>
      </c>
      <c r="CI25">
        <v>-9.76</v>
      </c>
      <c r="CW25">
        <f t="shared" si="42"/>
        <v>1799.85</v>
      </c>
      <c r="CX25">
        <f t="shared" si="43"/>
        <v>1513.058399322204</v>
      </c>
      <c r="CY25">
        <f t="shared" si="44"/>
        <v>0.84065805446131847</v>
      </c>
      <c r="CZ25">
        <f t="shared" si="45"/>
        <v>0.19131610892263679</v>
      </c>
      <c r="DA25">
        <v>6</v>
      </c>
      <c r="DB25">
        <v>0.5</v>
      </c>
      <c r="DC25" t="s">
        <v>420</v>
      </c>
      <c r="DD25">
        <v>2</v>
      </c>
      <c r="DE25">
        <v>1693496594.5999999</v>
      </c>
      <c r="DF25">
        <v>354.49900000000002</v>
      </c>
      <c r="DG25">
        <v>400.07499999999999</v>
      </c>
      <c r="DH25">
        <v>28.9283</v>
      </c>
      <c r="DI25">
        <v>23.965499999999999</v>
      </c>
      <c r="DJ25">
        <v>353.863</v>
      </c>
      <c r="DK25">
        <v>28.6264</v>
      </c>
      <c r="DL25">
        <v>500.46300000000002</v>
      </c>
      <c r="DM25">
        <v>99.664599999999993</v>
      </c>
      <c r="DN25">
        <v>9.9809099999999998E-2</v>
      </c>
      <c r="DO25">
        <v>30.596800000000002</v>
      </c>
      <c r="DP25">
        <v>29.9575</v>
      </c>
      <c r="DQ25">
        <v>999.9</v>
      </c>
      <c r="DR25">
        <v>0</v>
      </c>
      <c r="DS25">
        <v>0</v>
      </c>
      <c r="DT25">
        <v>10035</v>
      </c>
      <c r="DU25">
        <v>0</v>
      </c>
      <c r="DV25">
        <v>1567.04</v>
      </c>
      <c r="DW25">
        <v>-45.576099999999997</v>
      </c>
      <c r="DX25">
        <v>365.05900000000003</v>
      </c>
      <c r="DY25">
        <v>409.89800000000002</v>
      </c>
      <c r="DZ25">
        <v>4.9627600000000003</v>
      </c>
      <c r="EA25">
        <v>400.07499999999999</v>
      </c>
      <c r="EB25">
        <v>23.965499999999999</v>
      </c>
      <c r="EC25">
        <v>2.8831199999999999</v>
      </c>
      <c r="ED25">
        <v>2.3885100000000001</v>
      </c>
      <c r="EE25">
        <v>23.367899999999999</v>
      </c>
      <c r="EF25">
        <v>20.286100000000001</v>
      </c>
      <c r="EG25">
        <v>1799.85</v>
      </c>
      <c r="EH25">
        <v>0.97800299999999996</v>
      </c>
      <c r="EI25">
        <v>2.1996499999999999E-2</v>
      </c>
      <c r="EJ25">
        <v>0</v>
      </c>
      <c r="EK25">
        <v>717.10500000000002</v>
      </c>
      <c r="EL25">
        <v>5.0010300000000001</v>
      </c>
      <c r="EM25">
        <v>13740.8</v>
      </c>
      <c r="EN25">
        <v>14699.9</v>
      </c>
      <c r="EO25">
        <v>45.75</v>
      </c>
      <c r="EP25">
        <v>47.436999999999998</v>
      </c>
      <c r="EQ25">
        <v>47.186999999999998</v>
      </c>
      <c r="ER25">
        <v>46.875</v>
      </c>
      <c r="ES25">
        <v>47.625</v>
      </c>
      <c r="ET25">
        <v>1755.37</v>
      </c>
      <c r="EU25">
        <v>39.479999999999997</v>
      </c>
      <c r="EV25">
        <v>0</v>
      </c>
      <c r="EW25">
        <v>110</v>
      </c>
      <c r="EX25">
        <v>0</v>
      </c>
      <c r="EY25">
        <v>716.1917692307693</v>
      </c>
      <c r="EZ25">
        <v>6.5706666632211421</v>
      </c>
      <c r="FA25">
        <v>3022.6256420867762</v>
      </c>
      <c r="FB25">
        <v>13219.823076923079</v>
      </c>
      <c r="FC25">
        <v>15</v>
      </c>
      <c r="FD25">
        <v>1693496566.0999999</v>
      </c>
      <c r="FE25" t="s">
        <v>466</v>
      </c>
      <c r="FF25">
        <v>1693496556.0999999</v>
      </c>
      <c r="FG25">
        <v>1693496566.0999999</v>
      </c>
      <c r="FH25">
        <v>12</v>
      </c>
      <c r="FI25">
        <v>-8.6999999999999994E-2</v>
      </c>
      <c r="FJ25">
        <v>3.0000000000000001E-3</v>
      </c>
      <c r="FK25">
        <v>0.67300000000000004</v>
      </c>
      <c r="FL25">
        <v>0.188</v>
      </c>
      <c r="FM25">
        <v>400</v>
      </c>
      <c r="FN25">
        <v>24</v>
      </c>
      <c r="FO25">
        <v>0.14000000000000001</v>
      </c>
      <c r="FP25">
        <v>0.05</v>
      </c>
      <c r="FQ25">
        <v>36.38536664755533</v>
      </c>
      <c r="FR25">
        <v>0.21599353798211449</v>
      </c>
      <c r="FS25">
        <v>9.9680317426008289E-2</v>
      </c>
      <c r="FT25">
        <v>1</v>
      </c>
      <c r="FU25">
        <v>0.32252973283444758</v>
      </c>
      <c r="FV25">
        <v>4.6019082143416018E-2</v>
      </c>
      <c r="FW25">
        <v>5.3219423438021799E-3</v>
      </c>
      <c r="FX25">
        <v>1</v>
      </c>
      <c r="FY25">
        <v>2</v>
      </c>
      <c r="FZ25">
        <v>2</v>
      </c>
      <c r="GA25" t="s">
        <v>422</v>
      </c>
      <c r="GB25">
        <v>2.9108100000000001</v>
      </c>
      <c r="GC25">
        <v>2.81812</v>
      </c>
      <c r="GD25">
        <v>8.3695199999999997E-2</v>
      </c>
      <c r="GE25">
        <v>9.20546E-2</v>
      </c>
      <c r="GF25">
        <v>0.13720599999999999</v>
      </c>
      <c r="GG25">
        <v>0.120528</v>
      </c>
      <c r="GH25">
        <v>25621.4</v>
      </c>
      <c r="GI25">
        <v>25448.400000000001</v>
      </c>
      <c r="GJ25">
        <v>24798.799999999999</v>
      </c>
      <c r="GK25">
        <v>25013.7</v>
      </c>
      <c r="GL25">
        <v>28394.2</v>
      </c>
      <c r="GM25">
        <v>28765.4</v>
      </c>
      <c r="GN25">
        <v>33533</v>
      </c>
      <c r="GO25">
        <v>33425.300000000003</v>
      </c>
      <c r="GP25">
        <v>2.016</v>
      </c>
      <c r="GQ25">
        <v>1.9013</v>
      </c>
      <c r="GR25">
        <v>0.126168</v>
      </c>
      <c r="GS25">
        <v>0</v>
      </c>
      <c r="GT25">
        <v>27.900700000000001</v>
      </c>
      <c r="GU25">
        <v>999.9</v>
      </c>
      <c r="GV25">
        <v>49.2</v>
      </c>
      <c r="GW25">
        <v>37.4</v>
      </c>
      <c r="GX25">
        <v>31.811900000000001</v>
      </c>
      <c r="GY25">
        <v>61.565800000000003</v>
      </c>
      <c r="GZ25">
        <v>26.730799999999999</v>
      </c>
      <c r="HA25">
        <v>1</v>
      </c>
      <c r="HB25">
        <v>7.9634099999999999E-2</v>
      </c>
      <c r="HC25">
        <v>-0.36893199999999998</v>
      </c>
      <c r="HD25">
        <v>20.1677</v>
      </c>
      <c r="HE25">
        <v>5.2358599999999997</v>
      </c>
      <c r="HF25">
        <v>11.9147</v>
      </c>
      <c r="HG25">
        <v>4.9615999999999998</v>
      </c>
      <c r="HH25">
        <v>3.2890000000000001</v>
      </c>
      <c r="HI25">
        <v>9999</v>
      </c>
      <c r="HJ25">
        <v>9999</v>
      </c>
      <c r="HK25">
        <v>9999</v>
      </c>
      <c r="HL25">
        <v>891.7</v>
      </c>
      <c r="HM25">
        <v>1.88096</v>
      </c>
      <c r="HN25">
        <v>1.87805</v>
      </c>
      <c r="HO25">
        <v>1.88602</v>
      </c>
      <c r="HP25">
        <v>1.88385</v>
      </c>
      <c r="HQ25">
        <v>1.8813200000000001</v>
      </c>
      <c r="HR25">
        <v>1.88036</v>
      </c>
      <c r="HS25">
        <v>1.8815599999999999</v>
      </c>
      <c r="HT25">
        <v>1.8810100000000001</v>
      </c>
      <c r="HU25">
        <v>5</v>
      </c>
      <c r="HV25">
        <v>0</v>
      </c>
      <c r="HW25">
        <v>0</v>
      </c>
      <c r="HX25">
        <v>0</v>
      </c>
      <c r="HY25" t="s">
        <v>423</v>
      </c>
      <c r="HZ25" t="s">
        <v>424</v>
      </c>
      <c r="IA25" t="s">
        <v>425</v>
      </c>
      <c r="IB25" t="s">
        <v>425</v>
      </c>
      <c r="IC25" t="s">
        <v>425</v>
      </c>
      <c r="ID25" t="s">
        <v>425</v>
      </c>
      <c r="IE25">
        <v>0</v>
      </c>
      <c r="IF25">
        <v>100</v>
      </c>
      <c r="IG25">
        <v>100</v>
      </c>
      <c r="IH25">
        <v>0.63600000000000001</v>
      </c>
      <c r="II25">
        <v>0.3019</v>
      </c>
      <c r="IJ25">
        <v>0.1045096793689799</v>
      </c>
      <c r="IK25">
        <v>2.2153513873161218E-3</v>
      </c>
      <c r="IL25">
        <v>-2.2967369670569612E-6</v>
      </c>
      <c r="IM25">
        <v>7.7859689150384122E-10</v>
      </c>
      <c r="IN25">
        <v>-9.2824147892733674E-2</v>
      </c>
      <c r="IO25">
        <v>-4.1434251034592161E-3</v>
      </c>
      <c r="IP25">
        <v>8.3987709687394815E-4</v>
      </c>
      <c r="IQ25">
        <v>-7.4586254598011197E-6</v>
      </c>
      <c r="IR25">
        <v>2</v>
      </c>
      <c r="IS25">
        <v>1930</v>
      </c>
      <c r="IT25">
        <v>2</v>
      </c>
      <c r="IU25">
        <v>41</v>
      </c>
      <c r="IV25">
        <v>0.6</v>
      </c>
      <c r="IW25">
        <v>0.5</v>
      </c>
      <c r="IX25">
        <v>0.99487300000000001</v>
      </c>
      <c r="IY25">
        <v>2.5305200000000001</v>
      </c>
      <c r="IZ25">
        <v>1.24512</v>
      </c>
      <c r="JA25">
        <v>2.2595200000000002</v>
      </c>
      <c r="JB25">
        <v>1.4501999999999999</v>
      </c>
      <c r="JC25">
        <v>2.4523899999999998</v>
      </c>
      <c r="JD25">
        <v>42.403799999999997</v>
      </c>
      <c r="JE25">
        <v>24.148800000000001</v>
      </c>
      <c r="JF25">
        <v>18</v>
      </c>
      <c r="JG25">
        <v>494.88799999999998</v>
      </c>
      <c r="JH25">
        <v>467.637</v>
      </c>
      <c r="JI25">
        <v>28.591000000000001</v>
      </c>
      <c r="JJ25">
        <v>28.543500000000002</v>
      </c>
      <c r="JK25">
        <v>30.0002</v>
      </c>
      <c r="JL25">
        <v>28.3066</v>
      </c>
      <c r="JM25">
        <v>28.2425</v>
      </c>
      <c r="JN25">
        <v>20.016500000000001</v>
      </c>
      <c r="JO25">
        <v>29.819500000000001</v>
      </c>
      <c r="JP25">
        <v>74.898799999999994</v>
      </c>
      <c r="JQ25">
        <v>28.556699999999999</v>
      </c>
      <c r="JR25">
        <v>400</v>
      </c>
      <c r="JS25">
        <v>23.952200000000001</v>
      </c>
      <c r="JT25">
        <v>100.087</v>
      </c>
      <c r="JU25">
        <v>99.738500000000002</v>
      </c>
    </row>
    <row r="26" spans="1:281" x14ac:dyDescent="0.25">
      <c r="A26">
        <v>10</v>
      </c>
      <c r="B26">
        <v>1693496705.5999999</v>
      </c>
      <c r="C26">
        <v>1056</v>
      </c>
      <c r="D26" t="s">
        <v>467</v>
      </c>
      <c r="E26" t="s">
        <v>468</v>
      </c>
      <c r="F26" t="s">
        <v>413</v>
      </c>
      <c r="G26" t="s">
        <v>414</v>
      </c>
      <c r="H26" t="s">
        <v>415</v>
      </c>
      <c r="I26" t="s">
        <v>416</v>
      </c>
      <c r="J26">
        <v>1693496705.5999999</v>
      </c>
      <c r="K26">
        <f t="shared" si="0"/>
        <v>4.1753646758799345E-3</v>
      </c>
      <c r="L26">
        <f t="shared" si="1"/>
        <v>4.1753646758799343</v>
      </c>
      <c r="M26">
        <f t="shared" si="2"/>
        <v>41.114786048175347</v>
      </c>
      <c r="N26">
        <f t="shared" si="3"/>
        <v>448.55399999999997</v>
      </c>
      <c r="O26">
        <f t="shared" si="4"/>
        <v>213.94294277802553</v>
      </c>
      <c r="P26">
        <f t="shared" si="5"/>
        <v>21.342755679618858</v>
      </c>
      <c r="Q26">
        <f t="shared" si="6"/>
        <v>44.747343879664797</v>
      </c>
      <c r="R26">
        <f t="shared" si="7"/>
        <v>0.30409573286542729</v>
      </c>
      <c r="S26">
        <f t="shared" si="8"/>
        <v>2.9270701249724267</v>
      </c>
      <c r="T26">
        <f t="shared" si="9"/>
        <v>0.28757120514588858</v>
      </c>
      <c r="U26">
        <f t="shared" si="10"/>
        <v>0.18114180004032546</v>
      </c>
      <c r="V26">
        <f t="shared" si="11"/>
        <v>344.39729864463374</v>
      </c>
      <c r="W26">
        <f t="shared" si="12"/>
        <v>31.631230265055244</v>
      </c>
      <c r="X26">
        <f t="shared" si="13"/>
        <v>30.1097</v>
      </c>
      <c r="Y26">
        <f t="shared" si="14"/>
        <v>4.2873690222248317</v>
      </c>
      <c r="Z26">
        <f t="shared" si="15"/>
        <v>65.235556079637234</v>
      </c>
      <c r="AA26">
        <f t="shared" si="16"/>
        <v>2.89103870459624</v>
      </c>
      <c r="AB26">
        <f t="shared" si="17"/>
        <v>4.4316916699030866</v>
      </c>
      <c r="AC26">
        <f t="shared" si="18"/>
        <v>1.3963303176285917</v>
      </c>
      <c r="AD26">
        <f t="shared" si="19"/>
        <v>-184.13358220630511</v>
      </c>
      <c r="AE26">
        <f t="shared" si="20"/>
        <v>91.226610666260413</v>
      </c>
      <c r="AF26">
        <f t="shared" si="21"/>
        <v>6.957310342626907</v>
      </c>
      <c r="AG26">
        <f t="shared" si="22"/>
        <v>258.44763744721593</v>
      </c>
      <c r="AH26">
        <v>1</v>
      </c>
      <c r="AI26">
        <v>0</v>
      </c>
      <c r="AJ26">
        <f t="shared" si="23"/>
        <v>1</v>
      </c>
      <c r="AK26">
        <f t="shared" si="24"/>
        <v>0</v>
      </c>
      <c r="AL26">
        <f t="shared" si="25"/>
        <v>52156.980286410151</v>
      </c>
      <c r="AM26" t="s">
        <v>417</v>
      </c>
      <c r="AN26">
        <v>10366.9</v>
      </c>
      <c r="AO26">
        <v>993.59653846153856</v>
      </c>
      <c r="AP26">
        <v>3431.87</v>
      </c>
      <c r="AQ26">
        <f t="shared" si="26"/>
        <v>0.71047955241266758</v>
      </c>
      <c r="AR26">
        <v>-3.9894345373445681</v>
      </c>
      <c r="AS26" t="s">
        <v>469</v>
      </c>
      <c r="AT26">
        <v>10462</v>
      </c>
      <c r="AU26">
        <v>752.71349999999995</v>
      </c>
      <c r="AV26">
        <v>1060.2061522795329</v>
      </c>
      <c r="AW26">
        <f t="shared" si="27"/>
        <v>0.2900310016296338</v>
      </c>
      <c r="AX26">
        <v>0.5</v>
      </c>
      <c r="AY26">
        <f t="shared" si="28"/>
        <v>1513.3103993223169</v>
      </c>
      <c r="AZ26">
        <f t="shared" si="29"/>
        <v>41.114786048175347</v>
      </c>
      <c r="BA26">
        <f t="shared" si="30"/>
        <v>219.45346544599633</v>
      </c>
      <c r="BB26">
        <f t="shared" si="31"/>
        <v>2.9805002731573282E-2</v>
      </c>
      <c r="BC26">
        <f t="shared" si="32"/>
        <v>2.2369836683376993</v>
      </c>
      <c r="BD26">
        <f t="shared" si="33"/>
        <v>603.03767370894911</v>
      </c>
      <c r="BE26" t="s">
        <v>470</v>
      </c>
      <c r="BF26">
        <v>608</v>
      </c>
      <c r="BG26">
        <f t="shared" si="34"/>
        <v>608</v>
      </c>
      <c r="BH26">
        <f t="shared" si="35"/>
        <v>0.42652662532400087</v>
      </c>
      <c r="BI26">
        <f t="shared" si="36"/>
        <v>0.67998334549295392</v>
      </c>
      <c r="BJ26">
        <f t="shared" si="37"/>
        <v>0.83986297093013029</v>
      </c>
      <c r="BK26">
        <f t="shared" si="38"/>
        <v>4.6163404147595397</v>
      </c>
      <c r="BL26">
        <f t="shared" si="39"/>
        <v>0.97268164753925246</v>
      </c>
      <c r="BM26">
        <f t="shared" si="40"/>
        <v>0.54925263604241992</v>
      </c>
      <c r="BN26">
        <f t="shared" si="41"/>
        <v>0.45074736395758008</v>
      </c>
      <c r="BO26">
        <v>7762</v>
      </c>
      <c r="BP26">
        <v>290.00000000000011</v>
      </c>
      <c r="BQ26">
        <v>970.86</v>
      </c>
      <c r="BR26">
        <v>175</v>
      </c>
      <c r="BS26">
        <v>10462</v>
      </c>
      <c r="BT26">
        <v>967.96</v>
      </c>
      <c r="BU26">
        <v>2.9</v>
      </c>
      <c r="BV26">
        <v>300.00000000000011</v>
      </c>
      <c r="BW26">
        <v>38.200000000000003</v>
      </c>
      <c r="BX26">
        <v>1060.2061522795329</v>
      </c>
      <c r="BY26">
        <v>1.1617411786105221</v>
      </c>
      <c r="BZ26">
        <v>-96.503043757851202</v>
      </c>
      <c r="CA26">
        <v>0.99505109957691551</v>
      </c>
      <c r="CB26">
        <v>0.99703191838949867</v>
      </c>
      <c r="CC26">
        <v>-1.136092502780868E-2</v>
      </c>
      <c r="CD26">
        <v>289.99999999999989</v>
      </c>
      <c r="CE26">
        <v>955.61</v>
      </c>
      <c r="CF26">
        <v>635</v>
      </c>
      <c r="CG26">
        <v>10443</v>
      </c>
      <c r="CH26">
        <v>967.8</v>
      </c>
      <c r="CI26">
        <v>-12.19</v>
      </c>
      <c r="CW26">
        <f t="shared" si="42"/>
        <v>1800.15</v>
      </c>
      <c r="CX26">
        <f t="shared" si="43"/>
        <v>1513.3103993223169</v>
      </c>
      <c r="CY26">
        <f t="shared" si="44"/>
        <v>0.84065794479477651</v>
      </c>
      <c r="CZ26">
        <f t="shared" si="45"/>
        <v>0.19131588958955295</v>
      </c>
      <c r="DA26">
        <v>6</v>
      </c>
      <c r="DB26">
        <v>0.5</v>
      </c>
      <c r="DC26" t="s">
        <v>420</v>
      </c>
      <c r="DD26">
        <v>2</v>
      </c>
      <c r="DE26">
        <v>1693496705.5999999</v>
      </c>
      <c r="DF26">
        <v>448.55399999999997</v>
      </c>
      <c r="DG26">
        <v>500.089</v>
      </c>
      <c r="DH26">
        <v>28.9802</v>
      </c>
      <c r="DI26">
        <v>24.119700000000002</v>
      </c>
      <c r="DJ26">
        <v>447.858</v>
      </c>
      <c r="DK26">
        <v>28.678100000000001</v>
      </c>
      <c r="DL26">
        <v>500.48700000000002</v>
      </c>
      <c r="DM26">
        <v>99.659400000000005</v>
      </c>
      <c r="DN26">
        <v>9.9701200000000004E-2</v>
      </c>
      <c r="DO26">
        <v>30.687799999999999</v>
      </c>
      <c r="DP26">
        <v>30.1097</v>
      </c>
      <c r="DQ26">
        <v>999.9</v>
      </c>
      <c r="DR26">
        <v>0</v>
      </c>
      <c r="DS26">
        <v>0</v>
      </c>
      <c r="DT26">
        <v>10020</v>
      </c>
      <c r="DU26">
        <v>0</v>
      </c>
      <c r="DV26">
        <v>1575.7</v>
      </c>
      <c r="DW26">
        <v>-51.535800000000002</v>
      </c>
      <c r="DX26">
        <v>461.94099999999997</v>
      </c>
      <c r="DY26">
        <v>512.45000000000005</v>
      </c>
      <c r="DZ26">
        <v>4.8605600000000004</v>
      </c>
      <c r="EA26">
        <v>500.089</v>
      </c>
      <c r="EB26">
        <v>24.119700000000002</v>
      </c>
      <c r="EC26">
        <v>2.88815</v>
      </c>
      <c r="ED26">
        <v>2.4037500000000001</v>
      </c>
      <c r="EE26">
        <v>23.396799999999999</v>
      </c>
      <c r="EF26">
        <v>20.389099999999999</v>
      </c>
      <c r="EG26">
        <v>1800.15</v>
      </c>
      <c r="EH26">
        <v>0.97800699999999996</v>
      </c>
      <c r="EI26">
        <v>2.1992999999999999E-2</v>
      </c>
      <c r="EJ26">
        <v>0</v>
      </c>
      <c r="EK26">
        <v>753.47299999999996</v>
      </c>
      <c r="EL26">
        <v>5.0010300000000001</v>
      </c>
      <c r="EM26">
        <v>14353.2</v>
      </c>
      <c r="EN26">
        <v>14702.4</v>
      </c>
      <c r="EO26">
        <v>45.875</v>
      </c>
      <c r="EP26">
        <v>47.625</v>
      </c>
      <c r="EQ26">
        <v>47.311999999999998</v>
      </c>
      <c r="ER26">
        <v>46.936999999999998</v>
      </c>
      <c r="ES26">
        <v>47.811999999999998</v>
      </c>
      <c r="ET26">
        <v>1755.67</v>
      </c>
      <c r="EU26">
        <v>39.479999999999997</v>
      </c>
      <c r="EV26">
        <v>0</v>
      </c>
      <c r="EW26">
        <v>108.7999999523163</v>
      </c>
      <c r="EX26">
        <v>0</v>
      </c>
      <c r="EY26">
        <v>752.71349999999995</v>
      </c>
      <c r="EZ26">
        <v>5.4132307647096454</v>
      </c>
      <c r="FA26">
        <v>92.84786330868333</v>
      </c>
      <c r="FB26">
        <v>14340.1</v>
      </c>
      <c r="FC26">
        <v>15</v>
      </c>
      <c r="FD26">
        <v>1693496677.5999999</v>
      </c>
      <c r="FE26" t="s">
        <v>471</v>
      </c>
      <c r="FF26">
        <v>1693496677.5999999</v>
      </c>
      <c r="FG26">
        <v>1693496667.5999999</v>
      </c>
      <c r="FH26">
        <v>13</v>
      </c>
      <c r="FI26">
        <v>-1.0999999999999999E-2</v>
      </c>
      <c r="FJ26">
        <v>-1E-3</v>
      </c>
      <c r="FK26">
        <v>0.72399999999999998</v>
      </c>
      <c r="FL26">
        <v>0.18099999999999999</v>
      </c>
      <c r="FM26">
        <v>500</v>
      </c>
      <c r="FN26">
        <v>24</v>
      </c>
      <c r="FO26">
        <v>0.12</v>
      </c>
      <c r="FP26">
        <v>0.05</v>
      </c>
      <c r="FQ26">
        <v>40.982172255552577</v>
      </c>
      <c r="FR26">
        <v>-0.56709964380748634</v>
      </c>
      <c r="FS26">
        <v>9.1195174698938508E-2</v>
      </c>
      <c r="FT26">
        <v>1</v>
      </c>
      <c r="FU26">
        <v>0.29984316935955913</v>
      </c>
      <c r="FV26">
        <v>4.8602276398481928E-2</v>
      </c>
      <c r="FW26">
        <v>5.3627814309098734E-3</v>
      </c>
      <c r="FX26">
        <v>1</v>
      </c>
      <c r="FY26">
        <v>2</v>
      </c>
      <c r="FZ26">
        <v>2</v>
      </c>
      <c r="GA26" t="s">
        <v>422</v>
      </c>
      <c r="GB26">
        <v>2.9107400000000001</v>
      </c>
      <c r="GC26">
        <v>2.8178899999999998</v>
      </c>
      <c r="GD26">
        <v>0.100218</v>
      </c>
      <c r="GE26">
        <v>0.10870199999999999</v>
      </c>
      <c r="GF26">
        <v>0.13735</v>
      </c>
      <c r="GG26">
        <v>0.12103700000000001</v>
      </c>
      <c r="GH26">
        <v>25157</v>
      </c>
      <c r="GI26">
        <v>24979.599999999999</v>
      </c>
      <c r="GJ26">
        <v>24796.5</v>
      </c>
      <c r="GK26">
        <v>25011.7</v>
      </c>
      <c r="GL26">
        <v>28387.1</v>
      </c>
      <c r="GM26">
        <v>28745.4</v>
      </c>
      <c r="GN26">
        <v>33530</v>
      </c>
      <c r="GO26">
        <v>33421.5</v>
      </c>
      <c r="GP26">
        <v>2.0150999999999999</v>
      </c>
      <c r="GQ26">
        <v>1.9007000000000001</v>
      </c>
      <c r="GR26">
        <v>0.12940199999999999</v>
      </c>
      <c r="GS26">
        <v>0</v>
      </c>
      <c r="GT26">
        <v>28.000499999999999</v>
      </c>
      <c r="GU26">
        <v>999.9</v>
      </c>
      <c r="GV26">
        <v>48.9</v>
      </c>
      <c r="GW26">
        <v>37.5</v>
      </c>
      <c r="GX26">
        <v>31.790099999999999</v>
      </c>
      <c r="GY26">
        <v>61.5959</v>
      </c>
      <c r="GZ26">
        <v>26.277999999999999</v>
      </c>
      <c r="HA26">
        <v>1</v>
      </c>
      <c r="HB26">
        <v>8.5162600000000005E-2</v>
      </c>
      <c r="HC26">
        <v>0.73062099999999996</v>
      </c>
      <c r="HD26">
        <v>20.165600000000001</v>
      </c>
      <c r="HE26">
        <v>5.2358599999999997</v>
      </c>
      <c r="HF26">
        <v>11.9177</v>
      </c>
      <c r="HG26">
        <v>4.9615999999999998</v>
      </c>
      <c r="HH26">
        <v>3.2890000000000001</v>
      </c>
      <c r="HI26">
        <v>9999</v>
      </c>
      <c r="HJ26">
        <v>9999</v>
      </c>
      <c r="HK26">
        <v>9999</v>
      </c>
      <c r="HL26">
        <v>891.7</v>
      </c>
      <c r="HM26">
        <v>1.8809499999999999</v>
      </c>
      <c r="HN26">
        <v>1.87805</v>
      </c>
      <c r="HO26">
        <v>1.88601</v>
      </c>
      <c r="HP26">
        <v>1.88384</v>
      </c>
      <c r="HQ26">
        <v>1.8813500000000001</v>
      </c>
      <c r="HR26">
        <v>1.88039</v>
      </c>
      <c r="HS26">
        <v>1.88151</v>
      </c>
      <c r="HT26">
        <v>1.881</v>
      </c>
      <c r="HU26">
        <v>5</v>
      </c>
      <c r="HV26">
        <v>0</v>
      </c>
      <c r="HW26">
        <v>0</v>
      </c>
      <c r="HX26">
        <v>0</v>
      </c>
      <c r="HY26" t="s">
        <v>423</v>
      </c>
      <c r="HZ26" t="s">
        <v>424</v>
      </c>
      <c r="IA26" t="s">
        <v>425</v>
      </c>
      <c r="IB26" t="s">
        <v>425</v>
      </c>
      <c r="IC26" t="s">
        <v>425</v>
      </c>
      <c r="ID26" t="s">
        <v>425</v>
      </c>
      <c r="IE26">
        <v>0</v>
      </c>
      <c r="IF26">
        <v>100</v>
      </c>
      <c r="IG26">
        <v>100</v>
      </c>
      <c r="IH26">
        <v>0.69599999999999995</v>
      </c>
      <c r="II26">
        <v>0.30209999999999998</v>
      </c>
      <c r="IJ26">
        <v>9.3713345953381488E-2</v>
      </c>
      <c r="IK26">
        <v>2.2153513873161218E-3</v>
      </c>
      <c r="IL26">
        <v>-2.2967369670569612E-6</v>
      </c>
      <c r="IM26">
        <v>7.7859689150384122E-10</v>
      </c>
      <c r="IN26">
        <v>-9.3871718873534835E-2</v>
      </c>
      <c r="IO26">
        <v>-4.1434251034592161E-3</v>
      </c>
      <c r="IP26">
        <v>8.3987709687394815E-4</v>
      </c>
      <c r="IQ26">
        <v>-7.4586254598011197E-6</v>
      </c>
      <c r="IR26">
        <v>2</v>
      </c>
      <c r="IS26">
        <v>1930</v>
      </c>
      <c r="IT26">
        <v>2</v>
      </c>
      <c r="IU26">
        <v>41</v>
      </c>
      <c r="IV26">
        <v>0.5</v>
      </c>
      <c r="IW26">
        <v>0.6</v>
      </c>
      <c r="IX26">
        <v>1.18896</v>
      </c>
      <c r="IY26">
        <v>2.52441</v>
      </c>
      <c r="IZ26">
        <v>1.24512</v>
      </c>
      <c r="JA26">
        <v>2.2595200000000002</v>
      </c>
      <c r="JB26">
        <v>1.4501999999999999</v>
      </c>
      <c r="JC26">
        <v>2.4011200000000001</v>
      </c>
      <c r="JD26">
        <v>42.457099999999997</v>
      </c>
      <c r="JE26">
        <v>24.1313</v>
      </c>
      <c r="JF26">
        <v>18</v>
      </c>
      <c r="JG26">
        <v>494.76900000000001</v>
      </c>
      <c r="JH26">
        <v>467.70400000000001</v>
      </c>
      <c r="JI26">
        <v>27.839500000000001</v>
      </c>
      <c r="JJ26">
        <v>28.604600000000001</v>
      </c>
      <c r="JK26">
        <v>30.000599999999999</v>
      </c>
      <c r="JL26">
        <v>28.360099999999999</v>
      </c>
      <c r="JM26">
        <v>28.2957</v>
      </c>
      <c r="JN26">
        <v>23.915700000000001</v>
      </c>
      <c r="JO26">
        <v>29.281199999999998</v>
      </c>
      <c r="JP26">
        <v>73.262500000000003</v>
      </c>
      <c r="JQ26">
        <v>27.846399999999999</v>
      </c>
      <c r="JR26">
        <v>500</v>
      </c>
      <c r="JS26">
        <v>24.114100000000001</v>
      </c>
      <c r="JT26">
        <v>100.078</v>
      </c>
      <c r="JU26">
        <v>99.728499999999997</v>
      </c>
    </row>
    <row r="27" spans="1:281" x14ac:dyDescent="0.25">
      <c r="A27">
        <v>11</v>
      </c>
      <c r="B27">
        <v>1693496806.5999999</v>
      </c>
      <c r="C27">
        <v>1157</v>
      </c>
      <c r="D27" t="s">
        <v>472</v>
      </c>
      <c r="E27" t="s">
        <v>473</v>
      </c>
      <c r="F27" t="s">
        <v>413</v>
      </c>
      <c r="G27" t="s">
        <v>414</v>
      </c>
      <c r="H27" t="s">
        <v>415</v>
      </c>
      <c r="I27" t="s">
        <v>416</v>
      </c>
      <c r="J27">
        <v>1693496806.5999999</v>
      </c>
      <c r="K27">
        <f t="shared" si="0"/>
        <v>3.9730271273304332E-3</v>
      </c>
      <c r="L27">
        <f t="shared" si="1"/>
        <v>3.973027127330433</v>
      </c>
      <c r="M27">
        <f t="shared" si="2"/>
        <v>43.622958680738712</v>
      </c>
      <c r="N27">
        <f t="shared" si="3"/>
        <v>644.71</v>
      </c>
      <c r="O27">
        <f t="shared" si="4"/>
        <v>381.34558265348352</v>
      </c>
      <c r="P27">
        <f t="shared" si="5"/>
        <v>38.043801448787065</v>
      </c>
      <c r="Q27">
        <f t="shared" si="6"/>
        <v>64.317564822390011</v>
      </c>
      <c r="R27">
        <f t="shared" si="7"/>
        <v>0.29042044054558225</v>
      </c>
      <c r="S27">
        <f t="shared" si="8"/>
        <v>2.9332334381228975</v>
      </c>
      <c r="T27">
        <f t="shared" si="9"/>
        <v>0.27533904805878223</v>
      </c>
      <c r="U27">
        <f t="shared" si="10"/>
        <v>0.1733766181202695</v>
      </c>
      <c r="V27">
        <f t="shared" si="11"/>
        <v>344.34731180231006</v>
      </c>
      <c r="W27">
        <f t="shared" si="12"/>
        <v>31.518933325392744</v>
      </c>
      <c r="X27">
        <f t="shared" si="13"/>
        <v>30.025700000000001</v>
      </c>
      <c r="Y27">
        <f t="shared" si="14"/>
        <v>4.266743039716399</v>
      </c>
      <c r="Z27">
        <f t="shared" si="15"/>
        <v>65.565945544569075</v>
      </c>
      <c r="AA27">
        <f t="shared" si="16"/>
        <v>2.8787724365076</v>
      </c>
      <c r="AB27">
        <f t="shared" si="17"/>
        <v>4.3906519041210608</v>
      </c>
      <c r="AC27">
        <f t="shared" si="18"/>
        <v>1.3879706032087991</v>
      </c>
      <c r="AD27">
        <f t="shared" si="19"/>
        <v>-175.21049631527211</v>
      </c>
      <c r="AE27">
        <f t="shared" si="20"/>
        <v>78.973358669370839</v>
      </c>
      <c r="AF27">
        <f t="shared" si="21"/>
        <v>6.0028437099786256</v>
      </c>
      <c r="AG27">
        <f t="shared" si="22"/>
        <v>254.11301786638739</v>
      </c>
      <c r="AH27">
        <v>1</v>
      </c>
      <c r="AI27">
        <v>0</v>
      </c>
      <c r="AJ27">
        <f t="shared" si="23"/>
        <v>1</v>
      </c>
      <c r="AK27">
        <f t="shared" si="24"/>
        <v>0</v>
      </c>
      <c r="AL27">
        <f t="shared" si="25"/>
        <v>52360.959701222535</v>
      </c>
      <c r="AM27" t="s">
        <v>417</v>
      </c>
      <c r="AN27">
        <v>10366.9</v>
      </c>
      <c r="AO27">
        <v>993.59653846153856</v>
      </c>
      <c r="AP27">
        <v>3431.87</v>
      </c>
      <c r="AQ27">
        <f t="shared" si="26"/>
        <v>0.71047955241266758</v>
      </c>
      <c r="AR27">
        <v>-3.9894345373445681</v>
      </c>
      <c r="AS27" t="s">
        <v>474</v>
      </c>
      <c r="AT27">
        <v>10457.799999999999</v>
      </c>
      <c r="AU27">
        <v>774.2177307692308</v>
      </c>
      <c r="AV27">
        <v>1114.647282382135</v>
      </c>
      <c r="AW27">
        <f t="shared" si="27"/>
        <v>0.30541459795727077</v>
      </c>
      <c r="AX27">
        <v>0.5</v>
      </c>
      <c r="AY27">
        <f t="shared" si="28"/>
        <v>1513.0917059011551</v>
      </c>
      <c r="AZ27">
        <f t="shared" si="29"/>
        <v>43.622958680738712</v>
      </c>
      <c r="BA27">
        <f t="shared" si="30"/>
        <v>231.06014751514115</v>
      </c>
      <c r="BB27">
        <f t="shared" si="31"/>
        <v>3.1466958038558986E-2</v>
      </c>
      <c r="BC27">
        <f t="shared" si="32"/>
        <v>2.0788842840631001</v>
      </c>
      <c r="BD27">
        <f t="shared" si="33"/>
        <v>620.26921079186025</v>
      </c>
      <c r="BE27" t="s">
        <v>475</v>
      </c>
      <c r="BF27">
        <v>618.32000000000005</v>
      </c>
      <c r="BG27">
        <f t="shared" si="34"/>
        <v>618.32000000000005</v>
      </c>
      <c r="BH27">
        <f t="shared" si="35"/>
        <v>0.44527743459924296</v>
      </c>
      <c r="BI27">
        <f t="shared" si="36"/>
        <v>0.68589731755023464</v>
      </c>
      <c r="BJ27">
        <f t="shared" si="37"/>
        <v>0.82359393563926897</v>
      </c>
      <c r="BK27">
        <f t="shared" si="38"/>
        <v>2.812287975993025</v>
      </c>
      <c r="BL27">
        <f t="shared" si="39"/>
        <v>0.9503539099161511</v>
      </c>
      <c r="BM27">
        <f t="shared" si="40"/>
        <v>0.54778392761205408</v>
      </c>
      <c r="BN27">
        <f t="shared" si="41"/>
        <v>0.45221607238794592</v>
      </c>
      <c r="BO27">
        <v>7764</v>
      </c>
      <c r="BP27">
        <v>290.00000000000011</v>
      </c>
      <c r="BQ27">
        <v>1015.02</v>
      </c>
      <c r="BR27">
        <v>195</v>
      </c>
      <c r="BS27">
        <v>10457.799999999999</v>
      </c>
      <c r="BT27">
        <v>1012.12</v>
      </c>
      <c r="BU27">
        <v>2.9</v>
      </c>
      <c r="BV27">
        <v>300.00000000000011</v>
      </c>
      <c r="BW27">
        <v>38.200000000000003</v>
      </c>
      <c r="BX27">
        <v>1114.647282382135</v>
      </c>
      <c r="BY27">
        <v>1.217590182306552</v>
      </c>
      <c r="BZ27">
        <v>-107.22507783866079</v>
      </c>
      <c r="CA27">
        <v>1.0427316540229721</v>
      </c>
      <c r="CB27">
        <v>0.99735903932631575</v>
      </c>
      <c r="CC27">
        <v>-1.135954037819799E-2</v>
      </c>
      <c r="CD27">
        <v>289.99999999999989</v>
      </c>
      <c r="CE27">
        <v>999.02</v>
      </c>
      <c r="CF27">
        <v>635</v>
      </c>
      <c r="CG27">
        <v>10441.5</v>
      </c>
      <c r="CH27">
        <v>1011.96</v>
      </c>
      <c r="CI27">
        <v>-12.94</v>
      </c>
      <c r="CW27">
        <f t="shared" si="42"/>
        <v>1799.89</v>
      </c>
      <c r="CX27">
        <f t="shared" si="43"/>
        <v>1513.0917059011551</v>
      </c>
      <c r="CY27">
        <f t="shared" si="44"/>
        <v>0.84065787681533599</v>
      </c>
      <c r="CZ27">
        <f t="shared" si="45"/>
        <v>0.19131575363067191</v>
      </c>
      <c r="DA27">
        <v>6</v>
      </c>
      <c r="DB27">
        <v>0.5</v>
      </c>
      <c r="DC27" t="s">
        <v>420</v>
      </c>
      <c r="DD27">
        <v>2</v>
      </c>
      <c r="DE27">
        <v>1693496806.5999999</v>
      </c>
      <c r="DF27">
        <v>644.71</v>
      </c>
      <c r="DG27">
        <v>700.06</v>
      </c>
      <c r="DH27">
        <v>28.856400000000001</v>
      </c>
      <c r="DI27">
        <v>24.232299999999999</v>
      </c>
      <c r="DJ27">
        <v>644.12099999999998</v>
      </c>
      <c r="DK27">
        <v>28.556799999999999</v>
      </c>
      <c r="DL27">
        <v>500.64400000000001</v>
      </c>
      <c r="DM27">
        <v>99.662000000000006</v>
      </c>
      <c r="DN27">
        <v>0.100009</v>
      </c>
      <c r="DO27">
        <v>30.525099999999998</v>
      </c>
      <c r="DP27">
        <v>30.025700000000001</v>
      </c>
      <c r="DQ27">
        <v>999.9</v>
      </c>
      <c r="DR27">
        <v>0</v>
      </c>
      <c r="DS27">
        <v>0</v>
      </c>
      <c r="DT27">
        <v>10055</v>
      </c>
      <c r="DU27">
        <v>0</v>
      </c>
      <c r="DV27">
        <v>1583.73</v>
      </c>
      <c r="DW27">
        <v>-55.350099999999998</v>
      </c>
      <c r="DX27">
        <v>663.86699999999996</v>
      </c>
      <c r="DY27">
        <v>717.44600000000003</v>
      </c>
      <c r="DZ27">
        <v>4.6241300000000001</v>
      </c>
      <c r="EA27">
        <v>700.06</v>
      </c>
      <c r="EB27">
        <v>24.232299999999999</v>
      </c>
      <c r="EC27">
        <v>2.8758900000000001</v>
      </c>
      <c r="ED27">
        <v>2.4150399999999999</v>
      </c>
      <c r="EE27">
        <v>23.3263</v>
      </c>
      <c r="EF27">
        <v>20.465</v>
      </c>
      <c r="EG27">
        <v>1799.89</v>
      </c>
      <c r="EH27">
        <v>0.97800699999999996</v>
      </c>
      <c r="EI27">
        <v>2.1992899999999999E-2</v>
      </c>
      <c r="EJ27">
        <v>0</v>
      </c>
      <c r="EK27">
        <v>774.27599999999995</v>
      </c>
      <c r="EL27">
        <v>5.0010300000000001</v>
      </c>
      <c r="EM27">
        <v>14747.8</v>
      </c>
      <c r="EN27">
        <v>14700.2</v>
      </c>
      <c r="EO27">
        <v>46.186999999999998</v>
      </c>
      <c r="EP27">
        <v>48</v>
      </c>
      <c r="EQ27">
        <v>47.561999999999998</v>
      </c>
      <c r="ER27">
        <v>47.375</v>
      </c>
      <c r="ES27">
        <v>47.936999999999998</v>
      </c>
      <c r="ET27">
        <v>1755.41</v>
      </c>
      <c r="EU27">
        <v>39.47</v>
      </c>
      <c r="EV27">
        <v>0</v>
      </c>
      <c r="EW27">
        <v>99</v>
      </c>
      <c r="EX27">
        <v>0</v>
      </c>
      <c r="EY27">
        <v>774.2177307692308</v>
      </c>
      <c r="EZ27">
        <v>1.24215383335048</v>
      </c>
      <c r="FA27">
        <v>48.738461646750203</v>
      </c>
      <c r="FB27">
        <v>14746.54615384615</v>
      </c>
      <c r="FC27">
        <v>15</v>
      </c>
      <c r="FD27">
        <v>1693496778.5999999</v>
      </c>
      <c r="FE27" t="s">
        <v>476</v>
      </c>
      <c r="FF27">
        <v>1693496774.5999999</v>
      </c>
      <c r="FG27">
        <v>1693496778.5999999</v>
      </c>
      <c r="FH27">
        <v>14</v>
      </c>
      <c r="FI27">
        <v>-0.187</v>
      </c>
      <c r="FJ27">
        <v>1E-3</v>
      </c>
      <c r="FK27">
        <v>0.59899999999999998</v>
      </c>
      <c r="FL27">
        <v>0.187</v>
      </c>
      <c r="FM27">
        <v>700</v>
      </c>
      <c r="FN27">
        <v>24</v>
      </c>
      <c r="FO27">
        <v>0.15</v>
      </c>
      <c r="FP27">
        <v>0.06</v>
      </c>
      <c r="FQ27">
        <v>43.663640818407842</v>
      </c>
      <c r="FR27">
        <v>5.289133898468875E-2</v>
      </c>
      <c r="FS27">
        <v>8.4622900506355417E-2</v>
      </c>
      <c r="FT27">
        <v>1</v>
      </c>
      <c r="FU27">
        <v>0.29096872453908967</v>
      </c>
      <c r="FV27">
        <v>3.6431318724381649E-2</v>
      </c>
      <c r="FW27">
        <v>3.649979724018761E-3</v>
      </c>
      <c r="FX27">
        <v>1</v>
      </c>
      <c r="FY27">
        <v>2</v>
      </c>
      <c r="FZ27">
        <v>2</v>
      </c>
      <c r="GA27" t="s">
        <v>422</v>
      </c>
      <c r="GB27">
        <v>2.91092</v>
      </c>
      <c r="GC27">
        <v>2.8184999999999998</v>
      </c>
      <c r="GD27">
        <v>0.13002900000000001</v>
      </c>
      <c r="GE27">
        <v>0.13764799999999999</v>
      </c>
      <c r="GF27">
        <v>0.13693</v>
      </c>
      <c r="GG27">
        <v>0.121403</v>
      </c>
      <c r="GH27">
        <v>24319.5</v>
      </c>
      <c r="GI27">
        <v>24162.9</v>
      </c>
      <c r="GJ27">
        <v>24792.6</v>
      </c>
      <c r="GK27">
        <v>25006.400000000001</v>
      </c>
      <c r="GL27">
        <v>28397.200000000001</v>
      </c>
      <c r="GM27">
        <v>28727.599999999999</v>
      </c>
      <c r="GN27">
        <v>33524.5</v>
      </c>
      <c r="GO27">
        <v>33414.5</v>
      </c>
      <c r="GP27">
        <v>2.0139999999999998</v>
      </c>
      <c r="GQ27">
        <v>1.8976999999999999</v>
      </c>
      <c r="GR27">
        <v>0.103712</v>
      </c>
      <c r="GS27">
        <v>0</v>
      </c>
      <c r="GT27">
        <v>28.335599999999999</v>
      </c>
      <c r="GU27">
        <v>999.9</v>
      </c>
      <c r="GV27">
        <v>48.8</v>
      </c>
      <c r="GW27">
        <v>37.700000000000003</v>
      </c>
      <c r="GX27">
        <v>32.072299999999998</v>
      </c>
      <c r="GY27">
        <v>61.575899999999997</v>
      </c>
      <c r="GZ27">
        <v>27.083300000000001</v>
      </c>
      <c r="HA27">
        <v>1</v>
      </c>
      <c r="HB27">
        <v>9.3882099999999996E-2</v>
      </c>
      <c r="HC27">
        <v>1.1297900000000001</v>
      </c>
      <c r="HD27">
        <v>20.162500000000001</v>
      </c>
      <c r="HE27">
        <v>5.2346599999999999</v>
      </c>
      <c r="HF27">
        <v>11.9177</v>
      </c>
      <c r="HG27">
        <v>4.9615999999999998</v>
      </c>
      <c r="HH27">
        <v>3.2888000000000002</v>
      </c>
      <c r="HI27">
        <v>9999</v>
      </c>
      <c r="HJ27">
        <v>9999</v>
      </c>
      <c r="HK27">
        <v>9999</v>
      </c>
      <c r="HL27">
        <v>891.8</v>
      </c>
      <c r="HM27">
        <v>1.88096</v>
      </c>
      <c r="HN27">
        <v>1.87808</v>
      </c>
      <c r="HO27">
        <v>1.8860300000000001</v>
      </c>
      <c r="HP27">
        <v>1.88385</v>
      </c>
      <c r="HQ27">
        <v>1.8813800000000001</v>
      </c>
      <c r="HR27">
        <v>1.8803700000000001</v>
      </c>
      <c r="HS27">
        <v>1.88154</v>
      </c>
      <c r="HT27">
        <v>1.88106</v>
      </c>
      <c r="HU27">
        <v>5</v>
      </c>
      <c r="HV27">
        <v>0</v>
      </c>
      <c r="HW27">
        <v>0</v>
      </c>
      <c r="HX27">
        <v>0</v>
      </c>
      <c r="HY27" t="s">
        <v>423</v>
      </c>
      <c r="HZ27" t="s">
        <v>424</v>
      </c>
      <c r="IA27" t="s">
        <v>425</v>
      </c>
      <c r="IB27" t="s">
        <v>425</v>
      </c>
      <c r="IC27" t="s">
        <v>425</v>
      </c>
      <c r="ID27" t="s">
        <v>425</v>
      </c>
      <c r="IE27">
        <v>0</v>
      </c>
      <c r="IF27">
        <v>100</v>
      </c>
      <c r="IG27">
        <v>100</v>
      </c>
      <c r="IH27">
        <v>0.58899999999999997</v>
      </c>
      <c r="II27">
        <v>0.29959999999999998</v>
      </c>
      <c r="IJ27">
        <v>-9.342983466889504E-2</v>
      </c>
      <c r="IK27">
        <v>2.2153513873161218E-3</v>
      </c>
      <c r="IL27">
        <v>-2.2967369670569612E-6</v>
      </c>
      <c r="IM27">
        <v>7.7859689150384122E-10</v>
      </c>
      <c r="IN27">
        <v>-9.3308070113793648E-2</v>
      </c>
      <c r="IO27">
        <v>-4.1434251034592161E-3</v>
      </c>
      <c r="IP27">
        <v>8.3987709687394815E-4</v>
      </c>
      <c r="IQ27">
        <v>-7.4586254598011197E-6</v>
      </c>
      <c r="IR27">
        <v>2</v>
      </c>
      <c r="IS27">
        <v>1930</v>
      </c>
      <c r="IT27">
        <v>2</v>
      </c>
      <c r="IU27">
        <v>41</v>
      </c>
      <c r="IV27">
        <v>0.5</v>
      </c>
      <c r="IW27">
        <v>0.5</v>
      </c>
      <c r="IX27">
        <v>1.56128</v>
      </c>
      <c r="IY27">
        <v>2.51953</v>
      </c>
      <c r="IZ27">
        <v>1.24512</v>
      </c>
      <c r="JA27">
        <v>2.2595200000000002</v>
      </c>
      <c r="JB27">
        <v>1.4501999999999999</v>
      </c>
      <c r="JC27">
        <v>2.2277800000000001</v>
      </c>
      <c r="JD27">
        <v>42.643900000000002</v>
      </c>
      <c r="JE27">
        <v>24.14</v>
      </c>
      <c r="JF27">
        <v>18</v>
      </c>
      <c r="JG27">
        <v>494.85399999999998</v>
      </c>
      <c r="JH27">
        <v>466.45800000000003</v>
      </c>
      <c r="JI27">
        <v>26.7408</v>
      </c>
      <c r="JJ27">
        <v>28.724599999999999</v>
      </c>
      <c r="JK27">
        <v>30.000599999999999</v>
      </c>
      <c r="JL27">
        <v>28.451799999999999</v>
      </c>
      <c r="JM27">
        <v>28.3856</v>
      </c>
      <c r="JN27">
        <v>31.345800000000001</v>
      </c>
      <c r="JO27">
        <v>29.508400000000002</v>
      </c>
      <c r="JP27">
        <v>71.700199999999995</v>
      </c>
      <c r="JQ27">
        <v>26.757000000000001</v>
      </c>
      <c r="JR27">
        <v>700</v>
      </c>
      <c r="JS27">
        <v>24.0685</v>
      </c>
      <c r="JT27">
        <v>100.062</v>
      </c>
      <c r="JU27">
        <v>99.707700000000003</v>
      </c>
    </row>
    <row r="28" spans="1:281" x14ac:dyDescent="0.25">
      <c r="A28">
        <v>12</v>
      </c>
      <c r="B28">
        <v>1693496913.5999999</v>
      </c>
      <c r="C28">
        <v>1264</v>
      </c>
      <c r="D28" t="s">
        <v>477</v>
      </c>
      <c r="E28" t="s">
        <v>478</v>
      </c>
      <c r="F28" t="s">
        <v>413</v>
      </c>
      <c r="G28" t="s">
        <v>414</v>
      </c>
      <c r="H28" t="s">
        <v>415</v>
      </c>
      <c r="I28" t="s">
        <v>416</v>
      </c>
      <c r="J28">
        <v>1693496913.5999999</v>
      </c>
      <c r="K28">
        <f t="shared" si="0"/>
        <v>3.9013956711988437E-3</v>
      </c>
      <c r="L28">
        <f t="shared" si="1"/>
        <v>3.9013956711988436</v>
      </c>
      <c r="M28">
        <f t="shared" si="2"/>
        <v>43.578588348427701</v>
      </c>
      <c r="N28">
        <f t="shared" si="3"/>
        <v>843.88900000000001</v>
      </c>
      <c r="O28">
        <f t="shared" si="4"/>
        <v>567.08301586746029</v>
      </c>
      <c r="P28">
        <f t="shared" si="5"/>
        <v>56.57387682616671</v>
      </c>
      <c r="Q28">
        <f t="shared" si="6"/>
        <v>84.188859488106019</v>
      </c>
      <c r="R28">
        <f t="shared" si="7"/>
        <v>0.27997437960249094</v>
      </c>
      <c r="S28">
        <f t="shared" si="8"/>
        <v>2.9201206214670057</v>
      </c>
      <c r="T28">
        <f t="shared" si="9"/>
        <v>0.26587056397292813</v>
      </c>
      <c r="U28">
        <f t="shared" si="10"/>
        <v>0.16737704768581738</v>
      </c>
      <c r="V28">
        <f t="shared" si="11"/>
        <v>344.35669864378139</v>
      </c>
      <c r="W28">
        <f t="shared" si="12"/>
        <v>31.401873336675354</v>
      </c>
      <c r="X28">
        <f t="shared" si="13"/>
        <v>29.9344</v>
      </c>
      <c r="Y28">
        <f t="shared" si="14"/>
        <v>4.2444226880984122</v>
      </c>
      <c r="Z28">
        <f t="shared" si="15"/>
        <v>65.029333454177106</v>
      </c>
      <c r="AA28">
        <f t="shared" si="16"/>
        <v>2.832419908491</v>
      </c>
      <c r="AB28">
        <f t="shared" si="17"/>
        <v>4.3556034762171807</v>
      </c>
      <c r="AC28">
        <f t="shared" si="18"/>
        <v>1.4120027796074122</v>
      </c>
      <c r="AD28">
        <f t="shared" si="19"/>
        <v>-172.05154909986899</v>
      </c>
      <c r="AE28">
        <f t="shared" si="20"/>
        <v>70.953495005099498</v>
      </c>
      <c r="AF28">
        <f t="shared" si="21"/>
        <v>5.4112683304231144</v>
      </c>
      <c r="AG28">
        <f t="shared" si="22"/>
        <v>248.669912879435</v>
      </c>
      <c r="AH28">
        <v>1</v>
      </c>
      <c r="AI28">
        <v>0</v>
      </c>
      <c r="AJ28">
        <f t="shared" si="23"/>
        <v>1</v>
      </c>
      <c r="AK28">
        <f t="shared" si="24"/>
        <v>0</v>
      </c>
      <c r="AL28">
        <f t="shared" si="25"/>
        <v>52010.876822506951</v>
      </c>
      <c r="AM28" t="s">
        <v>417</v>
      </c>
      <c r="AN28">
        <v>10366.9</v>
      </c>
      <c r="AO28">
        <v>993.59653846153856</v>
      </c>
      <c r="AP28">
        <v>3431.87</v>
      </c>
      <c r="AQ28">
        <f t="shared" si="26"/>
        <v>0.71047955241266758</v>
      </c>
      <c r="AR28">
        <v>-3.9894345373445681</v>
      </c>
      <c r="AS28" t="s">
        <v>479</v>
      </c>
      <c r="AT28">
        <v>10460.5</v>
      </c>
      <c r="AU28">
        <v>775.05128000000002</v>
      </c>
      <c r="AV28">
        <v>1125.387720756187</v>
      </c>
      <c r="AW28">
        <f t="shared" si="27"/>
        <v>0.31130288192658062</v>
      </c>
      <c r="AX28">
        <v>0.5</v>
      </c>
      <c r="AY28">
        <f t="shared" si="28"/>
        <v>1513.1261993218907</v>
      </c>
      <c r="AZ28">
        <f t="shared" si="29"/>
        <v>43.578588348427701</v>
      </c>
      <c r="BA28">
        <f t="shared" si="30"/>
        <v>235.52027328375911</v>
      </c>
      <c r="BB28">
        <f t="shared" si="31"/>
        <v>3.1436917097258599E-2</v>
      </c>
      <c r="BC28">
        <f t="shared" si="32"/>
        <v>2.049500129336765</v>
      </c>
      <c r="BD28">
        <f t="shared" si="33"/>
        <v>623.5809446902631</v>
      </c>
      <c r="BE28" t="s">
        <v>480</v>
      </c>
      <c r="BF28">
        <v>619.85</v>
      </c>
      <c r="BG28">
        <f t="shared" si="34"/>
        <v>619.85</v>
      </c>
      <c r="BH28">
        <f t="shared" si="35"/>
        <v>0.44921204615285715</v>
      </c>
      <c r="BI28">
        <f t="shared" si="36"/>
        <v>0.69299762682822408</v>
      </c>
      <c r="BJ28">
        <f t="shared" si="37"/>
        <v>0.82022257282800715</v>
      </c>
      <c r="BK28">
        <f t="shared" si="38"/>
        <v>2.6582692002332298</v>
      </c>
      <c r="BL28">
        <f t="shared" si="39"/>
        <v>0.94594897398772759</v>
      </c>
      <c r="BM28">
        <f t="shared" si="40"/>
        <v>0.55422730092062389</v>
      </c>
      <c r="BN28">
        <f t="shared" si="41"/>
        <v>0.44577269907937611</v>
      </c>
      <c r="BO28">
        <v>7766</v>
      </c>
      <c r="BP28">
        <v>290.00000000000011</v>
      </c>
      <c r="BQ28">
        <v>1021.1</v>
      </c>
      <c r="BR28">
        <v>165</v>
      </c>
      <c r="BS28">
        <v>10460.5</v>
      </c>
      <c r="BT28">
        <v>1019.55</v>
      </c>
      <c r="BU28">
        <v>1.55</v>
      </c>
      <c r="BV28">
        <v>300.00000000000011</v>
      </c>
      <c r="BW28">
        <v>38.200000000000003</v>
      </c>
      <c r="BX28">
        <v>1125.387720756187</v>
      </c>
      <c r="BY28">
        <v>1.303528395407392</v>
      </c>
      <c r="BZ28">
        <v>-110.7140682437163</v>
      </c>
      <c r="CA28">
        <v>1.116145208705976</v>
      </c>
      <c r="CB28">
        <v>0.99716234442538687</v>
      </c>
      <c r="CC28">
        <v>-1.1358158843159079E-2</v>
      </c>
      <c r="CD28">
        <v>289.99999999999989</v>
      </c>
      <c r="CE28">
        <v>1006.13</v>
      </c>
      <c r="CF28">
        <v>655</v>
      </c>
      <c r="CG28">
        <v>10438</v>
      </c>
      <c r="CH28">
        <v>1019.32</v>
      </c>
      <c r="CI28">
        <v>-13.19</v>
      </c>
      <c r="CW28">
        <f t="shared" si="42"/>
        <v>1799.93</v>
      </c>
      <c r="CX28">
        <f t="shared" si="43"/>
        <v>1513.1261993218907</v>
      </c>
      <c r="CY28">
        <f t="shared" si="44"/>
        <v>0.84065835855943871</v>
      </c>
      <c r="CZ28">
        <f t="shared" si="45"/>
        <v>0.1913167171188776</v>
      </c>
      <c r="DA28">
        <v>6</v>
      </c>
      <c r="DB28">
        <v>0.5</v>
      </c>
      <c r="DC28" t="s">
        <v>420</v>
      </c>
      <c r="DD28">
        <v>2</v>
      </c>
      <c r="DE28">
        <v>1693496913.5999999</v>
      </c>
      <c r="DF28">
        <v>843.88900000000001</v>
      </c>
      <c r="DG28">
        <v>900.10500000000002</v>
      </c>
      <c r="DH28">
        <v>28.391500000000001</v>
      </c>
      <c r="DI28">
        <v>23.845099999999999</v>
      </c>
      <c r="DJ28">
        <v>843.25900000000001</v>
      </c>
      <c r="DK28">
        <v>28.107099999999999</v>
      </c>
      <c r="DL28">
        <v>500.25900000000001</v>
      </c>
      <c r="DM28">
        <v>99.662800000000004</v>
      </c>
      <c r="DN28">
        <v>0.10015400000000001</v>
      </c>
      <c r="DO28">
        <v>30.385100000000001</v>
      </c>
      <c r="DP28">
        <v>29.9344</v>
      </c>
      <c r="DQ28">
        <v>999.9</v>
      </c>
      <c r="DR28">
        <v>0</v>
      </c>
      <c r="DS28">
        <v>0</v>
      </c>
      <c r="DT28">
        <v>9980</v>
      </c>
      <c r="DU28">
        <v>0</v>
      </c>
      <c r="DV28">
        <v>1592.25</v>
      </c>
      <c r="DW28">
        <v>-56.216700000000003</v>
      </c>
      <c r="DX28">
        <v>868.548</v>
      </c>
      <c r="DY28">
        <v>922.09299999999996</v>
      </c>
      <c r="DZ28">
        <v>4.5464099999999998</v>
      </c>
      <c r="EA28">
        <v>900.10500000000002</v>
      </c>
      <c r="EB28">
        <v>23.845099999999999</v>
      </c>
      <c r="EC28">
        <v>2.8295699999999999</v>
      </c>
      <c r="ED28">
        <v>2.3764699999999999</v>
      </c>
      <c r="EE28">
        <v>23.057600000000001</v>
      </c>
      <c r="EF28">
        <v>20.2043</v>
      </c>
      <c r="EG28">
        <v>1799.93</v>
      </c>
      <c r="EH28">
        <v>0.97799199999999997</v>
      </c>
      <c r="EI28">
        <v>2.2008199999999999E-2</v>
      </c>
      <c r="EJ28">
        <v>0</v>
      </c>
      <c r="EK28">
        <v>774.42399999999998</v>
      </c>
      <c r="EL28">
        <v>5.0010300000000001</v>
      </c>
      <c r="EM28">
        <v>14760</v>
      </c>
      <c r="EN28">
        <v>14700.5</v>
      </c>
      <c r="EO28">
        <v>46.311999999999998</v>
      </c>
      <c r="EP28">
        <v>48.311999999999998</v>
      </c>
      <c r="EQ28">
        <v>47.75</v>
      </c>
      <c r="ER28">
        <v>47.875</v>
      </c>
      <c r="ES28">
        <v>48.25</v>
      </c>
      <c r="ET28">
        <v>1755.43</v>
      </c>
      <c r="EU28">
        <v>39.5</v>
      </c>
      <c r="EV28">
        <v>0</v>
      </c>
      <c r="EW28">
        <v>105.2000000476837</v>
      </c>
      <c r="EX28">
        <v>0</v>
      </c>
      <c r="EY28">
        <v>775.05128000000002</v>
      </c>
      <c r="EZ28">
        <v>-3.4640769082480571</v>
      </c>
      <c r="FA28">
        <v>-43.592307485784758</v>
      </c>
      <c r="FB28">
        <v>14765.436</v>
      </c>
      <c r="FC28">
        <v>15</v>
      </c>
      <c r="FD28">
        <v>1693496882.5999999</v>
      </c>
      <c r="FE28" t="s">
        <v>481</v>
      </c>
      <c r="FF28">
        <v>1693496882.5999999</v>
      </c>
      <c r="FG28">
        <v>1693496879.5999999</v>
      </c>
      <c r="FH28">
        <v>15</v>
      </c>
      <c r="FI28">
        <v>2.1999999999999999E-2</v>
      </c>
      <c r="FJ28">
        <v>-4.0000000000000001E-3</v>
      </c>
      <c r="FK28">
        <v>0.629</v>
      </c>
      <c r="FL28">
        <v>0.18</v>
      </c>
      <c r="FM28">
        <v>900</v>
      </c>
      <c r="FN28">
        <v>24</v>
      </c>
      <c r="FO28">
        <v>0.15</v>
      </c>
      <c r="FP28">
        <v>0.05</v>
      </c>
      <c r="FQ28">
        <v>43.561818278322029</v>
      </c>
      <c r="FR28">
        <v>-0.58464167363297426</v>
      </c>
      <c r="FS28">
        <v>0.1204500178994523</v>
      </c>
      <c r="FT28">
        <v>1</v>
      </c>
      <c r="FU28">
        <v>0.28835457912483148</v>
      </c>
      <c r="FV28">
        <v>-2.258202527207679E-2</v>
      </c>
      <c r="FW28">
        <v>3.1368500269694701E-3</v>
      </c>
      <c r="FX28">
        <v>1</v>
      </c>
      <c r="FY28">
        <v>2</v>
      </c>
      <c r="FZ28">
        <v>2</v>
      </c>
      <c r="GA28" t="s">
        <v>422</v>
      </c>
      <c r="GB28">
        <v>2.9096299999999999</v>
      </c>
      <c r="GC28">
        <v>2.81799</v>
      </c>
      <c r="GD28">
        <v>0.15579100000000001</v>
      </c>
      <c r="GE28">
        <v>0.16253600000000001</v>
      </c>
      <c r="GF28">
        <v>0.13541800000000001</v>
      </c>
      <c r="GG28">
        <v>0.12003900000000001</v>
      </c>
      <c r="GH28">
        <v>23594.9</v>
      </c>
      <c r="GI28">
        <v>23461.200000000001</v>
      </c>
      <c r="GJ28">
        <v>24788.2</v>
      </c>
      <c r="GK28">
        <v>25002.400000000001</v>
      </c>
      <c r="GL28">
        <v>28443.3</v>
      </c>
      <c r="GM28">
        <v>28768.2</v>
      </c>
      <c r="GN28">
        <v>33518.199999999997</v>
      </c>
      <c r="GO28">
        <v>33408.400000000001</v>
      </c>
      <c r="GP28">
        <v>2.0118999999999998</v>
      </c>
      <c r="GQ28">
        <v>1.8953</v>
      </c>
      <c r="GR28">
        <v>0.108182</v>
      </c>
      <c r="GS28">
        <v>0</v>
      </c>
      <c r="GT28">
        <v>28.171099999999999</v>
      </c>
      <c r="GU28">
        <v>999.9</v>
      </c>
      <c r="GV28">
        <v>48.4</v>
      </c>
      <c r="GW28">
        <v>37.9</v>
      </c>
      <c r="GX28">
        <v>32.158900000000003</v>
      </c>
      <c r="GY28">
        <v>61.885899999999999</v>
      </c>
      <c r="GZ28">
        <v>27.351800000000001</v>
      </c>
      <c r="HA28">
        <v>1</v>
      </c>
      <c r="HB28">
        <v>0.10248</v>
      </c>
      <c r="HC28">
        <v>-7.6655799999999996E-2</v>
      </c>
      <c r="HD28">
        <v>20.166899999999998</v>
      </c>
      <c r="HE28">
        <v>5.2346599999999999</v>
      </c>
      <c r="HF28">
        <v>11.9147</v>
      </c>
      <c r="HG28">
        <v>4.9618000000000002</v>
      </c>
      <c r="HH28">
        <v>3.2890000000000001</v>
      </c>
      <c r="HI28">
        <v>9999</v>
      </c>
      <c r="HJ28">
        <v>9999</v>
      </c>
      <c r="HK28">
        <v>9999</v>
      </c>
      <c r="HL28">
        <v>891.8</v>
      </c>
      <c r="HM28">
        <v>1.8809499999999999</v>
      </c>
      <c r="HN28">
        <v>1.8780600000000001</v>
      </c>
      <c r="HO28">
        <v>1.88605</v>
      </c>
      <c r="HP28">
        <v>1.88384</v>
      </c>
      <c r="HQ28">
        <v>1.8813800000000001</v>
      </c>
      <c r="HR28">
        <v>1.88036</v>
      </c>
      <c r="HS28">
        <v>1.8815299999999999</v>
      </c>
      <c r="HT28">
        <v>1.8810199999999999</v>
      </c>
      <c r="HU28">
        <v>5</v>
      </c>
      <c r="HV28">
        <v>0</v>
      </c>
      <c r="HW28">
        <v>0</v>
      </c>
      <c r="HX28">
        <v>0</v>
      </c>
      <c r="HY28" t="s">
        <v>423</v>
      </c>
      <c r="HZ28" t="s">
        <v>424</v>
      </c>
      <c r="IA28" t="s">
        <v>425</v>
      </c>
      <c r="IB28" t="s">
        <v>425</v>
      </c>
      <c r="IC28" t="s">
        <v>425</v>
      </c>
      <c r="ID28" t="s">
        <v>425</v>
      </c>
      <c r="IE28">
        <v>0</v>
      </c>
      <c r="IF28">
        <v>100</v>
      </c>
      <c r="IG28">
        <v>100</v>
      </c>
      <c r="IH28">
        <v>0.63</v>
      </c>
      <c r="II28">
        <v>0.28439999999999999</v>
      </c>
      <c r="IJ28">
        <v>-7.2019818549214631E-2</v>
      </c>
      <c r="IK28">
        <v>2.2153513873161218E-3</v>
      </c>
      <c r="IL28">
        <v>-2.2967369670569612E-6</v>
      </c>
      <c r="IM28">
        <v>7.7859689150384122E-10</v>
      </c>
      <c r="IN28">
        <v>-9.7092476009735182E-2</v>
      </c>
      <c r="IO28">
        <v>-4.1434251034592161E-3</v>
      </c>
      <c r="IP28">
        <v>8.3987709687394815E-4</v>
      </c>
      <c r="IQ28">
        <v>-7.4586254598011197E-6</v>
      </c>
      <c r="IR28">
        <v>2</v>
      </c>
      <c r="IS28">
        <v>1930</v>
      </c>
      <c r="IT28">
        <v>2</v>
      </c>
      <c r="IU28">
        <v>41</v>
      </c>
      <c r="IV28">
        <v>0.5</v>
      </c>
      <c r="IW28">
        <v>0.6</v>
      </c>
      <c r="IX28">
        <v>1.9128400000000001</v>
      </c>
      <c r="IY28">
        <v>2.5097700000000001</v>
      </c>
      <c r="IZ28">
        <v>1.24512</v>
      </c>
      <c r="JA28">
        <v>2.2595200000000002</v>
      </c>
      <c r="JB28">
        <v>1.4501999999999999</v>
      </c>
      <c r="JC28">
        <v>2.4340799999999998</v>
      </c>
      <c r="JD28">
        <v>42.831499999999998</v>
      </c>
      <c r="JE28">
        <v>24.1313</v>
      </c>
      <c r="JF28">
        <v>18</v>
      </c>
      <c r="JG28">
        <v>494.55099999999999</v>
      </c>
      <c r="JH28">
        <v>465.84699999999998</v>
      </c>
      <c r="JI28">
        <v>27.980499999999999</v>
      </c>
      <c r="JJ28">
        <v>28.875</v>
      </c>
      <c r="JK28">
        <v>30.000499999999999</v>
      </c>
      <c r="JL28">
        <v>28.574300000000001</v>
      </c>
      <c r="JM28">
        <v>28.501200000000001</v>
      </c>
      <c r="JN28">
        <v>38.395899999999997</v>
      </c>
      <c r="JO28">
        <v>30.659400000000002</v>
      </c>
      <c r="JP28">
        <v>69.894999999999996</v>
      </c>
      <c r="JQ28">
        <v>27.9541</v>
      </c>
      <c r="JR28">
        <v>900</v>
      </c>
      <c r="JS28">
        <v>23.790400000000002</v>
      </c>
      <c r="JT28">
        <v>100.044</v>
      </c>
      <c r="JU28">
        <v>99.690399999999997</v>
      </c>
    </row>
    <row r="29" spans="1:281" x14ac:dyDescent="0.25">
      <c r="A29">
        <v>13</v>
      </c>
      <c r="B29">
        <v>1693497044.0999999</v>
      </c>
      <c r="C29">
        <v>1394.5</v>
      </c>
      <c r="D29" t="s">
        <v>482</v>
      </c>
      <c r="E29" t="s">
        <v>483</v>
      </c>
      <c r="F29" t="s">
        <v>413</v>
      </c>
      <c r="G29" t="s">
        <v>414</v>
      </c>
      <c r="H29" t="s">
        <v>415</v>
      </c>
      <c r="I29" t="s">
        <v>416</v>
      </c>
      <c r="J29">
        <v>1693497044.0999999</v>
      </c>
      <c r="K29">
        <f t="shared" si="0"/>
        <v>3.610226956839956E-3</v>
      </c>
      <c r="L29">
        <f t="shared" si="1"/>
        <v>3.6102269568399561</v>
      </c>
      <c r="M29">
        <f t="shared" si="2"/>
        <v>43.067834065064929</v>
      </c>
      <c r="N29">
        <f t="shared" si="3"/>
        <v>1143.69</v>
      </c>
      <c r="O29">
        <f t="shared" si="4"/>
        <v>840.02303749974988</v>
      </c>
      <c r="P29">
        <f t="shared" si="5"/>
        <v>83.793153890072958</v>
      </c>
      <c r="Q29">
        <f t="shared" si="6"/>
        <v>114.08424280574101</v>
      </c>
      <c r="R29">
        <f t="shared" si="7"/>
        <v>0.25600809371048366</v>
      </c>
      <c r="S29">
        <f t="shared" si="8"/>
        <v>2.9194868766571864</v>
      </c>
      <c r="T29">
        <f t="shared" si="9"/>
        <v>0.24415821635896667</v>
      </c>
      <c r="U29">
        <f t="shared" si="10"/>
        <v>0.15361783455891992</v>
      </c>
      <c r="V29">
        <f t="shared" si="11"/>
        <v>344.32059864363816</v>
      </c>
      <c r="W29">
        <f t="shared" si="12"/>
        <v>31.50183409393124</v>
      </c>
      <c r="X29">
        <f t="shared" si="13"/>
        <v>30.007899999999999</v>
      </c>
      <c r="Y29">
        <f t="shared" si="14"/>
        <v>4.262383416999719</v>
      </c>
      <c r="Z29">
        <f t="shared" si="15"/>
        <v>65.111485999207446</v>
      </c>
      <c r="AA29">
        <f t="shared" si="16"/>
        <v>2.8399314582867801</v>
      </c>
      <c r="AB29">
        <f t="shared" si="17"/>
        <v>4.3616443622886267</v>
      </c>
      <c r="AC29">
        <f t="shared" si="18"/>
        <v>1.4224519587129389</v>
      </c>
      <c r="AD29">
        <f t="shared" si="19"/>
        <v>-159.21100879664206</v>
      </c>
      <c r="AE29">
        <f t="shared" si="20"/>
        <v>63.178504124829367</v>
      </c>
      <c r="AF29">
        <f t="shared" si="21"/>
        <v>4.8216841176823548</v>
      </c>
      <c r="AG29">
        <f t="shared" si="22"/>
        <v>253.10977808950784</v>
      </c>
      <c r="AH29">
        <v>2</v>
      </c>
      <c r="AI29">
        <v>0</v>
      </c>
      <c r="AJ29">
        <f t="shared" si="23"/>
        <v>1</v>
      </c>
      <c r="AK29">
        <f t="shared" si="24"/>
        <v>0</v>
      </c>
      <c r="AL29">
        <f t="shared" si="25"/>
        <v>51988.435540140919</v>
      </c>
      <c r="AM29" t="s">
        <v>417</v>
      </c>
      <c r="AN29">
        <v>10366.9</v>
      </c>
      <c r="AO29">
        <v>993.59653846153856</v>
      </c>
      <c r="AP29">
        <v>3431.87</v>
      </c>
      <c r="AQ29">
        <f t="shared" si="26"/>
        <v>0.71047955241266758</v>
      </c>
      <c r="AR29">
        <v>-3.9894345373445681</v>
      </c>
      <c r="AS29" t="s">
        <v>484</v>
      </c>
      <c r="AT29">
        <v>10457.6</v>
      </c>
      <c r="AU29">
        <v>768.6366153846152</v>
      </c>
      <c r="AV29">
        <v>1122.8462731097879</v>
      </c>
      <c r="AW29">
        <f t="shared" si="27"/>
        <v>0.31545694740934438</v>
      </c>
      <c r="AX29">
        <v>0.5</v>
      </c>
      <c r="AY29">
        <f t="shared" si="28"/>
        <v>1512.9665993218191</v>
      </c>
      <c r="AZ29">
        <f t="shared" si="29"/>
        <v>43.067834065064929</v>
      </c>
      <c r="BA29">
        <f t="shared" si="30"/>
        <v>238.63791247717884</v>
      </c>
      <c r="BB29">
        <f t="shared" si="31"/>
        <v>3.1102648679424062E-2</v>
      </c>
      <c r="BC29">
        <f t="shared" si="32"/>
        <v>2.0564023608460995</v>
      </c>
      <c r="BD29">
        <f t="shared" si="33"/>
        <v>622.79985656899896</v>
      </c>
      <c r="BE29" t="s">
        <v>485</v>
      </c>
      <c r="BF29">
        <v>614.99</v>
      </c>
      <c r="BG29">
        <f t="shared" si="34"/>
        <v>614.99</v>
      </c>
      <c r="BH29">
        <f t="shared" si="35"/>
        <v>0.45229368015200377</v>
      </c>
      <c r="BI29">
        <f t="shared" si="36"/>
        <v>0.69746043611161623</v>
      </c>
      <c r="BJ29">
        <f t="shared" si="37"/>
        <v>0.81970965283938679</v>
      </c>
      <c r="BK29">
        <f t="shared" si="38"/>
        <v>2.740505879483214</v>
      </c>
      <c r="BL29">
        <f t="shared" si="39"/>
        <v>0.94699128843132396</v>
      </c>
      <c r="BM29">
        <f t="shared" si="40"/>
        <v>0.55804158300428042</v>
      </c>
      <c r="BN29">
        <f t="shared" si="41"/>
        <v>0.44195841699571958</v>
      </c>
      <c r="BO29">
        <v>7768</v>
      </c>
      <c r="BP29">
        <v>290.00000000000011</v>
      </c>
      <c r="BQ29">
        <v>1017.34</v>
      </c>
      <c r="BR29">
        <v>175</v>
      </c>
      <c r="BS29">
        <v>10457.6</v>
      </c>
      <c r="BT29">
        <v>1016.28</v>
      </c>
      <c r="BU29">
        <v>1.06</v>
      </c>
      <c r="BV29">
        <v>300.00000000000011</v>
      </c>
      <c r="BW29">
        <v>38.200000000000003</v>
      </c>
      <c r="BX29">
        <v>1122.8462731097879</v>
      </c>
      <c r="BY29">
        <v>1.432342373723934</v>
      </c>
      <c r="BZ29">
        <v>-111.4403177761554</v>
      </c>
      <c r="CA29">
        <v>1.226265506846886</v>
      </c>
      <c r="CB29">
        <v>0.99662112239993006</v>
      </c>
      <c r="CC29">
        <v>-1.135638798665185E-2</v>
      </c>
      <c r="CD29">
        <v>289.99999999999989</v>
      </c>
      <c r="CE29">
        <v>1002.51</v>
      </c>
      <c r="CF29">
        <v>655</v>
      </c>
      <c r="CG29">
        <v>10436.5</v>
      </c>
      <c r="CH29">
        <v>1016.07</v>
      </c>
      <c r="CI29">
        <v>-13.56</v>
      </c>
      <c r="CW29">
        <f t="shared" si="42"/>
        <v>1799.74</v>
      </c>
      <c r="CX29">
        <f t="shared" si="43"/>
        <v>1512.9665993218191</v>
      </c>
      <c r="CY29">
        <f t="shared" si="44"/>
        <v>0.84065842806284186</v>
      </c>
      <c r="CZ29">
        <f t="shared" si="45"/>
        <v>0.1913168561256838</v>
      </c>
      <c r="DA29">
        <v>6</v>
      </c>
      <c r="DB29">
        <v>0.5</v>
      </c>
      <c r="DC29" t="s">
        <v>420</v>
      </c>
      <c r="DD29">
        <v>2</v>
      </c>
      <c r="DE29">
        <v>1693497044.0999999</v>
      </c>
      <c r="DF29">
        <v>1143.69</v>
      </c>
      <c r="DG29">
        <v>1200.28</v>
      </c>
      <c r="DH29">
        <v>28.470199999999998</v>
      </c>
      <c r="DI29">
        <v>24.264700000000001</v>
      </c>
      <c r="DJ29">
        <v>1143.04</v>
      </c>
      <c r="DK29">
        <v>28.1873</v>
      </c>
      <c r="DL29">
        <v>500.40800000000002</v>
      </c>
      <c r="DM29">
        <v>99.651700000000005</v>
      </c>
      <c r="DN29">
        <v>9.9318900000000002E-2</v>
      </c>
      <c r="DO29">
        <v>30.409300000000002</v>
      </c>
      <c r="DP29">
        <v>30.007899999999999</v>
      </c>
      <c r="DQ29">
        <v>999.9</v>
      </c>
      <c r="DR29">
        <v>0</v>
      </c>
      <c r="DS29">
        <v>0</v>
      </c>
      <c r="DT29">
        <v>9977.5</v>
      </c>
      <c r="DU29">
        <v>0</v>
      </c>
      <c r="DV29">
        <v>1656.75</v>
      </c>
      <c r="DW29">
        <v>-56.592700000000001</v>
      </c>
      <c r="DX29">
        <v>1177.2</v>
      </c>
      <c r="DY29">
        <v>1230.1300000000001</v>
      </c>
      <c r="DZ29">
        <v>4.2055199999999999</v>
      </c>
      <c r="EA29">
        <v>1200.28</v>
      </c>
      <c r="EB29">
        <v>24.264700000000001</v>
      </c>
      <c r="EC29">
        <v>2.83711</v>
      </c>
      <c r="ED29">
        <v>2.4180199999999998</v>
      </c>
      <c r="EE29">
        <v>23.101600000000001</v>
      </c>
      <c r="EF29">
        <v>20.484999999999999</v>
      </c>
      <c r="EG29">
        <v>1799.74</v>
      </c>
      <c r="EH29">
        <v>0.97799199999999997</v>
      </c>
      <c r="EI29">
        <v>2.2008300000000001E-2</v>
      </c>
      <c r="EJ29">
        <v>0</v>
      </c>
      <c r="EK29">
        <v>767.85299999999995</v>
      </c>
      <c r="EL29">
        <v>5.0010300000000001</v>
      </c>
      <c r="EM29">
        <v>14718.1</v>
      </c>
      <c r="EN29">
        <v>14698.9</v>
      </c>
      <c r="EO29">
        <v>46.561999999999998</v>
      </c>
      <c r="EP29">
        <v>48.5</v>
      </c>
      <c r="EQ29">
        <v>48</v>
      </c>
      <c r="ER29">
        <v>47.936999999999998</v>
      </c>
      <c r="ES29">
        <v>48.436999999999998</v>
      </c>
      <c r="ET29">
        <v>1755.24</v>
      </c>
      <c r="EU29">
        <v>39.5</v>
      </c>
      <c r="EV29">
        <v>0</v>
      </c>
      <c r="EW29">
        <v>128.39999985694891</v>
      </c>
      <c r="EX29">
        <v>0</v>
      </c>
      <c r="EY29">
        <v>768.6366153846152</v>
      </c>
      <c r="EZ29">
        <v>-6.1439316112774014</v>
      </c>
      <c r="FA29">
        <v>51.883760994587817</v>
      </c>
      <c r="FB29">
        <v>14711.25384615385</v>
      </c>
      <c r="FC29">
        <v>15</v>
      </c>
      <c r="FD29">
        <v>1693497012.0999999</v>
      </c>
      <c r="FE29" t="s">
        <v>486</v>
      </c>
      <c r="FF29">
        <v>1693497012.0999999</v>
      </c>
      <c r="FG29">
        <v>1693497006.0999999</v>
      </c>
      <c r="FH29">
        <v>16</v>
      </c>
      <c r="FI29">
        <v>2.5999999999999999E-2</v>
      </c>
      <c r="FJ29">
        <v>-3.0000000000000001E-3</v>
      </c>
      <c r="FK29">
        <v>0.65</v>
      </c>
      <c r="FL29">
        <v>0.185</v>
      </c>
      <c r="FM29">
        <v>1200</v>
      </c>
      <c r="FN29">
        <v>24</v>
      </c>
      <c r="FO29">
        <v>0.2</v>
      </c>
      <c r="FP29">
        <v>0.08</v>
      </c>
      <c r="FQ29">
        <v>42.870193521303683</v>
      </c>
      <c r="FR29">
        <v>-0.65468280497705789</v>
      </c>
      <c r="FS29">
        <v>0.19064795056828701</v>
      </c>
      <c r="FT29">
        <v>1</v>
      </c>
      <c r="FU29">
        <v>0.26188900580879498</v>
      </c>
      <c r="FV29">
        <v>-4.1663427194625027E-2</v>
      </c>
      <c r="FW29">
        <v>3.2510811135076849E-3</v>
      </c>
      <c r="FX29">
        <v>1</v>
      </c>
      <c r="FY29">
        <v>2</v>
      </c>
      <c r="FZ29">
        <v>2</v>
      </c>
      <c r="GA29" t="s">
        <v>422</v>
      </c>
      <c r="GB29">
        <v>2.9096600000000001</v>
      </c>
      <c r="GC29">
        <v>2.8171400000000002</v>
      </c>
      <c r="GD29">
        <v>0.18906600000000001</v>
      </c>
      <c r="GE29">
        <v>0.194827</v>
      </c>
      <c r="GF29">
        <v>0.13561999999999999</v>
      </c>
      <c r="GG29">
        <v>0.121429</v>
      </c>
      <c r="GH29">
        <v>22658.400000000001</v>
      </c>
      <c r="GI29">
        <v>22549.599999999999</v>
      </c>
      <c r="GJ29">
        <v>24781.7</v>
      </c>
      <c r="GK29">
        <v>24995.4</v>
      </c>
      <c r="GL29">
        <v>28430.2</v>
      </c>
      <c r="GM29">
        <v>28713.7</v>
      </c>
      <c r="GN29">
        <v>33509.699999999997</v>
      </c>
      <c r="GO29">
        <v>33398.1</v>
      </c>
      <c r="GP29">
        <v>2.0091999999999999</v>
      </c>
      <c r="GQ29">
        <v>1.8928</v>
      </c>
      <c r="GR29">
        <v>0.106573</v>
      </c>
      <c r="GS29">
        <v>0</v>
      </c>
      <c r="GT29">
        <v>28.271100000000001</v>
      </c>
      <c r="GU29">
        <v>999.9</v>
      </c>
      <c r="GV29">
        <v>47.9</v>
      </c>
      <c r="GW29">
        <v>38.1</v>
      </c>
      <c r="GX29">
        <v>32.170400000000001</v>
      </c>
      <c r="GY29">
        <v>61.385899999999999</v>
      </c>
      <c r="GZ29">
        <v>27.083300000000001</v>
      </c>
      <c r="HA29">
        <v>1</v>
      </c>
      <c r="HB29">
        <v>0.11552800000000001</v>
      </c>
      <c r="HC29">
        <v>0.31418299999999999</v>
      </c>
      <c r="HD29">
        <v>20.165299999999998</v>
      </c>
      <c r="HE29">
        <v>5.2226800000000004</v>
      </c>
      <c r="HF29">
        <v>11.915900000000001</v>
      </c>
      <c r="HG29">
        <v>4.9588000000000001</v>
      </c>
      <c r="HH29">
        <v>3.2867000000000002</v>
      </c>
      <c r="HI29">
        <v>9999</v>
      </c>
      <c r="HJ29">
        <v>9999</v>
      </c>
      <c r="HK29">
        <v>9999</v>
      </c>
      <c r="HL29">
        <v>891.8</v>
      </c>
      <c r="HM29">
        <v>1.881</v>
      </c>
      <c r="HN29">
        <v>1.87815</v>
      </c>
      <c r="HO29">
        <v>1.88612</v>
      </c>
      <c r="HP29">
        <v>1.88385</v>
      </c>
      <c r="HQ29">
        <v>1.88141</v>
      </c>
      <c r="HR29">
        <v>1.8804000000000001</v>
      </c>
      <c r="HS29">
        <v>1.8815599999999999</v>
      </c>
      <c r="HT29">
        <v>1.88107</v>
      </c>
      <c r="HU29">
        <v>5</v>
      </c>
      <c r="HV29">
        <v>0</v>
      </c>
      <c r="HW29">
        <v>0</v>
      </c>
      <c r="HX29">
        <v>0</v>
      </c>
      <c r="HY29" t="s">
        <v>423</v>
      </c>
      <c r="HZ29" t="s">
        <v>424</v>
      </c>
      <c r="IA29" t="s">
        <v>425</v>
      </c>
      <c r="IB29" t="s">
        <v>425</v>
      </c>
      <c r="IC29" t="s">
        <v>425</v>
      </c>
      <c r="ID29" t="s">
        <v>425</v>
      </c>
      <c r="IE29">
        <v>0</v>
      </c>
      <c r="IF29">
        <v>100</v>
      </c>
      <c r="IG29">
        <v>100</v>
      </c>
      <c r="IH29">
        <v>0.65</v>
      </c>
      <c r="II29">
        <v>0.28289999999999998</v>
      </c>
      <c r="IJ29">
        <v>-4.6494985406178191E-2</v>
      </c>
      <c r="IK29">
        <v>2.2153513873161218E-3</v>
      </c>
      <c r="IL29">
        <v>-2.2967369670569612E-6</v>
      </c>
      <c r="IM29">
        <v>7.7859689150384122E-10</v>
      </c>
      <c r="IN29">
        <v>-0.1005627469806579</v>
      </c>
      <c r="IO29">
        <v>-4.1434251034592161E-3</v>
      </c>
      <c r="IP29">
        <v>8.3987709687394815E-4</v>
      </c>
      <c r="IQ29">
        <v>-7.4586254598011197E-6</v>
      </c>
      <c r="IR29">
        <v>2</v>
      </c>
      <c r="IS29">
        <v>1930</v>
      </c>
      <c r="IT29">
        <v>2</v>
      </c>
      <c r="IU29">
        <v>41</v>
      </c>
      <c r="IV29">
        <v>0.5</v>
      </c>
      <c r="IW29">
        <v>0.6</v>
      </c>
      <c r="IX29">
        <v>2.4169900000000002</v>
      </c>
      <c r="IY29">
        <v>2.5097700000000001</v>
      </c>
      <c r="IZ29">
        <v>1.24512</v>
      </c>
      <c r="JA29">
        <v>2.2583000000000002</v>
      </c>
      <c r="JB29">
        <v>1.4501999999999999</v>
      </c>
      <c r="JC29">
        <v>2.2424300000000001</v>
      </c>
      <c r="JD29">
        <v>42.912100000000002</v>
      </c>
      <c r="JE29">
        <v>24.1313</v>
      </c>
      <c r="JF29">
        <v>18</v>
      </c>
      <c r="JG29">
        <v>494.10199999999998</v>
      </c>
      <c r="JH29">
        <v>465.45600000000002</v>
      </c>
      <c r="JI29">
        <v>27.584800000000001</v>
      </c>
      <c r="JJ29">
        <v>29.033799999999999</v>
      </c>
      <c r="JK29">
        <v>30.000599999999999</v>
      </c>
      <c r="JL29">
        <v>28.725899999999999</v>
      </c>
      <c r="JM29">
        <v>28.649699999999999</v>
      </c>
      <c r="JN29">
        <v>48.476500000000001</v>
      </c>
      <c r="JO29">
        <v>29.033300000000001</v>
      </c>
      <c r="JP29">
        <v>67.557900000000004</v>
      </c>
      <c r="JQ29">
        <v>27.5853</v>
      </c>
      <c r="JR29">
        <v>1200</v>
      </c>
      <c r="JS29">
        <v>24.298200000000001</v>
      </c>
      <c r="JT29">
        <v>100.018</v>
      </c>
      <c r="JU29">
        <v>99.660899999999998</v>
      </c>
    </row>
    <row r="30" spans="1:281" x14ac:dyDescent="0.25">
      <c r="A30">
        <v>14</v>
      </c>
      <c r="B30">
        <v>1693497189.0999999</v>
      </c>
      <c r="C30">
        <v>1539.5</v>
      </c>
      <c r="D30" t="s">
        <v>487</v>
      </c>
      <c r="E30" t="s">
        <v>488</v>
      </c>
      <c r="F30" t="s">
        <v>413</v>
      </c>
      <c r="G30" t="s">
        <v>414</v>
      </c>
      <c r="H30" t="s">
        <v>415</v>
      </c>
      <c r="I30" t="s">
        <v>416</v>
      </c>
      <c r="J30">
        <v>1693497189.0999999</v>
      </c>
      <c r="K30">
        <f t="shared" si="0"/>
        <v>3.1497312036136366E-3</v>
      </c>
      <c r="L30">
        <f t="shared" si="1"/>
        <v>3.1497312036136367</v>
      </c>
      <c r="M30">
        <f t="shared" si="2"/>
        <v>42.10964632154294</v>
      </c>
      <c r="N30">
        <f t="shared" si="3"/>
        <v>1444.42</v>
      </c>
      <c r="O30">
        <f t="shared" si="4"/>
        <v>1106.8901919043026</v>
      </c>
      <c r="P30">
        <f t="shared" si="5"/>
        <v>110.41433265627316</v>
      </c>
      <c r="Q30">
        <f t="shared" si="6"/>
        <v>144.08355186614799</v>
      </c>
      <c r="R30">
        <f t="shared" si="7"/>
        <v>0.22668774480249318</v>
      </c>
      <c r="S30">
        <f t="shared" si="8"/>
        <v>2.9286945077368918</v>
      </c>
      <c r="T30">
        <f t="shared" si="9"/>
        <v>0.21737157330918752</v>
      </c>
      <c r="U30">
        <f t="shared" si="10"/>
        <v>0.13666235063077428</v>
      </c>
      <c r="V30">
        <f t="shared" si="11"/>
        <v>344.33711180868409</v>
      </c>
      <c r="W30">
        <f t="shared" si="12"/>
        <v>31.39453793150788</v>
      </c>
      <c r="X30">
        <f t="shared" si="13"/>
        <v>29.776599999999998</v>
      </c>
      <c r="Y30">
        <f t="shared" si="14"/>
        <v>4.2060847810275011</v>
      </c>
      <c r="Z30">
        <f t="shared" si="15"/>
        <v>65.292501254984074</v>
      </c>
      <c r="AA30">
        <f t="shared" si="16"/>
        <v>2.8115155686729394</v>
      </c>
      <c r="AB30">
        <f t="shared" si="17"/>
        <v>4.3060313430071329</v>
      </c>
      <c r="AC30">
        <f t="shared" si="18"/>
        <v>1.3945692123545617</v>
      </c>
      <c r="AD30">
        <f t="shared" si="19"/>
        <v>-138.90314607936136</v>
      </c>
      <c r="AE30">
        <f t="shared" si="20"/>
        <v>64.546158969494769</v>
      </c>
      <c r="AF30">
        <f t="shared" si="21"/>
        <v>4.8995243448741492</v>
      </c>
      <c r="AG30">
        <f t="shared" si="22"/>
        <v>274.87964904369164</v>
      </c>
      <c r="AH30">
        <v>2</v>
      </c>
      <c r="AI30">
        <v>0</v>
      </c>
      <c r="AJ30">
        <f t="shared" si="23"/>
        <v>1</v>
      </c>
      <c r="AK30">
        <f t="shared" si="24"/>
        <v>0</v>
      </c>
      <c r="AL30">
        <f t="shared" si="25"/>
        <v>52289.658324566772</v>
      </c>
      <c r="AM30" t="s">
        <v>417</v>
      </c>
      <c r="AN30">
        <v>10366.9</v>
      </c>
      <c r="AO30">
        <v>993.59653846153856</v>
      </c>
      <c r="AP30">
        <v>3431.87</v>
      </c>
      <c r="AQ30">
        <f t="shared" si="26"/>
        <v>0.71047955241266758</v>
      </c>
      <c r="AR30">
        <v>-3.9894345373445681</v>
      </c>
      <c r="AS30" t="s">
        <v>489</v>
      </c>
      <c r="AT30">
        <v>10456.4</v>
      </c>
      <c r="AU30">
        <v>759.9595384615385</v>
      </c>
      <c r="AV30">
        <v>1107.461440133909</v>
      </c>
      <c r="AW30">
        <f t="shared" si="27"/>
        <v>0.31378239375120121</v>
      </c>
      <c r="AX30">
        <v>0.5</v>
      </c>
      <c r="AY30">
        <f t="shared" si="28"/>
        <v>1513.0419059043418</v>
      </c>
      <c r="AZ30">
        <f t="shared" si="29"/>
        <v>42.10964632154294</v>
      </c>
      <c r="BA30">
        <f t="shared" si="30"/>
        <v>237.38295554027204</v>
      </c>
      <c r="BB30">
        <f t="shared" si="31"/>
        <v>3.0467814988464702E-2</v>
      </c>
      <c r="BC30">
        <f t="shared" si="32"/>
        <v>2.0988618435193862</v>
      </c>
      <c r="BD30">
        <f t="shared" si="33"/>
        <v>618.03766004654528</v>
      </c>
      <c r="BE30" t="s">
        <v>490</v>
      </c>
      <c r="BF30">
        <v>614.35</v>
      </c>
      <c r="BG30">
        <f t="shared" si="34"/>
        <v>614.35</v>
      </c>
      <c r="BH30">
        <f t="shared" si="35"/>
        <v>0.44526285274030331</v>
      </c>
      <c r="BI30">
        <f t="shared" si="36"/>
        <v>0.70471271479323849</v>
      </c>
      <c r="BJ30">
        <f t="shared" si="37"/>
        <v>0.82498387229410652</v>
      </c>
      <c r="BK30">
        <f t="shared" si="38"/>
        <v>3.0518789949185234</v>
      </c>
      <c r="BL30">
        <f t="shared" si="39"/>
        <v>0.95330101259416322</v>
      </c>
      <c r="BM30">
        <f t="shared" si="40"/>
        <v>0.56968856159062098</v>
      </c>
      <c r="BN30">
        <f t="shared" si="41"/>
        <v>0.43031143840937902</v>
      </c>
      <c r="BO30">
        <v>7770</v>
      </c>
      <c r="BP30">
        <v>290.00000000000011</v>
      </c>
      <c r="BQ30">
        <v>1006.69</v>
      </c>
      <c r="BR30">
        <v>175</v>
      </c>
      <c r="BS30">
        <v>10456.4</v>
      </c>
      <c r="BT30">
        <v>1005.06</v>
      </c>
      <c r="BU30">
        <v>1.63</v>
      </c>
      <c r="BV30">
        <v>300.00000000000011</v>
      </c>
      <c r="BW30">
        <v>38.200000000000003</v>
      </c>
      <c r="BX30">
        <v>1107.461440133909</v>
      </c>
      <c r="BY30">
        <v>1.304640918484806</v>
      </c>
      <c r="BZ30">
        <v>-107.0764697325486</v>
      </c>
      <c r="CA30">
        <v>1.1168301203483</v>
      </c>
      <c r="CB30">
        <v>0.99696315039014194</v>
      </c>
      <c r="CC30">
        <v>-1.1355473192436041E-2</v>
      </c>
      <c r="CD30">
        <v>289.99999999999989</v>
      </c>
      <c r="CE30">
        <v>993.16</v>
      </c>
      <c r="CF30">
        <v>685</v>
      </c>
      <c r="CG30">
        <v>10433.1</v>
      </c>
      <c r="CH30">
        <v>1004.83</v>
      </c>
      <c r="CI30">
        <v>-11.67</v>
      </c>
      <c r="CW30">
        <f t="shared" si="42"/>
        <v>1799.83</v>
      </c>
      <c r="CX30">
        <f t="shared" si="43"/>
        <v>1513.0419059043418</v>
      </c>
      <c r="CY30">
        <f t="shared" si="44"/>
        <v>0.84065823211322288</v>
      </c>
      <c r="CZ30">
        <f t="shared" si="45"/>
        <v>0.19131646422644588</v>
      </c>
      <c r="DA30">
        <v>6</v>
      </c>
      <c r="DB30">
        <v>0.5</v>
      </c>
      <c r="DC30" t="s">
        <v>420</v>
      </c>
      <c r="DD30">
        <v>2</v>
      </c>
      <c r="DE30">
        <v>1693497189.0999999</v>
      </c>
      <c r="DF30">
        <v>1444.42</v>
      </c>
      <c r="DG30">
        <v>1500.36</v>
      </c>
      <c r="DH30">
        <v>28.185099999999998</v>
      </c>
      <c r="DI30">
        <v>24.5153</v>
      </c>
      <c r="DJ30">
        <v>1443.85</v>
      </c>
      <c r="DK30">
        <v>27.9086</v>
      </c>
      <c r="DL30">
        <v>500.45600000000002</v>
      </c>
      <c r="DM30">
        <v>99.652299999999997</v>
      </c>
      <c r="DN30">
        <v>9.95394E-2</v>
      </c>
      <c r="DO30">
        <v>30.185400000000001</v>
      </c>
      <c r="DP30">
        <v>29.776599999999998</v>
      </c>
      <c r="DQ30">
        <v>999.9</v>
      </c>
      <c r="DR30">
        <v>0</v>
      </c>
      <c r="DS30">
        <v>0</v>
      </c>
      <c r="DT30">
        <v>10030</v>
      </c>
      <c r="DU30">
        <v>0</v>
      </c>
      <c r="DV30">
        <v>401.14100000000002</v>
      </c>
      <c r="DW30">
        <v>-55.939700000000002</v>
      </c>
      <c r="DX30">
        <v>1486.31</v>
      </c>
      <c r="DY30">
        <v>1538.06</v>
      </c>
      <c r="DZ30">
        <v>3.6697600000000001</v>
      </c>
      <c r="EA30">
        <v>1500.36</v>
      </c>
      <c r="EB30">
        <v>24.5153</v>
      </c>
      <c r="EC30">
        <v>2.80871</v>
      </c>
      <c r="ED30">
        <v>2.4430100000000001</v>
      </c>
      <c r="EE30">
        <v>22.935300000000002</v>
      </c>
      <c r="EF30">
        <v>20.651700000000002</v>
      </c>
      <c r="EG30">
        <v>1799.83</v>
      </c>
      <c r="EH30">
        <v>0.97799499999999995</v>
      </c>
      <c r="EI30">
        <v>2.2004699999999999E-2</v>
      </c>
      <c r="EJ30">
        <v>0</v>
      </c>
      <c r="EK30">
        <v>759.56799999999998</v>
      </c>
      <c r="EL30">
        <v>5.0010300000000001</v>
      </c>
      <c r="EM30">
        <v>13721</v>
      </c>
      <c r="EN30">
        <v>14699.7</v>
      </c>
      <c r="EO30">
        <v>46.436999999999998</v>
      </c>
      <c r="EP30">
        <v>48</v>
      </c>
      <c r="EQ30">
        <v>47.811999999999998</v>
      </c>
      <c r="ER30">
        <v>47.5</v>
      </c>
      <c r="ES30">
        <v>48.25</v>
      </c>
      <c r="ET30">
        <v>1755.33</v>
      </c>
      <c r="EU30">
        <v>39.49</v>
      </c>
      <c r="EV30">
        <v>0</v>
      </c>
      <c r="EW30">
        <v>143</v>
      </c>
      <c r="EX30">
        <v>0</v>
      </c>
      <c r="EY30">
        <v>759.9595384615385</v>
      </c>
      <c r="EZ30">
        <v>-3.7182222242773428</v>
      </c>
      <c r="FA30">
        <v>-13.808547058037391</v>
      </c>
      <c r="FB30">
        <v>13716.357692307691</v>
      </c>
      <c r="FC30">
        <v>15</v>
      </c>
      <c r="FD30">
        <v>1693497153.0999999</v>
      </c>
      <c r="FE30" t="s">
        <v>491</v>
      </c>
      <c r="FF30">
        <v>1693497153.0999999</v>
      </c>
      <c r="FG30">
        <v>1693497137.5999999</v>
      </c>
      <c r="FH30">
        <v>17</v>
      </c>
      <c r="FI30">
        <v>-0.14099999999999999</v>
      </c>
      <c r="FJ30">
        <v>1E-3</v>
      </c>
      <c r="FK30">
        <v>0.59699999999999998</v>
      </c>
      <c r="FL30">
        <v>0.184</v>
      </c>
      <c r="FM30">
        <v>1501</v>
      </c>
      <c r="FN30">
        <v>24</v>
      </c>
      <c r="FO30">
        <v>0.14000000000000001</v>
      </c>
      <c r="FP30">
        <v>0.06</v>
      </c>
      <c r="FQ30">
        <v>41.779283339444518</v>
      </c>
      <c r="FR30">
        <v>-0.63351339523572914</v>
      </c>
      <c r="FS30">
        <v>0.19527228255548601</v>
      </c>
      <c r="FT30">
        <v>1</v>
      </c>
      <c r="FU30">
        <v>0.23011874388943621</v>
      </c>
      <c r="FV30">
        <v>-2.2647420992705239E-2</v>
      </c>
      <c r="FW30">
        <v>1.934124633874671E-3</v>
      </c>
      <c r="FX30">
        <v>1</v>
      </c>
      <c r="FY30">
        <v>2</v>
      </c>
      <c r="FZ30">
        <v>2</v>
      </c>
      <c r="GA30" t="s">
        <v>422</v>
      </c>
      <c r="GB30">
        <v>2.90964</v>
      </c>
      <c r="GC30">
        <v>2.8178100000000001</v>
      </c>
      <c r="GD30">
        <v>0.217886</v>
      </c>
      <c r="GE30">
        <v>0.22284499999999999</v>
      </c>
      <c r="GF30">
        <v>0.13467199999999999</v>
      </c>
      <c r="GG30">
        <v>0.12225800000000001</v>
      </c>
      <c r="GH30">
        <v>21849.7</v>
      </c>
      <c r="GI30">
        <v>21761.3</v>
      </c>
      <c r="GJ30">
        <v>24778.2</v>
      </c>
      <c r="GK30">
        <v>24991.8</v>
      </c>
      <c r="GL30">
        <v>28459.200000000001</v>
      </c>
      <c r="GM30">
        <v>28681.5</v>
      </c>
      <c r="GN30">
        <v>33506.1</v>
      </c>
      <c r="GO30">
        <v>33392.400000000001</v>
      </c>
      <c r="GP30">
        <v>2.0078999999999998</v>
      </c>
      <c r="GQ30">
        <v>1.8916999999999999</v>
      </c>
      <c r="GR30">
        <v>0.12545300000000001</v>
      </c>
      <c r="GS30">
        <v>0</v>
      </c>
      <c r="GT30">
        <v>27.730899999999998</v>
      </c>
      <c r="GU30">
        <v>999.9</v>
      </c>
      <c r="GV30">
        <v>47.2</v>
      </c>
      <c r="GW30">
        <v>38.200000000000003</v>
      </c>
      <c r="GX30">
        <v>31.872299999999999</v>
      </c>
      <c r="GY30">
        <v>61.675899999999999</v>
      </c>
      <c r="GZ30">
        <v>27.6402</v>
      </c>
      <c r="HA30">
        <v>1</v>
      </c>
      <c r="HB30">
        <v>0.121667</v>
      </c>
      <c r="HC30">
        <v>-1.31355</v>
      </c>
      <c r="HD30">
        <v>20.162299999999998</v>
      </c>
      <c r="HE30">
        <v>5.2346599999999999</v>
      </c>
      <c r="HF30">
        <v>11.9183</v>
      </c>
      <c r="HG30">
        <v>4.9615999999999998</v>
      </c>
      <c r="HH30">
        <v>3.2890000000000001</v>
      </c>
      <c r="HI30">
        <v>9999</v>
      </c>
      <c r="HJ30">
        <v>9999</v>
      </c>
      <c r="HK30">
        <v>9999</v>
      </c>
      <c r="HL30">
        <v>891.9</v>
      </c>
      <c r="HM30">
        <v>1.88096</v>
      </c>
      <c r="HN30">
        <v>1.87805</v>
      </c>
      <c r="HO30">
        <v>1.88602</v>
      </c>
      <c r="HP30">
        <v>1.88385</v>
      </c>
      <c r="HQ30">
        <v>1.88137</v>
      </c>
      <c r="HR30">
        <v>1.88039</v>
      </c>
      <c r="HS30">
        <v>1.8815</v>
      </c>
      <c r="HT30">
        <v>1.88096</v>
      </c>
      <c r="HU30">
        <v>5</v>
      </c>
      <c r="HV30">
        <v>0</v>
      </c>
      <c r="HW30">
        <v>0</v>
      </c>
      <c r="HX30">
        <v>0</v>
      </c>
      <c r="HY30" t="s">
        <v>423</v>
      </c>
      <c r="HZ30" t="s">
        <v>424</v>
      </c>
      <c r="IA30" t="s">
        <v>425</v>
      </c>
      <c r="IB30" t="s">
        <v>425</v>
      </c>
      <c r="IC30" t="s">
        <v>425</v>
      </c>
      <c r="ID30" t="s">
        <v>425</v>
      </c>
      <c r="IE30">
        <v>0</v>
      </c>
      <c r="IF30">
        <v>100</v>
      </c>
      <c r="IG30">
        <v>100</v>
      </c>
      <c r="IH30">
        <v>0.56999999999999995</v>
      </c>
      <c r="II30">
        <v>0.27650000000000002</v>
      </c>
      <c r="IJ30">
        <v>-0.1859275268872555</v>
      </c>
      <c r="IK30">
        <v>2.2153513873161218E-3</v>
      </c>
      <c r="IL30">
        <v>-2.2967369670569612E-6</v>
      </c>
      <c r="IM30">
        <v>7.7859689150384122E-10</v>
      </c>
      <c r="IN30">
        <v>-9.9952148421856055E-2</v>
      </c>
      <c r="IO30">
        <v>-4.1434251034592161E-3</v>
      </c>
      <c r="IP30">
        <v>8.3987709687394815E-4</v>
      </c>
      <c r="IQ30">
        <v>-7.4586254598011197E-6</v>
      </c>
      <c r="IR30">
        <v>2</v>
      </c>
      <c r="IS30">
        <v>1930</v>
      </c>
      <c r="IT30">
        <v>2</v>
      </c>
      <c r="IU30">
        <v>41</v>
      </c>
      <c r="IV30">
        <v>0.6</v>
      </c>
      <c r="IW30">
        <v>0.9</v>
      </c>
      <c r="IX30">
        <v>2.8918499999999998</v>
      </c>
      <c r="IY30">
        <v>2.49512</v>
      </c>
      <c r="IZ30">
        <v>1.24512</v>
      </c>
      <c r="JA30">
        <v>2.2583000000000002</v>
      </c>
      <c r="JB30">
        <v>1.4501999999999999</v>
      </c>
      <c r="JC30">
        <v>2.34131</v>
      </c>
      <c r="JD30">
        <v>42.804600000000001</v>
      </c>
      <c r="JE30">
        <v>24.1313</v>
      </c>
      <c r="JF30">
        <v>18</v>
      </c>
      <c r="JG30">
        <v>494.16</v>
      </c>
      <c r="JH30">
        <v>465.62400000000002</v>
      </c>
      <c r="JI30">
        <v>28.8432</v>
      </c>
      <c r="JJ30">
        <v>29.0928</v>
      </c>
      <c r="JK30">
        <v>30.000299999999999</v>
      </c>
      <c r="JL30">
        <v>28.829699999999999</v>
      </c>
      <c r="JM30">
        <v>28.753399999999999</v>
      </c>
      <c r="JN30">
        <v>57.979900000000001</v>
      </c>
      <c r="JO30">
        <v>26.821000000000002</v>
      </c>
      <c r="JP30">
        <v>65.513000000000005</v>
      </c>
      <c r="JQ30">
        <v>28.863600000000002</v>
      </c>
      <c r="JR30">
        <v>1500</v>
      </c>
      <c r="JS30">
        <v>24.578700000000001</v>
      </c>
      <c r="JT30">
        <v>100.006</v>
      </c>
      <c r="JU30">
        <v>99.644999999999996</v>
      </c>
    </row>
    <row r="31" spans="1:281" x14ac:dyDescent="0.25">
      <c r="A31">
        <v>15</v>
      </c>
      <c r="B31">
        <v>1693498510.5</v>
      </c>
      <c r="C31">
        <v>2860.900000095367</v>
      </c>
      <c r="D31" t="s">
        <v>492</v>
      </c>
      <c r="E31" t="s">
        <v>493</v>
      </c>
      <c r="F31" t="s">
        <v>413</v>
      </c>
      <c r="G31" t="s">
        <v>494</v>
      </c>
      <c r="H31" t="s">
        <v>416</v>
      </c>
      <c r="I31" t="s">
        <v>31</v>
      </c>
      <c r="J31">
        <v>1693498510.5</v>
      </c>
      <c r="K31">
        <f t="shared" si="0"/>
        <v>4.3804274528957106E-3</v>
      </c>
      <c r="L31">
        <f t="shared" si="1"/>
        <v>4.3804274528957103</v>
      </c>
      <c r="M31">
        <f t="shared" si="2"/>
        <v>44.410847480539104</v>
      </c>
      <c r="N31">
        <f t="shared" si="3"/>
        <v>345.06599999999997</v>
      </c>
      <c r="O31">
        <f t="shared" si="4"/>
        <v>108.760065620951</v>
      </c>
      <c r="P31">
        <f t="shared" si="5"/>
        <v>10.848306134701902</v>
      </c>
      <c r="Q31">
        <f t="shared" si="6"/>
        <v>34.418714105261998</v>
      </c>
      <c r="R31">
        <f t="shared" si="7"/>
        <v>0.32356669246055952</v>
      </c>
      <c r="S31">
        <f t="shared" si="8"/>
        <v>2.9206885033437286</v>
      </c>
      <c r="T31">
        <f t="shared" si="9"/>
        <v>0.30488973790031476</v>
      </c>
      <c r="U31">
        <f t="shared" si="10"/>
        <v>0.19214423741914941</v>
      </c>
      <c r="V31">
        <f t="shared" si="11"/>
        <v>344.3688118045788</v>
      </c>
      <c r="W31">
        <f t="shared" si="12"/>
        <v>31.309203073198095</v>
      </c>
      <c r="X31">
        <f t="shared" si="13"/>
        <v>29.926100000000002</v>
      </c>
      <c r="Y31">
        <f t="shared" si="14"/>
        <v>4.2423986205952726</v>
      </c>
      <c r="Z31">
        <f t="shared" si="15"/>
        <v>65.550107557220301</v>
      </c>
      <c r="AA31">
        <f t="shared" si="16"/>
        <v>2.8603562707162</v>
      </c>
      <c r="AB31">
        <f t="shared" si="17"/>
        <v>4.3636179669412813</v>
      </c>
      <c r="AC31">
        <f t="shared" si="18"/>
        <v>1.3820423498790726</v>
      </c>
      <c r="AD31">
        <f t="shared" si="19"/>
        <v>-193.17685067270085</v>
      </c>
      <c r="AE31">
        <f t="shared" si="20"/>
        <v>77.328683884662283</v>
      </c>
      <c r="AF31">
        <f t="shared" si="21"/>
        <v>5.8970204295811701</v>
      </c>
      <c r="AG31">
        <f t="shared" si="22"/>
        <v>234.41766544612142</v>
      </c>
      <c r="AH31">
        <v>0</v>
      </c>
      <c r="AI31">
        <v>0</v>
      </c>
      <c r="AJ31">
        <f t="shared" si="23"/>
        <v>1</v>
      </c>
      <c r="AK31">
        <f t="shared" si="24"/>
        <v>0</v>
      </c>
      <c r="AL31">
        <f t="shared" si="25"/>
        <v>52021.186610190096</v>
      </c>
      <c r="AM31" t="s">
        <v>417</v>
      </c>
      <c r="AN31">
        <v>10366.9</v>
      </c>
      <c r="AO31">
        <v>993.59653846153856</v>
      </c>
      <c r="AP31">
        <v>3431.87</v>
      </c>
      <c r="AQ31">
        <f t="shared" si="26"/>
        <v>0.71047955241266758</v>
      </c>
      <c r="AR31">
        <v>-3.9894345373445681</v>
      </c>
      <c r="AS31" t="s">
        <v>495</v>
      </c>
      <c r="AT31">
        <v>10462.4</v>
      </c>
      <c r="AU31">
        <v>757.44703846153845</v>
      </c>
      <c r="AV31">
        <v>1118.076203314763</v>
      </c>
      <c r="AW31">
        <f t="shared" si="27"/>
        <v>0.32254435232953393</v>
      </c>
      <c r="AX31">
        <v>0.5</v>
      </c>
      <c r="AY31">
        <f t="shared" si="28"/>
        <v>1513.1844059022892</v>
      </c>
      <c r="AZ31">
        <f t="shared" si="29"/>
        <v>44.410847480539104</v>
      </c>
      <c r="BA31">
        <f t="shared" si="30"/>
        <v>244.03454207845223</v>
      </c>
      <c r="BB31">
        <f t="shared" si="31"/>
        <v>3.1985712930357159E-2</v>
      </c>
      <c r="BC31">
        <f t="shared" si="32"/>
        <v>2.0694419484338611</v>
      </c>
      <c r="BD31">
        <f t="shared" si="33"/>
        <v>621.32956471670946</v>
      </c>
      <c r="BE31" t="s">
        <v>496</v>
      </c>
      <c r="BF31">
        <v>605.88</v>
      </c>
      <c r="BG31">
        <f t="shared" si="34"/>
        <v>605.88</v>
      </c>
      <c r="BH31">
        <f t="shared" si="35"/>
        <v>0.45810491431286504</v>
      </c>
      <c r="BI31">
        <f t="shared" si="36"/>
        <v>0.70408402584664409</v>
      </c>
      <c r="BJ31">
        <f t="shared" si="37"/>
        <v>0.81875512534907668</v>
      </c>
      <c r="BK31">
        <f t="shared" si="38"/>
        <v>2.8970929932888794</v>
      </c>
      <c r="BL31">
        <f t="shared" si="39"/>
        <v>0.94894761936395655</v>
      </c>
      <c r="BM31">
        <f t="shared" si="40"/>
        <v>0.5631950590848156</v>
      </c>
      <c r="BN31">
        <f t="shared" si="41"/>
        <v>0.4368049409151844</v>
      </c>
      <c r="BO31">
        <v>7772</v>
      </c>
      <c r="BP31">
        <v>290.00000000000011</v>
      </c>
      <c r="BQ31">
        <v>1012.31</v>
      </c>
      <c r="BR31">
        <v>175</v>
      </c>
      <c r="BS31">
        <v>10462.4</v>
      </c>
      <c r="BT31">
        <v>1011.31</v>
      </c>
      <c r="BU31">
        <v>1</v>
      </c>
      <c r="BV31">
        <v>300.00000000000011</v>
      </c>
      <c r="BW31">
        <v>38.200000000000003</v>
      </c>
      <c r="BX31">
        <v>1118.076203314763</v>
      </c>
      <c r="BY31">
        <v>1.261466636262037</v>
      </c>
      <c r="BZ31">
        <v>-111.70522924098179</v>
      </c>
      <c r="CA31">
        <v>1.080438844379912</v>
      </c>
      <c r="CB31">
        <v>0.99738738585524722</v>
      </c>
      <c r="CC31">
        <v>-1.136168787541714E-2</v>
      </c>
      <c r="CD31">
        <v>289.99999999999989</v>
      </c>
      <c r="CE31">
        <v>999.93</v>
      </c>
      <c r="CF31">
        <v>645</v>
      </c>
      <c r="CG31">
        <v>10441.799999999999</v>
      </c>
      <c r="CH31">
        <v>1011.1</v>
      </c>
      <c r="CI31">
        <v>-11.17</v>
      </c>
      <c r="CW31">
        <f t="shared" si="42"/>
        <v>1800</v>
      </c>
      <c r="CX31">
        <f t="shared" si="43"/>
        <v>1513.1844059022892</v>
      </c>
      <c r="CY31">
        <f t="shared" si="44"/>
        <v>0.8406580032790496</v>
      </c>
      <c r="CZ31">
        <f t="shared" si="45"/>
        <v>0.19131600655809933</v>
      </c>
      <c r="DA31">
        <v>6</v>
      </c>
      <c r="DB31">
        <v>0.5</v>
      </c>
      <c r="DC31" t="s">
        <v>420</v>
      </c>
      <c r="DD31">
        <v>2</v>
      </c>
      <c r="DE31">
        <v>1693498510.5</v>
      </c>
      <c r="DF31">
        <v>345.06599999999997</v>
      </c>
      <c r="DG31">
        <v>400.14400000000001</v>
      </c>
      <c r="DH31">
        <v>28.676600000000001</v>
      </c>
      <c r="DI31">
        <v>23.573499999999999</v>
      </c>
      <c r="DJ31">
        <v>344.88499999999999</v>
      </c>
      <c r="DK31">
        <v>28.412800000000001</v>
      </c>
      <c r="DL31">
        <v>500.262</v>
      </c>
      <c r="DM31">
        <v>99.645200000000003</v>
      </c>
      <c r="DN31">
        <v>0.100107</v>
      </c>
      <c r="DO31">
        <v>30.417200000000001</v>
      </c>
      <c r="DP31">
        <v>29.926100000000002</v>
      </c>
      <c r="DQ31">
        <v>999.9</v>
      </c>
      <c r="DR31">
        <v>0</v>
      </c>
      <c r="DS31">
        <v>0</v>
      </c>
      <c r="DT31">
        <v>9985</v>
      </c>
      <c r="DU31">
        <v>0</v>
      </c>
      <c r="DV31">
        <v>1701.02</v>
      </c>
      <c r="DW31">
        <v>-55.078099999999999</v>
      </c>
      <c r="DX31">
        <v>355.25400000000002</v>
      </c>
      <c r="DY31">
        <v>409.80500000000001</v>
      </c>
      <c r="DZ31">
        <v>5.1031300000000002</v>
      </c>
      <c r="EA31">
        <v>400.14400000000001</v>
      </c>
      <c r="EB31">
        <v>23.573499999999999</v>
      </c>
      <c r="EC31">
        <v>2.8574899999999999</v>
      </c>
      <c r="ED31">
        <v>2.3489800000000001</v>
      </c>
      <c r="EE31">
        <v>23.22</v>
      </c>
      <c r="EF31">
        <v>20.016300000000001</v>
      </c>
      <c r="EG31">
        <v>1800</v>
      </c>
      <c r="EH31">
        <v>0.97800299999999996</v>
      </c>
      <c r="EI31">
        <v>2.1996499999999999E-2</v>
      </c>
      <c r="EJ31">
        <v>0</v>
      </c>
      <c r="EK31">
        <v>757.78499999999997</v>
      </c>
      <c r="EL31">
        <v>5.0010300000000001</v>
      </c>
      <c r="EM31">
        <v>14670.3</v>
      </c>
      <c r="EN31">
        <v>14701.1</v>
      </c>
      <c r="EO31">
        <v>47.25</v>
      </c>
      <c r="EP31">
        <v>49.375</v>
      </c>
      <c r="EQ31">
        <v>48.875</v>
      </c>
      <c r="ER31">
        <v>48.186999999999998</v>
      </c>
      <c r="ES31">
        <v>49.061999999999998</v>
      </c>
      <c r="ET31">
        <v>1755.51</v>
      </c>
      <c r="EU31">
        <v>39.479999999999997</v>
      </c>
      <c r="EV31">
        <v>0</v>
      </c>
      <c r="EW31">
        <v>1319.6000001430509</v>
      </c>
      <c r="EX31">
        <v>0</v>
      </c>
      <c r="EY31">
        <v>757.44703846153845</v>
      </c>
      <c r="EZ31">
        <v>4.6445470095754704</v>
      </c>
      <c r="FA31">
        <v>85.244444809506803</v>
      </c>
      <c r="FB31">
        <v>14661.66153846154</v>
      </c>
      <c r="FC31">
        <v>15</v>
      </c>
      <c r="FD31">
        <v>1693498458</v>
      </c>
      <c r="FE31" t="s">
        <v>497</v>
      </c>
      <c r="FF31">
        <v>1693498456</v>
      </c>
      <c r="FG31">
        <v>1693498458</v>
      </c>
      <c r="FH31">
        <v>19</v>
      </c>
      <c r="FI31">
        <v>-0.16700000000000001</v>
      </c>
      <c r="FJ31">
        <v>-2.3E-2</v>
      </c>
      <c r="FK31">
        <v>0.22700000000000001</v>
      </c>
      <c r="FL31">
        <v>0.14799999999999999</v>
      </c>
      <c r="FM31">
        <v>400</v>
      </c>
      <c r="FN31">
        <v>24</v>
      </c>
      <c r="FO31">
        <v>0.11</v>
      </c>
      <c r="FP31">
        <v>0.06</v>
      </c>
      <c r="FQ31">
        <v>44.370647456605248</v>
      </c>
      <c r="FR31">
        <v>0.55859603695834381</v>
      </c>
      <c r="FS31">
        <v>6.2063010574672867E-2</v>
      </c>
      <c r="FT31">
        <v>1</v>
      </c>
      <c r="FU31">
        <v>0.31692941046050849</v>
      </c>
      <c r="FV31">
        <v>2.3521060960132172E-2</v>
      </c>
      <c r="FW31">
        <v>2.028462865805567E-3</v>
      </c>
      <c r="FX31">
        <v>1</v>
      </c>
      <c r="FY31">
        <v>2</v>
      </c>
      <c r="FZ31">
        <v>2</v>
      </c>
      <c r="GA31" t="s">
        <v>422</v>
      </c>
      <c r="GB31">
        <v>2.9067500000000002</v>
      </c>
      <c r="GC31">
        <v>2.81799</v>
      </c>
      <c r="GD31">
        <v>8.1640199999999996E-2</v>
      </c>
      <c r="GE31">
        <v>9.1650499999999996E-2</v>
      </c>
      <c r="GF31">
        <v>0.135963</v>
      </c>
      <c r="GG31">
        <v>0.118688</v>
      </c>
      <c r="GH31">
        <v>25614.5</v>
      </c>
      <c r="GI31">
        <v>25392</v>
      </c>
      <c r="GJ31">
        <v>24740.400000000001</v>
      </c>
      <c r="GK31">
        <v>24953.599999999999</v>
      </c>
      <c r="GL31">
        <v>28378.3</v>
      </c>
      <c r="GM31">
        <v>28751.8</v>
      </c>
      <c r="GN31">
        <v>33455</v>
      </c>
      <c r="GO31">
        <v>33332.699999999997</v>
      </c>
      <c r="GP31">
        <v>1.9963</v>
      </c>
      <c r="GQ31">
        <v>1.8774</v>
      </c>
      <c r="GR31">
        <v>7.1689500000000003E-2</v>
      </c>
      <c r="GS31">
        <v>0</v>
      </c>
      <c r="GT31">
        <v>28.758199999999999</v>
      </c>
      <c r="GU31">
        <v>999.9</v>
      </c>
      <c r="GV31">
        <v>46</v>
      </c>
      <c r="GW31">
        <v>37.6</v>
      </c>
      <c r="GX31">
        <v>30.071200000000001</v>
      </c>
      <c r="GY31">
        <v>61.876100000000001</v>
      </c>
      <c r="GZ31">
        <v>26.081700000000001</v>
      </c>
      <c r="HA31">
        <v>1</v>
      </c>
      <c r="HB31">
        <v>0.20737800000000001</v>
      </c>
      <c r="HC31">
        <v>0.88577300000000003</v>
      </c>
      <c r="HD31">
        <v>20.214500000000001</v>
      </c>
      <c r="HE31">
        <v>5.2352600000000002</v>
      </c>
      <c r="HF31">
        <v>11.919499999999999</v>
      </c>
      <c r="HG31">
        <v>4.9611999999999998</v>
      </c>
      <c r="HH31">
        <v>3.2890000000000001</v>
      </c>
      <c r="HI31">
        <v>9999</v>
      </c>
      <c r="HJ31">
        <v>9999</v>
      </c>
      <c r="HK31">
        <v>9999</v>
      </c>
      <c r="HL31">
        <v>892.2</v>
      </c>
      <c r="HM31">
        <v>1.8806499999999999</v>
      </c>
      <c r="HN31">
        <v>1.8776999999999999</v>
      </c>
      <c r="HO31">
        <v>1.88568</v>
      </c>
      <c r="HP31">
        <v>1.8834</v>
      </c>
      <c r="HQ31">
        <v>1.8809499999999999</v>
      </c>
      <c r="HR31">
        <v>1.8800399999999999</v>
      </c>
      <c r="HS31">
        <v>1.8811</v>
      </c>
      <c r="HT31">
        <v>1.88062</v>
      </c>
      <c r="HU31">
        <v>5</v>
      </c>
      <c r="HV31">
        <v>0</v>
      </c>
      <c r="HW31">
        <v>0</v>
      </c>
      <c r="HX31">
        <v>0</v>
      </c>
      <c r="HY31" t="s">
        <v>423</v>
      </c>
      <c r="HZ31" t="s">
        <v>424</v>
      </c>
      <c r="IA31" t="s">
        <v>425</v>
      </c>
      <c r="IB31" t="s">
        <v>425</v>
      </c>
      <c r="IC31" t="s">
        <v>425</v>
      </c>
      <c r="ID31" t="s">
        <v>425</v>
      </c>
      <c r="IE31">
        <v>0</v>
      </c>
      <c r="IF31">
        <v>100</v>
      </c>
      <c r="IG31">
        <v>100</v>
      </c>
      <c r="IH31">
        <v>0.18099999999999999</v>
      </c>
      <c r="II31">
        <v>0.26379999999999998</v>
      </c>
      <c r="IJ31">
        <v>-0.34184342698725678</v>
      </c>
      <c r="IK31">
        <v>2.2153513873161218E-3</v>
      </c>
      <c r="IL31">
        <v>-2.2967369670569612E-6</v>
      </c>
      <c r="IM31">
        <v>7.7859689150384122E-10</v>
      </c>
      <c r="IN31">
        <v>-0.12538371609387991</v>
      </c>
      <c r="IO31">
        <v>-4.1434251034592161E-3</v>
      </c>
      <c r="IP31">
        <v>8.3987709687394815E-4</v>
      </c>
      <c r="IQ31">
        <v>-7.4586254598011197E-6</v>
      </c>
      <c r="IR31">
        <v>2</v>
      </c>
      <c r="IS31">
        <v>1930</v>
      </c>
      <c r="IT31">
        <v>2</v>
      </c>
      <c r="IU31">
        <v>41</v>
      </c>
      <c r="IV31">
        <v>0.9</v>
      </c>
      <c r="IW31">
        <v>0.9</v>
      </c>
      <c r="IX31">
        <v>0.99975599999999998</v>
      </c>
      <c r="IY31">
        <v>2.5097700000000001</v>
      </c>
      <c r="IZ31">
        <v>1.24512</v>
      </c>
      <c r="JA31">
        <v>2.2546400000000002</v>
      </c>
      <c r="JB31">
        <v>1.4501999999999999</v>
      </c>
      <c r="JC31">
        <v>2.2631800000000002</v>
      </c>
      <c r="JD31">
        <v>39.316899999999997</v>
      </c>
      <c r="JE31">
        <v>16.049600000000002</v>
      </c>
      <c r="JF31">
        <v>18</v>
      </c>
      <c r="JG31">
        <v>496.56400000000002</v>
      </c>
      <c r="JH31">
        <v>466.22899999999998</v>
      </c>
      <c r="JI31">
        <v>26.538799999999998</v>
      </c>
      <c r="JJ31">
        <v>30.2225</v>
      </c>
      <c r="JK31">
        <v>30</v>
      </c>
      <c r="JL31">
        <v>29.988800000000001</v>
      </c>
      <c r="JM31">
        <v>29.944099999999999</v>
      </c>
      <c r="JN31">
        <v>20.111599999999999</v>
      </c>
      <c r="JO31">
        <v>24.457799999999999</v>
      </c>
      <c r="JP31">
        <v>52.310400000000001</v>
      </c>
      <c r="JQ31">
        <v>26.577300000000001</v>
      </c>
      <c r="JR31">
        <v>400</v>
      </c>
      <c r="JS31">
        <v>23.4895</v>
      </c>
      <c r="JT31">
        <v>99.853099999999998</v>
      </c>
      <c r="JU31">
        <v>99.477999999999994</v>
      </c>
    </row>
    <row r="32" spans="1:281" x14ac:dyDescent="0.25">
      <c r="A32">
        <v>16</v>
      </c>
      <c r="B32">
        <v>1693498618</v>
      </c>
      <c r="C32">
        <v>2968.400000095367</v>
      </c>
      <c r="D32" t="s">
        <v>498</v>
      </c>
      <c r="E32" t="s">
        <v>499</v>
      </c>
      <c r="F32" t="s">
        <v>413</v>
      </c>
      <c r="G32" t="s">
        <v>494</v>
      </c>
      <c r="H32" t="s">
        <v>416</v>
      </c>
      <c r="I32" t="s">
        <v>31</v>
      </c>
      <c r="J32">
        <v>1693498618</v>
      </c>
      <c r="K32">
        <f t="shared" si="0"/>
        <v>4.4852932664054936E-3</v>
      </c>
      <c r="L32">
        <f t="shared" si="1"/>
        <v>4.4852932664054936</v>
      </c>
      <c r="M32">
        <f t="shared" si="2"/>
        <v>35.1024854412872</v>
      </c>
      <c r="N32">
        <f t="shared" si="3"/>
        <v>256.50299999999999</v>
      </c>
      <c r="O32">
        <f t="shared" si="4"/>
        <v>72.394757563659766</v>
      </c>
      <c r="P32">
        <f t="shared" si="5"/>
        <v>7.2213372498584016</v>
      </c>
      <c r="Q32">
        <f t="shared" si="6"/>
        <v>25.58603317335</v>
      </c>
      <c r="R32">
        <f t="shared" si="7"/>
        <v>0.3280424223411656</v>
      </c>
      <c r="S32">
        <f t="shared" si="8"/>
        <v>2.920762322131131</v>
      </c>
      <c r="T32">
        <f t="shared" si="9"/>
        <v>0.30886208877593757</v>
      </c>
      <c r="U32">
        <f t="shared" si="10"/>
        <v>0.19466856244824474</v>
      </c>
      <c r="V32">
        <f t="shared" si="11"/>
        <v>344.37829864455841</v>
      </c>
      <c r="W32">
        <f t="shared" si="12"/>
        <v>31.395585548968491</v>
      </c>
      <c r="X32">
        <f t="shared" si="13"/>
        <v>29.9908</v>
      </c>
      <c r="Y32">
        <f t="shared" si="14"/>
        <v>4.2581988967422122</v>
      </c>
      <c r="Z32">
        <f t="shared" si="15"/>
        <v>65.147126258834305</v>
      </c>
      <c r="AA32">
        <f t="shared" si="16"/>
        <v>2.86133292314</v>
      </c>
      <c r="AB32">
        <f t="shared" si="17"/>
        <v>4.3921091956868743</v>
      </c>
      <c r="AC32">
        <f t="shared" si="18"/>
        <v>1.3968659736022122</v>
      </c>
      <c r="AD32">
        <f t="shared" si="19"/>
        <v>-197.80143304848227</v>
      </c>
      <c r="AE32">
        <f t="shared" si="20"/>
        <v>85.04638110162702</v>
      </c>
      <c r="AF32">
        <f t="shared" si="21"/>
        <v>6.4911286486466144</v>
      </c>
      <c r="AG32">
        <f t="shared" si="22"/>
        <v>238.11437534634979</v>
      </c>
      <c r="AH32">
        <v>0</v>
      </c>
      <c r="AI32">
        <v>0</v>
      </c>
      <c r="AJ32">
        <f t="shared" si="23"/>
        <v>1</v>
      </c>
      <c r="AK32">
        <f t="shared" si="24"/>
        <v>0</v>
      </c>
      <c r="AL32">
        <f t="shared" si="25"/>
        <v>52003.891780243706</v>
      </c>
      <c r="AM32" t="s">
        <v>417</v>
      </c>
      <c r="AN32">
        <v>10366.9</v>
      </c>
      <c r="AO32">
        <v>993.59653846153856</v>
      </c>
      <c r="AP32">
        <v>3431.87</v>
      </c>
      <c r="AQ32">
        <f t="shared" si="26"/>
        <v>0.71047955241266758</v>
      </c>
      <c r="AR32">
        <v>-3.9894345373445681</v>
      </c>
      <c r="AS32" t="s">
        <v>500</v>
      </c>
      <c r="AT32">
        <v>10460.5</v>
      </c>
      <c r="AU32">
        <v>715.78080769230769</v>
      </c>
      <c r="AV32">
        <v>997.53483676615951</v>
      </c>
      <c r="AW32">
        <f t="shared" si="27"/>
        <v>0.28245031520628505</v>
      </c>
      <c r="AX32">
        <v>0.5</v>
      </c>
      <c r="AY32">
        <f t="shared" si="28"/>
        <v>1513.2263993222789</v>
      </c>
      <c r="AZ32">
        <f t="shared" si="29"/>
        <v>35.1024854412872</v>
      </c>
      <c r="BA32">
        <f t="shared" si="30"/>
        <v>213.70563673352473</v>
      </c>
      <c r="BB32">
        <f t="shared" si="31"/>
        <v>2.5833490610618258E-2</v>
      </c>
      <c r="BC32">
        <f t="shared" si="32"/>
        <v>2.4403510268629276</v>
      </c>
      <c r="BD32">
        <f t="shared" si="33"/>
        <v>582.23157668301076</v>
      </c>
      <c r="BE32" t="s">
        <v>501</v>
      </c>
      <c r="BF32">
        <v>582.30999999999995</v>
      </c>
      <c r="BG32">
        <f t="shared" si="34"/>
        <v>582.30999999999995</v>
      </c>
      <c r="BH32">
        <f t="shared" si="35"/>
        <v>0.41625096333702871</v>
      </c>
      <c r="BI32">
        <f t="shared" si="36"/>
        <v>0.67855774540896763</v>
      </c>
      <c r="BJ32">
        <f t="shared" si="37"/>
        <v>0.85428457840292549</v>
      </c>
      <c r="BK32">
        <f t="shared" si="38"/>
        <v>71.542074083941017</v>
      </c>
      <c r="BL32">
        <f t="shared" si="39"/>
        <v>0.99838480040621191</v>
      </c>
      <c r="BM32">
        <f t="shared" si="40"/>
        <v>0.55202787848280865</v>
      </c>
      <c r="BN32">
        <f t="shared" si="41"/>
        <v>0.44797212151719135</v>
      </c>
      <c r="BO32">
        <v>7774</v>
      </c>
      <c r="BP32">
        <v>290.00000000000011</v>
      </c>
      <c r="BQ32">
        <v>915.6</v>
      </c>
      <c r="BR32">
        <v>175</v>
      </c>
      <c r="BS32">
        <v>10460.5</v>
      </c>
      <c r="BT32">
        <v>914.39</v>
      </c>
      <c r="BU32">
        <v>1.21</v>
      </c>
      <c r="BV32">
        <v>300.00000000000011</v>
      </c>
      <c r="BW32">
        <v>38.200000000000003</v>
      </c>
      <c r="BX32">
        <v>997.53483676615951</v>
      </c>
      <c r="BY32">
        <v>1.0963303369866719</v>
      </c>
      <c r="BZ32">
        <v>-86.968838316574875</v>
      </c>
      <c r="CA32">
        <v>0.93883228930361573</v>
      </c>
      <c r="CB32">
        <v>0.99674768975807537</v>
      </c>
      <c r="CC32">
        <v>-1.135928253615128E-2</v>
      </c>
      <c r="CD32">
        <v>289.99999999999989</v>
      </c>
      <c r="CE32">
        <v>907.01</v>
      </c>
      <c r="CF32">
        <v>635</v>
      </c>
      <c r="CG32">
        <v>10440.9</v>
      </c>
      <c r="CH32">
        <v>914.24</v>
      </c>
      <c r="CI32">
        <v>-7.23</v>
      </c>
      <c r="CW32">
        <f t="shared" si="42"/>
        <v>1800.05</v>
      </c>
      <c r="CX32">
        <f t="shared" si="43"/>
        <v>1513.2263993222789</v>
      </c>
      <c r="CY32">
        <f t="shared" si="44"/>
        <v>0.84065798134622871</v>
      </c>
      <c r="CZ32">
        <f t="shared" si="45"/>
        <v>0.19131596269245765</v>
      </c>
      <c r="DA32">
        <v>6</v>
      </c>
      <c r="DB32">
        <v>0.5</v>
      </c>
      <c r="DC32" t="s">
        <v>420</v>
      </c>
      <c r="DD32">
        <v>2</v>
      </c>
      <c r="DE32">
        <v>1693498618</v>
      </c>
      <c r="DF32">
        <v>256.50299999999999</v>
      </c>
      <c r="DG32">
        <v>299.952</v>
      </c>
      <c r="DH32">
        <v>28.685199999999998</v>
      </c>
      <c r="DI32">
        <v>23.463799999999999</v>
      </c>
      <c r="DJ32">
        <v>256.36799999999999</v>
      </c>
      <c r="DK32">
        <v>28.424800000000001</v>
      </c>
      <c r="DL32">
        <v>500.62799999999999</v>
      </c>
      <c r="DM32">
        <v>99.6494</v>
      </c>
      <c r="DN32">
        <v>0.10005</v>
      </c>
      <c r="DO32">
        <v>30.530899999999999</v>
      </c>
      <c r="DP32">
        <v>29.9908</v>
      </c>
      <c r="DQ32">
        <v>999.9</v>
      </c>
      <c r="DR32">
        <v>0</v>
      </c>
      <c r="DS32">
        <v>0</v>
      </c>
      <c r="DT32">
        <v>9985</v>
      </c>
      <c r="DU32">
        <v>0</v>
      </c>
      <c r="DV32">
        <v>1705.83</v>
      </c>
      <c r="DW32">
        <v>-43.449199999999998</v>
      </c>
      <c r="DX32">
        <v>264.07799999999997</v>
      </c>
      <c r="DY32">
        <v>307.15899999999999</v>
      </c>
      <c r="DZ32">
        <v>5.2213599999999998</v>
      </c>
      <c r="EA32">
        <v>299.952</v>
      </c>
      <c r="EB32">
        <v>23.463799999999999</v>
      </c>
      <c r="EC32">
        <v>2.85846</v>
      </c>
      <c r="ED32">
        <v>2.3381500000000002</v>
      </c>
      <c r="EE32">
        <v>23.2256</v>
      </c>
      <c r="EF32">
        <v>19.941700000000001</v>
      </c>
      <c r="EG32">
        <v>1800.05</v>
      </c>
      <c r="EH32">
        <v>0.97800699999999996</v>
      </c>
      <c r="EI32">
        <v>2.1992899999999999E-2</v>
      </c>
      <c r="EJ32">
        <v>0</v>
      </c>
      <c r="EK32">
        <v>715.13</v>
      </c>
      <c r="EL32">
        <v>5.0010300000000001</v>
      </c>
      <c r="EM32">
        <v>13902.6</v>
      </c>
      <c r="EN32">
        <v>14701.6</v>
      </c>
      <c r="EO32">
        <v>47.375</v>
      </c>
      <c r="EP32">
        <v>49.311999999999998</v>
      </c>
      <c r="EQ32">
        <v>48.936999999999998</v>
      </c>
      <c r="ER32">
        <v>48.125</v>
      </c>
      <c r="ES32">
        <v>49.125</v>
      </c>
      <c r="ET32">
        <v>1755.57</v>
      </c>
      <c r="EU32">
        <v>39.479999999999997</v>
      </c>
      <c r="EV32">
        <v>0</v>
      </c>
      <c r="EW32">
        <v>105.5999999046326</v>
      </c>
      <c r="EX32">
        <v>0</v>
      </c>
      <c r="EY32">
        <v>715.78080769230769</v>
      </c>
      <c r="EZ32">
        <v>-4.4877606815901556</v>
      </c>
      <c r="FA32">
        <v>-103.82222228894619</v>
      </c>
      <c r="FB32">
        <v>13910.58461538462</v>
      </c>
      <c r="FC32">
        <v>15</v>
      </c>
      <c r="FD32">
        <v>1693498589.5</v>
      </c>
      <c r="FE32" t="s">
        <v>502</v>
      </c>
      <c r="FF32">
        <v>1693498589.5</v>
      </c>
      <c r="FG32">
        <v>1693498589</v>
      </c>
      <c r="FH32">
        <v>20</v>
      </c>
      <c r="FI32">
        <v>4.7E-2</v>
      </c>
      <c r="FJ32">
        <v>-4.0000000000000001E-3</v>
      </c>
      <c r="FK32">
        <v>0.184</v>
      </c>
      <c r="FL32">
        <v>0.13100000000000001</v>
      </c>
      <c r="FM32">
        <v>300</v>
      </c>
      <c r="FN32">
        <v>23</v>
      </c>
      <c r="FO32">
        <v>0.1</v>
      </c>
      <c r="FP32">
        <v>0.05</v>
      </c>
      <c r="FQ32">
        <v>35.101280305188872</v>
      </c>
      <c r="FR32">
        <v>-7.159084544492178E-2</v>
      </c>
      <c r="FS32">
        <v>0.105597227691434</v>
      </c>
      <c r="FT32">
        <v>1</v>
      </c>
      <c r="FU32">
        <v>0.33238029059398028</v>
      </c>
      <c r="FV32">
        <v>2.0185542748086021E-2</v>
      </c>
      <c r="FW32">
        <v>5.4581748494176418E-3</v>
      </c>
      <c r="FX32">
        <v>1</v>
      </c>
      <c r="FY32">
        <v>2</v>
      </c>
      <c r="FZ32">
        <v>2</v>
      </c>
      <c r="GA32" t="s">
        <v>422</v>
      </c>
      <c r="GB32">
        <v>2.9075199999999999</v>
      </c>
      <c r="GC32">
        <v>2.81793</v>
      </c>
      <c r="GD32">
        <v>6.4060800000000001E-2</v>
      </c>
      <c r="GE32">
        <v>7.2977299999999995E-2</v>
      </c>
      <c r="GF32">
        <v>0.13598399999999999</v>
      </c>
      <c r="GG32">
        <v>0.118293</v>
      </c>
      <c r="GH32">
        <v>26102.1</v>
      </c>
      <c r="GI32">
        <v>25909.1</v>
      </c>
      <c r="GJ32">
        <v>24738.2</v>
      </c>
      <c r="GK32">
        <v>24949.4</v>
      </c>
      <c r="GL32">
        <v>28374.6</v>
      </c>
      <c r="GM32">
        <v>28760.7</v>
      </c>
      <c r="GN32">
        <v>33451.1</v>
      </c>
      <c r="GO32">
        <v>33327.599999999999</v>
      </c>
      <c r="GP32">
        <v>1.9946999999999999</v>
      </c>
      <c r="GQ32">
        <v>1.8771</v>
      </c>
      <c r="GR32">
        <v>8.92878E-2</v>
      </c>
      <c r="GS32">
        <v>0</v>
      </c>
      <c r="GT32">
        <v>28.536000000000001</v>
      </c>
      <c r="GU32">
        <v>999.9</v>
      </c>
      <c r="GV32">
        <v>46</v>
      </c>
      <c r="GW32">
        <v>37.5</v>
      </c>
      <c r="GX32">
        <v>29.9099</v>
      </c>
      <c r="GY32">
        <v>61.876100000000001</v>
      </c>
      <c r="GZ32">
        <v>25.729199999999999</v>
      </c>
      <c r="HA32">
        <v>1</v>
      </c>
      <c r="HB32">
        <v>0.215894</v>
      </c>
      <c r="HC32">
        <v>1.42082</v>
      </c>
      <c r="HD32">
        <v>20.2104</v>
      </c>
      <c r="HE32">
        <v>5.2346599999999999</v>
      </c>
      <c r="HF32">
        <v>11.9201</v>
      </c>
      <c r="HG32">
        <v>4.9618000000000002</v>
      </c>
      <c r="HH32">
        <v>3.2890000000000001</v>
      </c>
      <c r="HI32">
        <v>9999</v>
      </c>
      <c r="HJ32">
        <v>9999</v>
      </c>
      <c r="HK32">
        <v>9999</v>
      </c>
      <c r="HL32">
        <v>892.3</v>
      </c>
      <c r="HM32">
        <v>1.88063</v>
      </c>
      <c r="HN32">
        <v>1.8777200000000001</v>
      </c>
      <c r="HO32">
        <v>1.88565</v>
      </c>
      <c r="HP32">
        <v>1.88344</v>
      </c>
      <c r="HQ32">
        <v>1.8809499999999999</v>
      </c>
      <c r="HR32">
        <v>1.8800399999999999</v>
      </c>
      <c r="HS32">
        <v>1.88113</v>
      </c>
      <c r="HT32">
        <v>1.88063</v>
      </c>
      <c r="HU32">
        <v>5</v>
      </c>
      <c r="HV32">
        <v>0</v>
      </c>
      <c r="HW32">
        <v>0</v>
      </c>
      <c r="HX32">
        <v>0</v>
      </c>
      <c r="HY32" t="s">
        <v>423</v>
      </c>
      <c r="HZ32" t="s">
        <v>424</v>
      </c>
      <c r="IA32" t="s">
        <v>425</v>
      </c>
      <c r="IB32" t="s">
        <v>425</v>
      </c>
      <c r="IC32" t="s">
        <v>425</v>
      </c>
      <c r="ID32" t="s">
        <v>425</v>
      </c>
      <c r="IE32">
        <v>0</v>
      </c>
      <c r="IF32">
        <v>100</v>
      </c>
      <c r="IG32">
        <v>100</v>
      </c>
      <c r="IH32">
        <v>0.13500000000000001</v>
      </c>
      <c r="II32">
        <v>0.26040000000000002</v>
      </c>
      <c r="IJ32">
        <v>-0.29512288656058971</v>
      </c>
      <c r="IK32">
        <v>2.2153513873161218E-3</v>
      </c>
      <c r="IL32">
        <v>-2.2967369670569612E-6</v>
      </c>
      <c r="IM32">
        <v>7.7859689150384122E-10</v>
      </c>
      <c r="IN32">
        <v>-0.12914235255852041</v>
      </c>
      <c r="IO32">
        <v>-4.1434251034592161E-3</v>
      </c>
      <c r="IP32">
        <v>8.3987709687394815E-4</v>
      </c>
      <c r="IQ32">
        <v>-7.4586254598011197E-6</v>
      </c>
      <c r="IR32">
        <v>2</v>
      </c>
      <c r="IS32">
        <v>1930</v>
      </c>
      <c r="IT32">
        <v>2</v>
      </c>
      <c r="IU32">
        <v>41</v>
      </c>
      <c r="IV32">
        <v>0.5</v>
      </c>
      <c r="IW32">
        <v>0.5</v>
      </c>
      <c r="IX32">
        <v>0.79711900000000002</v>
      </c>
      <c r="IY32">
        <v>2.50244</v>
      </c>
      <c r="IZ32">
        <v>1.24512</v>
      </c>
      <c r="JA32">
        <v>2.2558600000000002</v>
      </c>
      <c r="JB32">
        <v>1.4501999999999999</v>
      </c>
      <c r="JC32">
        <v>2.4523899999999998</v>
      </c>
      <c r="JD32">
        <v>39.1676</v>
      </c>
      <c r="JE32">
        <v>16.040800000000001</v>
      </c>
      <c r="JF32">
        <v>18</v>
      </c>
      <c r="JG32">
        <v>496.17899999999997</v>
      </c>
      <c r="JH32">
        <v>466.67399999999998</v>
      </c>
      <c r="JI32">
        <v>27.0136</v>
      </c>
      <c r="JJ32">
        <v>30.2867</v>
      </c>
      <c r="JK32">
        <v>30</v>
      </c>
      <c r="JL32">
        <v>30.067900000000002</v>
      </c>
      <c r="JM32">
        <v>30.019600000000001</v>
      </c>
      <c r="JN32">
        <v>16.049499999999998</v>
      </c>
      <c r="JO32">
        <v>24.2575</v>
      </c>
      <c r="JP32">
        <v>51.3979</v>
      </c>
      <c r="JQ32">
        <v>27.0655</v>
      </c>
      <c r="JR32">
        <v>300</v>
      </c>
      <c r="JS32">
        <v>23.407399999999999</v>
      </c>
      <c r="JT32">
        <v>99.842600000000004</v>
      </c>
      <c r="JU32">
        <v>99.462100000000007</v>
      </c>
    </row>
    <row r="33" spans="1:281" x14ac:dyDescent="0.25">
      <c r="A33">
        <v>17</v>
      </c>
      <c r="B33">
        <v>1693498758.5</v>
      </c>
      <c r="C33">
        <v>3108.900000095367</v>
      </c>
      <c r="D33" t="s">
        <v>503</v>
      </c>
      <c r="E33" t="s">
        <v>504</v>
      </c>
      <c r="F33" t="s">
        <v>413</v>
      </c>
      <c r="G33" t="s">
        <v>494</v>
      </c>
      <c r="H33" t="s">
        <v>416</v>
      </c>
      <c r="I33" t="s">
        <v>31</v>
      </c>
      <c r="J33">
        <v>1693498758.5</v>
      </c>
      <c r="K33">
        <f t="shared" si="0"/>
        <v>5.0749320449856973E-3</v>
      </c>
      <c r="L33">
        <f t="shared" si="1"/>
        <v>5.0749320449856974</v>
      </c>
      <c r="M33">
        <f t="shared" si="2"/>
        <v>25.754180082383154</v>
      </c>
      <c r="N33">
        <f t="shared" si="3"/>
        <v>168.161</v>
      </c>
      <c r="O33">
        <f t="shared" si="4"/>
        <v>50.303804976564187</v>
      </c>
      <c r="P33">
        <f t="shared" si="5"/>
        <v>5.0177623415199024</v>
      </c>
      <c r="Q33">
        <f t="shared" si="6"/>
        <v>16.773918662921002</v>
      </c>
      <c r="R33">
        <f t="shared" si="7"/>
        <v>0.37913450922763997</v>
      </c>
      <c r="S33">
        <f t="shared" si="8"/>
        <v>2.9172395862479963</v>
      </c>
      <c r="T33">
        <f t="shared" si="9"/>
        <v>0.35373372554786081</v>
      </c>
      <c r="U33">
        <f t="shared" si="10"/>
        <v>0.22322376751703862</v>
      </c>
      <c r="V33">
        <f t="shared" si="11"/>
        <v>344.36689864451318</v>
      </c>
      <c r="W33">
        <f t="shared" si="12"/>
        <v>31.282399044061485</v>
      </c>
      <c r="X33">
        <f t="shared" si="13"/>
        <v>29.977799999999998</v>
      </c>
      <c r="Y33">
        <f t="shared" si="14"/>
        <v>4.2550200784528753</v>
      </c>
      <c r="Z33">
        <f t="shared" si="15"/>
        <v>65.312598441663226</v>
      </c>
      <c r="AA33">
        <f t="shared" si="16"/>
        <v>2.8750900173352001</v>
      </c>
      <c r="AB33">
        <f t="shared" si="17"/>
        <v>4.4020450662412571</v>
      </c>
      <c r="AC33">
        <f t="shared" si="18"/>
        <v>1.3799300611176752</v>
      </c>
      <c r="AD33">
        <f t="shared" si="19"/>
        <v>-223.80450318386926</v>
      </c>
      <c r="AE33">
        <f t="shared" si="20"/>
        <v>93.2007031120352</v>
      </c>
      <c r="AF33">
        <f t="shared" si="21"/>
        <v>7.1230284772678569</v>
      </c>
      <c r="AG33">
        <f t="shared" si="22"/>
        <v>220.88612704994696</v>
      </c>
      <c r="AH33">
        <v>0</v>
      </c>
      <c r="AI33">
        <v>0</v>
      </c>
      <c r="AJ33">
        <f t="shared" si="23"/>
        <v>1</v>
      </c>
      <c r="AK33">
        <f t="shared" si="24"/>
        <v>0</v>
      </c>
      <c r="AL33">
        <f t="shared" si="25"/>
        <v>51896.80017581991</v>
      </c>
      <c r="AM33" t="s">
        <v>417</v>
      </c>
      <c r="AN33">
        <v>10366.9</v>
      </c>
      <c r="AO33">
        <v>993.59653846153856</v>
      </c>
      <c r="AP33">
        <v>3431.87</v>
      </c>
      <c r="AQ33">
        <f t="shared" si="26"/>
        <v>0.71047955241266758</v>
      </c>
      <c r="AR33">
        <v>-3.9894345373445681</v>
      </c>
      <c r="AS33" t="s">
        <v>505</v>
      </c>
      <c r="AT33">
        <v>10447.200000000001</v>
      </c>
      <c r="AU33">
        <v>699.23726923076913</v>
      </c>
      <c r="AV33">
        <v>898.23763435715694</v>
      </c>
      <c r="AW33">
        <f t="shared" si="27"/>
        <v>0.22154534336429432</v>
      </c>
      <c r="AX33">
        <v>0.5</v>
      </c>
      <c r="AY33">
        <f t="shared" si="28"/>
        <v>1513.1759993222565</v>
      </c>
      <c r="AZ33">
        <f t="shared" si="29"/>
        <v>25.754180082383154</v>
      </c>
      <c r="BA33">
        <f t="shared" si="30"/>
        <v>167.61854817022925</v>
      </c>
      <c r="BB33">
        <f t="shared" si="31"/>
        <v>1.9656414477264857E-2</v>
      </c>
      <c r="BC33">
        <f t="shared" si="32"/>
        <v>2.8206704648442966</v>
      </c>
      <c r="BD33">
        <f t="shared" si="33"/>
        <v>546.94136833886876</v>
      </c>
      <c r="BE33" t="s">
        <v>506</v>
      </c>
      <c r="BF33">
        <v>568.74</v>
      </c>
      <c r="BG33">
        <f t="shared" si="34"/>
        <v>568.74</v>
      </c>
      <c r="BH33">
        <f t="shared" si="35"/>
        <v>0.36682679700118437</v>
      </c>
      <c r="BI33">
        <f t="shared" si="36"/>
        <v>0.60395081595846178</v>
      </c>
      <c r="BJ33">
        <f t="shared" si="37"/>
        <v>0.88491698443411337</v>
      </c>
      <c r="BK33">
        <f t="shared" si="38"/>
        <v>-2.0868566705481255</v>
      </c>
      <c r="BL33">
        <f t="shared" si="39"/>
        <v>1.039109191650806</v>
      </c>
      <c r="BM33">
        <f t="shared" si="40"/>
        <v>0.49123666912962177</v>
      </c>
      <c r="BN33">
        <f t="shared" si="41"/>
        <v>0.50876333087037828</v>
      </c>
      <c r="BO33">
        <v>7776</v>
      </c>
      <c r="BP33">
        <v>290.00000000000011</v>
      </c>
      <c r="BQ33">
        <v>845.6</v>
      </c>
      <c r="BR33">
        <v>275</v>
      </c>
      <c r="BS33">
        <v>10447.200000000001</v>
      </c>
      <c r="BT33">
        <v>844.6</v>
      </c>
      <c r="BU33">
        <v>1</v>
      </c>
      <c r="BV33">
        <v>300.00000000000011</v>
      </c>
      <c r="BW33">
        <v>38.200000000000003</v>
      </c>
      <c r="BX33">
        <v>898.23763435715694</v>
      </c>
      <c r="BY33">
        <v>1.191356121911624</v>
      </c>
      <c r="BZ33">
        <v>-56.036959861043613</v>
      </c>
      <c r="CA33">
        <v>1.0201179425067759</v>
      </c>
      <c r="CB33">
        <v>0.99080613002733797</v>
      </c>
      <c r="CC33">
        <v>-1.13582827586207E-2</v>
      </c>
      <c r="CD33">
        <v>289.99999999999989</v>
      </c>
      <c r="CE33">
        <v>841.71</v>
      </c>
      <c r="CF33">
        <v>635</v>
      </c>
      <c r="CG33">
        <v>10439.9</v>
      </c>
      <c r="CH33">
        <v>844.56</v>
      </c>
      <c r="CI33">
        <v>-2.85</v>
      </c>
      <c r="CW33">
        <f t="shared" si="42"/>
        <v>1799.99</v>
      </c>
      <c r="CX33">
        <f t="shared" si="43"/>
        <v>1513.1759993222565</v>
      </c>
      <c r="CY33">
        <f t="shared" si="44"/>
        <v>0.8406580032790496</v>
      </c>
      <c r="CZ33">
        <f t="shared" si="45"/>
        <v>0.19131600655809933</v>
      </c>
      <c r="DA33">
        <v>6</v>
      </c>
      <c r="DB33">
        <v>0.5</v>
      </c>
      <c r="DC33" t="s">
        <v>420</v>
      </c>
      <c r="DD33">
        <v>2</v>
      </c>
      <c r="DE33">
        <v>1693498758.5</v>
      </c>
      <c r="DF33">
        <v>168.161</v>
      </c>
      <c r="DG33">
        <v>200.054</v>
      </c>
      <c r="DH33">
        <v>28.8232</v>
      </c>
      <c r="DI33">
        <v>22.915500000000002</v>
      </c>
      <c r="DJ33">
        <v>168.142</v>
      </c>
      <c r="DK33">
        <v>28.559200000000001</v>
      </c>
      <c r="DL33">
        <v>500.56599999999997</v>
      </c>
      <c r="DM33">
        <v>99.648700000000005</v>
      </c>
      <c r="DN33">
        <v>0.10046099999999999</v>
      </c>
      <c r="DO33">
        <v>30.570399999999999</v>
      </c>
      <c r="DP33">
        <v>29.977799999999998</v>
      </c>
      <c r="DQ33">
        <v>999.9</v>
      </c>
      <c r="DR33">
        <v>0</v>
      </c>
      <c r="DS33">
        <v>0</v>
      </c>
      <c r="DT33">
        <v>9965</v>
      </c>
      <c r="DU33">
        <v>0</v>
      </c>
      <c r="DV33">
        <v>1733.27</v>
      </c>
      <c r="DW33">
        <v>-31.893799999999999</v>
      </c>
      <c r="DX33">
        <v>173.15100000000001</v>
      </c>
      <c r="DY33">
        <v>204.74600000000001</v>
      </c>
      <c r="DZ33">
        <v>5.90768</v>
      </c>
      <c r="EA33">
        <v>200.054</v>
      </c>
      <c r="EB33">
        <v>22.915500000000002</v>
      </c>
      <c r="EC33">
        <v>2.8721999999999999</v>
      </c>
      <c r="ED33">
        <v>2.2835000000000001</v>
      </c>
      <c r="EE33">
        <v>23.305</v>
      </c>
      <c r="EF33">
        <v>19.560500000000001</v>
      </c>
      <c r="EG33">
        <v>1799.99</v>
      </c>
      <c r="EH33">
        <v>0.97800699999999996</v>
      </c>
      <c r="EI33">
        <v>2.1992899999999999E-2</v>
      </c>
      <c r="EJ33">
        <v>0</v>
      </c>
      <c r="EK33">
        <v>699.12800000000004</v>
      </c>
      <c r="EL33">
        <v>5.0010300000000001</v>
      </c>
      <c r="EM33">
        <v>13609.5</v>
      </c>
      <c r="EN33">
        <v>14701.1</v>
      </c>
      <c r="EO33">
        <v>47.25</v>
      </c>
      <c r="EP33">
        <v>49.436999999999998</v>
      </c>
      <c r="EQ33">
        <v>48.811999999999998</v>
      </c>
      <c r="ER33">
        <v>48</v>
      </c>
      <c r="ES33">
        <v>49</v>
      </c>
      <c r="ET33">
        <v>1755.51</v>
      </c>
      <c r="EU33">
        <v>39.479999999999997</v>
      </c>
      <c r="EV33">
        <v>0</v>
      </c>
      <c r="EW33">
        <v>138.79999995231631</v>
      </c>
      <c r="EX33">
        <v>0</v>
      </c>
      <c r="EY33">
        <v>699.23726923076913</v>
      </c>
      <c r="EZ33">
        <v>-1.718051307676965</v>
      </c>
      <c r="FA33">
        <v>-29.271794971261372</v>
      </c>
      <c r="FB33">
        <v>13613</v>
      </c>
      <c r="FC33">
        <v>15</v>
      </c>
      <c r="FD33">
        <v>1693498700</v>
      </c>
      <c r="FE33" t="s">
        <v>507</v>
      </c>
      <c r="FF33">
        <v>1693498692</v>
      </c>
      <c r="FG33">
        <v>1693498700</v>
      </c>
      <c r="FH33">
        <v>21</v>
      </c>
      <c r="FI33">
        <v>3.0000000000000001E-3</v>
      </c>
      <c r="FJ33">
        <v>0</v>
      </c>
      <c r="FK33">
        <v>6.5000000000000002E-2</v>
      </c>
      <c r="FL33">
        <v>0.13300000000000001</v>
      </c>
      <c r="FM33">
        <v>200</v>
      </c>
      <c r="FN33">
        <v>23</v>
      </c>
      <c r="FO33">
        <v>0.16</v>
      </c>
      <c r="FP33">
        <v>0.04</v>
      </c>
      <c r="FQ33">
        <v>25.57862810346462</v>
      </c>
      <c r="FR33">
        <v>0.59771154198092558</v>
      </c>
      <c r="FS33">
        <v>6.3343922724878682E-2</v>
      </c>
      <c r="FT33">
        <v>1</v>
      </c>
      <c r="FU33">
        <v>0.37857778027142958</v>
      </c>
      <c r="FV33">
        <v>6.3351891901124949E-3</v>
      </c>
      <c r="FW33">
        <v>1.5100740225449071E-3</v>
      </c>
      <c r="FX33">
        <v>1</v>
      </c>
      <c r="FY33">
        <v>2</v>
      </c>
      <c r="FZ33">
        <v>2</v>
      </c>
      <c r="GA33" t="s">
        <v>422</v>
      </c>
      <c r="GB33">
        <v>2.9072200000000001</v>
      </c>
      <c r="GC33">
        <v>2.8181699999999998</v>
      </c>
      <c r="GD33">
        <v>4.4269900000000001E-2</v>
      </c>
      <c r="GE33">
        <v>5.17373E-2</v>
      </c>
      <c r="GF33">
        <v>0.13639699999999999</v>
      </c>
      <c r="GG33">
        <v>0.116359</v>
      </c>
      <c r="GH33">
        <v>26651.200000000001</v>
      </c>
      <c r="GI33">
        <v>26501.5</v>
      </c>
      <c r="GJ33">
        <v>24735.9</v>
      </c>
      <c r="GK33">
        <v>24948.9</v>
      </c>
      <c r="GL33">
        <v>28358.7</v>
      </c>
      <c r="GM33">
        <v>28823.1</v>
      </c>
      <c r="GN33">
        <v>33448.199999999997</v>
      </c>
      <c r="GO33">
        <v>33325.699999999997</v>
      </c>
      <c r="GP33">
        <v>1.9948999999999999</v>
      </c>
      <c r="GQ33">
        <v>1.8766</v>
      </c>
      <c r="GR33">
        <v>8.6844000000000005E-2</v>
      </c>
      <c r="GS33">
        <v>0</v>
      </c>
      <c r="GT33">
        <v>28.562899999999999</v>
      </c>
      <c r="GU33">
        <v>999.9</v>
      </c>
      <c r="GV33">
        <v>46</v>
      </c>
      <c r="GW33">
        <v>37.299999999999997</v>
      </c>
      <c r="GX33">
        <v>29.584</v>
      </c>
      <c r="GY33">
        <v>61.616100000000003</v>
      </c>
      <c r="GZ33">
        <v>25.3005</v>
      </c>
      <c r="HA33">
        <v>1</v>
      </c>
      <c r="HB33">
        <v>0.218333</v>
      </c>
      <c r="HC33">
        <v>0.655806</v>
      </c>
      <c r="HD33">
        <v>20.216100000000001</v>
      </c>
      <c r="HE33">
        <v>5.2352600000000002</v>
      </c>
      <c r="HF33">
        <v>11.9201</v>
      </c>
      <c r="HG33">
        <v>4.9618000000000002</v>
      </c>
      <c r="HH33">
        <v>3.2890000000000001</v>
      </c>
      <c r="HI33">
        <v>9999</v>
      </c>
      <c r="HJ33">
        <v>9999</v>
      </c>
      <c r="HK33">
        <v>9999</v>
      </c>
      <c r="HL33">
        <v>892.3</v>
      </c>
      <c r="HM33">
        <v>1.8806499999999999</v>
      </c>
      <c r="HN33">
        <v>1.87767</v>
      </c>
      <c r="HO33">
        <v>1.88568</v>
      </c>
      <c r="HP33">
        <v>1.88351</v>
      </c>
      <c r="HQ33">
        <v>1.8809499999999999</v>
      </c>
      <c r="HR33">
        <v>1.8800399999999999</v>
      </c>
      <c r="HS33">
        <v>1.8811</v>
      </c>
      <c r="HT33">
        <v>1.88063</v>
      </c>
      <c r="HU33">
        <v>5</v>
      </c>
      <c r="HV33">
        <v>0</v>
      </c>
      <c r="HW33">
        <v>0</v>
      </c>
      <c r="HX33">
        <v>0</v>
      </c>
      <c r="HY33" t="s">
        <v>423</v>
      </c>
      <c r="HZ33" t="s">
        <v>424</v>
      </c>
      <c r="IA33" t="s">
        <v>425</v>
      </c>
      <c r="IB33" t="s">
        <v>425</v>
      </c>
      <c r="IC33" t="s">
        <v>425</v>
      </c>
      <c r="ID33" t="s">
        <v>425</v>
      </c>
      <c r="IE33">
        <v>0</v>
      </c>
      <c r="IF33">
        <v>100</v>
      </c>
      <c r="IG33">
        <v>100</v>
      </c>
      <c r="IH33">
        <v>1.9E-2</v>
      </c>
      <c r="II33">
        <v>0.26400000000000001</v>
      </c>
      <c r="IJ33">
        <v>-0.292428866849544</v>
      </c>
      <c r="IK33">
        <v>2.2153513873161218E-3</v>
      </c>
      <c r="IL33">
        <v>-2.2967369670569612E-6</v>
      </c>
      <c r="IM33">
        <v>7.7859689150384122E-10</v>
      </c>
      <c r="IN33">
        <v>-0.128920865707007</v>
      </c>
      <c r="IO33">
        <v>-4.1434251034592161E-3</v>
      </c>
      <c r="IP33">
        <v>8.3987709687394815E-4</v>
      </c>
      <c r="IQ33">
        <v>-7.4586254598011197E-6</v>
      </c>
      <c r="IR33">
        <v>2</v>
      </c>
      <c r="IS33">
        <v>1930</v>
      </c>
      <c r="IT33">
        <v>2</v>
      </c>
      <c r="IU33">
        <v>41</v>
      </c>
      <c r="IV33">
        <v>1.1000000000000001</v>
      </c>
      <c r="IW33">
        <v>1</v>
      </c>
      <c r="IX33">
        <v>0.58593799999999996</v>
      </c>
      <c r="IY33">
        <v>2.52197</v>
      </c>
      <c r="IZ33">
        <v>1.24512</v>
      </c>
      <c r="JA33">
        <v>2.2558600000000002</v>
      </c>
      <c r="JB33">
        <v>1.4501999999999999</v>
      </c>
      <c r="JC33">
        <v>2.2705099999999998</v>
      </c>
      <c r="JD33">
        <v>38.944499999999998</v>
      </c>
      <c r="JE33">
        <v>16.0321</v>
      </c>
      <c r="JF33">
        <v>18</v>
      </c>
      <c r="JG33">
        <v>497.00900000000001</v>
      </c>
      <c r="JH33">
        <v>467.07299999999998</v>
      </c>
      <c r="JI33">
        <v>27.354299999999999</v>
      </c>
      <c r="JJ33">
        <v>30.361599999999999</v>
      </c>
      <c r="JK33">
        <v>30</v>
      </c>
      <c r="JL33">
        <v>30.148299999999999</v>
      </c>
      <c r="JM33">
        <v>30.105699999999999</v>
      </c>
      <c r="JN33">
        <v>11.8147</v>
      </c>
      <c r="JO33">
        <v>25.485900000000001</v>
      </c>
      <c r="JP33">
        <v>49.770899999999997</v>
      </c>
      <c r="JQ33">
        <v>27.348099999999999</v>
      </c>
      <c r="JR33">
        <v>200</v>
      </c>
      <c r="JS33">
        <v>22.8704</v>
      </c>
      <c r="JT33">
        <v>99.833699999999993</v>
      </c>
      <c r="JU33">
        <v>99.457899999999995</v>
      </c>
    </row>
    <row r="34" spans="1:281" x14ac:dyDescent="0.25">
      <c r="A34">
        <v>18</v>
      </c>
      <c r="B34">
        <v>1693498871.5</v>
      </c>
      <c r="C34">
        <v>3221.900000095367</v>
      </c>
      <c r="D34" t="s">
        <v>508</v>
      </c>
      <c r="E34" t="s">
        <v>509</v>
      </c>
      <c r="F34" t="s">
        <v>413</v>
      </c>
      <c r="G34" t="s">
        <v>494</v>
      </c>
      <c r="H34" t="s">
        <v>416</v>
      </c>
      <c r="I34" t="s">
        <v>31</v>
      </c>
      <c r="J34">
        <v>1693498871.5</v>
      </c>
      <c r="K34">
        <f t="shared" si="0"/>
        <v>5.455555804925195E-3</v>
      </c>
      <c r="L34">
        <f t="shared" si="1"/>
        <v>5.4555558049251953</v>
      </c>
      <c r="M34">
        <f t="shared" si="2"/>
        <v>16.286874254914654</v>
      </c>
      <c r="N34">
        <f t="shared" si="3"/>
        <v>99.926699999999997</v>
      </c>
      <c r="O34">
        <f t="shared" si="4"/>
        <v>31.133112431343797</v>
      </c>
      <c r="P34">
        <f t="shared" si="5"/>
        <v>3.1055851783472583</v>
      </c>
      <c r="Q34">
        <f t="shared" si="6"/>
        <v>9.9678719602965877</v>
      </c>
      <c r="R34">
        <f t="shared" si="7"/>
        <v>0.41298838784973374</v>
      </c>
      <c r="S34">
        <f t="shared" si="8"/>
        <v>2.9243190198642246</v>
      </c>
      <c r="T34">
        <f t="shared" si="9"/>
        <v>0.38310780629543428</v>
      </c>
      <c r="U34">
        <f t="shared" si="10"/>
        <v>0.24194662472798978</v>
      </c>
      <c r="V34">
        <f t="shared" si="11"/>
        <v>344.36499864450576</v>
      </c>
      <c r="W34">
        <f t="shared" si="12"/>
        <v>31.299829590565789</v>
      </c>
      <c r="X34">
        <f t="shared" si="13"/>
        <v>30.050899999999999</v>
      </c>
      <c r="Y34">
        <f t="shared" si="14"/>
        <v>4.2729217348403283</v>
      </c>
      <c r="Z34">
        <f t="shared" si="15"/>
        <v>65.51509613919481</v>
      </c>
      <c r="AA34">
        <f t="shared" si="16"/>
        <v>2.9035266158527504</v>
      </c>
      <c r="AB34">
        <f t="shared" si="17"/>
        <v>4.4318436314034466</v>
      </c>
      <c r="AC34">
        <f t="shared" si="18"/>
        <v>1.3693951189875779</v>
      </c>
      <c r="AD34">
        <f t="shared" si="19"/>
        <v>-240.59001099720109</v>
      </c>
      <c r="AE34">
        <f t="shared" si="20"/>
        <v>100.50562796181201</v>
      </c>
      <c r="AF34">
        <f t="shared" si="21"/>
        <v>7.6699708124100567</v>
      </c>
      <c r="AG34">
        <f t="shared" si="22"/>
        <v>211.95058642152674</v>
      </c>
      <c r="AH34">
        <v>0</v>
      </c>
      <c r="AI34">
        <v>0</v>
      </c>
      <c r="AJ34">
        <f t="shared" si="23"/>
        <v>1</v>
      </c>
      <c r="AK34">
        <f t="shared" si="24"/>
        <v>0</v>
      </c>
      <c r="AL34">
        <f t="shared" si="25"/>
        <v>52078.300096542371</v>
      </c>
      <c r="AM34" t="s">
        <v>417</v>
      </c>
      <c r="AN34">
        <v>10366.9</v>
      </c>
      <c r="AO34">
        <v>993.59653846153856</v>
      </c>
      <c r="AP34">
        <v>3431.87</v>
      </c>
      <c r="AQ34">
        <f t="shared" si="26"/>
        <v>0.71047955241266758</v>
      </c>
      <c r="AR34">
        <v>-3.9894345373445681</v>
      </c>
      <c r="AS34" t="s">
        <v>510</v>
      </c>
      <c r="AT34">
        <v>10446</v>
      </c>
      <c r="AU34">
        <v>701.75504000000001</v>
      </c>
      <c r="AV34">
        <v>832.64136703850409</v>
      </c>
      <c r="AW34">
        <f t="shared" si="27"/>
        <v>0.15719412008561839</v>
      </c>
      <c r="AX34">
        <v>0.5</v>
      </c>
      <c r="AY34">
        <f t="shared" si="28"/>
        <v>1513.167599322253</v>
      </c>
      <c r="AZ34">
        <f t="shared" si="29"/>
        <v>16.286874254914654</v>
      </c>
      <c r="BA34">
        <f t="shared" si="30"/>
        <v>118.93052465876457</v>
      </c>
      <c r="BB34">
        <f t="shared" si="31"/>
        <v>1.339990943590186E-2</v>
      </c>
      <c r="BC34">
        <f t="shared" si="32"/>
        <v>3.1216664651268746</v>
      </c>
      <c r="BD34">
        <f t="shared" si="33"/>
        <v>521.90550639508263</v>
      </c>
      <c r="BE34" t="s">
        <v>511</v>
      </c>
      <c r="BF34">
        <v>575.20000000000005</v>
      </c>
      <c r="BG34">
        <f t="shared" si="34"/>
        <v>575.20000000000005</v>
      </c>
      <c r="BH34">
        <f t="shared" si="35"/>
        <v>0.3091863763076752</v>
      </c>
      <c r="BI34">
        <f t="shared" si="36"/>
        <v>0.50841218155483203</v>
      </c>
      <c r="BJ34">
        <f t="shared" si="37"/>
        <v>0.90988060677694504</v>
      </c>
      <c r="BK34">
        <f t="shared" si="38"/>
        <v>-0.8131849749300617</v>
      </c>
      <c r="BL34">
        <f t="shared" si="39"/>
        <v>1.0660119440915694</v>
      </c>
      <c r="BM34">
        <f t="shared" si="40"/>
        <v>0.41672474034577567</v>
      </c>
      <c r="BN34">
        <f t="shared" si="41"/>
        <v>0.58327525965422433</v>
      </c>
      <c r="BO34">
        <v>7778</v>
      </c>
      <c r="BP34">
        <v>290.00000000000011</v>
      </c>
      <c r="BQ34">
        <v>799.58</v>
      </c>
      <c r="BR34">
        <v>285</v>
      </c>
      <c r="BS34">
        <v>10446</v>
      </c>
      <c r="BT34">
        <v>799.28</v>
      </c>
      <c r="BU34">
        <v>0.3</v>
      </c>
      <c r="BV34">
        <v>300.00000000000011</v>
      </c>
      <c r="BW34">
        <v>38.200000000000003</v>
      </c>
      <c r="BX34">
        <v>832.64136703850409</v>
      </c>
      <c r="BY34">
        <v>1.0963563365252089</v>
      </c>
      <c r="BZ34">
        <v>-34.845312159825014</v>
      </c>
      <c r="CA34">
        <v>0.93874861095063244</v>
      </c>
      <c r="CB34">
        <v>0.98008269165845141</v>
      </c>
      <c r="CC34">
        <v>-1.1357496551724151E-2</v>
      </c>
      <c r="CD34">
        <v>289.99999999999989</v>
      </c>
      <c r="CE34">
        <v>796.68</v>
      </c>
      <c r="CF34">
        <v>645</v>
      </c>
      <c r="CG34">
        <v>10438.700000000001</v>
      </c>
      <c r="CH34">
        <v>799.26</v>
      </c>
      <c r="CI34">
        <v>-2.58</v>
      </c>
      <c r="CW34">
        <f t="shared" si="42"/>
        <v>1799.98</v>
      </c>
      <c r="CX34">
        <f t="shared" si="43"/>
        <v>1513.167599322253</v>
      </c>
      <c r="CY34">
        <f t="shared" si="44"/>
        <v>0.84065800693466197</v>
      </c>
      <c r="CZ34">
        <f t="shared" si="45"/>
        <v>0.19131601386932395</v>
      </c>
      <c r="DA34">
        <v>6</v>
      </c>
      <c r="DB34">
        <v>0.5</v>
      </c>
      <c r="DC34" t="s">
        <v>420</v>
      </c>
      <c r="DD34">
        <v>2</v>
      </c>
      <c r="DE34">
        <v>1693498871.5</v>
      </c>
      <c r="DF34">
        <v>99.926699999999997</v>
      </c>
      <c r="DG34">
        <v>120.1</v>
      </c>
      <c r="DH34">
        <v>29.107500000000002</v>
      </c>
      <c r="DI34">
        <v>22.7593</v>
      </c>
      <c r="DJ34">
        <v>99.983199999999997</v>
      </c>
      <c r="DK34">
        <v>28.840299999999999</v>
      </c>
      <c r="DL34">
        <v>500.62299999999999</v>
      </c>
      <c r="DM34">
        <v>99.652299999999997</v>
      </c>
      <c r="DN34">
        <v>9.9537700000000007E-2</v>
      </c>
      <c r="DO34">
        <v>30.688400000000001</v>
      </c>
      <c r="DP34">
        <v>30.050899999999999</v>
      </c>
      <c r="DQ34">
        <v>999.9</v>
      </c>
      <c r="DR34">
        <v>0</v>
      </c>
      <c r="DS34">
        <v>0</v>
      </c>
      <c r="DT34">
        <v>10005</v>
      </c>
      <c r="DU34">
        <v>0</v>
      </c>
      <c r="DV34">
        <v>1732.26</v>
      </c>
      <c r="DW34">
        <v>-20.172799999999999</v>
      </c>
      <c r="DX34">
        <v>102.923</v>
      </c>
      <c r="DY34">
        <v>122.89700000000001</v>
      </c>
      <c r="DZ34">
        <v>6.3482200000000004</v>
      </c>
      <c r="EA34">
        <v>120.1</v>
      </c>
      <c r="EB34">
        <v>22.7593</v>
      </c>
      <c r="EC34">
        <v>2.90062</v>
      </c>
      <c r="ED34">
        <v>2.2680099999999999</v>
      </c>
      <c r="EE34">
        <v>23.4682</v>
      </c>
      <c r="EF34">
        <v>19.451000000000001</v>
      </c>
      <c r="EG34">
        <v>1799.98</v>
      </c>
      <c r="EH34">
        <v>0.97800699999999996</v>
      </c>
      <c r="EI34">
        <v>2.1992899999999999E-2</v>
      </c>
      <c r="EJ34">
        <v>0</v>
      </c>
      <c r="EK34">
        <v>700.99</v>
      </c>
      <c r="EL34">
        <v>5.0010300000000001</v>
      </c>
      <c r="EM34">
        <v>13643.1</v>
      </c>
      <c r="EN34">
        <v>14701</v>
      </c>
      <c r="EO34">
        <v>47.436999999999998</v>
      </c>
      <c r="EP34">
        <v>49.5</v>
      </c>
      <c r="EQ34">
        <v>49</v>
      </c>
      <c r="ER34">
        <v>48.061999999999998</v>
      </c>
      <c r="ES34">
        <v>49.186999999999998</v>
      </c>
      <c r="ET34">
        <v>1755.5</v>
      </c>
      <c r="EU34">
        <v>39.479999999999997</v>
      </c>
      <c r="EV34">
        <v>0</v>
      </c>
      <c r="EW34">
        <v>111</v>
      </c>
      <c r="EX34">
        <v>0</v>
      </c>
      <c r="EY34">
        <v>701.75504000000001</v>
      </c>
      <c r="EZ34">
        <v>-3.458538454035625</v>
      </c>
      <c r="FA34">
        <v>-41.623076894368808</v>
      </c>
      <c r="FB34">
        <v>13648.008</v>
      </c>
      <c r="FC34">
        <v>15</v>
      </c>
      <c r="FD34">
        <v>1693498844</v>
      </c>
      <c r="FE34" t="s">
        <v>512</v>
      </c>
      <c r="FF34">
        <v>1693498835.5</v>
      </c>
      <c r="FG34">
        <v>1693498844</v>
      </c>
      <c r="FH34">
        <v>22</v>
      </c>
      <c r="FI34">
        <v>3.6999999999999998E-2</v>
      </c>
      <c r="FJ34">
        <v>-4.0000000000000001E-3</v>
      </c>
      <c r="FK34">
        <v>-2.1999999999999999E-2</v>
      </c>
      <c r="FL34">
        <v>0.115</v>
      </c>
      <c r="FM34">
        <v>120</v>
      </c>
      <c r="FN34">
        <v>23</v>
      </c>
      <c r="FO34">
        <v>0.3</v>
      </c>
      <c r="FP34">
        <v>0.03</v>
      </c>
      <c r="FQ34">
        <v>16.106283103576729</v>
      </c>
      <c r="FR34">
        <v>-8.5909322528320342E-2</v>
      </c>
      <c r="FS34">
        <v>5.4062960380527839E-2</v>
      </c>
      <c r="FT34">
        <v>1</v>
      </c>
      <c r="FU34">
        <v>0.41469821629444881</v>
      </c>
      <c r="FV34">
        <v>3.6953196055232958E-2</v>
      </c>
      <c r="FW34">
        <v>5.0576864246903632E-3</v>
      </c>
      <c r="FX34">
        <v>1</v>
      </c>
      <c r="FY34">
        <v>2</v>
      </c>
      <c r="FZ34">
        <v>2</v>
      </c>
      <c r="GA34" t="s">
        <v>422</v>
      </c>
      <c r="GB34">
        <v>2.9073000000000002</v>
      </c>
      <c r="GC34">
        <v>2.81759</v>
      </c>
      <c r="GD34">
        <v>2.72337E-2</v>
      </c>
      <c r="GE34">
        <v>3.2457199999999999E-2</v>
      </c>
      <c r="GF34">
        <v>0.137299</v>
      </c>
      <c r="GG34">
        <v>0.115801</v>
      </c>
      <c r="GH34">
        <v>27124</v>
      </c>
      <c r="GI34">
        <v>27038.5</v>
      </c>
      <c r="GJ34">
        <v>24734.3</v>
      </c>
      <c r="GK34">
        <v>24947.7</v>
      </c>
      <c r="GL34">
        <v>28327.599999999999</v>
      </c>
      <c r="GM34">
        <v>28840</v>
      </c>
      <c r="GN34">
        <v>33446.699999999997</v>
      </c>
      <c r="GO34">
        <v>33323.800000000003</v>
      </c>
      <c r="GP34">
        <v>1.994</v>
      </c>
      <c r="GQ34">
        <v>1.8759999999999999</v>
      </c>
      <c r="GR34">
        <v>8.5323999999999997E-2</v>
      </c>
      <c r="GS34">
        <v>0</v>
      </c>
      <c r="GT34">
        <v>28.660900000000002</v>
      </c>
      <c r="GU34">
        <v>999.9</v>
      </c>
      <c r="GV34">
        <v>45.9</v>
      </c>
      <c r="GW34">
        <v>37.200000000000003</v>
      </c>
      <c r="GX34">
        <v>29.3599</v>
      </c>
      <c r="GY34">
        <v>61.866100000000003</v>
      </c>
      <c r="GZ34">
        <v>25.965499999999999</v>
      </c>
      <c r="HA34">
        <v>1</v>
      </c>
      <c r="HB34">
        <v>0.22408500000000001</v>
      </c>
      <c r="HC34">
        <v>1.6239699999999999</v>
      </c>
      <c r="HD34">
        <v>20.2089</v>
      </c>
      <c r="HE34">
        <v>5.2352600000000002</v>
      </c>
      <c r="HF34">
        <v>11.9201</v>
      </c>
      <c r="HG34">
        <v>4.9615999999999998</v>
      </c>
      <c r="HH34">
        <v>3.2890000000000001</v>
      </c>
      <c r="HI34">
        <v>9999</v>
      </c>
      <c r="HJ34">
        <v>9999</v>
      </c>
      <c r="HK34">
        <v>9999</v>
      </c>
      <c r="HL34">
        <v>892.3</v>
      </c>
      <c r="HM34">
        <v>1.8806499999999999</v>
      </c>
      <c r="HN34">
        <v>1.87765</v>
      </c>
      <c r="HO34">
        <v>1.88568</v>
      </c>
      <c r="HP34">
        <v>1.8833899999999999</v>
      </c>
      <c r="HQ34">
        <v>1.8809499999999999</v>
      </c>
      <c r="HR34">
        <v>1.8800399999999999</v>
      </c>
      <c r="HS34">
        <v>1.8811</v>
      </c>
      <c r="HT34">
        <v>1.8806</v>
      </c>
      <c r="HU34">
        <v>5</v>
      </c>
      <c r="HV34">
        <v>0</v>
      </c>
      <c r="HW34">
        <v>0</v>
      </c>
      <c r="HX34">
        <v>0</v>
      </c>
      <c r="HY34" t="s">
        <v>423</v>
      </c>
      <c r="HZ34" t="s">
        <v>424</v>
      </c>
      <c r="IA34" t="s">
        <v>425</v>
      </c>
      <c r="IB34" t="s">
        <v>425</v>
      </c>
      <c r="IC34" t="s">
        <v>425</v>
      </c>
      <c r="ID34" t="s">
        <v>425</v>
      </c>
      <c r="IE34">
        <v>0</v>
      </c>
      <c r="IF34">
        <v>100</v>
      </c>
      <c r="IG34">
        <v>100</v>
      </c>
      <c r="IH34">
        <v>-5.6000000000000001E-2</v>
      </c>
      <c r="II34">
        <v>0.26719999999999999</v>
      </c>
      <c r="IJ34">
        <v>-0.25583499693903372</v>
      </c>
      <c r="IK34">
        <v>2.2153513873161218E-3</v>
      </c>
      <c r="IL34">
        <v>-2.2967369670569612E-6</v>
      </c>
      <c r="IM34">
        <v>7.7859689150384122E-10</v>
      </c>
      <c r="IN34">
        <v>-0.13294292528264931</v>
      </c>
      <c r="IO34">
        <v>-4.1434251034592161E-3</v>
      </c>
      <c r="IP34">
        <v>8.3987709687394815E-4</v>
      </c>
      <c r="IQ34">
        <v>-7.4586254598011197E-6</v>
      </c>
      <c r="IR34">
        <v>2</v>
      </c>
      <c r="IS34">
        <v>1930</v>
      </c>
      <c r="IT34">
        <v>2</v>
      </c>
      <c r="IU34">
        <v>41</v>
      </c>
      <c r="IV34">
        <v>0.6</v>
      </c>
      <c r="IW34">
        <v>0.5</v>
      </c>
      <c r="IX34">
        <v>0.41137699999999999</v>
      </c>
      <c r="IY34">
        <v>2.5293000000000001</v>
      </c>
      <c r="IZ34">
        <v>1.24512</v>
      </c>
      <c r="JA34">
        <v>2.2558600000000002</v>
      </c>
      <c r="JB34">
        <v>1.4501999999999999</v>
      </c>
      <c r="JC34">
        <v>2.4511699999999998</v>
      </c>
      <c r="JD34">
        <v>38.821100000000001</v>
      </c>
      <c r="JE34">
        <v>16.023299999999999</v>
      </c>
      <c r="JF34">
        <v>18</v>
      </c>
      <c r="JG34">
        <v>496.86900000000003</v>
      </c>
      <c r="JH34">
        <v>467.13499999999999</v>
      </c>
      <c r="JI34">
        <v>26.866700000000002</v>
      </c>
      <c r="JJ34">
        <v>30.4041</v>
      </c>
      <c r="JK34">
        <v>30.000299999999999</v>
      </c>
      <c r="JL34">
        <v>30.201699999999999</v>
      </c>
      <c r="JM34">
        <v>30.160699999999999</v>
      </c>
      <c r="JN34">
        <v>8.3316300000000005</v>
      </c>
      <c r="JO34">
        <v>25.947099999999999</v>
      </c>
      <c r="JP34">
        <v>48.9405</v>
      </c>
      <c r="JQ34">
        <v>26.823399999999999</v>
      </c>
      <c r="JR34">
        <v>120</v>
      </c>
      <c r="JS34">
        <v>22.670100000000001</v>
      </c>
      <c r="JT34">
        <v>99.828400000000002</v>
      </c>
      <c r="JU34">
        <v>99.452799999999996</v>
      </c>
    </row>
    <row r="35" spans="1:281" x14ac:dyDescent="0.25">
      <c r="A35">
        <v>19</v>
      </c>
      <c r="B35">
        <v>1693498971.5</v>
      </c>
      <c r="C35">
        <v>3321.900000095367</v>
      </c>
      <c r="D35" t="s">
        <v>513</v>
      </c>
      <c r="E35" t="s">
        <v>514</v>
      </c>
      <c r="F35" t="s">
        <v>413</v>
      </c>
      <c r="G35" t="s">
        <v>494</v>
      </c>
      <c r="H35" t="s">
        <v>416</v>
      </c>
      <c r="I35" t="s">
        <v>31</v>
      </c>
      <c r="J35">
        <v>1693498971.5</v>
      </c>
      <c r="K35">
        <f t="shared" si="0"/>
        <v>5.8004233617493612E-3</v>
      </c>
      <c r="L35">
        <f t="shared" si="1"/>
        <v>5.8004233617493615</v>
      </c>
      <c r="M35">
        <f t="shared" si="2"/>
        <v>9.8573104583621056</v>
      </c>
      <c r="N35">
        <f t="shared" si="3"/>
        <v>57.874000000000002</v>
      </c>
      <c r="O35">
        <f t="shared" si="4"/>
        <v>18.710723256368848</v>
      </c>
      <c r="P35">
        <f t="shared" si="5"/>
        <v>1.8664256035854927</v>
      </c>
      <c r="Q35">
        <f t="shared" si="6"/>
        <v>5.7730272583204005</v>
      </c>
      <c r="R35">
        <f t="shared" si="7"/>
        <v>0.44113637615442125</v>
      </c>
      <c r="S35">
        <f t="shared" si="8"/>
        <v>2.9286909875781921</v>
      </c>
      <c r="T35">
        <f t="shared" si="9"/>
        <v>0.4072694982341834</v>
      </c>
      <c r="U35">
        <f t="shared" si="10"/>
        <v>0.25736922968188369</v>
      </c>
      <c r="V35">
        <f t="shared" si="11"/>
        <v>344.35929864448315</v>
      </c>
      <c r="W35">
        <f t="shared" si="12"/>
        <v>31.160982548637783</v>
      </c>
      <c r="X35">
        <f t="shared" si="13"/>
        <v>30.031500000000001</v>
      </c>
      <c r="Y35">
        <f t="shared" si="14"/>
        <v>4.2681644301024715</v>
      </c>
      <c r="Z35">
        <f t="shared" si="15"/>
        <v>65.583544594401957</v>
      </c>
      <c r="AA35">
        <f t="shared" si="16"/>
        <v>2.8985137532085803</v>
      </c>
      <c r="AB35">
        <f t="shared" si="17"/>
        <v>4.4195747136485055</v>
      </c>
      <c r="AC35">
        <f t="shared" si="18"/>
        <v>1.3696506768938912</v>
      </c>
      <c r="AD35">
        <f t="shared" si="19"/>
        <v>-255.79867025314684</v>
      </c>
      <c r="AE35">
        <f t="shared" si="20"/>
        <v>96.061242456976686</v>
      </c>
      <c r="AF35">
        <f t="shared" si="21"/>
        <v>7.3174012702883102</v>
      </c>
      <c r="AG35">
        <f t="shared" si="22"/>
        <v>191.93927211860131</v>
      </c>
      <c r="AH35">
        <v>0</v>
      </c>
      <c r="AI35">
        <v>0</v>
      </c>
      <c r="AJ35">
        <f t="shared" si="23"/>
        <v>1</v>
      </c>
      <c r="AK35">
        <f t="shared" si="24"/>
        <v>0</v>
      </c>
      <c r="AL35">
        <f t="shared" si="25"/>
        <v>52211.284345191569</v>
      </c>
      <c r="AM35" t="s">
        <v>417</v>
      </c>
      <c r="AN35">
        <v>10366.9</v>
      </c>
      <c r="AO35">
        <v>993.59653846153856</v>
      </c>
      <c r="AP35">
        <v>3431.87</v>
      </c>
      <c r="AQ35">
        <f t="shared" si="26"/>
        <v>0.71047955241266758</v>
      </c>
      <c r="AR35">
        <v>-3.9894345373445681</v>
      </c>
      <c r="AS35" t="s">
        <v>515</v>
      </c>
      <c r="AT35">
        <v>10460.4</v>
      </c>
      <c r="AU35">
        <v>707.36755999999991</v>
      </c>
      <c r="AV35">
        <v>791.22694690927551</v>
      </c>
      <c r="AW35">
        <f t="shared" si="27"/>
        <v>0.10598651529355863</v>
      </c>
      <c r="AX35">
        <v>0.5</v>
      </c>
      <c r="AY35">
        <f t="shared" si="28"/>
        <v>1513.1423993222415</v>
      </c>
      <c r="AZ35">
        <f t="shared" si="29"/>
        <v>9.8573104583621056</v>
      </c>
      <c r="BA35">
        <f t="shared" si="30"/>
        <v>80.186345023549379</v>
      </c>
      <c r="BB35">
        <f t="shared" si="31"/>
        <v>9.1509860551847802E-3</v>
      </c>
      <c r="BC35">
        <f t="shared" si="32"/>
        <v>3.3374028316473767</v>
      </c>
      <c r="BD35">
        <f t="shared" si="33"/>
        <v>505.32657446554066</v>
      </c>
      <c r="BE35" t="s">
        <v>516</v>
      </c>
      <c r="BF35">
        <v>582.91</v>
      </c>
      <c r="BG35">
        <f t="shared" si="34"/>
        <v>582.91</v>
      </c>
      <c r="BH35">
        <f t="shared" si="35"/>
        <v>0.26328343305673818</v>
      </c>
      <c r="BI35">
        <f t="shared" si="36"/>
        <v>0.4025567201971203</v>
      </c>
      <c r="BJ35">
        <f t="shared" si="37"/>
        <v>0.92687965190480892</v>
      </c>
      <c r="BK35">
        <f t="shared" si="38"/>
        <v>-0.41438729142079855</v>
      </c>
      <c r="BL35">
        <f t="shared" si="39"/>
        <v>1.0829970857430302</v>
      </c>
      <c r="BM35">
        <f t="shared" si="40"/>
        <v>0.33172900630346042</v>
      </c>
      <c r="BN35">
        <f t="shared" si="41"/>
        <v>0.66827099369653964</v>
      </c>
      <c r="BO35">
        <v>7780</v>
      </c>
      <c r="BP35">
        <v>290.00000000000011</v>
      </c>
      <c r="BQ35">
        <v>770.76</v>
      </c>
      <c r="BR35">
        <v>165</v>
      </c>
      <c r="BS35">
        <v>10460.4</v>
      </c>
      <c r="BT35">
        <v>769.94</v>
      </c>
      <c r="BU35">
        <v>0.82</v>
      </c>
      <c r="BV35">
        <v>300.00000000000011</v>
      </c>
      <c r="BW35">
        <v>38.200000000000003</v>
      </c>
      <c r="BX35">
        <v>791.22694690927551</v>
      </c>
      <c r="BY35">
        <v>0.99992850009562906</v>
      </c>
      <c r="BZ35">
        <v>-22.27210607508497</v>
      </c>
      <c r="CA35">
        <v>0.85614121922804431</v>
      </c>
      <c r="CB35">
        <v>0.9602699061421498</v>
      </c>
      <c r="CC35">
        <v>-1.13567296996663E-2</v>
      </c>
      <c r="CD35">
        <v>289.99999999999989</v>
      </c>
      <c r="CE35">
        <v>767.63</v>
      </c>
      <c r="CF35">
        <v>685</v>
      </c>
      <c r="CG35">
        <v>10434.9</v>
      </c>
      <c r="CH35">
        <v>769.88</v>
      </c>
      <c r="CI35">
        <v>-2.25</v>
      </c>
      <c r="CW35">
        <f t="shared" si="42"/>
        <v>1799.95</v>
      </c>
      <c r="CX35">
        <f t="shared" si="43"/>
        <v>1513.1423993222415</v>
      </c>
      <c r="CY35">
        <f t="shared" si="44"/>
        <v>0.84065801790174255</v>
      </c>
      <c r="CZ35">
        <f t="shared" si="45"/>
        <v>0.19131603580348516</v>
      </c>
      <c r="DA35">
        <v>6</v>
      </c>
      <c r="DB35">
        <v>0.5</v>
      </c>
      <c r="DC35" t="s">
        <v>420</v>
      </c>
      <c r="DD35">
        <v>2</v>
      </c>
      <c r="DE35">
        <v>1693498971.5</v>
      </c>
      <c r="DF35">
        <v>57.874000000000002</v>
      </c>
      <c r="DG35">
        <v>70.096999999999994</v>
      </c>
      <c r="DH35">
        <v>29.057300000000001</v>
      </c>
      <c r="DI35">
        <v>22.303799999999999</v>
      </c>
      <c r="DJ35">
        <v>57.953800000000001</v>
      </c>
      <c r="DK35">
        <v>28.792999999999999</v>
      </c>
      <c r="DL35">
        <v>500.35199999999998</v>
      </c>
      <c r="DM35">
        <v>99.652100000000004</v>
      </c>
      <c r="DN35">
        <v>9.9554599999999993E-2</v>
      </c>
      <c r="DO35">
        <v>30.639900000000001</v>
      </c>
      <c r="DP35">
        <v>30.031500000000001</v>
      </c>
      <c r="DQ35">
        <v>999.9</v>
      </c>
      <c r="DR35">
        <v>0</v>
      </c>
      <c r="DS35">
        <v>0</v>
      </c>
      <c r="DT35">
        <v>10030</v>
      </c>
      <c r="DU35">
        <v>0</v>
      </c>
      <c r="DV35">
        <v>1726.84</v>
      </c>
      <c r="DW35">
        <v>-12.223000000000001</v>
      </c>
      <c r="DX35">
        <v>59.606000000000002</v>
      </c>
      <c r="DY35">
        <v>71.696100000000001</v>
      </c>
      <c r="DZ35">
        <v>6.7535400000000001</v>
      </c>
      <c r="EA35">
        <v>70.096999999999994</v>
      </c>
      <c r="EB35">
        <v>22.303799999999999</v>
      </c>
      <c r="EC35">
        <v>2.8956200000000001</v>
      </c>
      <c r="ED35">
        <v>2.22262</v>
      </c>
      <c r="EE35">
        <v>23.439599999999999</v>
      </c>
      <c r="EF35">
        <v>19.126300000000001</v>
      </c>
      <c r="EG35">
        <v>1799.95</v>
      </c>
      <c r="EH35">
        <v>0.97800699999999996</v>
      </c>
      <c r="EI35">
        <v>2.1992899999999999E-2</v>
      </c>
      <c r="EJ35">
        <v>0</v>
      </c>
      <c r="EK35">
        <v>706.94899999999996</v>
      </c>
      <c r="EL35">
        <v>5.0010300000000001</v>
      </c>
      <c r="EM35">
        <v>13730.7</v>
      </c>
      <c r="EN35">
        <v>14700.7</v>
      </c>
      <c r="EO35">
        <v>47.5</v>
      </c>
      <c r="EP35">
        <v>49.625</v>
      </c>
      <c r="EQ35">
        <v>49.061999999999998</v>
      </c>
      <c r="ER35">
        <v>48.186999999999998</v>
      </c>
      <c r="ES35">
        <v>49.125</v>
      </c>
      <c r="ET35">
        <v>1755.47</v>
      </c>
      <c r="EU35">
        <v>39.479999999999997</v>
      </c>
      <c r="EV35">
        <v>0</v>
      </c>
      <c r="EW35">
        <v>98</v>
      </c>
      <c r="EX35">
        <v>0</v>
      </c>
      <c r="EY35">
        <v>707.36755999999991</v>
      </c>
      <c r="EZ35">
        <v>-2.575384613304915</v>
      </c>
      <c r="FA35">
        <v>-84.730769206324041</v>
      </c>
      <c r="FB35">
        <v>13740.147999999999</v>
      </c>
      <c r="FC35">
        <v>15</v>
      </c>
      <c r="FD35">
        <v>1693498944.5</v>
      </c>
      <c r="FE35" t="s">
        <v>517</v>
      </c>
      <c r="FF35">
        <v>1693498935.5</v>
      </c>
      <c r="FG35">
        <v>1693498944.5</v>
      </c>
      <c r="FH35">
        <v>23</v>
      </c>
      <c r="FI35">
        <v>5.5E-2</v>
      </c>
      <c r="FJ35">
        <v>-2E-3</v>
      </c>
      <c r="FK35">
        <v>-5.7000000000000002E-2</v>
      </c>
      <c r="FL35">
        <v>0.109</v>
      </c>
      <c r="FM35">
        <v>70</v>
      </c>
      <c r="FN35">
        <v>22</v>
      </c>
      <c r="FO35">
        <v>0.22</v>
      </c>
      <c r="FP35">
        <v>0.03</v>
      </c>
      <c r="FQ35">
        <v>9.7627247157369776</v>
      </c>
      <c r="FR35">
        <v>-0.23555408524988791</v>
      </c>
      <c r="FS35">
        <v>4.570095146583119E-2</v>
      </c>
      <c r="FT35">
        <v>1</v>
      </c>
      <c r="FU35">
        <v>0.4421874056417347</v>
      </c>
      <c r="FV35">
        <v>2.4205640771172959E-2</v>
      </c>
      <c r="FW35">
        <v>4.2821711834165419E-3</v>
      </c>
      <c r="FX35">
        <v>1</v>
      </c>
      <c r="FY35">
        <v>2</v>
      </c>
      <c r="FZ35">
        <v>2</v>
      </c>
      <c r="GA35" t="s">
        <v>422</v>
      </c>
      <c r="GB35">
        <v>2.90645</v>
      </c>
      <c r="GC35">
        <v>2.8178200000000002</v>
      </c>
      <c r="GD35">
        <v>1.60187E-2</v>
      </c>
      <c r="GE35">
        <v>1.9341799999999999E-2</v>
      </c>
      <c r="GF35">
        <v>0.137125</v>
      </c>
      <c r="GG35">
        <v>0.114178</v>
      </c>
      <c r="GH35">
        <v>27433.200000000001</v>
      </c>
      <c r="GI35">
        <v>27403.4</v>
      </c>
      <c r="GJ35">
        <v>24731.5</v>
      </c>
      <c r="GK35">
        <v>24946.9</v>
      </c>
      <c r="GL35">
        <v>28330.5</v>
      </c>
      <c r="GM35">
        <v>28892</v>
      </c>
      <c r="GN35">
        <v>33442.800000000003</v>
      </c>
      <c r="GO35">
        <v>33321.800000000003</v>
      </c>
      <c r="GP35">
        <v>1.9931000000000001</v>
      </c>
      <c r="GQ35">
        <v>1.8751</v>
      </c>
      <c r="GR35">
        <v>7.8618499999999994E-2</v>
      </c>
      <c r="GS35">
        <v>0</v>
      </c>
      <c r="GT35">
        <v>28.750800000000002</v>
      </c>
      <c r="GU35">
        <v>999.9</v>
      </c>
      <c r="GV35">
        <v>46</v>
      </c>
      <c r="GW35">
        <v>37.1</v>
      </c>
      <c r="GX35">
        <v>29.261700000000001</v>
      </c>
      <c r="GY35">
        <v>61.856099999999998</v>
      </c>
      <c r="GZ35">
        <v>25.540900000000001</v>
      </c>
      <c r="HA35">
        <v>1</v>
      </c>
      <c r="HB35">
        <v>0.22858700000000001</v>
      </c>
      <c r="HC35">
        <v>1.3361499999999999</v>
      </c>
      <c r="HD35">
        <v>20.211400000000001</v>
      </c>
      <c r="HE35">
        <v>5.23346</v>
      </c>
      <c r="HF35">
        <v>11.9201</v>
      </c>
      <c r="HG35">
        <v>4.9606000000000003</v>
      </c>
      <c r="HH35">
        <v>3.2890000000000001</v>
      </c>
      <c r="HI35">
        <v>9999</v>
      </c>
      <c r="HJ35">
        <v>9999</v>
      </c>
      <c r="HK35">
        <v>9999</v>
      </c>
      <c r="HL35">
        <v>892.4</v>
      </c>
      <c r="HM35">
        <v>1.8806499999999999</v>
      </c>
      <c r="HN35">
        <v>1.87764</v>
      </c>
      <c r="HO35">
        <v>1.88564</v>
      </c>
      <c r="HP35">
        <v>1.8833899999999999</v>
      </c>
      <c r="HQ35">
        <v>1.8809499999999999</v>
      </c>
      <c r="HR35">
        <v>1.8800399999999999</v>
      </c>
      <c r="HS35">
        <v>1.8811</v>
      </c>
      <c r="HT35">
        <v>1.8805700000000001</v>
      </c>
      <c r="HU35">
        <v>5</v>
      </c>
      <c r="HV35">
        <v>0</v>
      </c>
      <c r="HW35">
        <v>0</v>
      </c>
      <c r="HX35">
        <v>0</v>
      </c>
      <c r="HY35" t="s">
        <v>423</v>
      </c>
      <c r="HZ35" t="s">
        <v>424</v>
      </c>
      <c r="IA35" t="s">
        <v>425</v>
      </c>
      <c r="IB35" t="s">
        <v>425</v>
      </c>
      <c r="IC35" t="s">
        <v>425</v>
      </c>
      <c r="ID35" t="s">
        <v>425</v>
      </c>
      <c r="IE35">
        <v>0</v>
      </c>
      <c r="IF35">
        <v>100</v>
      </c>
      <c r="IG35">
        <v>100</v>
      </c>
      <c r="IH35">
        <v>-0.08</v>
      </c>
      <c r="II35">
        <v>0.26429999999999998</v>
      </c>
      <c r="IJ35">
        <v>-0.20066703491340229</v>
      </c>
      <c r="IK35">
        <v>2.2153513873161218E-3</v>
      </c>
      <c r="IL35">
        <v>-2.2967369670569612E-6</v>
      </c>
      <c r="IM35">
        <v>7.7859689150384122E-10</v>
      </c>
      <c r="IN35">
        <v>-0.1346017746196046</v>
      </c>
      <c r="IO35">
        <v>-4.1434251034592161E-3</v>
      </c>
      <c r="IP35">
        <v>8.3987709687394815E-4</v>
      </c>
      <c r="IQ35">
        <v>-7.4586254598011197E-6</v>
      </c>
      <c r="IR35">
        <v>2</v>
      </c>
      <c r="IS35">
        <v>1930</v>
      </c>
      <c r="IT35">
        <v>2</v>
      </c>
      <c r="IU35">
        <v>41</v>
      </c>
      <c r="IV35">
        <v>0.6</v>
      </c>
      <c r="IW35">
        <v>0.5</v>
      </c>
      <c r="IX35">
        <v>0.302734</v>
      </c>
      <c r="IY35">
        <v>2.5598100000000001</v>
      </c>
      <c r="IZ35">
        <v>1.24512</v>
      </c>
      <c r="JA35">
        <v>2.2558600000000002</v>
      </c>
      <c r="JB35">
        <v>1.4501999999999999</v>
      </c>
      <c r="JC35">
        <v>2.2265600000000001</v>
      </c>
      <c r="JD35">
        <v>38.673299999999998</v>
      </c>
      <c r="JE35">
        <v>16.014600000000002</v>
      </c>
      <c r="JF35">
        <v>18</v>
      </c>
      <c r="JG35">
        <v>496.846</v>
      </c>
      <c r="JH35">
        <v>467.08</v>
      </c>
      <c r="JI35">
        <v>26.8706</v>
      </c>
      <c r="JJ35">
        <v>30.478000000000002</v>
      </c>
      <c r="JK35">
        <v>30.000699999999998</v>
      </c>
      <c r="JL35">
        <v>30.268999999999998</v>
      </c>
      <c r="JM35">
        <v>30.226400000000002</v>
      </c>
      <c r="JN35">
        <v>6.1324399999999999</v>
      </c>
      <c r="JO35">
        <v>27.206600000000002</v>
      </c>
      <c r="JP35">
        <v>47.53</v>
      </c>
      <c r="JQ35">
        <v>26.848800000000001</v>
      </c>
      <c r="JR35">
        <v>70</v>
      </c>
      <c r="JS35">
        <v>22.214600000000001</v>
      </c>
      <c r="JT35">
        <v>99.816900000000004</v>
      </c>
      <c r="JU35">
        <v>99.447800000000001</v>
      </c>
    </row>
    <row r="36" spans="1:281" x14ac:dyDescent="0.25">
      <c r="A36">
        <v>20</v>
      </c>
      <c r="B36">
        <v>1693499074.5</v>
      </c>
      <c r="C36">
        <v>3424.900000095367</v>
      </c>
      <c r="D36" t="s">
        <v>518</v>
      </c>
      <c r="E36" t="s">
        <v>519</v>
      </c>
      <c r="F36" t="s">
        <v>413</v>
      </c>
      <c r="G36" t="s">
        <v>494</v>
      </c>
      <c r="H36" t="s">
        <v>416</v>
      </c>
      <c r="I36" t="s">
        <v>31</v>
      </c>
      <c r="J36">
        <v>1693499074.5</v>
      </c>
      <c r="K36">
        <f t="shared" si="0"/>
        <v>6.0182315195011953E-3</v>
      </c>
      <c r="L36">
        <f t="shared" si="1"/>
        <v>6.0182315195011951</v>
      </c>
      <c r="M36">
        <f t="shared" si="2"/>
        <v>4.1993588754255438</v>
      </c>
      <c r="N36">
        <f t="shared" si="3"/>
        <v>24.753599999999999</v>
      </c>
      <c r="O36">
        <f t="shared" si="4"/>
        <v>8.9043794275214907</v>
      </c>
      <c r="P36">
        <f t="shared" si="5"/>
        <v>0.88825620951357664</v>
      </c>
      <c r="Q36">
        <f t="shared" si="6"/>
        <v>2.4692949224351999</v>
      </c>
      <c r="R36">
        <f t="shared" si="7"/>
        <v>0.46704854696658182</v>
      </c>
      <c r="S36">
        <f t="shared" si="8"/>
        <v>2.9155879391678008</v>
      </c>
      <c r="T36">
        <f t="shared" si="9"/>
        <v>0.42911359553392675</v>
      </c>
      <c r="U36">
        <f t="shared" si="10"/>
        <v>0.27134707426749655</v>
      </c>
      <c r="V36">
        <f t="shared" si="11"/>
        <v>344.31369864430235</v>
      </c>
      <c r="W36">
        <f t="shared" si="12"/>
        <v>30.981276195155509</v>
      </c>
      <c r="X36">
        <f t="shared" si="13"/>
        <v>29.870100000000001</v>
      </c>
      <c r="Y36">
        <f t="shared" si="14"/>
        <v>4.2287642333020177</v>
      </c>
      <c r="Z36">
        <f t="shared" si="15"/>
        <v>65.621960069862794</v>
      </c>
      <c r="AA36">
        <f t="shared" si="16"/>
        <v>2.8795672124048002</v>
      </c>
      <c r="AB36">
        <f t="shared" si="17"/>
        <v>4.3881152122538554</v>
      </c>
      <c r="AC36">
        <f t="shared" si="18"/>
        <v>1.3491970208972175</v>
      </c>
      <c r="AD36">
        <f t="shared" si="19"/>
        <v>-265.40401001000271</v>
      </c>
      <c r="AE36">
        <f t="shared" si="20"/>
        <v>101.36872063208966</v>
      </c>
      <c r="AF36">
        <f t="shared" si="21"/>
        <v>7.7454222068576417</v>
      </c>
      <c r="AG36">
        <f t="shared" si="22"/>
        <v>188.02383147324696</v>
      </c>
      <c r="AH36">
        <v>0</v>
      </c>
      <c r="AI36">
        <v>0</v>
      </c>
      <c r="AJ36">
        <f t="shared" si="23"/>
        <v>1</v>
      </c>
      <c r="AK36">
        <f t="shared" si="24"/>
        <v>0</v>
      </c>
      <c r="AL36">
        <f t="shared" si="25"/>
        <v>51859.384267694724</v>
      </c>
      <c r="AM36" t="s">
        <v>417</v>
      </c>
      <c r="AN36">
        <v>10366.9</v>
      </c>
      <c r="AO36">
        <v>993.59653846153856</v>
      </c>
      <c r="AP36">
        <v>3431.87</v>
      </c>
      <c r="AQ36">
        <f t="shared" si="26"/>
        <v>0.71047955241266758</v>
      </c>
      <c r="AR36">
        <v>-3.9894345373445681</v>
      </c>
      <c r="AS36" t="s">
        <v>520</v>
      </c>
      <c r="AT36">
        <v>10461.9</v>
      </c>
      <c r="AU36">
        <v>716.74746153846149</v>
      </c>
      <c r="AV36">
        <v>773.22203073615367</v>
      </c>
      <c r="AW36">
        <f t="shared" si="27"/>
        <v>7.3037972215981739E-2</v>
      </c>
      <c r="AX36">
        <v>0.5</v>
      </c>
      <c r="AY36">
        <f t="shared" si="28"/>
        <v>1512.940799322151</v>
      </c>
      <c r="AZ36">
        <f t="shared" si="29"/>
        <v>4.1993588754255438</v>
      </c>
      <c r="BA36">
        <f t="shared" si="30"/>
        <v>55.251064032658235</v>
      </c>
      <c r="BB36">
        <f t="shared" si="31"/>
        <v>5.4125008833385748E-3</v>
      </c>
      <c r="BC36">
        <f t="shared" si="32"/>
        <v>3.4384017314310795</v>
      </c>
      <c r="BD36">
        <f t="shared" si="33"/>
        <v>497.92167806215963</v>
      </c>
      <c r="BE36" t="s">
        <v>521</v>
      </c>
      <c r="BF36">
        <v>596.79</v>
      </c>
      <c r="BG36">
        <f t="shared" si="34"/>
        <v>596.79</v>
      </c>
      <c r="BH36">
        <f t="shared" si="35"/>
        <v>0.22817770798405712</v>
      </c>
      <c r="BI36">
        <f t="shared" si="36"/>
        <v>0.32009249659517547</v>
      </c>
      <c r="BJ36">
        <f t="shared" si="37"/>
        <v>0.93776823555731992</v>
      </c>
      <c r="BK36">
        <f t="shared" si="38"/>
        <v>-0.25626634305664242</v>
      </c>
      <c r="BL36">
        <f t="shared" si="39"/>
        <v>1.0903813748546221</v>
      </c>
      <c r="BM36">
        <f t="shared" si="40"/>
        <v>0.266520652382923</v>
      </c>
      <c r="BN36">
        <f t="shared" si="41"/>
        <v>0.733479347617077</v>
      </c>
      <c r="BO36">
        <v>7782</v>
      </c>
      <c r="BP36">
        <v>290.00000000000011</v>
      </c>
      <c r="BQ36">
        <v>760.23</v>
      </c>
      <c r="BR36">
        <v>155</v>
      </c>
      <c r="BS36">
        <v>10461.9</v>
      </c>
      <c r="BT36">
        <v>758.15</v>
      </c>
      <c r="BU36">
        <v>2.08</v>
      </c>
      <c r="BV36">
        <v>300.00000000000011</v>
      </c>
      <c r="BW36">
        <v>38.200000000000003</v>
      </c>
      <c r="BX36">
        <v>773.22203073615367</v>
      </c>
      <c r="BY36">
        <v>1.031761375596872</v>
      </c>
      <c r="BZ36">
        <v>-15.77144041500066</v>
      </c>
      <c r="CA36">
        <v>0.88339785534240456</v>
      </c>
      <c r="CB36">
        <v>0.91924673520864897</v>
      </c>
      <c r="CC36">
        <v>-1.1356673192436049E-2</v>
      </c>
      <c r="CD36">
        <v>289.99999999999989</v>
      </c>
      <c r="CE36">
        <v>756.59</v>
      </c>
      <c r="CF36">
        <v>665</v>
      </c>
      <c r="CG36">
        <v>10436.5</v>
      </c>
      <c r="CH36">
        <v>758.11</v>
      </c>
      <c r="CI36">
        <v>-1.52</v>
      </c>
      <c r="CW36">
        <f t="shared" si="42"/>
        <v>1799.71</v>
      </c>
      <c r="CX36">
        <f t="shared" si="43"/>
        <v>1512.940799322151</v>
      </c>
      <c r="CY36">
        <f t="shared" si="44"/>
        <v>0.84065810565154997</v>
      </c>
      <c r="CZ36">
        <f t="shared" si="45"/>
        <v>0.19131621130310014</v>
      </c>
      <c r="DA36">
        <v>6</v>
      </c>
      <c r="DB36">
        <v>0.5</v>
      </c>
      <c r="DC36" t="s">
        <v>420</v>
      </c>
      <c r="DD36">
        <v>2</v>
      </c>
      <c r="DE36">
        <v>1693499074.5</v>
      </c>
      <c r="DF36">
        <v>24.753599999999999</v>
      </c>
      <c r="DG36">
        <v>29.967500000000001</v>
      </c>
      <c r="DH36">
        <v>28.866399999999999</v>
      </c>
      <c r="DI36">
        <v>21.858499999999999</v>
      </c>
      <c r="DJ36">
        <v>24.7944</v>
      </c>
      <c r="DK36">
        <v>28.609300000000001</v>
      </c>
      <c r="DL36">
        <v>500.39299999999997</v>
      </c>
      <c r="DM36">
        <v>99.654700000000005</v>
      </c>
      <c r="DN36">
        <v>0.100282</v>
      </c>
      <c r="DO36">
        <v>30.515000000000001</v>
      </c>
      <c r="DP36">
        <v>29.870100000000001</v>
      </c>
      <c r="DQ36">
        <v>999.9</v>
      </c>
      <c r="DR36">
        <v>0</v>
      </c>
      <c r="DS36">
        <v>0</v>
      </c>
      <c r="DT36">
        <v>9955</v>
      </c>
      <c r="DU36">
        <v>0</v>
      </c>
      <c r="DV36">
        <v>1735.35</v>
      </c>
      <c r="DW36">
        <v>-5.2139300000000004</v>
      </c>
      <c r="DX36">
        <v>25.4894</v>
      </c>
      <c r="DY36">
        <v>30.6372</v>
      </c>
      <c r="DZ36">
        <v>7.0079200000000004</v>
      </c>
      <c r="EA36">
        <v>29.967500000000001</v>
      </c>
      <c r="EB36">
        <v>21.858499999999999</v>
      </c>
      <c r="EC36">
        <v>2.8766799999999999</v>
      </c>
      <c r="ED36">
        <v>2.1783000000000001</v>
      </c>
      <c r="EE36">
        <v>23.3308</v>
      </c>
      <c r="EF36">
        <v>18.803599999999999</v>
      </c>
      <c r="EG36">
        <v>1799.71</v>
      </c>
      <c r="EH36">
        <v>0.97800299999999996</v>
      </c>
      <c r="EI36">
        <v>2.1996499999999999E-2</v>
      </c>
      <c r="EJ36">
        <v>0</v>
      </c>
      <c r="EK36">
        <v>717.01900000000001</v>
      </c>
      <c r="EL36">
        <v>5.0010300000000001</v>
      </c>
      <c r="EM36">
        <v>13886.7</v>
      </c>
      <c r="EN36">
        <v>14698.8</v>
      </c>
      <c r="EO36">
        <v>47.375</v>
      </c>
      <c r="EP36">
        <v>49.625</v>
      </c>
      <c r="EQ36">
        <v>49.061999999999998</v>
      </c>
      <c r="ER36">
        <v>48.125</v>
      </c>
      <c r="ES36">
        <v>49.125</v>
      </c>
      <c r="ET36">
        <v>1755.23</v>
      </c>
      <c r="EU36">
        <v>39.479999999999997</v>
      </c>
      <c r="EV36">
        <v>0</v>
      </c>
      <c r="EW36">
        <v>101</v>
      </c>
      <c r="EX36">
        <v>0</v>
      </c>
      <c r="EY36">
        <v>716.74746153846149</v>
      </c>
      <c r="EZ36">
        <v>-0.55842735066758764</v>
      </c>
      <c r="FA36">
        <v>-94.290598448804403</v>
      </c>
      <c r="FB36">
        <v>13897.23846153846</v>
      </c>
      <c r="FC36">
        <v>15</v>
      </c>
      <c r="FD36">
        <v>1693499048</v>
      </c>
      <c r="FE36" t="s">
        <v>522</v>
      </c>
      <c r="FF36">
        <v>1693499034</v>
      </c>
      <c r="FG36">
        <v>1693499048</v>
      </c>
      <c r="FH36">
        <v>24</v>
      </c>
      <c r="FI36">
        <v>0.106</v>
      </c>
      <c r="FJ36">
        <v>-2E-3</v>
      </c>
      <c r="FK36">
        <v>-0.03</v>
      </c>
      <c r="FL36">
        <v>9.9000000000000005E-2</v>
      </c>
      <c r="FM36">
        <v>30</v>
      </c>
      <c r="FN36">
        <v>22</v>
      </c>
      <c r="FO36">
        <v>0.81</v>
      </c>
      <c r="FP36">
        <v>0.04</v>
      </c>
      <c r="FQ36">
        <v>4.2345931812133806</v>
      </c>
      <c r="FR36">
        <v>-5.9507732296655659E-2</v>
      </c>
      <c r="FS36">
        <v>5.1241904070606352E-2</v>
      </c>
      <c r="FT36">
        <v>1</v>
      </c>
      <c r="FU36">
        <v>0.46536488266866971</v>
      </c>
      <c r="FV36">
        <v>4.9562378532096038E-2</v>
      </c>
      <c r="FW36">
        <v>4.9035698081819701E-3</v>
      </c>
      <c r="FX36">
        <v>1</v>
      </c>
      <c r="FY36">
        <v>2</v>
      </c>
      <c r="FZ36">
        <v>2</v>
      </c>
      <c r="GA36" t="s">
        <v>422</v>
      </c>
      <c r="GB36">
        <v>2.9064399999999999</v>
      </c>
      <c r="GC36">
        <v>2.8178999999999998</v>
      </c>
      <c r="GD36">
        <v>6.8984399999999996E-3</v>
      </c>
      <c r="GE36">
        <v>8.3545900000000003E-3</v>
      </c>
      <c r="GF36">
        <v>0.13651099999999999</v>
      </c>
      <c r="GG36">
        <v>0.112584</v>
      </c>
      <c r="GH36">
        <v>27685.3</v>
      </c>
      <c r="GI36">
        <v>27706.7</v>
      </c>
      <c r="GJ36">
        <v>24730</v>
      </c>
      <c r="GK36">
        <v>24944</v>
      </c>
      <c r="GL36">
        <v>28349.9</v>
      </c>
      <c r="GM36">
        <v>28941.1</v>
      </c>
      <c r="GN36">
        <v>33441.199999999997</v>
      </c>
      <c r="GO36">
        <v>33317.599999999999</v>
      </c>
      <c r="GP36">
        <v>1.9924999999999999</v>
      </c>
      <c r="GQ36">
        <v>1.8741000000000001</v>
      </c>
      <c r="GR36">
        <v>8.0615300000000001E-2</v>
      </c>
      <c r="GS36">
        <v>0</v>
      </c>
      <c r="GT36">
        <v>28.5565</v>
      </c>
      <c r="GU36">
        <v>999.9</v>
      </c>
      <c r="GV36">
        <v>46</v>
      </c>
      <c r="GW36">
        <v>37</v>
      </c>
      <c r="GX36">
        <v>29.101700000000001</v>
      </c>
      <c r="GY36">
        <v>61.756100000000004</v>
      </c>
      <c r="GZ36">
        <v>26.5184</v>
      </c>
      <c r="HA36">
        <v>1</v>
      </c>
      <c r="HB36">
        <v>0.23186000000000001</v>
      </c>
      <c r="HC36">
        <v>0.113094</v>
      </c>
      <c r="HD36">
        <v>20.217300000000002</v>
      </c>
      <c r="HE36">
        <v>5.2340600000000004</v>
      </c>
      <c r="HF36">
        <v>11.919499999999999</v>
      </c>
      <c r="HG36">
        <v>4.9606000000000003</v>
      </c>
      <c r="HH36">
        <v>3.2890000000000001</v>
      </c>
      <c r="HI36">
        <v>9999</v>
      </c>
      <c r="HJ36">
        <v>9999</v>
      </c>
      <c r="HK36">
        <v>9999</v>
      </c>
      <c r="HL36">
        <v>892.4</v>
      </c>
      <c r="HM36">
        <v>1.88062</v>
      </c>
      <c r="HN36">
        <v>1.8776999999999999</v>
      </c>
      <c r="HO36">
        <v>1.88564</v>
      </c>
      <c r="HP36">
        <v>1.8834900000000001</v>
      </c>
      <c r="HQ36">
        <v>1.8809499999999999</v>
      </c>
      <c r="HR36">
        <v>1.88002</v>
      </c>
      <c r="HS36">
        <v>1.8811</v>
      </c>
      <c r="HT36">
        <v>1.8805499999999999</v>
      </c>
      <c r="HU36">
        <v>5</v>
      </c>
      <c r="HV36">
        <v>0</v>
      </c>
      <c r="HW36">
        <v>0</v>
      </c>
      <c r="HX36">
        <v>0</v>
      </c>
      <c r="HY36" t="s">
        <v>423</v>
      </c>
      <c r="HZ36" t="s">
        <v>424</v>
      </c>
      <c r="IA36" t="s">
        <v>425</v>
      </c>
      <c r="IB36" t="s">
        <v>425</v>
      </c>
      <c r="IC36" t="s">
        <v>425</v>
      </c>
      <c r="ID36" t="s">
        <v>425</v>
      </c>
      <c r="IE36">
        <v>0</v>
      </c>
      <c r="IF36">
        <v>100</v>
      </c>
      <c r="IG36">
        <v>100</v>
      </c>
      <c r="IH36">
        <v>-4.1000000000000002E-2</v>
      </c>
      <c r="II36">
        <v>0.2571</v>
      </c>
      <c r="IJ36">
        <v>-9.4382221665100616E-2</v>
      </c>
      <c r="IK36">
        <v>2.2153513873161218E-3</v>
      </c>
      <c r="IL36">
        <v>-2.2967369670569612E-6</v>
      </c>
      <c r="IM36">
        <v>7.7859689150384122E-10</v>
      </c>
      <c r="IN36">
        <v>-0.1370894138425553</v>
      </c>
      <c r="IO36">
        <v>-4.1434251034592161E-3</v>
      </c>
      <c r="IP36">
        <v>8.3987709687394815E-4</v>
      </c>
      <c r="IQ36">
        <v>-7.4586254598011197E-6</v>
      </c>
      <c r="IR36">
        <v>2</v>
      </c>
      <c r="IS36">
        <v>1930</v>
      </c>
      <c r="IT36">
        <v>2</v>
      </c>
      <c r="IU36">
        <v>41</v>
      </c>
      <c r="IV36">
        <v>0.7</v>
      </c>
      <c r="IW36">
        <v>0.4</v>
      </c>
      <c r="IX36">
        <v>0.21606400000000001</v>
      </c>
      <c r="IY36">
        <v>2.5744600000000002</v>
      </c>
      <c r="IZ36">
        <v>1.24512</v>
      </c>
      <c r="JA36">
        <v>2.2558600000000002</v>
      </c>
      <c r="JB36">
        <v>1.4501999999999999</v>
      </c>
      <c r="JC36">
        <v>2.3327599999999999</v>
      </c>
      <c r="JD36">
        <v>38.5259</v>
      </c>
      <c r="JE36">
        <v>16.014600000000002</v>
      </c>
      <c r="JF36">
        <v>18</v>
      </c>
      <c r="JG36">
        <v>497</v>
      </c>
      <c r="JH36">
        <v>466.91199999999998</v>
      </c>
      <c r="JI36">
        <v>27.690100000000001</v>
      </c>
      <c r="JJ36">
        <v>30.536300000000001</v>
      </c>
      <c r="JK36">
        <v>30</v>
      </c>
      <c r="JL36">
        <v>30.333500000000001</v>
      </c>
      <c r="JM36">
        <v>30.286899999999999</v>
      </c>
      <c r="JN36">
        <v>4.4037699999999997</v>
      </c>
      <c r="JO36">
        <v>28.177700000000002</v>
      </c>
      <c r="JP36">
        <v>46.205300000000001</v>
      </c>
      <c r="JQ36">
        <v>27.753299999999999</v>
      </c>
      <c r="JR36">
        <v>30</v>
      </c>
      <c r="JS36">
        <v>21.828399999999998</v>
      </c>
      <c r="JT36">
        <v>99.811599999999999</v>
      </c>
      <c r="JU36">
        <v>99.4358</v>
      </c>
    </row>
    <row r="37" spans="1:281" x14ac:dyDescent="0.25">
      <c r="A37">
        <v>21</v>
      </c>
      <c r="B37">
        <v>1693499178.0999999</v>
      </c>
      <c r="C37">
        <v>3528.5</v>
      </c>
      <c r="D37" t="s">
        <v>523</v>
      </c>
      <c r="E37" t="s">
        <v>524</v>
      </c>
      <c r="F37" t="s">
        <v>413</v>
      </c>
      <c r="G37" t="s">
        <v>494</v>
      </c>
      <c r="H37" t="s">
        <v>416</v>
      </c>
      <c r="I37" t="s">
        <v>31</v>
      </c>
      <c r="J37">
        <v>1693499178.0999999</v>
      </c>
      <c r="K37">
        <f t="shared" si="0"/>
        <v>6.0115803758873125E-3</v>
      </c>
      <c r="L37">
        <f t="shared" si="1"/>
        <v>6.0115803758873128</v>
      </c>
      <c r="M37">
        <f t="shared" si="2"/>
        <v>1.2538958424918867</v>
      </c>
      <c r="N37">
        <f t="shared" si="3"/>
        <v>8.4366900000000005</v>
      </c>
      <c r="O37">
        <f t="shared" si="4"/>
        <v>3.5902583936066201</v>
      </c>
      <c r="P37">
        <f t="shared" si="5"/>
        <v>0.3581344349276121</v>
      </c>
      <c r="Q37">
        <f t="shared" si="6"/>
        <v>0.84157430317270199</v>
      </c>
      <c r="R37">
        <f t="shared" si="7"/>
        <v>0.45734644112952283</v>
      </c>
      <c r="S37">
        <f t="shared" si="8"/>
        <v>2.9295616741112078</v>
      </c>
      <c r="T37">
        <f t="shared" si="9"/>
        <v>0.42106440138616769</v>
      </c>
      <c r="U37">
        <f t="shared" si="10"/>
        <v>0.26618477897479742</v>
      </c>
      <c r="V37">
        <f t="shared" si="11"/>
        <v>344.38399864458103</v>
      </c>
      <c r="W37">
        <f t="shared" si="12"/>
        <v>31.193079583351349</v>
      </c>
      <c r="X37">
        <f t="shared" si="13"/>
        <v>30.072500000000002</v>
      </c>
      <c r="Y37">
        <f t="shared" si="14"/>
        <v>4.2782239639003077</v>
      </c>
      <c r="Z37">
        <f t="shared" si="15"/>
        <v>65.412295967217176</v>
      </c>
      <c r="AA37">
        <f t="shared" si="16"/>
        <v>2.9053385488760601</v>
      </c>
      <c r="AB37">
        <f t="shared" si="17"/>
        <v>4.4415786144123963</v>
      </c>
      <c r="AC37">
        <f t="shared" si="18"/>
        <v>1.3728854150242475</v>
      </c>
      <c r="AD37">
        <f t="shared" si="19"/>
        <v>-265.11069457663046</v>
      </c>
      <c r="AE37">
        <f t="shared" si="20"/>
        <v>103.33917950813525</v>
      </c>
      <c r="AF37">
        <f t="shared" si="21"/>
        <v>7.8744331929689011</v>
      </c>
      <c r="AG37">
        <f t="shared" si="22"/>
        <v>190.48691676905474</v>
      </c>
      <c r="AH37">
        <v>0</v>
      </c>
      <c r="AI37">
        <v>0</v>
      </c>
      <c r="AJ37">
        <f t="shared" si="23"/>
        <v>1</v>
      </c>
      <c r="AK37">
        <f t="shared" si="24"/>
        <v>0</v>
      </c>
      <c r="AL37">
        <f t="shared" si="25"/>
        <v>52221.177262660458</v>
      </c>
      <c r="AM37" t="s">
        <v>417</v>
      </c>
      <c r="AN37">
        <v>10366.9</v>
      </c>
      <c r="AO37">
        <v>993.59653846153856</v>
      </c>
      <c r="AP37">
        <v>3431.87</v>
      </c>
      <c r="AQ37">
        <f t="shared" si="26"/>
        <v>0.71047955241266758</v>
      </c>
      <c r="AR37">
        <v>-3.9894345373445681</v>
      </c>
      <c r="AS37" t="s">
        <v>525</v>
      </c>
      <c r="AT37">
        <v>10456.299999999999</v>
      </c>
      <c r="AU37">
        <v>721.3617200000001</v>
      </c>
      <c r="AV37">
        <v>765.82772805135301</v>
      </c>
      <c r="AW37">
        <f t="shared" si="27"/>
        <v>5.8062677052052591E-2</v>
      </c>
      <c r="AX37">
        <v>0.5</v>
      </c>
      <c r="AY37">
        <f t="shared" si="28"/>
        <v>1513.2515993222905</v>
      </c>
      <c r="AZ37">
        <f t="shared" si="29"/>
        <v>1.2538958424918867</v>
      </c>
      <c r="BA37">
        <f t="shared" si="30"/>
        <v>43.931719454976118</v>
      </c>
      <c r="BB37">
        <f t="shared" si="31"/>
        <v>3.4649428965974195E-3</v>
      </c>
      <c r="BC37">
        <f t="shared" si="32"/>
        <v>3.4812558677293985</v>
      </c>
      <c r="BD37">
        <f t="shared" si="33"/>
        <v>494.8449289994191</v>
      </c>
      <c r="BE37" t="s">
        <v>526</v>
      </c>
      <c r="BF37">
        <v>606.04999999999995</v>
      </c>
      <c r="BG37">
        <f t="shared" si="34"/>
        <v>606.04999999999995</v>
      </c>
      <c r="BH37">
        <f t="shared" si="35"/>
        <v>0.20863403373746614</v>
      </c>
      <c r="BI37">
        <f t="shared" si="36"/>
        <v>0.27829916342946992</v>
      </c>
      <c r="BJ37">
        <f t="shared" si="37"/>
        <v>0.94345792440730381</v>
      </c>
      <c r="BK37">
        <f t="shared" si="38"/>
        <v>-0.19522430648548725</v>
      </c>
      <c r="BL37">
        <f t="shared" si="39"/>
        <v>1.0934139726339274</v>
      </c>
      <c r="BM37">
        <f t="shared" si="40"/>
        <v>0.23381225163490821</v>
      </c>
      <c r="BN37">
        <f t="shared" si="41"/>
        <v>0.76618774836509185</v>
      </c>
      <c r="BO37">
        <v>7784</v>
      </c>
      <c r="BP37">
        <v>290.00000000000011</v>
      </c>
      <c r="BQ37">
        <v>756.62</v>
      </c>
      <c r="BR37">
        <v>195</v>
      </c>
      <c r="BS37">
        <v>10456.299999999999</v>
      </c>
      <c r="BT37">
        <v>753.98</v>
      </c>
      <c r="BU37">
        <v>2.64</v>
      </c>
      <c r="BV37">
        <v>300.00000000000011</v>
      </c>
      <c r="BW37">
        <v>38.200000000000003</v>
      </c>
      <c r="BX37">
        <v>765.82772805135301</v>
      </c>
      <c r="BY37">
        <v>1.149627908338974</v>
      </c>
      <c r="BZ37">
        <v>-12.386377645569061</v>
      </c>
      <c r="CA37">
        <v>0.9843485344778008</v>
      </c>
      <c r="CB37">
        <v>0.84973709723203794</v>
      </c>
      <c r="CC37">
        <v>-1.1357349054505011E-2</v>
      </c>
      <c r="CD37">
        <v>289.99999999999989</v>
      </c>
      <c r="CE37">
        <v>752.85</v>
      </c>
      <c r="CF37">
        <v>665</v>
      </c>
      <c r="CG37">
        <v>10436.799999999999</v>
      </c>
      <c r="CH37">
        <v>753.96</v>
      </c>
      <c r="CI37">
        <v>-1.1100000000000001</v>
      </c>
      <c r="CW37">
        <f t="shared" si="42"/>
        <v>1800.08</v>
      </c>
      <c r="CX37">
        <f t="shared" si="43"/>
        <v>1513.2515993222905</v>
      </c>
      <c r="CY37">
        <f t="shared" si="44"/>
        <v>0.84065797038036671</v>
      </c>
      <c r="CZ37">
        <f t="shared" si="45"/>
        <v>0.19131594076073344</v>
      </c>
      <c r="DA37">
        <v>6</v>
      </c>
      <c r="DB37">
        <v>0.5</v>
      </c>
      <c r="DC37" t="s">
        <v>420</v>
      </c>
      <c r="DD37">
        <v>2</v>
      </c>
      <c r="DE37">
        <v>1693499178.0999999</v>
      </c>
      <c r="DF37">
        <v>8.4366900000000005</v>
      </c>
      <c r="DG37">
        <v>10.000999999999999</v>
      </c>
      <c r="DH37">
        <v>29.125699999999998</v>
      </c>
      <c r="DI37">
        <v>22.127400000000002</v>
      </c>
      <c r="DJ37">
        <v>8.4108800000000006</v>
      </c>
      <c r="DK37">
        <v>28.859400000000001</v>
      </c>
      <c r="DL37">
        <v>500.392</v>
      </c>
      <c r="DM37">
        <v>99.651899999999998</v>
      </c>
      <c r="DN37">
        <v>9.9815799999999996E-2</v>
      </c>
      <c r="DO37">
        <v>30.726800000000001</v>
      </c>
      <c r="DP37">
        <v>30.072500000000002</v>
      </c>
      <c r="DQ37">
        <v>999.9</v>
      </c>
      <c r="DR37">
        <v>0</v>
      </c>
      <c r="DS37">
        <v>0</v>
      </c>
      <c r="DT37">
        <v>10035</v>
      </c>
      <c r="DU37">
        <v>0</v>
      </c>
      <c r="DV37">
        <v>1745.64</v>
      </c>
      <c r="DW37">
        <v>-1.5643499999999999</v>
      </c>
      <c r="DX37">
        <v>8.6897900000000003</v>
      </c>
      <c r="DY37">
        <v>10.2273</v>
      </c>
      <c r="DZ37">
        <v>6.9982899999999999</v>
      </c>
      <c r="EA37">
        <v>10.000999999999999</v>
      </c>
      <c r="EB37">
        <v>22.127400000000002</v>
      </c>
      <c r="EC37">
        <v>2.9024299999999998</v>
      </c>
      <c r="ED37">
        <v>2.2050399999999999</v>
      </c>
      <c r="EE37">
        <v>23.4785</v>
      </c>
      <c r="EF37">
        <v>18.998999999999999</v>
      </c>
      <c r="EG37">
        <v>1800.08</v>
      </c>
      <c r="EH37">
        <v>0.97800699999999996</v>
      </c>
      <c r="EI37">
        <v>2.1992899999999999E-2</v>
      </c>
      <c r="EJ37">
        <v>0</v>
      </c>
      <c r="EK37">
        <v>721.274</v>
      </c>
      <c r="EL37">
        <v>5.0010300000000001</v>
      </c>
      <c r="EM37">
        <v>13959.9</v>
      </c>
      <c r="EN37">
        <v>14701.8</v>
      </c>
      <c r="EO37">
        <v>47.436999999999998</v>
      </c>
      <c r="EP37">
        <v>49.625</v>
      </c>
      <c r="EQ37">
        <v>49.061999999999998</v>
      </c>
      <c r="ER37">
        <v>48.125</v>
      </c>
      <c r="ES37">
        <v>49.061999999999998</v>
      </c>
      <c r="ET37">
        <v>1755.6</v>
      </c>
      <c r="EU37">
        <v>39.479999999999997</v>
      </c>
      <c r="EV37">
        <v>0</v>
      </c>
      <c r="EW37">
        <v>101.5999999046326</v>
      </c>
      <c r="EX37">
        <v>0</v>
      </c>
      <c r="EY37">
        <v>721.3617200000001</v>
      </c>
      <c r="EZ37">
        <v>-0.98423077172274731</v>
      </c>
      <c r="FA37">
        <v>0.93846147713882722</v>
      </c>
      <c r="FB37">
        <v>13961.932000000001</v>
      </c>
      <c r="FC37">
        <v>15</v>
      </c>
      <c r="FD37">
        <v>1693499150</v>
      </c>
      <c r="FE37" t="s">
        <v>527</v>
      </c>
      <c r="FF37">
        <v>1693499128.5</v>
      </c>
      <c r="FG37">
        <v>1693499150</v>
      </c>
      <c r="FH37">
        <v>25</v>
      </c>
      <c r="FI37">
        <v>0.10199999999999999</v>
      </c>
      <c r="FJ37">
        <v>3.0000000000000001E-3</v>
      </c>
      <c r="FK37">
        <v>2.9000000000000001E-2</v>
      </c>
      <c r="FL37">
        <v>9.4E-2</v>
      </c>
      <c r="FM37">
        <v>10</v>
      </c>
      <c r="FN37">
        <v>22</v>
      </c>
      <c r="FO37">
        <v>0.86</v>
      </c>
      <c r="FP37">
        <v>0.04</v>
      </c>
      <c r="FQ37">
        <v>1.272987873775957</v>
      </c>
      <c r="FR37">
        <v>-0.13903641789093929</v>
      </c>
      <c r="FS37">
        <v>3.4669910370608022E-2</v>
      </c>
      <c r="FT37">
        <v>1</v>
      </c>
      <c r="FU37">
        <v>0.45926967974905131</v>
      </c>
      <c r="FV37">
        <v>4.5566126211584172E-2</v>
      </c>
      <c r="FW37">
        <v>4.3000722796041708E-3</v>
      </c>
      <c r="FX37">
        <v>1</v>
      </c>
      <c r="FY37">
        <v>2</v>
      </c>
      <c r="FZ37">
        <v>2</v>
      </c>
      <c r="GA37" t="s">
        <v>422</v>
      </c>
      <c r="GB37">
        <v>2.9063699999999999</v>
      </c>
      <c r="GC37">
        <v>2.8181400000000001</v>
      </c>
      <c r="GD37">
        <v>2.3430500000000002E-3</v>
      </c>
      <c r="GE37">
        <v>2.7946799999999999E-3</v>
      </c>
      <c r="GF37">
        <v>0.13730999999999999</v>
      </c>
      <c r="GG37">
        <v>0.113528</v>
      </c>
      <c r="GH37">
        <v>27811</v>
      </c>
      <c r="GI37">
        <v>27862.5</v>
      </c>
      <c r="GJ37">
        <v>24729</v>
      </c>
      <c r="GK37">
        <v>24944.7</v>
      </c>
      <c r="GL37">
        <v>28321.8</v>
      </c>
      <c r="GM37">
        <v>28910.400000000001</v>
      </c>
      <c r="GN37">
        <v>33439.4</v>
      </c>
      <c r="GO37">
        <v>33318</v>
      </c>
      <c r="GP37">
        <v>1.9919</v>
      </c>
      <c r="GQ37">
        <v>1.8755999999999999</v>
      </c>
      <c r="GR37">
        <v>8.7380399999999997E-2</v>
      </c>
      <c r="GS37">
        <v>0</v>
      </c>
      <c r="GT37">
        <v>28.649000000000001</v>
      </c>
      <c r="GU37">
        <v>999.9</v>
      </c>
      <c r="GV37">
        <v>45.8</v>
      </c>
      <c r="GW37">
        <v>36.799999999999997</v>
      </c>
      <c r="GX37">
        <v>28.6615</v>
      </c>
      <c r="GY37">
        <v>61.771599999999999</v>
      </c>
      <c r="GZ37">
        <v>26.8309</v>
      </c>
      <c r="HA37">
        <v>1</v>
      </c>
      <c r="HB37">
        <v>0.236037</v>
      </c>
      <c r="HC37">
        <v>1.4827699999999999</v>
      </c>
      <c r="HD37">
        <v>20.209800000000001</v>
      </c>
      <c r="HE37">
        <v>5.2352600000000002</v>
      </c>
      <c r="HF37">
        <v>11.9201</v>
      </c>
      <c r="HG37">
        <v>4.9614000000000003</v>
      </c>
      <c r="HH37">
        <v>3.2890000000000001</v>
      </c>
      <c r="HI37">
        <v>9999</v>
      </c>
      <c r="HJ37">
        <v>9999</v>
      </c>
      <c r="HK37">
        <v>9999</v>
      </c>
      <c r="HL37">
        <v>892.4</v>
      </c>
      <c r="HM37">
        <v>1.8806499999999999</v>
      </c>
      <c r="HN37">
        <v>1.8776200000000001</v>
      </c>
      <c r="HO37">
        <v>1.88565</v>
      </c>
      <c r="HP37">
        <v>1.8833899999999999</v>
      </c>
      <c r="HQ37">
        <v>1.8809499999999999</v>
      </c>
      <c r="HR37">
        <v>1.87999</v>
      </c>
      <c r="HS37">
        <v>1.8811</v>
      </c>
      <c r="HT37">
        <v>1.88059</v>
      </c>
      <c r="HU37">
        <v>5</v>
      </c>
      <c r="HV37">
        <v>0</v>
      </c>
      <c r="HW37">
        <v>0</v>
      </c>
      <c r="HX37">
        <v>0</v>
      </c>
      <c r="HY37" t="s">
        <v>423</v>
      </c>
      <c r="HZ37" t="s">
        <v>424</v>
      </c>
      <c r="IA37" t="s">
        <v>425</v>
      </c>
      <c r="IB37" t="s">
        <v>425</v>
      </c>
      <c r="IC37" t="s">
        <v>425</v>
      </c>
      <c r="ID37" t="s">
        <v>425</v>
      </c>
      <c r="IE37">
        <v>0</v>
      </c>
      <c r="IF37">
        <v>100</v>
      </c>
      <c r="IG37">
        <v>100</v>
      </c>
      <c r="IH37">
        <v>2.5999999999999999E-2</v>
      </c>
      <c r="II37">
        <v>0.26629999999999998</v>
      </c>
      <c r="IJ37">
        <v>7.3366910695693288E-3</v>
      </c>
      <c r="IK37">
        <v>2.2153513873161218E-3</v>
      </c>
      <c r="IL37">
        <v>-2.2967369670569612E-6</v>
      </c>
      <c r="IM37">
        <v>7.7859689150384122E-10</v>
      </c>
      <c r="IN37">
        <v>-0.13430841983015929</v>
      </c>
      <c r="IO37">
        <v>-4.1434251034592161E-3</v>
      </c>
      <c r="IP37">
        <v>8.3987709687394815E-4</v>
      </c>
      <c r="IQ37">
        <v>-7.4586254598011197E-6</v>
      </c>
      <c r="IR37">
        <v>2</v>
      </c>
      <c r="IS37">
        <v>1930</v>
      </c>
      <c r="IT37">
        <v>2</v>
      </c>
      <c r="IU37">
        <v>41</v>
      </c>
      <c r="IV37">
        <v>0.8</v>
      </c>
      <c r="IW37">
        <v>0.5</v>
      </c>
      <c r="IX37">
        <v>0.17333999999999999</v>
      </c>
      <c r="IY37">
        <v>2.5952099999999998</v>
      </c>
      <c r="IZ37">
        <v>1.24512</v>
      </c>
      <c r="JA37">
        <v>2.2558600000000002</v>
      </c>
      <c r="JB37">
        <v>1.4501999999999999</v>
      </c>
      <c r="JC37">
        <v>2.4523899999999998</v>
      </c>
      <c r="JD37">
        <v>38.378999999999998</v>
      </c>
      <c r="JE37">
        <v>16.005800000000001</v>
      </c>
      <c r="JF37">
        <v>18</v>
      </c>
      <c r="JG37">
        <v>496.87200000000001</v>
      </c>
      <c r="JH37">
        <v>468.26299999999998</v>
      </c>
      <c r="JI37">
        <v>27.213899999999999</v>
      </c>
      <c r="JJ37">
        <v>30.5548</v>
      </c>
      <c r="JK37">
        <v>30</v>
      </c>
      <c r="JL37">
        <v>30.365300000000001</v>
      </c>
      <c r="JM37">
        <v>30.323899999999998</v>
      </c>
      <c r="JN37">
        <v>3.5580799999999999</v>
      </c>
      <c r="JO37">
        <v>26.5885</v>
      </c>
      <c r="JP37">
        <v>45.121299999999998</v>
      </c>
      <c r="JQ37">
        <v>27.19</v>
      </c>
      <c r="JR37">
        <v>10</v>
      </c>
      <c r="JS37">
        <v>22.0627</v>
      </c>
      <c r="JT37">
        <v>99.806700000000006</v>
      </c>
      <c r="JU37">
        <v>99.437799999999996</v>
      </c>
    </row>
    <row r="38" spans="1:281" x14ac:dyDescent="0.25">
      <c r="A38">
        <v>22</v>
      </c>
      <c r="B38">
        <v>1693499367.5999999</v>
      </c>
      <c r="C38">
        <v>3718</v>
      </c>
      <c r="D38" t="s">
        <v>528</v>
      </c>
      <c r="E38" t="s">
        <v>529</v>
      </c>
      <c r="F38" t="s">
        <v>413</v>
      </c>
      <c r="G38" t="s">
        <v>494</v>
      </c>
      <c r="H38" t="s">
        <v>416</v>
      </c>
      <c r="I38" t="s">
        <v>31</v>
      </c>
      <c r="J38">
        <v>1693499367.5999999</v>
      </c>
      <c r="K38">
        <f t="shared" si="0"/>
        <v>5.9010141903820899E-3</v>
      </c>
      <c r="L38">
        <f t="shared" si="1"/>
        <v>5.9010141903820896</v>
      </c>
      <c r="M38">
        <f t="shared" si="2"/>
        <v>43.115207943838158</v>
      </c>
      <c r="N38">
        <f t="shared" si="3"/>
        <v>345.80900000000003</v>
      </c>
      <c r="O38">
        <f t="shared" si="4"/>
        <v>173.47246453523391</v>
      </c>
      <c r="P38">
        <f t="shared" si="5"/>
        <v>17.303759855696303</v>
      </c>
      <c r="Q38">
        <f t="shared" si="6"/>
        <v>34.494211562452996</v>
      </c>
      <c r="R38">
        <f t="shared" si="7"/>
        <v>0.44430416384417071</v>
      </c>
      <c r="S38">
        <f t="shared" si="8"/>
        <v>2.9247023786129454</v>
      </c>
      <c r="T38">
        <f t="shared" si="9"/>
        <v>0.4099264766039169</v>
      </c>
      <c r="U38">
        <f t="shared" si="10"/>
        <v>0.2590707273355779</v>
      </c>
      <c r="V38">
        <f t="shared" si="11"/>
        <v>344.39159864461112</v>
      </c>
      <c r="W38">
        <f t="shared" si="12"/>
        <v>31.219069520824696</v>
      </c>
      <c r="X38">
        <f t="shared" si="13"/>
        <v>30.0214</v>
      </c>
      <c r="Y38">
        <f t="shared" si="14"/>
        <v>4.2656895165969715</v>
      </c>
      <c r="Z38">
        <f t="shared" si="15"/>
        <v>64.882006991944081</v>
      </c>
      <c r="AA38">
        <f t="shared" si="16"/>
        <v>2.8812091468864995</v>
      </c>
      <c r="AB38">
        <f t="shared" si="17"/>
        <v>4.4406905403592676</v>
      </c>
      <c r="AC38">
        <f t="shared" si="18"/>
        <v>1.3844803697104719</v>
      </c>
      <c r="AD38">
        <f t="shared" si="19"/>
        <v>-260.23472579585018</v>
      </c>
      <c r="AE38">
        <f t="shared" si="20"/>
        <v>110.67317369885451</v>
      </c>
      <c r="AF38">
        <f t="shared" si="21"/>
        <v>8.4450157132989627</v>
      </c>
      <c r="AG38">
        <f t="shared" si="22"/>
        <v>203.27506226091441</v>
      </c>
      <c r="AH38">
        <v>0</v>
      </c>
      <c r="AI38">
        <v>0</v>
      </c>
      <c r="AJ38">
        <f t="shared" si="23"/>
        <v>1</v>
      </c>
      <c r="AK38">
        <f t="shared" si="24"/>
        <v>0</v>
      </c>
      <c r="AL38">
        <f t="shared" si="25"/>
        <v>52083.173395188234</v>
      </c>
      <c r="AM38" t="s">
        <v>417</v>
      </c>
      <c r="AN38">
        <v>10366.9</v>
      </c>
      <c r="AO38">
        <v>993.59653846153856</v>
      </c>
      <c r="AP38">
        <v>3431.87</v>
      </c>
      <c r="AQ38">
        <f t="shared" si="26"/>
        <v>0.71047955241266758</v>
      </c>
      <c r="AR38">
        <v>-3.9894345373445681</v>
      </c>
      <c r="AS38" t="s">
        <v>530</v>
      </c>
      <c r="AT38">
        <v>10461.1</v>
      </c>
      <c r="AU38">
        <v>727.88083999999992</v>
      </c>
      <c r="AV38">
        <v>1060.844506184033</v>
      </c>
      <c r="AW38">
        <f t="shared" si="27"/>
        <v>0.3138666074463049</v>
      </c>
      <c r="AX38">
        <v>0.5</v>
      </c>
      <c r="AY38">
        <f t="shared" si="28"/>
        <v>1513.2851993223055</v>
      </c>
      <c r="AZ38">
        <f t="shared" si="29"/>
        <v>43.115207943838158</v>
      </c>
      <c r="BA38">
        <f t="shared" si="30"/>
        <v>237.48484580499866</v>
      </c>
      <c r="BB38">
        <f t="shared" si="31"/>
        <v>3.1127405793883133E-2</v>
      </c>
      <c r="BC38">
        <f t="shared" si="32"/>
        <v>2.2350358417227327</v>
      </c>
      <c r="BD38">
        <f t="shared" si="33"/>
        <v>603.24414374169226</v>
      </c>
      <c r="BE38" t="s">
        <v>531</v>
      </c>
      <c r="BF38">
        <v>591.57000000000005</v>
      </c>
      <c r="BG38">
        <f t="shared" si="34"/>
        <v>591.57000000000005</v>
      </c>
      <c r="BH38">
        <f t="shared" si="35"/>
        <v>0.4423593688315941</v>
      </c>
      <c r="BI38">
        <f t="shared" si="36"/>
        <v>0.70952856333827019</v>
      </c>
      <c r="BJ38">
        <f t="shared" si="37"/>
        <v>0.83477995064463861</v>
      </c>
      <c r="BK38">
        <f t="shared" si="38"/>
        <v>4.9512822091225344</v>
      </c>
      <c r="BL38">
        <f t="shared" si="39"/>
        <v>0.97241984183346541</v>
      </c>
      <c r="BM38">
        <f t="shared" si="40"/>
        <v>0.57665456919297475</v>
      </c>
      <c r="BN38">
        <f t="shared" si="41"/>
        <v>0.42334543080702525</v>
      </c>
      <c r="BO38">
        <v>7786</v>
      </c>
      <c r="BP38">
        <v>290.00000000000011</v>
      </c>
      <c r="BQ38">
        <v>954.8</v>
      </c>
      <c r="BR38">
        <v>175</v>
      </c>
      <c r="BS38">
        <v>10461.1</v>
      </c>
      <c r="BT38">
        <v>953.35</v>
      </c>
      <c r="BU38">
        <v>1.45</v>
      </c>
      <c r="BV38">
        <v>300.00000000000011</v>
      </c>
      <c r="BW38">
        <v>38.200000000000003</v>
      </c>
      <c r="BX38">
        <v>1060.844506184033</v>
      </c>
      <c r="BY38">
        <v>1.24680408855862</v>
      </c>
      <c r="BZ38">
        <v>-112.4489336661628</v>
      </c>
      <c r="CA38">
        <v>1.0677202296173001</v>
      </c>
      <c r="CB38">
        <v>0.99748193272513919</v>
      </c>
      <c r="CC38">
        <v>-1.136019777530589E-2</v>
      </c>
      <c r="CD38">
        <v>289.99999999999989</v>
      </c>
      <c r="CE38">
        <v>933.08</v>
      </c>
      <c r="CF38">
        <v>635</v>
      </c>
      <c r="CG38">
        <v>10441.1</v>
      </c>
      <c r="CH38">
        <v>953.15</v>
      </c>
      <c r="CI38">
        <v>-20.07</v>
      </c>
      <c r="CW38">
        <f t="shared" si="42"/>
        <v>1800.12</v>
      </c>
      <c r="CX38">
        <f t="shared" si="43"/>
        <v>1513.2851993223055</v>
      </c>
      <c r="CY38">
        <f t="shared" si="44"/>
        <v>0.84065795575978575</v>
      </c>
      <c r="CZ38">
        <f t="shared" si="45"/>
        <v>0.19131591151957156</v>
      </c>
      <c r="DA38">
        <v>6</v>
      </c>
      <c r="DB38">
        <v>0.5</v>
      </c>
      <c r="DC38" t="s">
        <v>420</v>
      </c>
      <c r="DD38">
        <v>2</v>
      </c>
      <c r="DE38">
        <v>1693499367.5999999</v>
      </c>
      <c r="DF38">
        <v>345.80900000000003</v>
      </c>
      <c r="DG38">
        <v>399.94099999999997</v>
      </c>
      <c r="DH38">
        <v>28.884499999999999</v>
      </c>
      <c r="DI38">
        <v>22.014800000000001</v>
      </c>
      <c r="DJ38">
        <v>345.59</v>
      </c>
      <c r="DK38">
        <v>28.6265</v>
      </c>
      <c r="DL38">
        <v>500.50799999999998</v>
      </c>
      <c r="DM38">
        <v>99.649199999999993</v>
      </c>
      <c r="DN38">
        <v>0.100117</v>
      </c>
      <c r="DO38">
        <v>30.723299999999998</v>
      </c>
      <c r="DP38">
        <v>30.0214</v>
      </c>
      <c r="DQ38">
        <v>999.9</v>
      </c>
      <c r="DR38">
        <v>0</v>
      </c>
      <c r="DS38">
        <v>0</v>
      </c>
      <c r="DT38">
        <v>10007.5</v>
      </c>
      <c r="DU38">
        <v>0</v>
      </c>
      <c r="DV38">
        <v>1756.29</v>
      </c>
      <c r="DW38">
        <v>-54.132800000000003</v>
      </c>
      <c r="DX38">
        <v>356.09399999999999</v>
      </c>
      <c r="DY38">
        <v>408.94400000000002</v>
      </c>
      <c r="DZ38">
        <v>6.86972</v>
      </c>
      <c r="EA38">
        <v>399.94099999999997</v>
      </c>
      <c r="EB38">
        <v>22.014800000000001</v>
      </c>
      <c r="EC38">
        <v>2.87832</v>
      </c>
      <c r="ED38">
        <v>2.1937600000000002</v>
      </c>
      <c r="EE38">
        <v>23.340299999999999</v>
      </c>
      <c r="EF38">
        <v>18.916799999999999</v>
      </c>
      <c r="EG38">
        <v>1800.12</v>
      </c>
      <c r="EH38">
        <v>0.97800699999999996</v>
      </c>
      <c r="EI38">
        <v>2.1992899999999999E-2</v>
      </c>
      <c r="EJ38">
        <v>0</v>
      </c>
      <c r="EK38">
        <v>728.31500000000005</v>
      </c>
      <c r="EL38">
        <v>5.0010300000000001</v>
      </c>
      <c r="EM38">
        <v>14116.4</v>
      </c>
      <c r="EN38">
        <v>14702.1</v>
      </c>
      <c r="EO38">
        <v>47.5</v>
      </c>
      <c r="EP38">
        <v>49.811999999999998</v>
      </c>
      <c r="EQ38">
        <v>49.061999999999998</v>
      </c>
      <c r="ER38">
        <v>48.25</v>
      </c>
      <c r="ES38">
        <v>49.186999999999998</v>
      </c>
      <c r="ET38">
        <v>1755.64</v>
      </c>
      <c r="EU38">
        <v>39.479999999999997</v>
      </c>
      <c r="EV38">
        <v>0</v>
      </c>
      <c r="EW38">
        <v>187.4000000953674</v>
      </c>
      <c r="EX38">
        <v>0</v>
      </c>
      <c r="EY38">
        <v>727.88083999999992</v>
      </c>
      <c r="EZ38">
        <v>2.5741538447917982</v>
      </c>
      <c r="FA38">
        <v>63.099999953576777</v>
      </c>
      <c r="FB38">
        <v>14109.763999999999</v>
      </c>
      <c r="FC38">
        <v>15</v>
      </c>
      <c r="FD38">
        <v>1693499249.5999999</v>
      </c>
      <c r="FE38" t="s">
        <v>532</v>
      </c>
      <c r="FF38">
        <v>1693499241.5999999</v>
      </c>
      <c r="FG38">
        <v>1693499249.5999999</v>
      </c>
      <c r="FH38">
        <v>26</v>
      </c>
      <c r="FI38">
        <v>-0.312</v>
      </c>
      <c r="FJ38">
        <v>-2E-3</v>
      </c>
      <c r="FK38">
        <v>0.26400000000000001</v>
      </c>
      <c r="FL38">
        <v>9.7000000000000003E-2</v>
      </c>
      <c r="FM38">
        <v>400</v>
      </c>
      <c r="FN38">
        <v>22</v>
      </c>
      <c r="FO38">
        <v>0.22</v>
      </c>
      <c r="FP38">
        <v>0.04</v>
      </c>
      <c r="FQ38">
        <v>42.706427242866859</v>
      </c>
      <c r="FR38">
        <v>3.5256209810578332</v>
      </c>
      <c r="FS38">
        <v>0.2607593412081704</v>
      </c>
      <c r="FT38">
        <v>0</v>
      </c>
      <c r="FU38">
        <v>0.44956390963139348</v>
      </c>
      <c r="FV38">
        <v>-6.260968127510297E-3</v>
      </c>
      <c r="FW38">
        <v>1.264637205956217E-3</v>
      </c>
      <c r="FX38">
        <v>1</v>
      </c>
      <c r="FY38">
        <v>1</v>
      </c>
      <c r="FZ38">
        <v>2</v>
      </c>
      <c r="GA38" t="s">
        <v>461</v>
      </c>
      <c r="GB38">
        <v>2.90645</v>
      </c>
      <c r="GC38">
        <v>2.8182</v>
      </c>
      <c r="GD38">
        <v>8.1676799999999994E-2</v>
      </c>
      <c r="GE38">
        <v>9.1494500000000006E-2</v>
      </c>
      <c r="GF38">
        <v>0.136521</v>
      </c>
      <c r="GG38">
        <v>0.11310000000000001</v>
      </c>
      <c r="GH38">
        <v>25596.400000000001</v>
      </c>
      <c r="GI38">
        <v>25380.2</v>
      </c>
      <c r="GJ38">
        <v>24724.799999999999</v>
      </c>
      <c r="GK38">
        <v>24939.599999999999</v>
      </c>
      <c r="GL38">
        <v>28344.2</v>
      </c>
      <c r="GM38">
        <v>28918.6</v>
      </c>
      <c r="GN38">
        <v>33434.1</v>
      </c>
      <c r="GO38">
        <v>33310.800000000003</v>
      </c>
      <c r="GP38">
        <v>1.9914000000000001</v>
      </c>
      <c r="GQ38">
        <v>1.8772</v>
      </c>
      <c r="GR38">
        <v>8.26567E-2</v>
      </c>
      <c r="GS38">
        <v>0</v>
      </c>
      <c r="GT38">
        <v>28.674800000000001</v>
      </c>
      <c r="GU38">
        <v>999.9</v>
      </c>
      <c r="GV38">
        <v>45.6</v>
      </c>
      <c r="GW38">
        <v>36.6</v>
      </c>
      <c r="GX38">
        <v>28.227900000000002</v>
      </c>
      <c r="GY38">
        <v>62.101599999999998</v>
      </c>
      <c r="GZ38">
        <v>26.750800000000002</v>
      </c>
      <c r="HA38">
        <v>1</v>
      </c>
      <c r="HB38">
        <v>0.24398400000000001</v>
      </c>
      <c r="HC38">
        <v>1.1890099999999999</v>
      </c>
      <c r="HD38">
        <v>20.212399999999999</v>
      </c>
      <c r="HE38">
        <v>5.23346</v>
      </c>
      <c r="HF38">
        <v>11.9201</v>
      </c>
      <c r="HG38">
        <v>4.9614000000000003</v>
      </c>
      <c r="HH38">
        <v>3.2890000000000001</v>
      </c>
      <c r="HI38">
        <v>9999</v>
      </c>
      <c r="HJ38">
        <v>9999</v>
      </c>
      <c r="HK38">
        <v>9999</v>
      </c>
      <c r="HL38">
        <v>892.5</v>
      </c>
      <c r="HM38">
        <v>1.88062</v>
      </c>
      <c r="HN38">
        <v>1.87761</v>
      </c>
      <c r="HO38">
        <v>1.88561</v>
      </c>
      <c r="HP38">
        <v>1.8834200000000001</v>
      </c>
      <c r="HQ38">
        <v>1.88093</v>
      </c>
      <c r="HR38">
        <v>1.88001</v>
      </c>
      <c r="HS38">
        <v>1.8811</v>
      </c>
      <c r="HT38">
        <v>1.88049</v>
      </c>
      <c r="HU38">
        <v>5</v>
      </c>
      <c r="HV38">
        <v>0</v>
      </c>
      <c r="HW38">
        <v>0</v>
      </c>
      <c r="HX38">
        <v>0</v>
      </c>
      <c r="HY38" t="s">
        <v>423</v>
      </c>
      <c r="HZ38" t="s">
        <v>424</v>
      </c>
      <c r="IA38" t="s">
        <v>425</v>
      </c>
      <c r="IB38" t="s">
        <v>425</v>
      </c>
      <c r="IC38" t="s">
        <v>425</v>
      </c>
      <c r="ID38" t="s">
        <v>425</v>
      </c>
      <c r="IE38">
        <v>0</v>
      </c>
      <c r="IF38">
        <v>100</v>
      </c>
      <c r="IG38">
        <v>100</v>
      </c>
      <c r="IH38">
        <v>0.219</v>
      </c>
      <c r="II38">
        <v>0.25800000000000001</v>
      </c>
      <c r="IJ38">
        <v>-0.30467280779217082</v>
      </c>
      <c r="IK38">
        <v>2.2153513873161218E-3</v>
      </c>
      <c r="IL38">
        <v>-2.2967369670569612E-6</v>
      </c>
      <c r="IM38">
        <v>7.7859689150384122E-10</v>
      </c>
      <c r="IN38">
        <v>-0.13662539400086149</v>
      </c>
      <c r="IO38">
        <v>-4.1434251034592161E-3</v>
      </c>
      <c r="IP38">
        <v>8.3987709687394815E-4</v>
      </c>
      <c r="IQ38">
        <v>-7.4586254598011197E-6</v>
      </c>
      <c r="IR38">
        <v>2</v>
      </c>
      <c r="IS38">
        <v>1930</v>
      </c>
      <c r="IT38">
        <v>2</v>
      </c>
      <c r="IU38">
        <v>41</v>
      </c>
      <c r="IV38">
        <v>2.1</v>
      </c>
      <c r="IW38">
        <v>2</v>
      </c>
      <c r="IX38">
        <v>0.99853499999999995</v>
      </c>
      <c r="IY38">
        <v>2.5134300000000001</v>
      </c>
      <c r="IZ38">
        <v>1.24512</v>
      </c>
      <c r="JA38">
        <v>2.2558600000000002</v>
      </c>
      <c r="JB38">
        <v>1.4501999999999999</v>
      </c>
      <c r="JC38">
        <v>2.3852500000000001</v>
      </c>
      <c r="JD38">
        <v>38.159300000000002</v>
      </c>
      <c r="JE38">
        <v>15.997</v>
      </c>
      <c r="JF38">
        <v>18</v>
      </c>
      <c r="JG38">
        <v>497.33600000000001</v>
      </c>
      <c r="JH38">
        <v>470.21199999999999</v>
      </c>
      <c r="JI38">
        <v>27.337</v>
      </c>
      <c r="JJ38">
        <v>30.660900000000002</v>
      </c>
      <c r="JK38">
        <v>30</v>
      </c>
      <c r="JL38">
        <v>30.458100000000002</v>
      </c>
      <c r="JM38">
        <v>30.421700000000001</v>
      </c>
      <c r="JN38">
        <v>20.086200000000002</v>
      </c>
      <c r="JO38">
        <v>25.1663</v>
      </c>
      <c r="JP38">
        <v>43.2258</v>
      </c>
      <c r="JQ38">
        <v>27.366199999999999</v>
      </c>
      <c r="JR38">
        <v>400</v>
      </c>
      <c r="JS38">
        <v>22.075199999999999</v>
      </c>
      <c r="JT38">
        <v>99.790599999999998</v>
      </c>
      <c r="JU38">
        <v>99.416700000000006</v>
      </c>
    </row>
    <row r="39" spans="1:281" x14ac:dyDescent="0.25">
      <c r="A39">
        <v>23</v>
      </c>
      <c r="B39">
        <v>1693499557.0999999</v>
      </c>
      <c r="C39">
        <v>3907.5</v>
      </c>
      <c r="D39" t="s">
        <v>533</v>
      </c>
      <c r="E39" t="s">
        <v>534</v>
      </c>
      <c r="F39" t="s">
        <v>413</v>
      </c>
      <c r="G39" t="s">
        <v>494</v>
      </c>
      <c r="H39" t="s">
        <v>416</v>
      </c>
      <c r="I39" t="s">
        <v>31</v>
      </c>
      <c r="J39">
        <v>1693499557.0999999</v>
      </c>
      <c r="K39">
        <f t="shared" si="0"/>
        <v>5.8290860925697598E-3</v>
      </c>
      <c r="L39">
        <f t="shared" si="1"/>
        <v>5.8290860925697601</v>
      </c>
      <c r="M39">
        <f t="shared" si="2"/>
        <v>48.956181237797679</v>
      </c>
      <c r="N39">
        <f t="shared" si="3"/>
        <v>338.90499999999997</v>
      </c>
      <c r="O39">
        <f t="shared" si="4"/>
        <v>141.29963761950569</v>
      </c>
      <c r="P39">
        <f t="shared" si="5"/>
        <v>14.095148096439672</v>
      </c>
      <c r="Q39">
        <f t="shared" si="6"/>
        <v>33.806995163620002</v>
      </c>
      <c r="R39">
        <f t="shared" si="7"/>
        <v>0.4365703544985845</v>
      </c>
      <c r="S39">
        <f t="shared" si="8"/>
        <v>2.919951932497391</v>
      </c>
      <c r="T39">
        <f t="shared" si="9"/>
        <v>0.40328143327477861</v>
      </c>
      <c r="U39">
        <f t="shared" si="10"/>
        <v>0.25482991816894129</v>
      </c>
      <c r="V39">
        <f t="shared" si="11"/>
        <v>344.37449864454339</v>
      </c>
      <c r="W39">
        <f t="shared" si="12"/>
        <v>31.203545101358177</v>
      </c>
      <c r="X39">
        <f t="shared" si="13"/>
        <v>30.020199999999999</v>
      </c>
      <c r="Y39">
        <f t="shared" si="14"/>
        <v>4.2653955506085994</v>
      </c>
      <c r="Z39">
        <f t="shared" si="15"/>
        <v>64.874767487667825</v>
      </c>
      <c r="AA39">
        <f t="shared" si="16"/>
        <v>2.8751482512900002</v>
      </c>
      <c r="AB39">
        <f t="shared" si="17"/>
        <v>4.4318436314034466</v>
      </c>
      <c r="AC39">
        <f t="shared" si="18"/>
        <v>1.3902472993185993</v>
      </c>
      <c r="AD39">
        <f t="shared" si="19"/>
        <v>-257.06269668232642</v>
      </c>
      <c r="AE39">
        <f t="shared" si="20"/>
        <v>105.18834374436329</v>
      </c>
      <c r="AF39">
        <f t="shared" si="21"/>
        <v>8.0381131514738442</v>
      </c>
      <c r="AG39">
        <f t="shared" si="22"/>
        <v>200.53825885805412</v>
      </c>
      <c r="AH39">
        <v>0</v>
      </c>
      <c r="AI39">
        <v>0</v>
      </c>
      <c r="AJ39">
        <f t="shared" si="23"/>
        <v>1</v>
      </c>
      <c r="AK39">
        <f t="shared" si="24"/>
        <v>0</v>
      </c>
      <c r="AL39">
        <f t="shared" si="25"/>
        <v>51953.927530450441</v>
      </c>
      <c r="AM39" t="s">
        <v>417</v>
      </c>
      <c r="AN39">
        <v>10366.9</v>
      </c>
      <c r="AO39">
        <v>993.59653846153856</v>
      </c>
      <c r="AP39">
        <v>3431.87</v>
      </c>
      <c r="AQ39">
        <f t="shared" si="26"/>
        <v>0.71047955241266758</v>
      </c>
      <c r="AR39">
        <v>-3.9894345373445681</v>
      </c>
      <c r="AS39" t="s">
        <v>535</v>
      </c>
      <c r="AT39">
        <v>10471</v>
      </c>
      <c r="AU39">
        <v>775.52419230769237</v>
      </c>
      <c r="AV39">
        <v>1163.9724376940239</v>
      </c>
      <c r="AW39">
        <f t="shared" si="27"/>
        <v>0.33372632616275388</v>
      </c>
      <c r="AX39">
        <v>0.5</v>
      </c>
      <c r="AY39">
        <f t="shared" si="28"/>
        <v>1513.2095993222715</v>
      </c>
      <c r="AZ39">
        <f t="shared" si="29"/>
        <v>48.956181237797679</v>
      </c>
      <c r="BA39">
        <f t="shared" si="30"/>
        <v>252.49894014801725</v>
      </c>
      <c r="BB39">
        <f t="shared" si="31"/>
        <v>3.4988950505505156E-2</v>
      </c>
      <c r="BC39">
        <f t="shared" si="32"/>
        <v>1.9484117397134995</v>
      </c>
      <c r="BD39">
        <f t="shared" si="33"/>
        <v>635.24924075317711</v>
      </c>
      <c r="BE39" t="s">
        <v>536</v>
      </c>
      <c r="BF39">
        <v>616.33000000000004</v>
      </c>
      <c r="BG39">
        <f t="shared" si="34"/>
        <v>616.33000000000004</v>
      </c>
      <c r="BH39">
        <f t="shared" si="35"/>
        <v>0.47049433471034119</v>
      </c>
      <c r="BI39">
        <f t="shared" si="36"/>
        <v>0.709309977915487</v>
      </c>
      <c r="BJ39">
        <f t="shared" si="37"/>
        <v>0.80549292935137695</v>
      </c>
      <c r="BK39">
        <f t="shared" si="38"/>
        <v>2.2799483209551656</v>
      </c>
      <c r="BL39">
        <f t="shared" si="39"/>
        <v>0.93012436795133524</v>
      </c>
      <c r="BM39">
        <f t="shared" si="40"/>
        <v>0.56370777730065136</v>
      </c>
      <c r="BN39">
        <f t="shared" si="41"/>
        <v>0.43629222269934864</v>
      </c>
      <c r="BO39">
        <v>7788</v>
      </c>
      <c r="BP39">
        <v>290.00000000000011</v>
      </c>
      <c r="BQ39">
        <v>1052.23</v>
      </c>
      <c r="BR39">
        <v>115</v>
      </c>
      <c r="BS39">
        <v>10471</v>
      </c>
      <c r="BT39">
        <v>1049.1500000000001</v>
      </c>
      <c r="BU39">
        <v>3.08</v>
      </c>
      <c r="BV39">
        <v>300.00000000000011</v>
      </c>
      <c r="BW39">
        <v>38.200000000000003</v>
      </c>
      <c r="BX39">
        <v>1163.9724376940239</v>
      </c>
      <c r="BY39">
        <v>1.317727235211523</v>
      </c>
      <c r="BZ39">
        <v>-120.2293451693166</v>
      </c>
      <c r="CA39">
        <v>1.1284216349635661</v>
      </c>
      <c r="CB39">
        <v>0.99753957568157736</v>
      </c>
      <c r="CC39">
        <v>-1.136010456062291E-2</v>
      </c>
      <c r="CD39">
        <v>289.99999999999989</v>
      </c>
      <c r="CE39">
        <v>1036.3499999999999</v>
      </c>
      <c r="CF39">
        <v>645</v>
      </c>
      <c r="CG39">
        <v>10439.799999999999</v>
      </c>
      <c r="CH39">
        <v>1048.81</v>
      </c>
      <c r="CI39">
        <v>-12.46</v>
      </c>
      <c r="CW39">
        <f t="shared" si="42"/>
        <v>1800.03</v>
      </c>
      <c r="CX39">
        <f t="shared" si="43"/>
        <v>1513.2095993222715</v>
      </c>
      <c r="CY39">
        <f t="shared" si="44"/>
        <v>0.84065798865700658</v>
      </c>
      <c r="CZ39">
        <f t="shared" si="45"/>
        <v>0.19131597731401331</v>
      </c>
      <c r="DA39">
        <v>6</v>
      </c>
      <c r="DB39">
        <v>0.5</v>
      </c>
      <c r="DC39" t="s">
        <v>420</v>
      </c>
      <c r="DD39">
        <v>2</v>
      </c>
      <c r="DE39">
        <v>1693499557.0999999</v>
      </c>
      <c r="DF39">
        <v>338.90499999999997</v>
      </c>
      <c r="DG39">
        <v>399.99700000000001</v>
      </c>
      <c r="DH39">
        <v>28.822500000000002</v>
      </c>
      <c r="DI39">
        <v>22.0321</v>
      </c>
      <c r="DJ39">
        <v>338.67399999999998</v>
      </c>
      <c r="DK39">
        <v>28.566199999999998</v>
      </c>
      <c r="DL39">
        <v>500.21300000000002</v>
      </c>
      <c r="DM39">
        <v>99.653199999999998</v>
      </c>
      <c r="DN39">
        <v>0.10040399999999999</v>
      </c>
      <c r="DO39">
        <v>30.688400000000001</v>
      </c>
      <c r="DP39">
        <v>30.020199999999999</v>
      </c>
      <c r="DQ39">
        <v>999.9</v>
      </c>
      <c r="DR39">
        <v>0</v>
      </c>
      <c r="DS39">
        <v>0</v>
      </c>
      <c r="DT39">
        <v>9980</v>
      </c>
      <c r="DU39">
        <v>0</v>
      </c>
      <c r="DV39">
        <v>1770.73</v>
      </c>
      <c r="DW39">
        <v>-61.091299999999997</v>
      </c>
      <c r="DX39">
        <v>348.96300000000002</v>
      </c>
      <c r="DY39">
        <v>409.00799999999998</v>
      </c>
      <c r="DZ39">
        <v>6.7903799999999999</v>
      </c>
      <c r="EA39">
        <v>399.99700000000001</v>
      </c>
      <c r="EB39">
        <v>22.0321</v>
      </c>
      <c r="EC39">
        <v>2.8722599999999998</v>
      </c>
      <c r="ED39">
        <v>2.19557</v>
      </c>
      <c r="EE39">
        <v>23.305299999999999</v>
      </c>
      <c r="EF39">
        <v>18.93</v>
      </c>
      <c r="EG39">
        <v>1800.03</v>
      </c>
      <c r="EH39">
        <v>0.97800699999999996</v>
      </c>
      <c r="EI39">
        <v>2.1992899999999999E-2</v>
      </c>
      <c r="EJ39">
        <v>0</v>
      </c>
      <c r="EK39">
        <v>776.95500000000004</v>
      </c>
      <c r="EL39">
        <v>5.0010300000000001</v>
      </c>
      <c r="EM39">
        <v>15001.1</v>
      </c>
      <c r="EN39">
        <v>14701.4</v>
      </c>
      <c r="EO39">
        <v>47.75</v>
      </c>
      <c r="EP39">
        <v>50.061999999999998</v>
      </c>
      <c r="EQ39">
        <v>49.311999999999998</v>
      </c>
      <c r="ER39">
        <v>48.561999999999998</v>
      </c>
      <c r="ES39">
        <v>49.436999999999998</v>
      </c>
      <c r="ET39">
        <v>1755.55</v>
      </c>
      <c r="EU39">
        <v>39.479999999999997</v>
      </c>
      <c r="EV39">
        <v>0</v>
      </c>
      <c r="EW39">
        <v>187.4000000953674</v>
      </c>
      <c r="EX39">
        <v>0</v>
      </c>
      <c r="EY39">
        <v>775.52419230769237</v>
      </c>
      <c r="EZ39">
        <v>12.854940174726011</v>
      </c>
      <c r="FA39">
        <v>278.15726524963418</v>
      </c>
      <c r="FB39">
        <v>14968.134615384621</v>
      </c>
      <c r="FC39">
        <v>15</v>
      </c>
      <c r="FD39">
        <v>1693499434.0999999</v>
      </c>
      <c r="FE39" t="s">
        <v>537</v>
      </c>
      <c r="FF39">
        <v>1693499433.0999999</v>
      </c>
      <c r="FG39">
        <v>1693499434.0999999</v>
      </c>
      <c r="FH39">
        <v>27</v>
      </c>
      <c r="FI39">
        <v>1.9E-2</v>
      </c>
      <c r="FJ39">
        <v>0</v>
      </c>
      <c r="FK39">
        <v>0.28299999999999997</v>
      </c>
      <c r="FL39">
        <v>9.8000000000000004E-2</v>
      </c>
      <c r="FM39">
        <v>400</v>
      </c>
      <c r="FN39">
        <v>22</v>
      </c>
      <c r="FO39">
        <v>0.14000000000000001</v>
      </c>
      <c r="FP39">
        <v>0.06</v>
      </c>
      <c r="FQ39">
        <v>48.902667974430607</v>
      </c>
      <c r="FR39">
        <v>1.2320008420553179</v>
      </c>
      <c r="FS39">
        <v>0.1197960982535374</v>
      </c>
      <c r="FT39">
        <v>0</v>
      </c>
      <c r="FU39">
        <v>0.43648270437197723</v>
      </c>
      <c r="FV39">
        <v>-2.315569661422576E-3</v>
      </c>
      <c r="FW39">
        <v>1.1493751132425989E-3</v>
      </c>
      <c r="FX39">
        <v>1</v>
      </c>
      <c r="FY39">
        <v>1</v>
      </c>
      <c r="FZ39">
        <v>2</v>
      </c>
      <c r="GA39" t="s">
        <v>461</v>
      </c>
      <c r="GB39">
        <v>2.9053300000000002</v>
      </c>
      <c r="GC39">
        <v>2.8182399999999999</v>
      </c>
      <c r="GD39">
        <v>8.0349900000000002E-2</v>
      </c>
      <c r="GE39">
        <v>9.1474799999999995E-2</v>
      </c>
      <c r="GF39">
        <v>0.13628599999999999</v>
      </c>
      <c r="GG39">
        <v>0.11312899999999999</v>
      </c>
      <c r="GH39">
        <v>25626.799999999999</v>
      </c>
      <c r="GI39">
        <v>25374.6</v>
      </c>
      <c r="GJ39">
        <v>24718.9</v>
      </c>
      <c r="GK39">
        <v>24934.2</v>
      </c>
      <c r="GL39">
        <v>28346.1</v>
      </c>
      <c r="GM39">
        <v>28911.5</v>
      </c>
      <c r="GN39">
        <v>33426.1</v>
      </c>
      <c r="GO39">
        <v>33303.199999999997</v>
      </c>
      <c r="GP39">
        <v>1.9886999999999999</v>
      </c>
      <c r="GQ39">
        <v>1.8771</v>
      </c>
      <c r="GR39">
        <v>6.1452399999999997E-2</v>
      </c>
      <c r="GS39">
        <v>0</v>
      </c>
      <c r="GT39">
        <v>29.019400000000001</v>
      </c>
      <c r="GU39">
        <v>999.9</v>
      </c>
      <c r="GV39">
        <v>45.7</v>
      </c>
      <c r="GW39">
        <v>36.4</v>
      </c>
      <c r="GX39">
        <v>27.979900000000001</v>
      </c>
      <c r="GY39">
        <v>62.0916</v>
      </c>
      <c r="GZ39">
        <v>25.508800000000001</v>
      </c>
      <c r="HA39">
        <v>1</v>
      </c>
      <c r="HB39">
        <v>0.25821100000000002</v>
      </c>
      <c r="HC39">
        <v>1.64168</v>
      </c>
      <c r="HD39">
        <v>20.2087</v>
      </c>
      <c r="HE39">
        <v>5.2352600000000002</v>
      </c>
      <c r="HF39">
        <v>11.9201</v>
      </c>
      <c r="HG39">
        <v>4.9614000000000003</v>
      </c>
      <c r="HH39">
        <v>3.2890000000000001</v>
      </c>
      <c r="HI39">
        <v>9999</v>
      </c>
      <c r="HJ39">
        <v>9999</v>
      </c>
      <c r="HK39">
        <v>9999</v>
      </c>
      <c r="HL39">
        <v>892.5</v>
      </c>
      <c r="HM39">
        <v>1.88059</v>
      </c>
      <c r="HN39">
        <v>1.8775900000000001</v>
      </c>
      <c r="HO39">
        <v>1.8855900000000001</v>
      </c>
      <c r="HP39">
        <v>1.8833899999999999</v>
      </c>
      <c r="HQ39">
        <v>1.88086</v>
      </c>
      <c r="HR39">
        <v>1.88002</v>
      </c>
      <c r="HS39">
        <v>1.8811</v>
      </c>
      <c r="HT39">
        <v>1.8805099999999999</v>
      </c>
      <c r="HU39">
        <v>5</v>
      </c>
      <c r="HV39">
        <v>0</v>
      </c>
      <c r="HW39">
        <v>0</v>
      </c>
      <c r="HX39">
        <v>0</v>
      </c>
      <c r="HY39" t="s">
        <v>423</v>
      </c>
      <c r="HZ39" t="s">
        <v>424</v>
      </c>
      <c r="IA39" t="s">
        <v>425</v>
      </c>
      <c r="IB39" t="s">
        <v>425</v>
      </c>
      <c r="IC39" t="s">
        <v>425</v>
      </c>
      <c r="ID39" t="s">
        <v>425</v>
      </c>
      <c r="IE39">
        <v>0</v>
      </c>
      <c r="IF39">
        <v>100</v>
      </c>
      <c r="IG39">
        <v>100</v>
      </c>
      <c r="IH39">
        <v>0.23100000000000001</v>
      </c>
      <c r="II39">
        <v>0.25629999999999997</v>
      </c>
      <c r="IJ39">
        <v>-0.28535720396077069</v>
      </c>
      <c r="IK39">
        <v>2.2153513873161218E-3</v>
      </c>
      <c r="IL39">
        <v>-2.2967369670569612E-6</v>
      </c>
      <c r="IM39">
        <v>7.7859689150384122E-10</v>
      </c>
      <c r="IN39">
        <v>-0.13683494473434779</v>
      </c>
      <c r="IO39">
        <v>-4.1434251034592161E-3</v>
      </c>
      <c r="IP39">
        <v>8.3987709687394815E-4</v>
      </c>
      <c r="IQ39">
        <v>-7.4586254598011197E-6</v>
      </c>
      <c r="IR39">
        <v>2</v>
      </c>
      <c r="IS39">
        <v>1930</v>
      </c>
      <c r="IT39">
        <v>2</v>
      </c>
      <c r="IU39">
        <v>41</v>
      </c>
      <c r="IV39">
        <v>2.1</v>
      </c>
      <c r="IW39">
        <v>2</v>
      </c>
      <c r="IX39">
        <v>0.99853499999999995</v>
      </c>
      <c r="IY39">
        <v>2.5158700000000001</v>
      </c>
      <c r="IZ39">
        <v>1.24512</v>
      </c>
      <c r="JA39">
        <v>2.2558600000000002</v>
      </c>
      <c r="JB39">
        <v>1.4501999999999999</v>
      </c>
      <c r="JC39">
        <v>2.4121100000000002</v>
      </c>
      <c r="JD39">
        <v>37.916400000000003</v>
      </c>
      <c r="JE39">
        <v>15.9795</v>
      </c>
      <c r="JF39">
        <v>18</v>
      </c>
      <c r="JG39">
        <v>496.78300000000002</v>
      </c>
      <c r="JH39">
        <v>471.38099999999997</v>
      </c>
      <c r="JI39">
        <v>26.659800000000001</v>
      </c>
      <c r="JJ39">
        <v>30.835000000000001</v>
      </c>
      <c r="JK39">
        <v>30.0002</v>
      </c>
      <c r="JL39">
        <v>30.604800000000001</v>
      </c>
      <c r="JM39">
        <v>30.565200000000001</v>
      </c>
      <c r="JN39">
        <v>20.083300000000001</v>
      </c>
      <c r="JO39">
        <v>24.7562</v>
      </c>
      <c r="JP39">
        <v>41.9452</v>
      </c>
      <c r="JQ39">
        <v>26.665700000000001</v>
      </c>
      <c r="JR39">
        <v>400</v>
      </c>
      <c r="JS39">
        <v>22.0426</v>
      </c>
      <c r="JT39">
        <v>99.766599999999997</v>
      </c>
      <c r="JU39">
        <v>99.394499999999994</v>
      </c>
    </row>
    <row r="40" spans="1:281" x14ac:dyDescent="0.25">
      <c r="A40">
        <v>24</v>
      </c>
      <c r="B40">
        <v>1693499656.5999999</v>
      </c>
      <c r="C40">
        <v>4007</v>
      </c>
      <c r="D40" t="s">
        <v>538</v>
      </c>
      <c r="E40" t="s">
        <v>539</v>
      </c>
      <c r="F40" t="s">
        <v>413</v>
      </c>
      <c r="G40" t="s">
        <v>494</v>
      </c>
      <c r="H40" t="s">
        <v>416</v>
      </c>
      <c r="I40" t="s">
        <v>31</v>
      </c>
      <c r="J40">
        <v>1693499656.5999999</v>
      </c>
      <c r="K40">
        <f t="shared" si="0"/>
        <v>5.81736864705798E-3</v>
      </c>
      <c r="L40">
        <f t="shared" si="1"/>
        <v>5.8173686470579797</v>
      </c>
      <c r="M40">
        <f t="shared" si="2"/>
        <v>51.247425175558405</v>
      </c>
      <c r="N40">
        <f t="shared" si="3"/>
        <v>435.339</v>
      </c>
      <c r="O40">
        <f t="shared" si="4"/>
        <v>231.75581138644787</v>
      </c>
      <c r="P40">
        <f t="shared" si="5"/>
        <v>23.118206766130292</v>
      </c>
      <c r="Q40">
        <f t="shared" si="6"/>
        <v>43.426125779337895</v>
      </c>
      <c r="R40">
        <f t="shared" si="7"/>
        <v>0.44829176152373285</v>
      </c>
      <c r="S40">
        <f t="shared" si="8"/>
        <v>2.9278340816754866</v>
      </c>
      <c r="T40">
        <f t="shared" si="9"/>
        <v>0.41335452591283195</v>
      </c>
      <c r="U40">
        <f t="shared" si="10"/>
        <v>0.26125827853452277</v>
      </c>
      <c r="V40">
        <f t="shared" si="11"/>
        <v>344.40869864467891</v>
      </c>
      <c r="W40">
        <f t="shared" si="12"/>
        <v>31.138323592350858</v>
      </c>
      <c r="X40">
        <f t="shared" si="13"/>
        <v>29.933900000000001</v>
      </c>
      <c r="Y40">
        <f t="shared" si="14"/>
        <v>4.2443007325023139</v>
      </c>
      <c r="Z40">
        <f t="shared" si="15"/>
        <v>65.4752635193408</v>
      </c>
      <c r="AA40">
        <f t="shared" si="16"/>
        <v>2.8906360685494099</v>
      </c>
      <c r="AB40">
        <f t="shared" si="17"/>
        <v>4.4148521337306912</v>
      </c>
      <c r="AC40">
        <f t="shared" si="18"/>
        <v>1.353664663952904</v>
      </c>
      <c r="AD40">
        <f t="shared" si="19"/>
        <v>-256.5459573352569</v>
      </c>
      <c r="AE40">
        <f t="shared" si="20"/>
        <v>108.48713724205891</v>
      </c>
      <c r="AF40">
        <f t="shared" si="21"/>
        <v>8.2616033815326464</v>
      </c>
      <c r="AG40">
        <f t="shared" si="22"/>
        <v>204.61148193301358</v>
      </c>
      <c r="AH40">
        <v>0</v>
      </c>
      <c r="AI40">
        <v>0</v>
      </c>
      <c r="AJ40">
        <f t="shared" si="23"/>
        <v>1</v>
      </c>
      <c r="AK40">
        <f t="shared" si="24"/>
        <v>0</v>
      </c>
      <c r="AL40">
        <f t="shared" si="25"/>
        <v>52190.075418427718</v>
      </c>
      <c r="AM40" t="s">
        <v>417</v>
      </c>
      <c r="AN40">
        <v>10366.9</v>
      </c>
      <c r="AO40">
        <v>993.59653846153856</v>
      </c>
      <c r="AP40">
        <v>3431.87</v>
      </c>
      <c r="AQ40">
        <f t="shared" si="26"/>
        <v>0.71047955241266758</v>
      </c>
      <c r="AR40">
        <v>-3.9894345373445681</v>
      </c>
      <c r="AS40" t="s">
        <v>540</v>
      </c>
      <c r="AT40">
        <v>10464</v>
      </c>
      <c r="AU40">
        <v>796.28092000000004</v>
      </c>
      <c r="AV40">
        <v>1216.5782063710569</v>
      </c>
      <c r="AW40">
        <f t="shared" si="27"/>
        <v>0.34547494289312131</v>
      </c>
      <c r="AX40">
        <v>0.5</v>
      </c>
      <c r="AY40">
        <f t="shared" si="28"/>
        <v>1513.3607993223393</v>
      </c>
      <c r="AZ40">
        <f t="shared" si="29"/>
        <v>51.247425175558405</v>
      </c>
      <c r="BA40">
        <f t="shared" si="30"/>
        <v>261.4141178612868</v>
      </c>
      <c r="BB40">
        <f t="shared" si="31"/>
        <v>3.6499465122684045E-2</v>
      </c>
      <c r="BC40">
        <f t="shared" si="32"/>
        <v>1.8209201693962271</v>
      </c>
      <c r="BD40">
        <f t="shared" si="33"/>
        <v>650.60285994266712</v>
      </c>
      <c r="BE40" t="s">
        <v>541</v>
      </c>
      <c r="BF40">
        <v>621.13</v>
      </c>
      <c r="BG40">
        <f t="shared" si="34"/>
        <v>621.13</v>
      </c>
      <c r="BH40">
        <f t="shared" si="35"/>
        <v>0.48944507081647071</v>
      </c>
      <c r="BI40">
        <f t="shared" si="36"/>
        <v>0.70585028533807737</v>
      </c>
      <c r="BJ40">
        <f t="shared" si="37"/>
        <v>0.78815251272936782</v>
      </c>
      <c r="BK40">
        <f t="shared" si="38"/>
        <v>1.8848961455504287</v>
      </c>
      <c r="BL40">
        <f t="shared" si="39"/>
        <v>0.90854936026378885</v>
      </c>
      <c r="BM40">
        <f t="shared" si="40"/>
        <v>0.55059059776547192</v>
      </c>
      <c r="BN40">
        <f t="shared" si="41"/>
        <v>0.44940940223452808</v>
      </c>
      <c r="BO40">
        <v>7790</v>
      </c>
      <c r="BP40">
        <v>290.00000000000011</v>
      </c>
      <c r="BQ40">
        <v>1097.08</v>
      </c>
      <c r="BR40">
        <v>155</v>
      </c>
      <c r="BS40">
        <v>10464</v>
      </c>
      <c r="BT40">
        <v>1095.22</v>
      </c>
      <c r="BU40">
        <v>1.86</v>
      </c>
      <c r="BV40">
        <v>300.00000000000011</v>
      </c>
      <c r="BW40">
        <v>38.200000000000003</v>
      </c>
      <c r="BX40">
        <v>1216.5782063710569</v>
      </c>
      <c r="BY40">
        <v>1.599180605379463</v>
      </c>
      <c r="BZ40">
        <v>-126.9841278452983</v>
      </c>
      <c r="CA40">
        <v>1.3694537864176011</v>
      </c>
      <c r="CB40">
        <v>0.99675404928588562</v>
      </c>
      <c r="CC40">
        <v>-1.1358916129032261E-2</v>
      </c>
      <c r="CD40">
        <v>289.99999999999989</v>
      </c>
      <c r="CE40">
        <v>1083.01</v>
      </c>
      <c r="CF40">
        <v>665</v>
      </c>
      <c r="CG40">
        <v>10438.4</v>
      </c>
      <c r="CH40">
        <v>1094.93</v>
      </c>
      <c r="CI40">
        <v>-11.92</v>
      </c>
      <c r="CW40">
        <f t="shared" si="42"/>
        <v>1800.21</v>
      </c>
      <c r="CX40">
        <f t="shared" si="43"/>
        <v>1513.3607993223393</v>
      </c>
      <c r="CY40">
        <f t="shared" si="44"/>
        <v>0.84065792286585417</v>
      </c>
      <c r="CZ40">
        <f t="shared" si="45"/>
        <v>0.19131584573170846</v>
      </c>
      <c r="DA40">
        <v>6</v>
      </c>
      <c r="DB40">
        <v>0.5</v>
      </c>
      <c r="DC40" t="s">
        <v>420</v>
      </c>
      <c r="DD40">
        <v>2</v>
      </c>
      <c r="DE40">
        <v>1693499656.5999999</v>
      </c>
      <c r="DF40">
        <v>435.339</v>
      </c>
      <c r="DG40">
        <v>499.82400000000001</v>
      </c>
      <c r="DH40">
        <v>28.978100000000001</v>
      </c>
      <c r="DI40">
        <v>22.204899999999999</v>
      </c>
      <c r="DJ40">
        <v>435.17500000000001</v>
      </c>
      <c r="DK40">
        <v>28.720700000000001</v>
      </c>
      <c r="DL40">
        <v>500.39499999999998</v>
      </c>
      <c r="DM40">
        <v>99.653099999999995</v>
      </c>
      <c r="DN40">
        <v>9.9336099999999997E-2</v>
      </c>
      <c r="DO40">
        <v>30.621200000000002</v>
      </c>
      <c r="DP40">
        <v>29.933900000000001</v>
      </c>
      <c r="DQ40">
        <v>999.9</v>
      </c>
      <c r="DR40">
        <v>0</v>
      </c>
      <c r="DS40">
        <v>0</v>
      </c>
      <c r="DT40">
        <v>10025</v>
      </c>
      <c r="DU40">
        <v>0</v>
      </c>
      <c r="DV40">
        <v>1775.22</v>
      </c>
      <c r="DW40">
        <v>-64.484300000000005</v>
      </c>
      <c r="DX40">
        <v>448.33100000000002</v>
      </c>
      <c r="DY40">
        <v>511.17399999999998</v>
      </c>
      <c r="DZ40">
        <v>6.7732099999999997</v>
      </c>
      <c r="EA40">
        <v>499.82400000000001</v>
      </c>
      <c r="EB40">
        <v>22.204899999999999</v>
      </c>
      <c r="EC40">
        <v>2.8877600000000001</v>
      </c>
      <c r="ED40">
        <v>2.21279</v>
      </c>
      <c r="EE40">
        <v>23.394500000000001</v>
      </c>
      <c r="EF40">
        <v>19.055199999999999</v>
      </c>
      <c r="EG40">
        <v>1800.21</v>
      </c>
      <c r="EH40">
        <v>0.97801099999999996</v>
      </c>
      <c r="EI40">
        <v>2.19892E-2</v>
      </c>
      <c r="EJ40">
        <v>0</v>
      </c>
      <c r="EK40">
        <v>797.16700000000003</v>
      </c>
      <c r="EL40">
        <v>5.0010300000000001</v>
      </c>
      <c r="EM40">
        <v>15355.6</v>
      </c>
      <c r="EN40">
        <v>14702.9</v>
      </c>
      <c r="EO40">
        <v>47.75</v>
      </c>
      <c r="EP40">
        <v>50.125</v>
      </c>
      <c r="EQ40">
        <v>49.311999999999998</v>
      </c>
      <c r="ER40">
        <v>48.686999999999998</v>
      </c>
      <c r="ES40">
        <v>49.375</v>
      </c>
      <c r="ET40">
        <v>1755.73</v>
      </c>
      <c r="EU40">
        <v>39.479999999999997</v>
      </c>
      <c r="EV40">
        <v>0</v>
      </c>
      <c r="EW40">
        <v>97.400000095367432</v>
      </c>
      <c r="EX40">
        <v>0</v>
      </c>
      <c r="EY40">
        <v>796.28092000000004</v>
      </c>
      <c r="EZ40">
        <v>7.8514615322390329</v>
      </c>
      <c r="FA40">
        <v>16.576922881307901</v>
      </c>
      <c r="FB40">
        <v>15343.1</v>
      </c>
      <c r="FC40">
        <v>15</v>
      </c>
      <c r="FD40">
        <v>1693499627.0999999</v>
      </c>
      <c r="FE40" t="s">
        <v>542</v>
      </c>
      <c r="FF40">
        <v>1693499625.0999999</v>
      </c>
      <c r="FG40">
        <v>1693499627.0999999</v>
      </c>
      <c r="FH40">
        <v>28</v>
      </c>
      <c r="FI40">
        <v>-0.14399999999999999</v>
      </c>
      <c r="FJ40">
        <v>-3.0000000000000001E-3</v>
      </c>
      <c r="FK40">
        <v>0.20100000000000001</v>
      </c>
      <c r="FL40">
        <v>9.6000000000000002E-2</v>
      </c>
      <c r="FM40">
        <v>500</v>
      </c>
      <c r="FN40">
        <v>22</v>
      </c>
      <c r="FO40">
        <v>0.11</v>
      </c>
      <c r="FP40">
        <v>0.03</v>
      </c>
      <c r="FQ40">
        <v>51.420569007154377</v>
      </c>
      <c r="FR40">
        <v>0.54674895689718361</v>
      </c>
      <c r="FS40">
        <v>9.9737033459687471E-2</v>
      </c>
      <c r="FT40">
        <v>1</v>
      </c>
      <c r="FU40">
        <v>0.45067739772376297</v>
      </c>
      <c r="FV40">
        <v>-1.534642388104727E-2</v>
      </c>
      <c r="FW40">
        <v>4.0400250003498556E-3</v>
      </c>
      <c r="FX40">
        <v>1</v>
      </c>
      <c r="FY40">
        <v>2</v>
      </c>
      <c r="FZ40">
        <v>2</v>
      </c>
      <c r="GA40" t="s">
        <v>422</v>
      </c>
      <c r="GB40">
        <v>2.9056600000000001</v>
      </c>
      <c r="GC40">
        <v>2.8175599999999998</v>
      </c>
      <c r="GD40">
        <v>9.7520399999999993E-2</v>
      </c>
      <c r="GE40">
        <v>0.10802200000000001</v>
      </c>
      <c r="GF40">
        <v>0.136766</v>
      </c>
      <c r="GG40">
        <v>0.11372500000000001</v>
      </c>
      <c r="GH40">
        <v>25146.1</v>
      </c>
      <c r="GI40">
        <v>24909.9</v>
      </c>
      <c r="GJ40">
        <v>24716.7</v>
      </c>
      <c r="GK40">
        <v>24931.8</v>
      </c>
      <c r="GL40">
        <v>28328.5</v>
      </c>
      <c r="GM40">
        <v>28889</v>
      </c>
      <c r="GN40">
        <v>33423.800000000003</v>
      </c>
      <c r="GO40">
        <v>33299.699999999997</v>
      </c>
      <c r="GP40">
        <v>1.9879</v>
      </c>
      <c r="GQ40">
        <v>1.8773</v>
      </c>
      <c r="GR40">
        <v>6.5699199999999999E-2</v>
      </c>
      <c r="GS40">
        <v>0</v>
      </c>
      <c r="GT40">
        <v>28.863700000000001</v>
      </c>
      <c r="GU40">
        <v>999.9</v>
      </c>
      <c r="GV40">
        <v>45.7</v>
      </c>
      <c r="GW40">
        <v>36.299999999999997</v>
      </c>
      <c r="GX40">
        <v>27.828499999999998</v>
      </c>
      <c r="GY40">
        <v>61.851599999999998</v>
      </c>
      <c r="GZ40">
        <v>26.0777</v>
      </c>
      <c r="HA40">
        <v>1</v>
      </c>
      <c r="HB40">
        <v>0.26117899999999999</v>
      </c>
      <c r="HC40">
        <v>0.94723299999999999</v>
      </c>
      <c r="HD40">
        <v>20.214300000000001</v>
      </c>
      <c r="HE40">
        <v>5.2352600000000002</v>
      </c>
      <c r="HF40">
        <v>11.9201</v>
      </c>
      <c r="HG40">
        <v>4.9619999999999997</v>
      </c>
      <c r="HH40">
        <v>3.2890000000000001</v>
      </c>
      <c r="HI40">
        <v>9999</v>
      </c>
      <c r="HJ40">
        <v>9999</v>
      </c>
      <c r="HK40">
        <v>9999</v>
      </c>
      <c r="HL40">
        <v>892.6</v>
      </c>
      <c r="HM40">
        <v>1.8805499999999999</v>
      </c>
      <c r="HN40">
        <v>1.8776200000000001</v>
      </c>
      <c r="HO40">
        <v>1.8856200000000001</v>
      </c>
      <c r="HP40">
        <v>1.8833899999999999</v>
      </c>
      <c r="HQ40">
        <v>1.88086</v>
      </c>
      <c r="HR40">
        <v>1.87999</v>
      </c>
      <c r="HS40">
        <v>1.8811</v>
      </c>
      <c r="HT40">
        <v>1.88049</v>
      </c>
      <c r="HU40">
        <v>5</v>
      </c>
      <c r="HV40">
        <v>0</v>
      </c>
      <c r="HW40">
        <v>0</v>
      </c>
      <c r="HX40">
        <v>0</v>
      </c>
      <c r="HY40" t="s">
        <v>423</v>
      </c>
      <c r="HZ40" t="s">
        <v>424</v>
      </c>
      <c r="IA40" t="s">
        <v>425</v>
      </c>
      <c r="IB40" t="s">
        <v>425</v>
      </c>
      <c r="IC40" t="s">
        <v>425</v>
      </c>
      <c r="ID40" t="s">
        <v>425</v>
      </c>
      <c r="IE40">
        <v>0</v>
      </c>
      <c r="IF40">
        <v>100</v>
      </c>
      <c r="IG40">
        <v>100</v>
      </c>
      <c r="IH40">
        <v>0.16400000000000001</v>
      </c>
      <c r="II40">
        <v>0.25740000000000002</v>
      </c>
      <c r="IJ40">
        <v>-0.42943831510367858</v>
      </c>
      <c r="IK40">
        <v>2.2153513873161218E-3</v>
      </c>
      <c r="IL40">
        <v>-2.2967369670569612E-6</v>
      </c>
      <c r="IM40">
        <v>7.7859689150384122E-10</v>
      </c>
      <c r="IN40">
        <v>-0.13966328528084351</v>
      </c>
      <c r="IO40">
        <v>-4.1434251034592161E-3</v>
      </c>
      <c r="IP40">
        <v>8.3987709687394815E-4</v>
      </c>
      <c r="IQ40">
        <v>-7.4586254598011197E-6</v>
      </c>
      <c r="IR40">
        <v>2</v>
      </c>
      <c r="IS40">
        <v>1930</v>
      </c>
      <c r="IT40">
        <v>2</v>
      </c>
      <c r="IU40">
        <v>41</v>
      </c>
      <c r="IV40">
        <v>0.5</v>
      </c>
      <c r="IW40">
        <v>0.5</v>
      </c>
      <c r="IX40">
        <v>1.1926300000000001</v>
      </c>
      <c r="IY40">
        <v>2.50854</v>
      </c>
      <c r="IZ40">
        <v>1.24512</v>
      </c>
      <c r="JA40">
        <v>2.2558600000000002</v>
      </c>
      <c r="JB40">
        <v>1.4501999999999999</v>
      </c>
      <c r="JC40">
        <v>2.4511699999999998</v>
      </c>
      <c r="JD40">
        <v>37.795299999999997</v>
      </c>
      <c r="JE40">
        <v>15.9795</v>
      </c>
      <c r="JF40">
        <v>18</v>
      </c>
      <c r="JG40">
        <v>496.84199999999998</v>
      </c>
      <c r="JH40">
        <v>472.07299999999998</v>
      </c>
      <c r="JI40">
        <v>27.0852</v>
      </c>
      <c r="JJ40">
        <v>30.894200000000001</v>
      </c>
      <c r="JK40">
        <v>30.0001</v>
      </c>
      <c r="JL40">
        <v>30.674399999999999</v>
      </c>
      <c r="JM40">
        <v>30.629300000000001</v>
      </c>
      <c r="JN40">
        <v>23.979900000000001</v>
      </c>
      <c r="JO40">
        <v>23.684799999999999</v>
      </c>
      <c r="JP40">
        <v>41.595999999999997</v>
      </c>
      <c r="JQ40">
        <v>27.1007</v>
      </c>
      <c r="JR40">
        <v>500</v>
      </c>
      <c r="JS40">
        <v>22.2027</v>
      </c>
      <c r="JT40">
        <v>99.758799999999994</v>
      </c>
      <c r="JU40">
        <v>99.384299999999996</v>
      </c>
    </row>
    <row r="41" spans="1:281" x14ac:dyDescent="0.25">
      <c r="A41">
        <v>25</v>
      </c>
      <c r="B41">
        <v>1693499763.0999999</v>
      </c>
      <c r="C41">
        <v>4113.5</v>
      </c>
      <c r="D41" t="s">
        <v>543</v>
      </c>
      <c r="E41" t="s">
        <v>544</v>
      </c>
      <c r="F41" t="s">
        <v>413</v>
      </c>
      <c r="G41" t="s">
        <v>494</v>
      </c>
      <c r="H41" t="s">
        <v>416</v>
      </c>
      <c r="I41" t="s">
        <v>31</v>
      </c>
      <c r="J41">
        <v>1693499763.0999999</v>
      </c>
      <c r="K41">
        <f t="shared" si="0"/>
        <v>5.6448712559634849E-3</v>
      </c>
      <c r="L41">
        <f t="shared" si="1"/>
        <v>5.6448712559634853</v>
      </c>
      <c r="M41">
        <f t="shared" si="2"/>
        <v>52.641395964137885</v>
      </c>
      <c r="N41">
        <f t="shared" si="3"/>
        <v>632.39800000000002</v>
      </c>
      <c r="O41">
        <f t="shared" si="4"/>
        <v>411.04085329678571</v>
      </c>
      <c r="P41">
        <f t="shared" si="5"/>
        <v>41.004016694069932</v>
      </c>
      <c r="Q41">
        <f t="shared" si="6"/>
        <v>63.085841568583604</v>
      </c>
      <c r="R41">
        <f t="shared" si="7"/>
        <v>0.42973167471521939</v>
      </c>
      <c r="S41">
        <f t="shared" si="8"/>
        <v>2.9235186419892623</v>
      </c>
      <c r="T41">
        <f t="shared" si="9"/>
        <v>0.39747240426739555</v>
      </c>
      <c r="U41">
        <f t="shared" si="10"/>
        <v>0.25111651368469667</v>
      </c>
      <c r="V41">
        <f t="shared" si="11"/>
        <v>344.37259864453586</v>
      </c>
      <c r="W41">
        <f t="shared" si="12"/>
        <v>31.1783558229024</v>
      </c>
      <c r="X41">
        <f t="shared" si="13"/>
        <v>29.9346</v>
      </c>
      <c r="Y41">
        <f t="shared" si="14"/>
        <v>4.2444714711919866</v>
      </c>
      <c r="Z41">
        <f t="shared" si="15"/>
        <v>65.215954802065397</v>
      </c>
      <c r="AA41">
        <f t="shared" si="16"/>
        <v>2.87831558783388</v>
      </c>
      <c r="AB41">
        <f t="shared" si="17"/>
        <v>4.4135144483734887</v>
      </c>
      <c r="AC41">
        <f t="shared" si="18"/>
        <v>1.3661558833581067</v>
      </c>
      <c r="AD41">
        <f t="shared" si="19"/>
        <v>-248.93882238798969</v>
      </c>
      <c r="AE41">
        <f t="shared" si="20"/>
        <v>107.38155773644412</v>
      </c>
      <c r="AF41">
        <f t="shared" si="21"/>
        <v>8.1892946309658896</v>
      </c>
      <c r="AG41">
        <f t="shared" si="22"/>
        <v>211.00462862395619</v>
      </c>
      <c r="AH41">
        <v>0</v>
      </c>
      <c r="AI41">
        <v>0</v>
      </c>
      <c r="AJ41">
        <f t="shared" si="23"/>
        <v>1</v>
      </c>
      <c r="AK41">
        <f t="shared" si="24"/>
        <v>0</v>
      </c>
      <c r="AL41">
        <f t="shared" si="25"/>
        <v>52068.015410260137</v>
      </c>
      <c r="AM41" t="s">
        <v>417</v>
      </c>
      <c r="AN41">
        <v>10366.9</v>
      </c>
      <c r="AO41">
        <v>993.59653846153856</v>
      </c>
      <c r="AP41">
        <v>3431.87</v>
      </c>
      <c r="AQ41">
        <f t="shared" si="26"/>
        <v>0.71047955241266758</v>
      </c>
      <c r="AR41">
        <v>-3.9894345373445681</v>
      </c>
      <c r="AS41" t="s">
        <v>545</v>
      </c>
      <c r="AT41">
        <v>10470.799999999999</v>
      </c>
      <c r="AU41">
        <v>803.96157692307679</v>
      </c>
      <c r="AV41">
        <v>1246.19976515084</v>
      </c>
      <c r="AW41">
        <f t="shared" si="27"/>
        <v>0.3548694202925281</v>
      </c>
      <c r="AX41">
        <v>0.5</v>
      </c>
      <c r="AY41">
        <f t="shared" si="28"/>
        <v>1513.2011993222679</v>
      </c>
      <c r="AZ41">
        <f t="shared" si="29"/>
        <v>52.641395964137885</v>
      </c>
      <c r="BA41">
        <f t="shared" si="30"/>
        <v>268.49441619472577</v>
      </c>
      <c r="BB41">
        <f t="shared" si="31"/>
        <v>3.7424521290920366E-2</v>
      </c>
      <c r="BC41">
        <f t="shared" si="32"/>
        <v>1.7538682769568701</v>
      </c>
      <c r="BD41">
        <f t="shared" si="33"/>
        <v>658.97946541243437</v>
      </c>
      <c r="BE41" t="s">
        <v>546</v>
      </c>
      <c r="BF41">
        <v>623.09</v>
      </c>
      <c r="BG41">
        <f t="shared" si="34"/>
        <v>623.09</v>
      </c>
      <c r="BH41">
        <f t="shared" si="35"/>
        <v>0.50000793016954126</v>
      </c>
      <c r="BI41">
        <f t="shared" si="36"/>
        <v>0.70972758406491654</v>
      </c>
      <c r="BJ41">
        <f t="shared" si="37"/>
        <v>0.77815643619263886</v>
      </c>
      <c r="BK41">
        <f t="shared" si="38"/>
        <v>1.7507226412895756</v>
      </c>
      <c r="BL41">
        <f t="shared" si="39"/>
        <v>0.89640078085010277</v>
      </c>
      <c r="BM41">
        <f t="shared" si="40"/>
        <v>0.55005633732832104</v>
      </c>
      <c r="BN41">
        <f t="shared" si="41"/>
        <v>0.44994366267167896</v>
      </c>
      <c r="BO41">
        <v>7792</v>
      </c>
      <c r="BP41">
        <v>290.00000000000011</v>
      </c>
      <c r="BQ41">
        <v>1118.28</v>
      </c>
      <c r="BR41">
        <v>115</v>
      </c>
      <c r="BS41">
        <v>10470.799999999999</v>
      </c>
      <c r="BT41">
        <v>1116.79</v>
      </c>
      <c r="BU41">
        <v>1.49</v>
      </c>
      <c r="BV41">
        <v>300.00000000000011</v>
      </c>
      <c r="BW41">
        <v>38.200000000000003</v>
      </c>
      <c r="BX41">
        <v>1246.19976515084</v>
      </c>
      <c r="BY41">
        <v>1.404111545072201</v>
      </c>
      <c r="BZ41">
        <v>-135.4989117146456</v>
      </c>
      <c r="CA41">
        <v>1.202367134128917</v>
      </c>
      <c r="CB41">
        <v>0.99780009386531432</v>
      </c>
      <c r="CC41">
        <v>-1.1359849610678549E-2</v>
      </c>
      <c r="CD41">
        <v>289.99999999999989</v>
      </c>
      <c r="CE41">
        <v>1102.06</v>
      </c>
      <c r="CF41">
        <v>675</v>
      </c>
      <c r="CG41">
        <v>10437.200000000001</v>
      </c>
      <c r="CH41">
        <v>1116.3800000000001</v>
      </c>
      <c r="CI41">
        <v>-14.32</v>
      </c>
      <c r="CW41">
        <f t="shared" si="42"/>
        <v>1800.02</v>
      </c>
      <c r="CX41">
        <f t="shared" si="43"/>
        <v>1513.2011993222679</v>
      </c>
      <c r="CY41">
        <f t="shared" si="44"/>
        <v>0.84065799231245653</v>
      </c>
      <c r="CZ41">
        <f t="shared" si="45"/>
        <v>0.19131598462491298</v>
      </c>
      <c r="DA41">
        <v>6</v>
      </c>
      <c r="DB41">
        <v>0.5</v>
      </c>
      <c r="DC41" t="s">
        <v>420</v>
      </c>
      <c r="DD41">
        <v>2</v>
      </c>
      <c r="DE41">
        <v>1693499763.0999999</v>
      </c>
      <c r="DF41">
        <v>632.39800000000002</v>
      </c>
      <c r="DG41">
        <v>699.79200000000003</v>
      </c>
      <c r="DH41">
        <v>28.853400000000001</v>
      </c>
      <c r="DI41">
        <v>22.280799999999999</v>
      </c>
      <c r="DJ41">
        <v>632.27700000000004</v>
      </c>
      <c r="DK41">
        <v>28.598500000000001</v>
      </c>
      <c r="DL41">
        <v>500.44099999999997</v>
      </c>
      <c r="DM41">
        <v>99.656599999999997</v>
      </c>
      <c r="DN41">
        <v>9.9948200000000001E-2</v>
      </c>
      <c r="DO41">
        <v>30.6159</v>
      </c>
      <c r="DP41">
        <v>29.9346</v>
      </c>
      <c r="DQ41">
        <v>999.9</v>
      </c>
      <c r="DR41">
        <v>0</v>
      </c>
      <c r="DS41">
        <v>0</v>
      </c>
      <c r="DT41">
        <v>10000</v>
      </c>
      <c r="DU41">
        <v>0</v>
      </c>
      <c r="DV41">
        <v>1786.71</v>
      </c>
      <c r="DW41">
        <v>-67.394300000000001</v>
      </c>
      <c r="DX41">
        <v>651.18700000000001</v>
      </c>
      <c r="DY41">
        <v>715.73900000000003</v>
      </c>
      <c r="DZ41">
        <v>6.5725699999999998</v>
      </c>
      <c r="EA41">
        <v>699.79200000000003</v>
      </c>
      <c r="EB41">
        <v>22.280799999999999</v>
      </c>
      <c r="EC41">
        <v>2.8754300000000002</v>
      </c>
      <c r="ED41">
        <v>2.2204299999999999</v>
      </c>
      <c r="EE41">
        <v>23.323599999999999</v>
      </c>
      <c r="EF41">
        <v>19.110499999999998</v>
      </c>
      <c r="EG41">
        <v>1800.02</v>
      </c>
      <c r="EH41">
        <v>0.97800699999999996</v>
      </c>
      <c r="EI41">
        <v>2.1992899999999999E-2</v>
      </c>
      <c r="EJ41">
        <v>0</v>
      </c>
      <c r="EK41">
        <v>804.46299999999997</v>
      </c>
      <c r="EL41">
        <v>5.0010300000000001</v>
      </c>
      <c r="EM41">
        <v>15513.3</v>
      </c>
      <c r="EN41">
        <v>14701.3</v>
      </c>
      <c r="EO41">
        <v>47.686999999999998</v>
      </c>
      <c r="EP41">
        <v>49.875</v>
      </c>
      <c r="EQ41">
        <v>49.25</v>
      </c>
      <c r="ER41">
        <v>48.311999999999998</v>
      </c>
      <c r="ES41">
        <v>49.186999999999998</v>
      </c>
      <c r="ET41">
        <v>1755.54</v>
      </c>
      <c r="EU41">
        <v>39.479999999999997</v>
      </c>
      <c r="EV41">
        <v>0</v>
      </c>
      <c r="EW41">
        <v>104.6000001430511</v>
      </c>
      <c r="EX41">
        <v>0</v>
      </c>
      <c r="EY41">
        <v>803.96157692307679</v>
      </c>
      <c r="EZ41">
        <v>3.3048547153452512</v>
      </c>
      <c r="FA41">
        <v>99.377777529963481</v>
      </c>
      <c r="FB41">
        <v>15509.153846153849</v>
      </c>
      <c r="FC41">
        <v>15</v>
      </c>
      <c r="FD41">
        <v>1693499724.5999999</v>
      </c>
      <c r="FE41" t="s">
        <v>547</v>
      </c>
      <c r="FF41">
        <v>1693499724.5999999</v>
      </c>
      <c r="FG41">
        <v>1693499723.0999999</v>
      </c>
      <c r="FH41">
        <v>29</v>
      </c>
      <c r="FI41">
        <v>-0.129</v>
      </c>
      <c r="FJ41">
        <v>1E-3</v>
      </c>
      <c r="FK41">
        <v>0.13400000000000001</v>
      </c>
      <c r="FL41">
        <v>9.2999999999999999E-2</v>
      </c>
      <c r="FM41">
        <v>700</v>
      </c>
      <c r="FN41">
        <v>22</v>
      </c>
      <c r="FO41">
        <v>0.1</v>
      </c>
      <c r="FP41">
        <v>0.04</v>
      </c>
      <c r="FQ41">
        <v>52.824508344073053</v>
      </c>
      <c r="FR41">
        <v>0.48576939057352653</v>
      </c>
      <c r="FS41">
        <v>0.13408781345803991</v>
      </c>
      <c r="FT41">
        <v>1</v>
      </c>
      <c r="FU41">
        <v>0.43261744075660902</v>
      </c>
      <c r="FV41">
        <v>-1.956783628270364E-2</v>
      </c>
      <c r="FW41">
        <v>1.9658959634139129E-3</v>
      </c>
      <c r="FX41">
        <v>1</v>
      </c>
      <c r="FY41">
        <v>2</v>
      </c>
      <c r="FZ41">
        <v>2</v>
      </c>
      <c r="GA41" t="s">
        <v>422</v>
      </c>
      <c r="GB41">
        <v>2.9057499999999998</v>
      </c>
      <c r="GC41">
        <v>2.8179599999999998</v>
      </c>
      <c r="GD41">
        <v>0.12770500000000001</v>
      </c>
      <c r="GE41">
        <v>0.13686899999999999</v>
      </c>
      <c r="GF41">
        <v>0.13636499999999999</v>
      </c>
      <c r="GG41">
        <v>0.11398899999999999</v>
      </c>
      <c r="GH41">
        <v>24303.5</v>
      </c>
      <c r="GI41">
        <v>24102.9</v>
      </c>
      <c r="GJ41">
        <v>24715.1</v>
      </c>
      <c r="GK41">
        <v>24930.400000000001</v>
      </c>
      <c r="GL41">
        <v>28339.5</v>
      </c>
      <c r="GM41">
        <v>28878.5</v>
      </c>
      <c r="GN41">
        <v>33421</v>
      </c>
      <c r="GO41">
        <v>33297.599999999999</v>
      </c>
      <c r="GP41">
        <v>1.9879</v>
      </c>
      <c r="GQ41">
        <v>1.8792</v>
      </c>
      <c r="GR41">
        <v>7.7456200000000003E-2</v>
      </c>
      <c r="GS41">
        <v>0</v>
      </c>
      <c r="GT41">
        <v>28.672599999999999</v>
      </c>
      <c r="GU41">
        <v>999.9</v>
      </c>
      <c r="GV41">
        <v>45.7</v>
      </c>
      <c r="GW41">
        <v>36.200000000000003</v>
      </c>
      <c r="GX41">
        <v>27.676100000000002</v>
      </c>
      <c r="GY41">
        <v>62.101599999999998</v>
      </c>
      <c r="GZ41">
        <v>26.554500000000001</v>
      </c>
      <c r="HA41">
        <v>1</v>
      </c>
      <c r="HB41">
        <v>0.26243899999999998</v>
      </c>
      <c r="HC41">
        <v>0.56778899999999999</v>
      </c>
      <c r="HD41">
        <v>20.216200000000001</v>
      </c>
      <c r="HE41">
        <v>5.2352600000000002</v>
      </c>
      <c r="HF41">
        <v>11.9201</v>
      </c>
      <c r="HG41">
        <v>4.9614000000000003</v>
      </c>
      <c r="HH41">
        <v>3.2890000000000001</v>
      </c>
      <c r="HI41">
        <v>9999</v>
      </c>
      <c r="HJ41">
        <v>9999</v>
      </c>
      <c r="HK41">
        <v>9999</v>
      </c>
      <c r="HL41">
        <v>892.6</v>
      </c>
      <c r="HM41">
        <v>1.88059</v>
      </c>
      <c r="HN41">
        <v>1.8775900000000001</v>
      </c>
      <c r="HO41">
        <v>1.8855900000000001</v>
      </c>
      <c r="HP41">
        <v>1.8833899999999999</v>
      </c>
      <c r="HQ41">
        <v>1.8809199999999999</v>
      </c>
      <c r="HR41">
        <v>1.8799300000000001</v>
      </c>
      <c r="HS41">
        <v>1.8810899999999999</v>
      </c>
      <c r="HT41">
        <v>1.88049</v>
      </c>
      <c r="HU41">
        <v>5</v>
      </c>
      <c r="HV41">
        <v>0</v>
      </c>
      <c r="HW41">
        <v>0</v>
      </c>
      <c r="HX41">
        <v>0</v>
      </c>
      <c r="HY41" t="s">
        <v>423</v>
      </c>
      <c r="HZ41" t="s">
        <v>424</v>
      </c>
      <c r="IA41" t="s">
        <v>425</v>
      </c>
      <c r="IB41" t="s">
        <v>425</v>
      </c>
      <c r="IC41" t="s">
        <v>425</v>
      </c>
      <c r="ID41" t="s">
        <v>425</v>
      </c>
      <c r="IE41">
        <v>0</v>
      </c>
      <c r="IF41">
        <v>100</v>
      </c>
      <c r="IG41">
        <v>100</v>
      </c>
      <c r="IH41">
        <v>0.121</v>
      </c>
      <c r="II41">
        <v>0.25490000000000002</v>
      </c>
      <c r="IJ41">
        <v>-0.55835156880239367</v>
      </c>
      <c r="IK41">
        <v>2.2153513873161218E-3</v>
      </c>
      <c r="IL41">
        <v>-2.2967369670569612E-6</v>
      </c>
      <c r="IM41">
        <v>7.7859689150384122E-10</v>
      </c>
      <c r="IN41">
        <v>-0.13903951475961479</v>
      </c>
      <c r="IO41">
        <v>-4.1434251034592161E-3</v>
      </c>
      <c r="IP41">
        <v>8.3987709687394815E-4</v>
      </c>
      <c r="IQ41">
        <v>-7.4586254598011197E-6</v>
      </c>
      <c r="IR41">
        <v>2</v>
      </c>
      <c r="IS41">
        <v>1930</v>
      </c>
      <c r="IT41">
        <v>2</v>
      </c>
      <c r="IU41">
        <v>41</v>
      </c>
      <c r="IV41">
        <v>0.6</v>
      </c>
      <c r="IW41">
        <v>0.7</v>
      </c>
      <c r="IX41">
        <v>1.56372</v>
      </c>
      <c r="IY41">
        <v>2.49878</v>
      </c>
      <c r="IZ41">
        <v>1.24512</v>
      </c>
      <c r="JA41">
        <v>2.2570800000000002</v>
      </c>
      <c r="JB41">
        <v>1.4501999999999999</v>
      </c>
      <c r="JC41">
        <v>2.4182100000000002</v>
      </c>
      <c r="JD41">
        <v>37.674500000000002</v>
      </c>
      <c r="JE41">
        <v>15.970800000000001</v>
      </c>
      <c r="JF41">
        <v>18</v>
      </c>
      <c r="JG41">
        <v>497.09399999999999</v>
      </c>
      <c r="JH41">
        <v>473.673</v>
      </c>
      <c r="JI41">
        <v>27.6554</v>
      </c>
      <c r="JJ41">
        <v>30.896899999999999</v>
      </c>
      <c r="JK41">
        <v>29.999500000000001</v>
      </c>
      <c r="JL41">
        <v>30.704000000000001</v>
      </c>
      <c r="JM41">
        <v>30.6615</v>
      </c>
      <c r="JN41">
        <v>31.4011</v>
      </c>
      <c r="JO41">
        <v>22.776800000000001</v>
      </c>
      <c r="JP41">
        <v>41.283499999999997</v>
      </c>
      <c r="JQ41">
        <v>27.68</v>
      </c>
      <c r="JR41">
        <v>700</v>
      </c>
      <c r="JS41">
        <v>22.335699999999999</v>
      </c>
      <c r="JT41">
        <v>99.751400000000004</v>
      </c>
      <c r="JU41">
        <v>99.378399999999999</v>
      </c>
    </row>
    <row r="42" spans="1:281" x14ac:dyDescent="0.25">
      <c r="A42">
        <v>26</v>
      </c>
      <c r="B42">
        <v>1693499864.0999999</v>
      </c>
      <c r="C42">
        <v>4214.5</v>
      </c>
      <c r="D42" t="s">
        <v>548</v>
      </c>
      <c r="E42" t="s">
        <v>549</v>
      </c>
      <c r="F42" t="s">
        <v>413</v>
      </c>
      <c r="G42" t="s">
        <v>494</v>
      </c>
      <c r="H42" t="s">
        <v>416</v>
      </c>
      <c r="I42" t="s">
        <v>31</v>
      </c>
      <c r="J42">
        <v>1693499864.0999999</v>
      </c>
      <c r="K42">
        <f t="shared" si="0"/>
        <v>5.5791362613070742E-3</v>
      </c>
      <c r="L42">
        <f t="shared" si="1"/>
        <v>5.5791362613070739</v>
      </c>
      <c r="M42">
        <f t="shared" si="2"/>
        <v>52.914900331306512</v>
      </c>
      <c r="N42">
        <f t="shared" si="3"/>
        <v>830.98199999999997</v>
      </c>
      <c r="O42">
        <f t="shared" si="4"/>
        <v>602.97571935893575</v>
      </c>
      <c r="P42">
        <f t="shared" si="5"/>
        <v>60.14731653698167</v>
      </c>
      <c r="Q42">
        <f t="shared" si="6"/>
        <v>82.891127761616403</v>
      </c>
      <c r="R42">
        <f t="shared" si="7"/>
        <v>0.42701400551384572</v>
      </c>
      <c r="S42">
        <f t="shared" si="8"/>
        <v>2.9216708320611091</v>
      </c>
      <c r="T42">
        <f t="shared" si="9"/>
        <v>0.39512671482478168</v>
      </c>
      <c r="U42">
        <f t="shared" si="10"/>
        <v>0.24962041802494264</v>
      </c>
      <c r="V42">
        <f t="shared" si="11"/>
        <v>344.39159864461112</v>
      </c>
      <c r="W42">
        <f t="shared" si="12"/>
        <v>31.275261217944788</v>
      </c>
      <c r="X42">
        <f t="shared" si="13"/>
        <v>29.982900000000001</v>
      </c>
      <c r="Y42">
        <f t="shared" si="14"/>
        <v>4.256266906709981</v>
      </c>
      <c r="Z42">
        <f t="shared" si="15"/>
        <v>65.371598984440027</v>
      </c>
      <c r="AA42">
        <f t="shared" si="16"/>
        <v>2.8983096657660998</v>
      </c>
      <c r="AB42">
        <f t="shared" si="17"/>
        <v>4.4335915149573832</v>
      </c>
      <c r="AC42">
        <f t="shared" si="18"/>
        <v>1.3579572409438811</v>
      </c>
      <c r="AD42">
        <f t="shared" si="19"/>
        <v>-246.03990912364196</v>
      </c>
      <c r="AE42">
        <f t="shared" si="20"/>
        <v>112.21234519059095</v>
      </c>
      <c r="AF42">
        <f t="shared" si="21"/>
        <v>8.5685304117256749</v>
      </c>
      <c r="AG42">
        <f t="shared" si="22"/>
        <v>219.13256512328576</v>
      </c>
      <c r="AH42">
        <v>0</v>
      </c>
      <c r="AI42">
        <v>0</v>
      </c>
      <c r="AJ42">
        <f t="shared" si="23"/>
        <v>1</v>
      </c>
      <c r="AK42">
        <f t="shared" si="24"/>
        <v>0</v>
      </c>
      <c r="AL42">
        <f t="shared" si="25"/>
        <v>52001.650418741432</v>
      </c>
      <c r="AM42" t="s">
        <v>417</v>
      </c>
      <c r="AN42">
        <v>10366.9</v>
      </c>
      <c r="AO42">
        <v>993.59653846153856</v>
      </c>
      <c r="AP42">
        <v>3431.87</v>
      </c>
      <c r="AQ42">
        <f t="shared" si="26"/>
        <v>0.71047955241266758</v>
      </c>
      <c r="AR42">
        <v>-3.9894345373445681</v>
      </c>
      <c r="AS42" t="s">
        <v>550</v>
      </c>
      <c r="AT42">
        <v>10457.200000000001</v>
      </c>
      <c r="AU42">
        <v>803.8495200000001</v>
      </c>
      <c r="AV42">
        <v>1253.5270330301651</v>
      </c>
      <c r="AW42">
        <f t="shared" si="27"/>
        <v>0.35872980891617023</v>
      </c>
      <c r="AX42">
        <v>0.5</v>
      </c>
      <c r="AY42">
        <f t="shared" si="28"/>
        <v>1513.2851993223055</v>
      </c>
      <c r="AZ42">
        <f t="shared" si="29"/>
        <v>52.914900331306512</v>
      </c>
      <c r="BA42">
        <f t="shared" si="30"/>
        <v>271.4302551942796</v>
      </c>
      <c r="BB42">
        <f t="shared" si="31"/>
        <v>3.7603179423240603E-2</v>
      </c>
      <c r="BC42">
        <f t="shared" si="32"/>
        <v>1.7377710329103169</v>
      </c>
      <c r="BD42">
        <f t="shared" si="33"/>
        <v>661.02265622308062</v>
      </c>
      <c r="BE42" t="s">
        <v>551</v>
      </c>
      <c r="BF42">
        <v>624.03</v>
      </c>
      <c r="BG42">
        <f t="shared" si="34"/>
        <v>624.03</v>
      </c>
      <c r="BH42">
        <f t="shared" si="35"/>
        <v>0.5021806602036134</v>
      </c>
      <c r="BI42">
        <f t="shared" si="36"/>
        <v>0.71434413418214904</v>
      </c>
      <c r="BJ42">
        <f t="shared" si="37"/>
        <v>0.77580737042346959</v>
      </c>
      <c r="BK42">
        <f t="shared" si="38"/>
        <v>1.7299913724106799</v>
      </c>
      <c r="BL42">
        <f t="shared" si="39"/>
        <v>0.8933956758055267</v>
      </c>
      <c r="BM42">
        <f t="shared" si="40"/>
        <v>0.55454678887372655</v>
      </c>
      <c r="BN42">
        <f t="shared" si="41"/>
        <v>0.44545321112627345</v>
      </c>
      <c r="BO42">
        <v>7794</v>
      </c>
      <c r="BP42">
        <v>290.00000000000011</v>
      </c>
      <c r="BQ42">
        <v>1124.5</v>
      </c>
      <c r="BR42">
        <v>205</v>
      </c>
      <c r="BS42">
        <v>10457.200000000001</v>
      </c>
      <c r="BT42">
        <v>1122.46</v>
      </c>
      <c r="BU42">
        <v>2.04</v>
      </c>
      <c r="BV42">
        <v>300.00000000000011</v>
      </c>
      <c r="BW42">
        <v>38.200000000000003</v>
      </c>
      <c r="BX42">
        <v>1253.5270330301651</v>
      </c>
      <c r="BY42">
        <v>1.9076155155546359</v>
      </c>
      <c r="BZ42">
        <v>-137.05459769497159</v>
      </c>
      <c r="CA42">
        <v>1.6336822449178221</v>
      </c>
      <c r="CB42">
        <v>0.99603738725859603</v>
      </c>
      <c r="CC42">
        <v>-1.1360745717463859E-2</v>
      </c>
      <c r="CD42">
        <v>289.99999999999989</v>
      </c>
      <c r="CE42">
        <v>1107.8699999999999</v>
      </c>
      <c r="CF42">
        <v>635</v>
      </c>
      <c r="CG42">
        <v>10441.5</v>
      </c>
      <c r="CH42">
        <v>1122.27</v>
      </c>
      <c r="CI42">
        <v>-14.4</v>
      </c>
      <c r="CW42">
        <f t="shared" si="42"/>
        <v>1800.12</v>
      </c>
      <c r="CX42">
        <f t="shared" si="43"/>
        <v>1513.2851993223055</v>
      </c>
      <c r="CY42">
        <f t="shared" si="44"/>
        <v>0.84065795575978575</v>
      </c>
      <c r="CZ42">
        <f t="shared" si="45"/>
        <v>0.19131591151957156</v>
      </c>
      <c r="DA42">
        <v>6</v>
      </c>
      <c r="DB42">
        <v>0.5</v>
      </c>
      <c r="DC42" t="s">
        <v>420</v>
      </c>
      <c r="DD42">
        <v>2</v>
      </c>
      <c r="DE42">
        <v>1693499864.0999999</v>
      </c>
      <c r="DF42">
        <v>830.98199999999997</v>
      </c>
      <c r="DG42">
        <v>899.99400000000003</v>
      </c>
      <c r="DH42">
        <v>29.055499999999999</v>
      </c>
      <c r="DI42">
        <v>22.559699999999999</v>
      </c>
      <c r="DJ42">
        <v>830.82100000000003</v>
      </c>
      <c r="DK42">
        <v>28.791</v>
      </c>
      <c r="DL42">
        <v>500.35700000000003</v>
      </c>
      <c r="DM42">
        <v>99.651200000000003</v>
      </c>
      <c r="DN42">
        <v>9.9610199999999996E-2</v>
      </c>
      <c r="DO42">
        <v>30.6953</v>
      </c>
      <c r="DP42">
        <v>29.982900000000001</v>
      </c>
      <c r="DQ42">
        <v>999.9</v>
      </c>
      <c r="DR42">
        <v>0</v>
      </c>
      <c r="DS42">
        <v>0</v>
      </c>
      <c r="DT42">
        <v>9990</v>
      </c>
      <c r="DU42">
        <v>0</v>
      </c>
      <c r="DV42">
        <v>1791.64</v>
      </c>
      <c r="DW42">
        <v>-69.011099999999999</v>
      </c>
      <c r="DX42">
        <v>855.85</v>
      </c>
      <c r="DY42">
        <v>920.76599999999996</v>
      </c>
      <c r="DZ42">
        <v>6.4957799999999999</v>
      </c>
      <c r="EA42">
        <v>899.99400000000003</v>
      </c>
      <c r="EB42">
        <v>22.559699999999999</v>
      </c>
      <c r="EC42">
        <v>2.89541</v>
      </c>
      <c r="ED42">
        <v>2.2481</v>
      </c>
      <c r="EE42">
        <v>23.438400000000001</v>
      </c>
      <c r="EF42">
        <v>19.3093</v>
      </c>
      <c r="EG42">
        <v>1800.12</v>
      </c>
      <c r="EH42">
        <v>0.97800699999999996</v>
      </c>
      <c r="EI42">
        <v>2.1992899999999999E-2</v>
      </c>
      <c r="EJ42">
        <v>0</v>
      </c>
      <c r="EK42">
        <v>803.64800000000002</v>
      </c>
      <c r="EL42">
        <v>5.0010300000000001</v>
      </c>
      <c r="EM42">
        <v>15481.8</v>
      </c>
      <c r="EN42">
        <v>14702.1</v>
      </c>
      <c r="EO42">
        <v>47.436999999999998</v>
      </c>
      <c r="EP42">
        <v>49.561999999999998</v>
      </c>
      <c r="EQ42">
        <v>49.125</v>
      </c>
      <c r="ER42">
        <v>48.061999999999998</v>
      </c>
      <c r="ES42">
        <v>49.125</v>
      </c>
      <c r="ET42">
        <v>1755.64</v>
      </c>
      <c r="EU42">
        <v>39.479999999999997</v>
      </c>
      <c r="EV42">
        <v>0</v>
      </c>
      <c r="EW42">
        <v>99.200000047683716</v>
      </c>
      <c r="EX42">
        <v>0</v>
      </c>
      <c r="EY42">
        <v>803.8495200000001</v>
      </c>
      <c r="EZ42">
        <v>-4.0076909087375587E-2</v>
      </c>
      <c r="FA42">
        <v>7.2153847485739346</v>
      </c>
      <c r="FB42">
        <v>15487.76</v>
      </c>
      <c r="FC42">
        <v>15</v>
      </c>
      <c r="FD42">
        <v>1693499835.5999999</v>
      </c>
      <c r="FE42" t="s">
        <v>552</v>
      </c>
      <c r="FF42">
        <v>1693499833.0999999</v>
      </c>
      <c r="FG42">
        <v>1693499835.5999999</v>
      </c>
      <c r="FH42">
        <v>30</v>
      </c>
      <c r="FI42">
        <v>1.7999999999999999E-2</v>
      </c>
      <c r="FJ42">
        <v>5.0000000000000001E-3</v>
      </c>
      <c r="FK42">
        <v>0.161</v>
      </c>
      <c r="FL42">
        <v>0.10199999999999999</v>
      </c>
      <c r="FM42">
        <v>900</v>
      </c>
      <c r="FN42">
        <v>22</v>
      </c>
      <c r="FO42">
        <v>0.09</v>
      </c>
      <c r="FP42">
        <v>0.03</v>
      </c>
      <c r="FQ42">
        <v>52.872106245360733</v>
      </c>
      <c r="FR42">
        <v>-0.65274098808163272</v>
      </c>
      <c r="FS42">
        <v>0.1244831617757831</v>
      </c>
      <c r="FT42">
        <v>1</v>
      </c>
      <c r="FU42">
        <v>0.42756139398422122</v>
      </c>
      <c r="FV42">
        <v>4.8457615185365947E-2</v>
      </c>
      <c r="FW42">
        <v>5.7923355990609684E-3</v>
      </c>
      <c r="FX42">
        <v>1</v>
      </c>
      <c r="FY42">
        <v>2</v>
      </c>
      <c r="FZ42">
        <v>2</v>
      </c>
      <c r="GA42" t="s">
        <v>422</v>
      </c>
      <c r="GB42">
        <v>2.9056799999999998</v>
      </c>
      <c r="GC42">
        <v>2.8175400000000002</v>
      </c>
      <c r="GD42">
        <v>0.15357199999999999</v>
      </c>
      <c r="GE42">
        <v>0.16173100000000001</v>
      </c>
      <c r="GF42">
        <v>0.13699</v>
      </c>
      <c r="GG42">
        <v>0.114971</v>
      </c>
      <c r="GH42">
        <v>23584.799999999999</v>
      </c>
      <c r="GI42">
        <v>23408.9</v>
      </c>
      <c r="GJ42">
        <v>24717.3</v>
      </c>
      <c r="GK42">
        <v>24930.6</v>
      </c>
      <c r="GL42">
        <v>28321</v>
      </c>
      <c r="GM42">
        <v>28846.799999999999</v>
      </c>
      <c r="GN42">
        <v>33424</v>
      </c>
      <c r="GO42">
        <v>33298.6</v>
      </c>
      <c r="GP42">
        <v>1.9876</v>
      </c>
      <c r="GQ42">
        <v>1.8826000000000001</v>
      </c>
      <c r="GR42">
        <v>9.0151999999999996E-2</v>
      </c>
      <c r="GS42">
        <v>0</v>
      </c>
      <c r="GT42">
        <v>28.513999999999999</v>
      </c>
      <c r="GU42">
        <v>999.9</v>
      </c>
      <c r="GV42">
        <v>45.6</v>
      </c>
      <c r="GW42">
        <v>36</v>
      </c>
      <c r="GX42">
        <v>27.314</v>
      </c>
      <c r="GY42">
        <v>61.601599999999998</v>
      </c>
      <c r="GZ42">
        <v>25.889399999999998</v>
      </c>
      <c r="HA42">
        <v>1</v>
      </c>
      <c r="HB42">
        <v>0.258079</v>
      </c>
      <c r="HC42">
        <v>0.301089</v>
      </c>
      <c r="HD42">
        <v>20.217400000000001</v>
      </c>
      <c r="HE42">
        <v>5.2340600000000004</v>
      </c>
      <c r="HF42">
        <v>11.9201</v>
      </c>
      <c r="HG42">
        <v>4.9610000000000003</v>
      </c>
      <c r="HH42">
        <v>3.2890000000000001</v>
      </c>
      <c r="HI42">
        <v>9999</v>
      </c>
      <c r="HJ42">
        <v>9999</v>
      </c>
      <c r="HK42">
        <v>9999</v>
      </c>
      <c r="HL42">
        <v>892.6</v>
      </c>
      <c r="HM42">
        <v>1.88059</v>
      </c>
      <c r="HN42">
        <v>1.8775900000000001</v>
      </c>
      <c r="HO42">
        <v>1.8855599999999999</v>
      </c>
      <c r="HP42">
        <v>1.8834</v>
      </c>
      <c r="HQ42">
        <v>1.8809</v>
      </c>
      <c r="HR42">
        <v>1.88001</v>
      </c>
      <c r="HS42">
        <v>1.8811</v>
      </c>
      <c r="HT42">
        <v>1.8805099999999999</v>
      </c>
      <c r="HU42">
        <v>5</v>
      </c>
      <c r="HV42">
        <v>0</v>
      </c>
      <c r="HW42">
        <v>0</v>
      </c>
      <c r="HX42">
        <v>0</v>
      </c>
      <c r="HY42" t="s">
        <v>423</v>
      </c>
      <c r="HZ42" t="s">
        <v>424</v>
      </c>
      <c r="IA42" t="s">
        <v>425</v>
      </c>
      <c r="IB42" t="s">
        <v>425</v>
      </c>
      <c r="IC42" t="s">
        <v>425</v>
      </c>
      <c r="ID42" t="s">
        <v>425</v>
      </c>
      <c r="IE42">
        <v>0</v>
      </c>
      <c r="IF42">
        <v>100</v>
      </c>
      <c r="IG42">
        <v>100</v>
      </c>
      <c r="IH42">
        <v>0.161</v>
      </c>
      <c r="II42">
        <v>0.26450000000000001</v>
      </c>
      <c r="IJ42">
        <v>-0.53995311353978326</v>
      </c>
      <c r="IK42">
        <v>2.2153513873161218E-3</v>
      </c>
      <c r="IL42">
        <v>-2.2967369670569612E-6</v>
      </c>
      <c r="IM42">
        <v>7.7859689150384122E-10</v>
      </c>
      <c r="IN42">
        <v>-0.13441192474671959</v>
      </c>
      <c r="IO42">
        <v>-4.1434251034592161E-3</v>
      </c>
      <c r="IP42">
        <v>8.3987709687394815E-4</v>
      </c>
      <c r="IQ42">
        <v>-7.4586254598011197E-6</v>
      </c>
      <c r="IR42">
        <v>2</v>
      </c>
      <c r="IS42">
        <v>1930</v>
      </c>
      <c r="IT42">
        <v>2</v>
      </c>
      <c r="IU42">
        <v>41</v>
      </c>
      <c r="IV42">
        <v>0.5</v>
      </c>
      <c r="IW42">
        <v>0.5</v>
      </c>
      <c r="IX42">
        <v>1.9165000000000001</v>
      </c>
      <c r="IY42">
        <v>2.4890099999999999</v>
      </c>
      <c r="IZ42">
        <v>1.24512</v>
      </c>
      <c r="JA42">
        <v>2.2558600000000002</v>
      </c>
      <c r="JB42">
        <v>1.4501999999999999</v>
      </c>
      <c r="JC42">
        <v>2.4584999999999999</v>
      </c>
      <c r="JD42">
        <v>37.578099999999999</v>
      </c>
      <c r="JE42">
        <v>15.970800000000001</v>
      </c>
      <c r="JF42">
        <v>18</v>
      </c>
      <c r="JG42">
        <v>496.70600000000002</v>
      </c>
      <c r="JH42">
        <v>475.90699999999998</v>
      </c>
      <c r="JI42">
        <v>28.087</v>
      </c>
      <c r="JJ42">
        <v>30.837700000000002</v>
      </c>
      <c r="JK42">
        <v>29.999500000000001</v>
      </c>
      <c r="JL42">
        <v>30.681999999999999</v>
      </c>
      <c r="JM42">
        <v>30.645399999999999</v>
      </c>
      <c r="JN42">
        <v>38.459099999999999</v>
      </c>
      <c r="JO42">
        <v>21.618600000000001</v>
      </c>
      <c r="JP42">
        <v>41.324100000000001</v>
      </c>
      <c r="JQ42">
        <v>28.089099999999998</v>
      </c>
      <c r="JR42">
        <v>900</v>
      </c>
      <c r="JS42">
        <v>22.494</v>
      </c>
      <c r="JT42">
        <v>99.760300000000001</v>
      </c>
      <c r="JU42">
        <v>99.380499999999998</v>
      </c>
    </row>
    <row r="43" spans="1:281" x14ac:dyDescent="0.25">
      <c r="A43">
        <v>27</v>
      </c>
      <c r="B43">
        <v>1693500008.5999999</v>
      </c>
      <c r="C43">
        <v>4359</v>
      </c>
      <c r="D43" t="s">
        <v>553</v>
      </c>
      <c r="E43" t="s">
        <v>554</v>
      </c>
      <c r="F43" t="s">
        <v>413</v>
      </c>
      <c r="G43" t="s">
        <v>494</v>
      </c>
      <c r="H43" t="s">
        <v>416</v>
      </c>
      <c r="I43" t="s">
        <v>31</v>
      </c>
      <c r="J43">
        <v>1693500008.5999999</v>
      </c>
      <c r="K43">
        <f t="shared" si="0"/>
        <v>5.4750628492981884E-3</v>
      </c>
      <c r="L43">
        <f t="shared" si="1"/>
        <v>5.4750628492981885</v>
      </c>
      <c r="M43">
        <f t="shared" si="2"/>
        <v>52.028335164254791</v>
      </c>
      <c r="N43">
        <f t="shared" si="3"/>
        <v>1129.99</v>
      </c>
      <c r="O43">
        <f t="shared" si="4"/>
        <v>895.72548478646434</v>
      </c>
      <c r="P43">
        <f t="shared" si="5"/>
        <v>89.343227527207858</v>
      </c>
      <c r="Q43">
        <f t="shared" si="6"/>
        <v>112.70970335017</v>
      </c>
      <c r="R43">
        <f t="shared" si="7"/>
        <v>0.41998054821628467</v>
      </c>
      <c r="S43">
        <f t="shared" si="8"/>
        <v>2.9206638966143665</v>
      </c>
      <c r="T43">
        <f t="shared" si="9"/>
        <v>0.3890845399465393</v>
      </c>
      <c r="U43">
        <f t="shared" si="10"/>
        <v>0.24576404543717001</v>
      </c>
      <c r="V43">
        <f t="shared" si="11"/>
        <v>344.34409864442284</v>
      </c>
      <c r="W43">
        <f t="shared" si="12"/>
        <v>31.273152049857387</v>
      </c>
      <c r="X43">
        <f t="shared" si="13"/>
        <v>29.981100000000001</v>
      </c>
      <c r="Y43">
        <f t="shared" si="14"/>
        <v>4.2558268133249895</v>
      </c>
      <c r="Z43">
        <f t="shared" si="15"/>
        <v>65.578010720076534</v>
      </c>
      <c r="AA43">
        <f t="shared" si="16"/>
        <v>2.9026297004864001</v>
      </c>
      <c r="AB43">
        <f t="shared" si="17"/>
        <v>4.4262240781844389</v>
      </c>
      <c r="AC43">
        <f t="shared" si="18"/>
        <v>1.3531971128385893</v>
      </c>
      <c r="AD43">
        <f t="shared" si="19"/>
        <v>-241.45027165405011</v>
      </c>
      <c r="AE43">
        <f t="shared" si="20"/>
        <v>107.87504579927671</v>
      </c>
      <c r="AF43">
        <f t="shared" si="21"/>
        <v>8.2389144376762431</v>
      </c>
      <c r="AG43">
        <f t="shared" si="22"/>
        <v>219.00778722732571</v>
      </c>
      <c r="AH43">
        <v>0</v>
      </c>
      <c r="AI43">
        <v>0</v>
      </c>
      <c r="AJ43">
        <f t="shared" si="23"/>
        <v>1</v>
      </c>
      <c r="AK43">
        <f t="shared" si="24"/>
        <v>0</v>
      </c>
      <c r="AL43">
        <f t="shared" si="25"/>
        <v>51977.800023189404</v>
      </c>
      <c r="AM43" t="s">
        <v>417</v>
      </c>
      <c r="AN43">
        <v>10366.9</v>
      </c>
      <c r="AO43">
        <v>993.59653846153856</v>
      </c>
      <c r="AP43">
        <v>3431.87</v>
      </c>
      <c r="AQ43">
        <f t="shared" si="26"/>
        <v>0.71047955241266758</v>
      </c>
      <c r="AR43">
        <v>-3.9894345373445681</v>
      </c>
      <c r="AS43" t="s">
        <v>555</v>
      </c>
      <c r="AT43">
        <v>10455.200000000001</v>
      </c>
      <c r="AU43">
        <v>799.70826923076925</v>
      </c>
      <c r="AV43">
        <v>1254.600308173387</v>
      </c>
      <c r="AW43">
        <f t="shared" si="27"/>
        <v>0.36257925012381809</v>
      </c>
      <c r="AX43">
        <v>0.5</v>
      </c>
      <c r="AY43">
        <f t="shared" si="28"/>
        <v>1513.0751993222113</v>
      </c>
      <c r="AZ43">
        <f t="shared" si="29"/>
        <v>52.028335164254791</v>
      </c>
      <c r="BA43">
        <f t="shared" si="30"/>
        <v>274.304835575597</v>
      </c>
      <c r="BB43">
        <f t="shared" si="31"/>
        <v>3.7022462417395229E-2</v>
      </c>
      <c r="BC43">
        <f t="shared" si="32"/>
        <v>1.7354289470856021</v>
      </c>
      <c r="BD43">
        <f t="shared" si="33"/>
        <v>661.3209887650753</v>
      </c>
      <c r="BE43" t="s">
        <v>556</v>
      </c>
      <c r="BF43">
        <v>625.15</v>
      </c>
      <c r="BG43">
        <f t="shared" si="34"/>
        <v>625.15</v>
      </c>
      <c r="BH43">
        <f t="shared" si="35"/>
        <v>0.50171381600393827</v>
      </c>
      <c r="BI43">
        <f t="shared" si="36"/>
        <v>0.72268141430048227</v>
      </c>
      <c r="BJ43">
        <f t="shared" si="37"/>
        <v>0.77573455557612192</v>
      </c>
      <c r="BK43">
        <f t="shared" si="38"/>
        <v>1.7428562025936425</v>
      </c>
      <c r="BL43">
        <f t="shared" si="39"/>
        <v>0.89295549747436254</v>
      </c>
      <c r="BM43">
        <f t="shared" si="40"/>
        <v>0.56493636933942537</v>
      </c>
      <c r="BN43">
        <f t="shared" si="41"/>
        <v>0.43506363066057463</v>
      </c>
      <c r="BO43">
        <v>7796</v>
      </c>
      <c r="BP43">
        <v>290.00000000000011</v>
      </c>
      <c r="BQ43">
        <v>1123.55</v>
      </c>
      <c r="BR43">
        <v>225</v>
      </c>
      <c r="BS43">
        <v>10455.200000000001</v>
      </c>
      <c r="BT43">
        <v>1121.74</v>
      </c>
      <c r="BU43">
        <v>1.81</v>
      </c>
      <c r="BV43">
        <v>300.00000000000011</v>
      </c>
      <c r="BW43">
        <v>38.200000000000003</v>
      </c>
      <c r="BX43">
        <v>1254.600308173387</v>
      </c>
      <c r="BY43">
        <v>1.3261004587459959</v>
      </c>
      <c r="BZ43">
        <v>-138.90424641623329</v>
      </c>
      <c r="CA43">
        <v>1.1357380731095441</v>
      </c>
      <c r="CB43">
        <v>0.99813159440839039</v>
      </c>
      <c r="CC43">
        <v>-1.136140044493883E-2</v>
      </c>
      <c r="CD43">
        <v>289.99999999999989</v>
      </c>
      <c r="CE43">
        <v>1108.3599999999999</v>
      </c>
      <c r="CF43">
        <v>645</v>
      </c>
      <c r="CG43">
        <v>10441.299999999999</v>
      </c>
      <c r="CH43">
        <v>1121.57</v>
      </c>
      <c r="CI43">
        <v>-13.21</v>
      </c>
      <c r="CW43">
        <f t="shared" si="42"/>
        <v>1799.87</v>
      </c>
      <c r="CX43">
        <f t="shared" si="43"/>
        <v>1513.0751993222113</v>
      </c>
      <c r="CY43">
        <f t="shared" si="44"/>
        <v>0.84065804714907821</v>
      </c>
      <c r="CZ43">
        <f t="shared" si="45"/>
        <v>0.19131609429815646</v>
      </c>
      <c r="DA43">
        <v>6</v>
      </c>
      <c r="DB43">
        <v>0.5</v>
      </c>
      <c r="DC43" t="s">
        <v>420</v>
      </c>
      <c r="DD43">
        <v>2</v>
      </c>
      <c r="DE43">
        <v>1693500008.5999999</v>
      </c>
      <c r="DF43">
        <v>1129.99</v>
      </c>
      <c r="DG43">
        <v>1199.81</v>
      </c>
      <c r="DH43">
        <v>29.1008</v>
      </c>
      <c r="DI43">
        <v>22.7254</v>
      </c>
      <c r="DJ43">
        <v>1129.76</v>
      </c>
      <c r="DK43">
        <v>28.832699999999999</v>
      </c>
      <c r="DL43">
        <v>500.27300000000002</v>
      </c>
      <c r="DM43">
        <v>99.643799999999999</v>
      </c>
      <c r="DN43">
        <v>0.10018299999999999</v>
      </c>
      <c r="DO43">
        <v>30.6662</v>
      </c>
      <c r="DP43">
        <v>29.981100000000001</v>
      </c>
      <c r="DQ43">
        <v>999.9</v>
      </c>
      <c r="DR43">
        <v>0</v>
      </c>
      <c r="DS43">
        <v>0</v>
      </c>
      <c r="DT43">
        <v>9985</v>
      </c>
      <c r="DU43">
        <v>0</v>
      </c>
      <c r="DV43">
        <v>1791.61</v>
      </c>
      <c r="DW43">
        <v>-69.820700000000002</v>
      </c>
      <c r="DX43">
        <v>1163.8599999999999</v>
      </c>
      <c r="DY43">
        <v>1227.71</v>
      </c>
      <c r="DZ43">
        <v>6.3754600000000003</v>
      </c>
      <c r="EA43">
        <v>1199.81</v>
      </c>
      <c r="EB43">
        <v>22.7254</v>
      </c>
      <c r="EC43">
        <v>2.8997199999999999</v>
      </c>
      <c r="ED43">
        <v>2.26444</v>
      </c>
      <c r="EE43">
        <v>23.463000000000001</v>
      </c>
      <c r="EF43">
        <v>19.425699999999999</v>
      </c>
      <c r="EG43">
        <v>1799.87</v>
      </c>
      <c r="EH43">
        <v>0.97800299999999996</v>
      </c>
      <c r="EI43">
        <v>2.1996499999999999E-2</v>
      </c>
      <c r="EJ43">
        <v>0</v>
      </c>
      <c r="EK43">
        <v>799.14300000000003</v>
      </c>
      <c r="EL43">
        <v>5.0010300000000001</v>
      </c>
      <c r="EM43">
        <v>15381.1</v>
      </c>
      <c r="EN43">
        <v>14700.1</v>
      </c>
      <c r="EO43">
        <v>47.375</v>
      </c>
      <c r="EP43">
        <v>49.561999999999998</v>
      </c>
      <c r="EQ43">
        <v>49.061999999999998</v>
      </c>
      <c r="ER43">
        <v>47.936999999999998</v>
      </c>
      <c r="ES43">
        <v>49.061999999999998</v>
      </c>
      <c r="ET43">
        <v>1755.39</v>
      </c>
      <c r="EU43">
        <v>39.479999999999997</v>
      </c>
      <c r="EV43">
        <v>0</v>
      </c>
      <c r="EW43">
        <v>142.79999995231631</v>
      </c>
      <c r="EX43">
        <v>0</v>
      </c>
      <c r="EY43">
        <v>799.70826923076925</v>
      </c>
      <c r="EZ43">
        <v>-2.3352820427583891</v>
      </c>
      <c r="FA43">
        <v>-59.234187921627289</v>
      </c>
      <c r="FB43">
        <v>15391.50769230769</v>
      </c>
      <c r="FC43">
        <v>15</v>
      </c>
      <c r="FD43">
        <v>1693499967.5999999</v>
      </c>
      <c r="FE43" t="s">
        <v>557</v>
      </c>
      <c r="FF43">
        <v>1693499963.0999999</v>
      </c>
      <c r="FG43">
        <v>1693499967.5999999</v>
      </c>
      <c r="FH43">
        <v>31</v>
      </c>
      <c r="FI43">
        <v>7.0999999999999994E-2</v>
      </c>
      <c r="FJ43">
        <v>3.0000000000000001E-3</v>
      </c>
      <c r="FK43">
        <v>0.22800000000000001</v>
      </c>
      <c r="FL43">
        <v>0.11600000000000001</v>
      </c>
      <c r="FM43">
        <v>1200</v>
      </c>
      <c r="FN43">
        <v>23</v>
      </c>
      <c r="FO43">
        <v>0.13</v>
      </c>
      <c r="FP43">
        <v>0.04</v>
      </c>
      <c r="FQ43">
        <v>52.169741318020201</v>
      </c>
      <c r="FR43">
        <v>-0.29766624256169788</v>
      </c>
      <c r="FS43">
        <v>0.18720575042014109</v>
      </c>
      <c r="FT43">
        <v>1</v>
      </c>
      <c r="FU43">
        <v>0.41458968358349668</v>
      </c>
      <c r="FV43">
        <v>1.0064141783355129E-2</v>
      </c>
      <c r="FW43">
        <v>1.3189608772736681E-3</v>
      </c>
      <c r="FX43">
        <v>1</v>
      </c>
      <c r="FY43">
        <v>2</v>
      </c>
      <c r="FZ43">
        <v>2</v>
      </c>
      <c r="GA43" t="s">
        <v>422</v>
      </c>
      <c r="GB43">
        <v>2.9055599999999999</v>
      </c>
      <c r="GC43">
        <v>2.81806</v>
      </c>
      <c r="GD43">
        <v>0.18696599999999999</v>
      </c>
      <c r="GE43">
        <v>0.193942</v>
      </c>
      <c r="GF43">
        <v>0.137129</v>
      </c>
      <c r="GG43">
        <v>0.115553</v>
      </c>
      <c r="GH43">
        <v>22656.3</v>
      </c>
      <c r="GI43">
        <v>22510.1</v>
      </c>
      <c r="GJ43">
        <v>24719.9</v>
      </c>
      <c r="GK43">
        <v>24931.8</v>
      </c>
      <c r="GL43">
        <v>28319</v>
      </c>
      <c r="GM43">
        <v>28827.1</v>
      </c>
      <c r="GN43">
        <v>33427.4</v>
      </c>
      <c r="GO43">
        <v>33298.1</v>
      </c>
      <c r="GP43">
        <v>1.9888999999999999</v>
      </c>
      <c r="GQ43">
        <v>1.8868</v>
      </c>
      <c r="GR43">
        <v>7.3045499999999999E-2</v>
      </c>
      <c r="GS43">
        <v>0</v>
      </c>
      <c r="GT43">
        <v>28.7912</v>
      </c>
      <c r="GU43">
        <v>999.9</v>
      </c>
      <c r="GV43">
        <v>45.7</v>
      </c>
      <c r="GW43">
        <v>35.9</v>
      </c>
      <c r="GX43">
        <v>27.223400000000002</v>
      </c>
      <c r="GY43">
        <v>61.841700000000003</v>
      </c>
      <c r="GZ43">
        <v>26.418299999999999</v>
      </c>
      <c r="HA43">
        <v>1</v>
      </c>
      <c r="HB43">
        <v>0.25247000000000003</v>
      </c>
      <c r="HC43">
        <v>-0.32989099999999999</v>
      </c>
      <c r="HD43">
        <v>20.216200000000001</v>
      </c>
      <c r="HE43">
        <v>5.2352600000000002</v>
      </c>
      <c r="HF43">
        <v>11.9201</v>
      </c>
      <c r="HG43">
        <v>4.9615999999999998</v>
      </c>
      <c r="HH43">
        <v>3.2890000000000001</v>
      </c>
      <c r="HI43">
        <v>9999</v>
      </c>
      <c r="HJ43">
        <v>9999</v>
      </c>
      <c r="HK43">
        <v>9999</v>
      </c>
      <c r="HL43">
        <v>892.7</v>
      </c>
      <c r="HM43">
        <v>1.8805499999999999</v>
      </c>
      <c r="HN43">
        <v>1.8775900000000001</v>
      </c>
      <c r="HO43">
        <v>1.8855500000000001</v>
      </c>
      <c r="HP43">
        <v>1.8833899999999999</v>
      </c>
      <c r="HQ43">
        <v>1.8809199999999999</v>
      </c>
      <c r="HR43">
        <v>1.8799600000000001</v>
      </c>
      <c r="HS43">
        <v>1.8810899999999999</v>
      </c>
      <c r="HT43">
        <v>1.88049</v>
      </c>
      <c r="HU43">
        <v>5</v>
      </c>
      <c r="HV43">
        <v>0</v>
      </c>
      <c r="HW43">
        <v>0</v>
      </c>
      <c r="HX43">
        <v>0</v>
      </c>
      <c r="HY43" t="s">
        <v>423</v>
      </c>
      <c r="HZ43" t="s">
        <v>424</v>
      </c>
      <c r="IA43" t="s">
        <v>425</v>
      </c>
      <c r="IB43" t="s">
        <v>425</v>
      </c>
      <c r="IC43" t="s">
        <v>425</v>
      </c>
      <c r="ID43" t="s">
        <v>425</v>
      </c>
      <c r="IE43">
        <v>0</v>
      </c>
      <c r="IF43">
        <v>100</v>
      </c>
      <c r="IG43">
        <v>100</v>
      </c>
      <c r="IH43">
        <v>0.23</v>
      </c>
      <c r="II43">
        <v>0.2681</v>
      </c>
      <c r="IJ43">
        <v>-0.46844202083179232</v>
      </c>
      <c r="IK43">
        <v>2.2153513873161218E-3</v>
      </c>
      <c r="IL43">
        <v>-2.2967369670569612E-6</v>
      </c>
      <c r="IM43">
        <v>7.7859689150384122E-10</v>
      </c>
      <c r="IN43">
        <v>-0.1318206363441761</v>
      </c>
      <c r="IO43">
        <v>-4.1434251034592161E-3</v>
      </c>
      <c r="IP43">
        <v>8.3987709687394815E-4</v>
      </c>
      <c r="IQ43">
        <v>-7.4586254598011197E-6</v>
      </c>
      <c r="IR43">
        <v>2</v>
      </c>
      <c r="IS43">
        <v>1930</v>
      </c>
      <c r="IT43">
        <v>2</v>
      </c>
      <c r="IU43">
        <v>41</v>
      </c>
      <c r="IV43">
        <v>0.8</v>
      </c>
      <c r="IW43">
        <v>0.7</v>
      </c>
      <c r="IX43">
        <v>2.4194300000000002</v>
      </c>
      <c r="IY43">
        <v>2.4841299999999999</v>
      </c>
      <c r="IZ43">
        <v>1.24512</v>
      </c>
      <c r="JA43">
        <v>2.2570800000000002</v>
      </c>
      <c r="JB43">
        <v>1.4501999999999999</v>
      </c>
      <c r="JC43">
        <v>2.4450699999999999</v>
      </c>
      <c r="JD43">
        <v>37.433799999999998</v>
      </c>
      <c r="JE43">
        <v>15.9533</v>
      </c>
      <c r="JF43">
        <v>18</v>
      </c>
      <c r="JG43">
        <v>497.22800000000001</v>
      </c>
      <c r="JH43">
        <v>478.61799999999999</v>
      </c>
      <c r="JI43">
        <v>27.470300000000002</v>
      </c>
      <c r="JJ43">
        <v>30.781400000000001</v>
      </c>
      <c r="JK43">
        <v>29.9984</v>
      </c>
      <c r="JL43">
        <v>30.641500000000001</v>
      </c>
      <c r="JM43">
        <v>30.6187</v>
      </c>
      <c r="JN43">
        <v>48.528199999999998</v>
      </c>
      <c r="JO43">
        <v>20.319199999999999</v>
      </c>
      <c r="JP43">
        <v>41.756500000000003</v>
      </c>
      <c r="JQ43">
        <v>27.4407</v>
      </c>
      <c r="JR43">
        <v>1200</v>
      </c>
      <c r="JS43">
        <v>22.607399999999998</v>
      </c>
      <c r="JT43">
        <v>99.770700000000005</v>
      </c>
      <c r="JU43">
        <v>99.381699999999995</v>
      </c>
    </row>
    <row r="44" spans="1:281" x14ac:dyDescent="0.25">
      <c r="A44">
        <v>28</v>
      </c>
      <c r="B44">
        <v>1693500125.5999999</v>
      </c>
      <c r="C44">
        <v>4476</v>
      </c>
      <c r="D44" t="s">
        <v>558</v>
      </c>
      <c r="E44" t="s">
        <v>559</v>
      </c>
      <c r="F44" t="s">
        <v>413</v>
      </c>
      <c r="G44" t="s">
        <v>494</v>
      </c>
      <c r="H44" t="s">
        <v>416</v>
      </c>
      <c r="I44" t="s">
        <v>31</v>
      </c>
      <c r="J44">
        <v>1693500125.5999999</v>
      </c>
      <c r="K44">
        <f t="shared" si="0"/>
        <v>5.3040172073806615E-3</v>
      </c>
      <c r="L44">
        <f t="shared" si="1"/>
        <v>5.304017207380662</v>
      </c>
      <c r="M44">
        <f t="shared" si="2"/>
        <v>51.338757743942089</v>
      </c>
      <c r="N44">
        <f t="shared" si="3"/>
        <v>1429.39</v>
      </c>
      <c r="O44">
        <f t="shared" si="4"/>
        <v>1179.6434051344881</v>
      </c>
      <c r="P44">
        <f t="shared" si="5"/>
        <v>117.66415995914578</v>
      </c>
      <c r="Q44">
        <f t="shared" si="6"/>
        <v>142.57526712899201</v>
      </c>
      <c r="R44">
        <f t="shared" si="7"/>
        <v>0.39719790535740196</v>
      </c>
      <c r="S44">
        <f t="shared" si="8"/>
        <v>2.9277020942088194</v>
      </c>
      <c r="T44">
        <f t="shared" si="9"/>
        <v>0.36950603493914796</v>
      </c>
      <c r="U44">
        <f t="shared" si="10"/>
        <v>0.23326819255752423</v>
      </c>
      <c r="V44">
        <f t="shared" si="11"/>
        <v>344.33079864437013</v>
      </c>
      <c r="W44">
        <f t="shared" si="12"/>
        <v>31.287627364665529</v>
      </c>
      <c r="X44">
        <f t="shared" si="13"/>
        <v>30.017700000000001</v>
      </c>
      <c r="Y44">
        <f t="shared" si="14"/>
        <v>4.2647831781700756</v>
      </c>
      <c r="Z44">
        <f t="shared" si="15"/>
        <v>65.270407790274845</v>
      </c>
      <c r="AA44">
        <f t="shared" si="16"/>
        <v>2.8843116483177602</v>
      </c>
      <c r="AB44">
        <f t="shared" si="17"/>
        <v>4.419018887679627</v>
      </c>
      <c r="AC44">
        <f t="shared" si="18"/>
        <v>1.3804715298523154</v>
      </c>
      <c r="AD44">
        <f t="shared" si="19"/>
        <v>-233.90715884548717</v>
      </c>
      <c r="AE44">
        <f t="shared" si="20"/>
        <v>97.859730687850856</v>
      </c>
      <c r="AF44">
        <f t="shared" si="21"/>
        <v>7.4563281081704389</v>
      </c>
      <c r="AG44">
        <f t="shared" si="22"/>
        <v>215.73969859490427</v>
      </c>
      <c r="AH44">
        <v>0</v>
      </c>
      <c r="AI44">
        <v>0</v>
      </c>
      <c r="AJ44">
        <f t="shared" si="23"/>
        <v>1</v>
      </c>
      <c r="AK44">
        <f t="shared" si="24"/>
        <v>0</v>
      </c>
      <c r="AL44">
        <f t="shared" si="25"/>
        <v>52183.311685426263</v>
      </c>
      <c r="AM44" t="s">
        <v>417</v>
      </c>
      <c r="AN44">
        <v>10366.9</v>
      </c>
      <c r="AO44">
        <v>993.59653846153856</v>
      </c>
      <c r="AP44">
        <v>3431.87</v>
      </c>
      <c r="AQ44">
        <f t="shared" si="26"/>
        <v>0.71047955241266758</v>
      </c>
      <c r="AR44">
        <v>-3.9894345373445681</v>
      </c>
      <c r="AS44" t="s">
        <v>560</v>
      </c>
      <c r="AT44">
        <v>10462.1</v>
      </c>
      <c r="AU44">
        <v>795.19096000000002</v>
      </c>
      <c r="AV44">
        <v>1246.01531171345</v>
      </c>
      <c r="AW44">
        <f t="shared" si="27"/>
        <v>0.36181285051264878</v>
      </c>
      <c r="AX44">
        <v>0.5</v>
      </c>
      <c r="AY44">
        <f t="shared" si="28"/>
        <v>1513.0163993221852</v>
      </c>
      <c r="AZ44">
        <f t="shared" si="29"/>
        <v>51.338757743942089</v>
      </c>
      <c r="BA44">
        <f t="shared" si="30"/>
        <v>273.71438815557195</v>
      </c>
      <c r="BB44">
        <f t="shared" si="31"/>
        <v>3.6568137864251234E-2</v>
      </c>
      <c r="BC44">
        <f t="shared" si="32"/>
        <v>1.7542759448763801</v>
      </c>
      <c r="BD44">
        <f t="shared" si="33"/>
        <v>658.92788492082752</v>
      </c>
      <c r="BE44" t="s">
        <v>561</v>
      </c>
      <c r="BF44">
        <v>622.24</v>
      </c>
      <c r="BG44">
        <f t="shared" si="34"/>
        <v>622.24</v>
      </c>
      <c r="BH44">
        <f t="shared" si="35"/>
        <v>0.50061608862227325</v>
      </c>
      <c r="BI44">
        <f t="shared" si="36"/>
        <v>0.72273516320336473</v>
      </c>
      <c r="BJ44">
        <f t="shared" si="37"/>
        <v>0.77798667023293089</v>
      </c>
      <c r="BK44">
        <f t="shared" si="38"/>
        <v>1.7860175212226854</v>
      </c>
      <c r="BL44">
        <f t="shared" si="39"/>
        <v>0.89647643005036659</v>
      </c>
      <c r="BM44">
        <f t="shared" si="40"/>
        <v>0.56554305892972134</v>
      </c>
      <c r="BN44">
        <f t="shared" si="41"/>
        <v>0.43445694107027866</v>
      </c>
      <c r="BO44">
        <v>7798</v>
      </c>
      <c r="BP44">
        <v>290.00000000000011</v>
      </c>
      <c r="BQ44">
        <v>1118.75</v>
      </c>
      <c r="BR44">
        <v>175</v>
      </c>
      <c r="BS44">
        <v>10462.1</v>
      </c>
      <c r="BT44">
        <v>1116.29</v>
      </c>
      <c r="BU44">
        <v>2.46</v>
      </c>
      <c r="BV44">
        <v>300.00000000000011</v>
      </c>
      <c r="BW44">
        <v>38.200000000000003</v>
      </c>
      <c r="BX44">
        <v>1246.01531171345</v>
      </c>
      <c r="BY44">
        <v>1.5840767222112011</v>
      </c>
      <c r="BZ44">
        <v>-135.72487123728439</v>
      </c>
      <c r="CA44">
        <v>1.356700065938873</v>
      </c>
      <c r="CB44">
        <v>0.99721006874752671</v>
      </c>
      <c r="CC44">
        <v>-1.136029788654061E-2</v>
      </c>
      <c r="CD44">
        <v>289.99999999999989</v>
      </c>
      <c r="CE44">
        <v>1102.78</v>
      </c>
      <c r="CF44">
        <v>645</v>
      </c>
      <c r="CG44">
        <v>10441.299999999999</v>
      </c>
      <c r="CH44">
        <v>1116.03</v>
      </c>
      <c r="CI44">
        <v>-13.25</v>
      </c>
      <c r="CW44">
        <f t="shared" si="42"/>
        <v>1799.8</v>
      </c>
      <c r="CX44">
        <f t="shared" si="43"/>
        <v>1513.0163993221852</v>
      </c>
      <c r="CY44">
        <f t="shared" si="44"/>
        <v>0.84065807274262982</v>
      </c>
      <c r="CZ44">
        <f t="shared" si="45"/>
        <v>0.19131614548525955</v>
      </c>
      <c r="DA44">
        <v>6</v>
      </c>
      <c r="DB44">
        <v>0.5</v>
      </c>
      <c r="DC44" t="s">
        <v>420</v>
      </c>
      <c r="DD44">
        <v>2</v>
      </c>
      <c r="DE44">
        <v>1693500125.5999999</v>
      </c>
      <c r="DF44">
        <v>1429.39</v>
      </c>
      <c r="DG44">
        <v>1500.01</v>
      </c>
      <c r="DH44">
        <v>28.916699999999999</v>
      </c>
      <c r="DI44">
        <v>22.743300000000001</v>
      </c>
      <c r="DJ44">
        <v>1429.13</v>
      </c>
      <c r="DK44">
        <v>28.653700000000001</v>
      </c>
      <c r="DL44">
        <v>500.59699999999998</v>
      </c>
      <c r="DM44">
        <v>99.645600000000002</v>
      </c>
      <c r="DN44">
        <v>9.9932800000000002E-2</v>
      </c>
      <c r="DO44">
        <v>30.637699999999999</v>
      </c>
      <c r="DP44">
        <v>30.017700000000001</v>
      </c>
      <c r="DQ44">
        <v>999.9</v>
      </c>
      <c r="DR44">
        <v>0</v>
      </c>
      <c r="DS44">
        <v>0</v>
      </c>
      <c r="DT44">
        <v>10025</v>
      </c>
      <c r="DU44">
        <v>0</v>
      </c>
      <c r="DV44">
        <v>1800.14</v>
      </c>
      <c r="DW44">
        <v>-70.615499999999997</v>
      </c>
      <c r="DX44">
        <v>1471.95</v>
      </c>
      <c r="DY44">
        <v>1534.91</v>
      </c>
      <c r="DZ44">
        <v>6.17347</v>
      </c>
      <c r="EA44">
        <v>1500.01</v>
      </c>
      <c r="EB44">
        <v>22.743300000000001</v>
      </c>
      <c r="EC44">
        <v>2.8814299999999999</v>
      </c>
      <c r="ED44">
        <v>2.26627</v>
      </c>
      <c r="EE44">
        <v>23.3581</v>
      </c>
      <c r="EF44">
        <v>19.438600000000001</v>
      </c>
      <c r="EG44">
        <v>1799.8</v>
      </c>
      <c r="EH44">
        <v>0.97800299999999996</v>
      </c>
      <c r="EI44">
        <v>2.1996499999999999E-2</v>
      </c>
      <c r="EJ44">
        <v>0</v>
      </c>
      <c r="EK44">
        <v>794.87</v>
      </c>
      <c r="EL44">
        <v>5.0010300000000001</v>
      </c>
      <c r="EM44">
        <v>15271.6</v>
      </c>
      <c r="EN44">
        <v>14699.5</v>
      </c>
      <c r="EO44">
        <v>47.25</v>
      </c>
      <c r="EP44">
        <v>49.5</v>
      </c>
      <c r="EQ44">
        <v>48.875</v>
      </c>
      <c r="ER44">
        <v>47.875</v>
      </c>
      <c r="ES44">
        <v>48.936999999999998</v>
      </c>
      <c r="ET44">
        <v>1755.32</v>
      </c>
      <c r="EU44">
        <v>39.479999999999997</v>
      </c>
      <c r="EV44">
        <v>0</v>
      </c>
      <c r="EW44">
        <v>115.19999980926509</v>
      </c>
      <c r="EX44">
        <v>0</v>
      </c>
      <c r="EY44">
        <v>795.19096000000002</v>
      </c>
      <c r="EZ44">
        <v>-2.725384615962553</v>
      </c>
      <c r="FA44">
        <v>-104.18461517239071</v>
      </c>
      <c r="FB44">
        <v>15292.8</v>
      </c>
      <c r="FC44">
        <v>15</v>
      </c>
      <c r="FD44">
        <v>1693500080.5999999</v>
      </c>
      <c r="FE44" t="s">
        <v>562</v>
      </c>
      <c r="FF44">
        <v>1693500075.5999999</v>
      </c>
      <c r="FG44">
        <v>1693500080.5999999</v>
      </c>
      <c r="FH44">
        <v>32</v>
      </c>
      <c r="FI44">
        <v>-2.3E-2</v>
      </c>
      <c r="FJ44">
        <v>-1E-3</v>
      </c>
      <c r="FK44">
        <v>0.29299999999999998</v>
      </c>
      <c r="FL44">
        <v>0.111</v>
      </c>
      <c r="FM44">
        <v>1500</v>
      </c>
      <c r="FN44">
        <v>22</v>
      </c>
      <c r="FO44">
        <v>0.14000000000000001</v>
      </c>
      <c r="FP44">
        <v>0.06</v>
      </c>
      <c r="FQ44">
        <v>51.319702933100253</v>
      </c>
      <c r="FR44">
        <v>-4.3040889306719232E-2</v>
      </c>
      <c r="FS44">
        <v>0.18197467524752581</v>
      </c>
      <c r="FT44">
        <v>1</v>
      </c>
      <c r="FU44">
        <v>0.39977845657733468</v>
      </c>
      <c r="FV44">
        <v>-2.580665614054135E-2</v>
      </c>
      <c r="FW44">
        <v>1.9455927350306339E-3</v>
      </c>
      <c r="FX44">
        <v>1</v>
      </c>
      <c r="FY44">
        <v>2</v>
      </c>
      <c r="FZ44">
        <v>2</v>
      </c>
      <c r="GA44" t="s">
        <v>422</v>
      </c>
      <c r="GB44">
        <v>2.9064399999999999</v>
      </c>
      <c r="GC44">
        <v>2.8181600000000002</v>
      </c>
      <c r="GD44">
        <v>0.21580199999999999</v>
      </c>
      <c r="GE44">
        <v>0.22192799999999999</v>
      </c>
      <c r="GF44">
        <v>0.13655100000000001</v>
      </c>
      <c r="GG44">
        <v>0.115619</v>
      </c>
      <c r="GH44">
        <v>21852.5</v>
      </c>
      <c r="GI44">
        <v>21727.1</v>
      </c>
      <c r="GJ44">
        <v>24720.5</v>
      </c>
      <c r="GK44">
        <v>24931</v>
      </c>
      <c r="GL44">
        <v>28338.3</v>
      </c>
      <c r="GM44">
        <v>28824.1</v>
      </c>
      <c r="GN44">
        <v>33427.599999999999</v>
      </c>
      <c r="GO44">
        <v>33297.199999999997</v>
      </c>
      <c r="GP44">
        <v>1.9894000000000001</v>
      </c>
      <c r="GQ44">
        <v>1.8887</v>
      </c>
      <c r="GR44">
        <v>8.01235E-2</v>
      </c>
      <c r="GS44">
        <v>0</v>
      </c>
      <c r="GT44">
        <v>28.712399999999999</v>
      </c>
      <c r="GU44">
        <v>999.9</v>
      </c>
      <c r="GV44">
        <v>45.8</v>
      </c>
      <c r="GW44">
        <v>35.799999999999997</v>
      </c>
      <c r="GX44">
        <v>27.133299999999998</v>
      </c>
      <c r="GY44">
        <v>61.601700000000001</v>
      </c>
      <c r="GZ44">
        <v>26.2941</v>
      </c>
      <c r="HA44">
        <v>1</v>
      </c>
      <c r="HB44">
        <v>0.25260199999999999</v>
      </c>
      <c r="HC44">
        <v>0.72623099999999996</v>
      </c>
      <c r="HD44">
        <v>20.215499999999999</v>
      </c>
      <c r="HE44">
        <v>5.23346</v>
      </c>
      <c r="HF44">
        <v>11.9201</v>
      </c>
      <c r="HG44">
        <v>4.9614000000000003</v>
      </c>
      <c r="HH44">
        <v>3.2890000000000001</v>
      </c>
      <c r="HI44">
        <v>9999</v>
      </c>
      <c r="HJ44">
        <v>9999</v>
      </c>
      <c r="HK44">
        <v>9999</v>
      </c>
      <c r="HL44">
        <v>892.7</v>
      </c>
      <c r="HM44">
        <v>1.88052</v>
      </c>
      <c r="HN44">
        <v>1.8775900000000001</v>
      </c>
      <c r="HO44">
        <v>1.8855299999999999</v>
      </c>
      <c r="HP44">
        <v>1.8833899999999999</v>
      </c>
      <c r="HQ44">
        <v>1.88083</v>
      </c>
      <c r="HR44">
        <v>1.8799600000000001</v>
      </c>
      <c r="HS44">
        <v>1.8811</v>
      </c>
      <c r="HT44">
        <v>1.88049</v>
      </c>
      <c r="HU44">
        <v>5</v>
      </c>
      <c r="HV44">
        <v>0</v>
      </c>
      <c r="HW44">
        <v>0</v>
      </c>
      <c r="HX44">
        <v>0</v>
      </c>
      <c r="HY44" t="s">
        <v>423</v>
      </c>
      <c r="HZ44" t="s">
        <v>424</v>
      </c>
      <c r="IA44" t="s">
        <v>425</v>
      </c>
      <c r="IB44" t="s">
        <v>425</v>
      </c>
      <c r="IC44" t="s">
        <v>425</v>
      </c>
      <c r="ID44" t="s">
        <v>425</v>
      </c>
      <c r="IE44">
        <v>0</v>
      </c>
      <c r="IF44">
        <v>100</v>
      </c>
      <c r="IG44">
        <v>100</v>
      </c>
      <c r="IH44">
        <v>0.26</v>
      </c>
      <c r="II44">
        <v>0.26300000000000001</v>
      </c>
      <c r="IJ44">
        <v>-0.48980809958770088</v>
      </c>
      <c r="IK44">
        <v>2.2153513873161218E-3</v>
      </c>
      <c r="IL44">
        <v>-2.2967369670569612E-6</v>
      </c>
      <c r="IM44">
        <v>7.7859689150384122E-10</v>
      </c>
      <c r="IN44">
        <v>-0.1323482703108636</v>
      </c>
      <c r="IO44">
        <v>-4.1434251034592161E-3</v>
      </c>
      <c r="IP44">
        <v>8.3987709687394815E-4</v>
      </c>
      <c r="IQ44">
        <v>-7.4586254598011197E-6</v>
      </c>
      <c r="IR44">
        <v>2</v>
      </c>
      <c r="IS44">
        <v>1930</v>
      </c>
      <c r="IT44">
        <v>2</v>
      </c>
      <c r="IU44">
        <v>41</v>
      </c>
      <c r="IV44">
        <v>0.8</v>
      </c>
      <c r="IW44">
        <v>0.8</v>
      </c>
      <c r="IX44">
        <v>2.8918499999999998</v>
      </c>
      <c r="IY44">
        <v>2.47559</v>
      </c>
      <c r="IZ44">
        <v>1.24512</v>
      </c>
      <c r="JA44">
        <v>2.2570800000000002</v>
      </c>
      <c r="JB44">
        <v>1.4501999999999999</v>
      </c>
      <c r="JC44">
        <v>2.4035600000000001</v>
      </c>
      <c r="JD44">
        <v>37.361800000000002</v>
      </c>
      <c r="JE44">
        <v>15.9533</v>
      </c>
      <c r="JF44">
        <v>18</v>
      </c>
      <c r="JG44">
        <v>497.505</v>
      </c>
      <c r="JH44">
        <v>479.88400000000001</v>
      </c>
      <c r="JI44">
        <v>27.578800000000001</v>
      </c>
      <c r="JJ44">
        <v>30.770700000000001</v>
      </c>
      <c r="JK44">
        <v>30.0001</v>
      </c>
      <c r="JL44">
        <v>30.6343</v>
      </c>
      <c r="JM44">
        <v>30.610700000000001</v>
      </c>
      <c r="JN44">
        <v>58.006100000000004</v>
      </c>
      <c r="JO44">
        <v>19.401299999999999</v>
      </c>
      <c r="JP44">
        <v>42.1158</v>
      </c>
      <c r="JQ44">
        <v>27.5655</v>
      </c>
      <c r="JR44">
        <v>1500</v>
      </c>
      <c r="JS44">
        <v>22.6935</v>
      </c>
      <c r="JT44">
        <v>99.772000000000006</v>
      </c>
      <c r="JU44">
        <v>99.378900000000002</v>
      </c>
    </row>
    <row r="45" spans="1:281" x14ac:dyDescent="0.25">
      <c r="A45">
        <v>29</v>
      </c>
      <c r="B45">
        <v>1693502758.5999999</v>
      </c>
      <c r="C45">
        <v>7109</v>
      </c>
      <c r="D45" t="s">
        <v>563</v>
      </c>
      <c r="E45" t="s">
        <v>564</v>
      </c>
      <c r="F45" t="s">
        <v>413</v>
      </c>
      <c r="G45" t="s">
        <v>565</v>
      </c>
      <c r="H45" t="s">
        <v>31</v>
      </c>
      <c r="I45">
        <v>3</v>
      </c>
      <c r="J45">
        <v>1693502758.5999999</v>
      </c>
      <c r="K45">
        <f t="shared" si="0"/>
        <v>4.2529833613166807E-3</v>
      </c>
      <c r="L45">
        <f t="shared" si="1"/>
        <v>4.252983361316681</v>
      </c>
      <c r="M45">
        <f t="shared" si="2"/>
        <v>40.446661003028424</v>
      </c>
      <c r="N45">
        <f t="shared" si="3"/>
        <v>349.78899999999999</v>
      </c>
      <c r="O45">
        <f t="shared" si="4"/>
        <v>123.97493734131687</v>
      </c>
      <c r="P45">
        <f t="shared" si="5"/>
        <v>12.363388104894153</v>
      </c>
      <c r="Q45">
        <f t="shared" si="6"/>
        <v>34.882672696310998</v>
      </c>
      <c r="R45">
        <f t="shared" si="7"/>
        <v>0.30840756173799661</v>
      </c>
      <c r="S45">
        <f t="shared" si="8"/>
        <v>2.9229611901551444</v>
      </c>
      <c r="T45">
        <f t="shared" si="9"/>
        <v>0.29140269276483083</v>
      </c>
      <c r="U45">
        <f t="shared" si="10"/>
        <v>0.18357632640903493</v>
      </c>
      <c r="V45">
        <f t="shared" si="11"/>
        <v>344.35039864410214</v>
      </c>
      <c r="W45">
        <f t="shared" si="12"/>
        <v>31.361172093802363</v>
      </c>
      <c r="X45">
        <f t="shared" si="13"/>
        <v>29.976299999999998</v>
      </c>
      <c r="Y45">
        <f t="shared" si="14"/>
        <v>4.2546534248439762</v>
      </c>
      <c r="Z45">
        <f t="shared" si="15"/>
        <v>65.263213412841139</v>
      </c>
      <c r="AA45">
        <f t="shared" si="16"/>
        <v>2.8510351375109999</v>
      </c>
      <c r="AB45">
        <f t="shared" si="17"/>
        <v>4.3685178654565489</v>
      </c>
      <c r="AC45">
        <f t="shared" si="18"/>
        <v>1.4036182873329763</v>
      </c>
      <c r="AD45">
        <f t="shared" si="19"/>
        <v>-187.55656623406563</v>
      </c>
      <c r="AE45">
        <f t="shared" si="20"/>
        <v>72.566825836318642</v>
      </c>
      <c r="AF45">
        <f t="shared" si="21"/>
        <v>5.5314917983110181</v>
      </c>
      <c r="AG45">
        <f t="shared" si="22"/>
        <v>234.89215004466621</v>
      </c>
      <c r="AH45">
        <v>0</v>
      </c>
      <c r="AI45">
        <v>0</v>
      </c>
      <c r="AJ45">
        <f t="shared" si="23"/>
        <v>1</v>
      </c>
      <c r="AK45">
        <f t="shared" si="24"/>
        <v>0</v>
      </c>
      <c r="AL45">
        <f t="shared" si="25"/>
        <v>52082.175731484211</v>
      </c>
      <c r="AM45" t="s">
        <v>417</v>
      </c>
      <c r="AN45">
        <v>10366.9</v>
      </c>
      <c r="AO45">
        <v>993.59653846153856</v>
      </c>
      <c r="AP45">
        <v>3431.87</v>
      </c>
      <c r="AQ45">
        <f t="shared" si="26"/>
        <v>0.71047955241266758</v>
      </c>
      <c r="AR45">
        <v>-3.9894345373445681</v>
      </c>
      <c r="AS45" t="s">
        <v>566</v>
      </c>
      <c r="AT45">
        <v>10468.200000000001</v>
      </c>
      <c r="AU45">
        <v>790.6425999999999</v>
      </c>
      <c r="AV45">
        <v>1134.8540977922701</v>
      </c>
      <c r="AW45">
        <f t="shared" si="27"/>
        <v>0.3033090319380215</v>
      </c>
      <c r="AX45">
        <v>0.5</v>
      </c>
      <c r="AY45">
        <f t="shared" si="28"/>
        <v>1513.100699322051</v>
      </c>
      <c r="AZ45">
        <f t="shared" si="29"/>
        <v>40.446661003028424</v>
      </c>
      <c r="BA45">
        <f t="shared" si="30"/>
        <v>229.46855416805732</v>
      </c>
      <c r="BB45">
        <f t="shared" si="31"/>
        <v>2.9367573196075254E-2</v>
      </c>
      <c r="BC45">
        <f t="shared" si="32"/>
        <v>2.0240627466352841</v>
      </c>
      <c r="BD45">
        <f t="shared" si="33"/>
        <v>626.47654923766561</v>
      </c>
      <c r="BE45" t="s">
        <v>567</v>
      </c>
      <c r="BF45">
        <v>614.35</v>
      </c>
      <c r="BG45">
        <f t="shared" si="34"/>
        <v>614.35</v>
      </c>
      <c r="BH45">
        <f t="shared" si="35"/>
        <v>0.45865287776186536</v>
      </c>
      <c r="BI45">
        <f t="shared" si="36"/>
        <v>0.66130410740712908</v>
      </c>
      <c r="BJ45">
        <f t="shared" si="37"/>
        <v>0.81526161383334617</v>
      </c>
      <c r="BK45">
        <f t="shared" si="38"/>
        <v>2.4367651502908609</v>
      </c>
      <c r="BL45">
        <f t="shared" si="39"/>
        <v>0.9420665640835858</v>
      </c>
      <c r="BM45">
        <f t="shared" si="40"/>
        <v>0.51385060504654034</v>
      </c>
      <c r="BN45">
        <f t="shared" si="41"/>
        <v>0.48614939495345966</v>
      </c>
      <c r="BO45">
        <v>7800</v>
      </c>
      <c r="BP45">
        <v>290.00000000000011</v>
      </c>
      <c r="BQ45">
        <v>1038.95</v>
      </c>
      <c r="BR45">
        <v>285</v>
      </c>
      <c r="BS45">
        <v>10468.200000000001</v>
      </c>
      <c r="BT45">
        <v>1037.71</v>
      </c>
      <c r="BU45">
        <v>1.24</v>
      </c>
      <c r="BV45">
        <v>300.00000000000011</v>
      </c>
      <c r="BW45">
        <v>38.200000000000003</v>
      </c>
      <c r="BX45">
        <v>1134.8540977922701</v>
      </c>
      <c r="BY45">
        <v>1.206558264495444</v>
      </c>
      <c r="BZ45">
        <v>-101.6892338710844</v>
      </c>
      <c r="CA45">
        <v>1.035269577992753</v>
      </c>
      <c r="CB45">
        <v>0.9971062804608698</v>
      </c>
      <c r="CC45">
        <v>-1.138204160177976E-2</v>
      </c>
      <c r="CD45">
        <v>289.99999999999989</v>
      </c>
      <c r="CE45">
        <v>1024.95</v>
      </c>
      <c r="CF45">
        <v>625</v>
      </c>
      <c r="CG45">
        <v>10462.6</v>
      </c>
      <c r="CH45">
        <v>1037.6600000000001</v>
      </c>
      <c r="CI45">
        <v>-12.71</v>
      </c>
      <c r="CW45">
        <f t="shared" si="42"/>
        <v>1799.9</v>
      </c>
      <c r="CX45">
        <f t="shared" si="43"/>
        <v>1513.100699322051</v>
      </c>
      <c r="CY45">
        <f t="shared" si="44"/>
        <v>0.84065820285685366</v>
      </c>
      <c r="CZ45">
        <f t="shared" si="45"/>
        <v>0.1913164057137075</v>
      </c>
      <c r="DA45">
        <v>6</v>
      </c>
      <c r="DB45">
        <v>0.5</v>
      </c>
      <c r="DC45" t="s">
        <v>420</v>
      </c>
      <c r="DD45">
        <v>2</v>
      </c>
      <c r="DE45">
        <v>1693502758.5999999</v>
      </c>
      <c r="DF45">
        <v>349.78899999999999</v>
      </c>
      <c r="DG45">
        <v>400.08100000000002</v>
      </c>
      <c r="DH45">
        <v>28.588999999999999</v>
      </c>
      <c r="DI45">
        <v>23.6342</v>
      </c>
      <c r="DJ45">
        <v>350.06700000000001</v>
      </c>
      <c r="DK45">
        <v>28.332599999999999</v>
      </c>
      <c r="DL45">
        <v>500.29</v>
      </c>
      <c r="DM45">
        <v>99.624899999999997</v>
      </c>
      <c r="DN45">
        <v>9.9999000000000005E-2</v>
      </c>
      <c r="DO45">
        <v>30.436800000000002</v>
      </c>
      <c r="DP45">
        <v>29.976299999999998</v>
      </c>
      <c r="DQ45">
        <v>999.9</v>
      </c>
      <c r="DR45">
        <v>0</v>
      </c>
      <c r="DS45">
        <v>0</v>
      </c>
      <c r="DT45">
        <v>10000</v>
      </c>
      <c r="DU45">
        <v>0</v>
      </c>
      <c r="DV45">
        <v>1726.91</v>
      </c>
      <c r="DW45">
        <v>-50.291200000000003</v>
      </c>
      <c r="DX45">
        <v>360.084</v>
      </c>
      <c r="DY45">
        <v>409.76499999999999</v>
      </c>
      <c r="DZ45">
        <v>4.9548100000000002</v>
      </c>
      <c r="EA45">
        <v>400.08100000000002</v>
      </c>
      <c r="EB45">
        <v>23.6342</v>
      </c>
      <c r="EC45">
        <v>2.8481700000000001</v>
      </c>
      <c r="ED45">
        <v>2.3545500000000001</v>
      </c>
      <c r="EE45">
        <v>23.166</v>
      </c>
      <c r="EF45">
        <v>20.054600000000001</v>
      </c>
      <c r="EG45">
        <v>1799.9</v>
      </c>
      <c r="EH45">
        <v>0.97800100000000001</v>
      </c>
      <c r="EI45">
        <v>2.19986E-2</v>
      </c>
      <c r="EJ45">
        <v>0</v>
      </c>
      <c r="EK45">
        <v>791.20399999999995</v>
      </c>
      <c r="EL45">
        <v>5.0010300000000001</v>
      </c>
      <c r="EM45">
        <v>15059.5</v>
      </c>
      <c r="EN45">
        <v>14700.3</v>
      </c>
      <c r="EO45">
        <v>47.125</v>
      </c>
      <c r="EP45">
        <v>49.061999999999998</v>
      </c>
      <c r="EQ45">
        <v>48.625</v>
      </c>
      <c r="ER45">
        <v>47.436999999999998</v>
      </c>
      <c r="ES45">
        <v>48.75</v>
      </c>
      <c r="ET45">
        <v>1755.41</v>
      </c>
      <c r="EU45">
        <v>39.49</v>
      </c>
      <c r="EV45">
        <v>0</v>
      </c>
      <c r="EW45">
        <v>2631</v>
      </c>
      <c r="EX45">
        <v>0</v>
      </c>
      <c r="EY45">
        <v>790.6425999999999</v>
      </c>
      <c r="EZ45">
        <v>3.905769226110468</v>
      </c>
      <c r="FA45">
        <v>71.046153939251283</v>
      </c>
      <c r="FB45">
        <v>15049.832</v>
      </c>
      <c r="FC45">
        <v>15</v>
      </c>
      <c r="FD45">
        <v>1693502728.5999999</v>
      </c>
      <c r="FE45" t="s">
        <v>568</v>
      </c>
      <c r="FF45">
        <v>1693502717.0999999</v>
      </c>
      <c r="FG45">
        <v>1693502728.5999999</v>
      </c>
      <c r="FH45">
        <v>34</v>
      </c>
      <c r="FI45">
        <v>-0.18099999999999999</v>
      </c>
      <c r="FJ45">
        <v>1E-3</v>
      </c>
      <c r="FK45">
        <v>-0.23699999999999999</v>
      </c>
      <c r="FL45">
        <v>0.13800000000000001</v>
      </c>
      <c r="FM45">
        <v>400</v>
      </c>
      <c r="FN45">
        <v>24</v>
      </c>
      <c r="FO45">
        <v>0.11</v>
      </c>
      <c r="FP45">
        <v>0.05</v>
      </c>
      <c r="FQ45">
        <v>40.38611415829034</v>
      </c>
      <c r="FR45">
        <v>-0.3944808947780607</v>
      </c>
      <c r="FS45">
        <v>8.9636763115846854E-2</v>
      </c>
      <c r="FT45">
        <v>1</v>
      </c>
      <c r="FU45">
        <v>0.31350937872915863</v>
      </c>
      <c r="FV45">
        <v>-2.9614700306975139E-3</v>
      </c>
      <c r="FW45">
        <v>3.3836273006218509E-3</v>
      </c>
      <c r="FX45">
        <v>1</v>
      </c>
      <c r="FY45">
        <v>2</v>
      </c>
      <c r="FZ45">
        <v>2</v>
      </c>
      <c r="GA45" t="s">
        <v>422</v>
      </c>
      <c r="GB45">
        <v>2.9069699999999998</v>
      </c>
      <c r="GC45">
        <v>2.8180100000000001</v>
      </c>
      <c r="GD45">
        <v>8.2582799999999998E-2</v>
      </c>
      <c r="GE45">
        <v>9.1611499999999998E-2</v>
      </c>
      <c r="GF45">
        <v>0.13566300000000001</v>
      </c>
      <c r="GG45">
        <v>0.118862</v>
      </c>
      <c r="GH45">
        <v>25594.3</v>
      </c>
      <c r="GI45">
        <v>25367.1</v>
      </c>
      <c r="GJ45">
        <v>24746.2</v>
      </c>
      <c r="GK45">
        <v>24927.9</v>
      </c>
      <c r="GL45">
        <v>28390.5</v>
      </c>
      <c r="GM45">
        <v>28702</v>
      </c>
      <c r="GN45">
        <v>33457.800000000003</v>
      </c>
      <c r="GO45">
        <v>33281.699999999997</v>
      </c>
      <c r="GP45">
        <v>1.9961</v>
      </c>
      <c r="GQ45">
        <v>1.9238</v>
      </c>
      <c r="GR45">
        <v>7.9542399999999999E-2</v>
      </c>
      <c r="GS45">
        <v>0</v>
      </c>
      <c r="GT45">
        <v>28.680499999999999</v>
      </c>
      <c r="GU45">
        <v>999.9</v>
      </c>
      <c r="GV45">
        <v>58</v>
      </c>
      <c r="GW45">
        <v>32.200000000000003</v>
      </c>
      <c r="GX45">
        <v>28.116099999999999</v>
      </c>
      <c r="GY45">
        <v>61.560099999999998</v>
      </c>
      <c r="GZ45">
        <v>25.3766</v>
      </c>
      <c r="HA45">
        <v>1</v>
      </c>
      <c r="HB45">
        <v>0.20862800000000001</v>
      </c>
      <c r="HC45">
        <v>0.58929200000000004</v>
      </c>
      <c r="HD45">
        <v>20.172799999999999</v>
      </c>
      <c r="HE45">
        <v>5.2352600000000002</v>
      </c>
      <c r="HF45">
        <v>11.9201</v>
      </c>
      <c r="HG45">
        <v>4.9615999999999998</v>
      </c>
      <c r="HH45">
        <v>3.2890000000000001</v>
      </c>
      <c r="HI45">
        <v>9999</v>
      </c>
      <c r="HJ45">
        <v>9999</v>
      </c>
      <c r="HK45">
        <v>9999</v>
      </c>
      <c r="HL45">
        <v>893.4</v>
      </c>
      <c r="HM45">
        <v>1.8808100000000001</v>
      </c>
      <c r="HN45">
        <v>1.8778999999999999</v>
      </c>
      <c r="HO45">
        <v>1.88585</v>
      </c>
      <c r="HP45">
        <v>1.8836999999999999</v>
      </c>
      <c r="HQ45">
        <v>1.8811599999999999</v>
      </c>
      <c r="HR45">
        <v>1.88028</v>
      </c>
      <c r="HS45">
        <v>1.88141</v>
      </c>
      <c r="HT45">
        <v>1.8808</v>
      </c>
      <c r="HU45">
        <v>5</v>
      </c>
      <c r="HV45">
        <v>0</v>
      </c>
      <c r="HW45">
        <v>0</v>
      </c>
      <c r="HX45">
        <v>0</v>
      </c>
      <c r="HY45" t="s">
        <v>423</v>
      </c>
      <c r="HZ45" t="s">
        <v>424</v>
      </c>
      <c r="IA45" t="s">
        <v>425</v>
      </c>
      <c r="IB45" t="s">
        <v>425</v>
      </c>
      <c r="IC45" t="s">
        <v>425</v>
      </c>
      <c r="ID45" t="s">
        <v>425</v>
      </c>
      <c r="IE45">
        <v>0</v>
      </c>
      <c r="IF45">
        <v>100</v>
      </c>
      <c r="IG45">
        <v>100</v>
      </c>
      <c r="IH45">
        <v>-0.27800000000000002</v>
      </c>
      <c r="II45">
        <v>0.25640000000000002</v>
      </c>
      <c r="IJ45">
        <v>-0.80552598434630052</v>
      </c>
      <c r="IK45">
        <v>2.2153513873161218E-3</v>
      </c>
      <c r="IL45">
        <v>-2.2967369670569612E-6</v>
      </c>
      <c r="IM45">
        <v>7.7859689150384122E-10</v>
      </c>
      <c r="IN45">
        <v>-0.13081554665597539</v>
      </c>
      <c r="IO45">
        <v>-4.1434251034592161E-3</v>
      </c>
      <c r="IP45">
        <v>8.3987709687394815E-4</v>
      </c>
      <c r="IQ45">
        <v>-7.4586254598011197E-6</v>
      </c>
      <c r="IR45">
        <v>2</v>
      </c>
      <c r="IS45">
        <v>1930</v>
      </c>
      <c r="IT45">
        <v>2</v>
      </c>
      <c r="IU45">
        <v>41</v>
      </c>
      <c r="IV45">
        <v>0.7</v>
      </c>
      <c r="IW45">
        <v>0.5</v>
      </c>
      <c r="IX45">
        <v>1.00098</v>
      </c>
      <c r="IY45">
        <v>2.4890099999999999</v>
      </c>
      <c r="IZ45">
        <v>1.24512</v>
      </c>
      <c r="JA45">
        <v>2.2668499999999998</v>
      </c>
      <c r="JB45">
        <v>1.4501999999999999</v>
      </c>
      <c r="JC45">
        <v>2.36694</v>
      </c>
      <c r="JD45">
        <v>35.568300000000001</v>
      </c>
      <c r="JE45">
        <v>23.9999</v>
      </c>
      <c r="JF45">
        <v>18</v>
      </c>
      <c r="JG45">
        <v>496.755</v>
      </c>
      <c r="JH45">
        <v>499.33800000000002</v>
      </c>
      <c r="JI45">
        <v>27.3992</v>
      </c>
      <c r="JJ45">
        <v>30.175799999999999</v>
      </c>
      <c r="JK45">
        <v>30.000399999999999</v>
      </c>
      <c r="JL45">
        <v>30.0261</v>
      </c>
      <c r="JM45">
        <v>29.988299999999999</v>
      </c>
      <c r="JN45">
        <v>20.130199999999999</v>
      </c>
      <c r="JO45">
        <v>24.0961</v>
      </c>
      <c r="JP45">
        <v>93.369699999999995</v>
      </c>
      <c r="JQ45">
        <v>27.405899999999999</v>
      </c>
      <c r="JR45">
        <v>400</v>
      </c>
      <c r="JS45">
        <v>23.690999999999999</v>
      </c>
      <c r="JT45">
        <v>99.867999999999995</v>
      </c>
      <c r="JU45">
        <v>99.347099999999998</v>
      </c>
    </row>
    <row r="46" spans="1:281" x14ac:dyDescent="0.25">
      <c r="A46">
        <v>30</v>
      </c>
      <c r="B46">
        <v>1693502858.0999999</v>
      </c>
      <c r="C46">
        <v>7208.5</v>
      </c>
      <c r="D46" t="s">
        <v>569</v>
      </c>
      <c r="E46" t="s">
        <v>570</v>
      </c>
      <c r="F46" t="s">
        <v>413</v>
      </c>
      <c r="G46" t="s">
        <v>565</v>
      </c>
      <c r="H46" t="s">
        <v>31</v>
      </c>
      <c r="I46">
        <v>3</v>
      </c>
      <c r="J46">
        <v>1693502858.0999999</v>
      </c>
      <c r="K46">
        <f t="shared" si="0"/>
        <v>4.3063737705705584E-3</v>
      </c>
      <c r="L46">
        <f t="shared" si="1"/>
        <v>4.3063737705705583</v>
      </c>
      <c r="M46">
        <f t="shared" si="2"/>
        <v>32.365223174475744</v>
      </c>
      <c r="N46">
        <f t="shared" si="3"/>
        <v>259.82299999999998</v>
      </c>
      <c r="O46">
        <f t="shared" si="4"/>
        <v>81.265736661037977</v>
      </c>
      <c r="P46">
        <f t="shared" si="5"/>
        <v>8.1041621199816785</v>
      </c>
      <c r="Q46">
        <f t="shared" si="6"/>
        <v>25.910645753236995</v>
      </c>
      <c r="R46">
        <f t="shared" si="7"/>
        <v>0.31155866941338228</v>
      </c>
      <c r="S46">
        <f t="shared" si="8"/>
        <v>2.9264560104944346</v>
      </c>
      <c r="T46">
        <f t="shared" si="9"/>
        <v>0.29423450153735281</v>
      </c>
      <c r="U46">
        <f t="shared" si="10"/>
        <v>0.18537275017560334</v>
      </c>
      <c r="V46">
        <f t="shared" si="11"/>
        <v>344.32319864433998</v>
      </c>
      <c r="W46">
        <f t="shared" si="12"/>
        <v>31.353715871483125</v>
      </c>
      <c r="X46">
        <f t="shared" si="13"/>
        <v>29.9956</v>
      </c>
      <c r="Y46">
        <f t="shared" si="14"/>
        <v>4.2593731373257047</v>
      </c>
      <c r="Z46">
        <f t="shared" si="15"/>
        <v>65.253772635152046</v>
      </c>
      <c r="AA46">
        <f t="shared" si="16"/>
        <v>2.8518633528524999</v>
      </c>
      <c r="AB46">
        <f t="shared" si="17"/>
        <v>4.3704191155320391</v>
      </c>
      <c r="AC46">
        <f t="shared" si="18"/>
        <v>1.4075097844732047</v>
      </c>
      <c r="AD46">
        <f t="shared" si="19"/>
        <v>-189.91108328216163</v>
      </c>
      <c r="AE46">
        <f t="shared" si="20"/>
        <v>70.807668081274187</v>
      </c>
      <c r="AF46">
        <f t="shared" si="21"/>
        <v>5.3916695578467149</v>
      </c>
      <c r="AG46">
        <f t="shared" si="22"/>
        <v>230.61145300129928</v>
      </c>
      <c r="AH46">
        <v>0</v>
      </c>
      <c r="AI46">
        <v>0</v>
      </c>
      <c r="AJ46">
        <f t="shared" si="23"/>
        <v>1</v>
      </c>
      <c r="AK46">
        <f t="shared" si="24"/>
        <v>0</v>
      </c>
      <c r="AL46">
        <f t="shared" si="25"/>
        <v>52180.536998405078</v>
      </c>
      <c r="AM46" t="s">
        <v>417</v>
      </c>
      <c r="AN46">
        <v>10366.9</v>
      </c>
      <c r="AO46">
        <v>993.59653846153856</v>
      </c>
      <c r="AP46">
        <v>3431.87</v>
      </c>
      <c r="AQ46">
        <f t="shared" si="26"/>
        <v>0.71047955241266758</v>
      </c>
      <c r="AR46">
        <v>-3.9894345373445681</v>
      </c>
      <c r="AS46" t="s">
        <v>571</v>
      </c>
      <c r="AT46">
        <v>10466.5</v>
      </c>
      <c r="AU46">
        <v>721.33432000000005</v>
      </c>
      <c r="AV46">
        <v>990.0409106740301</v>
      </c>
      <c r="AW46">
        <f t="shared" si="27"/>
        <v>0.27140958295459916</v>
      </c>
      <c r="AX46">
        <v>0.5</v>
      </c>
      <c r="AY46">
        <f t="shared" si="28"/>
        <v>1512.9827993221702</v>
      </c>
      <c r="AZ46">
        <f t="shared" si="29"/>
        <v>32.365223174475744</v>
      </c>
      <c r="BA46">
        <f t="shared" si="30"/>
        <v>205.31901529075611</v>
      </c>
      <c r="BB46">
        <f t="shared" si="31"/>
        <v>2.4028467295270983E-2</v>
      </c>
      <c r="BC46">
        <f t="shared" si="32"/>
        <v>2.4663921086488716</v>
      </c>
      <c r="BD46">
        <f t="shared" si="33"/>
        <v>579.67060235863028</v>
      </c>
      <c r="BE46" t="s">
        <v>572</v>
      </c>
      <c r="BF46">
        <v>592.37</v>
      </c>
      <c r="BG46">
        <f t="shared" si="34"/>
        <v>592.37</v>
      </c>
      <c r="BH46">
        <f t="shared" si="35"/>
        <v>0.40167118993425399</v>
      </c>
      <c r="BI46">
        <f t="shared" si="36"/>
        <v>0.67570089604640005</v>
      </c>
      <c r="BJ46">
        <f t="shared" si="37"/>
        <v>0.85995037482865644</v>
      </c>
      <c r="BK46">
        <f t="shared" si="38"/>
        <v>-75.572193360070884</v>
      </c>
      <c r="BL46">
        <f t="shared" si="39"/>
        <v>1.0014582563619689</v>
      </c>
      <c r="BM46">
        <f t="shared" si="40"/>
        <v>0.55489518340262245</v>
      </c>
      <c r="BN46">
        <f t="shared" si="41"/>
        <v>0.44510481659737755</v>
      </c>
      <c r="BO46">
        <v>7802</v>
      </c>
      <c r="BP46">
        <v>290.00000000000011</v>
      </c>
      <c r="BQ46">
        <v>908.34</v>
      </c>
      <c r="BR46">
        <v>295</v>
      </c>
      <c r="BS46">
        <v>10466.5</v>
      </c>
      <c r="BT46">
        <v>907.52</v>
      </c>
      <c r="BU46">
        <v>0.82</v>
      </c>
      <c r="BV46">
        <v>300.00000000000011</v>
      </c>
      <c r="BW46">
        <v>38.200000000000003</v>
      </c>
      <c r="BX46">
        <v>990.0409106740301</v>
      </c>
      <c r="BY46">
        <v>1.506395631191503</v>
      </c>
      <c r="BZ46">
        <v>-86.373098856417059</v>
      </c>
      <c r="CA46">
        <v>1.2923441052033471</v>
      </c>
      <c r="CB46">
        <v>0.99377063867311166</v>
      </c>
      <c r="CC46">
        <v>-1.137936596218022E-2</v>
      </c>
      <c r="CD46">
        <v>289.99999999999989</v>
      </c>
      <c r="CE46">
        <v>895.42</v>
      </c>
      <c r="CF46">
        <v>655</v>
      </c>
      <c r="CG46">
        <v>10458.299999999999</v>
      </c>
      <c r="CH46">
        <v>907.45</v>
      </c>
      <c r="CI46">
        <v>-12.03</v>
      </c>
      <c r="CW46">
        <f t="shared" si="42"/>
        <v>1799.76</v>
      </c>
      <c r="CX46">
        <f t="shared" si="43"/>
        <v>1512.9827993221702</v>
      </c>
      <c r="CY46">
        <f t="shared" si="44"/>
        <v>0.8406580873684103</v>
      </c>
      <c r="CZ46">
        <f t="shared" si="45"/>
        <v>0.19131617473682047</v>
      </c>
      <c r="DA46">
        <v>6</v>
      </c>
      <c r="DB46">
        <v>0.5</v>
      </c>
      <c r="DC46" t="s">
        <v>420</v>
      </c>
      <c r="DD46">
        <v>2</v>
      </c>
      <c r="DE46">
        <v>1693502858.0999999</v>
      </c>
      <c r="DF46">
        <v>259.82299999999998</v>
      </c>
      <c r="DG46">
        <v>299.98899999999998</v>
      </c>
      <c r="DH46">
        <v>28.5975</v>
      </c>
      <c r="DI46">
        <v>23.579499999999999</v>
      </c>
      <c r="DJ46">
        <v>260.13600000000002</v>
      </c>
      <c r="DK46">
        <v>28.343299999999999</v>
      </c>
      <c r="DL46">
        <v>500.18599999999998</v>
      </c>
      <c r="DM46">
        <v>99.624499999999998</v>
      </c>
      <c r="DN46">
        <v>9.9719000000000002E-2</v>
      </c>
      <c r="DO46">
        <v>30.444400000000002</v>
      </c>
      <c r="DP46">
        <v>29.9956</v>
      </c>
      <c r="DQ46">
        <v>999.9</v>
      </c>
      <c r="DR46">
        <v>0</v>
      </c>
      <c r="DS46">
        <v>0</v>
      </c>
      <c r="DT46">
        <v>10020</v>
      </c>
      <c r="DU46">
        <v>0</v>
      </c>
      <c r="DV46">
        <v>1725.9</v>
      </c>
      <c r="DW46">
        <v>-40.165399999999998</v>
      </c>
      <c r="DX46">
        <v>267.47199999999998</v>
      </c>
      <c r="DY46">
        <v>307.233</v>
      </c>
      <c r="DZ46">
        <v>5.0180199999999999</v>
      </c>
      <c r="EA46">
        <v>299.98899999999998</v>
      </c>
      <c r="EB46">
        <v>23.579499999999999</v>
      </c>
      <c r="EC46">
        <v>2.8490099999999998</v>
      </c>
      <c r="ED46">
        <v>2.3491</v>
      </c>
      <c r="EE46">
        <v>23.1709</v>
      </c>
      <c r="EF46">
        <v>20.017099999999999</v>
      </c>
      <c r="EG46">
        <v>1799.76</v>
      </c>
      <c r="EH46">
        <v>0.97800100000000001</v>
      </c>
      <c r="EI46">
        <v>2.19986E-2</v>
      </c>
      <c r="EJ46">
        <v>0</v>
      </c>
      <c r="EK46">
        <v>719.87199999999996</v>
      </c>
      <c r="EL46">
        <v>5.0010300000000001</v>
      </c>
      <c r="EM46">
        <v>13778.4</v>
      </c>
      <c r="EN46">
        <v>14699.1</v>
      </c>
      <c r="EO46">
        <v>47.061999999999998</v>
      </c>
      <c r="EP46">
        <v>48.936999999999998</v>
      </c>
      <c r="EQ46">
        <v>48.75</v>
      </c>
      <c r="ER46">
        <v>47.375</v>
      </c>
      <c r="ES46">
        <v>48.625</v>
      </c>
      <c r="ET46">
        <v>1755.28</v>
      </c>
      <c r="EU46">
        <v>39.479999999999997</v>
      </c>
      <c r="EV46">
        <v>0</v>
      </c>
      <c r="EW46">
        <v>97.399999856948853</v>
      </c>
      <c r="EX46">
        <v>0</v>
      </c>
      <c r="EY46">
        <v>721.33432000000005</v>
      </c>
      <c r="EZ46">
        <v>-14.15123079805303</v>
      </c>
      <c r="FA46">
        <v>-240.3846156755362</v>
      </c>
      <c r="FB46">
        <v>13809.808000000001</v>
      </c>
      <c r="FC46">
        <v>15</v>
      </c>
      <c r="FD46">
        <v>1693502829.5999999</v>
      </c>
      <c r="FE46" t="s">
        <v>573</v>
      </c>
      <c r="FF46">
        <v>1693502829.5999999</v>
      </c>
      <c r="FG46">
        <v>1693502827.5999999</v>
      </c>
      <c r="FH46">
        <v>35</v>
      </c>
      <c r="FI46">
        <v>5.8000000000000003E-2</v>
      </c>
      <c r="FJ46">
        <v>-2E-3</v>
      </c>
      <c r="FK46">
        <v>-0.26800000000000002</v>
      </c>
      <c r="FL46">
        <v>0.13400000000000001</v>
      </c>
      <c r="FM46">
        <v>300</v>
      </c>
      <c r="FN46">
        <v>24</v>
      </c>
      <c r="FO46">
        <v>0.17</v>
      </c>
      <c r="FP46">
        <v>0.04</v>
      </c>
      <c r="FQ46">
        <v>32.373415082217207</v>
      </c>
      <c r="FR46">
        <v>-0.55149990136937477</v>
      </c>
      <c r="FS46">
        <v>9.5033705292350307E-2</v>
      </c>
      <c r="FT46">
        <v>1</v>
      </c>
      <c r="FU46">
        <v>0.31573643414685071</v>
      </c>
      <c r="FV46">
        <v>3.2777482600198513E-2</v>
      </c>
      <c r="FW46">
        <v>6.6163803145243708E-3</v>
      </c>
      <c r="FX46">
        <v>1</v>
      </c>
      <c r="FY46">
        <v>2</v>
      </c>
      <c r="FZ46">
        <v>2</v>
      </c>
      <c r="GA46" t="s">
        <v>422</v>
      </c>
      <c r="GB46">
        <v>2.9067099999999999</v>
      </c>
      <c r="GC46">
        <v>2.8178999999999998</v>
      </c>
      <c r="GD46">
        <v>6.4842399999999994E-2</v>
      </c>
      <c r="GE46">
        <v>7.2972599999999999E-2</v>
      </c>
      <c r="GF46">
        <v>0.13569600000000001</v>
      </c>
      <c r="GG46">
        <v>0.118671</v>
      </c>
      <c r="GH46">
        <v>26088.400000000001</v>
      </c>
      <c r="GI46">
        <v>25886.3</v>
      </c>
      <c r="GJ46">
        <v>24745.599999999999</v>
      </c>
      <c r="GK46">
        <v>24926.9</v>
      </c>
      <c r="GL46">
        <v>28389</v>
      </c>
      <c r="GM46">
        <v>28706.6</v>
      </c>
      <c r="GN46">
        <v>33457.4</v>
      </c>
      <c r="GO46">
        <v>33279.800000000003</v>
      </c>
      <c r="GP46">
        <v>1.9959</v>
      </c>
      <c r="GQ46">
        <v>1.9242999999999999</v>
      </c>
      <c r="GR46">
        <v>8.7171799999999994E-2</v>
      </c>
      <c r="GS46">
        <v>0</v>
      </c>
      <c r="GT46">
        <v>28.575299999999999</v>
      </c>
      <c r="GU46">
        <v>999.9</v>
      </c>
      <c r="GV46">
        <v>58.1</v>
      </c>
      <c r="GW46">
        <v>32.1</v>
      </c>
      <c r="GX46">
        <v>28.007300000000001</v>
      </c>
      <c r="GY46">
        <v>61.3401</v>
      </c>
      <c r="GZ46">
        <v>24.8918</v>
      </c>
      <c r="HA46">
        <v>1</v>
      </c>
      <c r="HB46">
        <v>0.20859800000000001</v>
      </c>
      <c r="HC46">
        <v>0.24351900000000001</v>
      </c>
      <c r="HD46">
        <v>20.174199999999999</v>
      </c>
      <c r="HE46">
        <v>5.2340600000000004</v>
      </c>
      <c r="HF46">
        <v>11.9201</v>
      </c>
      <c r="HG46">
        <v>4.9611999999999998</v>
      </c>
      <c r="HH46">
        <v>3.2890000000000001</v>
      </c>
      <c r="HI46">
        <v>9999</v>
      </c>
      <c r="HJ46">
        <v>9999</v>
      </c>
      <c r="HK46">
        <v>9999</v>
      </c>
      <c r="HL46">
        <v>893.4</v>
      </c>
      <c r="HM46">
        <v>1.8808</v>
      </c>
      <c r="HN46">
        <v>1.8778999999999999</v>
      </c>
      <c r="HO46">
        <v>1.8858299999999999</v>
      </c>
      <c r="HP46">
        <v>1.8836999999999999</v>
      </c>
      <c r="HQ46">
        <v>1.8811</v>
      </c>
      <c r="HR46">
        <v>1.8802000000000001</v>
      </c>
      <c r="HS46">
        <v>1.8813500000000001</v>
      </c>
      <c r="HT46">
        <v>1.8807400000000001</v>
      </c>
      <c r="HU46">
        <v>5</v>
      </c>
      <c r="HV46">
        <v>0</v>
      </c>
      <c r="HW46">
        <v>0</v>
      </c>
      <c r="HX46">
        <v>0</v>
      </c>
      <c r="HY46" t="s">
        <v>423</v>
      </c>
      <c r="HZ46" t="s">
        <v>424</v>
      </c>
      <c r="IA46" t="s">
        <v>425</v>
      </c>
      <c r="IB46" t="s">
        <v>425</v>
      </c>
      <c r="IC46" t="s">
        <v>425</v>
      </c>
      <c r="ID46" t="s">
        <v>425</v>
      </c>
      <c r="IE46">
        <v>0</v>
      </c>
      <c r="IF46">
        <v>100</v>
      </c>
      <c r="IG46">
        <v>100</v>
      </c>
      <c r="IH46">
        <v>-0.313</v>
      </c>
      <c r="II46">
        <v>0.25419999999999998</v>
      </c>
      <c r="IJ46">
        <v>-0.74724273512892303</v>
      </c>
      <c r="IK46">
        <v>2.2153513873161218E-3</v>
      </c>
      <c r="IL46">
        <v>-2.2967369670569612E-6</v>
      </c>
      <c r="IM46">
        <v>7.7859689150384122E-10</v>
      </c>
      <c r="IN46">
        <v>-0.13328466514901671</v>
      </c>
      <c r="IO46">
        <v>-4.1434251034592161E-3</v>
      </c>
      <c r="IP46">
        <v>8.3987709687394815E-4</v>
      </c>
      <c r="IQ46">
        <v>-7.4586254598011197E-6</v>
      </c>
      <c r="IR46">
        <v>2</v>
      </c>
      <c r="IS46">
        <v>1930</v>
      </c>
      <c r="IT46">
        <v>2</v>
      </c>
      <c r="IU46">
        <v>41</v>
      </c>
      <c r="IV46">
        <v>0.5</v>
      </c>
      <c r="IW46">
        <v>0.5</v>
      </c>
      <c r="IX46">
        <v>0.79834000000000005</v>
      </c>
      <c r="IY46">
        <v>2.4841299999999999</v>
      </c>
      <c r="IZ46">
        <v>1.24512</v>
      </c>
      <c r="JA46">
        <v>2.2668499999999998</v>
      </c>
      <c r="JB46">
        <v>1.4501999999999999</v>
      </c>
      <c r="JC46">
        <v>2.4401899999999999</v>
      </c>
      <c r="JD46">
        <v>35.452300000000001</v>
      </c>
      <c r="JE46">
        <v>24.017499999999998</v>
      </c>
      <c r="JF46">
        <v>18</v>
      </c>
      <c r="JG46">
        <v>496.66699999999997</v>
      </c>
      <c r="JH46">
        <v>499.74700000000001</v>
      </c>
      <c r="JI46">
        <v>27.7791</v>
      </c>
      <c r="JJ46">
        <v>30.175799999999999</v>
      </c>
      <c r="JK46">
        <v>30</v>
      </c>
      <c r="JL46">
        <v>30.031300000000002</v>
      </c>
      <c r="JM46">
        <v>29.993500000000001</v>
      </c>
      <c r="JN46">
        <v>16.0747</v>
      </c>
      <c r="JO46">
        <v>24.074300000000001</v>
      </c>
      <c r="JP46">
        <v>94.286799999999999</v>
      </c>
      <c r="JQ46">
        <v>27.776499999999999</v>
      </c>
      <c r="JR46">
        <v>300</v>
      </c>
      <c r="JS46">
        <v>23.591999999999999</v>
      </c>
      <c r="JT46">
        <v>99.866100000000003</v>
      </c>
      <c r="JU46">
        <v>99.342100000000002</v>
      </c>
    </row>
    <row r="47" spans="1:281" x14ac:dyDescent="0.25">
      <c r="A47">
        <v>31</v>
      </c>
      <c r="B47">
        <v>1693502957.5999999</v>
      </c>
      <c r="C47">
        <v>7308</v>
      </c>
      <c r="D47" t="s">
        <v>574</v>
      </c>
      <c r="E47" t="s">
        <v>575</v>
      </c>
      <c r="F47" t="s">
        <v>413</v>
      </c>
      <c r="G47" t="s">
        <v>565</v>
      </c>
      <c r="H47" t="s">
        <v>31</v>
      </c>
      <c r="I47">
        <v>3</v>
      </c>
      <c r="J47">
        <v>1693502957.5999999</v>
      </c>
      <c r="K47">
        <f t="shared" si="0"/>
        <v>4.4422200595627048E-3</v>
      </c>
      <c r="L47">
        <f t="shared" si="1"/>
        <v>4.4422200595627048</v>
      </c>
      <c r="M47">
        <f t="shared" si="2"/>
        <v>22.262442201986325</v>
      </c>
      <c r="N47">
        <f t="shared" si="3"/>
        <v>172.261</v>
      </c>
      <c r="O47">
        <f t="shared" si="4"/>
        <v>54.170786700870991</v>
      </c>
      <c r="P47">
        <f t="shared" si="5"/>
        <v>5.4022016385938656</v>
      </c>
      <c r="Q47">
        <f t="shared" si="6"/>
        <v>17.178791617047999</v>
      </c>
      <c r="R47">
        <f t="shared" si="7"/>
        <v>0.32471511906577044</v>
      </c>
      <c r="S47">
        <f t="shared" si="8"/>
        <v>2.9168267934707841</v>
      </c>
      <c r="T47">
        <f t="shared" si="9"/>
        <v>0.30588613731797848</v>
      </c>
      <c r="U47">
        <f t="shared" si="10"/>
        <v>0.19277949864332111</v>
      </c>
      <c r="V47">
        <f t="shared" si="11"/>
        <v>344.35739864447561</v>
      </c>
      <c r="W47">
        <f t="shared" si="12"/>
        <v>31.328414438792727</v>
      </c>
      <c r="X47">
        <f t="shared" si="13"/>
        <v>29.9787</v>
      </c>
      <c r="Y47">
        <f t="shared" si="14"/>
        <v>4.2552400838358402</v>
      </c>
      <c r="Z47">
        <f t="shared" si="15"/>
        <v>65.382194415734006</v>
      </c>
      <c r="AA47">
        <f t="shared" si="16"/>
        <v>2.8586376462567999</v>
      </c>
      <c r="AB47">
        <f t="shared" si="17"/>
        <v>4.3721959346914767</v>
      </c>
      <c r="AC47">
        <f t="shared" si="18"/>
        <v>1.3966024375790402</v>
      </c>
      <c r="AD47">
        <f t="shared" si="19"/>
        <v>-195.90190462671529</v>
      </c>
      <c r="AE47">
        <f t="shared" si="20"/>
        <v>74.348729567161342</v>
      </c>
      <c r="AF47">
        <f t="shared" si="21"/>
        <v>5.6797191151466917</v>
      </c>
      <c r="AG47">
        <f t="shared" si="22"/>
        <v>228.48394270006833</v>
      </c>
      <c r="AH47">
        <v>0</v>
      </c>
      <c r="AI47">
        <v>0</v>
      </c>
      <c r="AJ47">
        <f t="shared" si="23"/>
        <v>1</v>
      </c>
      <c r="AK47">
        <f t="shared" si="24"/>
        <v>0</v>
      </c>
      <c r="AL47">
        <f t="shared" si="25"/>
        <v>51904.891121194822</v>
      </c>
      <c r="AM47" t="s">
        <v>417</v>
      </c>
      <c r="AN47">
        <v>10366.9</v>
      </c>
      <c r="AO47">
        <v>993.59653846153856</v>
      </c>
      <c r="AP47">
        <v>3431.87</v>
      </c>
      <c r="AQ47">
        <f t="shared" si="26"/>
        <v>0.71047955241266758</v>
      </c>
      <c r="AR47">
        <v>-3.9894345373445681</v>
      </c>
      <c r="AS47" t="s">
        <v>576</v>
      </c>
      <c r="AT47">
        <v>10466.6</v>
      </c>
      <c r="AU47">
        <v>669.01456000000007</v>
      </c>
      <c r="AV47">
        <v>844.43522426895936</v>
      </c>
      <c r="AW47">
        <f t="shared" si="27"/>
        <v>0.20773726536671144</v>
      </c>
      <c r="AX47">
        <v>0.5</v>
      </c>
      <c r="AY47">
        <f t="shared" si="28"/>
        <v>1513.1339993222377</v>
      </c>
      <c r="AZ47">
        <f t="shared" si="29"/>
        <v>22.262442201986325</v>
      </c>
      <c r="BA47">
        <f t="shared" si="30"/>
        <v>157.16715957629853</v>
      </c>
      <c r="BB47">
        <f t="shared" si="31"/>
        <v>1.7349340343346738E-2</v>
      </c>
      <c r="BC47">
        <f t="shared" si="32"/>
        <v>3.0641009533573436</v>
      </c>
      <c r="BD47">
        <f t="shared" si="33"/>
        <v>526.51479605059774</v>
      </c>
      <c r="BE47" t="s">
        <v>577</v>
      </c>
      <c r="BF47">
        <v>562.1</v>
      </c>
      <c r="BG47">
        <f t="shared" si="34"/>
        <v>562.1</v>
      </c>
      <c r="BH47">
        <f t="shared" si="35"/>
        <v>0.33434799515070124</v>
      </c>
      <c r="BI47">
        <f t="shared" si="36"/>
        <v>0.62132050552023699</v>
      </c>
      <c r="BJ47">
        <f t="shared" si="37"/>
        <v>0.90161747308357143</v>
      </c>
      <c r="BK47">
        <f t="shared" si="38"/>
        <v>-1.1760466527029734</v>
      </c>
      <c r="BL47">
        <f t="shared" si="39"/>
        <v>1.0611749734168308</v>
      </c>
      <c r="BM47">
        <f t="shared" si="40"/>
        <v>0.52202788554097412</v>
      </c>
      <c r="BN47">
        <f t="shared" si="41"/>
        <v>0.47797211445902588</v>
      </c>
      <c r="BO47">
        <v>7804</v>
      </c>
      <c r="BP47">
        <v>290.00000000000011</v>
      </c>
      <c r="BQ47">
        <v>795.25</v>
      </c>
      <c r="BR47">
        <v>275</v>
      </c>
      <c r="BS47">
        <v>10466.6</v>
      </c>
      <c r="BT47">
        <v>795.07</v>
      </c>
      <c r="BU47">
        <v>0.18</v>
      </c>
      <c r="BV47">
        <v>300.00000000000011</v>
      </c>
      <c r="BW47">
        <v>38.200000000000003</v>
      </c>
      <c r="BX47">
        <v>844.43522426895936</v>
      </c>
      <c r="BY47">
        <v>0.88470638101115695</v>
      </c>
      <c r="BZ47">
        <v>-51.668201534747411</v>
      </c>
      <c r="CA47">
        <v>0.75893761671423587</v>
      </c>
      <c r="CB47">
        <v>0.99399507300877432</v>
      </c>
      <c r="CC47">
        <v>-1.137838976640713E-2</v>
      </c>
      <c r="CD47">
        <v>289.99999999999989</v>
      </c>
      <c r="CE47">
        <v>787.95</v>
      </c>
      <c r="CF47">
        <v>655</v>
      </c>
      <c r="CG47">
        <v>10457.4</v>
      </c>
      <c r="CH47">
        <v>795.03</v>
      </c>
      <c r="CI47">
        <v>-7.08</v>
      </c>
      <c r="CW47">
        <f t="shared" si="42"/>
        <v>1799.94</v>
      </c>
      <c r="CX47">
        <f t="shared" si="43"/>
        <v>1513.1339993222377</v>
      </c>
      <c r="CY47">
        <f t="shared" si="44"/>
        <v>0.84065802155751734</v>
      </c>
      <c r="CZ47">
        <f t="shared" si="45"/>
        <v>0.19131604311503472</v>
      </c>
      <c r="DA47">
        <v>6</v>
      </c>
      <c r="DB47">
        <v>0.5</v>
      </c>
      <c r="DC47" t="s">
        <v>420</v>
      </c>
      <c r="DD47">
        <v>2</v>
      </c>
      <c r="DE47">
        <v>1693502957.5999999</v>
      </c>
      <c r="DF47">
        <v>172.261</v>
      </c>
      <c r="DG47">
        <v>199.88</v>
      </c>
      <c r="DH47">
        <v>28.665099999999999</v>
      </c>
      <c r="DI47">
        <v>23.489899999999999</v>
      </c>
      <c r="DJ47">
        <v>172.636</v>
      </c>
      <c r="DK47">
        <v>28.411300000000001</v>
      </c>
      <c r="DL47">
        <v>500.25700000000001</v>
      </c>
      <c r="DM47">
        <v>99.625200000000007</v>
      </c>
      <c r="DN47">
        <v>0.10016799999999999</v>
      </c>
      <c r="DO47">
        <v>30.451499999999999</v>
      </c>
      <c r="DP47">
        <v>29.9787</v>
      </c>
      <c r="DQ47">
        <v>999.9</v>
      </c>
      <c r="DR47">
        <v>0</v>
      </c>
      <c r="DS47">
        <v>0</v>
      </c>
      <c r="DT47">
        <v>9965</v>
      </c>
      <c r="DU47">
        <v>0</v>
      </c>
      <c r="DV47">
        <v>1725.29</v>
      </c>
      <c r="DW47">
        <v>-27.6187</v>
      </c>
      <c r="DX47">
        <v>177.345</v>
      </c>
      <c r="DY47">
        <v>204.68799999999999</v>
      </c>
      <c r="DZ47">
        <v>5.1751699999999996</v>
      </c>
      <c r="EA47">
        <v>199.88</v>
      </c>
      <c r="EB47">
        <v>23.489899999999999</v>
      </c>
      <c r="EC47">
        <v>2.8557700000000001</v>
      </c>
      <c r="ED47">
        <v>2.3401900000000002</v>
      </c>
      <c r="EE47">
        <v>23.21</v>
      </c>
      <c r="EF47">
        <v>19.9557</v>
      </c>
      <c r="EG47">
        <v>1799.94</v>
      </c>
      <c r="EH47">
        <v>0.97800500000000001</v>
      </c>
      <c r="EI47">
        <v>2.1995000000000001E-2</v>
      </c>
      <c r="EJ47">
        <v>0</v>
      </c>
      <c r="EK47">
        <v>667.66499999999996</v>
      </c>
      <c r="EL47">
        <v>5.0010300000000001</v>
      </c>
      <c r="EM47">
        <v>12858</v>
      </c>
      <c r="EN47">
        <v>14700.6</v>
      </c>
      <c r="EO47">
        <v>46.936999999999998</v>
      </c>
      <c r="EP47">
        <v>48.811999999999998</v>
      </c>
      <c r="EQ47">
        <v>48.686999999999998</v>
      </c>
      <c r="ER47">
        <v>47.311999999999998</v>
      </c>
      <c r="ES47">
        <v>48.625</v>
      </c>
      <c r="ET47">
        <v>1755.46</v>
      </c>
      <c r="EU47">
        <v>39.479999999999997</v>
      </c>
      <c r="EV47">
        <v>0</v>
      </c>
      <c r="EW47">
        <v>97.399999856948853</v>
      </c>
      <c r="EX47">
        <v>0</v>
      </c>
      <c r="EY47">
        <v>669.01456000000007</v>
      </c>
      <c r="EZ47">
        <v>-11.18407693447268</v>
      </c>
      <c r="FA47">
        <v>-148.60769254248879</v>
      </c>
      <c r="FB47">
        <v>12878.588</v>
      </c>
      <c r="FC47">
        <v>15</v>
      </c>
      <c r="FD47">
        <v>1693502928.5999999</v>
      </c>
      <c r="FE47" t="s">
        <v>578</v>
      </c>
      <c r="FF47">
        <v>1693502924.5999999</v>
      </c>
      <c r="FG47">
        <v>1693502928.5999999</v>
      </c>
      <c r="FH47">
        <v>36</v>
      </c>
      <c r="FI47">
        <v>5.3999999999999999E-2</v>
      </c>
      <c r="FJ47">
        <v>-2E-3</v>
      </c>
      <c r="FK47">
        <v>-0.33500000000000002</v>
      </c>
      <c r="FL47">
        <v>0.13100000000000001</v>
      </c>
      <c r="FM47">
        <v>200</v>
      </c>
      <c r="FN47">
        <v>23</v>
      </c>
      <c r="FO47">
        <v>0.19</v>
      </c>
      <c r="FP47">
        <v>0.05</v>
      </c>
      <c r="FQ47">
        <v>22.263401782531851</v>
      </c>
      <c r="FR47">
        <v>0.119889772298824</v>
      </c>
      <c r="FS47">
        <v>6.0279343392038977E-2</v>
      </c>
      <c r="FT47">
        <v>1</v>
      </c>
      <c r="FU47">
        <v>0.32602834042820222</v>
      </c>
      <c r="FV47">
        <v>4.1615597357038542E-2</v>
      </c>
      <c r="FW47">
        <v>4.9174779108953834E-3</v>
      </c>
      <c r="FX47">
        <v>1</v>
      </c>
      <c r="FY47">
        <v>2</v>
      </c>
      <c r="FZ47">
        <v>2</v>
      </c>
      <c r="GA47" t="s">
        <v>422</v>
      </c>
      <c r="GB47">
        <v>2.9069099999999999</v>
      </c>
      <c r="GC47">
        <v>2.8178700000000001</v>
      </c>
      <c r="GD47">
        <v>4.53444E-2</v>
      </c>
      <c r="GE47">
        <v>5.1704800000000002E-2</v>
      </c>
      <c r="GF47">
        <v>0.13592000000000001</v>
      </c>
      <c r="GG47">
        <v>0.118364</v>
      </c>
      <c r="GH47">
        <v>26633.599999999999</v>
      </c>
      <c r="GI47">
        <v>26480.799999999999</v>
      </c>
      <c r="GJ47">
        <v>24746.9</v>
      </c>
      <c r="GK47">
        <v>24927.7</v>
      </c>
      <c r="GL47">
        <v>28383.1</v>
      </c>
      <c r="GM47">
        <v>28717.3</v>
      </c>
      <c r="GN47">
        <v>33459.4</v>
      </c>
      <c r="GO47">
        <v>33280.5</v>
      </c>
      <c r="GP47">
        <v>1.9964999999999999</v>
      </c>
      <c r="GQ47">
        <v>1.9246000000000001</v>
      </c>
      <c r="GR47">
        <v>8.8483099999999995E-2</v>
      </c>
      <c r="GS47">
        <v>0</v>
      </c>
      <c r="GT47">
        <v>28.536999999999999</v>
      </c>
      <c r="GU47">
        <v>999.9</v>
      </c>
      <c r="GV47">
        <v>58.2</v>
      </c>
      <c r="GW47">
        <v>32</v>
      </c>
      <c r="GX47">
        <v>27.897300000000001</v>
      </c>
      <c r="GY47">
        <v>61.970100000000002</v>
      </c>
      <c r="GZ47">
        <v>24.823699999999999</v>
      </c>
      <c r="HA47">
        <v>1</v>
      </c>
      <c r="HB47">
        <v>0.207398</v>
      </c>
      <c r="HC47">
        <v>0.15448799999999999</v>
      </c>
      <c r="HD47">
        <v>20.174399999999999</v>
      </c>
      <c r="HE47">
        <v>5.2346599999999999</v>
      </c>
      <c r="HF47">
        <v>11.9201</v>
      </c>
      <c r="HG47">
        <v>4.9615999999999998</v>
      </c>
      <c r="HH47">
        <v>3.2890000000000001</v>
      </c>
      <c r="HI47">
        <v>9999</v>
      </c>
      <c r="HJ47">
        <v>9999</v>
      </c>
      <c r="HK47">
        <v>9999</v>
      </c>
      <c r="HL47">
        <v>893.5</v>
      </c>
      <c r="HM47">
        <v>1.8808</v>
      </c>
      <c r="HN47">
        <v>1.8778900000000001</v>
      </c>
      <c r="HO47">
        <v>1.8858299999999999</v>
      </c>
      <c r="HP47">
        <v>1.8836999999999999</v>
      </c>
      <c r="HQ47">
        <v>1.8811199999999999</v>
      </c>
      <c r="HR47">
        <v>1.88019</v>
      </c>
      <c r="HS47">
        <v>1.8813200000000001</v>
      </c>
      <c r="HT47">
        <v>1.8807700000000001</v>
      </c>
      <c r="HU47">
        <v>5</v>
      </c>
      <c r="HV47">
        <v>0</v>
      </c>
      <c r="HW47">
        <v>0</v>
      </c>
      <c r="HX47">
        <v>0</v>
      </c>
      <c r="HY47" t="s">
        <v>423</v>
      </c>
      <c r="HZ47" t="s">
        <v>424</v>
      </c>
      <c r="IA47" t="s">
        <v>425</v>
      </c>
      <c r="IB47" t="s">
        <v>425</v>
      </c>
      <c r="IC47" t="s">
        <v>425</v>
      </c>
      <c r="ID47" t="s">
        <v>425</v>
      </c>
      <c r="IE47">
        <v>0</v>
      </c>
      <c r="IF47">
        <v>100</v>
      </c>
      <c r="IG47">
        <v>100</v>
      </c>
      <c r="IH47">
        <v>-0.375</v>
      </c>
      <c r="II47">
        <v>0.25380000000000003</v>
      </c>
      <c r="IJ47">
        <v>-0.6931408121257514</v>
      </c>
      <c r="IK47">
        <v>2.2153513873161218E-3</v>
      </c>
      <c r="IL47">
        <v>-2.2967369670569612E-6</v>
      </c>
      <c r="IM47">
        <v>7.7859689150384122E-10</v>
      </c>
      <c r="IN47">
        <v>-0.13542360334294601</v>
      </c>
      <c r="IO47">
        <v>-4.1434251034592161E-3</v>
      </c>
      <c r="IP47">
        <v>8.3987709687394815E-4</v>
      </c>
      <c r="IQ47">
        <v>-7.4586254598011197E-6</v>
      </c>
      <c r="IR47">
        <v>2</v>
      </c>
      <c r="IS47">
        <v>1930</v>
      </c>
      <c r="IT47">
        <v>2</v>
      </c>
      <c r="IU47">
        <v>41</v>
      </c>
      <c r="IV47">
        <v>0.6</v>
      </c>
      <c r="IW47">
        <v>0.5</v>
      </c>
      <c r="IX47">
        <v>0.58837899999999999</v>
      </c>
      <c r="IY47">
        <v>2.49634</v>
      </c>
      <c r="IZ47">
        <v>1.24512</v>
      </c>
      <c r="JA47">
        <v>2.2668499999999998</v>
      </c>
      <c r="JB47">
        <v>1.4501999999999999</v>
      </c>
      <c r="JC47">
        <v>2.4340799999999998</v>
      </c>
      <c r="JD47">
        <v>35.313299999999998</v>
      </c>
      <c r="JE47">
        <v>24.008700000000001</v>
      </c>
      <c r="JF47">
        <v>18</v>
      </c>
      <c r="JG47">
        <v>497.02300000000002</v>
      </c>
      <c r="JH47">
        <v>499.91699999999997</v>
      </c>
      <c r="JI47">
        <v>27.897200000000002</v>
      </c>
      <c r="JJ47">
        <v>30.1601</v>
      </c>
      <c r="JK47">
        <v>30</v>
      </c>
      <c r="JL47">
        <v>30.0261</v>
      </c>
      <c r="JM47">
        <v>29.988299999999999</v>
      </c>
      <c r="JN47">
        <v>11.8543</v>
      </c>
      <c r="JO47">
        <v>24.084599999999998</v>
      </c>
      <c r="JP47">
        <v>94.605599999999995</v>
      </c>
      <c r="JQ47">
        <v>27.898399999999999</v>
      </c>
      <c r="JR47">
        <v>200</v>
      </c>
      <c r="JS47">
        <v>23.497399999999999</v>
      </c>
      <c r="JT47">
        <v>99.871899999999997</v>
      </c>
      <c r="JU47">
        <v>99.3446</v>
      </c>
    </row>
    <row r="48" spans="1:281" x14ac:dyDescent="0.25">
      <c r="A48">
        <v>32</v>
      </c>
      <c r="B48">
        <v>1693503101.5999999</v>
      </c>
      <c r="C48">
        <v>7452</v>
      </c>
      <c r="D48" t="s">
        <v>579</v>
      </c>
      <c r="E48" t="s">
        <v>580</v>
      </c>
      <c r="F48" t="s">
        <v>413</v>
      </c>
      <c r="G48" t="s">
        <v>565</v>
      </c>
      <c r="H48" t="s">
        <v>31</v>
      </c>
      <c r="I48">
        <v>3</v>
      </c>
      <c r="J48">
        <v>1693503101.5999999</v>
      </c>
      <c r="K48">
        <f t="shared" si="0"/>
        <v>4.7369150029608611E-3</v>
      </c>
      <c r="L48">
        <f t="shared" si="1"/>
        <v>4.7369150029608615</v>
      </c>
      <c r="M48">
        <f t="shared" si="2"/>
        <v>13.946967631827802</v>
      </c>
      <c r="N48">
        <f t="shared" si="3"/>
        <v>102.629</v>
      </c>
      <c r="O48">
        <f t="shared" si="4"/>
        <v>33.86744092517813</v>
      </c>
      <c r="P48">
        <f t="shared" si="5"/>
        <v>3.3773469952866271</v>
      </c>
      <c r="Q48">
        <f t="shared" si="6"/>
        <v>10.234423839257003</v>
      </c>
      <c r="R48">
        <f t="shared" si="7"/>
        <v>0.35095746254067078</v>
      </c>
      <c r="S48">
        <f t="shared" si="8"/>
        <v>2.9194071328216102</v>
      </c>
      <c r="T48">
        <f t="shared" si="9"/>
        <v>0.32909022209148903</v>
      </c>
      <c r="U48">
        <f t="shared" si="10"/>
        <v>0.20753243299405782</v>
      </c>
      <c r="V48">
        <f t="shared" si="11"/>
        <v>344.37449864454339</v>
      </c>
      <c r="W48">
        <f t="shared" si="12"/>
        <v>31.351935123914959</v>
      </c>
      <c r="X48">
        <f t="shared" si="13"/>
        <v>29.994199999999999</v>
      </c>
      <c r="Y48">
        <f t="shared" si="14"/>
        <v>4.2590306213415525</v>
      </c>
      <c r="Z48">
        <f t="shared" si="15"/>
        <v>65.377168101243669</v>
      </c>
      <c r="AA48">
        <f t="shared" si="16"/>
        <v>2.8749707096301003</v>
      </c>
      <c r="AB48">
        <f t="shared" si="17"/>
        <v>4.3975149018047022</v>
      </c>
      <c r="AC48">
        <f t="shared" si="18"/>
        <v>1.3840599117114523</v>
      </c>
      <c r="AD48">
        <f t="shared" si="19"/>
        <v>-208.89795163057397</v>
      </c>
      <c r="AE48">
        <f t="shared" si="20"/>
        <v>87.855699373799524</v>
      </c>
      <c r="AF48">
        <f t="shared" si="21"/>
        <v>6.7094880240960242</v>
      </c>
      <c r="AG48">
        <f t="shared" si="22"/>
        <v>230.04173441186495</v>
      </c>
      <c r="AH48">
        <v>0</v>
      </c>
      <c r="AI48">
        <v>0</v>
      </c>
      <c r="AJ48">
        <f t="shared" si="23"/>
        <v>1</v>
      </c>
      <c r="AK48">
        <f t="shared" si="24"/>
        <v>0</v>
      </c>
      <c r="AL48">
        <f t="shared" si="25"/>
        <v>51961.035341563758</v>
      </c>
      <c r="AM48" t="s">
        <v>417</v>
      </c>
      <c r="AN48">
        <v>10366.9</v>
      </c>
      <c r="AO48">
        <v>993.59653846153856</v>
      </c>
      <c r="AP48">
        <v>3431.87</v>
      </c>
      <c r="AQ48">
        <f t="shared" si="26"/>
        <v>0.71047955241266758</v>
      </c>
      <c r="AR48">
        <v>-3.9894345373445681</v>
      </c>
      <c r="AS48" t="s">
        <v>581</v>
      </c>
      <c r="AT48">
        <v>10471.1</v>
      </c>
      <c r="AU48">
        <v>654.01</v>
      </c>
      <c r="AV48">
        <v>753.64807140479672</v>
      </c>
      <c r="AW48">
        <f t="shared" si="27"/>
        <v>0.13220769107664776</v>
      </c>
      <c r="AX48">
        <v>0.5</v>
      </c>
      <c r="AY48">
        <f t="shared" si="28"/>
        <v>1513.2095993222715</v>
      </c>
      <c r="AZ48">
        <f t="shared" si="29"/>
        <v>13.946967631827802</v>
      </c>
      <c r="BA48">
        <f t="shared" si="30"/>
        <v>100.0289736207084</v>
      </c>
      <c r="BB48">
        <f t="shared" si="31"/>
        <v>1.1853217278826166E-2</v>
      </c>
      <c r="BC48">
        <f t="shared" si="32"/>
        <v>3.5536771474821256</v>
      </c>
      <c r="BD48">
        <f t="shared" si="33"/>
        <v>489.73091385128845</v>
      </c>
      <c r="BE48" t="s">
        <v>582</v>
      </c>
      <c r="BF48">
        <v>551.70000000000005</v>
      </c>
      <c r="BG48">
        <f t="shared" si="34"/>
        <v>551.70000000000005</v>
      </c>
      <c r="BH48">
        <f t="shared" si="35"/>
        <v>0.26796070880718414</v>
      </c>
      <c r="BI48">
        <f t="shared" si="36"/>
        <v>0.49338461472640793</v>
      </c>
      <c r="BJ48">
        <f t="shared" si="37"/>
        <v>0.9298832807074594</v>
      </c>
      <c r="BK48">
        <f t="shared" si="38"/>
        <v>-0.41524779310732091</v>
      </c>
      <c r="BL48">
        <f t="shared" si="39"/>
        <v>1.0984091697841567</v>
      </c>
      <c r="BM48">
        <f t="shared" si="40"/>
        <v>0.41620203352327839</v>
      </c>
      <c r="BN48">
        <f t="shared" si="41"/>
        <v>0.58379796647672166</v>
      </c>
      <c r="BO48">
        <v>7806</v>
      </c>
      <c r="BP48">
        <v>290.00000000000011</v>
      </c>
      <c r="BQ48">
        <v>728.59</v>
      </c>
      <c r="BR48">
        <v>235</v>
      </c>
      <c r="BS48">
        <v>10471.1</v>
      </c>
      <c r="BT48">
        <v>727.34</v>
      </c>
      <c r="BU48">
        <v>1.25</v>
      </c>
      <c r="BV48">
        <v>300.00000000000011</v>
      </c>
      <c r="BW48">
        <v>38.200000000000003</v>
      </c>
      <c r="BX48">
        <v>753.64807140479672</v>
      </c>
      <c r="BY48">
        <v>0.99460314423051976</v>
      </c>
      <c r="BZ48">
        <v>-27.548339043142029</v>
      </c>
      <c r="CA48">
        <v>0.85325458305343871</v>
      </c>
      <c r="CB48">
        <v>0.97384150625854171</v>
      </c>
      <c r="CC48">
        <v>-1.137877330367074E-2</v>
      </c>
      <c r="CD48">
        <v>289.99999999999989</v>
      </c>
      <c r="CE48">
        <v>723.52</v>
      </c>
      <c r="CF48">
        <v>685</v>
      </c>
      <c r="CG48">
        <v>10455.799999999999</v>
      </c>
      <c r="CH48">
        <v>727.3</v>
      </c>
      <c r="CI48">
        <v>-3.78</v>
      </c>
      <c r="CW48">
        <f t="shared" si="42"/>
        <v>1800.03</v>
      </c>
      <c r="CX48">
        <f t="shared" si="43"/>
        <v>1513.2095993222715</v>
      </c>
      <c r="CY48">
        <f t="shared" si="44"/>
        <v>0.84065798865700658</v>
      </c>
      <c r="CZ48">
        <f t="shared" si="45"/>
        <v>0.19131597731401331</v>
      </c>
      <c r="DA48">
        <v>6</v>
      </c>
      <c r="DB48">
        <v>0.5</v>
      </c>
      <c r="DC48" t="s">
        <v>420</v>
      </c>
      <c r="DD48">
        <v>2</v>
      </c>
      <c r="DE48">
        <v>1693503101.5999999</v>
      </c>
      <c r="DF48">
        <v>102.629</v>
      </c>
      <c r="DG48">
        <v>119.922</v>
      </c>
      <c r="DH48">
        <v>28.829699999999999</v>
      </c>
      <c r="DI48">
        <v>23.317799999999998</v>
      </c>
      <c r="DJ48">
        <v>103.08499999999999</v>
      </c>
      <c r="DK48">
        <v>28.572900000000001</v>
      </c>
      <c r="DL48">
        <v>500.77300000000002</v>
      </c>
      <c r="DM48">
        <v>99.622200000000007</v>
      </c>
      <c r="DN48">
        <v>0.10033300000000001</v>
      </c>
      <c r="DO48">
        <v>30.552399999999999</v>
      </c>
      <c r="DP48">
        <v>29.994199999999999</v>
      </c>
      <c r="DQ48">
        <v>999.9</v>
      </c>
      <c r="DR48">
        <v>0</v>
      </c>
      <c r="DS48">
        <v>0</v>
      </c>
      <c r="DT48">
        <v>9980</v>
      </c>
      <c r="DU48">
        <v>0</v>
      </c>
      <c r="DV48">
        <v>1722.22</v>
      </c>
      <c r="DW48">
        <v>-17.293099999999999</v>
      </c>
      <c r="DX48">
        <v>105.675</v>
      </c>
      <c r="DY48">
        <v>122.785</v>
      </c>
      <c r="DZ48">
        <v>5.5119600000000002</v>
      </c>
      <c r="EA48">
        <v>119.922</v>
      </c>
      <c r="EB48">
        <v>23.317799999999998</v>
      </c>
      <c r="EC48">
        <v>2.87208</v>
      </c>
      <c r="ED48">
        <v>2.3229700000000002</v>
      </c>
      <c r="EE48">
        <v>23.304300000000001</v>
      </c>
      <c r="EF48">
        <v>19.836600000000001</v>
      </c>
      <c r="EG48">
        <v>1800.03</v>
      </c>
      <c r="EH48">
        <v>0.97800500000000001</v>
      </c>
      <c r="EI48">
        <v>2.1995000000000001E-2</v>
      </c>
      <c r="EJ48">
        <v>0</v>
      </c>
      <c r="EK48">
        <v>653.97500000000002</v>
      </c>
      <c r="EL48">
        <v>5.0010300000000001</v>
      </c>
      <c r="EM48">
        <v>12598.6</v>
      </c>
      <c r="EN48">
        <v>14701.4</v>
      </c>
      <c r="EO48">
        <v>46.875</v>
      </c>
      <c r="EP48">
        <v>48.625</v>
      </c>
      <c r="EQ48">
        <v>48.436999999999998</v>
      </c>
      <c r="ER48">
        <v>47.125</v>
      </c>
      <c r="ES48">
        <v>48.625</v>
      </c>
      <c r="ET48">
        <v>1755.55</v>
      </c>
      <c r="EU48">
        <v>39.479999999999997</v>
      </c>
      <c r="EV48">
        <v>0</v>
      </c>
      <c r="EW48">
        <v>141.79999995231631</v>
      </c>
      <c r="EX48">
        <v>0</v>
      </c>
      <c r="EY48">
        <v>654.01</v>
      </c>
      <c r="EZ48">
        <v>-1.7873076727738619</v>
      </c>
      <c r="FA48">
        <v>-58.669230693429412</v>
      </c>
      <c r="FB48">
        <v>12603.608</v>
      </c>
      <c r="FC48">
        <v>15</v>
      </c>
      <c r="FD48">
        <v>1693503073.0999999</v>
      </c>
      <c r="FE48" t="s">
        <v>583</v>
      </c>
      <c r="FF48">
        <v>1693503069.0999999</v>
      </c>
      <c r="FG48">
        <v>1693503073.0999999</v>
      </c>
      <c r="FH48">
        <v>37</v>
      </c>
      <c r="FI48">
        <v>3.2000000000000001E-2</v>
      </c>
      <c r="FJ48">
        <v>-1E-3</v>
      </c>
      <c r="FK48">
        <v>-0.42599999999999999</v>
      </c>
      <c r="FL48">
        <v>0.122</v>
      </c>
      <c r="FM48">
        <v>120</v>
      </c>
      <c r="FN48">
        <v>23</v>
      </c>
      <c r="FO48">
        <v>0.22</v>
      </c>
      <c r="FP48">
        <v>0.11</v>
      </c>
      <c r="FQ48">
        <v>14.048733315894969</v>
      </c>
      <c r="FR48">
        <v>0.48691040906212341</v>
      </c>
      <c r="FS48">
        <v>6.8935011045134775E-2</v>
      </c>
      <c r="FT48">
        <v>1</v>
      </c>
      <c r="FU48">
        <v>0.35313936442381821</v>
      </c>
      <c r="FV48">
        <v>1.702499079178408E-2</v>
      </c>
      <c r="FW48">
        <v>3.1967270069947272E-3</v>
      </c>
      <c r="FX48">
        <v>1</v>
      </c>
      <c r="FY48">
        <v>2</v>
      </c>
      <c r="FZ48">
        <v>2</v>
      </c>
      <c r="GA48" t="s">
        <v>422</v>
      </c>
      <c r="GB48">
        <v>2.9083100000000002</v>
      </c>
      <c r="GC48">
        <v>2.8181699999999998</v>
      </c>
      <c r="GD48">
        <v>2.8050800000000001E-2</v>
      </c>
      <c r="GE48">
        <v>3.2422199999999998E-2</v>
      </c>
      <c r="GF48">
        <v>0.13644999999999999</v>
      </c>
      <c r="GG48">
        <v>0.117768</v>
      </c>
      <c r="GH48">
        <v>27117.9</v>
      </c>
      <c r="GI48">
        <v>27018.5</v>
      </c>
      <c r="GJ48">
        <v>24748.799999999999</v>
      </c>
      <c r="GK48">
        <v>24927.200000000001</v>
      </c>
      <c r="GL48">
        <v>28366.5</v>
      </c>
      <c r="GM48">
        <v>28736.5</v>
      </c>
      <c r="GN48">
        <v>33460.9</v>
      </c>
      <c r="GO48">
        <v>33280.1</v>
      </c>
      <c r="GP48">
        <v>1.9968999999999999</v>
      </c>
      <c r="GQ48">
        <v>1.9259999999999999</v>
      </c>
      <c r="GR48">
        <v>9.5024700000000004E-2</v>
      </c>
      <c r="GS48">
        <v>0</v>
      </c>
      <c r="GT48">
        <v>28.445799999999998</v>
      </c>
      <c r="GU48">
        <v>999.9</v>
      </c>
      <c r="GV48">
        <v>58.4</v>
      </c>
      <c r="GW48">
        <v>31.9</v>
      </c>
      <c r="GX48">
        <v>27.834399999999999</v>
      </c>
      <c r="GY48">
        <v>61.670099999999998</v>
      </c>
      <c r="GZ48">
        <v>24.114599999999999</v>
      </c>
      <c r="HA48">
        <v>1</v>
      </c>
      <c r="HB48">
        <v>0.20557900000000001</v>
      </c>
      <c r="HC48">
        <v>-0.15012</v>
      </c>
      <c r="HD48">
        <v>20.1739</v>
      </c>
      <c r="HE48">
        <v>5.2346599999999999</v>
      </c>
      <c r="HF48">
        <v>11.9201</v>
      </c>
      <c r="HG48">
        <v>4.9618000000000002</v>
      </c>
      <c r="HH48">
        <v>3.2890000000000001</v>
      </c>
      <c r="HI48">
        <v>9999</v>
      </c>
      <c r="HJ48">
        <v>9999</v>
      </c>
      <c r="HK48">
        <v>9999</v>
      </c>
      <c r="HL48">
        <v>893.5</v>
      </c>
      <c r="HM48">
        <v>1.88076</v>
      </c>
      <c r="HN48">
        <v>1.8777699999999999</v>
      </c>
      <c r="HO48">
        <v>1.8857699999999999</v>
      </c>
      <c r="HP48">
        <v>1.8836200000000001</v>
      </c>
      <c r="HQ48">
        <v>1.88104</v>
      </c>
      <c r="HR48">
        <v>1.88019</v>
      </c>
      <c r="HS48">
        <v>1.8812599999999999</v>
      </c>
      <c r="HT48">
        <v>1.8806499999999999</v>
      </c>
      <c r="HU48">
        <v>5</v>
      </c>
      <c r="HV48">
        <v>0</v>
      </c>
      <c r="HW48">
        <v>0</v>
      </c>
      <c r="HX48">
        <v>0</v>
      </c>
      <c r="HY48" t="s">
        <v>423</v>
      </c>
      <c r="HZ48" t="s">
        <v>424</v>
      </c>
      <c r="IA48" t="s">
        <v>425</v>
      </c>
      <c r="IB48" t="s">
        <v>425</v>
      </c>
      <c r="IC48" t="s">
        <v>425</v>
      </c>
      <c r="ID48" t="s">
        <v>425</v>
      </c>
      <c r="IE48">
        <v>0</v>
      </c>
      <c r="IF48">
        <v>100</v>
      </c>
      <c r="IG48">
        <v>100</v>
      </c>
      <c r="IH48">
        <v>-0.45600000000000002</v>
      </c>
      <c r="II48">
        <v>0.25679999999999997</v>
      </c>
      <c r="IJ48">
        <v>-0.66111290829053226</v>
      </c>
      <c r="IK48">
        <v>2.2153513873161218E-3</v>
      </c>
      <c r="IL48">
        <v>-2.2967369670569612E-6</v>
      </c>
      <c r="IM48">
        <v>7.7859689150384122E-10</v>
      </c>
      <c r="IN48">
        <v>-0.1364829991421187</v>
      </c>
      <c r="IO48">
        <v>-4.1434251034592161E-3</v>
      </c>
      <c r="IP48">
        <v>8.3987709687394815E-4</v>
      </c>
      <c r="IQ48">
        <v>-7.4586254598011197E-6</v>
      </c>
      <c r="IR48">
        <v>2</v>
      </c>
      <c r="IS48">
        <v>1930</v>
      </c>
      <c r="IT48">
        <v>2</v>
      </c>
      <c r="IU48">
        <v>41</v>
      </c>
      <c r="IV48">
        <v>0.5</v>
      </c>
      <c r="IW48">
        <v>0.5</v>
      </c>
      <c r="IX48">
        <v>0.41503899999999999</v>
      </c>
      <c r="IY48">
        <v>2.52319</v>
      </c>
      <c r="IZ48">
        <v>1.24512</v>
      </c>
      <c r="JA48">
        <v>2.2668499999999998</v>
      </c>
      <c r="JB48">
        <v>1.4501999999999999</v>
      </c>
      <c r="JC48">
        <v>2.2338900000000002</v>
      </c>
      <c r="JD48">
        <v>35.128599999999999</v>
      </c>
      <c r="JE48">
        <v>24.052499999999998</v>
      </c>
      <c r="JF48">
        <v>18</v>
      </c>
      <c r="JG48">
        <v>497.089</v>
      </c>
      <c r="JH48">
        <v>500.76299999999998</v>
      </c>
      <c r="JI48">
        <v>28.063199999999998</v>
      </c>
      <c r="JJ48">
        <v>30.1236</v>
      </c>
      <c r="JK48">
        <v>30</v>
      </c>
      <c r="JL48">
        <v>30.002600000000001</v>
      </c>
      <c r="JM48">
        <v>29.970099999999999</v>
      </c>
      <c r="JN48">
        <v>8.3788</v>
      </c>
      <c r="JO48">
        <v>24.9056</v>
      </c>
      <c r="JP48">
        <v>95.029899999999998</v>
      </c>
      <c r="JQ48">
        <v>28.140999999999998</v>
      </c>
      <c r="JR48">
        <v>120</v>
      </c>
      <c r="JS48">
        <v>23.2316</v>
      </c>
      <c r="JT48">
        <v>99.877499999999998</v>
      </c>
      <c r="JU48">
        <v>99.343000000000004</v>
      </c>
    </row>
    <row r="49" spans="1:281" x14ac:dyDescent="0.25">
      <c r="A49">
        <v>33</v>
      </c>
      <c r="B49">
        <v>1693503202.0999999</v>
      </c>
      <c r="C49">
        <v>7552.5</v>
      </c>
      <c r="D49" t="s">
        <v>584</v>
      </c>
      <c r="E49" t="s">
        <v>585</v>
      </c>
      <c r="F49" t="s">
        <v>413</v>
      </c>
      <c r="G49" t="s">
        <v>565</v>
      </c>
      <c r="H49" t="s">
        <v>31</v>
      </c>
      <c r="I49">
        <v>3</v>
      </c>
      <c r="J49">
        <v>1693503202.0999999</v>
      </c>
      <c r="K49">
        <f t="shared" ref="K49:K80" si="46">(L49)/1000</f>
        <v>4.8696584443223695E-3</v>
      </c>
      <c r="L49">
        <f t="shared" ref="L49:L80" si="47">1000*DL49*AJ49*(DH49-DI49)/(100*DA49*(1000-AJ49*DH49))</f>
        <v>4.8696584443223694</v>
      </c>
      <c r="M49">
        <f t="shared" ref="M49:M80" si="48">DL49*AJ49*(DG49-DF49*(1000-AJ49*DI49)/(1000-AJ49*DH49))/(100*DA49)</f>
        <v>8.475371511486907</v>
      </c>
      <c r="N49">
        <f t="shared" ref="N49:N80" si="49">DF49 - IF(AJ49&gt;1, M49*DA49*100/(AL49*DT49), 0)</f>
        <v>59.523200000000003</v>
      </c>
      <c r="O49">
        <f t="shared" ref="O49:O80" si="50">((U49-K49/2)*N49-M49)/(U49+K49/2)</f>
        <v>19.398576816176035</v>
      </c>
      <c r="P49">
        <f t="shared" ref="P49:P80" si="51">O49*(DM49+DN49)/1000</f>
        <v>1.934514557017933</v>
      </c>
      <c r="Q49">
        <f t="shared" ref="Q49:Q80" si="52">(DF49 - IF(AJ49&gt;1, M49*DA49*100/(AL49*DT49), 0))*(DM49+DN49)/1000</f>
        <v>5.9359249893152013</v>
      </c>
      <c r="R49">
        <f t="shared" ref="R49:R80" si="53">2/((1/T49-1/S49)+SIGN(T49)*SQRT((1/T49-1/S49)*(1/T49-1/S49) + 4*DB49/((DB49+1)*(DB49+1))*(2*1/T49*1/S49-1/S49*1/S49)))</f>
        <v>0.36617027472374097</v>
      </c>
      <c r="S49">
        <f t="shared" ref="S49:S80" si="54">IF(LEFT(DC49,1)&lt;&gt;"0",IF(LEFT(DC49,1)="1",3,DD49),$D$5+$E$5*(DT49*DM49/($K$5*1000))+$F$5*(DT49*DM49/($K$5*1000))*MAX(MIN(DA49,$J$5),$I$5)*MAX(MIN(DA49,$J$5),$I$5)+$G$5*MAX(MIN(DA49,$J$5),$I$5)*(DT49*DM49/($K$5*1000))+$H$5*(DT49*DM49/($K$5*1000))*(DT49*DM49/($K$5*1000)))</f>
        <v>2.9168092263674854</v>
      </c>
      <c r="T49">
        <f t="shared" ref="T49:T80" si="55">K49*(1000-(1000*0.61365*EXP(17.502*X49/(240.97+X49))/(DM49+DN49)+DH49)/2)/(1000*0.61365*EXP(17.502*X49/(240.97+X49))/(DM49+DN49)-DH49)</f>
        <v>0.34241530094985051</v>
      </c>
      <c r="U49">
        <f t="shared" ref="U49:U80" si="56">1/((DB49+1)/(R49/1.6)+1/(S49/1.37)) + DB49/((DB49+1)/(R49/1.6) + DB49/(S49/1.37))</f>
        <v>0.21601530113404493</v>
      </c>
      <c r="V49">
        <f t="shared" ref="V49:V80" si="57">(CW49*CZ49)</f>
        <v>344.39541180366081</v>
      </c>
      <c r="W49">
        <f t="shared" ref="W49:W80" si="58">(DO49+(V49+2*0.95*0.0000000567*(((DO49+$B$7)+273)^4-(DO49+273)^4)-44100*K49)/(1.84*29.3*S49+8*0.95*0.0000000567*(DO49+273)^3))</f>
        <v>31.286160556253908</v>
      </c>
      <c r="X49">
        <f t="shared" ref="X49:X80" si="59">($C$7*DP49+$D$7*DQ49+$E$7*W49)</f>
        <v>29.933499999999999</v>
      </c>
      <c r="Y49">
        <f t="shared" ref="Y49:Y80" si="60">0.61365*EXP(17.502*X49/(240.97+X49))</f>
        <v>4.2442031702243215</v>
      </c>
      <c r="Z49">
        <f t="shared" ref="Z49:Z80" si="61">(AA49/AB49*100)</f>
        <v>65.534198193805139</v>
      </c>
      <c r="AA49">
        <f t="shared" ref="AA49:AA80" si="62">DH49*(DM49+DN49)/1000</f>
        <v>2.8766048243255002</v>
      </c>
      <c r="AB49">
        <f t="shared" ref="AB49:AB80" si="63">0.61365*EXP(17.502*DO49/(240.97+DO49))</f>
        <v>4.3894713044607325</v>
      </c>
      <c r="AC49">
        <f t="shared" ref="AC49:AC80" si="64">(Y49-DH49*(DM49+DN49)/1000)</f>
        <v>1.3675983458988212</v>
      </c>
      <c r="AD49">
        <f t="shared" ref="AD49:AD80" si="65">(-K49*44100)</f>
        <v>-214.7519373946165</v>
      </c>
      <c r="AE49">
        <f t="shared" ref="AE49:AE80" si="66">2*29.3*S49*0.92*(DO49-X49)</f>
        <v>92.29062305809812</v>
      </c>
      <c r="AF49">
        <f t="shared" ref="AF49:AF80" si="67">2*0.95*0.0000000567*(((DO49+$B$7)+273)^4-(X49+273)^4)</f>
        <v>7.0512247937313335</v>
      </c>
      <c r="AG49">
        <f t="shared" ref="AG49:AG80" si="68">V49+AF49+AD49+AE49</f>
        <v>228.98532226087372</v>
      </c>
      <c r="AH49">
        <v>0</v>
      </c>
      <c r="AI49">
        <v>0</v>
      </c>
      <c r="AJ49">
        <f t="shared" ref="AJ49:AJ80" si="69">IF(AH49*$H$13&gt;=AL49,1,(AL49/(AL49-AH49*$H$13)))</f>
        <v>1</v>
      </c>
      <c r="AK49">
        <f t="shared" ref="AK49:AK80" si="70">(AJ49-1)*100</f>
        <v>0</v>
      </c>
      <c r="AL49">
        <f t="shared" ref="AL49:AL80" si="71">MAX(0,($B$13+$C$13*DT49)/(1+$D$13*DT49)*DM49/(DO49+273)*$E$13)</f>
        <v>51892.587678912365</v>
      </c>
      <c r="AM49" t="s">
        <v>417</v>
      </c>
      <c r="AN49">
        <v>10366.9</v>
      </c>
      <c r="AO49">
        <v>993.59653846153856</v>
      </c>
      <c r="AP49">
        <v>3431.87</v>
      </c>
      <c r="AQ49">
        <f t="shared" ref="AQ49:AQ80" si="72">1-AO49/AP49</f>
        <v>0.71047955241266758</v>
      </c>
      <c r="AR49">
        <v>-3.9894345373445681</v>
      </c>
      <c r="AS49" t="s">
        <v>586</v>
      </c>
      <c r="AT49">
        <v>10489.3</v>
      </c>
      <c r="AU49">
        <v>657.8548461538461</v>
      </c>
      <c r="AV49">
        <v>724.83063173957419</v>
      </c>
      <c r="AW49">
        <f t="shared" ref="AW49:AW80" si="73">1-AU49/AV49</f>
        <v>9.2401980066692202E-2</v>
      </c>
      <c r="AX49">
        <v>0.5</v>
      </c>
      <c r="AY49">
        <f t="shared" ref="AY49:AY80" si="74">CX49</f>
        <v>1513.3020059018304</v>
      </c>
      <c r="AZ49">
        <f t="shared" ref="AZ49:AZ80" si="75">M49</f>
        <v>8.475371511486907</v>
      </c>
      <c r="BA49">
        <f t="shared" ref="BA49:BA80" si="76">AW49*AX49*AY49</f>
        <v>69.916050892113134</v>
      </c>
      <c r="BB49">
        <f t="shared" ref="BB49:BB80" si="77">(AZ49-AR49)/AY49</f>
        <v>8.236826489503829E-3</v>
      </c>
      <c r="BC49">
        <f t="shared" ref="BC49:BC80" si="78">(AP49-AV49)/AV49</f>
        <v>3.7347198776127928</v>
      </c>
      <c r="BD49">
        <f t="shared" ref="BD49:BD80" si="79">AO49/(AQ49+AO49/AV49)</f>
        <v>477.39737218485794</v>
      </c>
      <c r="BE49" t="s">
        <v>587</v>
      </c>
      <c r="BF49">
        <v>556.22</v>
      </c>
      <c r="BG49">
        <f t="shared" ref="BG49:BG80" si="80">IF(BF49&lt;&gt;0, BF49, BD49)</f>
        <v>556.22</v>
      </c>
      <c r="BH49">
        <f t="shared" ref="BH49:BH80" si="81">1-BG49/AV49</f>
        <v>0.23262073145958684</v>
      </c>
      <c r="BI49">
        <f t="shared" ref="BI49:BI80" si="82">(AV49-AU49)/(AV49-BG49)</f>
        <v>0.39722160396845474</v>
      </c>
      <c r="BJ49">
        <f t="shared" ref="BJ49:BJ80" si="83">(AP49-AV49)/(AP49-BG49)</f>
        <v>0.94136608010725442</v>
      </c>
      <c r="BK49">
        <f t="shared" ref="BK49:BK80" si="84">(AV49-AU49)/(AV49-AO49)</f>
        <v>-0.24919747598423586</v>
      </c>
      <c r="BL49">
        <f t="shared" ref="BL49:BL80" si="85">(AP49-AV49)/(AP49-AO49)</f>
        <v>1.110227958824759</v>
      </c>
      <c r="BM49">
        <f t="shared" ref="BM49:BM80" si="86">(BI49*BG49/AU49)</f>
        <v>0.33585311691640896</v>
      </c>
      <c r="BN49">
        <f t="shared" ref="BN49:BN80" si="87">(1-BM49)</f>
        <v>0.66414688308359104</v>
      </c>
      <c r="BO49">
        <v>7808</v>
      </c>
      <c r="BP49">
        <v>290.00000000000011</v>
      </c>
      <c r="BQ49">
        <v>708.39</v>
      </c>
      <c r="BR49">
        <v>115</v>
      </c>
      <c r="BS49">
        <v>10489.3</v>
      </c>
      <c r="BT49">
        <v>707.68</v>
      </c>
      <c r="BU49">
        <v>0.71</v>
      </c>
      <c r="BV49">
        <v>300.00000000000011</v>
      </c>
      <c r="BW49">
        <v>38.200000000000003</v>
      </c>
      <c r="BX49">
        <v>724.83063173957419</v>
      </c>
      <c r="BY49">
        <v>1.007309263697352</v>
      </c>
      <c r="BZ49">
        <v>-17.988697436109518</v>
      </c>
      <c r="CA49">
        <v>0.86418270680134135</v>
      </c>
      <c r="CB49">
        <v>0.93930192050694494</v>
      </c>
      <c r="CC49">
        <v>-1.137909010011123E-2</v>
      </c>
      <c r="CD49">
        <v>289.99999999999989</v>
      </c>
      <c r="CE49">
        <v>705.9</v>
      </c>
      <c r="CF49">
        <v>645</v>
      </c>
      <c r="CG49">
        <v>10459</v>
      </c>
      <c r="CH49">
        <v>707.63</v>
      </c>
      <c r="CI49">
        <v>-1.73</v>
      </c>
      <c r="CW49">
        <f t="shared" ref="CW49:CW80" si="88">$B$11*DU49+$C$11*DV49+$F$11*EG49*(1-EJ49)</f>
        <v>1800.14</v>
      </c>
      <c r="CX49">
        <f t="shared" ref="CX49:CX80" si="89">CW49*CY49</f>
        <v>1513.3020059018304</v>
      </c>
      <c r="CY49">
        <f t="shared" ref="CY49:CY80" si="90">($B$11*$D$9+$C$11*$D$9+$F$11*((ET49+EL49)/MAX(ET49+EL49+EU49, 0.1)*$I$9+EU49/MAX(ET49+EL49+EU49, 0.1)*$J$9))/($B$11+$C$11+$F$11)</f>
        <v>0.84065795210474203</v>
      </c>
      <c r="CZ49">
        <f t="shared" ref="CZ49:CZ80" si="91">($B$11*$K$9+$C$11*$K$9+$F$11*((ET49+EL49)/MAX(ET49+EL49+EU49, 0.1)*$P$9+EU49/MAX(ET49+EL49+EU49, 0.1)*$Q$9))/($B$11+$C$11+$F$11)</f>
        <v>0.19131590420948413</v>
      </c>
      <c r="DA49">
        <v>6</v>
      </c>
      <c r="DB49">
        <v>0.5</v>
      </c>
      <c r="DC49" t="s">
        <v>420</v>
      </c>
      <c r="DD49">
        <v>2</v>
      </c>
      <c r="DE49">
        <v>1693503202.0999999</v>
      </c>
      <c r="DF49">
        <v>59.523200000000003</v>
      </c>
      <c r="DG49">
        <v>70.037899999999993</v>
      </c>
      <c r="DH49">
        <v>28.845500000000001</v>
      </c>
      <c r="DI49">
        <v>23.1724</v>
      </c>
      <c r="DJ49">
        <v>59.949199999999998</v>
      </c>
      <c r="DK49">
        <v>28.585799999999999</v>
      </c>
      <c r="DL49">
        <v>500.17</v>
      </c>
      <c r="DM49">
        <v>99.624200000000002</v>
      </c>
      <c r="DN49">
        <v>0.10036100000000001</v>
      </c>
      <c r="DO49">
        <v>30.520399999999999</v>
      </c>
      <c r="DP49">
        <v>29.933499999999999</v>
      </c>
      <c r="DQ49">
        <v>999.9</v>
      </c>
      <c r="DR49">
        <v>0</v>
      </c>
      <c r="DS49">
        <v>0</v>
      </c>
      <c r="DT49">
        <v>9965</v>
      </c>
      <c r="DU49">
        <v>0</v>
      </c>
      <c r="DV49">
        <v>1716.29</v>
      </c>
      <c r="DW49">
        <v>-10.514699999999999</v>
      </c>
      <c r="DX49">
        <v>61.291200000000003</v>
      </c>
      <c r="DY49">
        <v>71.699299999999994</v>
      </c>
      <c r="DZ49">
        <v>5.6730900000000002</v>
      </c>
      <c r="EA49">
        <v>70.037899999999993</v>
      </c>
      <c r="EB49">
        <v>23.1724</v>
      </c>
      <c r="EC49">
        <v>2.87371</v>
      </c>
      <c r="ED49">
        <v>2.3085300000000002</v>
      </c>
      <c r="EE49">
        <v>23.313700000000001</v>
      </c>
      <c r="EF49">
        <v>19.7361</v>
      </c>
      <c r="EG49">
        <v>1800.14</v>
      </c>
      <c r="EH49">
        <v>0.97800500000000001</v>
      </c>
      <c r="EI49">
        <v>2.1995000000000001E-2</v>
      </c>
      <c r="EJ49">
        <v>0</v>
      </c>
      <c r="EK49">
        <v>657.67200000000003</v>
      </c>
      <c r="EL49">
        <v>5.0010300000000001</v>
      </c>
      <c r="EM49">
        <v>12659.4</v>
      </c>
      <c r="EN49">
        <v>14702.3</v>
      </c>
      <c r="EO49">
        <v>46.811999999999998</v>
      </c>
      <c r="EP49">
        <v>48.5</v>
      </c>
      <c r="EQ49">
        <v>48.311999999999998</v>
      </c>
      <c r="ER49">
        <v>47.061999999999998</v>
      </c>
      <c r="ES49">
        <v>48.436999999999998</v>
      </c>
      <c r="ET49">
        <v>1755.65</v>
      </c>
      <c r="EU49">
        <v>39.479999999999997</v>
      </c>
      <c r="EV49">
        <v>0</v>
      </c>
      <c r="EW49">
        <v>98.400000095367432</v>
      </c>
      <c r="EX49">
        <v>0</v>
      </c>
      <c r="EY49">
        <v>657.8548461538461</v>
      </c>
      <c r="EZ49">
        <v>-0.28034188892239992</v>
      </c>
      <c r="FA49">
        <v>-4.0102564396801066</v>
      </c>
      <c r="FB49">
        <v>12656.41153846154</v>
      </c>
      <c r="FC49">
        <v>15</v>
      </c>
      <c r="FD49">
        <v>1693503174.0999999</v>
      </c>
      <c r="FE49" t="s">
        <v>588</v>
      </c>
      <c r="FF49">
        <v>1693503161.0999999</v>
      </c>
      <c r="FG49">
        <v>1693503174.0999999</v>
      </c>
      <c r="FH49">
        <v>38</v>
      </c>
      <c r="FI49">
        <v>0.11</v>
      </c>
      <c r="FJ49">
        <v>3.0000000000000001E-3</v>
      </c>
      <c r="FK49">
        <v>-0.40600000000000003</v>
      </c>
      <c r="FL49">
        <v>0.124</v>
      </c>
      <c r="FM49">
        <v>70</v>
      </c>
      <c r="FN49">
        <v>23</v>
      </c>
      <c r="FO49">
        <v>0.38</v>
      </c>
      <c r="FP49">
        <v>0.06</v>
      </c>
      <c r="FQ49">
        <v>8.4073139142385322</v>
      </c>
      <c r="FR49">
        <v>0.1254344682690407</v>
      </c>
      <c r="FS49">
        <v>4.2123882813420763E-2</v>
      </c>
      <c r="FT49">
        <v>1</v>
      </c>
      <c r="FU49">
        <v>0.36990620767107057</v>
      </c>
      <c r="FV49">
        <v>2.4216031603926141E-2</v>
      </c>
      <c r="FW49">
        <v>4.7099277229295314E-3</v>
      </c>
      <c r="FX49">
        <v>1</v>
      </c>
      <c r="FY49">
        <v>2</v>
      </c>
      <c r="FZ49">
        <v>2</v>
      </c>
      <c r="GA49" t="s">
        <v>422</v>
      </c>
      <c r="GB49">
        <v>2.9068399999999999</v>
      </c>
      <c r="GC49">
        <v>2.8180700000000001</v>
      </c>
      <c r="GD49">
        <v>1.6571800000000001E-2</v>
      </c>
      <c r="GE49">
        <v>1.93382E-2</v>
      </c>
      <c r="GF49">
        <v>0.13650200000000001</v>
      </c>
      <c r="GG49">
        <v>0.11727</v>
      </c>
      <c r="GH49">
        <v>27439</v>
      </c>
      <c r="GI49">
        <v>27384.7</v>
      </c>
      <c r="GJ49">
        <v>24749.7</v>
      </c>
      <c r="GK49">
        <v>24928.1</v>
      </c>
      <c r="GL49">
        <v>28366.3</v>
      </c>
      <c r="GM49">
        <v>28752.6</v>
      </c>
      <c r="GN49">
        <v>33462.800000000003</v>
      </c>
      <c r="GO49">
        <v>33279.9</v>
      </c>
      <c r="GP49">
        <v>1.9970000000000001</v>
      </c>
      <c r="GQ49">
        <v>1.9273</v>
      </c>
      <c r="GR49">
        <v>9.7453600000000001E-2</v>
      </c>
      <c r="GS49">
        <v>0</v>
      </c>
      <c r="GT49">
        <v>28.345300000000002</v>
      </c>
      <c r="GU49">
        <v>999.9</v>
      </c>
      <c r="GV49">
        <v>58.6</v>
      </c>
      <c r="GW49">
        <v>31.8</v>
      </c>
      <c r="GX49">
        <v>27.773299999999999</v>
      </c>
      <c r="GY49">
        <v>61.650100000000002</v>
      </c>
      <c r="GZ49">
        <v>24.972000000000001</v>
      </c>
      <c r="HA49">
        <v>1</v>
      </c>
      <c r="HB49">
        <v>0.202602</v>
      </c>
      <c r="HC49">
        <v>-0.162854</v>
      </c>
      <c r="HD49">
        <v>20.174399999999999</v>
      </c>
      <c r="HE49">
        <v>5.2346599999999999</v>
      </c>
      <c r="HF49">
        <v>11.919499999999999</v>
      </c>
      <c r="HG49">
        <v>4.9614000000000003</v>
      </c>
      <c r="HH49">
        <v>3.2890000000000001</v>
      </c>
      <c r="HI49">
        <v>9999</v>
      </c>
      <c r="HJ49">
        <v>9999</v>
      </c>
      <c r="HK49">
        <v>9999</v>
      </c>
      <c r="HL49">
        <v>893.5</v>
      </c>
      <c r="HM49">
        <v>1.8807100000000001</v>
      </c>
      <c r="HN49">
        <v>1.87775</v>
      </c>
      <c r="HO49">
        <v>1.88571</v>
      </c>
      <c r="HP49">
        <v>1.88354</v>
      </c>
      <c r="HQ49">
        <v>1.8809800000000001</v>
      </c>
      <c r="HR49">
        <v>1.8801600000000001</v>
      </c>
      <c r="HS49">
        <v>1.8812599999999999</v>
      </c>
      <c r="HT49">
        <v>1.88063</v>
      </c>
      <c r="HU49">
        <v>5</v>
      </c>
      <c r="HV49">
        <v>0</v>
      </c>
      <c r="HW49">
        <v>0</v>
      </c>
      <c r="HX49">
        <v>0</v>
      </c>
      <c r="HY49" t="s">
        <v>423</v>
      </c>
      <c r="HZ49" t="s">
        <v>424</v>
      </c>
      <c r="IA49" t="s">
        <v>425</v>
      </c>
      <c r="IB49" t="s">
        <v>425</v>
      </c>
      <c r="IC49" t="s">
        <v>425</v>
      </c>
      <c r="ID49" t="s">
        <v>425</v>
      </c>
      <c r="IE49">
        <v>0</v>
      </c>
      <c r="IF49">
        <v>100</v>
      </c>
      <c r="IG49">
        <v>100</v>
      </c>
      <c r="IH49">
        <v>-0.42599999999999999</v>
      </c>
      <c r="II49">
        <v>0.25969999999999999</v>
      </c>
      <c r="IJ49">
        <v>-0.55070473323517166</v>
      </c>
      <c r="IK49">
        <v>2.2153513873161218E-3</v>
      </c>
      <c r="IL49">
        <v>-2.2967369670569612E-6</v>
      </c>
      <c r="IM49">
        <v>7.7859689150384122E-10</v>
      </c>
      <c r="IN49">
        <v>-0.13393352541592971</v>
      </c>
      <c r="IO49">
        <v>-4.1434251034592161E-3</v>
      </c>
      <c r="IP49">
        <v>8.3987709687394815E-4</v>
      </c>
      <c r="IQ49">
        <v>-7.4586254598011197E-6</v>
      </c>
      <c r="IR49">
        <v>2</v>
      </c>
      <c r="IS49">
        <v>1930</v>
      </c>
      <c r="IT49">
        <v>2</v>
      </c>
      <c r="IU49">
        <v>41</v>
      </c>
      <c r="IV49">
        <v>0.7</v>
      </c>
      <c r="IW49">
        <v>0.5</v>
      </c>
      <c r="IX49">
        <v>0.305176</v>
      </c>
      <c r="IY49">
        <v>2.5378400000000001</v>
      </c>
      <c r="IZ49">
        <v>1.24512</v>
      </c>
      <c r="JA49">
        <v>2.2680699999999998</v>
      </c>
      <c r="JB49">
        <v>1.4501999999999999</v>
      </c>
      <c r="JC49">
        <v>2.4279799999999998</v>
      </c>
      <c r="JD49">
        <v>34.967399999999998</v>
      </c>
      <c r="JE49">
        <v>24.052499999999998</v>
      </c>
      <c r="JF49">
        <v>18</v>
      </c>
      <c r="JG49">
        <v>496.97199999999998</v>
      </c>
      <c r="JH49">
        <v>501.49</v>
      </c>
      <c r="JI49">
        <v>28.3628</v>
      </c>
      <c r="JJ49">
        <v>30.096499999999999</v>
      </c>
      <c r="JK49">
        <v>30</v>
      </c>
      <c r="JL49">
        <v>29.981200000000001</v>
      </c>
      <c r="JM49">
        <v>29.9467</v>
      </c>
      <c r="JN49">
        <v>6.1804500000000004</v>
      </c>
      <c r="JO49">
        <v>24.847300000000001</v>
      </c>
      <c r="JP49">
        <v>95.291700000000006</v>
      </c>
      <c r="JQ49">
        <v>28.3796</v>
      </c>
      <c r="JR49">
        <v>70</v>
      </c>
      <c r="JS49">
        <v>23.1539</v>
      </c>
      <c r="JT49">
        <v>99.882499999999993</v>
      </c>
      <c r="JU49">
        <v>99.344200000000001</v>
      </c>
    </row>
    <row r="50" spans="1:281" x14ac:dyDescent="0.25">
      <c r="A50">
        <v>34</v>
      </c>
      <c r="B50">
        <v>1693503305.0999999</v>
      </c>
      <c r="C50">
        <v>7655.5</v>
      </c>
      <c r="D50" t="s">
        <v>589</v>
      </c>
      <c r="E50" t="s">
        <v>590</v>
      </c>
      <c r="F50" t="s">
        <v>413</v>
      </c>
      <c r="G50" t="s">
        <v>565</v>
      </c>
      <c r="H50" t="s">
        <v>31</v>
      </c>
      <c r="I50">
        <v>3</v>
      </c>
      <c r="J50">
        <v>1693503305.0999999</v>
      </c>
      <c r="K50">
        <f t="shared" si="46"/>
        <v>4.9919096858930326E-3</v>
      </c>
      <c r="L50">
        <f t="shared" si="47"/>
        <v>4.9919096858930327</v>
      </c>
      <c r="M50">
        <f t="shared" si="48"/>
        <v>3.6031670826988216</v>
      </c>
      <c r="N50">
        <f t="shared" si="49"/>
        <v>25.543800000000001</v>
      </c>
      <c r="O50">
        <f t="shared" si="50"/>
        <v>8.7227153422002353</v>
      </c>
      <c r="P50">
        <f t="shared" si="51"/>
        <v>0.86986929667023849</v>
      </c>
      <c r="Q50">
        <f t="shared" si="52"/>
        <v>2.54734523237124</v>
      </c>
      <c r="R50">
        <f t="shared" si="53"/>
        <v>0.37195449675389369</v>
      </c>
      <c r="S50">
        <f t="shared" si="54"/>
        <v>2.9299619278136202</v>
      </c>
      <c r="T50">
        <f t="shared" si="55"/>
        <v>0.3475721975863853</v>
      </c>
      <c r="U50">
        <f t="shared" si="56"/>
        <v>0.21928994667461454</v>
      </c>
      <c r="V50">
        <f t="shared" si="57"/>
        <v>344.36559864416239</v>
      </c>
      <c r="W50">
        <f t="shared" si="58"/>
        <v>31.340134019824223</v>
      </c>
      <c r="X50">
        <f t="shared" si="59"/>
        <v>29.988600000000002</v>
      </c>
      <c r="Y50">
        <f t="shared" si="60"/>
        <v>4.2576607974341139</v>
      </c>
      <c r="Z50">
        <f t="shared" si="61"/>
        <v>65.201526523524336</v>
      </c>
      <c r="AA50">
        <f t="shared" si="62"/>
        <v>2.8766258884508598</v>
      </c>
      <c r="AB50">
        <f t="shared" si="63"/>
        <v>4.411899600867458</v>
      </c>
      <c r="AC50">
        <f t="shared" si="64"/>
        <v>1.3810349089832541</v>
      </c>
      <c r="AD50">
        <f t="shared" si="65"/>
        <v>-220.14321714788272</v>
      </c>
      <c r="AE50">
        <f t="shared" si="66"/>
        <v>98.077430717125381</v>
      </c>
      <c r="AF50">
        <f t="shared" si="67"/>
        <v>7.4650361651670885</v>
      </c>
      <c r="AG50">
        <f t="shared" si="68"/>
        <v>229.76484837857214</v>
      </c>
      <c r="AH50">
        <v>0</v>
      </c>
      <c r="AI50">
        <v>0</v>
      </c>
      <c r="AJ50">
        <f t="shared" si="69"/>
        <v>1</v>
      </c>
      <c r="AK50">
        <f t="shared" si="70"/>
        <v>0</v>
      </c>
      <c r="AL50">
        <f t="shared" si="71"/>
        <v>52252.186214451089</v>
      </c>
      <c r="AM50" t="s">
        <v>417</v>
      </c>
      <c r="AN50">
        <v>10366.9</v>
      </c>
      <c r="AO50">
        <v>993.59653846153856</v>
      </c>
      <c r="AP50">
        <v>3431.87</v>
      </c>
      <c r="AQ50">
        <f t="shared" si="72"/>
        <v>0.71047955241266758</v>
      </c>
      <c r="AR50">
        <v>-3.9894345373445681</v>
      </c>
      <c r="AS50" t="s">
        <v>591</v>
      </c>
      <c r="AT50">
        <v>10470.9</v>
      </c>
      <c r="AU50">
        <v>665.58869230769233</v>
      </c>
      <c r="AV50">
        <v>715.91436016433113</v>
      </c>
      <c r="AW50">
        <f t="shared" si="73"/>
        <v>7.0295653582206463E-2</v>
      </c>
      <c r="AX50">
        <v>0.5</v>
      </c>
      <c r="AY50">
        <f t="shared" si="74"/>
        <v>1513.1678993220812</v>
      </c>
      <c r="AZ50">
        <f t="shared" si="75"/>
        <v>3.6031670826988216</v>
      </c>
      <c r="BA50">
        <f t="shared" si="76"/>
        <v>53.184563231230044</v>
      </c>
      <c r="BB50">
        <f t="shared" si="77"/>
        <v>5.0176861559414346E-3</v>
      </c>
      <c r="BC50">
        <f t="shared" si="78"/>
        <v>3.7936878919599377</v>
      </c>
      <c r="BD50">
        <f t="shared" si="79"/>
        <v>473.5132060676911</v>
      </c>
      <c r="BE50" t="s">
        <v>592</v>
      </c>
      <c r="BF50">
        <v>564.63</v>
      </c>
      <c r="BG50">
        <f t="shared" si="80"/>
        <v>564.63</v>
      </c>
      <c r="BH50">
        <f t="shared" si="81"/>
        <v>0.21131628108368339</v>
      </c>
      <c r="BI50">
        <f t="shared" si="82"/>
        <v>0.33265611727460159</v>
      </c>
      <c r="BJ50">
        <f t="shared" si="83"/>
        <v>0.94723693860146663</v>
      </c>
      <c r="BK50">
        <f t="shared" si="84"/>
        <v>-0.18123477770609564</v>
      </c>
      <c r="BL50">
        <f t="shared" si="85"/>
        <v>1.1138847560281446</v>
      </c>
      <c r="BM50">
        <f t="shared" si="86"/>
        <v>0.28219773813394083</v>
      </c>
      <c r="BN50">
        <f t="shared" si="87"/>
        <v>0.71780226186605911</v>
      </c>
      <c r="BO50">
        <v>7810</v>
      </c>
      <c r="BP50">
        <v>290.00000000000011</v>
      </c>
      <c r="BQ50">
        <v>702.06</v>
      </c>
      <c r="BR50">
        <v>245</v>
      </c>
      <c r="BS50">
        <v>10470.9</v>
      </c>
      <c r="BT50">
        <v>701.02</v>
      </c>
      <c r="BU50">
        <v>1.04</v>
      </c>
      <c r="BV50">
        <v>300.00000000000011</v>
      </c>
      <c r="BW50">
        <v>38.200000000000003</v>
      </c>
      <c r="BX50">
        <v>715.91436016433113</v>
      </c>
      <c r="BY50">
        <v>0.94005899987536268</v>
      </c>
      <c r="BZ50">
        <v>-15.593642637051399</v>
      </c>
      <c r="CA50">
        <v>0.80653285148405318</v>
      </c>
      <c r="CB50">
        <v>0.93031534044952569</v>
      </c>
      <c r="CC50">
        <v>-1.138039688542827E-2</v>
      </c>
      <c r="CD50">
        <v>289.99999999999989</v>
      </c>
      <c r="CE50">
        <v>698.55</v>
      </c>
      <c r="CF50">
        <v>735</v>
      </c>
      <c r="CG50">
        <v>10453.1</v>
      </c>
      <c r="CH50">
        <v>701</v>
      </c>
      <c r="CI50">
        <v>-2.4500000000000002</v>
      </c>
      <c r="CW50">
        <f t="shared" si="88"/>
        <v>1799.98</v>
      </c>
      <c r="CX50">
        <f t="shared" si="89"/>
        <v>1513.1678993220812</v>
      </c>
      <c r="CY50">
        <f t="shared" si="90"/>
        <v>0.84065817360308515</v>
      </c>
      <c r="CZ50">
        <f t="shared" si="91"/>
        <v>0.19131634720617027</v>
      </c>
      <c r="DA50">
        <v>6</v>
      </c>
      <c r="DB50">
        <v>0.5</v>
      </c>
      <c r="DC50" t="s">
        <v>420</v>
      </c>
      <c r="DD50">
        <v>2</v>
      </c>
      <c r="DE50">
        <v>1693503305.0999999</v>
      </c>
      <c r="DF50">
        <v>25.543800000000001</v>
      </c>
      <c r="DG50">
        <v>30.015999999999998</v>
      </c>
      <c r="DH50">
        <v>28.845700000000001</v>
      </c>
      <c r="DI50">
        <v>23.034199999999998</v>
      </c>
      <c r="DJ50">
        <v>25.934899999999999</v>
      </c>
      <c r="DK50">
        <v>28.585899999999999</v>
      </c>
      <c r="DL50">
        <v>500.51600000000002</v>
      </c>
      <c r="DM50">
        <v>99.625</v>
      </c>
      <c r="DN50">
        <v>9.9599800000000002E-2</v>
      </c>
      <c r="DO50">
        <v>30.609500000000001</v>
      </c>
      <c r="DP50">
        <v>29.988600000000002</v>
      </c>
      <c r="DQ50">
        <v>999.9</v>
      </c>
      <c r="DR50">
        <v>0</v>
      </c>
      <c r="DS50">
        <v>0</v>
      </c>
      <c r="DT50">
        <v>10040</v>
      </c>
      <c r="DU50">
        <v>0</v>
      </c>
      <c r="DV50">
        <v>1715.39</v>
      </c>
      <c r="DW50">
        <v>-4.4722099999999996</v>
      </c>
      <c r="DX50">
        <v>26.302499999999998</v>
      </c>
      <c r="DY50">
        <v>30.723700000000001</v>
      </c>
      <c r="DZ50">
        <v>5.8115399999999999</v>
      </c>
      <c r="EA50">
        <v>30.015999999999998</v>
      </c>
      <c r="EB50">
        <v>23.034199999999998</v>
      </c>
      <c r="EC50">
        <v>2.8737599999999999</v>
      </c>
      <c r="ED50">
        <v>2.2947799999999998</v>
      </c>
      <c r="EE50">
        <v>23.314</v>
      </c>
      <c r="EF50">
        <v>19.639800000000001</v>
      </c>
      <c r="EG50">
        <v>1799.98</v>
      </c>
      <c r="EH50">
        <v>0.97800100000000001</v>
      </c>
      <c r="EI50">
        <v>2.19986E-2</v>
      </c>
      <c r="EJ50">
        <v>0</v>
      </c>
      <c r="EK50">
        <v>665.68700000000001</v>
      </c>
      <c r="EL50">
        <v>5.0010300000000001</v>
      </c>
      <c r="EM50">
        <v>12778.3</v>
      </c>
      <c r="EN50">
        <v>14701</v>
      </c>
      <c r="EO50">
        <v>46.625</v>
      </c>
      <c r="EP50">
        <v>48.375</v>
      </c>
      <c r="EQ50">
        <v>48.186999999999998</v>
      </c>
      <c r="ER50">
        <v>47</v>
      </c>
      <c r="ES50">
        <v>48.375</v>
      </c>
      <c r="ET50">
        <v>1755.49</v>
      </c>
      <c r="EU50">
        <v>39.49</v>
      </c>
      <c r="EV50">
        <v>0</v>
      </c>
      <c r="EW50">
        <v>101</v>
      </c>
      <c r="EX50">
        <v>0</v>
      </c>
      <c r="EY50">
        <v>665.58869230769233</v>
      </c>
      <c r="EZ50">
        <v>-1.221470083321462</v>
      </c>
      <c r="FA50">
        <v>-25.052991504249459</v>
      </c>
      <c r="FB50">
        <v>12775.83846153846</v>
      </c>
      <c r="FC50">
        <v>15</v>
      </c>
      <c r="FD50">
        <v>1693503277.0999999</v>
      </c>
      <c r="FE50" t="s">
        <v>593</v>
      </c>
      <c r="FF50">
        <v>1693503260.5999999</v>
      </c>
      <c r="FG50">
        <v>1693503277.0999999</v>
      </c>
      <c r="FH50">
        <v>39</v>
      </c>
      <c r="FI50">
        <v>0.104</v>
      </c>
      <c r="FJ50">
        <v>0</v>
      </c>
      <c r="FK50">
        <v>-0.38200000000000001</v>
      </c>
      <c r="FL50">
        <v>0.121</v>
      </c>
      <c r="FM50">
        <v>30</v>
      </c>
      <c r="FN50">
        <v>23</v>
      </c>
      <c r="FO50">
        <v>0.89</v>
      </c>
      <c r="FP50">
        <v>0.05</v>
      </c>
      <c r="FQ50">
        <v>3.6179853568332239</v>
      </c>
      <c r="FR50">
        <v>-0.47649042319294782</v>
      </c>
      <c r="FS50">
        <v>7.2219638694332497E-2</v>
      </c>
      <c r="FT50">
        <v>1</v>
      </c>
      <c r="FU50">
        <v>0.37370860330292482</v>
      </c>
      <c r="FV50">
        <v>4.0830988407197323E-2</v>
      </c>
      <c r="FW50">
        <v>5.3527768419129543E-3</v>
      </c>
      <c r="FX50">
        <v>1</v>
      </c>
      <c r="FY50">
        <v>2</v>
      </c>
      <c r="FZ50">
        <v>2</v>
      </c>
      <c r="GA50" t="s">
        <v>422</v>
      </c>
      <c r="GB50">
        <v>2.9079000000000002</v>
      </c>
      <c r="GC50">
        <v>2.8179599999999998</v>
      </c>
      <c r="GD50">
        <v>7.2222400000000004E-3</v>
      </c>
      <c r="GE50">
        <v>8.3763299999999995E-3</v>
      </c>
      <c r="GF50">
        <v>0.136519</v>
      </c>
      <c r="GG50">
        <v>0.116802</v>
      </c>
      <c r="GH50">
        <v>27702.5</v>
      </c>
      <c r="GI50">
        <v>27693.9</v>
      </c>
      <c r="GJ50">
        <v>24752</v>
      </c>
      <c r="GK50">
        <v>24930.799999999999</v>
      </c>
      <c r="GL50">
        <v>28367.599999999999</v>
      </c>
      <c r="GM50">
        <v>28770.7</v>
      </c>
      <c r="GN50">
        <v>33465.5</v>
      </c>
      <c r="GO50">
        <v>33283.1</v>
      </c>
      <c r="GP50">
        <v>1.9971000000000001</v>
      </c>
      <c r="GQ50">
        <v>1.9288000000000001</v>
      </c>
      <c r="GR50">
        <v>0.113636</v>
      </c>
      <c r="GS50">
        <v>0</v>
      </c>
      <c r="GT50">
        <v>28.136500000000002</v>
      </c>
      <c r="GU50">
        <v>999.9</v>
      </c>
      <c r="GV50">
        <v>58.7</v>
      </c>
      <c r="GW50">
        <v>31.7</v>
      </c>
      <c r="GX50">
        <v>27.662800000000001</v>
      </c>
      <c r="GY50">
        <v>61.670099999999998</v>
      </c>
      <c r="GZ50">
        <v>24.6755</v>
      </c>
      <c r="HA50">
        <v>1</v>
      </c>
      <c r="HB50">
        <v>0.19697200000000001</v>
      </c>
      <c r="HC50">
        <v>-0.26782099999999998</v>
      </c>
      <c r="HD50">
        <v>20.173999999999999</v>
      </c>
      <c r="HE50">
        <v>5.2340600000000004</v>
      </c>
      <c r="HF50">
        <v>11.9201</v>
      </c>
      <c r="HG50">
        <v>4.9618000000000002</v>
      </c>
      <c r="HH50">
        <v>3.2890000000000001</v>
      </c>
      <c r="HI50">
        <v>9999</v>
      </c>
      <c r="HJ50">
        <v>9999</v>
      </c>
      <c r="HK50">
        <v>9999</v>
      </c>
      <c r="HL50">
        <v>893.6</v>
      </c>
      <c r="HM50">
        <v>1.8806700000000001</v>
      </c>
      <c r="HN50">
        <v>1.87775</v>
      </c>
      <c r="HO50">
        <v>1.88568</v>
      </c>
      <c r="HP50">
        <v>1.88354</v>
      </c>
      <c r="HQ50">
        <v>1.881</v>
      </c>
      <c r="HR50">
        <v>1.88012</v>
      </c>
      <c r="HS50">
        <v>1.88124</v>
      </c>
      <c r="HT50">
        <v>1.88063</v>
      </c>
      <c r="HU50">
        <v>5</v>
      </c>
      <c r="HV50">
        <v>0</v>
      </c>
      <c r="HW50">
        <v>0</v>
      </c>
      <c r="HX50">
        <v>0</v>
      </c>
      <c r="HY50" t="s">
        <v>423</v>
      </c>
      <c r="HZ50" t="s">
        <v>424</v>
      </c>
      <c r="IA50" t="s">
        <v>425</v>
      </c>
      <c r="IB50" t="s">
        <v>425</v>
      </c>
      <c r="IC50" t="s">
        <v>425</v>
      </c>
      <c r="ID50" t="s">
        <v>425</v>
      </c>
      <c r="IE50">
        <v>0</v>
      </c>
      <c r="IF50">
        <v>100</v>
      </c>
      <c r="IG50">
        <v>100</v>
      </c>
      <c r="IH50">
        <v>-0.39100000000000001</v>
      </c>
      <c r="II50">
        <v>0.25979999999999998</v>
      </c>
      <c r="IJ50">
        <v>-0.44705902225838101</v>
      </c>
      <c r="IK50">
        <v>2.2153513873161218E-3</v>
      </c>
      <c r="IL50">
        <v>-2.2967369670569612E-6</v>
      </c>
      <c r="IM50">
        <v>7.7859689150384122E-10</v>
      </c>
      <c r="IN50">
        <v>-0.13376773970021971</v>
      </c>
      <c r="IO50">
        <v>-4.1434251034592161E-3</v>
      </c>
      <c r="IP50">
        <v>8.3987709687394815E-4</v>
      </c>
      <c r="IQ50">
        <v>-7.4586254598011197E-6</v>
      </c>
      <c r="IR50">
        <v>2</v>
      </c>
      <c r="IS50">
        <v>1930</v>
      </c>
      <c r="IT50">
        <v>2</v>
      </c>
      <c r="IU50">
        <v>41</v>
      </c>
      <c r="IV50">
        <v>0.7</v>
      </c>
      <c r="IW50">
        <v>0.5</v>
      </c>
      <c r="IX50">
        <v>0.21850600000000001</v>
      </c>
      <c r="IY50">
        <v>2.5598100000000001</v>
      </c>
      <c r="IZ50">
        <v>1.24512</v>
      </c>
      <c r="JA50">
        <v>2.2680699999999998</v>
      </c>
      <c r="JB50">
        <v>1.4501999999999999</v>
      </c>
      <c r="JC50">
        <v>2.3327599999999999</v>
      </c>
      <c r="JD50">
        <v>34.898499999999999</v>
      </c>
      <c r="JE50">
        <v>24.061199999999999</v>
      </c>
      <c r="JF50">
        <v>18</v>
      </c>
      <c r="JG50">
        <v>496.56599999999997</v>
      </c>
      <c r="JH50">
        <v>502.12099999999998</v>
      </c>
      <c r="JI50">
        <v>28.873200000000001</v>
      </c>
      <c r="JJ50">
        <v>30.024799999999999</v>
      </c>
      <c r="JK50">
        <v>29.9999</v>
      </c>
      <c r="JL50">
        <v>29.927099999999999</v>
      </c>
      <c r="JM50">
        <v>29.897400000000001</v>
      </c>
      <c r="JN50">
        <v>4.4515399999999996</v>
      </c>
      <c r="JO50">
        <v>25.244299999999999</v>
      </c>
      <c r="JP50">
        <v>100</v>
      </c>
      <c r="JQ50">
        <v>28.8826</v>
      </c>
      <c r="JR50">
        <v>30</v>
      </c>
      <c r="JS50">
        <v>22.994199999999999</v>
      </c>
      <c r="JT50">
        <v>99.891099999999994</v>
      </c>
      <c r="JU50">
        <v>99.354500000000002</v>
      </c>
    </row>
    <row r="51" spans="1:281" x14ac:dyDescent="0.25">
      <c r="A51">
        <v>35</v>
      </c>
      <c r="B51">
        <v>1693503404.5999999</v>
      </c>
      <c r="C51">
        <v>7755</v>
      </c>
      <c r="D51" t="s">
        <v>594</v>
      </c>
      <c r="E51" t="s">
        <v>595</v>
      </c>
      <c r="F51" t="s">
        <v>413</v>
      </c>
      <c r="G51" t="s">
        <v>565</v>
      </c>
      <c r="H51" t="s">
        <v>31</v>
      </c>
      <c r="I51">
        <v>3</v>
      </c>
      <c r="J51">
        <v>1693503404.5999999</v>
      </c>
      <c r="K51">
        <f t="shared" si="46"/>
        <v>5.0377807970576078E-3</v>
      </c>
      <c r="L51">
        <f t="shared" si="47"/>
        <v>5.0377807970576081</v>
      </c>
      <c r="M51">
        <f t="shared" si="48"/>
        <v>1.1538425592174062</v>
      </c>
      <c r="N51">
        <f t="shared" si="49"/>
        <v>8.5687599999999993</v>
      </c>
      <c r="O51">
        <f t="shared" si="50"/>
        <v>3.2330511061248388</v>
      </c>
      <c r="P51">
        <f t="shared" si="51"/>
        <v>0.3224313882502069</v>
      </c>
      <c r="Q51">
        <f t="shared" si="52"/>
        <v>0.85456031831627977</v>
      </c>
      <c r="R51">
        <f t="shared" si="53"/>
        <v>0.37649942111983498</v>
      </c>
      <c r="S51">
        <f t="shared" si="54"/>
        <v>2.930914721111983</v>
      </c>
      <c r="T51">
        <f t="shared" si="55"/>
        <v>0.35154660328595777</v>
      </c>
      <c r="U51">
        <f t="shared" si="56"/>
        <v>0.22182057744126377</v>
      </c>
      <c r="V51">
        <f t="shared" si="57"/>
        <v>344.3408986440644</v>
      </c>
      <c r="W51">
        <f t="shared" si="58"/>
        <v>31.35845819423449</v>
      </c>
      <c r="X51">
        <f t="shared" si="59"/>
        <v>29.987100000000002</v>
      </c>
      <c r="Y51">
        <f t="shared" si="60"/>
        <v>4.2572939455202681</v>
      </c>
      <c r="Z51">
        <f t="shared" si="61"/>
        <v>65.147328551129633</v>
      </c>
      <c r="AA51">
        <f t="shared" si="62"/>
        <v>2.8792677799370994</v>
      </c>
      <c r="AB51">
        <f t="shared" si="63"/>
        <v>4.4196252463020969</v>
      </c>
      <c r="AC51">
        <f t="shared" si="64"/>
        <v>1.3780261655831687</v>
      </c>
      <c r="AD51">
        <f t="shared" si="65"/>
        <v>-222.16613315024051</v>
      </c>
      <c r="AE51">
        <f t="shared" si="66"/>
        <v>103.18149281231656</v>
      </c>
      <c r="AF51">
        <f t="shared" si="67"/>
        <v>7.852102979927297</v>
      </c>
      <c r="AG51">
        <f t="shared" si="68"/>
        <v>233.20836128606771</v>
      </c>
      <c r="AH51">
        <v>0</v>
      </c>
      <c r="AI51">
        <v>0</v>
      </c>
      <c r="AJ51">
        <f t="shared" si="69"/>
        <v>1</v>
      </c>
      <c r="AK51">
        <f t="shared" si="70"/>
        <v>0</v>
      </c>
      <c r="AL51">
        <f t="shared" si="71"/>
        <v>52274.210555213482</v>
      </c>
      <c r="AM51" t="s">
        <v>417</v>
      </c>
      <c r="AN51">
        <v>10366.9</v>
      </c>
      <c r="AO51">
        <v>993.59653846153856</v>
      </c>
      <c r="AP51">
        <v>3431.87</v>
      </c>
      <c r="AQ51">
        <f t="shared" si="72"/>
        <v>0.71047955241266758</v>
      </c>
      <c r="AR51">
        <v>-3.9894345373445681</v>
      </c>
      <c r="AS51" t="s">
        <v>596</v>
      </c>
      <c r="AT51">
        <v>10492.7</v>
      </c>
      <c r="AU51">
        <v>669.08976923076921</v>
      </c>
      <c r="AV51">
        <v>708.92584010882388</v>
      </c>
      <c r="AW51">
        <f t="shared" si="73"/>
        <v>5.6192155263997234E-2</v>
      </c>
      <c r="AX51">
        <v>0.5</v>
      </c>
      <c r="AY51">
        <f t="shared" si="74"/>
        <v>1513.058699322032</v>
      </c>
      <c r="AZ51">
        <f t="shared" si="75"/>
        <v>1.1538425592174062</v>
      </c>
      <c r="BA51">
        <f t="shared" si="76"/>
        <v>42.511014677922667</v>
      </c>
      <c r="BB51">
        <f t="shared" si="77"/>
        <v>3.3992581377487617E-3</v>
      </c>
      <c r="BC51">
        <f t="shared" si="78"/>
        <v>3.8409435879402984</v>
      </c>
      <c r="BD51">
        <f t="shared" si="79"/>
        <v>470.44584382497413</v>
      </c>
      <c r="BE51" t="s">
        <v>597</v>
      </c>
      <c r="BF51">
        <v>571.23</v>
      </c>
      <c r="BG51">
        <f t="shared" si="80"/>
        <v>571.23</v>
      </c>
      <c r="BH51">
        <f t="shared" si="81"/>
        <v>0.19423165628676597</v>
      </c>
      <c r="BI51">
        <f t="shared" si="82"/>
        <v>0.28930482465244706</v>
      </c>
      <c r="BJ51">
        <f t="shared" si="83"/>
        <v>0.95186537274567107</v>
      </c>
      <c r="BK51">
        <f t="shared" si="84"/>
        <v>-0.139937377146898</v>
      </c>
      <c r="BL51">
        <f t="shared" si="85"/>
        <v>1.1167509316912705</v>
      </c>
      <c r="BM51">
        <f t="shared" si="86"/>
        <v>0.24699166328041591</v>
      </c>
      <c r="BN51">
        <f t="shared" si="87"/>
        <v>0.75300833671958411</v>
      </c>
      <c r="BO51">
        <v>7812</v>
      </c>
      <c r="BP51">
        <v>290.00000000000011</v>
      </c>
      <c r="BQ51">
        <v>700.06</v>
      </c>
      <c r="BR51">
        <v>105</v>
      </c>
      <c r="BS51">
        <v>10492.7</v>
      </c>
      <c r="BT51">
        <v>697.49</v>
      </c>
      <c r="BU51">
        <v>2.57</v>
      </c>
      <c r="BV51">
        <v>300.00000000000011</v>
      </c>
      <c r="BW51">
        <v>38.200000000000003</v>
      </c>
      <c r="BX51">
        <v>708.92584010882388</v>
      </c>
      <c r="BY51">
        <v>0.96953173573699925</v>
      </c>
      <c r="BZ51">
        <v>-11.99808395441322</v>
      </c>
      <c r="CA51">
        <v>0.83191249779142917</v>
      </c>
      <c r="CB51">
        <v>0.8813571747507849</v>
      </c>
      <c r="CC51">
        <v>-1.1381167964404901E-2</v>
      </c>
      <c r="CD51">
        <v>289.99999999999989</v>
      </c>
      <c r="CE51">
        <v>696</v>
      </c>
      <c r="CF51">
        <v>735</v>
      </c>
      <c r="CG51">
        <v>10454.200000000001</v>
      </c>
      <c r="CH51">
        <v>697.45</v>
      </c>
      <c r="CI51">
        <v>-1.45</v>
      </c>
      <c r="CW51">
        <f t="shared" si="88"/>
        <v>1799.85</v>
      </c>
      <c r="CX51">
        <f t="shared" si="89"/>
        <v>1513.058699322032</v>
      </c>
      <c r="CY51">
        <f t="shared" si="90"/>
        <v>0.84065822114177968</v>
      </c>
      <c r="CZ51">
        <f t="shared" si="91"/>
        <v>0.1913164422835594</v>
      </c>
      <c r="DA51">
        <v>6</v>
      </c>
      <c r="DB51">
        <v>0.5</v>
      </c>
      <c r="DC51" t="s">
        <v>420</v>
      </c>
      <c r="DD51">
        <v>2</v>
      </c>
      <c r="DE51">
        <v>1693503404.5999999</v>
      </c>
      <c r="DF51">
        <v>8.5687599999999993</v>
      </c>
      <c r="DG51">
        <v>10.002700000000001</v>
      </c>
      <c r="DH51">
        <v>28.870699999999999</v>
      </c>
      <c r="DI51">
        <v>23.01</v>
      </c>
      <c r="DJ51">
        <v>8.9089700000000001</v>
      </c>
      <c r="DK51">
        <v>28.613</v>
      </c>
      <c r="DL51">
        <v>500.86200000000002</v>
      </c>
      <c r="DM51">
        <v>99.629499999999993</v>
      </c>
      <c r="DN51">
        <v>0.10025299999999999</v>
      </c>
      <c r="DO51">
        <v>30.6401</v>
      </c>
      <c r="DP51">
        <v>29.987100000000002</v>
      </c>
      <c r="DQ51">
        <v>999.9</v>
      </c>
      <c r="DR51">
        <v>0</v>
      </c>
      <c r="DS51">
        <v>0</v>
      </c>
      <c r="DT51">
        <v>10045</v>
      </c>
      <c r="DU51">
        <v>0</v>
      </c>
      <c r="DV51">
        <v>1711.76</v>
      </c>
      <c r="DW51">
        <v>-1.4339900000000001</v>
      </c>
      <c r="DX51">
        <v>8.8234999999999992</v>
      </c>
      <c r="DY51">
        <v>10.238300000000001</v>
      </c>
      <c r="DZ51">
        <v>5.86076</v>
      </c>
      <c r="EA51">
        <v>10.002700000000001</v>
      </c>
      <c r="EB51">
        <v>23.01</v>
      </c>
      <c r="EC51">
        <v>2.8763800000000002</v>
      </c>
      <c r="ED51">
        <v>2.2924699999999998</v>
      </c>
      <c r="EE51">
        <v>23.3291</v>
      </c>
      <c r="EF51">
        <v>19.6236</v>
      </c>
      <c r="EG51">
        <v>1799.85</v>
      </c>
      <c r="EH51">
        <v>0.97799800000000003</v>
      </c>
      <c r="EI51">
        <v>2.2002299999999999E-2</v>
      </c>
      <c r="EJ51">
        <v>0</v>
      </c>
      <c r="EK51">
        <v>669.10500000000002</v>
      </c>
      <c r="EL51">
        <v>5.0010300000000001</v>
      </c>
      <c r="EM51">
        <v>12830.6</v>
      </c>
      <c r="EN51">
        <v>14699.9</v>
      </c>
      <c r="EO51">
        <v>46.561999999999998</v>
      </c>
      <c r="EP51">
        <v>48.25</v>
      </c>
      <c r="EQ51">
        <v>48.125</v>
      </c>
      <c r="ER51">
        <v>46.875</v>
      </c>
      <c r="ES51">
        <v>48.311999999999998</v>
      </c>
      <c r="ET51">
        <v>1755.36</v>
      </c>
      <c r="EU51">
        <v>39.49</v>
      </c>
      <c r="EV51">
        <v>0</v>
      </c>
      <c r="EW51">
        <v>97.400000095367432</v>
      </c>
      <c r="EX51">
        <v>0</v>
      </c>
      <c r="EY51">
        <v>669.08976923076921</v>
      </c>
      <c r="EZ51">
        <v>-0.57914530151204857</v>
      </c>
      <c r="FA51">
        <v>-10.823931640972891</v>
      </c>
      <c r="FB51">
        <v>12833.13846153846</v>
      </c>
      <c r="FC51">
        <v>15</v>
      </c>
      <c r="FD51">
        <v>1693503370.5999999</v>
      </c>
      <c r="FE51" t="s">
        <v>598</v>
      </c>
      <c r="FF51">
        <v>1693503359.5999999</v>
      </c>
      <c r="FG51">
        <v>1693503370.5999999</v>
      </c>
      <c r="FH51">
        <v>40</v>
      </c>
      <c r="FI51">
        <v>8.6999999999999994E-2</v>
      </c>
      <c r="FJ51">
        <v>-3.0000000000000001E-3</v>
      </c>
      <c r="FK51">
        <v>-0.33700000000000002</v>
      </c>
      <c r="FL51">
        <v>0.11899999999999999</v>
      </c>
      <c r="FM51">
        <v>10</v>
      </c>
      <c r="FN51">
        <v>23</v>
      </c>
      <c r="FO51">
        <v>1.03</v>
      </c>
      <c r="FP51">
        <v>0.04</v>
      </c>
      <c r="FQ51">
        <v>1.1358263617111859</v>
      </c>
      <c r="FR51">
        <v>-5.4877167203257207E-2</v>
      </c>
      <c r="FS51">
        <v>6.3618418689185413E-2</v>
      </c>
      <c r="FT51">
        <v>1</v>
      </c>
      <c r="FU51">
        <v>0.3818424518607697</v>
      </c>
      <c r="FV51">
        <v>-3.6429589914293979E-2</v>
      </c>
      <c r="FW51">
        <v>2.878488200361315E-3</v>
      </c>
      <c r="FX51">
        <v>1</v>
      </c>
      <c r="FY51">
        <v>2</v>
      </c>
      <c r="FZ51">
        <v>2</v>
      </c>
      <c r="GA51" t="s">
        <v>422</v>
      </c>
      <c r="GB51">
        <v>2.9089700000000001</v>
      </c>
      <c r="GC51">
        <v>2.8186499999999999</v>
      </c>
      <c r="GD51">
        <v>2.48533E-3</v>
      </c>
      <c r="GE51">
        <v>2.7990300000000001E-3</v>
      </c>
      <c r="GF51">
        <v>0.13663400000000001</v>
      </c>
      <c r="GG51">
        <v>0.11673799999999999</v>
      </c>
      <c r="GH51">
        <v>27837.200000000001</v>
      </c>
      <c r="GI51">
        <v>27851</v>
      </c>
      <c r="GJ51">
        <v>24754.1</v>
      </c>
      <c r="GK51">
        <v>24931.8</v>
      </c>
      <c r="GL51">
        <v>28365</v>
      </c>
      <c r="GM51">
        <v>28774</v>
      </c>
      <c r="GN51">
        <v>33467.5</v>
      </c>
      <c r="GO51">
        <v>33284.9</v>
      </c>
      <c r="GP51">
        <v>1.9997</v>
      </c>
      <c r="GQ51">
        <v>1.9307000000000001</v>
      </c>
      <c r="GR51">
        <v>0.11290600000000001</v>
      </c>
      <c r="GS51">
        <v>0</v>
      </c>
      <c r="GT51">
        <v>28.146899999999999</v>
      </c>
      <c r="GU51">
        <v>999.9</v>
      </c>
      <c r="GV51">
        <v>58.8</v>
      </c>
      <c r="GW51">
        <v>31.7</v>
      </c>
      <c r="GX51">
        <v>27.706299999999999</v>
      </c>
      <c r="GY51">
        <v>61.610100000000003</v>
      </c>
      <c r="GZ51">
        <v>24.162700000000001</v>
      </c>
      <c r="HA51">
        <v>1</v>
      </c>
      <c r="HB51">
        <v>0.190833</v>
      </c>
      <c r="HC51">
        <v>-0.49028300000000002</v>
      </c>
      <c r="HD51">
        <v>20.173300000000001</v>
      </c>
      <c r="HE51">
        <v>5.2352600000000002</v>
      </c>
      <c r="HF51">
        <v>11.9201</v>
      </c>
      <c r="HG51">
        <v>4.9614000000000003</v>
      </c>
      <c r="HH51">
        <v>3.2890000000000001</v>
      </c>
      <c r="HI51">
        <v>9999</v>
      </c>
      <c r="HJ51">
        <v>9999</v>
      </c>
      <c r="HK51">
        <v>9999</v>
      </c>
      <c r="HL51">
        <v>893.6</v>
      </c>
      <c r="HM51">
        <v>1.8806799999999999</v>
      </c>
      <c r="HN51">
        <v>1.87775</v>
      </c>
      <c r="HO51">
        <v>1.88568</v>
      </c>
      <c r="HP51">
        <v>1.88354</v>
      </c>
      <c r="HQ51">
        <v>1.8809499999999999</v>
      </c>
      <c r="HR51">
        <v>1.8800699999999999</v>
      </c>
      <c r="HS51">
        <v>1.8812599999999999</v>
      </c>
      <c r="HT51">
        <v>1.8806499999999999</v>
      </c>
      <c r="HU51">
        <v>5</v>
      </c>
      <c r="HV51">
        <v>0</v>
      </c>
      <c r="HW51">
        <v>0</v>
      </c>
      <c r="HX51">
        <v>0</v>
      </c>
      <c r="HY51" t="s">
        <v>423</v>
      </c>
      <c r="HZ51" t="s">
        <v>424</v>
      </c>
      <c r="IA51" t="s">
        <v>425</v>
      </c>
      <c r="IB51" t="s">
        <v>425</v>
      </c>
      <c r="IC51" t="s">
        <v>425</v>
      </c>
      <c r="ID51" t="s">
        <v>425</v>
      </c>
      <c r="IE51">
        <v>0</v>
      </c>
      <c r="IF51">
        <v>100</v>
      </c>
      <c r="IG51">
        <v>100</v>
      </c>
      <c r="IH51">
        <v>-0.34</v>
      </c>
      <c r="II51">
        <v>0.25769999999999998</v>
      </c>
      <c r="IJ51">
        <v>-0.35976442966744521</v>
      </c>
      <c r="IK51">
        <v>2.2153513873161218E-3</v>
      </c>
      <c r="IL51">
        <v>-2.2967369670569612E-6</v>
      </c>
      <c r="IM51">
        <v>7.7859689150384122E-10</v>
      </c>
      <c r="IN51">
        <v>-0.1365681708706982</v>
      </c>
      <c r="IO51">
        <v>-4.1434251034592161E-3</v>
      </c>
      <c r="IP51">
        <v>8.3987709687394815E-4</v>
      </c>
      <c r="IQ51">
        <v>-7.4586254598011197E-6</v>
      </c>
      <c r="IR51">
        <v>2</v>
      </c>
      <c r="IS51">
        <v>1930</v>
      </c>
      <c r="IT51">
        <v>2</v>
      </c>
      <c r="IU51">
        <v>41</v>
      </c>
      <c r="IV51">
        <v>0.8</v>
      </c>
      <c r="IW51">
        <v>0.6</v>
      </c>
      <c r="IX51">
        <v>0.17700199999999999</v>
      </c>
      <c r="IY51">
        <v>2.5878899999999998</v>
      </c>
      <c r="IZ51">
        <v>1.24512</v>
      </c>
      <c r="JA51">
        <v>2.2680699999999998</v>
      </c>
      <c r="JB51">
        <v>1.4501999999999999</v>
      </c>
      <c r="JC51">
        <v>2.2619600000000002</v>
      </c>
      <c r="JD51">
        <v>34.829599999999999</v>
      </c>
      <c r="JE51">
        <v>24.052499999999998</v>
      </c>
      <c r="JF51">
        <v>18</v>
      </c>
      <c r="JG51">
        <v>497.74400000000003</v>
      </c>
      <c r="JH51">
        <v>502.94799999999998</v>
      </c>
      <c r="JI51">
        <v>28.971</v>
      </c>
      <c r="JJ51">
        <v>29.9422</v>
      </c>
      <c r="JK51">
        <v>29.9999</v>
      </c>
      <c r="JL51">
        <v>29.862200000000001</v>
      </c>
      <c r="JM51">
        <v>29.837900000000001</v>
      </c>
      <c r="JN51">
        <v>3.6048900000000001</v>
      </c>
      <c r="JO51">
        <v>25.111999999999998</v>
      </c>
      <c r="JP51">
        <v>100</v>
      </c>
      <c r="JQ51">
        <v>28.991700000000002</v>
      </c>
      <c r="JR51">
        <v>10</v>
      </c>
      <c r="JS51">
        <v>23.019100000000002</v>
      </c>
      <c r="JT51">
        <v>99.898099999999999</v>
      </c>
      <c r="JU51">
        <v>99.359099999999998</v>
      </c>
    </row>
    <row r="52" spans="1:281" x14ac:dyDescent="0.25">
      <c r="A52">
        <v>36</v>
      </c>
      <c r="B52">
        <v>1693503594.0999999</v>
      </c>
      <c r="C52">
        <v>7944.5</v>
      </c>
      <c r="D52" t="s">
        <v>599</v>
      </c>
      <c r="E52" t="s">
        <v>600</v>
      </c>
      <c r="F52" t="s">
        <v>413</v>
      </c>
      <c r="G52" t="s">
        <v>565</v>
      </c>
      <c r="H52" t="s">
        <v>31</v>
      </c>
      <c r="I52">
        <v>3</v>
      </c>
      <c r="J52">
        <v>1693503594.0999999</v>
      </c>
      <c r="K52">
        <f t="shared" si="46"/>
        <v>5.0154167848152093E-3</v>
      </c>
      <c r="L52">
        <f t="shared" si="47"/>
        <v>5.0154167848152094</v>
      </c>
      <c r="M52">
        <f t="shared" si="48"/>
        <v>36.16575783770331</v>
      </c>
      <c r="N52">
        <f t="shared" si="49"/>
        <v>354.46899999999999</v>
      </c>
      <c r="O52">
        <f t="shared" si="50"/>
        <v>181.69749824995876</v>
      </c>
      <c r="P52">
        <f t="shared" si="51"/>
        <v>18.120925981089876</v>
      </c>
      <c r="Q52">
        <f t="shared" si="52"/>
        <v>35.3516508122445</v>
      </c>
      <c r="R52">
        <f t="shared" si="53"/>
        <v>0.36802945281496241</v>
      </c>
      <c r="S52">
        <f t="shared" si="54"/>
        <v>2.9309552281963285</v>
      </c>
      <c r="T52">
        <f t="shared" si="55"/>
        <v>0.34414883635592625</v>
      </c>
      <c r="U52">
        <f t="shared" si="56"/>
        <v>0.21710934202193205</v>
      </c>
      <c r="V52">
        <f t="shared" si="57"/>
        <v>344.35859864378892</v>
      </c>
      <c r="W52">
        <f t="shared" si="58"/>
        <v>31.306181431095666</v>
      </c>
      <c r="X52">
        <f t="shared" si="59"/>
        <v>30.0397</v>
      </c>
      <c r="Y52">
        <f t="shared" si="60"/>
        <v>4.2701746861408871</v>
      </c>
      <c r="Z52">
        <f t="shared" si="61"/>
        <v>65.126190513620813</v>
      </c>
      <c r="AA52">
        <f t="shared" si="62"/>
        <v>2.8687705712325</v>
      </c>
      <c r="AB52">
        <f t="shared" si="63"/>
        <v>4.404941466110337</v>
      </c>
      <c r="AC52">
        <f t="shared" si="64"/>
        <v>1.4014041149083871</v>
      </c>
      <c r="AD52">
        <f t="shared" si="65"/>
        <v>-221.17988021035072</v>
      </c>
      <c r="AE52">
        <f t="shared" si="66"/>
        <v>85.675005509938785</v>
      </c>
      <c r="AF52">
        <f t="shared" si="67"/>
        <v>6.5195877483085907</v>
      </c>
      <c r="AG52">
        <f t="shared" si="68"/>
        <v>215.37331169168559</v>
      </c>
      <c r="AH52">
        <v>0</v>
      </c>
      <c r="AI52">
        <v>0</v>
      </c>
      <c r="AJ52">
        <f t="shared" si="69"/>
        <v>1</v>
      </c>
      <c r="AK52">
        <f t="shared" si="70"/>
        <v>0</v>
      </c>
      <c r="AL52">
        <f t="shared" si="71"/>
        <v>52285.439107486447</v>
      </c>
      <c r="AM52" t="s">
        <v>417</v>
      </c>
      <c r="AN52">
        <v>10366.9</v>
      </c>
      <c r="AO52">
        <v>993.59653846153856</v>
      </c>
      <c r="AP52">
        <v>3431.87</v>
      </c>
      <c r="AQ52">
        <f t="shared" si="72"/>
        <v>0.71047955241266758</v>
      </c>
      <c r="AR52">
        <v>-3.9894345373445681</v>
      </c>
      <c r="AS52" t="s">
        <v>601</v>
      </c>
      <c r="AT52">
        <v>10481.4</v>
      </c>
      <c r="AU52">
        <v>699.86153846153843</v>
      </c>
      <c r="AV52">
        <v>962.63084508623206</v>
      </c>
      <c r="AW52">
        <f t="shared" si="73"/>
        <v>0.27296996347665847</v>
      </c>
      <c r="AX52">
        <v>0.5</v>
      </c>
      <c r="AY52">
        <f t="shared" si="74"/>
        <v>1513.1345993218943</v>
      </c>
      <c r="AZ52">
        <f t="shared" si="75"/>
        <v>36.16575783770331</v>
      </c>
      <c r="BA52">
        <f t="shared" si="76"/>
        <v>206.52014815608285</v>
      </c>
      <c r="BB52">
        <f t="shared" si="77"/>
        <v>2.6537753080950813E-2</v>
      </c>
      <c r="BC52">
        <f t="shared" si="78"/>
        <v>2.5650945713178084</v>
      </c>
      <c r="BD52">
        <f t="shared" si="79"/>
        <v>570.1650140413069</v>
      </c>
      <c r="BE52" t="s">
        <v>602</v>
      </c>
      <c r="BF52">
        <v>575.55999999999995</v>
      </c>
      <c r="BG52">
        <f t="shared" si="80"/>
        <v>575.55999999999995</v>
      </c>
      <c r="BH52">
        <f t="shared" si="81"/>
        <v>0.40209686512960063</v>
      </c>
      <c r="BI52">
        <f t="shared" si="82"/>
        <v>0.67886618163182388</v>
      </c>
      <c r="BJ52">
        <f t="shared" si="83"/>
        <v>0.86448570180189399</v>
      </c>
      <c r="BK52">
        <f t="shared" si="84"/>
        <v>-8.4858202088327275</v>
      </c>
      <c r="BL52">
        <f t="shared" si="85"/>
        <v>1.0126998443217146</v>
      </c>
      <c r="BM52">
        <f t="shared" si="86"/>
        <v>0.55829360241588044</v>
      </c>
      <c r="BN52">
        <f t="shared" si="87"/>
        <v>0.44170639758411956</v>
      </c>
      <c r="BO52">
        <v>7814</v>
      </c>
      <c r="BP52">
        <v>290.00000000000011</v>
      </c>
      <c r="BQ52">
        <v>881.33</v>
      </c>
      <c r="BR52">
        <v>195</v>
      </c>
      <c r="BS52">
        <v>10481.4</v>
      </c>
      <c r="BT52">
        <v>879.12</v>
      </c>
      <c r="BU52">
        <v>2.21</v>
      </c>
      <c r="BV52">
        <v>300.00000000000011</v>
      </c>
      <c r="BW52">
        <v>38.200000000000003</v>
      </c>
      <c r="BX52">
        <v>962.63084508623206</v>
      </c>
      <c r="BY52">
        <v>1.5503769218126411</v>
      </c>
      <c r="BZ52">
        <v>-87.531926680804972</v>
      </c>
      <c r="CA52">
        <v>1.330700407685169</v>
      </c>
      <c r="CB52">
        <v>0.99357039522235346</v>
      </c>
      <c r="CC52">
        <v>-1.1384696106785309E-2</v>
      </c>
      <c r="CD52">
        <v>289.99999999999989</v>
      </c>
      <c r="CE52">
        <v>863.01</v>
      </c>
      <c r="CF52">
        <v>645</v>
      </c>
      <c r="CG52">
        <v>10463.9</v>
      </c>
      <c r="CH52">
        <v>878.98</v>
      </c>
      <c r="CI52">
        <v>-15.97</v>
      </c>
      <c r="CW52">
        <f t="shared" si="88"/>
        <v>1799.94</v>
      </c>
      <c r="CX52">
        <f t="shared" si="89"/>
        <v>1513.1345993218943</v>
      </c>
      <c r="CY52">
        <f t="shared" si="90"/>
        <v>0.84065835490177132</v>
      </c>
      <c r="CZ52">
        <f t="shared" si="91"/>
        <v>0.19131670980354284</v>
      </c>
      <c r="DA52">
        <v>6</v>
      </c>
      <c r="DB52">
        <v>0.5</v>
      </c>
      <c r="DC52" t="s">
        <v>420</v>
      </c>
      <c r="DD52">
        <v>2</v>
      </c>
      <c r="DE52">
        <v>1693503594.0999999</v>
      </c>
      <c r="DF52">
        <v>354.46899999999999</v>
      </c>
      <c r="DG52">
        <v>399.99599999999998</v>
      </c>
      <c r="DH52">
        <v>28.765000000000001</v>
      </c>
      <c r="DI52">
        <v>22.920300000000001</v>
      </c>
      <c r="DJ52">
        <v>354.66300000000001</v>
      </c>
      <c r="DK52">
        <v>28.4983</v>
      </c>
      <c r="DL52">
        <v>500.05799999999999</v>
      </c>
      <c r="DM52">
        <v>99.631799999999998</v>
      </c>
      <c r="DN52">
        <v>9.9490499999999996E-2</v>
      </c>
      <c r="DO52">
        <v>30.581900000000001</v>
      </c>
      <c r="DP52">
        <v>30.0397</v>
      </c>
      <c r="DQ52">
        <v>999.9</v>
      </c>
      <c r="DR52">
        <v>0</v>
      </c>
      <c r="DS52">
        <v>0</v>
      </c>
      <c r="DT52">
        <v>10045</v>
      </c>
      <c r="DU52">
        <v>0</v>
      </c>
      <c r="DV52">
        <v>1704.94</v>
      </c>
      <c r="DW52">
        <v>-45.527799999999999</v>
      </c>
      <c r="DX52">
        <v>364.96699999999998</v>
      </c>
      <c r="DY52">
        <v>409.38</v>
      </c>
      <c r="DZ52">
        <v>5.8446999999999996</v>
      </c>
      <c r="EA52">
        <v>399.99599999999998</v>
      </c>
      <c r="EB52">
        <v>22.920300000000001</v>
      </c>
      <c r="EC52">
        <v>2.8658999999999999</v>
      </c>
      <c r="ED52">
        <v>2.2835899999999998</v>
      </c>
      <c r="EE52">
        <v>23.268699999999999</v>
      </c>
      <c r="EF52">
        <v>19.5611</v>
      </c>
      <c r="EG52">
        <v>1799.94</v>
      </c>
      <c r="EH52">
        <v>0.97799400000000003</v>
      </c>
      <c r="EI52">
        <v>2.2006000000000001E-2</v>
      </c>
      <c r="EJ52">
        <v>0</v>
      </c>
      <c r="EK52">
        <v>701.09900000000005</v>
      </c>
      <c r="EL52">
        <v>5.0010300000000001</v>
      </c>
      <c r="EM52">
        <v>13416.7</v>
      </c>
      <c r="EN52">
        <v>14700.6</v>
      </c>
      <c r="EO52">
        <v>46.436999999999998</v>
      </c>
      <c r="EP52">
        <v>48.25</v>
      </c>
      <c r="EQ52">
        <v>48.061999999999998</v>
      </c>
      <c r="ER52">
        <v>46.686999999999998</v>
      </c>
      <c r="ES52">
        <v>48.186999999999998</v>
      </c>
      <c r="ET52">
        <v>1755.44</v>
      </c>
      <c r="EU52">
        <v>39.5</v>
      </c>
      <c r="EV52">
        <v>0</v>
      </c>
      <c r="EW52">
        <v>187.4000000953674</v>
      </c>
      <c r="EX52">
        <v>0</v>
      </c>
      <c r="EY52">
        <v>699.86153846153843</v>
      </c>
      <c r="EZ52">
        <v>9.9891281989842735</v>
      </c>
      <c r="FA52">
        <v>178.8307693050813</v>
      </c>
      <c r="FB52">
        <v>13397.530769230771</v>
      </c>
      <c r="FC52">
        <v>15</v>
      </c>
      <c r="FD52">
        <v>1693503485.5999999</v>
      </c>
      <c r="FE52" t="s">
        <v>603</v>
      </c>
      <c r="FF52">
        <v>1693503470.5999999</v>
      </c>
      <c r="FG52">
        <v>1693503485.5999999</v>
      </c>
      <c r="FH52">
        <v>41</v>
      </c>
      <c r="FI52">
        <v>-0.36599999999999999</v>
      </c>
      <c r="FJ52">
        <v>1.2E-2</v>
      </c>
      <c r="FK52">
        <v>-0.157</v>
      </c>
      <c r="FL52">
        <v>0.13100000000000001</v>
      </c>
      <c r="FM52">
        <v>400</v>
      </c>
      <c r="FN52">
        <v>23</v>
      </c>
      <c r="FO52">
        <v>0.19</v>
      </c>
      <c r="FP52">
        <v>0.04</v>
      </c>
      <c r="FQ52">
        <v>35.92259519694192</v>
      </c>
      <c r="FR52">
        <v>2.3724982744404648</v>
      </c>
      <c r="FS52">
        <v>0.1997202606887738</v>
      </c>
      <c r="FT52">
        <v>0</v>
      </c>
      <c r="FU52">
        <v>0.36779665234393172</v>
      </c>
      <c r="FV52">
        <v>-4.6727100789918409E-3</v>
      </c>
      <c r="FW52">
        <v>8.2578674565445887E-4</v>
      </c>
      <c r="FX52">
        <v>1</v>
      </c>
      <c r="FY52">
        <v>1</v>
      </c>
      <c r="FZ52">
        <v>2</v>
      </c>
      <c r="GA52" t="s">
        <v>461</v>
      </c>
      <c r="GB52">
        <v>2.90693</v>
      </c>
      <c r="GC52">
        <v>2.8178800000000002</v>
      </c>
      <c r="GD52">
        <v>8.3488400000000004E-2</v>
      </c>
      <c r="GE52">
        <v>9.1642799999999996E-2</v>
      </c>
      <c r="GF52">
        <v>0.13627800000000001</v>
      </c>
      <c r="GG52">
        <v>0.11644</v>
      </c>
      <c r="GH52">
        <v>25578.9</v>
      </c>
      <c r="GI52">
        <v>25371.9</v>
      </c>
      <c r="GJ52">
        <v>24755.200000000001</v>
      </c>
      <c r="GK52">
        <v>24932.6</v>
      </c>
      <c r="GL52">
        <v>28378.1</v>
      </c>
      <c r="GM52">
        <v>28784</v>
      </c>
      <c r="GN52">
        <v>33469</v>
      </c>
      <c r="GO52">
        <v>33285.1</v>
      </c>
      <c r="GP52">
        <v>1.9999</v>
      </c>
      <c r="GQ52">
        <v>1.9338</v>
      </c>
      <c r="GR52">
        <v>7.9482800000000006E-2</v>
      </c>
      <c r="GS52">
        <v>0</v>
      </c>
      <c r="GT52">
        <v>28.744900000000001</v>
      </c>
      <c r="GU52">
        <v>999.9</v>
      </c>
      <c r="GV52">
        <v>59.1</v>
      </c>
      <c r="GW52">
        <v>31.5</v>
      </c>
      <c r="GX52">
        <v>27.5336</v>
      </c>
      <c r="GY52">
        <v>61.5702</v>
      </c>
      <c r="GZ52">
        <v>25.456700000000001</v>
      </c>
      <c r="HA52">
        <v>1</v>
      </c>
      <c r="HB52">
        <v>0.19003</v>
      </c>
      <c r="HC52">
        <v>0.87219000000000002</v>
      </c>
      <c r="HD52">
        <v>20.171199999999999</v>
      </c>
      <c r="HE52">
        <v>5.2346599999999999</v>
      </c>
      <c r="HF52">
        <v>11.9201</v>
      </c>
      <c r="HG52">
        <v>4.9618000000000002</v>
      </c>
      <c r="HH52">
        <v>3.2890000000000001</v>
      </c>
      <c r="HI52">
        <v>9999</v>
      </c>
      <c r="HJ52">
        <v>9999</v>
      </c>
      <c r="HK52">
        <v>9999</v>
      </c>
      <c r="HL52">
        <v>893.6</v>
      </c>
      <c r="HM52">
        <v>1.8806700000000001</v>
      </c>
      <c r="HN52">
        <v>1.8777299999999999</v>
      </c>
      <c r="HO52">
        <v>1.88568</v>
      </c>
      <c r="HP52">
        <v>1.88354</v>
      </c>
      <c r="HQ52">
        <v>1.8809499999999999</v>
      </c>
      <c r="HR52">
        <v>1.88008</v>
      </c>
      <c r="HS52">
        <v>1.88124</v>
      </c>
      <c r="HT52">
        <v>1.88063</v>
      </c>
      <c r="HU52">
        <v>5</v>
      </c>
      <c r="HV52">
        <v>0</v>
      </c>
      <c r="HW52">
        <v>0</v>
      </c>
      <c r="HX52">
        <v>0</v>
      </c>
      <c r="HY52" t="s">
        <v>423</v>
      </c>
      <c r="HZ52" t="s">
        <v>424</v>
      </c>
      <c r="IA52" t="s">
        <v>425</v>
      </c>
      <c r="IB52" t="s">
        <v>425</v>
      </c>
      <c r="IC52" t="s">
        <v>425</v>
      </c>
      <c r="ID52" t="s">
        <v>425</v>
      </c>
      <c r="IE52">
        <v>0</v>
      </c>
      <c r="IF52">
        <v>100</v>
      </c>
      <c r="IG52">
        <v>100</v>
      </c>
      <c r="IH52">
        <v>-0.19400000000000001</v>
      </c>
      <c r="II52">
        <v>0.26669999999999999</v>
      </c>
      <c r="IJ52">
        <v>-0.72601172381542267</v>
      </c>
      <c r="IK52">
        <v>2.2153513873161218E-3</v>
      </c>
      <c r="IL52">
        <v>-2.2967369670569612E-6</v>
      </c>
      <c r="IM52">
        <v>7.7859689150384122E-10</v>
      </c>
      <c r="IN52">
        <v>-0.12470250363871691</v>
      </c>
      <c r="IO52">
        <v>-4.1434251034592161E-3</v>
      </c>
      <c r="IP52">
        <v>8.3987709687394815E-4</v>
      </c>
      <c r="IQ52">
        <v>-7.4586254598011197E-6</v>
      </c>
      <c r="IR52">
        <v>2</v>
      </c>
      <c r="IS52">
        <v>1930</v>
      </c>
      <c r="IT52">
        <v>2</v>
      </c>
      <c r="IU52">
        <v>41</v>
      </c>
      <c r="IV52">
        <v>2.1</v>
      </c>
      <c r="IW52">
        <v>1.8</v>
      </c>
      <c r="IX52">
        <v>0.99975599999999998</v>
      </c>
      <c r="IY52">
        <v>2.49878</v>
      </c>
      <c r="IZ52">
        <v>1.24512</v>
      </c>
      <c r="JA52">
        <v>2.2692899999999998</v>
      </c>
      <c r="JB52">
        <v>1.4501999999999999</v>
      </c>
      <c r="JC52">
        <v>2.4377399999999998</v>
      </c>
      <c r="JD52">
        <v>34.692100000000003</v>
      </c>
      <c r="JE52">
        <v>24.052499999999998</v>
      </c>
      <c r="JF52">
        <v>18</v>
      </c>
      <c r="JG52">
        <v>497.45100000000002</v>
      </c>
      <c r="JH52">
        <v>504.74700000000001</v>
      </c>
      <c r="JI52">
        <v>27.694199999999999</v>
      </c>
      <c r="JJ52">
        <v>29.921199999999999</v>
      </c>
      <c r="JK52">
        <v>30.0002</v>
      </c>
      <c r="JL52">
        <v>29.812999999999999</v>
      </c>
      <c r="JM52">
        <v>29.788799999999998</v>
      </c>
      <c r="JN52">
        <v>20.124400000000001</v>
      </c>
      <c r="JO52">
        <v>25.129200000000001</v>
      </c>
      <c r="JP52">
        <v>100</v>
      </c>
      <c r="JQ52">
        <v>27.669899999999998</v>
      </c>
      <c r="JR52">
        <v>400</v>
      </c>
      <c r="JS52">
        <v>22.9495</v>
      </c>
      <c r="JT52">
        <v>99.902500000000003</v>
      </c>
      <c r="JU52">
        <v>99.360799999999998</v>
      </c>
    </row>
    <row r="53" spans="1:281" x14ac:dyDescent="0.25">
      <c r="A53">
        <v>37</v>
      </c>
      <c r="B53">
        <v>1693503754.0999999</v>
      </c>
      <c r="C53">
        <v>8104.5</v>
      </c>
      <c r="D53" t="s">
        <v>604</v>
      </c>
      <c r="E53" t="s">
        <v>605</v>
      </c>
      <c r="F53" t="s">
        <v>413</v>
      </c>
      <c r="G53" t="s">
        <v>565</v>
      </c>
      <c r="H53" t="s">
        <v>31</v>
      </c>
      <c r="I53">
        <v>3</v>
      </c>
      <c r="J53">
        <v>1693503754.0999999</v>
      </c>
      <c r="K53">
        <f t="shared" si="46"/>
        <v>4.9185474413377187E-3</v>
      </c>
      <c r="L53">
        <f t="shared" si="47"/>
        <v>4.9185474413377186</v>
      </c>
      <c r="M53">
        <f t="shared" si="48"/>
        <v>41.043697728363973</v>
      </c>
      <c r="N53">
        <f t="shared" si="49"/>
        <v>348.78800000000001</v>
      </c>
      <c r="O53">
        <f t="shared" si="50"/>
        <v>148.92194941951485</v>
      </c>
      <c r="P53">
        <f t="shared" si="51"/>
        <v>14.851787800493538</v>
      </c>
      <c r="Q53">
        <f t="shared" si="52"/>
        <v>34.784163003171997</v>
      </c>
      <c r="R53">
        <f t="shared" si="53"/>
        <v>0.35804359711056072</v>
      </c>
      <c r="S53">
        <f t="shared" si="54"/>
        <v>2.9160029599717698</v>
      </c>
      <c r="T53">
        <f t="shared" si="55"/>
        <v>0.33529035411225239</v>
      </c>
      <c r="U53">
        <f t="shared" si="56"/>
        <v>0.21148015185533375</v>
      </c>
      <c r="V53">
        <f t="shared" si="57"/>
        <v>344.40609864397726</v>
      </c>
      <c r="W53">
        <f t="shared" si="58"/>
        <v>31.245597178524541</v>
      </c>
      <c r="X53">
        <f t="shared" si="59"/>
        <v>29.9971</v>
      </c>
      <c r="Y53">
        <f t="shared" si="60"/>
        <v>4.2597401453763633</v>
      </c>
      <c r="Z53">
        <f t="shared" si="61"/>
        <v>65.00768775919498</v>
      </c>
      <c r="AA53">
        <f t="shared" si="62"/>
        <v>2.8489089958554001</v>
      </c>
      <c r="AB53">
        <f t="shared" si="63"/>
        <v>4.3824185939492022</v>
      </c>
      <c r="AC53">
        <f t="shared" si="64"/>
        <v>1.4108311495209631</v>
      </c>
      <c r="AD53">
        <f t="shared" si="65"/>
        <v>-216.90794216299338</v>
      </c>
      <c r="AE53">
        <f t="shared" si="66"/>
        <v>77.849179541424718</v>
      </c>
      <c r="AF53">
        <f t="shared" si="67"/>
        <v>5.950551719178665</v>
      </c>
      <c r="AG53">
        <f t="shared" si="68"/>
        <v>211.29788774158729</v>
      </c>
      <c r="AH53">
        <v>0</v>
      </c>
      <c r="AI53">
        <v>0</v>
      </c>
      <c r="AJ53">
        <f t="shared" si="69"/>
        <v>1</v>
      </c>
      <c r="AK53">
        <f t="shared" si="70"/>
        <v>0</v>
      </c>
      <c r="AL53">
        <f t="shared" si="71"/>
        <v>51874.527810658292</v>
      </c>
      <c r="AM53" t="s">
        <v>417</v>
      </c>
      <c r="AN53">
        <v>10366.9</v>
      </c>
      <c r="AO53">
        <v>993.59653846153856</v>
      </c>
      <c r="AP53">
        <v>3431.87</v>
      </c>
      <c r="AQ53">
        <f t="shared" si="72"/>
        <v>0.71047955241266758</v>
      </c>
      <c r="AR53">
        <v>-3.9894345373445681</v>
      </c>
      <c r="AS53" t="s">
        <v>606</v>
      </c>
      <c r="AT53">
        <v>10490.7</v>
      </c>
      <c r="AU53">
        <v>745.38507692307689</v>
      </c>
      <c r="AV53">
        <v>1053.05032078355</v>
      </c>
      <c r="AW53">
        <f t="shared" si="73"/>
        <v>0.29216575674327383</v>
      </c>
      <c r="AX53">
        <v>0.5</v>
      </c>
      <c r="AY53">
        <f t="shared" si="74"/>
        <v>1513.3445993219887</v>
      </c>
      <c r="AZ53">
        <f t="shared" si="75"/>
        <v>41.043697728363973</v>
      </c>
      <c r="BA53">
        <f t="shared" si="76"/>
        <v>221.07373503712768</v>
      </c>
      <c r="BB53">
        <f t="shared" si="77"/>
        <v>2.9757354858823543E-2</v>
      </c>
      <c r="BC53">
        <f t="shared" si="78"/>
        <v>2.2589800622694138</v>
      </c>
      <c r="BD53">
        <f t="shared" si="79"/>
        <v>600.71582361303808</v>
      </c>
      <c r="BE53" t="s">
        <v>607</v>
      </c>
      <c r="BF53">
        <v>598.37</v>
      </c>
      <c r="BG53">
        <f t="shared" si="80"/>
        <v>598.37</v>
      </c>
      <c r="BH53">
        <f t="shared" si="81"/>
        <v>0.43177454278275429</v>
      </c>
      <c r="BI53">
        <f t="shared" si="82"/>
        <v>0.67666276677704895</v>
      </c>
      <c r="BJ53">
        <f t="shared" si="83"/>
        <v>0.83953403183922704</v>
      </c>
      <c r="BK53">
        <f t="shared" si="84"/>
        <v>5.1748641019020072</v>
      </c>
      <c r="BL53">
        <f t="shared" si="85"/>
        <v>0.97561644201938758</v>
      </c>
      <c r="BM53">
        <f t="shared" si="86"/>
        <v>0.54320204722607779</v>
      </c>
      <c r="BN53">
        <f t="shared" si="87"/>
        <v>0.45679795277392221</v>
      </c>
      <c r="BO53">
        <v>7816</v>
      </c>
      <c r="BP53">
        <v>290.00000000000011</v>
      </c>
      <c r="BQ53">
        <v>962.3</v>
      </c>
      <c r="BR53">
        <v>135</v>
      </c>
      <c r="BS53">
        <v>10490.7</v>
      </c>
      <c r="BT53">
        <v>961.18</v>
      </c>
      <c r="BU53">
        <v>1.1200000000000001</v>
      </c>
      <c r="BV53">
        <v>300.00000000000011</v>
      </c>
      <c r="BW53">
        <v>38.200000000000003</v>
      </c>
      <c r="BX53">
        <v>1053.05032078355</v>
      </c>
      <c r="BY53">
        <v>0.96275631023587993</v>
      </c>
      <c r="BZ53">
        <v>-96.38043448096154</v>
      </c>
      <c r="CA53">
        <v>0.82634889770260567</v>
      </c>
      <c r="CB53">
        <v>0.99794593496713735</v>
      </c>
      <c r="CC53">
        <v>-1.138518487208009E-2</v>
      </c>
      <c r="CD53">
        <v>289.99999999999989</v>
      </c>
      <c r="CE53">
        <v>948.53</v>
      </c>
      <c r="CF53">
        <v>665</v>
      </c>
      <c r="CG53">
        <v>10462.299999999999</v>
      </c>
      <c r="CH53">
        <v>960.93</v>
      </c>
      <c r="CI53">
        <v>-12.4</v>
      </c>
      <c r="CW53">
        <f t="shared" si="88"/>
        <v>1800.19</v>
      </c>
      <c r="CX53">
        <f t="shared" si="89"/>
        <v>1513.3445993219887</v>
      </c>
      <c r="CY53">
        <f t="shared" si="90"/>
        <v>0.84065826347329375</v>
      </c>
      <c r="CZ53">
        <f t="shared" si="91"/>
        <v>0.19131652694658743</v>
      </c>
      <c r="DA53">
        <v>6</v>
      </c>
      <c r="DB53">
        <v>0.5</v>
      </c>
      <c r="DC53" t="s">
        <v>420</v>
      </c>
      <c r="DD53">
        <v>2</v>
      </c>
      <c r="DE53">
        <v>1693503754.0999999</v>
      </c>
      <c r="DF53">
        <v>348.78800000000001</v>
      </c>
      <c r="DG53">
        <v>400.10399999999998</v>
      </c>
      <c r="DH53">
        <v>28.566600000000001</v>
      </c>
      <c r="DI53">
        <v>22.8324</v>
      </c>
      <c r="DJ53">
        <v>349.09100000000001</v>
      </c>
      <c r="DK53">
        <v>28.307600000000001</v>
      </c>
      <c r="DL53">
        <v>499.952</v>
      </c>
      <c r="DM53">
        <v>99.628299999999996</v>
      </c>
      <c r="DN53">
        <v>0.100369</v>
      </c>
      <c r="DO53">
        <v>30.4923</v>
      </c>
      <c r="DP53">
        <v>29.9971</v>
      </c>
      <c r="DQ53">
        <v>999.9</v>
      </c>
      <c r="DR53">
        <v>0</v>
      </c>
      <c r="DS53">
        <v>0</v>
      </c>
      <c r="DT53">
        <v>9960</v>
      </c>
      <c r="DU53">
        <v>0</v>
      </c>
      <c r="DV53">
        <v>1697.48</v>
      </c>
      <c r="DW53">
        <v>-51.316299999999998</v>
      </c>
      <c r="DX53">
        <v>359.04399999999998</v>
      </c>
      <c r="DY53">
        <v>409.45299999999997</v>
      </c>
      <c r="DZ53">
        <v>5.7340999999999998</v>
      </c>
      <c r="EA53">
        <v>400.10399999999998</v>
      </c>
      <c r="EB53">
        <v>22.8324</v>
      </c>
      <c r="EC53">
        <v>2.8460399999999999</v>
      </c>
      <c r="ED53">
        <v>2.2747600000000001</v>
      </c>
      <c r="EE53">
        <v>23.153600000000001</v>
      </c>
      <c r="EF53">
        <v>19.498799999999999</v>
      </c>
      <c r="EG53">
        <v>1800.19</v>
      </c>
      <c r="EH53">
        <v>0.97799800000000003</v>
      </c>
      <c r="EI53">
        <v>2.2002299999999999E-2</v>
      </c>
      <c r="EJ53">
        <v>0</v>
      </c>
      <c r="EK53">
        <v>746.61900000000003</v>
      </c>
      <c r="EL53">
        <v>5.0010300000000001</v>
      </c>
      <c r="EM53">
        <v>14231.7</v>
      </c>
      <c r="EN53">
        <v>14702.7</v>
      </c>
      <c r="EO53">
        <v>46.561999999999998</v>
      </c>
      <c r="EP53">
        <v>48.311999999999998</v>
      </c>
      <c r="EQ53">
        <v>48.125</v>
      </c>
      <c r="ER53">
        <v>46.811999999999998</v>
      </c>
      <c r="ES53">
        <v>48.25</v>
      </c>
      <c r="ET53">
        <v>1755.69</v>
      </c>
      <c r="EU53">
        <v>39.5</v>
      </c>
      <c r="EV53">
        <v>0</v>
      </c>
      <c r="EW53">
        <v>157.79999995231631</v>
      </c>
      <c r="EX53">
        <v>0</v>
      </c>
      <c r="EY53">
        <v>745.38507692307689</v>
      </c>
      <c r="EZ53">
        <v>11.79076922960023</v>
      </c>
      <c r="FA53">
        <v>223.87008556369881</v>
      </c>
      <c r="FB53">
        <v>14202.538461538459</v>
      </c>
      <c r="FC53">
        <v>15</v>
      </c>
      <c r="FD53">
        <v>1693503674.0999999</v>
      </c>
      <c r="FE53" t="s">
        <v>608</v>
      </c>
      <c r="FF53">
        <v>1693503674.0999999</v>
      </c>
      <c r="FG53">
        <v>1693503665.5999999</v>
      </c>
      <c r="FH53">
        <v>42</v>
      </c>
      <c r="FI53">
        <v>-0.104</v>
      </c>
      <c r="FJ53">
        <v>-3.0000000000000001E-3</v>
      </c>
      <c r="FK53">
        <v>-0.26100000000000001</v>
      </c>
      <c r="FL53">
        <v>0.122</v>
      </c>
      <c r="FM53">
        <v>400</v>
      </c>
      <c r="FN53">
        <v>23</v>
      </c>
      <c r="FO53">
        <v>0.11</v>
      </c>
      <c r="FP53">
        <v>0.03</v>
      </c>
      <c r="FQ53">
        <v>40.879914014387921</v>
      </c>
      <c r="FR53">
        <v>0.6902627114717127</v>
      </c>
      <c r="FS53">
        <v>0.1116282932097688</v>
      </c>
      <c r="FT53">
        <v>1</v>
      </c>
      <c r="FU53">
        <v>0.35897904801347058</v>
      </c>
      <c r="FV53">
        <v>-5.6803619668732951E-3</v>
      </c>
      <c r="FW53">
        <v>8.6936055721775838E-4</v>
      </c>
      <c r="FX53">
        <v>1</v>
      </c>
      <c r="FY53">
        <v>2</v>
      </c>
      <c r="FZ53">
        <v>2</v>
      </c>
      <c r="GA53" t="s">
        <v>422</v>
      </c>
      <c r="GB53">
        <v>2.9066299999999998</v>
      </c>
      <c r="GC53">
        <v>2.8180299999999998</v>
      </c>
      <c r="GD53">
        <v>8.2448199999999999E-2</v>
      </c>
      <c r="GE53">
        <v>9.1657799999999998E-2</v>
      </c>
      <c r="GF53">
        <v>0.13564899999999999</v>
      </c>
      <c r="GG53">
        <v>0.116129</v>
      </c>
      <c r="GH53">
        <v>25606.799999999999</v>
      </c>
      <c r="GI53">
        <v>25369.9</v>
      </c>
      <c r="GJ53">
        <v>24754.1</v>
      </c>
      <c r="GK53">
        <v>24931.1</v>
      </c>
      <c r="GL53">
        <v>28398.1</v>
      </c>
      <c r="GM53">
        <v>28793.1</v>
      </c>
      <c r="GN53">
        <v>33467.599999999999</v>
      </c>
      <c r="GO53">
        <v>33283.5</v>
      </c>
      <c r="GP53">
        <v>1.9998</v>
      </c>
      <c r="GQ53">
        <v>1.9339999999999999</v>
      </c>
      <c r="GR53">
        <v>7.0661299999999996E-2</v>
      </c>
      <c r="GS53">
        <v>0</v>
      </c>
      <c r="GT53">
        <v>28.8461</v>
      </c>
      <c r="GU53">
        <v>999.9</v>
      </c>
      <c r="GV53">
        <v>59.3</v>
      </c>
      <c r="GW53">
        <v>31.4</v>
      </c>
      <c r="GX53">
        <v>27.47</v>
      </c>
      <c r="GY53">
        <v>61.770200000000003</v>
      </c>
      <c r="GZ53">
        <v>25.4207</v>
      </c>
      <c r="HA53">
        <v>1</v>
      </c>
      <c r="HB53">
        <v>0.19087399999999999</v>
      </c>
      <c r="HC53">
        <v>0.21976000000000001</v>
      </c>
      <c r="HD53">
        <v>20.1737</v>
      </c>
      <c r="HE53">
        <v>5.2346599999999999</v>
      </c>
      <c r="HF53">
        <v>11.919499999999999</v>
      </c>
      <c r="HG53">
        <v>4.9614000000000003</v>
      </c>
      <c r="HH53">
        <v>3.2890000000000001</v>
      </c>
      <c r="HI53">
        <v>9999</v>
      </c>
      <c r="HJ53">
        <v>9999</v>
      </c>
      <c r="HK53">
        <v>9999</v>
      </c>
      <c r="HL53">
        <v>893.7</v>
      </c>
      <c r="HM53">
        <v>1.8806700000000001</v>
      </c>
      <c r="HN53">
        <v>1.8777299999999999</v>
      </c>
      <c r="HO53">
        <v>1.88568</v>
      </c>
      <c r="HP53">
        <v>1.88354</v>
      </c>
      <c r="HQ53">
        <v>1.8809499999999999</v>
      </c>
      <c r="HR53">
        <v>1.8800399999999999</v>
      </c>
      <c r="HS53">
        <v>1.88121</v>
      </c>
      <c r="HT53">
        <v>1.88062</v>
      </c>
      <c r="HU53">
        <v>5</v>
      </c>
      <c r="HV53">
        <v>0</v>
      </c>
      <c r="HW53">
        <v>0</v>
      </c>
      <c r="HX53">
        <v>0</v>
      </c>
      <c r="HY53" t="s">
        <v>423</v>
      </c>
      <c r="HZ53" t="s">
        <v>424</v>
      </c>
      <c r="IA53" t="s">
        <v>425</v>
      </c>
      <c r="IB53" t="s">
        <v>425</v>
      </c>
      <c r="IC53" t="s">
        <v>425</v>
      </c>
      <c r="ID53" t="s">
        <v>425</v>
      </c>
      <c r="IE53">
        <v>0</v>
      </c>
      <c r="IF53">
        <v>100</v>
      </c>
      <c r="IG53">
        <v>100</v>
      </c>
      <c r="IH53">
        <v>-0.30299999999999999</v>
      </c>
      <c r="II53">
        <v>0.25900000000000001</v>
      </c>
      <c r="IJ53">
        <v>-0.82977017060330249</v>
      </c>
      <c r="IK53">
        <v>2.2153513873161218E-3</v>
      </c>
      <c r="IL53">
        <v>-2.2967369670569612E-6</v>
      </c>
      <c r="IM53">
        <v>7.7859689150384122E-10</v>
      </c>
      <c r="IN53">
        <v>-0.12759277174920311</v>
      </c>
      <c r="IO53">
        <v>-4.1434251034592161E-3</v>
      </c>
      <c r="IP53">
        <v>8.3987709687394815E-4</v>
      </c>
      <c r="IQ53">
        <v>-7.4586254598011197E-6</v>
      </c>
      <c r="IR53">
        <v>2</v>
      </c>
      <c r="IS53">
        <v>1930</v>
      </c>
      <c r="IT53">
        <v>2</v>
      </c>
      <c r="IU53">
        <v>41</v>
      </c>
      <c r="IV53">
        <v>1.3</v>
      </c>
      <c r="IW53">
        <v>1.5</v>
      </c>
      <c r="IX53">
        <v>0.99975599999999998</v>
      </c>
      <c r="IY53">
        <v>2.5</v>
      </c>
      <c r="IZ53">
        <v>1.24512</v>
      </c>
      <c r="JA53">
        <v>2.2692899999999998</v>
      </c>
      <c r="JB53">
        <v>1.4501999999999999</v>
      </c>
      <c r="JC53">
        <v>2.4230999999999998</v>
      </c>
      <c r="JD53">
        <v>34.5321</v>
      </c>
      <c r="JE53">
        <v>24.061199999999999</v>
      </c>
      <c r="JF53">
        <v>18</v>
      </c>
      <c r="JG53">
        <v>497.428</v>
      </c>
      <c r="JH53">
        <v>504.892</v>
      </c>
      <c r="JI53">
        <v>27.6874</v>
      </c>
      <c r="JJ53">
        <v>29.947099999999999</v>
      </c>
      <c r="JK53">
        <v>29.9999</v>
      </c>
      <c r="JL53">
        <v>29.818100000000001</v>
      </c>
      <c r="JM53">
        <v>29.788799999999998</v>
      </c>
      <c r="JN53">
        <v>20.1204</v>
      </c>
      <c r="JO53">
        <v>24.7819</v>
      </c>
      <c r="JP53">
        <v>100</v>
      </c>
      <c r="JQ53">
        <v>27.6767</v>
      </c>
      <c r="JR53">
        <v>400</v>
      </c>
      <c r="JS53">
        <v>22.8917</v>
      </c>
      <c r="JT53">
        <v>99.898300000000006</v>
      </c>
      <c r="JU53">
        <v>99.355699999999999</v>
      </c>
    </row>
    <row r="54" spans="1:281" x14ac:dyDescent="0.25">
      <c r="A54">
        <v>38</v>
      </c>
      <c r="B54">
        <v>1693503861.5999999</v>
      </c>
      <c r="C54">
        <v>8212</v>
      </c>
      <c r="D54" t="s">
        <v>609</v>
      </c>
      <c r="E54" t="s">
        <v>610</v>
      </c>
      <c r="F54" t="s">
        <v>413</v>
      </c>
      <c r="G54" t="s">
        <v>565</v>
      </c>
      <c r="H54" t="s">
        <v>31</v>
      </c>
      <c r="I54">
        <v>3</v>
      </c>
      <c r="J54">
        <v>1693503861.5999999</v>
      </c>
      <c r="K54">
        <f t="shared" si="46"/>
        <v>4.8787598734509989E-3</v>
      </c>
      <c r="L54">
        <f t="shared" si="47"/>
        <v>4.8787598734509992</v>
      </c>
      <c r="M54">
        <f t="shared" si="48"/>
        <v>43.788414194023588</v>
      </c>
      <c r="N54">
        <f t="shared" si="49"/>
        <v>444.81</v>
      </c>
      <c r="O54">
        <f t="shared" si="50"/>
        <v>228.55377663642923</v>
      </c>
      <c r="P54">
        <f t="shared" si="51"/>
        <v>22.792701635740446</v>
      </c>
      <c r="Q54">
        <f t="shared" si="52"/>
        <v>44.359020287471999</v>
      </c>
      <c r="R54">
        <f t="shared" si="53"/>
        <v>0.35546283241034937</v>
      </c>
      <c r="S54">
        <f t="shared" si="54"/>
        <v>2.9264788884383628</v>
      </c>
      <c r="T54">
        <f t="shared" si="55"/>
        <v>0.33310029022265442</v>
      </c>
      <c r="U54">
        <f t="shared" si="56"/>
        <v>0.21007952314273715</v>
      </c>
      <c r="V54">
        <f t="shared" si="57"/>
        <v>344.33769864370601</v>
      </c>
      <c r="W54">
        <f t="shared" si="58"/>
        <v>31.212243264373495</v>
      </c>
      <c r="X54">
        <f t="shared" si="59"/>
        <v>30.002199999999998</v>
      </c>
      <c r="Y54">
        <f t="shared" si="60"/>
        <v>4.2609881789030473</v>
      </c>
      <c r="Z54">
        <f t="shared" si="61"/>
        <v>65.24058627893497</v>
      </c>
      <c r="AA54">
        <f t="shared" si="62"/>
        <v>2.85244626105648</v>
      </c>
      <c r="AB54">
        <f t="shared" si="63"/>
        <v>4.3721959346914767</v>
      </c>
      <c r="AC54">
        <f t="shared" si="64"/>
        <v>1.4085419178465672</v>
      </c>
      <c r="AD54">
        <f t="shared" si="65"/>
        <v>-215.15331041918904</v>
      </c>
      <c r="AE54">
        <f t="shared" si="66"/>
        <v>70.887107794186761</v>
      </c>
      <c r="AF54">
        <f t="shared" si="67"/>
        <v>5.3980421489734516</v>
      </c>
      <c r="AG54">
        <f t="shared" si="68"/>
        <v>205.46953816767717</v>
      </c>
      <c r="AH54">
        <v>0</v>
      </c>
      <c r="AI54">
        <v>0</v>
      </c>
      <c r="AJ54">
        <f t="shared" si="69"/>
        <v>1</v>
      </c>
      <c r="AK54">
        <f t="shared" si="70"/>
        <v>0</v>
      </c>
      <c r="AL54">
        <f t="shared" si="71"/>
        <v>52179.996993246648</v>
      </c>
      <c r="AM54" t="s">
        <v>417</v>
      </c>
      <c r="AN54">
        <v>10366.9</v>
      </c>
      <c r="AO54">
        <v>993.59653846153856</v>
      </c>
      <c r="AP54">
        <v>3431.87</v>
      </c>
      <c r="AQ54">
        <f t="shared" si="72"/>
        <v>0.71047955241266758</v>
      </c>
      <c r="AR54">
        <v>-3.9894345373445681</v>
      </c>
      <c r="AS54" t="s">
        <v>611</v>
      </c>
      <c r="AT54">
        <v>10480.1</v>
      </c>
      <c r="AU54">
        <v>774.29873076923059</v>
      </c>
      <c r="AV54">
        <v>1120.35912531751</v>
      </c>
      <c r="AW54">
        <f t="shared" si="73"/>
        <v>0.30888345239318316</v>
      </c>
      <c r="AX54">
        <v>0.5</v>
      </c>
      <c r="AY54">
        <f t="shared" si="74"/>
        <v>1513.0421993218529</v>
      </c>
      <c r="AZ54">
        <f t="shared" si="75"/>
        <v>43.788414194023588</v>
      </c>
      <c r="BA54">
        <f t="shared" si="76"/>
        <v>233.67684907155433</v>
      </c>
      <c r="BB54">
        <f t="shared" si="77"/>
        <v>3.1577340508270185E-2</v>
      </c>
      <c r="BC54">
        <f t="shared" si="78"/>
        <v>2.063187439141362</v>
      </c>
      <c r="BD54">
        <f t="shared" si="79"/>
        <v>622.03393091789519</v>
      </c>
      <c r="BE54" t="s">
        <v>612</v>
      </c>
      <c r="BF54">
        <v>606.92999999999995</v>
      </c>
      <c r="BG54">
        <f t="shared" si="80"/>
        <v>606.92999999999995</v>
      </c>
      <c r="BH54">
        <f t="shared" si="81"/>
        <v>0.45827191809769408</v>
      </c>
      <c r="BI54">
        <f t="shared" si="82"/>
        <v>0.67401784878150806</v>
      </c>
      <c r="BJ54">
        <f t="shared" si="83"/>
        <v>0.81825131672973228</v>
      </c>
      <c r="BK54">
        <f t="shared" si="84"/>
        <v>2.7299884226997961</v>
      </c>
      <c r="BL54">
        <f t="shared" si="85"/>
        <v>0.94801133307828844</v>
      </c>
      <c r="BM54">
        <f t="shared" si="86"/>
        <v>0.52832535648683887</v>
      </c>
      <c r="BN54">
        <f t="shared" si="87"/>
        <v>0.47167464351316113</v>
      </c>
      <c r="BO54">
        <v>7818</v>
      </c>
      <c r="BP54">
        <v>290.00000000000011</v>
      </c>
      <c r="BQ54">
        <v>1020.35</v>
      </c>
      <c r="BR54">
        <v>205</v>
      </c>
      <c r="BS54">
        <v>10480.1</v>
      </c>
      <c r="BT54">
        <v>1019.26</v>
      </c>
      <c r="BU54">
        <v>1.0900000000000001</v>
      </c>
      <c r="BV54">
        <v>300.00000000000011</v>
      </c>
      <c r="BW54">
        <v>38.200000000000003</v>
      </c>
      <c r="BX54">
        <v>1120.35912531751</v>
      </c>
      <c r="BY54">
        <v>1.112721743641534</v>
      </c>
      <c r="BZ54">
        <v>-105.9520991591064</v>
      </c>
      <c r="CA54">
        <v>0.95504747358524111</v>
      </c>
      <c r="CB54">
        <v>0.99773012518722337</v>
      </c>
      <c r="CC54">
        <v>-1.138486763070079E-2</v>
      </c>
      <c r="CD54">
        <v>289.99999999999989</v>
      </c>
      <c r="CE54">
        <v>1007.96</v>
      </c>
      <c r="CF54">
        <v>665</v>
      </c>
      <c r="CG54">
        <v>10462.1</v>
      </c>
      <c r="CH54">
        <v>1019.09</v>
      </c>
      <c r="CI54">
        <v>-11.13</v>
      </c>
      <c r="CW54">
        <f t="shared" si="88"/>
        <v>1799.83</v>
      </c>
      <c r="CX54">
        <f t="shared" si="89"/>
        <v>1513.0421993218529</v>
      </c>
      <c r="CY54">
        <f t="shared" si="90"/>
        <v>0.84065839513834806</v>
      </c>
      <c r="CZ54">
        <f t="shared" si="91"/>
        <v>0.19131679027669615</v>
      </c>
      <c r="DA54">
        <v>6</v>
      </c>
      <c r="DB54">
        <v>0.5</v>
      </c>
      <c r="DC54" t="s">
        <v>420</v>
      </c>
      <c r="DD54">
        <v>2</v>
      </c>
      <c r="DE54">
        <v>1693503861.5999999</v>
      </c>
      <c r="DF54">
        <v>444.81</v>
      </c>
      <c r="DG54">
        <v>499.88600000000002</v>
      </c>
      <c r="DH54">
        <v>28.602900000000002</v>
      </c>
      <c r="DI54">
        <v>22.923500000000001</v>
      </c>
      <c r="DJ54">
        <v>445.084</v>
      </c>
      <c r="DK54">
        <v>28.347899999999999</v>
      </c>
      <c r="DL54">
        <v>500.67399999999998</v>
      </c>
      <c r="DM54">
        <v>99.625799999999998</v>
      </c>
      <c r="DN54">
        <v>9.9971199999999996E-2</v>
      </c>
      <c r="DO54">
        <v>30.451499999999999</v>
      </c>
      <c r="DP54">
        <v>30.002199999999998</v>
      </c>
      <c r="DQ54">
        <v>999.9</v>
      </c>
      <c r="DR54">
        <v>0</v>
      </c>
      <c r="DS54">
        <v>0</v>
      </c>
      <c r="DT54">
        <v>10020</v>
      </c>
      <c r="DU54">
        <v>0</v>
      </c>
      <c r="DV54">
        <v>1691.4</v>
      </c>
      <c r="DW54">
        <v>-55.076300000000003</v>
      </c>
      <c r="DX54">
        <v>457.90699999999998</v>
      </c>
      <c r="DY54">
        <v>511.61399999999998</v>
      </c>
      <c r="DZ54">
        <v>5.6793399999999998</v>
      </c>
      <c r="EA54">
        <v>499.88600000000002</v>
      </c>
      <c r="EB54">
        <v>22.923500000000001</v>
      </c>
      <c r="EC54">
        <v>2.84958</v>
      </c>
      <c r="ED54">
        <v>2.2837700000000001</v>
      </c>
      <c r="EE54">
        <v>23.174199999999999</v>
      </c>
      <c r="EF54">
        <v>19.5624</v>
      </c>
      <c r="EG54">
        <v>1799.83</v>
      </c>
      <c r="EH54">
        <v>0.97799400000000003</v>
      </c>
      <c r="EI54">
        <v>2.2005799999999999E-2</v>
      </c>
      <c r="EJ54">
        <v>0</v>
      </c>
      <c r="EK54">
        <v>774.95699999999999</v>
      </c>
      <c r="EL54">
        <v>5.0010300000000001</v>
      </c>
      <c r="EM54">
        <v>14723.8</v>
      </c>
      <c r="EN54">
        <v>14699.7</v>
      </c>
      <c r="EO54">
        <v>46.561999999999998</v>
      </c>
      <c r="EP54">
        <v>48.436999999999998</v>
      </c>
      <c r="EQ54">
        <v>48.125</v>
      </c>
      <c r="ER54">
        <v>46.811999999999998</v>
      </c>
      <c r="ES54">
        <v>48.25</v>
      </c>
      <c r="ET54">
        <v>1755.33</v>
      </c>
      <c r="EU54">
        <v>39.5</v>
      </c>
      <c r="EV54">
        <v>0</v>
      </c>
      <c r="EW54">
        <v>105.5999999046326</v>
      </c>
      <c r="EX54">
        <v>0</v>
      </c>
      <c r="EY54">
        <v>774.29873076923059</v>
      </c>
      <c r="EZ54">
        <v>5.8331965662691108</v>
      </c>
      <c r="FA54">
        <v>82.382905969903405</v>
      </c>
      <c r="FB54">
        <v>14713.88846153846</v>
      </c>
      <c r="FC54">
        <v>15</v>
      </c>
      <c r="FD54">
        <v>1693503820.5999999</v>
      </c>
      <c r="FE54" t="s">
        <v>613</v>
      </c>
      <c r="FF54">
        <v>1693503814.0999999</v>
      </c>
      <c r="FG54">
        <v>1693503820.5999999</v>
      </c>
      <c r="FH54">
        <v>43</v>
      </c>
      <c r="FI54">
        <v>-4.3999999999999997E-2</v>
      </c>
      <c r="FJ54">
        <v>-5.0000000000000001E-3</v>
      </c>
      <c r="FK54">
        <v>-0.24299999999999999</v>
      </c>
      <c r="FL54">
        <v>0.12</v>
      </c>
      <c r="FM54">
        <v>500</v>
      </c>
      <c r="FN54">
        <v>23</v>
      </c>
      <c r="FO54">
        <v>0.12</v>
      </c>
      <c r="FP54">
        <v>0.03</v>
      </c>
      <c r="FQ54">
        <v>43.771666319542398</v>
      </c>
      <c r="FR54">
        <v>0.55619835453135325</v>
      </c>
      <c r="FS54">
        <v>8.9874412908519899E-2</v>
      </c>
      <c r="FT54">
        <v>1</v>
      </c>
      <c r="FU54">
        <v>0.35970770949227898</v>
      </c>
      <c r="FV54">
        <v>-3.0332997852187078E-2</v>
      </c>
      <c r="FW54">
        <v>2.3807030417563472E-3</v>
      </c>
      <c r="FX54">
        <v>1</v>
      </c>
      <c r="FY54">
        <v>2</v>
      </c>
      <c r="FZ54">
        <v>2</v>
      </c>
      <c r="GA54" t="s">
        <v>422</v>
      </c>
      <c r="GB54">
        <v>2.90842</v>
      </c>
      <c r="GC54">
        <v>2.8181600000000002</v>
      </c>
      <c r="GD54">
        <v>9.9353700000000003E-2</v>
      </c>
      <c r="GE54">
        <v>0.108225</v>
      </c>
      <c r="GF54">
        <v>0.135769</v>
      </c>
      <c r="GG54">
        <v>0.116439</v>
      </c>
      <c r="GH54">
        <v>25132.9</v>
      </c>
      <c r="GI54">
        <v>24905</v>
      </c>
      <c r="GJ54">
        <v>24752</v>
      </c>
      <c r="GK54">
        <v>24929</v>
      </c>
      <c r="GL54">
        <v>28392</v>
      </c>
      <c r="GM54">
        <v>28779.9</v>
      </c>
      <c r="GN54">
        <v>33465</v>
      </c>
      <c r="GO54">
        <v>33280</v>
      </c>
      <c r="GP54">
        <v>1.9994000000000001</v>
      </c>
      <c r="GQ54">
        <v>1.9350000000000001</v>
      </c>
      <c r="GR54">
        <v>6.7055199999999995E-2</v>
      </c>
      <c r="GS54">
        <v>0</v>
      </c>
      <c r="GT54">
        <v>28.91</v>
      </c>
      <c r="GU54">
        <v>999.9</v>
      </c>
      <c r="GV54">
        <v>59.5</v>
      </c>
      <c r="GW54">
        <v>31.3</v>
      </c>
      <c r="GX54">
        <v>27.4069</v>
      </c>
      <c r="GY54">
        <v>61.690199999999997</v>
      </c>
      <c r="GZ54">
        <v>23.9984</v>
      </c>
      <c r="HA54">
        <v>1</v>
      </c>
      <c r="HB54">
        <v>0.19473599999999999</v>
      </c>
      <c r="HC54">
        <v>3.7581699999999999E-3</v>
      </c>
      <c r="HD54">
        <v>20.173100000000002</v>
      </c>
      <c r="HE54">
        <v>5.2346599999999999</v>
      </c>
      <c r="HF54">
        <v>11.919499999999999</v>
      </c>
      <c r="HG54">
        <v>4.9611999999999998</v>
      </c>
      <c r="HH54">
        <v>3.2890000000000001</v>
      </c>
      <c r="HI54">
        <v>9999</v>
      </c>
      <c r="HJ54">
        <v>9999</v>
      </c>
      <c r="HK54">
        <v>9999</v>
      </c>
      <c r="HL54">
        <v>893.7</v>
      </c>
      <c r="HM54">
        <v>1.8806499999999999</v>
      </c>
      <c r="HN54">
        <v>1.87775</v>
      </c>
      <c r="HO54">
        <v>1.88568</v>
      </c>
      <c r="HP54">
        <v>1.8835299999999999</v>
      </c>
      <c r="HQ54">
        <v>1.8809499999999999</v>
      </c>
      <c r="HR54">
        <v>1.8800399999999999</v>
      </c>
      <c r="HS54">
        <v>1.8811500000000001</v>
      </c>
      <c r="HT54">
        <v>1.8805700000000001</v>
      </c>
      <c r="HU54">
        <v>5</v>
      </c>
      <c r="HV54">
        <v>0</v>
      </c>
      <c r="HW54">
        <v>0</v>
      </c>
      <c r="HX54">
        <v>0</v>
      </c>
      <c r="HY54" t="s">
        <v>423</v>
      </c>
      <c r="HZ54" t="s">
        <v>424</v>
      </c>
      <c r="IA54" t="s">
        <v>425</v>
      </c>
      <c r="IB54" t="s">
        <v>425</v>
      </c>
      <c r="IC54" t="s">
        <v>425</v>
      </c>
      <c r="ID54" t="s">
        <v>425</v>
      </c>
      <c r="IE54">
        <v>0</v>
      </c>
      <c r="IF54">
        <v>100</v>
      </c>
      <c r="IG54">
        <v>100</v>
      </c>
      <c r="IH54">
        <v>-0.27400000000000002</v>
      </c>
      <c r="II54">
        <v>0.255</v>
      </c>
      <c r="IJ54">
        <v>-0.87377847680478893</v>
      </c>
      <c r="IK54">
        <v>2.2153513873161218E-3</v>
      </c>
      <c r="IL54">
        <v>-2.2967369670569612E-6</v>
      </c>
      <c r="IM54">
        <v>7.7859689150384122E-10</v>
      </c>
      <c r="IN54">
        <v>-0.13259733443152591</v>
      </c>
      <c r="IO54">
        <v>-4.1434251034592161E-3</v>
      </c>
      <c r="IP54">
        <v>8.3987709687394815E-4</v>
      </c>
      <c r="IQ54">
        <v>-7.4586254598011197E-6</v>
      </c>
      <c r="IR54">
        <v>2</v>
      </c>
      <c r="IS54">
        <v>1930</v>
      </c>
      <c r="IT54">
        <v>2</v>
      </c>
      <c r="IU54">
        <v>41</v>
      </c>
      <c r="IV54">
        <v>0.8</v>
      </c>
      <c r="IW54">
        <v>0.7</v>
      </c>
      <c r="IX54">
        <v>1.1938500000000001</v>
      </c>
      <c r="IY54">
        <v>2.49756</v>
      </c>
      <c r="IZ54">
        <v>1.24512</v>
      </c>
      <c r="JA54">
        <v>2.2692899999999998</v>
      </c>
      <c r="JB54">
        <v>1.4501999999999999</v>
      </c>
      <c r="JC54">
        <v>2.2009300000000001</v>
      </c>
      <c r="JD54">
        <v>34.440800000000003</v>
      </c>
      <c r="JE54">
        <v>24.052499999999998</v>
      </c>
      <c r="JF54">
        <v>18</v>
      </c>
      <c r="JG54">
        <v>497.387</v>
      </c>
      <c r="JH54">
        <v>505.81599999999997</v>
      </c>
      <c r="JI54">
        <v>27.410599999999999</v>
      </c>
      <c r="JJ54">
        <v>29.985900000000001</v>
      </c>
      <c r="JK54">
        <v>30.0002</v>
      </c>
      <c r="JL54">
        <v>29.844100000000001</v>
      </c>
      <c r="JM54">
        <v>29.8094</v>
      </c>
      <c r="JN54">
        <v>24.008900000000001</v>
      </c>
      <c r="JO54">
        <v>24.2715</v>
      </c>
      <c r="JP54">
        <v>100</v>
      </c>
      <c r="JQ54">
        <v>27.654900000000001</v>
      </c>
      <c r="JR54">
        <v>500</v>
      </c>
      <c r="JS54">
        <v>22.984300000000001</v>
      </c>
      <c r="JT54">
        <v>99.890199999999993</v>
      </c>
      <c r="JU54">
        <v>99.3459</v>
      </c>
    </row>
    <row r="55" spans="1:281" x14ac:dyDescent="0.25">
      <c r="A55">
        <v>39</v>
      </c>
      <c r="B55">
        <v>1693503968.5999999</v>
      </c>
      <c r="C55">
        <v>8319</v>
      </c>
      <c r="D55" t="s">
        <v>614</v>
      </c>
      <c r="E55" t="s">
        <v>615</v>
      </c>
      <c r="F55" t="s">
        <v>413</v>
      </c>
      <c r="G55" t="s">
        <v>565</v>
      </c>
      <c r="H55" t="s">
        <v>31</v>
      </c>
      <c r="I55">
        <v>3</v>
      </c>
      <c r="J55">
        <v>1693503968.5999999</v>
      </c>
      <c r="K55">
        <f t="shared" si="46"/>
        <v>4.8797009140494289E-3</v>
      </c>
      <c r="L55">
        <f t="shared" si="47"/>
        <v>4.8797009140494287</v>
      </c>
      <c r="M55">
        <f t="shared" si="48"/>
        <v>45.13022239924409</v>
      </c>
      <c r="N55">
        <f t="shared" si="49"/>
        <v>642.07600000000002</v>
      </c>
      <c r="O55">
        <f t="shared" si="50"/>
        <v>413.41991927316047</v>
      </c>
      <c r="P55">
        <f t="shared" si="51"/>
        <v>41.225553488654512</v>
      </c>
      <c r="Q55">
        <f t="shared" si="52"/>
        <v>64.026761285035604</v>
      </c>
      <c r="R55">
        <f t="shared" si="53"/>
        <v>0.35289110076260788</v>
      </c>
      <c r="S55">
        <f t="shared" si="54"/>
        <v>2.9246018758586785</v>
      </c>
      <c r="T55">
        <f t="shared" si="55"/>
        <v>0.33082699869215754</v>
      </c>
      <c r="U55">
        <f t="shared" si="56"/>
        <v>0.20863418304305251</v>
      </c>
      <c r="V55">
        <f t="shared" si="57"/>
        <v>344.35609864412476</v>
      </c>
      <c r="W55">
        <f t="shared" si="58"/>
        <v>31.305211259177486</v>
      </c>
      <c r="X55">
        <f t="shared" si="59"/>
        <v>30.079899999999999</v>
      </c>
      <c r="Y55">
        <f t="shared" si="60"/>
        <v>4.2800417864936824</v>
      </c>
      <c r="Z55">
        <f t="shared" si="61"/>
        <v>65.109721242279676</v>
      </c>
      <c r="AA55">
        <f t="shared" si="62"/>
        <v>2.8618668747934501</v>
      </c>
      <c r="AB55">
        <f t="shared" si="63"/>
        <v>4.3954525072287778</v>
      </c>
      <c r="AC55">
        <f t="shared" si="64"/>
        <v>1.4181749117002322</v>
      </c>
      <c r="AD55">
        <f t="shared" si="65"/>
        <v>-215.19481030957982</v>
      </c>
      <c r="AE55">
        <f t="shared" si="66"/>
        <v>73.206708598619613</v>
      </c>
      <c r="AF55">
        <f t="shared" si="67"/>
        <v>5.5829608479231041</v>
      </c>
      <c r="AG55">
        <f t="shared" si="68"/>
        <v>207.95095778108765</v>
      </c>
      <c r="AH55">
        <v>0</v>
      </c>
      <c r="AI55">
        <v>0</v>
      </c>
      <c r="AJ55">
        <f t="shared" si="69"/>
        <v>1</v>
      </c>
      <c r="AK55">
        <f t="shared" si="70"/>
        <v>0</v>
      </c>
      <c r="AL55">
        <f t="shared" si="71"/>
        <v>52110.380968189449</v>
      </c>
      <c r="AM55" t="s">
        <v>417</v>
      </c>
      <c r="AN55">
        <v>10366.9</v>
      </c>
      <c r="AO55">
        <v>993.59653846153856</v>
      </c>
      <c r="AP55">
        <v>3431.87</v>
      </c>
      <c r="AQ55">
        <f t="shared" si="72"/>
        <v>0.71047955241266758</v>
      </c>
      <c r="AR55">
        <v>-3.9894345373445681</v>
      </c>
      <c r="AS55" t="s">
        <v>616</v>
      </c>
      <c r="AT55">
        <v>10472.200000000001</v>
      </c>
      <c r="AU55">
        <v>784.98269230769233</v>
      </c>
      <c r="AV55">
        <v>1154.085748037561</v>
      </c>
      <c r="AW55">
        <f t="shared" si="73"/>
        <v>0.31982290428376015</v>
      </c>
      <c r="AX55">
        <v>0.5</v>
      </c>
      <c r="AY55">
        <f t="shared" si="74"/>
        <v>1513.1258993220622</v>
      </c>
      <c r="AZ55">
        <f t="shared" si="75"/>
        <v>45.13022239924409</v>
      </c>
      <c r="BA55">
        <f t="shared" si="76"/>
        <v>241.96615983407921</v>
      </c>
      <c r="BB55">
        <f t="shared" si="77"/>
        <v>3.2462372733555171E-2</v>
      </c>
      <c r="BC55">
        <f t="shared" si="78"/>
        <v>1.9736698558453269</v>
      </c>
      <c r="BD55">
        <f t="shared" si="79"/>
        <v>632.29304840079953</v>
      </c>
      <c r="BE55" t="s">
        <v>617</v>
      </c>
      <c r="BF55">
        <v>613.78</v>
      </c>
      <c r="BG55">
        <f t="shared" si="80"/>
        <v>613.78</v>
      </c>
      <c r="BH55">
        <f t="shared" si="81"/>
        <v>0.46816776739190458</v>
      </c>
      <c r="BI55">
        <f t="shared" si="82"/>
        <v>0.68313738484271935</v>
      </c>
      <c r="BJ55">
        <f t="shared" si="83"/>
        <v>0.80827235892481752</v>
      </c>
      <c r="BK55">
        <f t="shared" si="84"/>
        <v>2.2998621321954209</v>
      </c>
      <c r="BL55">
        <f t="shared" si="85"/>
        <v>0.93417915910270399</v>
      </c>
      <c r="BM55">
        <f t="shared" si="86"/>
        <v>0.53414689034240692</v>
      </c>
      <c r="BN55">
        <f t="shared" si="87"/>
        <v>0.46585310965759308</v>
      </c>
      <c r="BO55">
        <v>7820</v>
      </c>
      <c r="BP55">
        <v>290.00000000000011</v>
      </c>
      <c r="BQ55">
        <v>1045.9100000000001</v>
      </c>
      <c r="BR55">
        <v>265</v>
      </c>
      <c r="BS55">
        <v>10472.200000000001</v>
      </c>
      <c r="BT55">
        <v>1045.7</v>
      </c>
      <c r="BU55">
        <v>0.21</v>
      </c>
      <c r="BV55">
        <v>300.00000000000011</v>
      </c>
      <c r="BW55">
        <v>38.200000000000003</v>
      </c>
      <c r="BX55">
        <v>1154.085748037561</v>
      </c>
      <c r="BY55">
        <v>1.4661753868964891</v>
      </c>
      <c r="BZ55">
        <v>-113.5084631689901</v>
      </c>
      <c r="CA55">
        <v>1.2583234351801891</v>
      </c>
      <c r="CB55">
        <v>0.99657078853454151</v>
      </c>
      <c r="CC55">
        <v>-1.138453859844271E-2</v>
      </c>
      <c r="CD55">
        <v>289.99999999999989</v>
      </c>
      <c r="CE55">
        <v>1032.94</v>
      </c>
      <c r="CF55">
        <v>635</v>
      </c>
      <c r="CG55">
        <v>10464</v>
      </c>
      <c r="CH55">
        <v>1045.6099999999999</v>
      </c>
      <c r="CI55">
        <v>-12.67</v>
      </c>
      <c r="CW55">
        <f t="shared" si="88"/>
        <v>1799.93</v>
      </c>
      <c r="CX55">
        <f t="shared" si="89"/>
        <v>1513.1258993220622</v>
      </c>
      <c r="CY55">
        <f t="shared" si="90"/>
        <v>0.84065819188638569</v>
      </c>
      <c r="CZ55">
        <f t="shared" si="91"/>
        <v>0.19131638377277158</v>
      </c>
      <c r="DA55">
        <v>6</v>
      </c>
      <c r="DB55">
        <v>0.5</v>
      </c>
      <c r="DC55" t="s">
        <v>420</v>
      </c>
      <c r="DD55">
        <v>2</v>
      </c>
      <c r="DE55">
        <v>1693503968.5999999</v>
      </c>
      <c r="DF55">
        <v>642.07600000000002</v>
      </c>
      <c r="DG55">
        <v>699.98299999999995</v>
      </c>
      <c r="DH55">
        <v>28.6995</v>
      </c>
      <c r="DI55">
        <v>23.012799999999999</v>
      </c>
      <c r="DJ55">
        <v>642.54399999999998</v>
      </c>
      <c r="DK55">
        <v>28.439599999999999</v>
      </c>
      <c r="DL55">
        <v>500.07799999999997</v>
      </c>
      <c r="DM55">
        <v>99.618600000000001</v>
      </c>
      <c r="DN55">
        <v>9.9753099999999997E-2</v>
      </c>
      <c r="DO55">
        <v>30.5442</v>
      </c>
      <c r="DP55">
        <v>30.079899999999999</v>
      </c>
      <c r="DQ55">
        <v>999.9</v>
      </c>
      <c r="DR55">
        <v>0</v>
      </c>
      <c r="DS55">
        <v>0</v>
      </c>
      <c r="DT55">
        <v>10010</v>
      </c>
      <c r="DU55">
        <v>0</v>
      </c>
      <c r="DV55">
        <v>1686.05</v>
      </c>
      <c r="DW55">
        <v>-57.907400000000003</v>
      </c>
      <c r="DX55">
        <v>661.04700000000003</v>
      </c>
      <c r="DY55">
        <v>716.471</v>
      </c>
      <c r="DZ55">
        <v>5.6867299999999998</v>
      </c>
      <c r="EA55">
        <v>699.98299999999995</v>
      </c>
      <c r="EB55">
        <v>23.012799999999999</v>
      </c>
      <c r="EC55">
        <v>2.859</v>
      </c>
      <c r="ED55">
        <v>2.2925</v>
      </c>
      <c r="EE55">
        <v>23.2288</v>
      </c>
      <c r="EF55">
        <v>19.623799999999999</v>
      </c>
      <c r="EG55">
        <v>1799.93</v>
      </c>
      <c r="EH55">
        <v>0.97799800000000003</v>
      </c>
      <c r="EI55">
        <v>2.2002299999999999E-2</v>
      </c>
      <c r="EJ55">
        <v>0</v>
      </c>
      <c r="EK55">
        <v>785.16399999999999</v>
      </c>
      <c r="EL55">
        <v>5.0010300000000001</v>
      </c>
      <c r="EM55">
        <v>14904.4</v>
      </c>
      <c r="EN55">
        <v>14700.5</v>
      </c>
      <c r="EO55">
        <v>46.811999999999998</v>
      </c>
      <c r="EP55">
        <v>48.625</v>
      </c>
      <c r="EQ55">
        <v>48.25</v>
      </c>
      <c r="ER55">
        <v>46.936999999999998</v>
      </c>
      <c r="ES55">
        <v>48.311999999999998</v>
      </c>
      <c r="ET55">
        <v>1755.44</v>
      </c>
      <c r="EU55">
        <v>39.49</v>
      </c>
      <c r="EV55">
        <v>0</v>
      </c>
      <c r="EW55">
        <v>105</v>
      </c>
      <c r="EX55">
        <v>0</v>
      </c>
      <c r="EY55">
        <v>784.98269230769233</v>
      </c>
      <c r="EZ55">
        <v>2.5704615409004341</v>
      </c>
      <c r="FA55">
        <v>37.302564084069893</v>
      </c>
      <c r="FB55">
        <v>14902.70384615385</v>
      </c>
      <c r="FC55">
        <v>15</v>
      </c>
      <c r="FD55">
        <v>1693503940.5999999</v>
      </c>
      <c r="FE55" t="s">
        <v>618</v>
      </c>
      <c r="FF55">
        <v>1693503940.5999999</v>
      </c>
      <c r="FG55">
        <v>1693503936.0999999</v>
      </c>
      <c r="FH55">
        <v>44</v>
      </c>
      <c r="FI55">
        <v>-0.27600000000000002</v>
      </c>
      <c r="FJ55">
        <v>3.0000000000000001E-3</v>
      </c>
      <c r="FK55">
        <v>-0.45800000000000002</v>
      </c>
      <c r="FL55">
        <v>0.12</v>
      </c>
      <c r="FM55">
        <v>700</v>
      </c>
      <c r="FN55">
        <v>23</v>
      </c>
      <c r="FO55">
        <v>0.12</v>
      </c>
      <c r="FP55">
        <v>0.03</v>
      </c>
      <c r="FQ55">
        <v>45.209909594653261</v>
      </c>
      <c r="FR55">
        <v>-0.68280647015247808</v>
      </c>
      <c r="FS55">
        <v>0.12471931877029099</v>
      </c>
      <c r="FT55">
        <v>1</v>
      </c>
      <c r="FU55">
        <v>0.35598232959349052</v>
      </c>
      <c r="FV55">
        <v>2.8623172827204769E-2</v>
      </c>
      <c r="FW55">
        <v>5.5824973830224459E-3</v>
      </c>
      <c r="FX55">
        <v>1</v>
      </c>
      <c r="FY55">
        <v>2</v>
      </c>
      <c r="FZ55">
        <v>2</v>
      </c>
      <c r="GA55" t="s">
        <v>422</v>
      </c>
      <c r="GB55">
        <v>2.9067500000000002</v>
      </c>
      <c r="GC55">
        <v>2.81785</v>
      </c>
      <c r="GD55">
        <v>0.12933</v>
      </c>
      <c r="GE55">
        <v>0.13710900000000001</v>
      </c>
      <c r="GF55">
        <v>0.136049</v>
      </c>
      <c r="GG55">
        <v>0.11673600000000001</v>
      </c>
      <c r="GH55">
        <v>24295.200000000001</v>
      </c>
      <c r="GI55">
        <v>24095.8</v>
      </c>
      <c r="GJ55">
        <v>24750.9</v>
      </c>
      <c r="GK55">
        <v>24926.5</v>
      </c>
      <c r="GL55">
        <v>28381.1</v>
      </c>
      <c r="GM55">
        <v>28767.200000000001</v>
      </c>
      <c r="GN55">
        <v>33462.800000000003</v>
      </c>
      <c r="GO55">
        <v>33276.5</v>
      </c>
      <c r="GP55">
        <v>1.9978</v>
      </c>
      <c r="GQ55">
        <v>1.9357</v>
      </c>
      <c r="GR55">
        <v>7.0184499999999997E-2</v>
      </c>
      <c r="GS55">
        <v>0</v>
      </c>
      <c r="GT55">
        <v>28.936800000000002</v>
      </c>
      <c r="GU55">
        <v>999.9</v>
      </c>
      <c r="GV55">
        <v>59.6</v>
      </c>
      <c r="GW55">
        <v>31.2</v>
      </c>
      <c r="GX55">
        <v>27.296700000000001</v>
      </c>
      <c r="GY55">
        <v>61.790199999999999</v>
      </c>
      <c r="GZ55">
        <v>24.9038</v>
      </c>
      <c r="HA55">
        <v>1</v>
      </c>
      <c r="HB55">
        <v>0.19932900000000001</v>
      </c>
      <c r="HC55">
        <v>1.07822</v>
      </c>
      <c r="HD55">
        <v>20.169899999999998</v>
      </c>
      <c r="HE55">
        <v>5.2346599999999999</v>
      </c>
      <c r="HF55">
        <v>11.9201</v>
      </c>
      <c r="HG55">
        <v>4.9611999999999998</v>
      </c>
      <c r="HH55">
        <v>3.2890000000000001</v>
      </c>
      <c r="HI55">
        <v>9999</v>
      </c>
      <c r="HJ55">
        <v>9999</v>
      </c>
      <c r="HK55">
        <v>9999</v>
      </c>
      <c r="HL55">
        <v>893.8</v>
      </c>
      <c r="HM55">
        <v>1.8806499999999999</v>
      </c>
      <c r="HN55">
        <v>1.8777200000000001</v>
      </c>
      <c r="HO55">
        <v>1.88568</v>
      </c>
      <c r="HP55">
        <v>1.8835299999999999</v>
      </c>
      <c r="HQ55">
        <v>1.8809499999999999</v>
      </c>
      <c r="HR55">
        <v>1.8800600000000001</v>
      </c>
      <c r="HS55">
        <v>1.88113</v>
      </c>
      <c r="HT55">
        <v>1.8805700000000001</v>
      </c>
      <c r="HU55">
        <v>5</v>
      </c>
      <c r="HV55">
        <v>0</v>
      </c>
      <c r="HW55">
        <v>0</v>
      </c>
      <c r="HX55">
        <v>0</v>
      </c>
      <c r="HY55" t="s">
        <v>423</v>
      </c>
      <c r="HZ55" t="s">
        <v>424</v>
      </c>
      <c r="IA55" t="s">
        <v>425</v>
      </c>
      <c r="IB55" t="s">
        <v>425</v>
      </c>
      <c r="IC55" t="s">
        <v>425</v>
      </c>
      <c r="ID55" t="s">
        <v>425</v>
      </c>
      <c r="IE55">
        <v>0</v>
      </c>
      <c r="IF55">
        <v>100</v>
      </c>
      <c r="IG55">
        <v>100</v>
      </c>
      <c r="IH55">
        <v>-0.46800000000000003</v>
      </c>
      <c r="II55">
        <v>0.25990000000000002</v>
      </c>
      <c r="IJ55">
        <v>-1.150310616100235</v>
      </c>
      <c r="IK55">
        <v>2.2153513873161218E-3</v>
      </c>
      <c r="IL55">
        <v>-2.2967369670569612E-6</v>
      </c>
      <c r="IM55">
        <v>7.7859689150384122E-10</v>
      </c>
      <c r="IN55">
        <v>-0.12999359827100379</v>
      </c>
      <c r="IO55">
        <v>-4.1434251034592161E-3</v>
      </c>
      <c r="IP55">
        <v>8.3987709687394815E-4</v>
      </c>
      <c r="IQ55">
        <v>-7.4586254598011197E-6</v>
      </c>
      <c r="IR55">
        <v>2</v>
      </c>
      <c r="IS55">
        <v>1930</v>
      </c>
      <c r="IT55">
        <v>2</v>
      </c>
      <c r="IU55">
        <v>41</v>
      </c>
      <c r="IV55">
        <v>0.5</v>
      </c>
      <c r="IW55">
        <v>0.5</v>
      </c>
      <c r="IX55">
        <v>1.56494</v>
      </c>
      <c r="IY55">
        <v>2.4877899999999999</v>
      </c>
      <c r="IZ55">
        <v>1.24512</v>
      </c>
      <c r="JA55">
        <v>2.2692899999999998</v>
      </c>
      <c r="JB55">
        <v>1.4501999999999999</v>
      </c>
      <c r="JC55">
        <v>2.3815900000000001</v>
      </c>
      <c r="JD55">
        <v>34.417999999999999</v>
      </c>
      <c r="JE55">
        <v>24.052499999999998</v>
      </c>
      <c r="JF55">
        <v>18</v>
      </c>
      <c r="JG55">
        <v>496.608</v>
      </c>
      <c r="JH55">
        <v>506.596</v>
      </c>
      <c r="JI55">
        <v>27.186699999999998</v>
      </c>
      <c r="JJ55">
        <v>30.0274</v>
      </c>
      <c r="JK55">
        <v>30.000599999999999</v>
      </c>
      <c r="JL55">
        <v>29.877700000000001</v>
      </c>
      <c r="JM55">
        <v>29.837900000000001</v>
      </c>
      <c r="JN55">
        <v>31.4316</v>
      </c>
      <c r="JO55">
        <v>24.020499999999998</v>
      </c>
      <c r="JP55">
        <v>100</v>
      </c>
      <c r="JQ55">
        <v>27.193000000000001</v>
      </c>
      <c r="JR55">
        <v>700</v>
      </c>
      <c r="JS55">
        <v>22.970500000000001</v>
      </c>
      <c r="JT55">
        <v>99.884500000000003</v>
      </c>
      <c r="JU55">
        <v>99.335700000000003</v>
      </c>
    </row>
    <row r="56" spans="1:281" x14ac:dyDescent="0.25">
      <c r="A56">
        <v>40</v>
      </c>
      <c r="B56">
        <v>1693504073.5999999</v>
      </c>
      <c r="C56">
        <v>8424</v>
      </c>
      <c r="D56" t="s">
        <v>619</v>
      </c>
      <c r="E56" t="s">
        <v>620</v>
      </c>
      <c r="F56" t="s">
        <v>413</v>
      </c>
      <c r="G56" t="s">
        <v>565</v>
      </c>
      <c r="H56" t="s">
        <v>31</v>
      </c>
      <c r="I56">
        <v>3</v>
      </c>
      <c r="J56">
        <v>1693504073.5999999</v>
      </c>
      <c r="K56">
        <f t="shared" si="46"/>
        <v>4.8020144345628261E-3</v>
      </c>
      <c r="L56">
        <f t="shared" si="47"/>
        <v>4.8020144345628264</v>
      </c>
      <c r="M56">
        <f t="shared" si="48"/>
        <v>45.115614107487957</v>
      </c>
      <c r="N56">
        <f t="shared" si="49"/>
        <v>840.98</v>
      </c>
      <c r="O56">
        <f t="shared" si="50"/>
        <v>605.4063505216759</v>
      </c>
      <c r="P56">
        <f t="shared" si="51"/>
        <v>60.373382285118808</v>
      </c>
      <c r="Q56">
        <f t="shared" si="52"/>
        <v>83.865666408006007</v>
      </c>
      <c r="R56">
        <f t="shared" si="53"/>
        <v>0.34868239689231312</v>
      </c>
      <c r="S56">
        <f t="shared" si="54"/>
        <v>2.9185631376741714</v>
      </c>
      <c r="T56">
        <f t="shared" si="55"/>
        <v>0.3270825574198003</v>
      </c>
      <c r="U56">
        <f t="shared" si="56"/>
        <v>0.20625565839671142</v>
      </c>
      <c r="V56">
        <f t="shared" si="57"/>
        <v>344.3788986442151</v>
      </c>
      <c r="W56">
        <f t="shared" si="58"/>
        <v>31.192207094287056</v>
      </c>
      <c r="X56">
        <f t="shared" si="59"/>
        <v>29.987400000000001</v>
      </c>
      <c r="Y56">
        <f t="shared" si="60"/>
        <v>4.2573673136991612</v>
      </c>
      <c r="Z56">
        <f t="shared" si="61"/>
        <v>65.237489768091208</v>
      </c>
      <c r="AA56">
        <f t="shared" si="62"/>
        <v>2.8454272945685699</v>
      </c>
      <c r="AB56">
        <f t="shared" si="63"/>
        <v>4.3616443622886267</v>
      </c>
      <c r="AC56">
        <f t="shared" si="64"/>
        <v>1.4119400191305913</v>
      </c>
      <c r="AD56">
        <f t="shared" si="65"/>
        <v>-211.76883656422063</v>
      </c>
      <c r="AE56">
        <f t="shared" si="66"/>
        <v>66.384098463050648</v>
      </c>
      <c r="AF56">
        <f t="shared" si="67"/>
        <v>5.0674198396421115</v>
      </c>
      <c r="AG56">
        <f t="shared" si="68"/>
        <v>204.06158038268723</v>
      </c>
      <c r="AH56">
        <v>0</v>
      </c>
      <c r="AI56">
        <v>0</v>
      </c>
      <c r="AJ56">
        <f t="shared" si="69"/>
        <v>1</v>
      </c>
      <c r="AK56">
        <f t="shared" si="70"/>
        <v>0</v>
      </c>
      <c r="AL56">
        <f t="shared" si="71"/>
        <v>51961.538526542521</v>
      </c>
      <c r="AM56" t="s">
        <v>417</v>
      </c>
      <c r="AN56">
        <v>10366.9</v>
      </c>
      <c r="AO56">
        <v>993.59653846153856</v>
      </c>
      <c r="AP56">
        <v>3431.87</v>
      </c>
      <c r="AQ56">
        <f t="shared" si="72"/>
        <v>0.71047955241266758</v>
      </c>
      <c r="AR56">
        <v>-3.9894345373445681</v>
      </c>
      <c r="AS56" t="s">
        <v>621</v>
      </c>
      <c r="AT56">
        <v>10485.5</v>
      </c>
      <c r="AU56">
        <v>784.29769230769239</v>
      </c>
      <c r="AV56">
        <v>1156.402185861082</v>
      </c>
      <c r="AW56">
        <f t="shared" si="73"/>
        <v>0.32177775007949549</v>
      </c>
      <c r="AX56">
        <v>0.5</v>
      </c>
      <c r="AY56">
        <f t="shared" si="74"/>
        <v>1513.2266993221076</v>
      </c>
      <c r="AZ56">
        <f t="shared" si="75"/>
        <v>45.115614107487957</v>
      </c>
      <c r="BA56">
        <f t="shared" si="76"/>
        <v>243.4613413340445</v>
      </c>
      <c r="BB56">
        <f t="shared" si="77"/>
        <v>3.2450556593292011E-2</v>
      </c>
      <c r="BC56">
        <f t="shared" si="78"/>
        <v>1.9677131727700388</v>
      </c>
      <c r="BD56">
        <f t="shared" si="79"/>
        <v>632.98773251267801</v>
      </c>
      <c r="BE56" t="s">
        <v>622</v>
      </c>
      <c r="BF56">
        <v>613.54999999999995</v>
      </c>
      <c r="BG56">
        <f t="shared" si="80"/>
        <v>613.54999999999995</v>
      </c>
      <c r="BH56">
        <f t="shared" si="81"/>
        <v>0.46943199563122806</v>
      </c>
      <c r="BI56">
        <f t="shared" si="82"/>
        <v>0.68546190518354577</v>
      </c>
      <c r="BJ56">
        <f t="shared" si="83"/>
        <v>0.80738447519760637</v>
      </c>
      <c r="BK56">
        <f t="shared" si="84"/>
        <v>2.2855748525737756</v>
      </c>
      <c r="BL56">
        <f t="shared" si="85"/>
        <v>0.93322912709847583</v>
      </c>
      <c r="BM56">
        <f t="shared" si="86"/>
        <v>0.53623153051478079</v>
      </c>
      <c r="BN56">
        <f t="shared" si="87"/>
        <v>0.46376846948521921</v>
      </c>
      <c r="BO56">
        <v>7822</v>
      </c>
      <c r="BP56">
        <v>290.00000000000011</v>
      </c>
      <c r="BQ56">
        <v>1050.71</v>
      </c>
      <c r="BR56">
        <v>155</v>
      </c>
      <c r="BS56">
        <v>10485.5</v>
      </c>
      <c r="BT56">
        <v>1049.33</v>
      </c>
      <c r="BU56">
        <v>1.38</v>
      </c>
      <c r="BV56">
        <v>300.00000000000011</v>
      </c>
      <c r="BW56">
        <v>38.200000000000003</v>
      </c>
      <c r="BX56">
        <v>1156.402185861082</v>
      </c>
      <c r="BY56">
        <v>1.0795776222947491</v>
      </c>
      <c r="BZ56">
        <v>-112.2693870681762</v>
      </c>
      <c r="CA56">
        <v>0.92642117042545225</v>
      </c>
      <c r="CB56">
        <v>0.99809706021374744</v>
      </c>
      <c r="CC56">
        <v>-1.1383363070077869E-2</v>
      </c>
      <c r="CD56">
        <v>289.99999999999989</v>
      </c>
      <c r="CE56">
        <v>1037.23</v>
      </c>
      <c r="CF56">
        <v>635</v>
      </c>
      <c r="CG56">
        <v>10462.700000000001</v>
      </c>
      <c r="CH56">
        <v>1049.0999999999999</v>
      </c>
      <c r="CI56">
        <v>-11.87</v>
      </c>
      <c r="CW56">
        <f t="shared" si="88"/>
        <v>1800.05</v>
      </c>
      <c r="CX56">
        <f t="shared" si="89"/>
        <v>1513.2266993221076</v>
      </c>
      <c r="CY56">
        <f t="shared" si="90"/>
        <v>0.84065814800817074</v>
      </c>
      <c r="CZ56">
        <f t="shared" si="91"/>
        <v>0.19131629601634126</v>
      </c>
      <c r="DA56">
        <v>6</v>
      </c>
      <c r="DB56">
        <v>0.5</v>
      </c>
      <c r="DC56" t="s">
        <v>420</v>
      </c>
      <c r="DD56">
        <v>2</v>
      </c>
      <c r="DE56">
        <v>1693504073.5999999</v>
      </c>
      <c r="DF56">
        <v>840.98</v>
      </c>
      <c r="DG56">
        <v>899.96799999999996</v>
      </c>
      <c r="DH56">
        <v>28.533100000000001</v>
      </c>
      <c r="DI56">
        <v>22.934799999999999</v>
      </c>
      <c r="DJ56">
        <v>841.46299999999997</v>
      </c>
      <c r="DK56">
        <v>28.2818</v>
      </c>
      <c r="DL56">
        <v>499.97300000000001</v>
      </c>
      <c r="DM56">
        <v>99.624099999999999</v>
      </c>
      <c r="DN56">
        <v>9.9634700000000007E-2</v>
      </c>
      <c r="DO56">
        <v>30.409300000000002</v>
      </c>
      <c r="DP56">
        <v>29.987400000000001</v>
      </c>
      <c r="DQ56">
        <v>999.9</v>
      </c>
      <c r="DR56">
        <v>0</v>
      </c>
      <c r="DS56">
        <v>0</v>
      </c>
      <c r="DT56">
        <v>9975</v>
      </c>
      <c r="DU56">
        <v>0</v>
      </c>
      <c r="DV56">
        <v>1682.46</v>
      </c>
      <c r="DW56">
        <v>-58.988</v>
      </c>
      <c r="DX56">
        <v>865.68</v>
      </c>
      <c r="DY56">
        <v>921.09299999999996</v>
      </c>
      <c r="DZ56">
        <v>5.5982200000000004</v>
      </c>
      <c r="EA56">
        <v>899.96799999999996</v>
      </c>
      <c r="EB56">
        <v>22.934799999999999</v>
      </c>
      <c r="EC56">
        <v>2.8425799999999999</v>
      </c>
      <c r="ED56">
        <v>2.2848600000000001</v>
      </c>
      <c r="EE56">
        <v>23.133500000000002</v>
      </c>
      <c r="EF56">
        <v>19.5701</v>
      </c>
      <c r="EG56">
        <v>1800.05</v>
      </c>
      <c r="EH56">
        <v>0.97800100000000001</v>
      </c>
      <c r="EI56">
        <v>2.19986E-2</v>
      </c>
      <c r="EJ56">
        <v>0</v>
      </c>
      <c r="EK56">
        <v>783.9</v>
      </c>
      <c r="EL56">
        <v>5.0010300000000001</v>
      </c>
      <c r="EM56">
        <v>14900.2</v>
      </c>
      <c r="EN56">
        <v>14701.5</v>
      </c>
      <c r="EO56">
        <v>47</v>
      </c>
      <c r="EP56">
        <v>48.936999999999998</v>
      </c>
      <c r="EQ56">
        <v>48.625</v>
      </c>
      <c r="ER56">
        <v>47.311999999999998</v>
      </c>
      <c r="ES56">
        <v>48.686999999999998</v>
      </c>
      <c r="ET56">
        <v>1755.56</v>
      </c>
      <c r="EU56">
        <v>39.49</v>
      </c>
      <c r="EV56">
        <v>0</v>
      </c>
      <c r="EW56">
        <v>102.7999999523163</v>
      </c>
      <c r="EX56">
        <v>0</v>
      </c>
      <c r="EY56">
        <v>784.29769230769239</v>
      </c>
      <c r="EZ56">
        <v>-2.0183247958437578</v>
      </c>
      <c r="FA56">
        <v>-35.158974333498428</v>
      </c>
      <c r="FB56">
        <v>14904.123076923081</v>
      </c>
      <c r="FC56">
        <v>15</v>
      </c>
      <c r="FD56">
        <v>1693504032.5999999</v>
      </c>
      <c r="FE56" t="s">
        <v>623</v>
      </c>
      <c r="FF56">
        <v>1693504032.5999999</v>
      </c>
      <c r="FG56">
        <v>1693504030.0999999</v>
      </c>
      <c r="FH56">
        <v>45</v>
      </c>
      <c r="FI56">
        <v>-3.4000000000000002E-2</v>
      </c>
      <c r="FJ56">
        <v>-5.0000000000000001E-3</v>
      </c>
      <c r="FK56">
        <v>-0.48399999999999999</v>
      </c>
      <c r="FL56">
        <v>0.121</v>
      </c>
      <c r="FM56">
        <v>900</v>
      </c>
      <c r="FN56">
        <v>23</v>
      </c>
      <c r="FO56">
        <v>0.21</v>
      </c>
      <c r="FP56">
        <v>0.04</v>
      </c>
      <c r="FQ56">
        <v>45.085020885821223</v>
      </c>
      <c r="FR56">
        <v>0.12916922707678111</v>
      </c>
      <c r="FS56">
        <v>0.1011677443815881</v>
      </c>
      <c r="FT56">
        <v>1</v>
      </c>
      <c r="FU56">
        <v>0.35389241979847602</v>
      </c>
      <c r="FV56">
        <v>-4.1452706726673463E-2</v>
      </c>
      <c r="FW56">
        <v>3.068127112364961E-3</v>
      </c>
      <c r="FX56">
        <v>1</v>
      </c>
      <c r="FY56">
        <v>2</v>
      </c>
      <c r="FZ56">
        <v>2</v>
      </c>
      <c r="GA56" t="s">
        <v>422</v>
      </c>
      <c r="GB56">
        <v>2.9063099999999999</v>
      </c>
      <c r="GC56">
        <v>2.8174199999999998</v>
      </c>
      <c r="GD56">
        <v>0.155053</v>
      </c>
      <c r="GE56">
        <v>0.16194700000000001</v>
      </c>
      <c r="GF56">
        <v>0.135517</v>
      </c>
      <c r="GG56">
        <v>0.11645</v>
      </c>
      <c r="GH56">
        <v>23572.799999999999</v>
      </c>
      <c r="GI56">
        <v>23397.8</v>
      </c>
      <c r="GJ56">
        <v>24746.400000000001</v>
      </c>
      <c r="GK56">
        <v>24922.400000000001</v>
      </c>
      <c r="GL56">
        <v>28394.6</v>
      </c>
      <c r="GM56">
        <v>28772.2</v>
      </c>
      <c r="GN56">
        <v>33457.199999999997</v>
      </c>
      <c r="GO56">
        <v>33271</v>
      </c>
      <c r="GP56">
        <v>1.9971000000000001</v>
      </c>
      <c r="GQ56">
        <v>1.9360999999999999</v>
      </c>
      <c r="GR56">
        <v>6.0200700000000003E-2</v>
      </c>
      <c r="GS56">
        <v>0</v>
      </c>
      <c r="GT56">
        <v>29.007000000000001</v>
      </c>
      <c r="GU56">
        <v>999.9</v>
      </c>
      <c r="GV56">
        <v>59.8</v>
      </c>
      <c r="GW56">
        <v>31.1</v>
      </c>
      <c r="GX56">
        <v>27.234500000000001</v>
      </c>
      <c r="GY56">
        <v>61.670200000000001</v>
      </c>
      <c r="GZ56">
        <v>25.284500000000001</v>
      </c>
      <c r="HA56">
        <v>1</v>
      </c>
      <c r="HB56">
        <v>0.20666699999999999</v>
      </c>
      <c r="HC56">
        <v>0.67869299999999999</v>
      </c>
      <c r="HD56">
        <v>20.172599999999999</v>
      </c>
      <c r="HE56">
        <v>5.2346599999999999</v>
      </c>
      <c r="HF56">
        <v>11.9201</v>
      </c>
      <c r="HG56">
        <v>4.9615999999999998</v>
      </c>
      <c r="HH56">
        <v>3.2890000000000001</v>
      </c>
      <c r="HI56">
        <v>9999</v>
      </c>
      <c r="HJ56">
        <v>9999</v>
      </c>
      <c r="HK56">
        <v>9999</v>
      </c>
      <c r="HL56">
        <v>893.8</v>
      </c>
      <c r="HM56">
        <v>1.8806499999999999</v>
      </c>
      <c r="HN56">
        <v>1.8776900000000001</v>
      </c>
      <c r="HO56">
        <v>1.88568</v>
      </c>
      <c r="HP56">
        <v>1.88354</v>
      </c>
      <c r="HQ56">
        <v>1.8809499999999999</v>
      </c>
      <c r="HR56">
        <v>1.8800399999999999</v>
      </c>
      <c r="HS56">
        <v>1.8811599999999999</v>
      </c>
      <c r="HT56">
        <v>1.8805400000000001</v>
      </c>
      <c r="HU56">
        <v>5</v>
      </c>
      <c r="HV56">
        <v>0</v>
      </c>
      <c r="HW56">
        <v>0</v>
      </c>
      <c r="HX56">
        <v>0</v>
      </c>
      <c r="HY56" t="s">
        <v>423</v>
      </c>
      <c r="HZ56" t="s">
        <v>424</v>
      </c>
      <c r="IA56" t="s">
        <v>425</v>
      </c>
      <c r="IB56" t="s">
        <v>425</v>
      </c>
      <c r="IC56" t="s">
        <v>425</v>
      </c>
      <c r="ID56" t="s">
        <v>425</v>
      </c>
      <c r="IE56">
        <v>0</v>
      </c>
      <c r="IF56">
        <v>100</v>
      </c>
      <c r="IG56">
        <v>100</v>
      </c>
      <c r="IH56">
        <v>-0.48299999999999998</v>
      </c>
      <c r="II56">
        <v>0.25130000000000002</v>
      </c>
      <c r="IJ56">
        <v>-1.1847011397750189</v>
      </c>
      <c r="IK56">
        <v>2.2153513873161218E-3</v>
      </c>
      <c r="IL56">
        <v>-2.2967369670569612E-6</v>
      </c>
      <c r="IM56">
        <v>7.7859689150384122E-10</v>
      </c>
      <c r="IN56">
        <v>-0.13461607614559579</v>
      </c>
      <c r="IO56">
        <v>-4.1434251034592161E-3</v>
      </c>
      <c r="IP56">
        <v>8.3987709687394815E-4</v>
      </c>
      <c r="IQ56">
        <v>-7.4586254598011197E-6</v>
      </c>
      <c r="IR56">
        <v>2</v>
      </c>
      <c r="IS56">
        <v>1930</v>
      </c>
      <c r="IT56">
        <v>2</v>
      </c>
      <c r="IU56">
        <v>41</v>
      </c>
      <c r="IV56">
        <v>0.7</v>
      </c>
      <c r="IW56">
        <v>0.7</v>
      </c>
      <c r="IX56">
        <v>1.9177200000000001</v>
      </c>
      <c r="IY56">
        <v>2.47925</v>
      </c>
      <c r="IZ56">
        <v>1.24512</v>
      </c>
      <c r="JA56">
        <v>2.2692899999999998</v>
      </c>
      <c r="JB56">
        <v>1.4501999999999999</v>
      </c>
      <c r="JC56">
        <v>2.4243199999999998</v>
      </c>
      <c r="JD56">
        <v>34.417999999999999</v>
      </c>
      <c r="JE56">
        <v>24.052499999999998</v>
      </c>
      <c r="JF56">
        <v>18</v>
      </c>
      <c r="JG56">
        <v>496.80500000000001</v>
      </c>
      <c r="JH56">
        <v>507.57100000000003</v>
      </c>
      <c r="JI56">
        <v>27.1798</v>
      </c>
      <c r="JJ56">
        <v>30.128799999999998</v>
      </c>
      <c r="JK56">
        <v>30.000599999999999</v>
      </c>
      <c r="JL56">
        <v>29.954699999999999</v>
      </c>
      <c r="JM56">
        <v>29.910399999999999</v>
      </c>
      <c r="JN56">
        <v>38.477699999999999</v>
      </c>
      <c r="JO56">
        <v>24.0839</v>
      </c>
      <c r="JP56">
        <v>100</v>
      </c>
      <c r="JQ56">
        <v>27.1829</v>
      </c>
      <c r="JR56">
        <v>900</v>
      </c>
      <c r="JS56">
        <v>22.9711</v>
      </c>
      <c r="JT56">
        <v>99.867099999999994</v>
      </c>
      <c r="JU56">
        <v>99.319400000000002</v>
      </c>
    </row>
    <row r="57" spans="1:281" x14ac:dyDescent="0.25">
      <c r="A57">
        <v>41</v>
      </c>
      <c r="B57">
        <v>1693504179.5999999</v>
      </c>
      <c r="C57">
        <v>8530</v>
      </c>
      <c r="D57" t="s">
        <v>624</v>
      </c>
      <c r="E57" t="s">
        <v>625</v>
      </c>
      <c r="F57" t="s">
        <v>413</v>
      </c>
      <c r="G57" t="s">
        <v>565</v>
      </c>
      <c r="H57" t="s">
        <v>31</v>
      </c>
      <c r="I57">
        <v>3</v>
      </c>
      <c r="J57">
        <v>1693504179.5999999</v>
      </c>
      <c r="K57">
        <f t="shared" si="46"/>
        <v>4.74108941114155E-3</v>
      </c>
      <c r="L57">
        <f t="shared" si="47"/>
        <v>4.7410894111415498</v>
      </c>
      <c r="M57">
        <f t="shared" si="48"/>
        <v>44.300072670734195</v>
      </c>
      <c r="N57">
        <f t="shared" si="49"/>
        <v>1140.23</v>
      </c>
      <c r="O57">
        <f t="shared" si="50"/>
        <v>899.18606859869942</v>
      </c>
      <c r="P57">
        <f t="shared" si="51"/>
        <v>89.667673161752688</v>
      </c>
      <c r="Q57">
        <f t="shared" si="52"/>
        <v>113.70479875045201</v>
      </c>
      <c r="R57">
        <f t="shared" si="53"/>
        <v>0.34424215203635405</v>
      </c>
      <c r="S57">
        <f t="shared" si="54"/>
        <v>2.938625769575467</v>
      </c>
      <c r="T57">
        <f t="shared" si="55"/>
        <v>0.32330556476708805</v>
      </c>
      <c r="U57">
        <f t="shared" si="56"/>
        <v>0.20384084904757604</v>
      </c>
      <c r="V57">
        <f t="shared" si="57"/>
        <v>344.4030118033985</v>
      </c>
      <c r="W57">
        <f t="shared" si="58"/>
        <v>31.197945480794552</v>
      </c>
      <c r="X57">
        <f t="shared" si="59"/>
        <v>29.958100000000002</v>
      </c>
      <c r="Y57">
        <f t="shared" si="60"/>
        <v>4.2502068877584405</v>
      </c>
      <c r="Z57">
        <f t="shared" si="61"/>
        <v>65.128843737744504</v>
      </c>
      <c r="AA57">
        <f t="shared" si="62"/>
        <v>2.8398427407939604</v>
      </c>
      <c r="AB57">
        <f t="shared" si="63"/>
        <v>4.3603457052442183</v>
      </c>
      <c r="AC57">
        <f t="shared" si="64"/>
        <v>1.4103641469644801</v>
      </c>
      <c r="AD57">
        <f t="shared" si="65"/>
        <v>-209.08204303134235</v>
      </c>
      <c r="AE57">
        <f t="shared" si="66"/>
        <v>70.658527850250934</v>
      </c>
      <c r="AF57">
        <f t="shared" si="67"/>
        <v>5.3559697788417004</v>
      </c>
      <c r="AG57">
        <f t="shared" si="68"/>
        <v>211.33546640114878</v>
      </c>
      <c r="AH57">
        <v>0</v>
      </c>
      <c r="AI57">
        <v>0</v>
      </c>
      <c r="AJ57">
        <f t="shared" si="69"/>
        <v>1</v>
      </c>
      <c r="AK57">
        <f t="shared" si="70"/>
        <v>0</v>
      </c>
      <c r="AL57">
        <f t="shared" si="71"/>
        <v>52535.141001152508</v>
      </c>
      <c r="AM57" t="s">
        <v>417</v>
      </c>
      <c r="AN57">
        <v>10366.9</v>
      </c>
      <c r="AO57">
        <v>993.59653846153856</v>
      </c>
      <c r="AP57">
        <v>3431.87</v>
      </c>
      <c r="AQ57">
        <f t="shared" si="72"/>
        <v>0.71047955241266758</v>
      </c>
      <c r="AR57">
        <v>-3.9894345373445681</v>
      </c>
      <c r="AS57" t="s">
        <v>626</v>
      </c>
      <c r="AT57">
        <v>10489.5</v>
      </c>
      <c r="AU57">
        <v>780.4666538461538</v>
      </c>
      <c r="AV57">
        <v>1154.1192330165859</v>
      </c>
      <c r="AW57">
        <f t="shared" si="73"/>
        <v>0.32375561248883744</v>
      </c>
      <c r="AX57">
        <v>0.5</v>
      </c>
      <c r="AY57">
        <f t="shared" si="74"/>
        <v>1513.3356059016994</v>
      </c>
      <c r="AZ57">
        <f t="shared" si="75"/>
        <v>44.300072670734195</v>
      </c>
      <c r="BA57">
        <f t="shared" si="76"/>
        <v>244.97544799493531</v>
      </c>
      <c r="BB57">
        <f t="shared" si="77"/>
        <v>3.1909318078395539E-2</v>
      </c>
      <c r="BC57">
        <f t="shared" si="78"/>
        <v>1.9735835794278636</v>
      </c>
      <c r="BD57">
        <f t="shared" si="79"/>
        <v>632.30309930173598</v>
      </c>
      <c r="BE57" t="s">
        <v>627</v>
      </c>
      <c r="BF57">
        <v>612.57000000000005</v>
      </c>
      <c r="BG57">
        <f t="shared" si="80"/>
        <v>612.57000000000005</v>
      </c>
      <c r="BH57">
        <f t="shared" si="81"/>
        <v>0.4692316162179434</v>
      </c>
      <c r="BI57">
        <f t="shared" si="82"/>
        <v>0.6899697320021656</v>
      </c>
      <c r="BJ57">
        <f t="shared" si="83"/>
        <v>0.80791358386245316</v>
      </c>
      <c r="BK57">
        <f t="shared" si="84"/>
        <v>2.3277243146594269</v>
      </c>
      <c r="BL57">
        <f t="shared" si="85"/>
        <v>0.93416542603315555</v>
      </c>
      <c r="BM57">
        <f t="shared" si="86"/>
        <v>0.54154108525933342</v>
      </c>
      <c r="BN57">
        <f t="shared" si="87"/>
        <v>0.45845891474066658</v>
      </c>
      <c r="BO57">
        <v>7824</v>
      </c>
      <c r="BP57">
        <v>290.00000000000011</v>
      </c>
      <c r="BQ57">
        <v>1048.26</v>
      </c>
      <c r="BR57">
        <v>125</v>
      </c>
      <c r="BS57">
        <v>10489.5</v>
      </c>
      <c r="BT57">
        <v>1047.42</v>
      </c>
      <c r="BU57">
        <v>0.84</v>
      </c>
      <c r="BV57">
        <v>300.00000000000011</v>
      </c>
      <c r="BW57">
        <v>38.200000000000003</v>
      </c>
      <c r="BX57">
        <v>1154.1192330165859</v>
      </c>
      <c r="BY57">
        <v>1.463498360427927</v>
      </c>
      <c r="BZ57">
        <v>-111.9257844456632</v>
      </c>
      <c r="CA57">
        <v>1.255742170234758</v>
      </c>
      <c r="CB57">
        <v>0.99648786895859709</v>
      </c>
      <c r="CC57">
        <v>-1.138281357063404E-2</v>
      </c>
      <c r="CD57">
        <v>289.99999999999989</v>
      </c>
      <c r="CE57">
        <v>1035.93</v>
      </c>
      <c r="CF57">
        <v>645</v>
      </c>
      <c r="CG57">
        <v>10460.700000000001</v>
      </c>
      <c r="CH57">
        <v>1047.1199999999999</v>
      </c>
      <c r="CI57">
        <v>-11.19</v>
      </c>
      <c r="CW57">
        <f t="shared" si="88"/>
        <v>1800.18</v>
      </c>
      <c r="CX57">
        <f t="shared" si="89"/>
        <v>1513.3356059016994</v>
      </c>
      <c r="CY57">
        <f t="shared" si="90"/>
        <v>0.84065793748497331</v>
      </c>
      <c r="CZ57">
        <f t="shared" si="91"/>
        <v>0.19131587496994662</v>
      </c>
      <c r="DA57">
        <v>6</v>
      </c>
      <c r="DB57">
        <v>0.5</v>
      </c>
      <c r="DC57" t="s">
        <v>420</v>
      </c>
      <c r="DD57">
        <v>2</v>
      </c>
      <c r="DE57">
        <v>1693504179.5999999</v>
      </c>
      <c r="DF57">
        <v>1140.23</v>
      </c>
      <c r="DG57">
        <v>1199.9000000000001</v>
      </c>
      <c r="DH57">
        <v>28.477900000000002</v>
      </c>
      <c r="DI57">
        <v>22.948499999999999</v>
      </c>
      <c r="DJ57">
        <v>1140.8499999999999</v>
      </c>
      <c r="DK57">
        <v>28.226800000000001</v>
      </c>
      <c r="DL57">
        <v>499.80900000000003</v>
      </c>
      <c r="DM57">
        <v>99.621700000000004</v>
      </c>
      <c r="DN57">
        <v>9.9232399999999998E-2</v>
      </c>
      <c r="DO57">
        <v>30.4041</v>
      </c>
      <c r="DP57">
        <v>29.958100000000002</v>
      </c>
      <c r="DQ57">
        <v>999.9</v>
      </c>
      <c r="DR57">
        <v>0</v>
      </c>
      <c r="DS57">
        <v>0</v>
      </c>
      <c r="DT57">
        <v>10090</v>
      </c>
      <c r="DU57">
        <v>0</v>
      </c>
      <c r="DV57">
        <v>1679.71</v>
      </c>
      <c r="DW57">
        <v>-59.668799999999997</v>
      </c>
      <c r="DX57">
        <v>1173.6600000000001</v>
      </c>
      <c r="DY57">
        <v>1228.0899999999999</v>
      </c>
      <c r="DZ57">
        <v>5.5294699999999999</v>
      </c>
      <c r="EA57">
        <v>1199.9000000000001</v>
      </c>
      <c r="EB57">
        <v>22.948499999999999</v>
      </c>
      <c r="EC57">
        <v>2.8370199999999999</v>
      </c>
      <c r="ED57">
        <v>2.2861699999999998</v>
      </c>
      <c r="EE57">
        <v>23.101099999999999</v>
      </c>
      <c r="EF57">
        <v>19.5792</v>
      </c>
      <c r="EG57">
        <v>1800.18</v>
      </c>
      <c r="EH57">
        <v>0.97800500000000001</v>
      </c>
      <c r="EI57">
        <v>2.1995000000000001E-2</v>
      </c>
      <c r="EJ57">
        <v>0</v>
      </c>
      <c r="EK57">
        <v>780.47400000000005</v>
      </c>
      <c r="EL57">
        <v>5.0010300000000001</v>
      </c>
      <c r="EM57">
        <v>14828.5</v>
      </c>
      <c r="EN57">
        <v>14702.6</v>
      </c>
      <c r="EO57">
        <v>47.125</v>
      </c>
      <c r="EP57">
        <v>48.936999999999998</v>
      </c>
      <c r="EQ57">
        <v>48.686999999999998</v>
      </c>
      <c r="ER57">
        <v>47.5</v>
      </c>
      <c r="ES57">
        <v>48.75</v>
      </c>
      <c r="ET57">
        <v>1755.69</v>
      </c>
      <c r="EU57">
        <v>39.479999999999997</v>
      </c>
      <c r="EV57">
        <v>0</v>
      </c>
      <c r="EW57">
        <v>103.7999999523163</v>
      </c>
      <c r="EX57">
        <v>0</v>
      </c>
      <c r="EY57">
        <v>780.4666538461538</v>
      </c>
      <c r="EZ57">
        <v>-2.4316239189956672</v>
      </c>
      <c r="FA57">
        <v>-42.642734985405887</v>
      </c>
      <c r="FB57">
        <v>14831.196153846149</v>
      </c>
      <c r="FC57">
        <v>15</v>
      </c>
      <c r="FD57">
        <v>1693504139.5999999</v>
      </c>
      <c r="FE57" t="s">
        <v>628</v>
      </c>
      <c r="FF57">
        <v>1693504138.0999999</v>
      </c>
      <c r="FG57">
        <v>1693504139.5999999</v>
      </c>
      <c r="FH57">
        <v>46</v>
      </c>
      <c r="FI57">
        <v>-0.11899999999999999</v>
      </c>
      <c r="FJ57">
        <v>1E-3</v>
      </c>
      <c r="FK57">
        <v>-0.60799999999999998</v>
      </c>
      <c r="FL57">
        <v>0.11799999999999999</v>
      </c>
      <c r="FM57">
        <v>1200</v>
      </c>
      <c r="FN57">
        <v>23</v>
      </c>
      <c r="FO57">
        <v>0.13</v>
      </c>
      <c r="FP57">
        <v>0.05</v>
      </c>
      <c r="FQ57">
        <v>44.365911739619683</v>
      </c>
      <c r="FR57">
        <v>0.42509108217637498</v>
      </c>
      <c r="FS57">
        <v>0.14309206296520591</v>
      </c>
      <c r="FT57">
        <v>1</v>
      </c>
      <c r="FU57">
        <v>0.34920607708052648</v>
      </c>
      <c r="FV57">
        <v>-4.0403454909410989E-2</v>
      </c>
      <c r="FW57">
        <v>3.049540921783429E-3</v>
      </c>
      <c r="FX57">
        <v>1</v>
      </c>
      <c r="FY57">
        <v>2</v>
      </c>
      <c r="FZ57">
        <v>2</v>
      </c>
      <c r="GA57" t="s">
        <v>422</v>
      </c>
      <c r="GB57">
        <v>2.9056500000000001</v>
      </c>
      <c r="GC57">
        <v>2.8180299999999998</v>
      </c>
      <c r="GD57">
        <v>0.188277</v>
      </c>
      <c r="GE57">
        <v>0.194163</v>
      </c>
      <c r="GF57">
        <v>0.13530800000000001</v>
      </c>
      <c r="GG57">
        <v>0.116475</v>
      </c>
      <c r="GH57">
        <v>22641</v>
      </c>
      <c r="GI57">
        <v>22494.5</v>
      </c>
      <c r="GJ57">
        <v>24741.7</v>
      </c>
      <c r="GK57">
        <v>24919</v>
      </c>
      <c r="GL57">
        <v>28397</v>
      </c>
      <c r="GM57">
        <v>28767.599999999999</v>
      </c>
      <c r="GN57">
        <v>33451.199999999997</v>
      </c>
      <c r="GO57">
        <v>33266.400000000001</v>
      </c>
      <c r="GP57">
        <v>1.9956</v>
      </c>
      <c r="GQ57">
        <v>1.9359999999999999</v>
      </c>
      <c r="GR57">
        <v>6.7204200000000006E-2</v>
      </c>
      <c r="GS57">
        <v>0</v>
      </c>
      <c r="GT57">
        <v>28.863399999999999</v>
      </c>
      <c r="GU57">
        <v>999.9</v>
      </c>
      <c r="GV57">
        <v>60</v>
      </c>
      <c r="GW57">
        <v>31</v>
      </c>
      <c r="GX57">
        <v>27.170999999999999</v>
      </c>
      <c r="GY57">
        <v>61.3902</v>
      </c>
      <c r="GZ57">
        <v>25.040099999999999</v>
      </c>
      <c r="HA57">
        <v>1</v>
      </c>
      <c r="HB57">
        <v>0.21460399999999999</v>
      </c>
      <c r="HC57">
        <v>0.26024000000000003</v>
      </c>
      <c r="HD57">
        <v>20.174199999999999</v>
      </c>
      <c r="HE57">
        <v>5.2340600000000004</v>
      </c>
      <c r="HF57">
        <v>11.9201</v>
      </c>
      <c r="HG57">
        <v>4.9615999999999998</v>
      </c>
      <c r="HH57">
        <v>3.2890000000000001</v>
      </c>
      <c r="HI57">
        <v>9999</v>
      </c>
      <c r="HJ57">
        <v>9999</v>
      </c>
      <c r="HK57">
        <v>9999</v>
      </c>
      <c r="HL57">
        <v>893.8</v>
      </c>
      <c r="HM57">
        <v>1.8806499999999999</v>
      </c>
      <c r="HN57">
        <v>1.8777299999999999</v>
      </c>
      <c r="HO57">
        <v>1.88568</v>
      </c>
      <c r="HP57">
        <v>1.88354</v>
      </c>
      <c r="HQ57">
        <v>1.8809499999999999</v>
      </c>
      <c r="HR57">
        <v>1.88008</v>
      </c>
      <c r="HS57">
        <v>1.8811500000000001</v>
      </c>
      <c r="HT57">
        <v>1.88059</v>
      </c>
      <c r="HU57">
        <v>5</v>
      </c>
      <c r="HV57">
        <v>0</v>
      </c>
      <c r="HW57">
        <v>0</v>
      </c>
      <c r="HX57">
        <v>0</v>
      </c>
      <c r="HY57" t="s">
        <v>423</v>
      </c>
      <c r="HZ57" t="s">
        <v>424</v>
      </c>
      <c r="IA57" t="s">
        <v>425</v>
      </c>
      <c r="IB57" t="s">
        <v>425</v>
      </c>
      <c r="IC57" t="s">
        <v>425</v>
      </c>
      <c r="ID57" t="s">
        <v>425</v>
      </c>
      <c r="IE57">
        <v>0</v>
      </c>
      <c r="IF57">
        <v>100</v>
      </c>
      <c r="IG57">
        <v>100</v>
      </c>
      <c r="IH57">
        <v>-0.62</v>
      </c>
      <c r="II57">
        <v>0.25109999999999999</v>
      </c>
      <c r="IJ57">
        <v>-1.304597673338558</v>
      </c>
      <c r="IK57">
        <v>2.2153513873161218E-3</v>
      </c>
      <c r="IL57">
        <v>-2.2967369670569612E-6</v>
      </c>
      <c r="IM57">
        <v>7.7859689150384122E-10</v>
      </c>
      <c r="IN57">
        <v>-0.13330948185277591</v>
      </c>
      <c r="IO57">
        <v>-4.1434251034592161E-3</v>
      </c>
      <c r="IP57">
        <v>8.3987709687394815E-4</v>
      </c>
      <c r="IQ57">
        <v>-7.4586254598011197E-6</v>
      </c>
      <c r="IR57">
        <v>2</v>
      </c>
      <c r="IS57">
        <v>1930</v>
      </c>
      <c r="IT57">
        <v>2</v>
      </c>
      <c r="IU57">
        <v>41</v>
      </c>
      <c r="IV57">
        <v>0.7</v>
      </c>
      <c r="IW57">
        <v>0.7</v>
      </c>
      <c r="IX57">
        <v>2.4182100000000002</v>
      </c>
      <c r="IY57">
        <v>2.4694799999999999</v>
      </c>
      <c r="IZ57">
        <v>1.24512</v>
      </c>
      <c r="JA57">
        <v>2.2692899999999998</v>
      </c>
      <c r="JB57">
        <v>1.4501999999999999</v>
      </c>
      <c r="JC57">
        <v>2.4011200000000001</v>
      </c>
      <c r="JD57">
        <v>34.417999999999999</v>
      </c>
      <c r="JE57">
        <v>24.052499999999998</v>
      </c>
      <c r="JF57">
        <v>18</v>
      </c>
      <c r="JG57">
        <v>496.53399999999999</v>
      </c>
      <c r="JH57">
        <v>508.20800000000003</v>
      </c>
      <c r="JI57">
        <v>27.604900000000001</v>
      </c>
      <c r="JJ57">
        <v>30.222799999999999</v>
      </c>
      <c r="JK57">
        <v>29.9999</v>
      </c>
      <c r="JL57">
        <v>30.039200000000001</v>
      </c>
      <c r="JM57">
        <v>29.985700000000001</v>
      </c>
      <c r="JN57">
        <v>48.516199999999998</v>
      </c>
      <c r="JO57">
        <v>23.9878</v>
      </c>
      <c r="JP57">
        <v>100</v>
      </c>
      <c r="JQ57">
        <v>27.606100000000001</v>
      </c>
      <c r="JR57">
        <v>1200</v>
      </c>
      <c r="JS57">
        <v>22.965499999999999</v>
      </c>
      <c r="JT57">
        <v>99.8489</v>
      </c>
      <c r="JU57">
        <v>99.305700000000002</v>
      </c>
    </row>
    <row r="58" spans="1:281" x14ac:dyDescent="0.25">
      <c r="A58">
        <v>42</v>
      </c>
      <c r="B58">
        <v>1693504308.5</v>
      </c>
      <c r="C58">
        <v>8658.9000000953674</v>
      </c>
      <c r="D58" t="s">
        <v>629</v>
      </c>
      <c r="E58" t="s">
        <v>630</v>
      </c>
      <c r="F58" t="s">
        <v>413</v>
      </c>
      <c r="G58" t="s">
        <v>565</v>
      </c>
      <c r="H58" t="s">
        <v>31</v>
      </c>
      <c r="I58">
        <v>3</v>
      </c>
      <c r="J58">
        <v>1693504308.5</v>
      </c>
      <c r="K58">
        <f t="shared" si="46"/>
        <v>4.6228722546310169E-3</v>
      </c>
      <c r="L58">
        <f t="shared" si="47"/>
        <v>4.6228722546310168</v>
      </c>
      <c r="M58">
        <f t="shared" si="48"/>
        <v>44.015515088021274</v>
      </c>
      <c r="N58">
        <f t="shared" si="49"/>
        <v>1439.28</v>
      </c>
      <c r="O58">
        <f t="shared" si="50"/>
        <v>1184.7843007356066</v>
      </c>
      <c r="P58">
        <f t="shared" si="51"/>
        <v>118.14345849626072</v>
      </c>
      <c r="Q58">
        <f t="shared" si="52"/>
        <v>143.52107538808801</v>
      </c>
      <c r="R58">
        <f t="shared" si="53"/>
        <v>0.33173924125759496</v>
      </c>
      <c r="S58">
        <f t="shared" si="54"/>
        <v>2.9307104147946319</v>
      </c>
      <c r="T58">
        <f t="shared" si="55"/>
        <v>0.31220036320892708</v>
      </c>
      <c r="U58">
        <f t="shared" si="56"/>
        <v>0.19678474826056663</v>
      </c>
      <c r="V58">
        <f t="shared" si="57"/>
        <v>344.39159864461112</v>
      </c>
      <c r="W58">
        <f t="shared" si="58"/>
        <v>31.277903674671492</v>
      </c>
      <c r="X58">
        <f t="shared" si="59"/>
        <v>30.030799999999999</v>
      </c>
      <c r="Y58">
        <f t="shared" si="60"/>
        <v>4.2679928610934397</v>
      </c>
      <c r="Z58">
        <f t="shared" si="61"/>
        <v>65.049604144240021</v>
      </c>
      <c r="AA58">
        <f t="shared" si="62"/>
        <v>2.8440961479273601</v>
      </c>
      <c r="AB58">
        <f t="shared" si="63"/>
        <v>4.3721959346914767</v>
      </c>
      <c r="AC58">
        <f t="shared" si="64"/>
        <v>1.4238967131660796</v>
      </c>
      <c r="AD58">
        <f t="shared" si="65"/>
        <v>-203.86866642922786</v>
      </c>
      <c r="AE58">
        <f t="shared" si="66"/>
        <v>66.470793472529152</v>
      </c>
      <c r="AF58">
        <f t="shared" si="67"/>
        <v>5.0551468603597849</v>
      </c>
      <c r="AG58">
        <f t="shared" si="68"/>
        <v>212.04887254827221</v>
      </c>
      <c r="AH58">
        <v>0</v>
      </c>
      <c r="AI58">
        <v>0</v>
      </c>
      <c r="AJ58">
        <f t="shared" si="69"/>
        <v>1</v>
      </c>
      <c r="AK58">
        <f t="shared" si="70"/>
        <v>0</v>
      </c>
      <c r="AL58">
        <f t="shared" si="71"/>
        <v>52300.609678773282</v>
      </c>
      <c r="AM58" t="s">
        <v>417</v>
      </c>
      <c r="AN58">
        <v>10366.9</v>
      </c>
      <c r="AO58">
        <v>993.59653846153856</v>
      </c>
      <c r="AP58">
        <v>3431.87</v>
      </c>
      <c r="AQ58">
        <f t="shared" si="72"/>
        <v>0.71047955241266758</v>
      </c>
      <c r="AR58">
        <v>-3.9894345373445681</v>
      </c>
      <c r="AS58" t="s">
        <v>631</v>
      </c>
      <c r="AT58">
        <v>10474.1</v>
      </c>
      <c r="AU58">
        <v>776.81903846153841</v>
      </c>
      <c r="AV58">
        <v>1154.959859511629</v>
      </c>
      <c r="AW58">
        <f t="shared" si="73"/>
        <v>0.32740602882076453</v>
      </c>
      <c r="AX58">
        <v>0.5</v>
      </c>
      <c r="AY58">
        <f t="shared" si="74"/>
        <v>1513.2851993223055</v>
      </c>
      <c r="AZ58">
        <f t="shared" si="75"/>
        <v>44.015515088021274</v>
      </c>
      <c r="BA58">
        <f t="shared" si="76"/>
        <v>247.72934879167758</v>
      </c>
      <c r="BB58">
        <f t="shared" si="77"/>
        <v>3.172234133186784E-2</v>
      </c>
      <c r="BC58">
        <f t="shared" si="78"/>
        <v>1.9714192850400487</v>
      </c>
      <c r="BD58">
        <f t="shared" si="79"/>
        <v>632.55533661950801</v>
      </c>
      <c r="BE58" t="s">
        <v>632</v>
      </c>
      <c r="BF58">
        <v>609.76</v>
      </c>
      <c r="BG58">
        <f t="shared" si="80"/>
        <v>609.76</v>
      </c>
      <c r="BH58">
        <f t="shared" si="81"/>
        <v>0.47205091590123749</v>
      </c>
      <c r="BI58">
        <f t="shared" si="82"/>
        <v>0.69358202217589704</v>
      </c>
      <c r="BJ58">
        <f t="shared" si="83"/>
        <v>0.80681126550289362</v>
      </c>
      <c r="BK58">
        <f t="shared" si="84"/>
        <v>2.3434124842578568</v>
      </c>
      <c r="BL58">
        <f t="shared" si="85"/>
        <v>0.93382066302428757</v>
      </c>
      <c r="BM58">
        <f t="shared" si="86"/>
        <v>0.54442354384046732</v>
      </c>
      <c r="BN58">
        <f t="shared" si="87"/>
        <v>0.45557645615953268</v>
      </c>
      <c r="BO58">
        <v>7826</v>
      </c>
      <c r="BP58">
        <v>290.00000000000011</v>
      </c>
      <c r="BQ58">
        <v>1048.5999999999999</v>
      </c>
      <c r="BR58">
        <v>225</v>
      </c>
      <c r="BS58">
        <v>10474.1</v>
      </c>
      <c r="BT58">
        <v>1046.97</v>
      </c>
      <c r="BU58">
        <v>1.63</v>
      </c>
      <c r="BV58">
        <v>300.00000000000011</v>
      </c>
      <c r="BW58">
        <v>38.200000000000003</v>
      </c>
      <c r="BX58">
        <v>1154.959859511629</v>
      </c>
      <c r="BY58">
        <v>1.6448298593695341</v>
      </c>
      <c r="BZ58">
        <v>-113.1118045415998</v>
      </c>
      <c r="CA58">
        <v>1.4112473561629439</v>
      </c>
      <c r="CB58">
        <v>0.99566030064975053</v>
      </c>
      <c r="CC58">
        <v>-1.138185628476085E-2</v>
      </c>
      <c r="CD58">
        <v>289.99999999999989</v>
      </c>
      <c r="CE58">
        <v>1036.1300000000001</v>
      </c>
      <c r="CF58">
        <v>635</v>
      </c>
      <c r="CG58">
        <v>10460.799999999999</v>
      </c>
      <c r="CH58">
        <v>1046.83</v>
      </c>
      <c r="CI58">
        <v>-10.7</v>
      </c>
      <c r="CW58">
        <f t="shared" si="88"/>
        <v>1800.12</v>
      </c>
      <c r="CX58">
        <f t="shared" si="89"/>
        <v>1513.2851993223055</v>
      </c>
      <c r="CY58">
        <f t="shared" si="90"/>
        <v>0.84065795575978575</v>
      </c>
      <c r="CZ58">
        <f t="shared" si="91"/>
        <v>0.19131591151957156</v>
      </c>
      <c r="DA58">
        <v>6</v>
      </c>
      <c r="DB58">
        <v>0.5</v>
      </c>
      <c r="DC58" t="s">
        <v>420</v>
      </c>
      <c r="DD58">
        <v>2</v>
      </c>
      <c r="DE58">
        <v>1693504308.5</v>
      </c>
      <c r="DF58">
        <v>1439.28</v>
      </c>
      <c r="DG58">
        <v>1499.98</v>
      </c>
      <c r="DH58">
        <v>28.521599999999999</v>
      </c>
      <c r="DI58">
        <v>23.141500000000001</v>
      </c>
      <c r="DJ58">
        <v>1439.98</v>
      </c>
      <c r="DK58">
        <v>28.2682</v>
      </c>
      <c r="DL58">
        <v>500.84800000000001</v>
      </c>
      <c r="DM58">
        <v>99.617900000000006</v>
      </c>
      <c r="DN58">
        <v>9.9372100000000005E-2</v>
      </c>
      <c r="DO58">
        <v>30.451499999999999</v>
      </c>
      <c r="DP58">
        <v>30.030799999999999</v>
      </c>
      <c r="DQ58">
        <v>999.9</v>
      </c>
      <c r="DR58">
        <v>0</v>
      </c>
      <c r="DS58">
        <v>0</v>
      </c>
      <c r="DT58">
        <v>10045</v>
      </c>
      <c r="DU58">
        <v>0</v>
      </c>
      <c r="DV58">
        <v>1672.5</v>
      </c>
      <c r="DW58">
        <v>-60.703499999999998</v>
      </c>
      <c r="DX58">
        <v>1481.53</v>
      </c>
      <c r="DY58">
        <v>1535.51</v>
      </c>
      <c r="DZ58">
        <v>5.3801100000000002</v>
      </c>
      <c r="EA58">
        <v>1499.98</v>
      </c>
      <c r="EB58">
        <v>23.141500000000001</v>
      </c>
      <c r="EC58">
        <v>2.8412600000000001</v>
      </c>
      <c r="ED58">
        <v>2.30531</v>
      </c>
      <c r="EE58">
        <v>23.125800000000002</v>
      </c>
      <c r="EF58">
        <v>19.7135</v>
      </c>
      <c r="EG58">
        <v>1800.12</v>
      </c>
      <c r="EH58">
        <v>0.97800500000000001</v>
      </c>
      <c r="EI58">
        <v>2.1995000000000001E-2</v>
      </c>
      <c r="EJ58">
        <v>0</v>
      </c>
      <c r="EK58">
        <v>776.76900000000001</v>
      </c>
      <c r="EL58">
        <v>5.0010300000000001</v>
      </c>
      <c r="EM58">
        <v>14768.9</v>
      </c>
      <c r="EN58">
        <v>14702.1</v>
      </c>
      <c r="EO58">
        <v>47.25</v>
      </c>
      <c r="EP58">
        <v>49.125</v>
      </c>
      <c r="EQ58">
        <v>48.811999999999998</v>
      </c>
      <c r="ER58">
        <v>47.5</v>
      </c>
      <c r="ES58">
        <v>48.811999999999998</v>
      </c>
      <c r="ET58">
        <v>1755.64</v>
      </c>
      <c r="EU58">
        <v>39.479999999999997</v>
      </c>
      <c r="EV58">
        <v>0</v>
      </c>
      <c r="EW58">
        <v>127.2000000476837</v>
      </c>
      <c r="EX58">
        <v>0</v>
      </c>
      <c r="EY58">
        <v>776.81903846153841</v>
      </c>
      <c r="EZ58">
        <v>-0.98430768829452242</v>
      </c>
      <c r="FA58">
        <v>-42.905982650804638</v>
      </c>
      <c r="FB58">
        <v>14772.723076923079</v>
      </c>
      <c r="FC58">
        <v>15</v>
      </c>
      <c r="FD58">
        <v>1693504254.5999999</v>
      </c>
      <c r="FE58" t="s">
        <v>633</v>
      </c>
      <c r="FF58">
        <v>1693504253.5999999</v>
      </c>
      <c r="FG58">
        <v>1693504254.5999999</v>
      </c>
      <c r="FH58">
        <v>47</v>
      </c>
      <c r="FI58">
        <v>-0.157</v>
      </c>
      <c r="FJ58">
        <v>1E-3</v>
      </c>
      <c r="FK58">
        <v>-0.67700000000000005</v>
      </c>
      <c r="FL58">
        <v>0.122</v>
      </c>
      <c r="FM58">
        <v>1500</v>
      </c>
      <c r="FN58">
        <v>23</v>
      </c>
      <c r="FO58">
        <v>0.16</v>
      </c>
      <c r="FP58">
        <v>0.04</v>
      </c>
      <c r="FQ58">
        <v>43.958941425384388</v>
      </c>
      <c r="FR58">
        <v>0.1584955994226773</v>
      </c>
      <c r="FS58">
        <v>0.19106524088922761</v>
      </c>
      <c r="FT58">
        <v>1</v>
      </c>
      <c r="FU58">
        <v>0.33354331473182192</v>
      </c>
      <c r="FV58">
        <v>-4.4218438191673058E-2</v>
      </c>
      <c r="FW58">
        <v>3.4150997026791709E-3</v>
      </c>
      <c r="FX58">
        <v>1</v>
      </c>
      <c r="FY58">
        <v>2</v>
      </c>
      <c r="FZ58">
        <v>2</v>
      </c>
      <c r="GA58" t="s">
        <v>422</v>
      </c>
      <c r="GB58">
        <v>2.9081899999999998</v>
      </c>
      <c r="GC58">
        <v>2.81778</v>
      </c>
      <c r="GD58">
        <v>0.21693100000000001</v>
      </c>
      <c r="GE58">
        <v>0.22212000000000001</v>
      </c>
      <c r="GF58">
        <v>0.13541800000000001</v>
      </c>
      <c r="GG58">
        <v>0.11712599999999999</v>
      </c>
      <c r="GH58">
        <v>21838.400000000001</v>
      </c>
      <c r="GI58">
        <v>21710.5</v>
      </c>
      <c r="GJ58">
        <v>24738.7</v>
      </c>
      <c r="GK58">
        <v>24915.8</v>
      </c>
      <c r="GL58">
        <v>28390.400000000001</v>
      </c>
      <c r="GM58">
        <v>28741.9</v>
      </c>
      <c r="GN58">
        <v>33447.4</v>
      </c>
      <c r="GO58">
        <v>33261.199999999997</v>
      </c>
      <c r="GP58">
        <v>1.9952000000000001</v>
      </c>
      <c r="GQ58">
        <v>1.9362999999999999</v>
      </c>
      <c r="GR58">
        <v>6.8843399999999999E-2</v>
      </c>
      <c r="GS58">
        <v>0</v>
      </c>
      <c r="GT58">
        <v>28.909500000000001</v>
      </c>
      <c r="GU58">
        <v>999.9</v>
      </c>
      <c r="GV58">
        <v>60.1</v>
      </c>
      <c r="GW58">
        <v>30.9</v>
      </c>
      <c r="GX58">
        <v>27.062999999999999</v>
      </c>
      <c r="GY58">
        <v>61.540199999999999</v>
      </c>
      <c r="GZ58">
        <v>23.6418</v>
      </c>
      <c r="HA58">
        <v>1</v>
      </c>
      <c r="HB58">
        <v>0.221077</v>
      </c>
      <c r="HC58">
        <v>0.96218999999999999</v>
      </c>
      <c r="HD58">
        <v>20.170999999999999</v>
      </c>
      <c r="HE58">
        <v>5.2346599999999999</v>
      </c>
      <c r="HF58">
        <v>11.9201</v>
      </c>
      <c r="HG58">
        <v>4.9614000000000003</v>
      </c>
      <c r="HH58">
        <v>3.2890000000000001</v>
      </c>
      <c r="HI58">
        <v>9999</v>
      </c>
      <c r="HJ58">
        <v>9999</v>
      </c>
      <c r="HK58">
        <v>9999</v>
      </c>
      <c r="HL58">
        <v>893.9</v>
      </c>
      <c r="HM58">
        <v>1.8806499999999999</v>
      </c>
      <c r="HN58">
        <v>1.8777200000000001</v>
      </c>
      <c r="HO58">
        <v>1.88568</v>
      </c>
      <c r="HP58">
        <v>1.88354</v>
      </c>
      <c r="HQ58">
        <v>1.8809499999999999</v>
      </c>
      <c r="HR58">
        <v>1.8800399999999999</v>
      </c>
      <c r="HS58">
        <v>1.8811599999999999</v>
      </c>
      <c r="HT58">
        <v>1.8806</v>
      </c>
      <c r="HU58">
        <v>5</v>
      </c>
      <c r="HV58">
        <v>0</v>
      </c>
      <c r="HW58">
        <v>0</v>
      </c>
      <c r="HX58">
        <v>0</v>
      </c>
      <c r="HY58" t="s">
        <v>423</v>
      </c>
      <c r="HZ58" t="s">
        <v>424</v>
      </c>
      <c r="IA58" t="s">
        <v>425</v>
      </c>
      <c r="IB58" t="s">
        <v>425</v>
      </c>
      <c r="IC58" t="s">
        <v>425</v>
      </c>
      <c r="ID58" t="s">
        <v>425</v>
      </c>
      <c r="IE58">
        <v>0</v>
      </c>
      <c r="IF58">
        <v>100</v>
      </c>
      <c r="IG58">
        <v>100</v>
      </c>
      <c r="IH58">
        <v>-0.7</v>
      </c>
      <c r="II58">
        <v>0.25340000000000001</v>
      </c>
      <c r="IJ58">
        <v>-1.460334208433069</v>
      </c>
      <c r="IK58">
        <v>2.2153513873161218E-3</v>
      </c>
      <c r="IL58">
        <v>-2.2967369670569612E-6</v>
      </c>
      <c r="IM58">
        <v>7.7859689150384122E-10</v>
      </c>
      <c r="IN58">
        <v>-0.13207286914554001</v>
      </c>
      <c r="IO58">
        <v>-4.1434251034592161E-3</v>
      </c>
      <c r="IP58">
        <v>8.3987709687394815E-4</v>
      </c>
      <c r="IQ58">
        <v>-7.4586254598011197E-6</v>
      </c>
      <c r="IR58">
        <v>2</v>
      </c>
      <c r="IS58">
        <v>1930</v>
      </c>
      <c r="IT58">
        <v>2</v>
      </c>
      <c r="IU58">
        <v>41</v>
      </c>
      <c r="IV58">
        <v>0.9</v>
      </c>
      <c r="IW58">
        <v>0.9</v>
      </c>
      <c r="IX58">
        <v>2.8906200000000002</v>
      </c>
      <c r="IY58">
        <v>2.4645999999999999</v>
      </c>
      <c r="IZ58">
        <v>1.24512</v>
      </c>
      <c r="JA58">
        <v>2.2692899999999998</v>
      </c>
      <c r="JB58">
        <v>1.4501999999999999</v>
      </c>
      <c r="JC58">
        <v>2.2668499999999998</v>
      </c>
      <c r="JD58">
        <v>34.349699999999999</v>
      </c>
      <c r="JE58">
        <v>24.052499999999998</v>
      </c>
      <c r="JF58">
        <v>18</v>
      </c>
      <c r="JG58">
        <v>496.85399999999998</v>
      </c>
      <c r="JH58">
        <v>509.09100000000001</v>
      </c>
      <c r="JI58">
        <v>27.2135</v>
      </c>
      <c r="JJ58">
        <v>30.2883</v>
      </c>
      <c r="JK58">
        <v>30.000299999999999</v>
      </c>
      <c r="JL58">
        <v>30.107099999999999</v>
      </c>
      <c r="JM58">
        <v>30.0562</v>
      </c>
      <c r="JN58">
        <v>57.975499999999997</v>
      </c>
      <c r="JO58">
        <v>22.982199999999999</v>
      </c>
      <c r="JP58">
        <v>100</v>
      </c>
      <c r="JQ58">
        <v>27.203299999999999</v>
      </c>
      <c r="JR58">
        <v>1500</v>
      </c>
      <c r="JS58">
        <v>23.147500000000001</v>
      </c>
      <c r="JT58">
        <v>99.837199999999996</v>
      </c>
      <c r="JU58">
        <v>99.291399999999996</v>
      </c>
    </row>
    <row r="59" spans="1:281" x14ac:dyDescent="0.25">
      <c r="A59">
        <v>43</v>
      </c>
      <c r="B59">
        <v>1693505996.5</v>
      </c>
      <c r="C59">
        <v>10346.900000095369</v>
      </c>
      <c r="D59" t="s">
        <v>634</v>
      </c>
      <c r="E59" t="s">
        <v>635</v>
      </c>
      <c r="F59" t="s">
        <v>413</v>
      </c>
      <c r="G59" t="s">
        <v>494</v>
      </c>
      <c r="H59" t="s">
        <v>636</v>
      </c>
      <c r="I59" t="s">
        <v>31</v>
      </c>
      <c r="J59">
        <v>1693505996.5</v>
      </c>
      <c r="K59">
        <f t="shared" si="46"/>
        <v>4.1288540220070008E-3</v>
      </c>
      <c r="L59">
        <f t="shared" si="47"/>
        <v>4.1288540220070011</v>
      </c>
      <c r="M59">
        <f t="shared" si="48"/>
        <v>40.52483643517084</v>
      </c>
      <c r="N59">
        <f t="shared" si="49"/>
        <v>349.7</v>
      </c>
      <c r="O59">
        <f t="shared" si="50"/>
        <v>112.44243712443811</v>
      </c>
      <c r="P59">
        <f t="shared" si="51"/>
        <v>11.209830693317633</v>
      </c>
      <c r="Q59">
        <f t="shared" si="52"/>
        <v>34.862974280030002</v>
      </c>
      <c r="R59">
        <f t="shared" si="53"/>
        <v>0.29297742375720254</v>
      </c>
      <c r="S59">
        <f t="shared" si="54"/>
        <v>2.9302929454301387</v>
      </c>
      <c r="T59">
        <f t="shared" si="55"/>
        <v>0.27762230175383001</v>
      </c>
      <c r="U59">
        <f t="shared" si="56"/>
        <v>0.1748264428858548</v>
      </c>
      <c r="V59">
        <f t="shared" si="57"/>
        <v>344.36689864451318</v>
      </c>
      <c r="W59">
        <f t="shared" si="58"/>
        <v>31.287586778366222</v>
      </c>
      <c r="X59">
        <f t="shared" si="59"/>
        <v>30.03</v>
      </c>
      <c r="Y59">
        <f t="shared" si="60"/>
        <v>4.2677967895855726</v>
      </c>
      <c r="Z59">
        <f t="shared" si="61"/>
        <v>65.351467109145617</v>
      </c>
      <c r="AA59">
        <f t="shared" si="62"/>
        <v>2.8379677330133202</v>
      </c>
      <c r="AB59">
        <f t="shared" si="63"/>
        <v>4.3426228339656676</v>
      </c>
      <c r="AC59">
        <f t="shared" si="64"/>
        <v>1.4298290565722525</v>
      </c>
      <c r="AD59">
        <f t="shared" si="65"/>
        <v>-182.08246237050872</v>
      </c>
      <c r="AE59">
        <f t="shared" si="66"/>
        <v>47.867319842030547</v>
      </c>
      <c r="AF59">
        <f t="shared" si="67"/>
        <v>3.6387102994763878</v>
      </c>
      <c r="AG59">
        <f t="shared" si="68"/>
        <v>213.79046641551139</v>
      </c>
      <c r="AH59">
        <v>0</v>
      </c>
      <c r="AI59">
        <v>0</v>
      </c>
      <c r="AJ59">
        <f t="shared" si="69"/>
        <v>1</v>
      </c>
      <c r="AK59">
        <f t="shared" si="70"/>
        <v>0</v>
      </c>
      <c r="AL59">
        <f t="shared" si="71"/>
        <v>52308.593773633802</v>
      </c>
      <c r="AM59" t="s">
        <v>417</v>
      </c>
      <c r="AN59">
        <v>10366.9</v>
      </c>
      <c r="AO59">
        <v>993.59653846153856</v>
      </c>
      <c r="AP59">
        <v>3431.87</v>
      </c>
      <c r="AQ59">
        <f t="shared" si="72"/>
        <v>0.71047955241266758</v>
      </c>
      <c r="AR59">
        <v>-3.9894345373445681</v>
      </c>
      <c r="AS59" t="s">
        <v>637</v>
      </c>
      <c r="AT59">
        <v>10468.5</v>
      </c>
      <c r="AU59">
        <v>769.31148000000019</v>
      </c>
      <c r="AV59">
        <v>1105.607976927932</v>
      </c>
      <c r="AW59">
        <f t="shared" si="73"/>
        <v>0.30417336338543166</v>
      </c>
      <c r="AX59">
        <v>0.5</v>
      </c>
      <c r="AY59">
        <f t="shared" si="74"/>
        <v>1513.1759993222565</v>
      </c>
      <c r="AZ59">
        <f t="shared" si="75"/>
        <v>40.52483643517084</v>
      </c>
      <c r="BA59">
        <f t="shared" si="76"/>
        <v>230.13391655398121</v>
      </c>
      <c r="BB59">
        <f t="shared" si="77"/>
        <v>2.9417774926679453E-2</v>
      </c>
      <c r="BC59">
        <f t="shared" si="78"/>
        <v>2.104056837158387</v>
      </c>
      <c r="BD59">
        <f t="shared" si="79"/>
        <v>617.45999251967282</v>
      </c>
      <c r="BE59" t="s">
        <v>638</v>
      </c>
      <c r="BF59">
        <v>604.6</v>
      </c>
      <c r="BG59">
        <f t="shared" si="80"/>
        <v>604.6</v>
      </c>
      <c r="BH59">
        <f t="shared" si="81"/>
        <v>0.45315155767964366</v>
      </c>
      <c r="BI59">
        <f t="shared" si="82"/>
        <v>0.67123980538199446</v>
      </c>
      <c r="BJ59">
        <f t="shared" si="83"/>
        <v>0.82279443529343421</v>
      </c>
      <c r="BK59">
        <f t="shared" si="84"/>
        <v>3.0023406674562989</v>
      </c>
      <c r="BL59">
        <f t="shared" si="85"/>
        <v>0.95406116654539697</v>
      </c>
      <c r="BM59">
        <f t="shared" si="86"/>
        <v>0.52752571212632071</v>
      </c>
      <c r="BN59">
        <f t="shared" si="87"/>
        <v>0.47247428787367929</v>
      </c>
      <c r="BO59">
        <v>7828</v>
      </c>
      <c r="BP59">
        <v>290.00000000000011</v>
      </c>
      <c r="BQ59">
        <v>1013.1</v>
      </c>
      <c r="BR59">
        <v>185</v>
      </c>
      <c r="BS59">
        <v>10468.5</v>
      </c>
      <c r="BT59">
        <v>1012.33</v>
      </c>
      <c r="BU59">
        <v>0.77</v>
      </c>
      <c r="BV59">
        <v>300.00000000000011</v>
      </c>
      <c r="BW59">
        <v>38.200000000000003</v>
      </c>
      <c r="BX59">
        <v>1105.607976927932</v>
      </c>
      <c r="BY59">
        <v>1.186007606864629</v>
      </c>
      <c r="BZ59">
        <v>-97.649828118326482</v>
      </c>
      <c r="CA59">
        <v>1.016487765739214</v>
      </c>
      <c r="CB59">
        <v>0.99697515092287015</v>
      </c>
      <c r="CC59">
        <v>-1.13693979977753E-2</v>
      </c>
      <c r="CD59">
        <v>289.99999999999989</v>
      </c>
      <c r="CE59">
        <v>1002.16</v>
      </c>
      <c r="CF59">
        <v>625</v>
      </c>
      <c r="CG59">
        <v>10450.6</v>
      </c>
      <c r="CH59">
        <v>1012.17</v>
      </c>
      <c r="CI59">
        <v>-10.01</v>
      </c>
      <c r="CW59">
        <f t="shared" si="88"/>
        <v>1799.99</v>
      </c>
      <c r="CX59">
        <f t="shared" si="89"/>
        <v>1513.1759993222565</v>
      </c>
      <c r="CY59">
        <f t="shared" si="90"/>
        <v>0.8406580032790496</v>
      </c>
      <c r="CZ59">
        <f t="shared" si="91"/>
        <v>0.19131600655809933</v>
      </c>
      <c r="DA59">
        <v>6</v>
      </c>
      <c r="DB59">
        <v>0.5</v>
      </c>
      <c r="DC59" t="s">
        <v>420</v>
      </c>
      <c r="DD59">
        <v>2</v>
      </c>
      <c r="DE59">
        <v>1693505996.5</v>
      </c>
      <c r="DF59">
        <v>349.7</v>
      </c>
      <c r="DG59">
        <v>400.02600000000001</v>
      </c>
      <c r="DH59">
        <v>28.466799999999999</v>
      </c>
      <c r="DI59">
        <v>23.656700000000001</v>
      </c>
      <c r="DJ59">
        <v>350.27699999999999</v>
      </c>
      <c r="DK59">
        <v>28.236699999999999</v>
      </c>
      <c r="DL59">
        <v>500.36200000000002</v>
      </c>
      <c r="DM59">
        <v>99.594200000000001</v>
      </c>
      <c r="DN59">
        <v>9.9749900000000002E-2</v>
      </c>
      <c r="DO59">
        <v>30.332999999999998</v>
      </c>
      <c r="DP59">
        <v>30.03</v>
      </c>
      <c r="DQ59">
        <v>999.9</v>
      </c>
      <c r="DR59">
        <v>0</v>
      </c>
      <c r="DS59">
        <v>0</v>
      </c>
      <c r="DT59">
        <v>10045</v>
      </c>
      <c r="DU59">
        <v>0</v>
      </c>
      <c r="DV59">
        <v>1621.46</v>
      </c>
      <c r="DW59">
        <v>-50.326599999999999</v>
      </c>
      <c r="DX59">
        <v>359.94600000000003</v>
      </c>
      <c r="DY59">
        <v>409.71899999999999</v>
      </c>
      <c r="DZ59">
        <v>4.8101700000000003</v>
      </c>
      <c r="EA59">
        <v>400.02600000000001</v>
      </c>
      <c r="EB59">
        <v>23.656700000000001</v>
      </c>
      <c r="EC59">
        <v>2.8351299999999999</v>
      </c>
      <c r="ED59">
        <v>2.3560699999999999</v>
      </c>
      <c r="EE59">
        <v>23.0901</v>
      </c>
      <c r="EF59">
        <v>20.064900000000002</v>
      </c>
      <c r="EG59">
        <v>1799.99</v>
      </c>
      <c r="EH59">
        <v>0.97800399999999998</v>
      </c>
      <c r="EI59">
        <v>2.1995799999999999E-2</v>
      </c>
      <c r="EJ59">
        <v>0</v>
      </c>
      <c r="EK59">
        <v>769.66099999999994</v>
      </c>
      <c r="EL59">
        <v>5.0010300000000001</v>
      </c>
      <c r="EM59">
        <v>15013.1</v>
      </c>
      <c r="EN59">
        <v>14701</v>
      </c>
      <c r="EO59">
        <v>48.186999999999998</v>
      </c>
      <c r="EP59">
        <v>49.75</v>
      </c>
      <c r="EQ59">
        <v>49.75</v>
      </c>
      <c r="ER59">
        <v>48.125</v>
      </c>
      <c r="ES59">
        <v>49.625</v>
      </c>
      <c r="ET59">
        <v>1755.51</v>
      </c>
      <c r="EU59">
        <v>39.479999999999997</v>
      </c>
      <c r="EV59">
        <v>0</v>
      </c>
      <c r="EW59">
        <v>1686</v>
      </c>
      <c r="EX59">
        <v>0</v>
      </c>
      <c r="EY59">
        <v>769.31148000000019</v>
      </c>
      <c r="EZ59">
        <v>1.6637692303863809</v>
      </c>
      <c r="FA59">
        <v>49.615384405058137</v>
      </c>
      <c r="FB59">
        <v>15003.995999999999</v>
      </c>
      <c r="FC59">
        <v>15</v>
      </c>
      <c r="FD59">
        <v>1693505967.5</v>
      </c>
      <c r="FE59" t="s">
        <v>639</v>
      </c>
      <c r="FF59">
        <v>1693505962.5</v>
      </c>
      <c r="FG59">
        <v>1693505967.5</v>
      </c>
      <c r="FH59">
        <v>49</v>
      </c>
      <c r="FI59">
        <v>1.9E-2</v>
      </c>
      <c r="FJ59">
        <v>-2.1000000000000001E-2</v>
      </c>
      <c r="FK59">
        <v>-0.53600000000000003</v>
      </c>
      <c r="FL59">
        <v>0.114</v>
      </c>
      <c r="FM59">
        <v>400</v>
      </c>
      <c r="FN59">
        <v>24</v>
      </c>
      <c r="FO59">
        <v>0.08</v>
      </c>
      <c r="FP59">
        <v>0.04</v>
      </c>
      <c r="FQ59">
        <v>40.490880374754013</v>
      </c>
      <c r="FR59">
        <v>-0.1800447134249761</v>
      </c>
      <c r="FS59">
        <v>7.905153726527854E-2</v>
      </c>
      <c r="FT59">
        <v>1</v>
      </c>
      <c r="FU59">
        <v>0.29062327628398971</v>
      </c>
      <c r="FV59">
        <v>4.3036415893978122E-2</v>
      </c>
      <c r="FW59">
        <v>4.2790160721750794E-3</v>
      </c>
      <c r="FX59">
        <v>1</v>
      </c>
      <c r="FY59">
        <v>2</v>
      </c>
      <c r="FZ59">
        <v>2</v>
      </c>
      <c r="GA59" t="s">
        <v>422</v>
      </c>
      <c r="GB59">
        <v>2.9044300000000001</v>
      </c>
      <c r="GC59">
        <v>2.8181500000000002</v>
      </c>
      <c r="GD59">
        <v>8.2300799999999993E-2</v>
      </c>
      <c r="GE59">
        <v>9.1255699999999995E-2</v>
      </c>
      <c r="GF59">
        <v>0.13488800000000001</v>
      </c>
      <c r="GG59">
        <v>0.118532</v>
      </c>
      <c r="GH59">
        <v>25536.400000000001</v>
      </c>
      <c r="GI59">
        <v>25312</v>
      </c>
      <c r="GJ59">
        <v>24685.599999999999</v>
      </c>
      <c r="GK59">
        <v>24869.3</v>
      </c>
      <c r="GL59">
        <v>28352.400000000001</v>
      </c>
      <c r="GM59">
        <v>28641.3</v>
      </c>
      <c r="GN59">
        <v>33374.699999999997</v>
      </c>
      <c r="GO59">
        <v>33194</v>
      </c>
      <c r="GP59">
        <v>1.9795</v>
      </c>
      <c r="GQ59">
        <v>1.9258</v>
      </c>
      <c r="GR59">
        <v>8.1062300000000004E-2</v>
      </c>
      <c r="GS59">
        <v>0</v>
      </c>
      <c r="GT59">
        <v>28.709499999999998</v>
      </c>
      <c r="GU59">
        <v>999.9</v>
      </c>
      <c r="GV59">
        <v>62.8</v>
      </c>
      <c r="GW59">
        <v>29.8</v>
      </c>
      <c r="GX59">
        <v>26.555599999999998</v>
      </c>
      <c r="GY59">
        <v>61.850299999999997</v>
      </c>
      <c r="GZ59">
        <v>23.974399999999999</v>
      </c>
      <c r="HA59">
        <v>1</v>
      </c>
      <c r="HB59">
        <v>0.32523400000000002</v>
      </c>
      <c r="HC59">
        <v>1.4764200000000001</v>
      </c>
      <c r="HD59">
        <v>20.209499999999998</v>
      </c>
      <c r="HE59">
        <v>5.2340600000000004</v>
      </c>
      <c r="HF59">
        <v>11.9201</v>
      </c>
      <c r="HG59">
        <v>4.9598000000000004</v>
      </c>
      <c r="HH59">
        <v>3.2890000000000001</v>
      </c>
      <c r="HI59">
        <v>9999</v>
      </c>
      <c r="HJ59">
        <v>9999</v>
      </c>
      <c r="HK59">
        <v>9999</v>
      </c>
      <c r="HL59">
        <v>894.3</v>
      </c>
      <c r="HM59">
        <v>1.8803399999999999</v>
      </c>
      <c r="HN59">
        <v>1.87741</v>
      </c>
      <c r="HO59">
        <v>1.8853500000000001</v>
      </c>
      <c r="HP59">
        <v>1.88324</v>
      </c>
      <c r="HQ59">
        <v>1.8806499999999999</v>
      </c>
      <c r="HR59">
        <v>1.8797299999999999</v>
      </c>
      <c r="HS59">
        <v>1.8808100000000001</v>
      </c>
      <c r="HT59">
        <v>1.8802000000000001</v>
      </c>
      <c r="HU59">
        <v>5</v>
      </c>
      <c r="HV59">
        <v>0</v>
      </c>
      <c r="HW59">
        <v>0</v>
      </c>
      <c r="HX59">
        <v>0</v>
      </c>
      <c r="HY59" t="s">
        <v>423</v>
      </c>
      <c r="HZ59" t="s">
        <v>424</v>
      </c>
      <c r="IA59" t="s">
        <v>425</v>
      </c>
      <c r="IB59" t="s">
        <v>425</v>
      </c>
      <c r="IC59" t="s">
        <v>425</v>
      </c>
      <c r="ID59" t="s">
        <v>425</v>
      </c>
      <c r="IE59">
        <v>0</v>
      </c>
      <c r="IF59">
        <v>100</v>
      </c>
      <c r="IG59">
        <v>100</v>
      </c>
      <c r="IH59">
        <v>-0.57699999999999996</v>
      </c>
      <c r="II59">
        <v>0.2301</v>
      </c>
      <c r="IJ59">
        <v>-1.105204650994819</v>
      </c>
      <c r="IK59">
        <v>2.2153513873161218E-3</v>
      </c>
      <c r="IL59">
        <v>-2.2967369670569612E-6</v>
      </c>
      <c r="IM59">
        <v>7.7859689150384122E-10</v>
      </c>
      <c r="IN59">
        <v>-0.15458876276102179</v>
      </c>
      <c r="IO59">
        <v>-4.1434251034592161E-3</v>
      </c>
      <c r="IP59">
        <v>8.3987709687394815E-4</v>
      </c>
      <c r="IQ59">
        <v>-7.4586254598011197E-6</v>
      </c>
      <c r="IR59">
        <v>2</v>
      </c>
      <c r="IS59">
        <v>1930</v>
      </c>
      <c r="IT59">
        <v>2</v>
      </c>
      <c r="IU59">
        <v>41</v>
      </c>
      <c r="IV59">
        <v>0.6</v>
      </c>
      <c r="IW59">
        <v>0.5</v>
      </c>
      <c r="IX59">
        <v>1.00098</v>
      </c>
      <c r="IY59">
        <v>2.4731399999999999</v>
      </c>
      <c r="IZ59">
        <v>1.24512</v>
      </c>
      <c r="JA59">
        <v>2.2717299999999998</v>
      </c>
      <c r="JB59">
        <v>1.4501999999999999</v>
      </c>
      <c r="JC59">
        <v>2.4487299999999999</v>
      </c>
      <c r="JD59">
        <v>32.753500000000003</v>
      </c>
      <c r="JE59">
        <v>16.005800000000001</v>
      </c>
      <c r="JF59">
        <v>18</v>
      </c>
      <c r="JG59">
        <v>497.42</v>
      </c>
      <c r="JH59">
        <v>513.63300000000004</v>
      </c>
      <c r="JI59">
        <v>26.8889</v>
      </c>
      <c r="JJ59">
        <v>31.538</v>
      </c>
      <c r="JK59">
        <v>30.000599999999999</v>
      </c>
      <c r="JL59">
        <v>31.407299999999999</v>
      </c>
      <c r="JM59">
        <v>31.3735</v>
      </c>
      <c r="JN59">
        <v>20.146100000000001</v>
      </c>
      <c r="JO59">
        <v>19.9922</v>
      </c>
      <c r="JP59">
        <v>100</v>
      </c>
      <c r="JQ59">
        <v>26.886500000000002</v>
      </c>
      <c r="JR59">
        <v>400</v>
      </c>
      <c r="JS59">
        <v>23.647200000000002</v>
      </c>
      <c r="JT59">
        <v>99.621300000000005</v>
      </c>
      <c r="JU59">
        <v>99.097300000000004</v>
      </c>
    </row>
    <row r="60" spans="1:281" x14ac:dyDescent="0.25">
      <c r="A60">
        <v>44</v>
      </c>
      <c r="B60">
        <v>1693506104.5999999</v>
      </c>
      <c r="C60">
        <v>10455</v>
      </c>
      <c r="D60" t="s">
        <v>640</v>
      </c>
      <c r="E60" t="s">
        <v>641</v>
      </c>
      <c r="F60" t="s">
        <v>413</v>
      </c>
      <c r="G60" t="s">
        <v>494</v>
      </c>
      <c r="H60" t="s">
        <v>636</v>
      </c>
      <c r="I60" t="s">
        <v>31</v>
      </c>
      <c r="J60">
        <v>1693506104.5999999</v>
      </c>
      <c r="K60">
        <f t="shared" si="46"/>
        <v>4.1863321175026873E-3</v>
      </c>
      <c r="L60">
        <f t="shared" si="47"/>
        <v>4.1863321175026877</v>
      </c>
      <c r="M60">
        <f t="shared" si="48"/>
        <v>31.80115982986857</v>
      </c>
      <c r="N60">
        <f t="shared" si="49"/>
        <v>260.61900000000003</v>
      </c>
      <c r="O60">
        <f t="shared" si="50"/>
        <v>78.297202570854367</v>
      </c>
      <c r="P60">
        <f t="shared" si="51"/>
        <v>7.805324806194422</v>
      </c>
      <c r="Q60">
        <f t="shared" si="52"/>
        <v>25.980697635075</v>
      </c>
      <c r="R60">
        <f t="shared" si="53"/>
        <v>0.29917813701153717</v>
      </c>
      <c r="S60">
        <f t="shared" si="54"/>
        <v>2.9152985567413983</v>
      </c>
      <c r="T60">
        <f t="shared" si="55"/>
        <v>0.28310770942283403</v>
      </c>
      <c r="U60">
        <f t="shared" si="56"/>
        <v>0.17831421245441109</v>
      </c>
      <c r="V60">
        <f t="shared" si="57"/>
        <v>344.37259864453586</v>
      </c>
      <c r="W60">
        <f t="shared" si="58"/>
        <v>31.211543540211295</v>
      </c>
      <c r="X60">
        <f t="shared" si="59"/>
        <v>29.991399999999999</v>
      </c>
      <c r="Y60">
        <f t="shared" si="60"/>
        <v>4.2583456613848325</v>
      </c>
      <c r="Z60">
        <f t="shared" si="61"/>
        <v>65.568793475025785</v>
      </c>
      <c r="AA60">
        <f t="shared" si="62"/>
        <v>2.8367039152724995</v>
      </c>
      <c r="AB60">
        <f t="shared" si="63"/>
        <v>4.3263018349620221</v>
      </c>
      <c r="AC60">
        <f t="shared" si="64"/>
        <v>1.421641746112333</v>
      </c>
      <c r="AD60">
        <f t="shared" si="65"/>
        <v>-184.61724638186851</v>
      </c>
      <c r="AE60">
        <f t="shared" si="66"/>
        <v>43.363085960748563</v>
      </c>
      <c r="AF60">
        <f t="shared" si="67"/>
        <v>3.3115583087229461</v>
      </c>
      <c r="AG60">
        <f t="shared" si="68"/>
        <v>206.42999653213889</v>
      </c>
      <c r="AH60">
        <v>0</v>
      </c>
      <c r="AI60">
        <v>0</v>
      </c>
      <c r="AJ60">
        <f t="shared" si="69"/>
        <v>1</v>
      </c>
      <c r="AK60">
        <f t="shared" si="70"/>
        <v>0</v>
      </c>
      <c r="AL60">
        <f t="shared" si="71"/>
        <v>51892.119762717266</v>
      </c>
      <c r="AM60" t="s">
        <v>417</v>
      </c>
      <c r="AN60">
        <v>10366.9</v>
      </c>
      <c r="AO60">
        <v>993.59653846153856</v>
      </c>
      <c r="AP60">
        <v>3431.87</v>
      </c>
      <c r="AQ60">
        <f t="shared" si="72"/>
        <v>0.71047955241266758</v>
      </c>
      <c r="AR60">
        <v>-3.9894345373445681</v>
      </c>
      <c r="AS60" t="s">
        <v>642</v>
      </c>
      <c r="AT60">
        <v>10476.5</v>
      </c>
      <c r="AU60">
        <v>734.88560000000007</v>
      </c>
      <c r="AV60">
        <v>999.81854792810554</v>
      </c>
      <c r="AW60">
        <f t="shared" si="73"/>
        <v>0.26498102928488199</v>
      </c>
      <c r="AX60">
        <v>0.5</v>
      </c>
      <c r="AY60">
        <f t="shared" si="74"/>
        <v>1513.2011993222679</v>
      </c>
      <c r="AZ60">
        <f t="shared" si="75"/>
        <v>31.80115982986857</v>
      </c>
      <c r="BA60">
        <f t="shared" si="76"/>
        <v>200.48480565576622</v>
      </c>
      <c r="BB60">
        <f t="shared" si="77"/>
        <v>2.3652237642451657E-2</v>
      </c>
      <c r="BC60">
        <f t="shared" si="78"/>
        <v>2.4324928329362989</v>
      </c>
      <c r="BD60">
        <f t="shared" si="79"/>
        <v>583.00883038975803</v>
      </c>
      <c r="BE60" t="s">
        <v>643</v>
      </c>
      <c r="BF60">
        <v>584.47</v>
      </c>
      <c r="BG60">
        <f t="shared" si="80"/>
        <v>584.47</v>
      </c>
      <c r="BH60">
        <f t="shared" si="81"/>
        <v>0.41542392746045775</v>
      </c>
      <c r="BI60">
        <f t="shared" si="82"/>
        <v>0.63785692582694153</v>
      </c>
      <c r="BJ60">
        <f t="shared" si="83"/>
        <v>0.85413059354916576</v>
      </c>
      <c r="BK60">
        <f t="shared" si="84"/>
        <v>42.579965419802392</v>
      </c>
      <c r="BL60">
        <f t="shared" si="85"/>
        <v>0.99744819046562505</v>
      </c>
      <c r="BM60">
        <f t="shared" si="86"/>
        <v>0.50730105126304348</v>
      </c>
      <c r="BN60">
        <f t="shared" si="87"/>
        <v>0.49269894873695652</v>
      </c>
      <c r="BO60">
        <v>7830</v>
      </c>
      <c r="BP60">
        <v>290.00000000000011</v>
      </c>
      <c r="BQ60">
        <v>927.73</v>
      </c>
      <c r="BR60">
        <v>125</v>
      </c>
      <c r="BS60">
        <v>10476.5</v>
      </c>
      <c r="BT60">
        <v>927.33</v>
      </c>
      <c r="BU60">
        <v>0.4</v>
      </c>
      <c r="BV60">
        <v>300.00000000000011</v>
      </c>
      <c r="BW60">
        <v>38.200000000000003</v>
      </c>
      <c r="BX60">
        <v>999.81854792810554</v>
      </c>
      <c r="BY60">
        <v>0.81515932337436281</v>
      </c>
      <c r="BZ60">
        <v>-75.942185330360488</v>
      </c>
      <c r="CA60">
        <v>0.69851838452358916</v>
      </c>
      <c r="CB60">
        <v>0.99763669405716737</v>
      </c>
      <c r="CC60">
        <v>-1.136725050055618E-2</v>
      </c>
      <c r="CD60">
        <v>289.99999999999989</v>
      </c>
      <c r="CE60">
        <v>921.15</v>
      </c>
      <c r="CF60">
        <v>655</v>
      </c>
      <c r="CG60">
        <v>10445.9</v>
      </c>
      <c r="CH60">
        <v>927.12</v>
      </c>
      <c r="CI60">
        <v>-5.97</v>
      </c>
      <c r="CW60">
        <f t="shared" si="88"/>
        <v>1800.02</v>
      </c>
      <c r="CX60">
        <f t="shared" si="89"/>
        <v>1513.2011993222679</v>
      </c>
      <c r="CY60">
        <f t="shared" si="90"/>
        <v>0.84065799231245653</v>
      </c>
      <c r="CZ60">
        <f t="shared" si="91"/>
        <v>0.19131598462491298</v>
      </c>
      <c r="DA60">
        <v>6</v>
      </c>
      <c r="DB60">
        <v>0.5</v>
      </c>
      <c r="DC60" t="s">
        <v>420</v>
      </c>
      <c r="DD60">
        <v>2</v>
      </c>
      <c r="DE60">
        <v>1693506104.5999999</v>
      </c>
      <c r="DF60">
        <v>260.61900000000003</v>
      </c>
      <c r="DG60">
        <v>300.048</v>
      </c>
      <c r="DH60">
        <v>28.4557</v>
      </c>
      <c r="DI60">
        <v>23.580200000000001</v>
      </c>
      <c r="DJ60">
        <v>261.06799999999998</v>
      </c>
      <c r="DK60">
        <v>28.227499999999999</v>
      </c>
      <c r="DL60">
        <v>500.52800000000002</v>
      </c>
      <c r="DM60">
        <v>99.588200000000001</v>
      </c>
      <c r="DN60">
        <v>0.10022499999999999</v>
      </c>
      <c r="DO60">
        <v>30.267299999999999</v>
      </c>
      <c r="DP60">
        <v>29.991399999999999</v>
      </c>
      <c r="DQ60">
        <v>999.9</v>
      </c>
      <c r="DR60">
        <v>0</v>
      </c>
      <c r="DS60">
        <v>0</v>
      </c>
      <c r="DT60">
        <v>9960</v>
      </c>
      <c r="DU60">
        <v>0</v>
      </c>
      <c r="DV60">
        <v>1614.46</v>
      </c>
      <c r="DW60">
        <v>-39.429499999999997</v>
      </c>
      <c r="DX60">
        <v>268.25200000000001</v>
      </c>
      <c r="DY60">
        <v>307.29399999999998</v>
      </c>
      <c r="DZ60">
        <v>4.87547</v>
      </c>
      <c r="EA60">
        <v>300.048</v>
      </c>
      <c r="EB60">
        <v>23.580200000000001</v>
      </c>
      <c r="EC60">
        <v>2.83385</v>
      </c>
      <c r="ED60">
        <v>2.3483100000000001</v>
      </c>
      <c r="EE60">
        <v>23.082599999999999</v>
      </c>
      <c r="EF60">
        <v>20.011700000000001</v>
      </c>
      <c r="EG60">
        <v>1800.02</v>
      </c>
      <c r="EH60">
        <v>0.97800799999999999</v>
      </c>
      <c r="EI60">
        <v>2.1992100000000001E-2</v>
      </c>
      <c r="EJ60">
        <v>0</v>
      </c>
      <c r="EK60">
        <v>734.21900000000005</v>
      </c>
      <c r="EL60">
        <v>5.0010300000000001</v>
      </c>
      <c r="EM60">
        <v>14385.1</v>
      </c>
      <c r="EN60">
        <v>14701.3</v>
      </c>
      <c r="EO60">
        <v>48.25</v>
      </c>
      <c r="EP60">
        <v>49.936999999999998</v>
      </c>
      <c r="EQ60">
        <v>50</v>
      </c>
      <c r="ER60">
        <v>48.311999999999998</v>
      </c>
      <c r="ES60">
        <v>49.75</v>
      </c>
      <c r="ET60">
        <v>1755.54</v>
      </c>
      <c r="EU60">
        <v>39.479999999999997</v>
      </c>
      <c r="EV60">
        <v>0</v>
      </c>
      <c r="EW60">
        <v>106.4000000953674</v>
      </c>
      <c r="EX60">
        <v>0</v>
      </c>
      <c r="EY60">
        <v>734.88560000000007</v>
      </c>
      <c r="EZ60">
        <v>-4.978538474454842</v>
      </c>
      <c r="FA60">
        <v>-102.1307693994784</v>
      </c>
      <c r="FB60">
        <v>14392.183999999999</v>
      </c>
      <c r="FC60">
        <v>15</v>
      </c>
      <c r="FD60">
        <v>1693506073.5</v>
      </c>
      <c r="FE60" t="s">
        <v>644</v>
      </c>
      <c r="FF60">
        <v>1693506059</v>
      </c>
      <c r="FG60">
        <v>1693506073.5</v>
      </c>
      <c r="FH60">
        <v>50</v>
      </c>
      <c r="FI60">
        <v>0.221</v>
      </c>
      <c r="FJ60">
        <v>-2E-3</v>
      </c>
      <c r="FK60">
        <v>-0.40500000000000003</v>
      </c>
      <c r="FL60">
        <v>0.112</v>
      </c>
      <c r="FM60">
        <v>300</v>
      </c>
      <c r="FN60">
        <v>24</v>
      </c>
      <c r="FO60">
        <v>0.08</v>
      </c>
      <c r="FP60">
        <v>0.06</v>
      </c>
      <c r="FQ60">
        <v>31.67890976221959</v>
      </c>
      <c r="FR60">
        <v>0.37106859724969221</v>
      </c>
      <c r="FS60">
        <v>6.5670515567017002E-2</v>
      </c>
      <c r="FT60">
        <v>1</v>
      </c>
      <c r="FU60">
        <v>0.2980461915860933</v>
      </c>
      <c r="FV60">
        <v>3.3890230755212573E-2</v>
      </c>
      <c r="FW60">
        <v>2.7486379951320301E-3</v>
      </c>
      <c r="FX60">
        <v>1</v>
      </c>
      <c r="FY60">
        <v>2</v>
      </c>
      <c r="FZ60">
        <v>2</v>
      </c>
      <c r="GA60" t="s">
        <v>422</v>
      </c>
      <c r="GB60">
        <v>2.9046500000000002</v>
      </c>
      <c r="GC60">
        <v>2.8178899999999998</v>
      </c>
      <c r="GD60">
        <v>6.4751400000000001E-2</v>
      </c>
      <c r="GE60">
        <v>7.2672399999999998E-2</v>
      </c>
      <c r="GF60">
        <v>0.134824</v>
      </c>
      <c r="GG60">
        <v>0.118239</v>
      </c>
      <c r="GH60">
        <v>26020.9</v>
      </c>
      <c r="GI60">
        <v>25826.7</v>
      </c>
      <c r="GJ60">
        <v>24682.5</v>
      </c>
      <c r="GK60">
        <v>24867.1</v>
      </c>
      <c r="GL60">
        <v>28351.8</v>
      </c>
      <c r="GM60">
        <v>28648.2</v>
      </c>
      <c r="GN60">
        <v>33370.9</v>
      </c>
      <c r="GO60">
        <v>33190.5</v>
      </c>
      <c r="GP60">
        <v>1.9785999999999999</v>
      </c>
      <c r="GQ60">
        <v>1.9244000000000001</v>
      </c>
      <c r="GR60">
        <v>6.9737400000000005E-2</v>
      </c>
      <c r="GS60">
        <v>0</v>
      </c>
      <c r="GT60">
        <v>28.855499999999999</v>
      </c>
      <c r="GU60">
        <v>999.9</v>
      </c>
      <c r="GV60">
        <v>63.1</v>
      </c>
      <c r="GW60">
        <v>29.8</v>
      </c>
      <c r="GX60">
        <v>26.685600000000001</v>
      </c>
      <c r="GY60">
        <v>61.926699999999997</v>
      </c>
      <c r="GZ60">
        <v>23.745999999999999</v>
      </c>
      <c r="HA60">
        <v>1</v>
      </c>
      <c r="HB60">
        <v>0.33344499999999999</v>
      </c>
      <c r="HC60">
        <v>0.74507599999999996</v>
      </c>
      <c r="HD60">
        <v>20.210799999999999</v>
      </c>
      <c r="HE60">
        <v>5.2346599999999999</v>
      </c>
      <c r="HF60">
        <v>11.9201</v>
      </c>
      <c r="HG60">
        <v>4.9611999999999998</v>
      </c>
      <c r="HH60">
        <v>3.2890000000000001</v>
      </c>
      <c r="HI60">
        <v>9999</v>
      </c>
      <c r="HJ60">
        <v>9999</v>
      </c>
      <c r="HK60">
        <v>9999</v>
      </c>
      <c r="HL60">
        <v>894.3</v>
      </c>
      <c r="HM60">
        <v>1.8803399999999999</v>
      </c>
      <c r="HN60">
        <v>1.8774200000000001</v>
      </c>
      <c r="HO60">
        <v>1.8853599999999999</v>
      </c>
      <c r="HP60">
        <v>1.88324</v>
      </c>
      <c r="HQ60">
        <v>1.8806499999999999</v>
      </c>
      <c r="HR60">
        <v>1.8797299999999999</v>
      </c>
      <c r="HS60">
        <v>1.88086</v>
      </c>
      <c r="HT60">
        <v>1.88019</v>
      </c>
      <c r="HU60">
        <v>5</v>
      </c>
      <c r="HV60">
        <v>0</v>
      </c>
      <c r="HW60">
        <v>0</v>
      </c>
      <c r="HX60">
        <v>0</v>
      </c>
      <c r="HY60" t="s">
        <v>423</v>
      </c>
      <c r="HZ60" t="s">
        <v>424</v>
      </c>
      <c r="IA60" t="s">
        <v>425</v>
      </c>
      <c r="IB60" t="s">
        <v>425</v>
      </c>
      <c r="IC60" t="s">
        <v>425</v>
      </c>
      <c r="ID60" t="s">
        <v>425</v>
      </c>
      <c r="IE60">
        <v>0</v>
      </c>
      <c r="IF60">
        <v>100</v>
      </c>
      <c r="IG60">
        <v>100</v>
      </c>
      <c r="IH60">
        <v>-0.44900000000000001</v>
      </c>
      <c r="II60">
        <v>0.22819999999999999</v>
      </c>
      <c r="IJ60">
        <v>-0.8845105610719608</v>
      </c>
      <c r="IK60">
        <v>2.2153513873161218E-3</v>
      </c>
      <c r="IL60">
        <v>-2.2967369670569612E-6</v>
      </c>
      <c r="IM60">
        <v>7.7859689150384122E-10</v>
      </c>
      <c r="IN60">
        <v>-0.15634331256435019</v>
      </c>
      <c r="IO60">
        <v>-4.1434251034592161E-3</v>
      </c>
      <c r="IP60">
        <v>8.3987709687394815E-4</v>
      </c>
      <c r="IQ60">
        <v>-7.4586254598011197E-6</v>
      </c>
      <c r="IR60">
        <v>2</v>
      </c>
      <c r="IS60">
        <v>1930</v>
      </c>
      <c r="IT60">
        <v>2</v>
      </c>
      <c r="IU60">
        <v>41</v>
      </c>
      <c r="IV60">
        <v>0.8</v>
      </c>
      <c r="IW60">
        <v>0.5</v>
      </c>
      <c r="IX60">
        <v>0.79956099999999997</v>
      </c>
      <c r="IY60">
        <v>2.47803</v>
      </c>
      <c r="IZ60">
        <v>1.24512</v>
      </c>
      <c r="JA60">
        <v>2.2717299999999998</v>
      </c>
      <c r="JB60">
        <v>1.4501999999999999</v>
      </c>
      <c r="JC60">
        <v>2.34619</v>
      </c>
      <c r="JD60">
        <v>32.775799999999997</v>
      </c>
      <c r="JE60">
        <v>16.005800000000001</v>
      </c>
      <c r="JF60">
        <v>18</v>
      </c>
      <c r="JG60">
        <v>497.56099999999998</v>
      </c>
      <c r="JH60">
        <v>513.38400000000001</v>
      </c>
      <c r="JI60">
        <v>26.201000000000001</v>
      </c>
      <c r="JJ60">
        <v>31.637699999999999</v>
      </c>
      <c r="JK60">
        <v>30.000299999999999</v>
      </c>
      <c r="JL60">
        <v>31.495999999999999</v>
      </c>
      <c r="JM60">
        <v>31.459199999999999</v>
      </c>
      <c r="JN60">
        <v>16.089400000000001</v>
      </c>
      <c r="JO60">
        <v>20.590499999999999</v>
      </c>
      <c r="JP60">
        <v>100</v>
      </c>
      <c r="JQ60">
        <v>26.627300000000002</v>
      </c>
      <c r="JR60">
        <v>300</v>
      </c>
      <c r="JS60">
        <v>23.535499999999999</v>
      </c>
      <c r="JT60">
        <v>99.609499999999997</v>
      </c>
      <c r="JU60">
        <v>99.087500000000006</v>
      </c>
    </row>
    <row r="61" spans="1:281" x14ac:dyDescent="0.25">
      <c r="A61">
        <v>45</v>
      </c>
      <c r="B61">
        <v>1693506227.0999999</v>
      </c>
      <c r="C61">
        <v>10577.5</v>
      </c>
      <c r="D61" t="s">
        <v>645</v>
      </c>
      <c r="E61" t="s">
        <v>646</v>
      </c>
      <c r="F61" t="s">
        <v>413</v>
      </c>
      <c r="G61" t="s">
        <v>494</v>
      </c>
      <c r="H61" t="s">
        <v>636</v>
      </c>
      <c r="I61" t="s">
        <v>31</v>
      </c>
      <c r="J61">
        <v>1693506227.0999999</v>
      </c>
      <c r="K61">
        <f t="shared" si="46"/>
        <v>4.6682328501189418E-3</v>
      </c>
      <c r="L61">
        <f t="shared" si="47"/>
        <v>4.6682328501189421</v>
      </c>
      <c r="M61">
        <f t="shared" si="48"/>
        <v>22.494271674100318</v>
      </c>
      <c r="N61">
        <f t="shared" si="49"/>
        <v>172.04300000000001</v>
      </c>
      <c r="O61">
        <f t="shared" si="50"/>
        <v>55.986214523775971</v>
      </c>
      <c r="P61">
        <f t="shared" si="51"/>
        <v>5.5815481763274981</v>
      </c>
      <c r="Q61">
        <f t="shared" si="52"/>
        <v>17.151834626934999</v>
      </c>
      <c r="R61">
        <f t="shared" si="53"/>
        <v>0.3346729758221641</v>
      </c>
      <c r="S61">
        <f t="shared" si="54"/>
        <v>2.9224352817209973</v>
      </c>
      <c r="T61">
        <f t="shared" si="55"/>
        <v>0.31474541418893909</v>
      </c>
      <c r="U61">
        <f t="shared" si="56"/>
        <v>0.19840734270406787</v>
      </c>
      <c r="V61">
        <f t="shared" si="57"/>
        <v>344.36879864452078</v>
      </c>
      <c r="W61">
        <f t="shared" si="58"/>
        <v>31.098745104018878</v>
      </c>
      <c r="X61">
        <f t="shared" si="59"/>
        <v>29.9636</v>
      </c>
      <c r="Y61">
        <f t="shared" si="60"/>
        <v>4.2515501942708172</v>
      </c>
      <c r="Z61">
        <f t="shared" si="61"/>
        <v>65.251982621260723</v>
      </c>
      <c r="AA61">
        <f t="shared" si="62"/>
        <v>2.8253775143089999</v>
      </c>
      <c r="AB61">
        <f t="shared" si="63"/>
        <v>4.3299489162010856</v>
      </c>
      <c r="AC61">
        <f t="shared" si="64"/>
        <v>1.4261726799618173</v>
      </c>
      <c r="AD61">
        <f t="shared" si="65"/>
        <v>-205.86906869024534</v>
      </c>
      <c r="AE61">
        <f t="shared" si="66"/>
        <v>50.165298961152615</v>
      </c>
      <c r="AF61">
        <f t="shared" si="67"/>
        <v>3.8214276520541928</v>
      </c>
      <c r="AG61">
        <f t="shared" si="68"/>
        <v>192.48645656748224</v>
      </c>
      <c r="AH61">
        <v>0</v>
      </c>
      <c r="AI61">
        <v>0</v>
      </c>
      <c r="AJ61">
        <f t="shared" si="69"/>
        <v>1</v>
      </c>
      <c r="AK61">
        <f t="shared" si="70"/>
        <v>0</v>
      </c>
      <c r="AL61">
        <f t="shared" si="71"/>
        <v>52093.120128210896</v>
      </c>
      <c r="AM61" t="s">
        <v>417</v>
      </c>
      <c r="AN61">
        <v>10366.9</v>
      </c>
      <c r="AO61">
        <v>993.59653846153856</v>
      </c>
      <c r="AP61">
        <v>3431.87</v>
      </c>
      <c r="AQ61">
        <f t="shared" si="72"/>
        <v>0.71047955241266758</v>
      </c>
      <c r="AR61">
        <v>-3.9894345373445681</v>
      </c>
      <c r="AS61" t="s">
        <v>647</v>
      </c>
      <c r="AT61">
        <v>10456.700000000001</v>
      </c>
      <c r="AU61">
        <v>722.92638461538468</v>
      </c>
      <c r="AV61">
        <v>910.51099673173792</v>
      </c>
      <c r="AW61">
        <f t="shared" si="73"/>
        <v>0.20602124827672008</v>
      </c>
      <c r="AX61">
        <v>0.5</v>
      </c>
      <c r="AY61">
        <f t="shared" si="74"/>
        <v>1513.1843993222601</v>
      </c>
      <c r="AZ61">
        <f t="shared" si="75"/>
        <v>22.494271674100318</v>
      </c>
      <c r="BA61">
        <f t="shared" si="76"/>
        <v>155.87406941061545</v>
      </c>
      <c r="BB61">
        <f t="shared" si="77"/>
        <v>1.7501968843524073E-2</v>
      </c>
      <c r="BC61">
        <f t="shared" si="78"/>
        <v>2.7691691943519987</v>
      </c>
      <c r="BD61">
        <f t="shared" si="79"/>
        <v>551.46771675761283</v>
      </c>
      <c r="BE61" t="s">
        <v>648</v>
      </c>
      <c r="BF61">
        <v>573.91</v>
      </c>
      <c r="BG61">
        <f t="shared" si="80"/>
        <v>573.91</v>
      </c>
      <c r="BH61">
        <f t="shared" si="81"/>
        <v>0.36968361495902946</v>
      </c>
      <c r="BI61">
        <f t="shared" si="82"/>
        <v>0.55729072087642451</v>
      </c>
      <c r="BJ61">
        <f t="shared" si="83"/>
        <v>0.88222333527000441</v>
      </c>
      <c r="BK61">
        <f t="shared" si="84"/>
        <v>-2.2577286999751425</v>
      </c>
      <c r="BL61">
        <f t="shared" si="85"/>
        <v>1.0340755633198651</v>
      </c>
      <c r="BM61">
        <f t="shared" si="86"/>
        <v>0.44241671686716627</v>
      </c>
      <c r="BN61">
        <f t="shared" si="87"/>
        <v>0.55758328313283378</v>
      </c>
      <c r="BO61">
        <v>7832</v>
      </c>
      <c r="BP61">
        <v>290.00000000000011</v>
      </c>
      <c r="BQ61">
        <v>862.63</v>
      </c>
      <c r="BR61">
        <v>255</v>
      </c>
      <c r="BS61">
        <v>10456.700000000001</v>
      </c>
      <c r="BT61">
        <v>862.12</v>
      </c>
      <c r="BU61">
        <v>0.51</v>
      </c>
      <c r="BV61">
        <v>300.00000000000011</v>
      </c>
      <c r="BW61">
        <v>38.200000000000003</v>
      </c>
      <c r="BX61">
        <v>910.51099673173792</v>
      </c>
      <c r="BY61">
        <v>1.0312057913052839</v>
      </c>
      <c r="BZ61">
        <v>-50.604563020842697</v>
      </c>
      <c r="CA61">
        <v>0.88358600723804603</v>
      </c>
      <c r="CB61">
        <v>0.99153582289687825</v>
      </c>
      <c r="CC61">
        <v>-1.136571301446051E-2</v>
      </c>
      <c r="CD61">
        <v>289.99999999999989</v>
      </c>
      <c r="CE61">
        <v>858.27</v>
      </c>
      <c r="CF61">
        <v>655</v>
      </c>
      <c r="CG61">
        <v>10445.1</v>
      </c>
      <c r="CH61">
        <v>862.06</v>
      </c>
      <c r="CI61">
        <v>-3.79</v>
      </c>
      <c r="CW61">
        <f t="shared" si="88"/>
        <v>1800</v>
      </c>
      <c r="CX61">
        <f t="shared" si="89"/>
        <v>1513.1843993222601</v>
      </c>
      <c r="CY61">
        <f t="shared" si="90"/>
        <v>0.84065799962347787</v>
      </c>
      <c r="CZ61">
        <f t="shared" si="91"/>
        <v>0.191315999246956</v>
      </c>
      <c r="DA61">
        <v>6</v>
      </c>
      <c r="DB61">
        <v>0.5</v>
      </c>
      <c r="DC61" t="s">
        <v>420</v>
      </c>
      <c r="DD61">
        <v>2</v>
      </c>
      <c r="DE61">
        <v>1693506227.0999999</v>
      </c>
      <c r="DF61">
        <v>172.04300000000001</v>
      </c>
      <c r="DG61">
        <v>200.00800000000001</v>
      </c>
      <c r="DH61">
        <v>28.340199999999999</v>
      </c>
      <c r="DI61">
        <v>22.895499999999998</v>
      </c>
      <c r="DJ61">
        <v>172.61799999999999</v>
      </c>
      <c r="DK61">
        <v>28.1189</v>
      </c>
      <c r="DL61">
        <v>499.85500000000002</v>
      </c>
      <c r="DM61">
        <v>99.594999999999999</v>
      </c>
      <c r="DN61">
        <v>0.100045</v>
      </c>
      <c r="DO61">
        <v>30.282</v>
      </c>
      <c r="DP61">
        <v>29.9636</v>
      </c>
      <c r="DQ61">
        <v>999.9</v>
      </c>
      <c r="DR61">
        <v>0</v>
      </c>
      <c r="DS61">
        <v>0</v>
      </c>
      <c r="DT61">
        <v>10000</v>
      </c>
      <c r="DU61">
        <v>0</v>
      </c>
      <c r="DV61">
        <v>1605.43</v>
      </c>
      <c r="DW61">
        <v>-27.964500000000001</v>
      </c>
      <c r="DX61">
        <v>177.06100000000001</v>
      </c>
      <c r="DY61">
        <v>204.69399999999999</v>
      </c>
      <c r="DZ61">
        <v>5.4446700000000003</v>
      </c>
      <c r="EA61">
        <v>200.00800000000001</v>
      </c>
      <c r="EB61">
        <v>22.895499999999998</v>
      </c>
      <c r="EC61">
        <v>2.82254</v>
      </c>
      <c r="ED61">
        <v>2.2802799999999999</v>
      </c>
      <c r="EE61">
        <v>23.016500000000001</v>
      </c>
      <c r="EF61">
        <v>19.537800000000001</v>
      </c>
      <c r="EG61">
        <v>1800</v>
      </c>
      <c r="EH61">
        <v>0.97800799999999999</v>
      </c>
      <c r="EI61">
        <v>2.1992100000000001E-2</v>
      </c>
      <c r="EJ61">
        <v>0</v>
      </c>
      <c r="EK61">
        <v>722.49699999999996</v>
      </c>
      <c r="EL61">
        <v>5.0010300000000001</v>
      </c>
      <c r="EM61">
        <v>14161</v>
      </c>
      <c r="EN61">
        <v>14701.1</v>
      </c>
      <c r="EO61">
        <v>48.311999999999998</v>
      </c>
      <c r="EP61">
        <v>49.936999999999998</v>
      </c>
      <c r="EQ61">
        <v>50</v>
      </c>
      <c r="ER61">
        <v>48.25</v>
      </c>
      <c r="ES61">
        <v>49.75</v>
      </c>
      <c r="ET61">
        <v>1755.52</v>
      </c>
      <c r="EU61">
        <v>39.479999999999997</v>
      </c>
      <c r="EV61">
        <v>0</v>
      </c>
      <c r="EW61">
        <v>120.5999999046326</v>
      </c>
      <c r="EX61">
        <v>0</v>
      </c>
      <c r="EY61">
        <v>722.92638461538468</v>
      </c>
      <c r="EZ61">
        <v>-2.6207179516436399</v>
      </c>
      <c r="FA61">
        <v>1.8700854965365299</v>
      </c>
      <c r="FB61">
        <v>14169.788461538459</v>
      </c>
      <c r="FC61">
        <v>15</v>
      </c>
      <c r="FD61">
        <v>1693506197.5999999</v>
      </c>
      <c r="FE61" t="s">
        <v>649</v>
      </c>
      <c r="FF61">
        <v>1693506190.5999999</v>
      </c>
      <c r="FG61">
        <v>1693506197.5999999</v>
      </c>
      <c r="FH61">
        <v>51</v>
      </c>
      <c r="FI61">
        <v>-8.9999999999999993E-3</v>
      </c>
      <c r="FJ61">
        <v>-4.0000000000000001E-3</v>
      </c>
      <c r="FK61">
        <v>-0.53500000000000003</v>
      </c>
      <c r="FL61">
        <v>9.6000000000000002E-2</v>
      </c>
      <c r="FM61">
        <v>200</v>
      </c>
      <c r="FN61">
        <v>23</v>
      </c>
      <c r="FO61">
        <v>0.19</v>
      </c>
      <c r="FP61">
        <v>0.05</v>
      </c>
      <c r="FQ61">
        <v>22.372434508767849</v>
      </c>
      <c r="FR61">
        <v>0.46051309476900559</v>
      </c>
      <c r="FS61">
        <v>6.2288045911589353E-2</v>
      </c>
      <c r="FT61">
        <v>1</v>
      </c>
      <c r="FU61">
        <v>0.33495050663103648</v>
      </c>
      <c r="FV61">
        <v>4.7887406520615017E-2</v>
      </c>
      <c r="FW61">
        <v>4.6895979780829048E-3</v>
      </c>
      <c r="FX61">
        <v>1</v>
      </c>
      <c r="FY61">
        <v>2</v>
      </c>
      <c r="FZ61">
        <v>2</v>
      </c>
      <c r="GA61" t="s">
        <v>422</v>
      </c>
      <c r="GB61">
        <v>2.9026900000000002</v>
      </c>
      <c r="GC61">
        <v>2.8180499999999999</v>
      </c>
      <c r="GD61">
        <v>4.5115099999999998E-2</v>
      </c>
      <c r="GE61">
        <v>5.1482699999999999E-2</v>
      </c>
      <c r="GF61">
        <v>0.13444700000000001</v>
      </c>
      <c r="GG61">
        <v>0.115846</v>
      </c>
      <c r="GH61">
        <v>26561.9</v>
      </c>
      <c r="GI61">
        <v>26412.400000000001</v>
      </c>
      <c r="GJ61">
        <v>24678.2</v>
      </c>
      <c r="GK61">
        <v>24863.7</v>
      </c>
      <c r="GL61">
        <v>28359.8</v>
      </c>
      <c r="GM61">
        <v>28722.5</v>
      </c>
      <c r="GN61">
        <v>33365</v>
      </c>
      <c r="GO61">
        <v>33185.4</v>
      </c>
      <c r="GP61">
        <v>1.9771000000000001</v>
      </c>
      <c r="GQ61">
        <v>1.9213</v>
      </c>
      <c r="GR61">
        <v>7.6949600000000007E-2</v>
      </c>
      <c r="GS61">
        <v>0</v>
      </c>
      <c r="GT61">
        <v>28.71</v>
      </c>
      <c r="GU61">
        <v>999.9</v>
      </c>
      <c r="GV61">
        <v>63.4</v>
      </c>
      <c r="GW61">
        <v>29.7</v>
      </c>
      <c r="GX61">
        <v>26.656600000000001</v>
      </c>
      <c r="GY61">
        <v>61.926699999999997</v>
      </c>
      <c r="GZ61">
        <v>24.350999999999999</v>
      </c>
      <c r="HA61">
        <v>1</v>
      </c>
      <c r="HB61">
        <v>0.34012199999999998</v>
      </c>
      <c r="HC61">
        <v>0.74297400000000002</v>
      </c>
      <c r="HD61">
        <v>20.215</v>
      </c>
      <c r="HE61">
        <v>5.2340600000000004</v>
      </c>
      <c r="HF61">
        <v>11.9201</v>
      </c>
      <c r="HG61">
        <v>4.9614000000000003</v>
      </c>
      <c r="HH61">
        <v>3.2890000000000001</v>
      </c>
      <c r="HI61">
        <v>9999</v>
      </c>
      <c r="HJ61">
        <v>9999</v>
      </c>
      <c r="HK61">
        <v>9999</v>
      </c>
      <c r="HL61">
        <v>894.4</v>
      </c>
      <c r="HM61">
        <v>1.8803399999999999</v>
      </c>
      <c r="HN61">
        <v>1.87744</v>
      </c>
      <c r="HO61">
        <v>1.8853800000000001</v>
      </c>
      <c r="HP61">
        <v>1.88324</v>
      </c>
      <c r="HQ61">
        <v>1.8806499999999999</v>
      </c>
      <c r="HR61">
        <v>1.8797299999999999</v>
      </c>
      <c r="HS61">
        <v>1.88083</v>
      </c>
      <c r="HT61">
        <v>1.8802300000000001</v>
      </c>
      <c r="HU61">
        <v>5</v>
      </c>
      <c r="HV61">
        <v>0</v>
      </c>
      <c r="HW61">
        <v>0</v>
      </c>
      <c r="HX61">
        <v>0</v>
      </c>
      <c r="HY61" t="s">
        <v>423</v>
      </c>
      <c r="HZ61" t="s">
        <v>424</v>
      </c>
      <c r="IA61" t="s">
        <v>425</v>
      </c>
      <c r="IB61" t="s">
        <v>425</v>
      </c>
      <c r="IC61" t="s">
        <v>425</v>
      </c>
      <c r="ID61" t="s">
        <v>425</v>
      </c>
      <c r="IE61">
        <v>0</v>
      </c>
      <c r="IF61">
        <v>100</v>
      </c>
      <c r="IG61">
        <v>100</v>
      </c>
      <c r="IH61">
        <v>-0.57499999999999996</v>
      </c>
      <c r="II61">
        <v>0.2213</v>
      </c>
      <c r="IJ61">
        <v>-0.8931737589167914</v>
      </c>
      <c r="IK61">
        <v>2.2153513873161218E-3</v>
      </c>
      <c r="IL61">
        <v>-2.2967369670569612E-6</v>
      </c>
      <c r="IM61">
        <v>7.7859689150384122E-10</v>
      </c>
      <c r="IN61">
        <v>-0.16049677881436891</v>
      </c>
      <c r="IO61">
        <v>-4.1434251034592161E-3</v>
      </c>
      <c r="IP61">
        <v>8.3987709687394815E-4</v>
      </c>
      <c r="IQ61">
        <v>-7.4586254598011197E-6</v>
      </c>
      <c r="IR61">
        <v>2</v>
      </c>
      <c r="IS61">
        <v>1930</v>
      </c>
      <c r="IT61">
        <v>2</v>
      </c>
      <c r="IU61">
        <v>41</v>
      </c>
      <c r="IV61">
        <v>0.6</v>
      </c>
      <c r="IW61">
        <v>0.5</v>
      </c>
      <c r="IX61">
        <v>0.58837899999999999</v>
      </c>
      <c r="IY61">
        <v>2.4865699999999999</v>
      </c>
      <c r="IZ61">
        <v>1.24512</v>
      </c>
      <c r="JA61">
        <v>2.2717299999999998</v>
      </c>
      <c r="JB61">
        <v>1.4501999999999999</v>
      </c>
      <c r="JC61">
        <v>2.4694799999999999</v>
      </c>
      <c r="JD61">
        <v>32.775799999999997</v>
      </c>
      <c r="JE61">
        <v>16.005800000000001</v>
      </c>
      <c r="JF61">
        <v>18</v>
      </c>
      <c r="JG61">
        <v>497.41699999999997</v>
      </c>
      <c r="JH61">
        <v>511.97399999999999</v>
      </c>
      <c r="JI61">
        <v>27.446400000000001</v>
      </c>
      <c r="JJ61">
        <v>31.743500000000001</v>
      </c>
      <c r="JK61">
        <v>30.000499999999999</v>
      </c>
      <c r="JL61">
        <v>31.599</v>
      </c>
      <c r="JM61">
        <v>31.5563</v>
      </c>
      <c r="JN61">
        <v>11.866099999999999</v>
      </c>
      <c r="JO61">
        <v>23.5199</v>
      </c>
      <c r="JP61">
        <v>100</v>
      </c>
      <c r="JQ61">
        <v>27.470199999999998</v>
      </c>
      <c r="JR61">
        <v>200</v>
      </c>
      <c r="JS61">
        <v>22.9054</v>
      </c>
      <c r="JT61">
        <v>99.591899999999995</v>
      </c>
      <c r="JU61">
        <v>99.0732</v>
      </c>
    </row>
    <row r="62" spans="1:281" x14ac:dyDescent="0.25">
      <c r="A62">
        <v>46</v>
      </c>
      <c r="B62">
        <v>1693506326.5999999</v>
      </c>
      <c r="C62">
        <v>10677</v>
      </c>
      <c r="D62" t="s">
        <v>650</v>
      </c>
      <c r="E62" t="s">
        <v>651</v>
      </c>
      <c r="F62" t="s">
        <v>413</v>
      </c>
      <c r="G62" t="s">
        <v>494</v>
      </c>
      <c r="H62" t="s">
        <v>636</v>
      </c>
      <c r="I62" t="s">
        <v>31</v>
      </c>
      <c r="J62">
        <v>1693506326.5999999</v>
      </c>
      <c r="K62">
        <f t="shared" si="46"/>
        <v>4.8577087264215293E-3</v>
      </c>
      <c r="L62">
        <f t="shared" si="47"/>
        <v>4.8577087264215297</v>
      </c>
      <c r="M62">
        <f t="shared" si="48"/>
        <v>14.072805700315772</v>
      </c>
      <c r="N62">
        <f t="shared" si="49"/>
        <v>102.545</v>
      </c>
      <c r="O62">
        <f t="shared" si="50"/>
        <v>32.646110931617301</v>
      </c>
      <c r="P62">
        <f t="shared" si="51"/>
        <v>3.2544889705907161</v>
      </c>
      <c r="Q62">
        <f t="shared" si="52"/>
        <v>10.22270530748</v>
      </c>
      <c r="R62">
        <f t="shared" si="53"/>
        <v>0.34828090316978594</v>
      </c>
      <c r="S62">
        <f t="shared" si="54"/>
        <v>2.9179550430878036</v>
      </c>
      <c r="T62">
        <f t="shared" si="55"/>
        <v>0.32672493534592062</v>
      </c>
      <c r="U62">
        <f t="shared" si="56"/>
        <v>0.20602852794814172</v>
      </c>
      <c r="V62">
        <f t="shared" si="57"/>
        <v>344.36879864452078</v>
      </c>
      <c r="W62">
        <f t="shared" si="58"/>
        <v>31.192887550285029</v>
      </c>
      <c r="X62">
        <f t="shared" si="59"/>
        <v>30.072500000000002</v>
      </c>
      <c r="Y62">
        <f t="shared" si="60"/>
        <v>4.2782239639003077</v>
      </c>
      <c r="Z62">
        <f t="shared" si="61"/>
        <v>65.263609345798784</v>
      </c>
      <c r="AA62">
        <f t="shared" si="62"/>
        <v>2.8490289405816003</v>
      </c>
      <c r="AB62">
        <f t="shared" si="63"/>
        <v>4.3654173729283645</v>
      </c>
      <c r="AC62">
        <f t="shared" si="64"/>
        <v>1.4291950233187074</v>
      </c>
      <c r="AD62">
        <f t="shared" si="65"/>
        <v>-214.22495483518944</v>
      </c>
      <c r="AE62">
        <f t="shared" si="66"/>
        <v>55.358371604369523</v>
      </c>
      <c r="AF62">
        <f t="shared" si="67"/>
        <v>4.228748272617997</v>
      </c>
      <c r="AG62">
        <f t="shared" si="68"/>
        <v>189.73096368631889</v>
      </c>
      <c r="AH62">
        <v>0</v>
      </c>
      <c r="AI62">
        <v>0</v>
      </c>
      <c r="AJ62">
        <f t="shared" si="69"/>
        <v>1</v>
      </c>
      <c r="AK62">
        <f t="shared" si="70"/>
        <v>0</v>
      </c>
      <c r="AL62">
        <f t="shared" si="71"/>
        <v>51940.907014924014</v>
      </c>
      <c r="AM62" t="s">
        <v>417</v>
      </c>
      <c r="AN62">
        <v>10366.9</v>
      </c>
      <c r="AO62">
        <v>993.59653846153856</v>
      </c>
      <c r="AP62">
        <v>3431.87</v>
      </c>
      <c r="AQ62">
        <f t="shared" si="72"/>
        <v>0.71047955241266758</v>
      </c>
      <c r="AR62">
        <v>-3.9894345373445681</v>
      </c>
      <c r="AS62" t="s">
        <v>652</v>
      </c>
      <c r="AT62">
        <v>10465.5</v>
      </c>
      <c r="AU62">
        <v>727.05203846153847</v>
      </c>
      <c r="AV62">
        <v>847.47557368539537</v>
      </c>
      <c r="AW62">
        <f t="shared" si="73"/>
        <v>0.14209676238829416</v>
      </c>
      <c r="AX62">
        <v>0.5</v>
      </c>
      <c r="AY62">
        <f t="shared" si="74"/>
        <v>1513.1843993222601</v>
      </c>
      <c r="AZ62">
        <f t="shared" si="75"/>
        <v>14.072805700315772</v>
      </c>
      <c r="BA62">
        <f t="shared" si="76"/>
        <v>107.50930202008441</v>
      </c>
      <c r="BB62">
        <f t="shared" si="77"/>
        <v>1.1936575770772045E-2</v>
      </c>
      <c r="BC62">
        <f t="shared" si="78"/>
        <v>3.0495208435045678</v>
      </c>
      <c r="BD62">
        <f t="shared" si="79"/>
        <v>527.69518103489258</v>
      </c>
      <c r="BE62" t="s">
        <v>653</v>
      </c>
      <c r="BF62">
        <v>574.15</v>
      </c>
      <c r="BG62">
        <f t="shared" si="80"/>
        <v>574.15</v>
      </c>
      <c r="BH62">
        <f t="shared" si="81"/>
        <v>0.32251734701543255</v>
      </c>
      <c r="BI62">
        <f t="shared" si="82"/>
        <v>0.44058641714392749</v>
      </c>
      <c r="BJ62">
        <f t="shared" si="83"/>
        <v>0.90435536942548767</v>
      </c>
      <c r="BK62">
        <f t="shared" si="84"/>
        <v>-0.824135916487722</v>
      </c>
      <c r="BL62">
        <f t="shared" si="85"/>
        <v>1.0599280462511969</v>
      </c>
      <c r="BM62">
        <f t="shared" si="86"/>
        <v>0.34792927881539509</v>
      </c>
      <c r="BN62">
        <f t="shared" si="87"/>
        <v>0.65207072118460485</v>
      </c>
      <c r="BO62">
        <v>7834</v>
      </c>
      <c r="BP62">
        <v>290.00000000000011</v>
      </c>
      <c r="BQ62">
        <v>818.59</v>
      </c>
      <c r="BR62">
        <v>185</v>
      </c>
      <c r="BS62">
        <v>10465.5</v>
      </c>
      <c r="BT62">
        <v>817.71</v>
      </c>
      <c r="BU62">
        <v>0.88</v>
      </c>
      <c r="BV62">
        <v>300.00000000000011</v>
      </c>
      <c r="BW62">
        <v>38.200000000000003</v>
      </c>
      <c r="BX62">
        <v>847.47557368539537</v>
      </c>
      <c r="BY62">
        <v>1.2525463683449329</v>
      </c>
      <c r="BZ62">
        <v>-31.155193068721509</v>
      </c>
      <c r="CA62">
        <v>1.0732177784904151</v>
      </c>
      <c r="CB62">
        <v>0.96784283933000492</v>
      </c>
      <c r="CC62">
        <v>-1.136579532814239E-2</v>
      </c>
      <c r="CD62">
        <v>289.99999999999989</v>
      </c>
      <c r="CE62">
        <v>815.15</v>
      </c>
      <c r="CF62">
        <v>655</v>
      </c>
      <c r="CG62">
        <v>10444.799999999999</v>
      </c>
      <c r="CH62">
        <v>817.65</v>
      </c>
      <c r="CI62">
        <v>-2.5</v>
      </c>
      <c r="CW62">
        <f t="shared" si="88"/>
        <v>1800</v>
      </c>
      <c r="CX62">
        <f t="shared" si="89"/>
        <v>1513.1843993222601</v>
      </c>
      <c r="CY62">
        <f t="shared" si="90"/>
        <v>0.84065799962347787</v>
      </c>
      <c r="CZ62">
        <f t="shared" si="91"/>
        <v>0.191315999246956</v>
      </c>
      <c r="DA62">
        <v>6</v>
      </c>
      <c r="DB62">
        <v>0.5</v>
      </c>
      <c r="DC62" t="s">
        <v>420</v>
      </c>
      <c r="DD62">
        <v>2</v>
      </c>
      <c r="DE62">
        <v>1693506326.5999999</v>
      </c>
      <c r="DF62">
        <v>102.545</v>
      </c>
      <c r="DG62">
        <v>120</v>
      </c>
      <c r="DH62">
        <v>28.578900000000001</v>
      </c>
      <c r="DI62">
        <v>22.925999999999998</v>
      </c>
      <c r="DJ62">
        <v>103.18899999999999</v>
      </c>
      <c r="DK62">
        <v>28.3566</v>
      </c>
      <c r="DL62">
        <v>500.863</v>
      </c>
      <c r="DM62">
        <v>99.589500000000001</v>
      </c>
      <c r="DN62">
        <v>0.10044400000000001</v>
      </c>
      <c r="DO62">
        <v>30.424399999999999</v>
      </c>
      <c r="DP62">
        <v>30.072500000000002</v>
      </c>
      <c r="DQ62">
        <v>999.9</v>
      </c>
      <c r="DR62">
        <v>0</v>
      </c>
      <c r="DS62">
        <v>0</v>
      </c>
      <c r="DT62">
        <v>9975</v>
      </c>
      <c r="DU62">
        <v>0</v>
      </c>
      <c r="DV62">
        <v>1597.38</v>
      </c>
      <c r="DW62">
        <v>-17.4544</v>
      </c>
      <c r="DX62">
        <v>105.562</v>
      </c>
      <c r="DY62">
        <v>122.815</v>
      </c>
      <c r="DZ62">
        <v>5.6529400000000001</v>
      </c>
      <c r="EA62">
        <v>120</v>
      </c>
      <c r="EB62">
        <v>22.925999999999998</v>
      </c>
      <c r="EC62">
        <v>2.8461599999999998</v>
      </c>
      <c r="ED62">
        <v>2.2831899999999998</v>
      </c>
      <c r="EE62">
        <v>23.154299999999999</v>
      </c>
      <c r="EF62">
        <v>19.558299999999999</v>
      </c>
      <c r="EG62">
        <v>1800</v>
      </c>
      <c r="EH62">
        <v>0.97800799999999999</v>
      </c>
      <c r="EI62">
        <v>2.1992100000000001E-2</v>
      </c>
      <c r="EJ62">
        <v>0</v>
      </c>
      <c r="EK62">
        <v>726.26700000000005</v>
      </c>
      <c r="EL62">
        <v>5.0010300000000001</v>
      </c>
      <c r="EM62">
        <v>14230.3</v>
      </c>
      <c r="EN62">
        <v>14701.1</v>
      </c>
      <c r="EO62">
        <v>48.25</v>
      </c>
      <c r="EP62">
        <v>49.875</v>
      </c>
      <c r="EQ62">
        <v>50</v>
      </c>
      <c r="ER62">
        <v>48.125</v>
      </c>
      <c r="ES62">
        <v>49.686999999999998</v>
      </c>
      <c r="ET62">
        <v>1755.52</v>
      </c>
      <c r="EU62">
        <v>39.479999999999997</v>
      </c>
      <c r="EV62">
        <v>0</v>
      </c>
      <c r="EW62">
        <v>97.399999856948853</v>
      </c>
      <c r="EX62">
        <v>0</v>
      </c>
      <c r="EY62">
        <v>727.05203846153847</v>
      </c>
      <c r="EZ62">
        <v>-5.208307694754768</v>
      </c>
      <c r="FA62">
        <v>-97.562393373202056</v>
      </c>
      <c r="FB62">
        <v>14242.20384615385</v>
      </c>
      <c r="FC62">
        <v>15</v>
      </c>
      <c r="FD62">
        <v>1693506296.5999999</v>
      </c>
      <c r="FE62" t="s">
        <v>654</v>
      </c>
      <c r="FF62">
        <v>1693506290.0999999</v>
      </c>
      <c r="FG62">
        <v>1693506296.5999999</v>
      </c>
      <c r="FH62">
        <v>52</v>
      </c>
      <c r="FI62">
        <v>4.3999999999999997E-2</v>
      </c>
      <c r="FJ62">
        <v>-5.0000000000000001E-3</v>
      </c>
      <c r="FK62">
        <v>-0.61399999999999999</v>
      </c>
      <c r="FL62">
        <v>8.7999999999999995E-2</v>
      </c>
      <c r="FM62">
        <v>120</v>
      </c>
      <c r="FN62">
        <v>23</v>
      </c>
      <c r="FO62">
        <v>0.26</v>
      </c>
      <c r="FP62">
        <v>0.06</v>
      </c>
      <c r="FQ62">
        <v>14.053875049209401</v>
      </c>
      <c r="FR62">
        <v>-0.13583813390988031</v>
      </c>
      <c r="FS62">
        <v>3.9654828361086462E-2</v>
      </c>
      <c r="FT62">
        <v>1</v>
      </c>
      <c r="FU62">
        <v>0.35111045223542758</v>
      </c>
      <c r="FV62">
        <v>1.4959827041855341E-2</v>
      </c>
      <c r="FW62">
        <v>4.1910601402339416E-3</v>
      </c>
      <c r="FX62">
        <v>1</v>
      </c>
      <c r="FY62">
        <v>2</v>
      </c>
      <c r="FZ62">
        <v>2</v>
      </c>
      <c r="GA62" t="s">
        <v>422</v>
      </c>
      <c r="GB62">
        <v>2.9051999999999998</v>
      </c>
      <c r="GC62">
        <v>2.8182399999999999</v>
      </c>
      <c r="GD62">
        <v>2.79241E-2</v>
      </c>
      <c r="GE62">
        <v>3.2266999999999997E-2</v>
      </c>
      <c r="GF62">
        <v>0.13520099999999999</v>
      </c>
      <c r="GG62">
        <v>0.11593199999999999</v>
      </c>
      <c r="GH62">
        <v>27038.799999999999</v>
      </c>
      <c r="GI62">
        <v>26946.799999999999</v>
      </c>
      <c r="GJ62">
        <v>24677.5</v>
      </c>
      <c r="GK62">
        <v>24863.9</v>
      </c>
      <c r="GL62">
        <v>28334.5</v>
      </c>
      <c r="GM62">
        <v>28719.4</v>
      </c>
      <c r="GN62">
        <v>33364.400000000001</v>
      </c>
      <c r="GO62">
        <v>33185</v>
      </c>
      <c r="GP62">
        <v>1.9772000000000001</v>
      </c>
      <c r="GQ62">
        <v>1.9208000000000001</v>
      </c>
      <c r="GR62">
        <v>8.3193199999999995E-2</v>
      </c>
      <c r="GS62">
        <v>0</v>
      </c>
      <c r="GT62">
        <v>28.717300000000002</v>
      </c>
      <c r="GU62">
        <v>999.9</v>
      </c>
      <c r="GV62">
        <v>63.7</v>
      </c>
      <c r="GW62">
        <v>29.7</v>
      </c>
      <c r="GX62">
        <v>26.7865</v>
      </c>
      <c r="GY62">
        <v>61.866700000000002</v>
      </c>
      <c r="GZ62">
        <v>23.217099999999999</v>
      </c>
      <c r="HA62">
        <v>1</v>
      </c>
      <c r="HB62">
        <v>0.344634</v>
      </c>
      <c r="HC62">
        <v>1.54766</v>
      </c>
      <c r="HD62">
        <v>20.208500000000001</v>
      </c>
      <c r="HE62">
        <v>5.2340600000000004</v>
      </c>
      <c r="HF62">
        <v>11.9201</v>
      </c>
      <c r="HG62">
        <v>4.9614000000000003</v>
      </c>
      <c r="HH62">
        <v>3.2890000000000001</v>
      </c>
      <c r="HI62">
        <v>9999</v>
      </c>
      <c r="HJ62">
        <v>9999</v>
      </c>
      <c r="HK62">
        <v>9999</v>
      </c>
      <c r="HL62">
        <v>894.4</v>
      </c>
      <c r="HM62">
        <v>1.8803399999999999</v>
      </c>
      <c r="HN62">
        <v>1.8774</v>
      </c>
      <c r="HO62">
        <v>1.8853599999999999</v>
      </c>
      <c r="HP62">
        <v>1.88323</v>
      </c>
      <c r="HQ62">
        <v>1.88063</v>
      </c>
      <c r="HR62">
        <v>1.8797299999999999</v>
      </c>
      <c r="HS62">
        <v>1.8808499999999999</v>
      </c>
      <c r="HT62">
        <v>1.8802000000000001</v>
      </c>
      <c r="HU62">
        <v>5</v>
      </c>
      <c r="HV62">
        <v>0</v>
      </c>
      <c r="HW62">
        <v>0</v>
      </c>
      <c r="HX62">
        <v>0</v>
      </c>
      <c r="HY62" t="s">
        <v>423</v>
      </c>
      <c r="HZ62" t="s">
        <v>424</v>
      </c>
      <c r="IA62" t="s">
        <v>425</v>
      </c>
      <c r="IB62" t="s">
        <v>425</v>
      </c>
      <c r="IC62" t="s">
        <v>425</v>
      </c>
      <c r="ID62" t="s">
        <v>425</v>
      </c>
      <c r="IE62">
        <v>0</v>
      </c>
      <c r="IF62">
        <v>100</v>
      </c>
      <c r="IG62">
        <v>100</v>
      </c>
      <c r="IH62">
        <v>-0.64400000000000002</v>
      </c>
      <c r="II62">
        <v>0.2223</v>
      </c>
      <c r="IJ62">
        <v>-0.84897415979438806</v>
      </c>
      <c r="IK62">
        <v>2.2153513873161218E-3</v>
      </c>
      <c r="IL62">
        <v>-2.2967369670569612E-6</v>
      </c>
      <c r="IM62">
        <v>7.7859689150384122E-10</v>
      </c>
      <c r="IN62">
        <v>-0.16550431800102869</v>
      </c>
      <c r="IO62">
        <v>-4.1434251034592161E-3</v>
      </c>
      <c r="IP62">
        <v>8.3987709687394815E-4</v>
      </c>
      <c r="IQ62">
        <v>-7.4586254598011197E-6</v>
      </c>
      <c r="IR62">
        <v>2</v>
      </c>
      <c r="IS62">
        <v>1930</v>
      </c>
      <c r="IT62">
        <v>2</v>
      </c>
      <c r="IU62">
        <v>41</v>
      </c>
      <c r="IV62">
        <v>0.6</v>
      </c>
      <c r="IW62">
        <v>0.5</v>
      </c>
      <c r="IX62">
        <v>0.41503899999999999</v>
      </c>
      <c r="IY62">
        <v>2.5097700000000001</v>
      </c>
      <c r="IZ62">
        <v>1.24512</v>
      </c>
      <c r="JA62">
        <v>2.2717299999999998</v>
      </c>
      <c r="JB62">
        <v>1.4501999999999999</v>
      </c>
      <c r="JC62">
        <v>2.2717299999999998</v>
      </c>
      <c r="JD62">
        <v>32.775799999999997</v>
      </c>
      <c r="JE62">
        <v>15.9795</v>
      </c>
      <c r="JF62">
        <v>18</v>
      </c>
      <c r="JG62">
        <v>497.88400000000001</v>
      </c>
      <c r="JH62">
        <v>512.08900000000006</v>
      </c>
      <c r="JI62">
        <v>27.084299999999999</v>
      </c>
      <c r="JJ62">
        <v>31.777000000000001</v>
      </c>
      <c r="JK62">
        <v>30.000499999999999</v>
      </c>
      <c r="JL62">
        <v>31.6465</v>
      </c>
      <c r="JM62">
        <v>31.609200000000001</v>
      </c>
      <c r="JN62">
        <v>8.3938199999999998</v>
      </c>
      <c r="JO62">
        <v>23.865400000000001</v>
      </c>
      <c r="JP62">
        <v>100</v>
      </c>
      <c r="JQ62">
        <v>27.061699999999998</v>
      </c>
      <c r="JR62">
        <v>120</v>
      </c>
      <c r="JS62">
        <v>22.863399999999999</v>
      </c>
      <c r="JT62">
        <v>99.589699999999993</v>
      </c>
      <c r="JU62">
        <v>99.072699999999998</v>
      </c>
    </row>
    <row r="63" spans="1:281" x14ac:dyDescent="0.25">
      <c r="A63">
        <v>47</v>
      </c>
      <c r="B63">
        <v>1693506459.5999999</v>
      </c>
      <c r="C63">
        <v>10810</v>
      </c>
      <c r="D63" t="s">
        <v>655</v>
      </c>
      <c r="E63" t="s">
        <v>656</v>
      </c>
      <c r="F63" t="s">
        <v>413</v>
      </c>
      <c r="G63" t="s">
        <v>494</v>
      </c>
      <c r="H63" t="s">
        <v>636</v>
      </c>
      <c r="I63" t="s">
        <v>31</v>
      </c>
      <c r="J63">
        <v>1693506459.5999999</v>
      </c>
      <c r="K63">
        <f t="shared" si="46"/>
        <v>5.194785495566465E-3</v>
      </c>
      <c r="L63">
        <f t="shared" si="47"/>
        <v>5.1947854955664647</v>
      </c>
      <c r="M63">
        <f t="shared" si="48"/>
        <v>8.6532917595759713</v>
      </c>
      <c r="N63">
        <f t="shared" si="49"/>
        <v>59.24</v>
      </c>
      <c r="O63">
        <f t="shared" si="50"/>
        <v>19.799568927957861</v>
      </c>
      <c r="P63">
        <f t="shared" si="51"/>
        <v>1.973796627175791</v>
      </c>
      <c r="Q63">
        <f t="shared" si="52"/>
        <v>5.9055685817880006</v>
      </c>
      <c r="R63">
        <f t="shared" si="53"/>
        <v>0.38151726459061219</v>
      </c>
      <c r="S63">
        <f t="shared" si="54"/>
        <v>2.9310780052909484</v>
      </c>
      <c r="T63">
        <f t="shared" si="55"/>
        <v>0.35592046041141212</v>
      </c>
      <c r="U63">
        <f t="shared" si="56"/>
        <v>0.22460678856466371</v>
      </c>
      <c r="V63">
        <f t="shared" si="57"/>
        <v>344.42759864371681</v>
      </c>
      <c r="W63">
        <f t="shared" si="58"/>
        <v>31.024961282591217</v>
      </c>
      <c r="X63">
        <f t="shared" si="59"/>
        <v>29.986999999999998</v>
      </c>
      <c r="Y63">
        <f t="shared" si="60"/>
        <v>4.2572694897055063</v>
      </c>
      <c r="Z63">
        <f t="shared" si="61"/>
        <v>65.673043169321105</v>
      </c>
      <c r="AA63">
        <f t="shared" si="62"/>
        <v>2.8541720619759601</v>
      </c>
      <c r="AB63">
        <f t="shared" si="63"/>
        <v>4.3460328990956141</v>
      </c>
      <c r="AC63">
        <f t="shared" si="64"/>
        <v>1.4030974277295463</v>
      </c>
      <c r="AD63">
        <f t="shared" si="65"/>
        <v>-229.09004035448112</v>
      </c>
      <c r="AE63">
        <f t="shared" si="66"/>
        <v>56.839893788422074</v>
      </c>
      <c r="AF63">
        <f t="shared" si="67"/>
        <v>4.3189917628308079</v>
      </c>
      <c r="AG63">
        <f t="shared" si="68"/>
        <v>176.49644384048858</v>
      </c>
      <c r="AH63">
        <v>0</v>
      </c>
      <c r="AI63">
        <v>0</v>
      </c>
      <c r="AJ63">
        <f t="shared" si="69"/>
        <v>1</v>
      </c>
      <c r="AK63">
        <f t="shared" si="70"/>
        <v>0</v>
      </c>
      <c r="AL63">
        <f t="shared" si="71"/>
        <v>52328.545990295854</v>
      </c>
      <c r="AM63" t="s">
        <v>417</v>
      </c>
      <c r="AN63">
        <v>10366.9</v>
      </c>
      <c r="AO63">
        <v>993.59653846153856</v>
      </c>
      <c r="AP63">
        <v>3431.87</v>
      </c>
      <c r="AQ63">
        <f t="shared" si="72"/>
        <v>0.71047955241266758</v>
      </c>
      <c r="AR63">
        <v>-3.9894345373445681</v>
      </c>
      <c r="AS63" t="s">
        <v>657</v>
      </c>
      <c r="AT63">
        <v>10476.799999999999</v>
      </c>
      <c r="AU63">
        <v>732.0427692307693</v>
      </c>
      <c r="AV63">
        <v>809.86855569478882</v>
      </c>
      <c r="AW63">
        <f t="shared" si="73"/>
        <v>9.6096812151513333E-2</v>
      </c>
      <c r="AX63">
        <v>0.5</v>
      </c>
      <c r="AY63">
        <f t="shared" si="74"/>
        <v>1513.4372993218583</v>
      </c>
      <c r="AZ63">
        <f t="shared" si="75"/>
        <v>8.6532917595759713</v>
      </c>
      <c r="BA63">
        <f t="shared" si="76"/>
        <v>72.718249928013137</v>
      </c>
      <c r="BB63">
        <f t="shared" si="77"/>
        <v>8.3536505295498525E-3</v>
      </c>
      <c r="BC63">
        <f t="shared" si="78"/>
        <v>3.2375642020769502</v>
      </c>
      <c r="BD63">
        <f t="shared" si="79"/>
        <v>512.86609819749879</v>
      </c>
      <c r="BE63" t="s">
        <v>658</v>
      </c>
      <c r="BF63">
        <v>580.65</v>
      </c>
      <c r="BG63">
        <f t="shared" si="80"/>
        <v>580.65</v>
      </c>
      <c r="BH63">
        <f t="shared" si="81"/>
        <v>0.28303180075702716</v>
      </c>
      <c r="BI63">
        <f t="shared" si="82"/>
        <v>0.33952655459380354</v>
      </c>
      <c r="BJ63">
        <f t="shared" si="83"/>
        <v>0.91960685050792679</v>
      </c>
      <c r="BK63">
        <f t="shared" si="84"/>
        <v>-0.42359245060031264</v>
      </c>
      <c r="BL63">
        <f t="shared" si="85"/>
        <v>1.075351672265187</v>
      </c>
      <c r="BM63">
        <f t="shared" si="86"/>
        <v>0.26930952973151173</v>
      </c>
      <c r="BN63">
        <f t="shared" si="87"/>
        <v>0.73069047026848821</v>
      </c>
      <c r="BO63">
        <v>7836</v>
      </c>
      <c r="BP63">
        <v>290.00000000000011</v>
      </c>
      <c r="BQ63">
        <v>791.18</v>
      </c>
      <c r="BR63">
        <v>115</v>
      </c>
      <c r="BS63">
        <v>10476.799999999999</v>
      </c>
      <c r="BT63">
        <v>789.61</v>
      </c>
      <c r="BU63">
        <v>1.57</v>
      </c>
      <c r="BV63">
        <v>300.00000000000011</v>
      </c>
      <c r="BW63">
        <v>38.200000000000003</v>
      </c>
      <c r="BX63">
        <v>809.86855569478882</v>
      </c>
      <c r="BY63">
        <v>1.003132150770683</v>
      </c>
      <c r="BZ63">
        <v>-21.220533550437619</v>
      </c>
      <c r="CA63">
        <v>0.85947513980174806</v>
      </c>
      <c r="CB63">
        <v>0.95608541677277648</v>
      </c>
      <c r="CC63">
        <v>-1.136524137931035E-2</v>
      </c>
      <c r="CD63">
        <v>289.99999999999989</v>
      </c>
      <c r="CE63">
        <v>786.82</v>
      </c>
      <c r="CF63">
        <v>665</v>
      </c>
      <c r="CG63">
        <v>10443.5</v>
      </c>
      <c r="CH63">
        <v>789.55</v>
      </c>
      <c r="CI63">
        <v>-2.73</v>
      </c>
      <c r="CW63">
        <f t="shared" si="88"/>
        <v>1800.3</v>
      </c>
      <c r="CX63">
        <f t="shared" si="89"/>
        <v>1513.4372993218583</v>
      </c>
      <c r="CY63">
        <f t="shared" si="90"/>
        <v>0.84065838989160602</v>
      </c>
      <c r="CZ63">
        <f t="shared" si="91"/>
        <v>0.19131677978321215</v>
      </c>
      <c r="DA63">
        <v>6</v>
      </c>
      <c r="DB63">
        <v>0.5</v>
      </c>
      <c r="DC63" t="s">
        <v>420</v>
      </c>
      <c r="DD63">
        <v>2</v>
      </c>
      <c r="DE63">
        <v>1693506459.5999999</v>
      </c>
      <c r="DF63">
        <v>59.24</v>
      </c>
      <c r="DG63">
        <v>69.981399999999994</v>
      </c>
      <c r="DH63">
        <v>28.630800000000001</v>
      </c>
      <c r="DI63">
        <v>22.5822</v>
      </c>
      <c r="DJ63">
        <v>59.834000000000003</v>
      </c>
      <c r="DK63">
        <v>28.406500000000001</v>
      </c>
      <c r="DL63">
        <v>500.55099999999999</v>
      </c>
      <c r="DM63">
        <v>99.589200000000005</v>
      </c>
      <c r="DN63">
        <v>9.9668699999999999E-2</v>
      </c>
      <c r="DO63">
        <v>30.346699999999998</v>
      </c>
      <c r="DP63">
        <v>29.986999999999998</v>
      </c>
      <c r="DQ63">
        <v>999.9</v>
      </c>
      <c r="DR63">
        <v>0</v>
      </c>
      <c r="DS63">
        <v>0</v>
      </c>
      <c r="DT63">
        <v>10050</v>
      </c>
      <c r="DU63">
        <v>0</v>
      </c>
      <c r="DV63">
        <v>1589.98</v>
      </c>
      <c r="DW63">
        <v>-10.741400000000001</v>
      </c>
      <c r="DX63">
        <v>60.9861</v>
      </c>
      <c r="DY63">
        <v>71.598299999999995</v>
      </c>
      <c r="DZ63">
        <v>6.04861</v>
      </c>
      <c r="EA63">
        <v>69.981399999999994</v>
      </c>
      <c r="EB63">
        <v>22.5822</v>
      </c>
      <c r="EC63">
        <v>2.8513199999999999</v>
      </c>
      <c r="ED63">
        <v>2.2489499999999998</v>
      </c>
      <c r="EE63">
        <v>23.1843</v>
      </c>
      <c r="EF63">
        <v>19.315300000000001</v>
      </c>
      <c r="EG63">
        <v>1800.3</v>
      </c>
      <c r="EH63">
        <v>0.97799199999999997</v>
      </c>
      <c r="EI63">
        <v>2.2007599999999999E-2</v>
      </c>
      <c r="EJ63">
        <v>0</v>
      </c>
      <c r="EK63">
        <v>731.65300000000002</v>
      </c>
      <c r="EL63">
        <v>5.0010300000000001</v>
      </c>
      <c r="EM63">
        <v>14322.8</v>
      </c>
      <c r="EN63">
        <v>14703.5</v>
      </c>
      <c r="EO63">
        <v>48.375</v>
      </c>
      <c r="EP63">
        <v>50</v>
      </c>
      <c r="EQ63">
        <v>49.936999999999998</v>
      </c>
      <c r="ER63">
        <v>48.311999999999998</v>
      </c>
      <c r="ES63">
        <v>49.875</v>
      </c>
      <c r="ET63">
        <v>1755.79</v>
      </c>
      <c r="EU63">
        <v>39.51</v>
      </c>
      <c r="EV63">
        <v>0</v>
      </c>
      <c r="EW63">
        <v>131</v>
      </c>
      <c r="EX63">
        <v>0</v>
      </c>
      <c r="EY63">
        <v>732.0427692307693</v>
      </c>
      <c r="EZ63">
        <v>-1.082940168606463</v>
      </c>
      <c r="FA63">
        <v>-41.603418747733294</v>
      </c>
      <c r="FB63">
        <v>14327.126923076919</v>
      </c>
      <c r="FC63">
        <v>15</v>
      </c>
      <c r="FD63">
        <v>1693506429.5999999</v>
      </c>
      <c r="FE63" t="s">
        <v>659</v>
      </c>
      <c r="FF63">
        <v>1693506419.5999999</v>
      </c>
      <c r="FG63">
        <v>1693506429.5999999</v>
      </c>
      <c r="FH63">
        <v>53</v>
      </c>
      <c r="FI63">
        <v>0.13</v>
      </c>
      <c r="FJ63">
        <v>1E-3</v>
      </c>
      <c r="FK63">
        <v>-0.57299999999999995</v>
      </c>
      <c r="FL63">
        <v>8.2000000000000003E-2</v>
      </c>
      <c r="FM63">
        <v>70</v>
      </c>
      <c r="FN63">
        <v>23</v>
      </c>
      <c r="FO63">
        <v>0.55000000000000004</v>
      </c>
      <c r="FP63">
        <v>0.04</v>
      </c>
      <c r="FQ63">
        <v>8.6242906252044698</v>
      </c>
      <c r="FR63">
        <v>-4.9281221681473752E-2</v>
      </c>
      <c r="FS63">
        <v>4.0823448180659187E-2</v>
      </c>
      <c r="FT63">
        <v>1</v>
      </c>
      <c r="FU63">
        <v>0.38445831465648872</v>
      </c>
      <c r="FV63">
        <v>1.7785279058166611E-2</v>
      </c>
      <c r="FW63">
        <v>2.5609221572488088E-3</v>
      </c>
      <c r="FX63">
        <v>1</v>
      </c>
      <c r="FY63">
        <v>2</v>
      </c>
      <c r="FZ63">
        <v>2</v>
      </c>
      <c r="GA63" t="s">
        <v>422</v>
      </c>
      <c r="GB63">
        <v>2.9043199999999998</v>
      </c>
      <c r="GC63">
        <v>2.81812</v>
      </c>
      <c r="GD63">
        <v>1.6442999999999999E-2</v>
      </c>
      <c r="GE63">
        <v>1.9209500000000001E-2</v>
      </c>
      <c r="GF63">
        <v>0.13534499999999999</v>
      </c>
      <c r="GG63">
        <v>0.11471199999999999</v>
      </c>
      <c r="GH63">
        <v>27356</v>
      </c>
      <c r="GI63">
        <v>27309.7</v>
      </c>
      <c r="GJ63">
        <v>24676.1</v>
      </c>
      <c r="GK63">
        <v>24863.9</v>
      </c>
      <c r="GL63">
        <v>28328.1</v>
      </c>
      <c r="GM63">
        <v>28759.7</v>
      </c>
      <c r="GN63">
        <v>33362.1</v>
      </c>
      <c r="GO63">
        <v>33185.199999999997</v>
      </c>
      <c r="GP63">
        <v>1.9762999999999999</v>
      </c>
      <c r="GQ63">
        <v>1.9195</v>
      </c>
      <c r="GR63">
        <v>7.0661299999999996E-2</v>
      </c>
      <c r="GS63">
        <v>0</v>
      </c>
      <c r="GT63">
        <v>28.835999999999999</v>
      </c>
      <c r="GU63">
        <v>999.9</v>
      </c>
      <c r="GV63">
        <v>64</v>
      </c>
      <c r="GW63">
        <v>29.6</v>
      </c>
      <c r="GX63">
        <v>26.754899999999999</v>
      </c>
      <c r="GY63">
        <v>61.706699999999998</v>
      </c>
      <c r="GZ63">
        <v>23.842099999999999</v>
      </c>
      <c r="HA63">
        <v>1</v>
      </c>
      <c r="HB63">
        <v>0.34618900000000002</v>
      </c>
      <c r="HC63">
        <v>1.0386599999999999</v>
      </c>
      <c r="HD63">
        <v>20.213200000000001</v>
      </c>
      <c r="HE63">
        <v>5.2346599999999999</v>
      </c>
      <c r="HF63">
        <v>11.9201</v>
      </c>
      <c r="HG63">
        <v>4.9614000000000003</v>
      </c>
      <c r="HH63">
        <v>3.2890000000000001</v>
      </c>
      <c r="HI63">
        <v>9999</v>
      </c>
      <c r="HJ63">
        <v>9999</v>
      </c>
      <c r="HK63">
        <v>9999</v>
      </c>
      <c r="HL63">
        <v>894.4</v>
      </c>
      <c r="HM63">
        <v>1.8803399999999999</v>
      </c>
      <c r="HN63">
        <v>1.8773599999999999</v>
      </c>
      <c r="HO63">
        <v>1.8853599999999999</v>
      </c>
      <c r="HP63">
        <v>1.88324</v>
      </c>
      <c r="HQ63">
        <v>1.8806499999999999</v>
      </c>
      <c r="HR63">
        <v>1.8797299999999999</v>
      </c>
      <c r="HS63">
        <v>1.8808499999999999</v>
      </c>
      <c r="HT63">
        <v>1.8802300000000001</v>
      </c>
      <c r="HU63">
        <v>5</v>
      </c>
      <c r="HV63">
        <v>0</v>
      </c>
      <c r="HW63">
        <v>0</v>
      </c>
      <c r="HX63">
        <v>0</v>
      </c>
      <c r="HY63" t="s">
        <v>423</v>
      </c>
      <c r="HZ63" t="s">
        <v>424</v>
      </c>
      <c r="IA63" t="s">
        <v>425</v>
      </c>
      <c r="IB63" t="s">
        <v>425</v>
      </c>
      <c r="IC63" t="s">
        <v>425</v>
      </c>
      <c r="ID63" t="s">
        <v>425</v>
      </c>
      <c r="IE63">
        <v>0</v>
      </c>
      <c r="IF63">
        <v>100</v>
      </c>
      <c r="IG63">
        <v>100</v>
      </c>
      <c r="IH63">
        <v>-0.59399999999999997</v>
      </c>
      <c r="II63">
        <v>0.2243</v>
      </c>
      <c r="IJ63">
        <v>-0.71851938411078287</v>
      </c>
      <c r="IK63">
        <v>2.2153513873161218E-3</v>
      </c>
      <c r="IL63">
        <v>-2.2967369670569612E-6</v>
      </c>
      <c r="IM63">
        <v>7.7859689150384122E-10</v>
      </c>
      <c r="IN63">
        <v>-0.16476359678384581</v>
      </c>
      <c r="IO63">
        <v>-4.1434251034592161E-3</v>
      </c>
      <c r="IP63">
        <v>8.3987709687394815E-4</v>
      </c>
      <c r="IQ63">
        <v>-7.4586254598011197E-6</v>
      </c>
      <c r="IR63">
        <v>2</v>
      </c>
      <c r="IS63">
        <v>1930</v>
      </c>
      <c r="IT63">
        <v>2</v>
      </c>
      <c r="IU63">
        <v>41</v>
      </c>
      <c r="IV63">
        <v>0.7</v>
      </c>
      <c r="IW63">
        <v>0.5</v>
      </c>
      <c r="IX63">
        <v>0.306396</v>
      </c>
      <c r="IY63">
        <v>2.52197</v>
      </c>
      <c r="IZ63">
        <v>1.24512</v>
      </c>
      <c r="JA63">
        <v>2.2717299999999998</v>
      </c>
      <c r="JB63">
        <v>1.4501999999999999</v>
      </c>
      <c r="JC63">
        <v>2.3815900000000001</v>
      </c>
      <c r="JD63">
        <v>32.798000000000002</v>
      </c>
      <c r="JE63">
        <v>15.988300000000001</v>
      </c>
      <c r="JF63">
        <v>18</v>
      </c>
      <c r="JG63">
        <v>497.77</v>
      </c>
      <c r="JH63">
        <v>511.71199999999999</v>
      </c>
      <c r="JI63">
        <v>26.948599999999999</v>
      </c>
      <c r="JJ63">
        <v>31.832899999999999</v>
      </c>
      <c r="JK63">
        <v>30.000299999999999</v>
      </c>
      <c r="JL63">
        <v>31.705300000000001</v>
      </c>
      <c r="JM63">
        <v>31.673300000000001</v>
      </c>
      <c r="JN63">
        <v>6.2020799999999996</v>
      </c>
      <c r="JO63">
        <v>25.8352</v>
      </c>
      <c r="JP63">
        <v>100</v>
      </c>
      <c r="JQ63">
        <v>26.930499999999999</v>
      </c>
      <c r="JR63">
        <v>70</v>
      </c>
      <c r="JS63">
        <v>22.474399999999999</v>
      </c>
      <c r="JT63">
        <v>99.583399999999997</v>
      </c>
      <c r="JU63">
        <v>99.073099999999997</v>
      </c>
    </row>
    <row r="64" spans="1:281" x14ac:dyDescent="0.25">
      <c r="A64">
        <v>48</v>
      </c>
      <c r="B64">
        <v>1693506559.0999999</v>
      </c>
      <c r="C64">
        <v>10909.5</v>
      </c>
      <c r="D64" t="s">
        <v>660</v>
      </c>
      <c r="E64" t="s">
        <v>661</v>
      </c>
      <c r="F64" t="s">
        <v>413</v>
      </c>
      <c r="G64" t="s">
        <v>494</v>
      </c>
      <c r="H64" t="s">
        <v>636</v>
      </c>
      <c r="I64" t="s">
        <v>31</v>
      </c>
      <c r="J64">
        <v>1693506559.0999999</v>
      </c>
      <c r="K64">
        <f t="shared" si="46"/>
        <v>5.3182936848670884E-3</v>
      </c>
      <c r="L64">
        <f t="shared" si="47"/>
        <v>5.3182936848670881</v>
      </c>
      <c r="M64">
        <f t="shared" si="48"/>
        <v>3.6819612572642169</v>
      </c>
      <c r="N64">
        <f t="shared" si="49"/>
        <v>25.320799999999998</v>
      </c>
      <c r="O64">
        <f t="shared" si="50"/>
        <v>8.8115734680717512</v>
      </c>
      <c r="P64">
        <f t="shared" si="51"/>
        <v>0.87839038056459851</v>
      </c>
      <c r="Q64">
        <f t="shared" si="52"/>
        <v>2.5241288889879998</v>
      </c>
      <c r="R64">
        <f t="shared" si="53"/>
        <v>0.38875941547447379</v>
      </c>
      <c r="S64">
        <f t="shared" si="54"/>
        <v>2.9099741435983675</v>
      </c>
      <c r="T64">
        <f t="shared" si="55"/>
        <v>0.36203954663988169</v>
      </c>
      <c r="U64">
        <f t="shared" si="56"/>
        <v>0.2285221686855099</v>
      </c>
      <c r="V64">
        <f t="shared" si="57"/>
        <v>344.36689864451318</v>
      </c>
      <c r="W64">
        <f t="shared" si="58"/>
        <v>31.012617343417386</v>
      </c>
      <c r="X64">
        <f t="shared" si="59"/>
        <v>30.0078</v>
      </c>
      <c r="Y64">
        <f t="shared" si="60"/>
        <v>4.2623589357074838</v>
      </c>
      <c r="Z64">
        <f t="shared" si="61"/>
        <v>65.523415456248657</v>
      </c>
      <c r="AA64">
        <f t="shared" si="62"/>
        <v>2.8502316517185</v>
      </c>
      <c r="AB64">
        <f t="shared" si="63"/>
        <v>4.3499436527719757</v>
      </c>
      <c r="AC64">
        <f t="shared" si="64"/>
        <v>1.4121272839889838</v>
      </c>
      <c r="AD64">
        <f t="shared" si="65"/>
        <v>-234.53675150263859</v>
      </c>
      <c r="AE64">
        <f t="shared" si="66"/>
        <v>55.630543730123044</v>
      </c>
      <c r="AF64">
        <f t="shared" si="67"/>
        <v>4.258523942890581</v>
      </c>
      <c r="AG64">
        <f t="shared" si="68"/>
        <v>169.7192148148882</v>
      </c>
      <c r="AH64">
        <v>0</v>
      </c>
      <c r="AI64">
        <v>0</v>
      </c>
      <c r="AJ64">
        <f t="shared" si="69"/>
        <v>1</v>
      </c>
      <c r="AK64">
        <f t="shared" si="70"/>
        <v>0</v>
      </c>
      <c r="AL64">
        <f t="shared" si="71"/>
        <v>51724.315264450946</v>
      </c>
      <c r="AM64" t="s">
        <v>417</v>
      </c>
      <c r="AN64">
        <v>10366.9</v>
      </c>
      <c r="AO64">
        <v>993.59653846153856</v>
      </c>
      <c r="AP64">
        <v>3431.87</v>
      </c>
      <c r="AQ64">
        <f t="shared" si="72"/>
        <v>0.71047955241266758</v>
      </c>
      <c r="AR64">
        <v>-3.9894345373445681</v>
      </c>
      <c r="AS64" t="s">
        <v>662</v>
      </c>
      <c r="AT64">
        <v>10484.9</v>
      </c>
      <c r="AU64">
        <v>741.32176923076929</v>
      </c>
      <c r="AV64">
        <v>799.19811962201868</v>
      </c>
      <c r="AW64">
        <f t="shared" si="73"/>
        <v>7.2418026231871102E-2</v>
      </c>
      <c r="AX64">
        <v>0.5</v>
      </c>
      <c r="AY64">
        <f t="shared" si="74"/>
        <v>1513.1759993222565</v>
      </c>
      <c r="AZ64">
        <f t="shared" si="75"/>
        <v>3.6819612572642169</v>
      </c>
      <c r="BA64">
        <f t="shared" si="76"/>
        <v>54.790609606178471</v>
      </c>
      <c r="BB64">
        <f t="shared" si="77"/>
        <v>5.0697313452267032E-3</v>
      </c>
      <c r="BC64">
        <f t="shared" si="78"/>
        <v>3.294141734996956</v>
      </c>
      <c r="BD64">
        <f t="shared" si="79"/>
        <v>508.56613628994899</v>
      </c>
      <c r="BE64" t="s">
        <v>663</v>
      </c>
      <c r="BF64">
        <v>593.86</v>
      </c>
      <c r="BG64">
        <f t="shared" si="80"/>
        <v>593.86</v>
      </c>
      <c r="BH64">
        <f t="shared" si="81"/>
        <v>0.25693018361846687</v>
      </c>
      <c r="BI64">
        <f t="shared" si="82"/>
        <v>0.2818587727295192</v>
      </c>
      <c r="BJ64">
        <f t="shared" si="83"/>
        <v>0.92764714725387909</v>
      </c>
      <c r="BK64">
        <f t="shared" si="84"/>
        <v>-0.29772027332705608</v>
      </c>
      <c r="BL64">
        <f t="shared" si="85"/>
        <v>1.0797278984108949</v>
      </c>
      <c r="BM64">
        <f t="shared" si="86"/>
        <v>0.22579216977108141</v>
      </c>
      <c r="BN64">
        <f t="shared" si="87"/>
        <v>0.77420783022891859</v>
      </c>
      <c r="BO64">
        <v>7838</v>
      </c>
      <c r="BP64">
        <v>290.00000000000011</v>
      </c>
      <c r="BQ64">
        <v>784.39</v>
      </c>
      <c r="BR64">
        <v>75</v>
      </c>
      <c r="BS64">
        <v>10484.9</v>
      </c>
      <c r="BT64">
        <v>782.82</v>
      </c>
      <c r="BU64">
        <v>1.57</v>
      </c>
      <c r="BV64">
        <v>300.00000000000011</v>
      </c>
      <c r="BW64">
        <v>38.200000000000003</v>
      </c>
      <c r="BX64">
        <v>799.19811962201868</v>
      </c>
      <c r="BY64">
        <v>0.99629685185822181</v>
      </c>
      <c r="BZ64">
        <v>-17.169097116061899</v>
      </c>
      <c r="CA64">
        <v>0.85361030206972066</v>
      </c>
      <c r="CB64">
        <v>0.93526807492406083</v>
      </c>
      <c r="CC64">
        <v>-1.136504983314795E-2</v>
      </c>
      <c r="CD64">
        <v>289.99999999999989</v>
      </c>
      <c r="CE64">
        <v>780.65</v>
      </c>
      <c r="CF64">
        <v>695</v>
      </c>
      <c r="CG64">
        <v>10441.1</v>
      </c>
      <c r="CH64">
        <v>782.75</v>
      </c>
      <c r="CI64">
        <v>-2.1</v>
      </c>
      <c r="CW64">
        <f t="shared" si="88"/>
        <v>1799.99</v>
      </c>
      <c r="CX64">
        <f t="shared" si="89"/>
        <v>1513.1759993222565</v>
      </c>
      <c r="CY64">
        <f t="shared" si="90"/>
        <v>0.8406580032790496</v>
      </c>
      <c r="CZ64">
        <f t="shared" si="91"/>
        <v>0.19131600655809933</v>
      </c>
      <c r="DA64">
        <v>6</v>
      </c>
      <c r="DB64">
        <v>0.5</v>
      </c>
      <c r="DC64" t="s">
        <v>420</v>
      </c>
      <c r="DD64">
        <v>2</v>
      </c>
      <c r="DE64">
        <v>1693506559.0999999</v>
      </c>
      <c r="DF64">
        <v>25.320799999999998</v>
      </c>
      <c r="DG64">
        <v>29.8919</v>
      </c>
      <c r="DH64">
        <v>28.592099999999999</v>
      </c>
      <c r="DI64">
        <v>22.404599999999999</v>
      </c>
      <c r="DJ64">
        <v>25.9178</v>
      </c>
      <c r="DK64">
        <v>28.367100000000001</v>
      </c>
      <c r="DL64">
        <v>500.96800000000002</v>
      </c>
      <c r="DM64">
        <v>99.585400000000007</v>
      </c>
      <c r="DN64">
        <v>0.10058499999999999</v>
      </c>
      <c r="DO64">
        <v>30.362400000000001</v>
      </c>
      <c r="DP64">
        <v>30.0078</v>
      </c>
      <c r="DQ64">
        <v>999.9</v>
      </c>
      <c r="DR64">
        <v>0</v>
      </c>
      <c r="DS64">
        <v>0</v>
      </c>
      <c r="DT64">
        <v>9930</v>
      </c>
      <c r="DU64">
        <v>0</v>
      </c>
      <c r="DV64">
        <v>1583.12</v>
      </c>
      <c r="DW64">
        <v>-4.5710899999999999</v>
      </c>
      <c r="DX64">
        <v>26.066099999999999</v>
      </c>
      <c r="DY64">
        <v>30.577000000000002</v>
      </c>
      <c r="DZ64">
        <v>6.1875099999999996</v>
      </c>
      <c r="EA64">
        <v>29.8919</v>
      </c>
      <c r="EB64">
        <v>22.404599999999999</v>
      </c>
      <c r="EC64">
        <v>2.84735</v>
      </c>
      <c r="ED64">
        <v>2.2311700000000001</v>
      </c>
      <c r="EE64">
        <v>23.161200000000001</v>
      </c>
      <c r="EF64">
        <v>19.187899999999999</v>
      </c>
      <c r="EG64">
        <v>1799.99</v>
      </c>
      <c r="EH64">
        <v>0.97800799999999999</v>
      </c>
      <c r="EI64">
        <v>2.1992100000000001E-2</v>
      </c>
      <c r="EJ64">
        <v>0</v>
      </c>
      <c r="EK64">
        <v>741.52300000000002</v>
      </c>
      <c r="EL64">
        <v>5.0010300000000001</v>
      </c>
      <c r="EM64">
        <v>14486.3</v>
      </c>
      <c r="EN64">
        <v>14701</v>
      </c>
      <c r="EO64">
        <v>48.375</v>
      </c>
      <c r="EP64">
        <v>50.061999999999998</v>
      </c>
      <c r="EQ64">
        <v>50.125</v>
      </c>
      <c r="ER64">
        <v>48.311999999999998</v>
      </c>
      <c r="ES64">
        <v>49.875</v>
      </c>
      <c r="ET64">
        <v>1755.51</v>
      </c>
      <c r="EU64">
        <v>39.479999999999997</v>
      </c>
      <c r="EV64">
        <v>0</v>
      </c>
      <c r="EW64">
        <v>97.399999856948853</v>
      </c>
      <c r="EX64">
        <v>0</v>
      </c>
      <c r="EY64">
        <v>741.32176923076929</v>
      </c>
      <c r="EZ64">
        <v>-0.55965811590594217</v>
      </c>
      <c r="FA64">
        <v>-14.447863076784079</v>
      </c>
      <c r="FB64">
        <v>14489.9</v>
      </c>
      <c r="FC64">
        <v>15</v>
      </c>
      <c r="FD64">
        <v>1693506530.5999999</v>
      </c>
      <c r="FE64" t="s">
        <v>664</v>
      </c>
      <c r="FF64">
        <v>1693506519.0999999</v>
      </c>
      <c r="FG64">
        <v>1693506530.5999999</v>
      </c>
      <c r="FH64">
        <v>54</v>
      </c>
      <c r="FI64">
        <v>6.6000000000000003E-2</v>
      </c>
      <c r="FJ64">
        <v>2E-3</v>
      </c>
      <c r="FK64">
        <v>-0.58699999999999997</v>
      </c>
      <c r="FL64">
        <v>7.5999999999999998E-2</v>
      </c>
      <c r="FM64">
        <v>30</v>
      </c>
      <c r="FN64">
        <v>22</v>
      </c>
      <c r="FO64">
        <v>0.6</v>
      </c>
      <c r="FP64">
        <v>0.04</v>
      </c>
      <c r="FQ64">
        <v>3.8039406255936972</v>
      </c>
      <c r="FR64">
        <v>0.1559784345445516</v>
      </c>
      <c r="FS64">
        <v>5.7210147486357658E-2</v>
      </c>
      <c r="FT64">
        <v>1</v>
      </c>
      <c r="FU64">
        <v>0.38980485037441859</v>
      </c>
      <c r="FV64">
        <v>4.1972202633659021E-2</v>
      </c>
      <c r="FW64">
        <v>4.9428405617481814E-3</v>
      </c>
      <c r="FX64">
        <v>1</v>
      </c>
      <c r="FY64">
        <v>2</v>
      </c>
      <c r="FZ64">
        <v>2</v>
      </c>
      <c r="GA64" t="s">
        <v>422</v>
      </c>
      <c r="GB64">
        <v>2.9052899999999999</v>
      </c>
      <c r="GC64">
        <v>2.81799</v>
      </c>
      <c r="GD64">
        <v>7.1717500000000002E-3</v>
      </c>
      <c r="GE64">
        <v>8.2891500000000003E-3</v>
      </c>
      <c r="GF64">
        <v>0.13519800000000001</v>
      </c>
      <c r="GG64">
        <v>0.11407200000000001</v>
      </c>
      <c r="GH64">
        <v>27612.3</v>
      </c>
      <c r="GI64">
        <v>27610.7</v>
      </c>
      <c r="GJ64">
        <v>24675.1</v>
      </c>
      <c r="GK64">
        <v>24861.7</v>
      </c>
      <c r="GL64">
        <v>28331.7</v>
      </c>
      <c r="GM64">
        <v>28778.6</v>
      </c>
      <c r="GN64">
        <v>33360.5</v>
      </c>
      <c r="GO64">
        <v>33182.6</v>
      </c>
      <c r="GP64">
        <v>1.9762999999999999</v>
      </c>
      <c r="GQ64">
        <v>1.9197</v>
      </c>
      <c r="GR64">
        <v>7.1346800000000002E-2</v>
      </c>
      <c r="GS64">
        <v>0</v>
      </c>
      <c r="GT64">
        <v>28.845600000000001</v>
      </c>
      <c r="GU64">
        <v>999.9</v>
      </c>
      <c r="GV64">
        <v>64.2</v>
      </c>
      <c r="GW64">
        <v>29.6</v>
      </c>
      <c r="GX64">
        <v>26.840800000000002</v>
      </c>
      <c r="GY64">
        <v>61.966700000000003</v>
      </c>
      <c r="GZ64">
        <v>22.9848</v>
      </c>
      <c r="HA64">
        <v>1</v>
      </c>
      <c r="HB64">
        <v>0.35071099999999999</v>
      </c>
      <c r="HC64">
        <v>1.3063800000000001</v>
      </c>
      <c r="HD64">
        <v>20.211099999999998</v>
      </c>
      <c r="HE64">
        <v>5.2340600000000004</v>
      </c>
      <c r="HF64">
        <v>11.9201</v>
      </c>
      <c r="HG64">
        <v>4.9611999999999998</v>
      </c>
      <c r="HH64">
        <v>3.2890000000000001</v>
      </c>
      <c r="HI64">
        <v>9999</v>
      </c>
      <c r="HJ64">
        <v>9999</v>
      </c>
      <c r="HK64">
        <v>9999</v>
      </c>
      <c r="HL64">
        <v>894.5</v>
      </c>
      <c r="HM64">
        <v>1.8803399999999999</v>
      </c>
      <c r="HN64">
        <v>1.87744</v>
      </c>
      <c r="HO64">
        <v>1.8853800000000001</v>
      </c>
      <c r="HP64">
        <v>1.88324</v>
      </c>
      <c r="HQ64">
        <v>1.8806499999999999</v>
      </c>
      <c r="HR64">
        <v>1.87974</v>
      </c>
      <c r="HS64">
        <v>1.88087</v>
      </c>
      <c r="HT64">
        <v>1.88022</v>
      </c>
      <c r="HU64">
        <v>5</v>
      </c>
      <c r="HV64">
        <v>0</v>
      </c>
      <c r="HW64">
        <v>0</v>
      </c>
      <c r="HX64">
        <v>0</v>
      </c>
      <c r="HY64" t="s">
        <v>423</v>
      </c>
      <c r="HZ64" t="s">
        <v>424</v>
      </c>
      <c r="IA64" t="s">
        <v>425</v>
      </c>
      <c r="IB64" t="s">
        <v>425</v>
      </c>
      <c r="IC64" t="s">
        <v>425</v>
      </c>
      <c r="ID64" t="s">
        <v>425</v>
      </c>
      <c r="IE64">
        <v>0</v>
      </c>
      <c r="IF64">
        <v>100</v>
      </c>
      <c r="IG64">
        <v>100</v>
      </c>
      <c r="IH64">
        <v>-0.59699999999999998</v>
      </c>
      <c r="II64">
        <v>0.22500000000000001</v>
      </c>
      <c r="IJ64">
        <v>-0.65285120329464053</v>
      </c>
      <c r="IK64">
        <v>2.2153513873161218E-3</v>
      </c>
      <c r="IL64">
        <v>-2.2967369670569612E-6</v>
      </c>
      <c r="IM64">
        <v>7.7859689150384122E-10</v>
      </c>
      <c r="IN64">
        <v>-0.1630653581553865</v>
      </c>
      <c r="IO64">
        <v>-4.1434251034592161E-3</v>
      </c>
      <c r="IP64">
        <v>8.3987709687394815E-4</v>
      </c>
      <c r="IQ64">
        <v>-7.4586254598011197E-6</v>
      </c>
      <c r="IR64">
        <v>2</v>
      </c>
      <c r="IS64">
        <v>1930</v>
      </c>
      <c r="IT64">
        <v>2</v>
      </c>
      <c r="IU64">
        <v>41</v>
      </c>
      <c r="IV64">
        <v>0.7</v>
      </c>
      <c r="IW64">
        <v>0.5</v>
      </c>
      <c r="IX64">
        <v>0.21972700000000001</v>
      </c>
      <c r="IY64">
        <v>2.5561500000000001</v>
      </c>
      <c r="IZ64">
        <v>1.24512</v>
      </c>
      <c r="JA64">
        <v>2.2729499999999998</v>
      </c>
      <c r="JB64">
        <v>1.4501999999999999</v>
      </c>
      <c r="JC64">
        <v>2.2790499999999998</v>
      </c>
      <c r="JD64">
        <v>32.798000000000002</v>
      </c>
      <c r="JE64">
        <v>15.970800000000001</v>
      </c>
      <c r="JF64">
        <v>18</v>
      </c>
      <c r="JG64">
        <v>498.14800000000002</v>
      </c>
      <c r="JH64">
        <v>512.274</v>
      </c>
      <c r="JI64">
        <v>26.887599999999999</v>
      </c>
      <c r="JJ64">
        <v>31.8749</v>
      </c>
      <c r="JK64">
        <v>30</v>
      </c>
      <c r="JL64">
        <v>31.7502</v>
      </c>
      <c r="JM64">
        <v>31.7181</v>
      </c>
      <c r="JN64">
        <v>4.4770899999999996</v>
      </c>
      <c r="JO64">
        <v>26.808599999999998</v>
      </c>
      <c r="JP64">
        <v>100</v>
      </c>
      <c r="JQ64">
        <v>26.892199999999999</v>
      </c>
      <c r="JR64">
        <v>30</v>
      </c>
      <c r="JS64">
        <v>22.263200000000001</v>
      </c>
      <c r="JT64">
        <v>99.578900000000004</v>
      </c>
      <c r="JU64">
        <v>99.064999999999998</v>
      </c>
    </row>
    <row r="65" spans="1:281" x14ac:dyDescent="0.25">
      <c r="A65">
        <v>49</v>
      </c>
      <c r="B65">
        <v>1693506658.5999999</v>
      </c>
      <c r="C65">
        <v>11009</v>
      </c>
      <c r="D65" t="s">
        <v>665</v>
      </c>
      <c r="E65" t="s">
        <v>666</v>
      </c>
      <c r="F65" t="s">
        <v>413</v>
      </c>
      <c r="G65" t="s">
        <v>494</v>
      </c>
      <c r="H65" t="s">
        <v>636</v>
      </c>
      <c r="I65" t="s">
        <v>31</v>
      </c>
      <c r="J65">
        <v>1693506658.5999999</v>
      </c>
      <c r="K65">
        <f t="shared" si="46"/>
        <v>5.4613747271481071E-3</v>
      </c>
      <c r="L65">
        <f t="shared" si="47"/>
        <v>5.4613747271481072</v>
      </c>
      <c r="M65">
        <f t="shared" si="48"/>
        <v>1.1176773985497332</v>
      </c>
      <c r="N65">
        <f t="shared" si="49"/>
        <v>8.5247100000000007</v>
      </c>
      <c r="O65">
        <f t="shared" si="50"/>
        <v>3.5810615597851605</v>
      </c>
      <c r="P65">
        <f t="shared" si="51"/>
        <v>0.35696106499097446</v>
      </c>
      <c r="Q65">
        <f t="shared" si="52"/>
        <v>0.8497451131562701</v>
      </c>
      <c r="R65">
        <f t="shared" si="53"/>
        <v>0.39637432090682656</v>
      </c>
      <c r="S65">
        <f t="shared" si="54"/>
        <v>2.9186618023064268</v>
      </c>
      <c r="T65">
        <f t="shared" si="55"/>
        <v>0.36871385452810712</v>
      </c>
      <c r="U65">
        <f t="shared" si="56"/>
        <v>0.23277028896584404</v>
      </c>
      <c r="V65">
        <f t="shared" si="57"/>
        <v>344.36309864449822</v>
      </c>
      <c r="W65">
        <f t="shared" si="58"/>
        <v>31.017525581873688</v>
      </c>
      <c r="X65">
        <f t="shared" si="59"/>
        <v>30.0306</v>
      </c>
      <c r="Y65">
        <f t="shared" si="60"/>
        <v>4.2679438424805225</v>
      </c>
      <c r="Z65">
        <f t="shared" si="61"/>
        <v>65.219178999500855</v>
      </c>
      <c r="AA65">
        <f t="shared" si="62"/>
        <v>2.8441562662736004</v>
      </c>
      <c r="AB65">
        <f t="shared" si="63"/>
        <v>4.3609200696858936</v>
      </c>
      <c r="AC65">
        <f t="shared" si="64"/>
        <v>1.4237875762069221</v>
      </c>
      <c r="AD65">
        <f t="shared" si="65"/>
        <v>-240.84662546723152</v>
      </c>
      <c r="AE65">
        <f t="shared" si="66"/>
        <v>59.132466373298051</v>
      </c>
      <c r="AF65">
        <f t="shared" si="67"/>
        <v>4.5146145683353236</v>
      </c>
      <c r="AG65">
        <f t="shared" si="68"/>
        <v>167.16355411890009</v>
      </c>
      <c r="AH65">
        <v>0</v>
      </c>
      <c r="AI65">
        <v>0</v>
      </c>
      <c r="AJ65">
        <f t="shared" si="69"/>
        <v>1</v>
      </c>
      <c r="AK65">
        <f t="shared" si="70"/>
        <v>0</v>
      </c>
      <c r="AL65">
        <f t="shared" si="71"/>
        <v>51963.913464302357</v>
      </c>
      <c r="AM65" t="s">
        <v>417</v>
      </c>
      <c r="AN65">
        <v>10366.9</v>
      </c>
      <c r="AO65">
        <v>993.59653846153856</v>
      </c>
      <c r="AP65">
        <v>3431.87</v>
      </c>
      <c r="AQ65">
        <f t="shared" si="72"/>
        <v>0.71047955241266758</v>
      </c>
      <c r="AR65">
        <v>-3.9894345373445681</v>
      </c>
      <c r="AS65" t="s">
        <v>667</v>
      </c>
      <c r="AT65">
        <v>10474.799999999999</v>
      </c>
      <c r="AU65">
        <v>745.77949999999998</v>
      </c>
      <c r="AV65">
        <v>792.52394120723602</v>
      </c>
      <c r="AW65">
        <f t="shared" si="73"/>
        <v>5.8981740205893529E-2</v>
      </c>
      <c r="AX65">
        <v>0.5</v>
      </c>
      <c r="AY65">
        <f t="shared" si="74"/>
        <v>1513.1591993222492</v>
      </c>
      <c r="AZ65">
        <f t="shared" si="75"/>
        <v>1.1176773985497332</v>
      </c>
      <c r="BA65">
        <f t="shared" si="76"/>
        <v>44.624381392291383</v>
      </c>
      <c r="BB65">
        <f t="shared" si="77"/>
        <v>3.3751319346845988E-3</v>
      </c>
      <c r="BC65">
        <f t="shared" si="78"/>
        <v>3.3303045139208036</v>
      </c>
      <c r="BD65">
        <f t="shared" si="79"/>
        <v>505.85529118153534</v>
      </c>
      <c r="BE65" t="s">
        <v>668</v>
      </c>
      <c r="BF65">
        <v>601.70000000000005</v>
      </c>
      <c r="BG65">
        <f t="shared" si="80"/>
        <v>601.70000000000005</v>
      </c>
      <c r="BH65">
        <f t="shared" si="81"/>
        <v>0.2407800336183632</v>
      </c>
      <c r="BI65">
        <f t="shared" si="82"/>
        <v>0.24496109299236873</v>
      </c>
      <c r="BJ65">
        <f t="shared" si="83"/>
        <v>0.93257509576907527</v>
      </c>
      <c r="BK65">
        <f t="shared" si="84"/>
        <v>-0.23247544342463006</v>
      </c>
      <c r="BL65">
        <f t="shared" si="85"/>
        <v>1.0824651543094075</v>
      </c>
      <c r="BM65">
        <f t="shared" si="86"/>
        <v>0.19763628479129322</v>
      </c>
      <c r="BN65">
        <f t="shared" si="87"/>
        <v>0.80236371520870675</v>
      </c>
      <c r="BO65">
        <v>7840</v>
      </c>
      <c r="BP65">
        <v>290.00000000000011</v>
      </c>
      <c r="BQ65">
        <v>781.36</v>
      </c>
      <c r="BR65">
        <v>125</v>
      </c>
      <c r="BS65">
        <v>10474.799999999999</v>
      </c>
      <c r="BT65">
        <v>779.24</v>
      </c>
      <c r="BU65">
        <v>2.12</v>
      </c>
      <c r="BV65">
        <v>300.00000000000011</v>
      </c>
      <c r="BW65">
        <v>38.200000000000003</v>
      </c>
      <c r="BX65">
        <v>792.52394120723602</v>
      </c>
      <c r="BY65">
        <v>0.97000605747702362</v>
      </c>
      <c r="BZ65">
        <v>-13.91837800240347</v>
      </c>
      <c r="CA65">
        <v>0.83107183336656287</v>
      </c>
      <c r="CB65">
        <v>0.90923202851772389</v>
      </c>
      <c r="CC65">
        <v>-1.136480355951057E-2</v>
      </c>
      <c r="CD65">
        <v>289.99999999999989</v>
      </c>
      <c r="CE65">
        <v>778.02</v>
      </c>
      <c r="CF65">
        <v>625</v>
      </c>
      <c r="CG65">
        <v>10446.9</v>
      </c>
      <c r="CH65">
        <v>779.2</v>
      </c>
      <c r="CI65">
        <v>-1.18</v>
      </c>
      <c r="CW65">
        <f t="shared" si="88"/>
        <v>1799.97</v>
      </c>
      <c r="CX65">
        <f t="shared" si="89"/>
        <v>1513.1591993222492</v>
      </c>
      <c r="CY65">
        <f t="shared" si="90"/>
        <v>0.84065801059031486</v>
      </c>
      <c r="CZ65">
        <f t="shared" si="91"/>
        <v>0.19131602118062979</v>
      </c>
      <c r="DA65">
        <v>6</v>
      </c>
      <c r="DB65">
        <v>0.5</v>
      </c>
      <c r="DC65" t="s">
        <v>420</v>
      </c>
      <c r="DD65">
        <v>2</v>
      </c>
      <c r="DE65">
        <v>1693506658.5999999</v>
      </c>
      <c r="DF65">
        <v>8.5247100000000007</v>
      </c>
      <c r="DG65">
        <v>9.9220199999999998</v>
      </c>
      <c r="DH65">
        <v>28.532800000000002</v>
      </c>
      <c r="DI65">
        <v>22.165099999999999</v>
      </c>
      <c r="DJ65">
        <v>9.0800999999999998</v>
      </c>
      <c r="DK65">
        <v>28.3125</v>
      </c>
      <c r="DL65">
        <v>499.91800000000001</v>
      </c>
      <c r="DM65">
        <v>99.579800000000006</v>
      </c>
      <c r="DN65">
        <v>0.100437</v>
      </c>
      <c r="DO65">
        <v>30.406400000000001</v>
      </c>
      <c r="DP65">
        <v>30.0306</v>
      </c>
      <c r="DQ65">
        <v>999.9</v>
      </c>
      <c r="DR65">
        <v>0</v>
      </c>
      <c r="DS65">
        <v>0</v>
      </c>
      <c r="DT65">
        <v>9980</v>
      </c>
      <c r="DU65">
        <v>0</v>
      </c>
      <c r="DV65">
        <v>1576.08</v>
      </c>
      <c r="DW65">
        <v>-1.3973100000000001</v>
      </c>
      <c r="DX65">
        <v>8.7750900000000005</v>
      </c>
      <c r="DY65">
        <v>10.1469</v>
      </c>
      <c r="DZ65">
        <v>6.36775</v>
      </c>
      <c r="EA65">
        <v>9.9220199999999998</v>
      </c>
      <c r="EB65">
        <v>22.165099999999999</v>
      </c>
      <c r="EC65">
        <v>2.8412899999999999</v>
      </c>
      <c r="ED65">
        <v>2.2071900000000002</v>
      </c>
      <c r="EE65">
        <v>23.126000000000001</v>
      </c>
      <c r="EF65">
        <v>19.014600000000002</v>
      </c>
      <c r="EG65">
        <v>1799.97</v>
      </c>
      <c r="EH65">
        <v>0.97800799999999999</v>
      </c>
      <c r="EI65">
        <v>2.1992100000000001E-2</v>
      </c>
      <c r="EJ65">
        <v>0</v>
      </c>
      <c r="EK65">
        <v>745.72500000000002</v>
      </c>
      <c r="EL65">
        <v>5.0010300000000001</v>
      </c>
      <c r="EM65">
        <v>14565.5</v>
      </c>
      <c r="EN65">
        <v>14700.9</v>
      </c>
      <c r="EO65">
        <v>48.436999999999998</v>
      </c>
      <c r="EP65">
        <v>50.061999999999998</v>
      </c>
      <c r="EQ65">
        <v>50.125</v>
      </c>
      <c r="ER65">
        <v>48.375</v>
      </c>
      <c r="ES65">
        <v>49.875</v>
      </c>
      <c r="ET65">
        <v>1755.49</v>
      </c>
      <c r="EU65">
        <v>39.479999999999997</v>
      </c>
      <c r="EV65">
        <v>0</v>
      </c>
      <c r="EW65">
        <v>97.399999856948853</v>
      </c>
      <c r="EX65">
        <v>0</v>
      </c>
      <c r="EY65">
        <v>745.77949999999998</v>
      </c>
      <c r="EZ65">
        <v>-7.7504275489750127E-2</v>
      </c>
      <c r="FA65">
        <v>-17.695726422708098</v>
      </c>
      <c r="FB65">
        <v>14564.06923076923</v>
      </c>
      <c r="FC65">
        <v>15</v>
      </c>
      <c r="FD65">
        <v>1693506623.5999999</v>
      </c>
      <c r="FE65" t="s">
        <v>669</v>
      </c>
      <c r="FF65">
        <v>1693506613.5999999</v>
      </c>
      <c r="FG65">
        <v>1693506623.5999999</v>
      </c>
      <c r="FH65">
        <v>55</v>
      </c>
      <c r="FI65">
        <v>7.8E-2</v>
      </c>
      <c r="FJ65">
        <v>-3.0000000000000001E-3</v>
      </c>
      <c r="FK65">
        <v>-0.55200000000000005</v>
      </c>
      <c r="FL65">
        <v>7.0000000000000007E-2</v>
      </c>
      <c r="FM65">
        <v>10</v>
      </c>
      <c r="FN65">
        <v>22</v>
      </c>
      <c r="FO65">
        <v>0.81</v>
      </c>
      <c r="FP65">
        <v>0.04</v>
      </c>
      <c r="FQ65">
        <v>1.235921631039022</v>
      </c>
      <c r="FR65">
        <v>0.1780618291385441</v>
      </c>
      <c r="FS65">
        <v>4.491599321959918E-2</v>
      </c>
      <c r="FT65">
        <v>1</v>
      </c>
      <c r="FU65">
        <v>0.40216276487626129</v>
      </c>
      <c r="FV65">
        <v>-3.2530529233405187E-2</v>
      </c>
      <c r="FW65">
        <v>2.566868725397528E-3</v>
      </c>
      <c r="FX65">
        <v>1</v>
      </c>
      <c r="FY65">
        <v>2</v>
      </c>
      <c r="FZ65">
        <v>2</v>
      </c>
      <c r="GA65" t="s">
        <v>422</v>
      </c>
      <c r="GB65">
        <v>2.9025599999999998</v>
      </c>
      <c r="GC65">
        <v>2.8182700000000001</v>
      </c>
      <c r="GD65">
        <v>2.51593E-3</v>
      </c>
      <c r="GE65">
        <v>2.7577499999999998E-3</v>
      </c>
      <c r="GF65">
        <v>0.13500400000000001</v>
      </c>
      <c r="GG65">
        <v>0.11321299999999999</v>
      </c>
      <c r="GH65">
        <v>27740.799999999999</v>
      </c>
      <c r="GI65">
        <v>27764.7</v>
      </c>
      <c r="GJ65">
        <v>24674.400000000001</v>
      </c>
      <c r="GK65">
        <v>24862</v>
      </c>
      <c r="GL65">
        <v>28337.200000000001</v>
      </c>
      <c r="GM65">
        <v>28806.799999999999</v>
      </c>
      <c r="GN65">
        <v>33359.199999999997</v>
      </c>
      <c r="GO65">
        <v>33182.6</v>
      </c>
      <c r="GP65">
        <v>1.9759</v>
      </c>
      <c r="GQ65">
        <v>1.9187000000000001</v>
      </c>
      <c r="GR65">
        <v>7.2613399999999995E-2</v>
      </c>
      <c r="GS65">
        <v>0</v>
      </c>
      <c r="GT65">
        <v>28.847799999999999</v>
      </c>
      <c r="GU65">
        <v>999.9</v>
      </c>
      <c r="GV65">
        <v>64.099999999999994</v>
      </c>
      <c r="GW65">
        <v>29.6</v>
      </c>
      <c r="GX65">
        <v>26.802299999999999</v>
      </c>
      <c r="GY65">
        <v>61.606699999999996</v>
      </c>
      <c r="GZ65">
        <v>24.479199999999999</v>
      </c>
      <c r="HA65">
        <v>1</v>
      </c>
      <c r="HB65">
        <v>0.35195100000000001</v>
      </c>
      <c r="HC65">
        <v>1.3847499999999999</v>
      </c>
      <c r="HD65">
        <v>20.2105</v>
      </c>
      <c r="HE65">
        <v>5.2352600000000002</v>
      </c>
      <c r="HF65">
        <v>11.9201</v>
      </c>
      <c r="HG65">
        <v>4.9614000000000003</v>
      </c>
      <c r="HH65">
        <v>3.2890000000000001</v>
      </c>
      <c r="HI65">
        <v>9999</v>
      </c>
      <c r="HJ65">
        <v>9999</v>
      </c>
      <c r="HK65">
        <v>9999</v>
      </c>
      <c r="HL65">
        <v>894.5</v>
      </c>
      <c r="HM65">
        <v>1.8803399999999999</v>
      </c>
      <c r="HN65">
        <v>1.87744</v>
      </c>
      <c r="HO65">
        <v>1.8853800000000001</v>
      </c>
      <c r="HP65">
        <v>1.88324</v>
      </c>
      <c r="HQ65">
        <v>1.8806499999999999</v>
      </c>
      <c r="HR65">
        <v>1.87978</v>
      </c>
      <c r="HS65">
        <v>1.8808499999999999</v>
      </c>
      <c r="HT65">
        <v>1.88019</v>
      </c>
      <c r="HU65">
        <v>5</v>
      </c>
      <c r="HV65">
        <v>0</v>
      </c>
      <c r="HW65">
        <v>0</v>
      </c>
      <c r="HX65">
        <v>0</v>
      </c>
      <c r="HY65" t="s">
        <v>423</v>
      </c>
      <c r="HZ65" t="s">
        <v>424</v>
      </c>
      <c r="IA65" t="s">
        <v>425</v>
      </c>
      <c r="IB65" t="s">
        <v>425</v>
      </c>
      <c r="IC65" t="s">
        <v>425</v>
      </c>
      <c r="ID65" t="s">
        <v>425</v>
      </c>
      <c r="IE65">
        <v>0</v>
      </c>
      <c r="IF65">
        <v>100</v>
      </c>
      <c r="IG65">
        <v>100</v>
      </c>
      <c r="IH65">
        <v>-0.55500000000000005</v>
      </c>
      <c r="II65">
        <v>0.2203</v>
      </c>
      <c r="IJ65">
        <v>-0.57531315822522533</v>
      </c>
      <c r="IK65">
        <v>2.2153513873161218E-3</v>
      </c>
      <c r="IL65">
        <v>-2.2967369670569612E-6</v>
      </c>
      <c r="IM65">
        <v>7.7859689150384122E-10</v>
      </c>
      <c r="IN65">
        <v>-0.16628980393449649</v>
      </c>
      <c r="IO65">
        <v>-4.1434251034592161E-3</v>
      </c>
      <c r="IP65">
        <v>8.3987709687394815E-4</v>
      </c>
      <c r="IQ65">
        <v>-7.4586254598011197E-6</v>
      </c>
      <c r="IR65">
        <v>2</v>
      </c>
      <c r="IS65">
        <v>1930</v>
      </c>
      <c r="IT65">
        <v>2</v>
      </c>
      <c r="IU65">
        <v>41</v>
      </c>
      <c r="IV65">
        <v>0.8</v>
      </c>
      <c r="IW65">
        <v>0.6</v>
      </c>
      <c r="IX65">
        <v>0.17822299999999999</v>
      </c>
      <c r="IY65">
        <v>2.5671400000000002</v>
      </c>
      <c r="IZ65">
        <v>1.24512</v>
      </c>
      <c r="JA65">
        <v>2.2717299999999998</v>
      </c>
      <c r="JB65">
        <v>1.4501999999999999</v>
      </c>
      <c r="JC65">
        <v>2.2875999999999999</v>
      </c>
      <c r="JD65">
        <v>32.798000000000002</v>
      </c>
      <c r="JE65">
        <v>15.9533</v>
      </c>
      <c r="JF65">
        <v>18</v>
      </c>
      <c r="JG65">
        <v>498.11399999999998</v>
      </c>
      <c r="JH65">
        <v>511.81299999999999</v>
      </c>
      <c r="JI65">
        <v>26.9178</v>
      </c>
      <c r="JJ65">
        <v>31.894600000000001</v>
      </c>
      <c r="JK65">
        <v>30.0001</v>
      </c>
      <c r="JL65">
        <v>31.778199999999998</v>
      </c>
      <c r="JM65">
        <v>31.748899999999999</v>
      </c>
      <c r="JN65">
        <v>3.6321599999999998</v>
      </c>
      <c r="JO65">
        <v>26.4696</v>
      </c>
      <c r="JP65">
        <v>100</v>
      </c>
      <c r="JQ65">
        <v>26.908300000000001</v>
      </c>
      <c r="JR65">
        <v>10</v>
      </c>
      <c r="JS65">
        <v>22.1357</v>
      </c>
      <c r="JT65">
        <v>99.575599999999994</v>
      </c>
      <c r="JU65">
        <v>99.0655</v>
      </c>
    </row>
    <row r="66" spans="1:281" x14ac:dyDescent="0.25">
      <c r="A66">
        <v>50</v>
      </c>
      <c r="B66">
        <v>1693506848.0999999</v>
      </c>
      <c r="C66">
        <v>11198.5</v>
      </c>
      <c r="D66" t="s">
        <v>670</v>
      </c>
      <c r="E66" t="s">
        <v>671</v>
      </c>
      <c r="F66" t="s">
        <v>413</v>
      </c>
      <c r="G66" t="s">
        <v>494</v>
      </c>
      <c r="H66" t="s">
        <v>636</v>
      </c>
      <c r="I66" t="s">
        <v>31</v>
      </c>
      <c r="J66">
        <v>1693506848.0999999</v>
      </c>
      <c r="K66">
        <f t="shared" si="46"/>
        <v>5.3710573641834337E-3</v>
      </c>
      <c r="L66">
        <f t="shared" si="47"/>
        <v>5.371057364183434</v>
      </c>
      <c r="M66">
        <f t="shared" si="48"/>
        <v>40.475616769214739</v>
      </c>
      <c r="N66">
        <f t="shared" si="49"/>
        <v>349.25599999999997</v>
      </c>
      <c r="O66">
        <f t="shared" si="50"/>
        <v>167.40082319047289</v>
      </c>
      <c r="P66">
        <f t="shared" si="51"/>
        <v>16.686895612322637</v>
      </c>
      <c r="Q66">
        <f t="shared" si="52"/>
        <v>34.814634139200798</v>
      </c>
      <c r="R66">
        <f t="shared" si="53"/>
        <v>0.3916689804747096</v>
      </c>
      <c r="S66">
        <f t="shared" si="54"/>
        <v>2.9248436273889138</v>
      </c>
      <c r="T66">
        <f t="shared" si="55"/>
        <v>0.36469023670105238</v>
      </c>
      <c r="U66">
        <f t="shared" si="56"/>
        <v>0.23020028476031817</v>
      </c>
      <c r="V66">
        <f t="shared" si="57"/>
        <v>344.40869864467891</v>
      </c>
      <c r="W66">
        <f t="shared" si="58"/>
        <v>30.973991632151652</v>
      </c>
      <c r="X66">
        <f t="shared" si="59"/>
        <v>29.930299999999999</v>
      </c>
      <c r="Y66">
        <f t="shared" si="60"/>
        <v>4.2434227423607283</v>
      </c>
      <c r="Z66">
        <f t="shared" si="61"/>
        <v>65.080848347160682</v>
      </c>
      <c r="AA66">
        <f t="shared" si="62"/>
        <v>2.8273981382931304</v>
      </c>
      <c r="AB66">
        <f t="shared" si="63"/>
        <v>4.34443958568417</v>
      </c>
      <c r="AC66">
        <f t="shared" si="64"/>
        <v>1.4160246040675979</v>
      </c>
      <c r="AD66">
        <f t="shared" si="65"/>
        <v>-236.86362976048943</v>
      </c>
      <c r="AE66">
        <f t="shared" si="66"/>
        <v>64.650509552314389</v>
      </c>
      <c r="AF66">
        <f t="shared" si="67"/>
        <v>4.9214179028379386</v>
      </c>
      <c r="AG66">
        <f t="shared" si="68"/>
        <v>177.11699633934182</v>
      </c>
      <c r="AH66">
        <v>0</v>
      </c>
      <c r="AI66">
        <v>0</v>
      </c>
      <c r="AJ66">
        <f t="shared" si="69"/>
        <v>1</v>
      </c>
      <c r="AK66">
        <f t="shared" si="70"/>
        <v>0</v>
      </c>
      <c r="AL66">
        <f t="shared" si="71"/>
        <v>52151.529373251942</v>
      </c>
      <c r="AM66" t="s">
        <v>417</v>
      </c>
      <c r="AN66">
        <v>10366.9</v>
      </c>
      <c r="AO66">
        <v>993.59653846153856</v>
      </c>
      <c r="AP66">
        <v>3431.87</v>
      </c>
      <c r="AQ66">
        <f t="shared" si="72"/>
        <v>0.71047955241266758</v>
      </c>
      <c r="AR66">
        <v>-3.9894345373445681</v>
      </c>
      <c r="AS66" t="s">
        <v>672</v>
      </c>
      <c r="AT66">
        <v>10463.299999999999</v>
      </c>
      <c r="AU66">
        <v>740.67907692307699</v>
      </c>
      <c r="AV66">
        <v>1048.1120085960879</v>
      </c>
      <c r="AW66">
        <f t="shared" si="73"/>
        <v>0.29332068438449377</v>
      </c>
      <c r="AX66">
        <v>0.5</v>
      </c>
      <c r="AY66">
        <f t="shared" si="74"/>
        <v>1513.3607993223393</v>
      </c>
      <c r="AZ66">
        <f t="shared" si="75"/>
        <v>40.475616769214739</v>
      </c>
      <c r="BA66">
        <f t="shared" si="76"/>
        <v>221.95001268894654</v>
      </c>
      <c r="BB66">
        <f t="shared" si="77"/>
        <v>2.9381659235834641E-2</v>
      </c>
      <c r="BC66">
        <f t="shared" si="78"/>
        <v>2.2743351586982374</v>
      </c>
      <c r="BD66">
        <f t="shared" si="79"/>
        <v>599.10557049250065</v>
      </c>
      <c r="BE66" t="s">
        <v>673</v>
      </c>
      <c r="BF66">
        <v>587.04999999999995</v>
      </c>
      <c r="BG66">
        <f t="shared" si="80"/>
        <v>587.04999999999995</v>
      </c>
      <c r="BH66">
        <f t="shared" si="81"/>
        <v>0.43989764912021723</v>
      </c>
      <c r="BI66">
        <f t="shared" si="82"/>
        <v>0.66679302553929709</v>
      </c>
      <c r="BJ66">
        <f t="shared" si="83"/>
        <v>0.83792928600189542</v>
      </c>
      <c r="BK66">
        <f t="shared" si="84"/>
        <v>5.6393704560235358</v>
      </c>
      <c r="BL66">
        <f t="shared" si="85"/>
        <v>0.97764177357688486</v>
      </c>
      <c r="BM66">
        <f t="shared" si="86"/>
        <v>0.52848913630578676</v>
      </c>
      <c r="BN66">
        <f t="shared" si="87"/>
        <v>0.47151086369421324</v>
      </c>
      <c r="BO66">
        <v>7842</v>
      </c>
      <c r="BP66">
        <v>290.00000000000011</v>
      </c>
      <c r="BQ66">
        <v>958.23</v>
      </c>
      <c r="BR66">
        <v>215</v>
      </c>
      <c r="BS66">
        <v>10463.299999999999</v>
      </c>
      <c r="BT66">
        <v>956.57</v>
      </c>
      <c r="BU66">
        <v>1.66</v>
      </c>
      <c r="BV66">
        <v>300.00000000000011</v>
      </c>
      <c r="BW66">
        <v>38.200000000000003</v>
      </c>
      <c r="BX66">
        <v>1048.1120085960879</v>
      </c>
      <c r="BY66">
        <v>1.2436575333140809</v>
      </c>
      <c r="BZ66">
        <v>-95.782791300448551</v>
      </c>
      <c r="CA66">
        <v>1.065781178126824</v>
      </c>
      <c r="CB66">
        <v>0.99654525361798185</v>
      </c>
      <c r="CC66">
        <v>-1.136813971078976E-2</v>
      </c>
      <c r="CD66">
        <v>289.99999999999989</v>
      </c>
      <c r="CE66">
        <v>941.15</v>
      </c>
      <c r="CF66">
        <v>635</v>
      </c>
      <c r="CG66">
        <v>10448.5</v>
      </c>
      <c r="CH66">
        <v>956.44</v>
      </c>
      <c r="CI66">
        <v>-15.29</v>
      </c>
      <c r="CW66">
        <f t="shared" si="88"/>
        <v>1800.21</v>
      </c>
      <c r="CX66">
        <f t="shared" si="89"/>
        <v>1513.3607993223393</v>
      </c>
      <c r="CY66">
        <f t="shared" si="90"/>
        <v>0.84065792286585417</v>
      </c>
      <c r="CZ66">
        <f t="shared" si="91"/>
        <v>0.19131584573170846</v>
      </c>
      <c r="DA66">
        <v>6</v>
      </c>
      <c r="DB66">
        <v>0.5</v>
      </c>
      <c r="DC66" t="s">
        <v>420</v>
      </c>
      <c r="DD66">
        <v>2</v>
      </c>
      <c r="DE66">
        <v>1693506848.0999999</v>
      </c>
      <c r="DF66">
        <v>349.25599999999997</v>
      </c>
      <c r="DG66">
        <v>400.053</v>
      </c>
      <c r="DH66">
        <v>28.364100000000001</v>
      </c>
      <c r="DI66">
        <v>22.104700000000001</v>
      </c>
      <c r="DJ66">
        <v>349.78100000000001</v>
      </c>
      <c r="DK66">
        <v>28.145499999999998</v>
      </c>
      <c r="DL66">
        <v>500.24400000000003</v>
      </c>
      <c r="DM66">
        <v>99.582599999999999</v>
      </c>
      <c r="DN66">
        <v>9.9679299999999998E-2</v>
      </c>
      <c r="DO66">
        <v>30.340299999999999</v>
      </c>
      <c r="DP66">
        <v>29.930299999999999</v>
      </c>
      <c r="DQ66">
        <v>999.9</v>
      </c>
      <c r="DR66">
        <v>0</v>
      </c>
      <c r="DS66">
        <v>0</v>
      </c>
      <c r="DT66">
        <v>10015</v>
      </c>
      <c r="DU66">
        <v>0</v>
      </c>
      <c r="DV66">
        <v>1562.36</v>
      </c>
      <c r="DW66">
        <v>-50.7973</v>
      </c>
      <c r="DX66">
        <v>359.45100000000002</v>
      </c>
      <c r="DY66">
        <v>409.096</v>
      </c>
      <c r="DZ66">
        <v>6.2594700000000003</v>
      </c>
      <c r="EA66">
        <v>400.053</v>
      </c>
      <c r="EB66">
        <v>22.104700000000001</v>
      </c>
      <c r="EC66">
        <v>2.8245800000000001</v>
      </c>
      <c r="ED66">
        <v>2.2012399999999999</v>
      </c>
      <c r="EE66">
        <v>23.028400000000001</v>
      </c>
      <c r="EF66">
        <v>18.971299999999999</v>
      </c>
      <c r="EG66">
        <v>1800.21</v>
      </c>
      <c r="EH66">
        <v>0.97800799999999999</v>
      </c>
      <c r="EI66">
        <v>2.1992100000000001E-2</v>
      </c>
      <c r="EJ66">
        <v>0</v>
      </c>
      <c r="EK66">
        <v>740.72799999999995</v>
      </c>
      <c r="EL66">
        <v>5.0010300000000001</v>
      </c>
      <c r="EM66">
        <v>14521.1</v>
      </c>
      <c r="EN66">
        <v>14702.9</v>
      </c>
      <c r="EO66">
        <v>48.375</v>
      </c>
      <c r="EP66">
        <v>50.125</v>
      </c>
      <c r="EQ66">
        <v>50.125</v>
      </c>
      <c r="ER66">
        <v>48.311999999999998</v>
      </c>
      <c r="ES66">
        <v>49.875</v>
      </c>
      <c r="ET66">
        <v>1755.73</v>
      </c>
      <c r="EU66">
        <v>39.479999999999997</v>
      </c>
      <c r="EV66">
        <v>0</v>
      </c>
      <c r="EW66">
        <v>187.39999985694891</v>
      </c>
      <c r="EX66">
        <v>0</v>
      </c>
      <c r="EY66">
        <v>740.67907692307699</v>
      </c>
      <c r="EZ66">
        <v>-1.6916239342066659</v>
      </c>
      <c r="FA66">
        <v>49.490597990043263</v>
      </c>
      <c r="FB66">
        <v>14515.123076923081</v>
      </c>
      <c r="FC66">
        <v>15</v>
      </c>
      <c r="FD66">
        <v>1693506741.5999999</v>
      </c>
      <c r="FE66" t="s">
        <v>674</v>
      </c>
      <c r="FF66">
        <v>1693506741.5999999</v>
      </c>
      <c r="FG66">
        <v>1693506737.0999999</v>
      </c>
      <c r="FH66">
        <v>56</v>
      </c>
      <c r="FI66">
        <v>-0.47699999999999998</v>
      </c>
      <c r="FJ66">
        <v>3.0000000000000001E-3</v>
      </c>
      <c r="FK66">
        <v>-0.48299999999999998</v>
      </c>
      <c r="FL66">
        <v>7.0000000000000007E-2</v>
      </c>
      <c r="FM66">
        <v>400</v>
      </c>
      <c r="FN66">
        <v>22</v>
      </c>
      <c r="FO66">
        <v>0.28999999999999998</v>
      </c>
      <c r="FP66">
        <v>0.04</v>
      </c>
      <c r="FQ66">
        <v>40.112819847995382</v>
      </c>
      <c r="FR66">
        <v>2.4899091521671699</v>
      </c>
      <c r="FS66">
        <v>0.20454541903515119</v>
      </c>
      <c r="FT66">
        <v>0</v>
      </c>
      <c r="FU66">
        <v>0.39241965159528991</v>
      </c>
      <c r="FV66">
        <v>1.181378018224723E-3</v>
      </c>
      <c r="FW66">
        <v>7.175549639698161E-4</v>
      </c>
      <c r="FX66">
        <v>1</v>
      </c>
      <c r="FY66">
        <v>1</v>
      </c>
      <c r="FZ66">
        <v>2</v>
      </c>
      <c r="GA66" t="s">
        <v>461</v>
      </c>
      <c r="GB66">
        <v>2.9032800000000001</v>
      </c>
      <c r="GC66">
        <v>2.8178100000000001</v>
      </c>
      <c r="GD66">
        <v>8.2106700000000005E-2</v>
      </c>
      <c r="GE66">
        <v>9.11357E-2</v>
      </c>
      <c r="GF66">
        <v>0.13444400000000001</v>
      </c>
      <c r="GG66">
        <v>0.112986</v>
      </c>
      <c r="GH66">
        <v>25526.2</v>
      </c>
      <c r="GI66">
        <v>25304.1</v>
      </c>
      <c r="GJ66">
        <v>24671.5</v>
      </c>
      <c r="GK66">
        <v>24859.9</v>
      </c>
      <c r="GL66">
        <v>28353</v>
      </c>
      <c r="GM66">
        <v>28811.4</v>
      </c>
      <c r="GN66">
        <v>33355.599999999999</v>
      </c>
      <c r="GO66">
        <v>33179.199999999997</v>
      </c>
      <c r="GP66">
        <v>1.9758</v>
      </c>
      <c r="GQ66">
        <v>1.9195</v>
      </c>
      <c r="GR66">
        <v>6.9528800000000002E-2</v>
      </c>
      <c r="GS66">
        <v>0</v>
      </c>
      <c r="GT66">
        <v>28.797699999999999</v>
      </c>
      <c r="GU66">
        <v>999.9</v>
      </c>
      <c r="GV66">
        <v>63.9</v>
      </c>
      <c r="GW66">
        <v>29.6</v>
      </c>
      <c r="GX66">
        <v>26.715399999999999</v>
      </c>
      <c r="GY66">
        <v>61.596800000000002</v>
      </c>
      <c r="GZ66">
        <v>23.722000000000001</v>
      </c>
      <c r="HA66">
        <v>1</v>
      </c>
      <c r="HB66">
        <v>0.35587400000000002</v>
      </c>
      <c r="HC66">
        <v>0.55952100000000005</v>
      </c>
      <c r="HD66">
        <v>20.215699999999998</v>
      </c>
      <c r="HE66">
        <v>5.2346599999999999</v>
      </c>
      <c r="HF66">
        <v>11.9201</v>
      </c>
      <c r="HG66">
        <v>4.9596</v>
      </c>
      <c r="HH66">
        <v>3.2890000000000001</v>
      </c>
      <c r="HI66">
        <v>9999</v>
      </c>
      <c r="HJ66">
        <v>9999</v>
      </c>
      <c r="HK66">
        <v>9999</v>
      </c>
      <c r="HL66">
        <v>894.6</v>
      </c>
      <c r="HM66">
        <v>1.8803399999999999</v>
      </c>
      <c r="HN66">
        <v>1.8773500000000001</v>
      </c>
      <c r="HO66">
        <v>1.8853800000000001</v>
      </c>
      <c r="HP66">
        <v>1.88324</v>
      </c>
      <c r="HQ66">
        <v>1.8806499999999999</v>
      </c>
      <c r="HR66">
        <v>1.8797299999999999</v>
      </c>
      <c r="HS66">
        <v>1.8808499999999999</v>
      </c>
      <c r="HT66">
        <v>1.88019</v>
      </c>
      <c r="HU66">
        <v>5</v>
      </c>
      <c r="HV66">
        <v>0</v>
      </c>
      <c r="HW66">
        <v>0</v>
      </c>
      <c r="HX66">
        <v>0</v>
      </c>
      <c r="HY66" t="s">
        <v>423</v>
      </c>
      <c r="HZ66" t="s">
        <v>424</v>
      </c>
      <c r="IA66" t="s">
        <v>425</v>
      </c>
      <c r="IB66" t="s">
        <v>425</v>
      </c>
      <c r="IC66" t="s">
        <v>425</v>
      </c>
      <c r="ID66" t="s">
        <v>425</v>
      </c>
      <c r="IE66">
        <v>0</v>
      </c>
      <c r="IF66">
        <v>100</v>
      </c>
      <c r="IG66">
        <v>100</v>
      </c>
      <c r="IH66">
        <v>-0.52500000000000002</v>
      </c>
      <c r="II66">
        <v>0.21859999999999999</v>
      </c>
      <c r="IJ66">
        <v>-1.0525</v>
      </c>
      <c r="IK66">
        <v>2.21535E-3</v>
      </c>
      <c r="IL66">
        <v>-2.2967399999999998E-6</v>
      </c>
      <c r="IM66">
        <v>7.7859699999999995E-10</v>
      </c>
      <c r="IN66">
        <v>-0.16372998988605211</v>
      </c>
      <c r="IO66">
        <v>-4.1434251034592161E-3</v>
      </c>
      <c r="IP66">
        <v>8.3987709687394815E-4</v>
      </c>
      <c r="IQ66">
        <v>-7.4586254598011197E-6</v>
      </c>
      <c r="IR66">
        <v>2</v>
      </c>
      <c r="IS66">
        <v>1930</v>
      </c>
      <c r="IT66">
        <v>2</v>
      </c>
      <c r="IU66">
        <v>41</v>
      </c>
      <c r="IV66">
        <v>1.8</v>
      </c>
      <c r="IW66">
        <v>1.9</v>
      </c>
      <c r="IX66">
        <v>0.99975599999999998</v>
      </c>
      <c r="IY66">
        <v>2.49512</v>
      </c>
      <c r="IZ66">
        <v>1.24512</v>
      </c>
      <c r="JA66">
        <v>2.2729499999999998</v>
      </c>
      <c r="JB66">
        <v>1.4501999999999999</v>
      </c>
      <c r="JC66">
        <v>2.3828100000000001</v>
      </c>
      <c r="JD66">
        <v>32.775799999999997</v>
      </c>
      <c r="JE66">
        <v>15.962</v>
      </c>
      <c r="JF66">
        <v>18</v>
      </c>
      <c r="JG66">
        <v>498.56799999999998</v>
      </c>
      <c r="JH66">
        <v>513.00199999999995</v>
      </c>
      <c r="JI66">
        <v>27.4696</v>
      </c>
      <c r="JJ66">
        <v>31.953600000000002</v>
      </c>
      <c r="JK66">
        <v>30.000399999999999</v>
      </c>
      <c r="JL66">
        <v>31.8401</v>
      </c>
      <c r="JM66">
        <v>31.813500000000001</v>
      </c>
      <c r="JN66">
        <v>20.110600000000002</v>
      </c>
      <c r="JO66">
        <v>25.950500000000002</v>
      </c>
      <c r="JP66">
        <v>100</v>
      </c>
      <c r="JQ66">
        <v>27.491299999999999</v>
      </c>
      <c r="JR66">
        <v>400</v>
      </c>
      <c r="JS66">
        <v>22.0886</v>
      </c>
      <c r="JT66">
        <v>99.564300000000003</v>
      </c>
      <c r="JU66">
        <v>99.055999999999997</v>
      </c>
    </row>
    <row r="67" spans="1:281" x14ac:dyDescent="0.25">
      <c r="A67">
        <v>51</v>
      </c>
      <c r="B67">
        <v>1693506998.0999999</v>
      </c>
      <c r="C67">
        <v>11348.5</v>
      </c>
      <c r="D67" t="s">
        <v>675</v>
      </c>
      <c r="E67" t="s">
        <v>676</v>
      </c>
      <c r="F67" t="s">
        <v>413</v>
      </c>
      <c r="G67" t="s">
        <v>494</v>
      </c>
      <c r="H67" t="s">
        <v>636</v>
      </c>
      <c r="I67" t="s">
        <v>31</v>
      </c>
      <c r="J67">
        <v>1693506998.0999999</v>
      </c>
      <c r="K67">
        <f t="shared" si="46"/>
        <v>5.3445213066061906E-3</v>
      </c>
      <c r="L67">
        <f t="shared" si="47"/>
        <v>5.3445213066061905</v>
      </c>
      <c r="M67">
        <f t="shared" si="48"/>
        <v>44.489329252340525</v>
      </c>
      <c r="N67">
        <f t="shared" si="49"/>
        <v>344.43900000000002</v>
      </c>
      <c r="O67">
        <f t="shared" si="50"/>
        <v>144.42777781925943</v>
      </c>
      <c r="P67">
        <f t="shared" si="51"/>
        <v>14.395285220233415</v>
      </c>
      <c r="Q67">
        <f t="shared" si="52"/>
        <v>34.330637228088605</v>
      </c>
      <c r="R67">
        <f t="shared" si="53"/>
        <v>0.38931501101632376</v>
      </c>
      <c r="S67">
        <f t="shared" si="54"/>
        <v>2.9394878220952547</v>
      </c>
      <c r="T67">
        <f t="shared" si="55"/>
        <v>0.36277088857610618</v>
      </c>
      <c r="U67">
        <f t="shared" si="56"/>
        <v>0.22896569606494682</v>
      </c>
      <c r="V67">
        <f t="shared" si="57"/>
        <v>344.33269864437767</v>
      </c>
      <c r="W67">
        <f t="shared" si="58"/>
        <v>31.109816255292813</v>
      </c>
      <c r="X67">
        <f t="shared" si="59"/>
        <v>30.0442</v>
      </c>
      <c r="Y67">
        <f t="shared" si="60"/>
        <v>4.2712782260446094</v>
      </c>
      <c r="Z67">
        <f t="shared" si="61"/>
        <v>65.228242187558166</v>
      </c>
      <c r="AA67">
        <f t="shared" si="62"/>
        <v>2.8553696365584602</v>
      </c>
      <c r="AB67">
        <f t="shared" si="63"/>
        <v>4.3775051125064683</v>
      </c>
      <c r="AC67">
        <f t="shared" si="64"/>
        <v>1.4159085894861492</v>
      </c>
      <c r="AD67">
        <f t="shared" si="65"/>
        <v>-235.69338962133301</v>
      </c>
      <c r="AE67">
        <f t="shared" si="66"/>
        <v>67.905966508666481</v>
      </c>
      <c r="AF67">
        <f t="shared" si="67"/>
        <v>5.1497533275712186</v>
      </c>
      <c r="AG67">
        <f t="shared" si="68"/>
        <v>181.69502885928233</v>
      </c>
      <c r="AH67">
        <v>0</v>
      </c>
      <c r="AI67">
        <v>0</v>
      </c>
      <c r="AJ67">
        <f t="shared" si="69"/>
        <v>1</v>
      </c>
      <c r="AK67">
        <f t="shared" si="70"/>
        <v>0</v>
      </c>
      <c r="AL67">
        <f t="shared" si="71"/>
        <v>52546.792323873</v>
      </c>
      <c r="AM67" t="s">
        <v>417</v>
      </c>
      <c r="AN67">
        <v>10366.9</v>
      </c>
      <c r="AO67">
        <v>993.59653846153856</v>
      </c>
      <c r="AP67">
        <v>3431.87</v>
      </c>
      <c r="AQ67">
        <f t="shared" si="72"/>
        <v>0.71047955241266758</v>
      </c>
      <c r="AR67">
        <v>-3.9894345373445681</v>
      </c>
      <c r="AS67" t="s">
        <v>677</v>
      </c>
      <c r="AT67">
        <v>10470.5</v>
      </c>
      <c r="AU67">
        <v>772.64792307692301</v>
      </c>
      <c r="AV67">
        <v>1126.882558589215</v>
      </c>
      <c r="AW67">
        <f t="shared" si="73"/>
        <v>0.31434920419371049</v>
      </c>
      <c r="AX67">
        <v>0.5</v>
      </c>
      <c r="AY67">
        <f t="shared" si="74"/>
        <v>1513.0247993221885</v>
      </c>
      <c r="AZ67">
        <f t="shared" si="75"/>
        <v>44.489329252340525</v>
      </c>
      <c r="BA67">
        <f t="shared" si="76"/>
        <v>237.80907079613922</v>
      </c>
      <c r="BB67">
        <f t="shared" si="77"/>
        <v>3.2040957829245639E-2</v>
      </c>
      <c r="BC67">
        <f t="shared" si="78"/>
        <v>2.0454548913211346</v>
      </c>
      <c r="BD67">
        <f t="shared" si="79"/>
        <v>624.03963362176137</v>
      </c>
      <c r="BE67" t="s">
        <v>678</v>
      </c>
      <c r="BF67">
        <v>605.19000000000005</v>
      </c>
      <c r="BG67">
        <f t="shared" si="80"/>
        <v>605.19000000000005</v>
      </c>
      <c r="BH67">
        <f t="shared" si="81"/>
        <v>0.46295202158629623</v>
      </c>
      <c r="BI67">
        <f t="shared" si="82"/>
        <v>0.67901032836318309</v>
      </c>
      <c r="BJ67">
        <f t="shared" si="83"/>
        <v>0.81543982389615555</v>
      </c>
      <c r="BK67">
        <f t="shared" si="84"/>
        <v>2.6577028496534441</v>
      </c>
      <c r="BL67">
        <f t="shared" si="85"/>
        <v>0.94533590172302573</v>
      </c>
      <c r="BM67">
        <f t="shared" si="86"/>
        <v>0.53184671614163337</v>
      </c>
      <c r="BN67">
        <f t="shared" si="87"/>
        <v>0.46815328385836663</v>
      </c>
      <c r="BO67">
        <v>7844</v>
      </c>
      <c r="BP67">
        <v>290.00000000000011</v>
      </c>
      <c r="BQ67">
        <v>1028.8699999999999</v>
      </c>
      <c r="BR67">
        <v>165</v>
      </c>
      <c r="BS67">
        <v>10470.5</v>
      </c>
      <c r="BT67">
        <v>1026.06</v>
      </c>
      <c r="BU67">
        <v>2.81</v>
      </c>
      <c r="BV67">
        <v>300.00000000000011</v>
      </c>
      <c r="BW67">
        <v>38.200000000000003</v>
      </c>
      <c r="BX67">
        <v>1126.882558589215</v>
      </c>
      <c r="BY67">
        <v>1.320370811606721</v>
      </c>
      <c r="BZ67">
        <v>-105.5621806164588</v>
      </c>
      <c r="CA67">
        <v>1.131515762031079</v>
      </c>
      <c r="CB67">
        <v>0.99679323140393772</v>
      </c>
      <c r="CC67">
        <v>-1.136823670745273E-2</v>
      </c>
      <c r="CD67">
        <v>289.99999999999989</v>
      </c>
      <c r="CE67">
        <v>1014.29</v>
      </c>
      <c r="CF67">
        <v>645</v>
      </c>
      <c r="CG67">
        <v>10447.4</v>
      </c>
      <c r="CH67">
        <v>1025.8399999999999</v>
      </c>
      <c r="CI67">
        <v>-11.55</v>
      </c>
      <c r="CW67">
        <f t="shared" si="88"/>
        <v>1799.81</v>
      </c>
      <c r="CX67">
        <f t="shared" si="89"/>
        <v>1513.0247993221885</v>
      </c>
      <c r="CY67">
        <f t="shared" si="90"/>
        <v>0.84065806908628615</v>
      </c>
      <c r="CZ67">
        <f t="shared" si="91"/>
        <v>0.19131613817257248</v>
      </c>
      <c r="DA67">
        <v>6</v>
      </c>
      <c r="DB67">
        <v>0.5</v>
      </c>
      <c r="DC67" t="s">
        <v>420</v>
      </c>
      <c r="DD67">
        <v>2</v>
      </c>
      <c r="DE67">
        <v>1693506998.0999999</v>
      </c>
      <c r="DF67">
        <v>344.43900000000002</v>
      </c>
      <c r="DG67">
        <v>400.02100000000002</v>
      </c>
      <c r="DH67">
        <v>28.6479</v>
      </c>
      <c r="DI67">
        <v>22.419799999999999</v>
      </c>
      <c r="DJ67">
        <v>345.01299999999998</v>
      </c>
      <c r="DK67">
        <v>28.4209</v>
      </c>
      <c r="DL67">
        <v>500.12799999999999</v>
      </c>
      <c r="DM67">
        <v>99.571899999999999</v>
      </c>
      <c r="DN67">
        <v>9.9267400000000006E-2</v>
      </c>
      <c r="DO67">
        <v>30.4727</v>
      </c>
      <c r="DP67">
        <v>30.0442</v>
      </c>
      <c r="DQ67">
        <v>999.9</v>
      </c>
      <c r="DR67">
        <v>0</v>
      </c>
      <c r="DS67">
        <v>0</v>
      </c>
      <c r="DT67">
        <v>10100</v>
      </c>
      <c r="DU67">
        <v>0</v>
      </c>
      <c r="DV67">
        <v>1550.49</v>
      </c>
      <c r="DW67">
        <v>-55.582799999999999</v>
      </c>
      <c r="DX67">
        <v>354.59699999999998</v>
      </c>
      <c r="DY67">
        <v>409.19499999999999</v>
      </c>
      <c r="DZ67">
        <v>6.22811</v>
      </c>
      <c r="EA67">
        <v>400.02100000000002</v>
      </c>
      <c r="EB67">
        <v>22.419799999999999</v>
      </c>
      <c r="EC67">
        <v>2.8525299999999998</v>
      </c>
      <c r="ED67">
        <v>2.23238</v>
      </c>
      <c r="EE67">
        <v>23.191299999999998</v>
      </c>
      <c r="EF67">
        <v>19.1966</v>
      </c>
      <c r="EG67">
        <v>1799.81</v>
      </c>
      <c r="EH67">
        <v>0.97800399999999998</v>
      </c>
      <c r="EI67">
        <v>2.1995799999999999E-2</v>
      </c>
      <c r="EJ67">
        <v>0</v>
      </c>
      <c r="EK67">
        <v>774.37800000000004</v>
      </c>
      <c r="EL67">
        <v>5.0010300000000001</v>
      </c>
      <c r="EM67">
        <v>15145.6</v>
      </c>
      <c r="EN67">
        <v>14699.5</v>
      </c>
      <c r="EO67">
        <v>48.436999999999998</v>
      </c>
      <c r="EP67">
        <v>50.061999999999998</v>
      </c>
      <c r="EQ67">
        <v>50.125</v>
      </c>
      <c r="ER67">
        <v>48.375</v>
      </c>
      <c r="ES67">
        <v>49.875</v>
      </c>
      <c r="ET67">
        <v>1755.33</v>
      </c>
      <c r="EU67">
        <v>39.479999999999997</v>
      </c>
      <c r="EV67">
        <v>0</v>
      </c>
      <c r="EW67">
        <v>147.79999995231631</v>
      </c>
      <c r="EX67">
        <v>0</v>
      </c>
      <c r="EY67">
        <v>772.64792307692301</v>
      </c>
      <c r="EZ67">
        <v>13.52936752512456</v>
      </c>
      <c r="FA67">
        <v>282.19487219095549</v>
      </c>
      <c r="FB67">
        <v>15113.561538461539</v>
      </c>
      <c r="FC67">
        <v>15</v>
      </c>
      <c r="FD67">
        <v>1693506952.0999999</v>
      </c>
      <c r="FE67" t="s">
        <v>679</v>
      </c>
      <c r="FF67">
        <v>1693506941.0999999</v>
      </c>
      <c r="FG67">
        <v>1693506952.0999999</v>
      </c>
      <c r="FH67">
        <v>57</v>
      </c>
      <c r="FI67">
        <v>-4.4999999999999998E-2</v>
      </c>
      <c r="FJ67">
        <v>1E-3</v>
      </c>
      <c r="FK67">
        <v>-0.52800000000000002</v>
      </c>
      <c r="FL67">
        <v>7.9000000000000001E-2</v>
      </c>
      <c r="FM67">
        <v>400</v>
      </c>
      <c r="FN67">
        <v>22</v>
      </c>
      <c r="FO67">
        <v>0.12</v>
      </c>
      <c r="FP67">
        <v>0.04</v>
      </c>
      <c r="FQ67">
        <v>44.339093665870507</v>
      </c>
      <c r="FR67">
        <v>0.31799801513943099</v>
      </c>
      <c r="FS67">
        <v>7.7035583854704978E-2</v>
      </c>
      <c r="FT67">
        <v>1</v>
      </c>
      <c r="FU67">
        <v>0.39093401966052238</v>
      </c>
      <c r="FV67">
        <v>1.7617457276943228E-2</v>
      </c>
      <c r="FW67">
        <v>1.5855672821904279E-3</v>
      </c>
      <c r="FX67">
        <v>1</v>
      </c>
      <c r="FY67">
        <v>2</v>
      </c>
      <c r="FZ67">
        <v>2</v>
      </c>
      <c r="GA67" t="s">
        <v>422</v>
      </c>
      <c r="GB67">
        <v>2.9029400000000001</v>
      </c>
      <c r="GC67">
        <v>2.8181500000000002</v>
      </c>
      <c r="GD67">
        <v>8.1208799999999998E-2</v>
      </c>
      <c r="GE67">
        <v>9.1117699999999996E-2</v>
      </c>
      <c r="GF67">
        <v>0.135321</v>
      </c>
      <c r="GG67">
        <v>0.11408</v>
      </c>
      <c r="GH67">
        <v>25550.1</v>
      </c>
      <c r="GI67">
        <v>25302.7</v>
      </c>
      <c r="GJ67">
        <v>24670.400000000001</v>
      </c>
      <c r="GK67">
        <v>24858.1</v>
      </c>
      <c r="GL67">
        <v>28323.1</v>
      </c>
      <c r="GM67">
        <v>28773.200000000001</v>
      </c>
      <c r="GN67">
        <v>33354.5</v>
      </c>
      <c r="GO67">
        <v>33176.300000000003</v>
      </c>
      <c r="GP67">
        <v>1.9755</v>
      </c>
      <c r="GQ67">
        <v>1.9207000000000001</v>
      </c>
      <c r="GR67">
        <v>7.1003999999999998E-2</v>
      </c>
      <c r="GS67">
        <v>0</v>
      </c>
      <c r="GT67">
        <v>28.887699999999999</v>
      </c>
      <c r="GU67">
        <v>999.9</v>
      </c>
      <c r="GV67">
        <v>63.9</v>
      </c>
      <c r="GW67">
        <v>29.5</v>
      </c>
      <c r="GX67">
        <v>26.5656</v>
      </c>
      <c r="GY67">
        <v>61.416800000000002</v>
      </c>
      <c r="GZ67">
        <v>23.818100000000001</v>
      </c>
      <c r="HA67">
        <v>1</v>
      </c>
      <c r="HB67">
        <v>0.35729699999999998</v>
      </c>
      <c r="HC67">
        <v>1.11273</v>
      </c>
      <c r="HD67">
        <v>20.212800000000001</v>
      </c>
      <c r="HE67">
        <v>5.2346599999999999</v>
      </c>
      <c r="HF67">
        <v>11.9201</v>
      </c>
      <c r="HG67">
        <v>4.9618000000000002</v>
      </c>
      <c r="HH67">
        <v>3.2890000000000001</v>
      </c>
      <c r="HI67">
        <v>9999</v>
      </c>
      <c r="HJ67">
        <v>9999</v>
      </c>
      <c r="HK67">
        <v>9999</v>
      </c>
      <c r="HL67">
        <v>894.6</v>
      </c>
      <c r="HM67">
        <v>1.8803399999999999</v>
      </c>
      <c r="HN67">
        <v>1.87744</v>
      </c>
      <c r="HO67">
        <v>1.8853800000000001</v>
      </c>
      <c r="HP67">
        <v>1.88324</v>
      </c>
      <c r="HQ67">
        <v>1.8806499999999999</v>
      </c>
      <c r="HR67">
        <v>1.8797299999999999</v>
      </c>
      <c r="HS67">
        <v>1.8808499999999999</v>
      </c>
      <c r="HT67">
        <v>1.8802000000000001</v>
      </c>
      <c r="HU67">
        <v>5</v>
      </c>
      <c r="HV67">
        <v>0</v>
      </c>
      <c r="HW67">
        <v>0</v>
      </c>
      <c r="HX67">
        <v>0</v>
      </c>
      <c r="HY67" t="s">
        <v>423</v>
      </c>
      <c r="HZ67" t="s">
        <v>424</v>
      </c>
      <c r="IA67" t="s">
        <v>425</v>
      </c>
      <c r="IB67" t="s">
        <v>425</v>
      </c>
      <c r="IC67" t="s">
        <v>425</v>
      </c>
      <c r="ID67" t="s">
        <v>425</v>
      </c>
      <c r="IE67">
        <v>0</v>
      </c>
      <c r="IF67">
        <v>100</v>
      </c>
      <c r="IG67">
        <v>100</v>
      </c>
      <c r="IH67">
        <v>-0.57399999999999995</v>
      </c>
      <c r="II67">
        <v>0.22700000000000001</v>
      </c>
      <c r="IJ67">
        <v>-1.0970534303990209</v>
      </c>
      <c r="IK67">
        <v>2.2153513873161218E-3</v>
      </c>
      <c r="IL67">
        <v>-2.2967369670569612E-6</v>
      </c>
      <c r="IM67">
        <v>7.7859689150384122E-10</v>
      </c>
      <c r="IN67">
        <v>-0.16241918217248069</v>
      </c>
      <c r="IO67">
        <v>-4.1434251034592161E-3</v>
      </c>
      <c r="IP67">
        <v>8.3987709687394815E-4</v>
      </c>
      <c r="IQ67">
        <v>-7.4586254598011197E-6</v>
      </c>
      <c r="IR67">
        <v>2</v>
      </c>
      <c r="IS67">
        <v>1930</v>
      </c>
      <c r="IT67">
        <v>2</v>
      </c>
      <c r="IU67">
        <v>41</v>
      </c>
      <c r="IV67">
        <v>0.9</v>
      </c>
      <c r="IW67">
        <v>0.8</v>
      </c>
      <c r="IX67">
        <v>0.99975599999999998</v>
      </c>
      <c r="IY67">
        <v>2.49512</v>
      </c>
      <c r="IZ67">
        <v>1.24512</v>
      </c>
      <c r="JA67">
        <v>2.2729499999999998</v>
      </c>
      <c r="JB67">
        <v>1.4501999999999999</v>
      </c>
      <c r="JC67">
        <v>2.3754900000000001</v>
      </c>
      <c r="JD67">
        <v>32.731299999999997</v>
      </c>
      <c r="JE67">
        <v>15.9445</v>
      </c>
      <c r="JF67">
        <v>18</v>
      </c>
      <c r="JG67">
        <v>498.553</v>
      </c>
      <c r="JH67">
        <v>514.12800000000004</v>
      </c>
      <c r="JI67">
        <v>27.278700000000001</v>
      </c>
      <c r="JJ67">
        <v>31.970500000000001</v>
      </c>
      <c r="JK67">
        <v>30.000599999999999</v>
      </c>
      <c r="JL67">
        <v>31.8627</v>
      </c>
      <c r="JM67">
        <v>31.838699999999999</v>
      </c>
      <c r="JN67">
        <v>20.1188</v>
      </c>
      <c r="JO67">
        <v>24.7576</v>
      </c>
      <c r="JP67">
        <v>100</v>
      </c>
      <c r="JQ67">
        <v>27.200099999999999</v>
      </c>
      <c r="JR67">
        <v>400</v>
      </c>
      <c r="JS67">
        <v>22.333400000000001</v>
      </c>
      <c r="JT67">
        <v>99.560599999999994</v>
      </c>
      <c r="JU67">
        <v>99.048000000000002</v>
      </c>
    </row>
    <row r="68" spans="1:281" x14ac:dyDescent="0.25">
      <c r="A68">
        <v>52</v>
      </c>
      <c r="B68">
        <v>1693507100.0999999</v>
      </c>
      <c r="C68">
        <v>11450.5</v>
      </c>
      <c r="D68" t="s">
        <v>680</v>
      </c>
      <c r="E68" t="s">
        <v>681</v>
      </c>
      <c r="F68" t="s">
        <v>413</v>
      </c>
      <c r="G68" t="s">
        <v>494</v>
      </c>
      <c r="H68" t="s">
        <v>636</v>
      </c>
      <c r="I68" t="s">
        <v>31</v>
      </c>
      <c r="J68">
        <v>1693507100.0999999</v>
      </c>
      <c r="K68">
        <f t="shared" si="46"/>
        <v>5.3440263457702397E-3</v>
      </c>
      <c r="L68">
        <f t="shared" si="47"/>
        <v>5.3440263457702395</v>
      </c>
      <c r="M68">
        <f t="shared" si="48"/>
        <v>48.112108655913723</v>
      </c>
      <c r="N68">
        <f t="shared" si="49"/>
        <v>439.416</v>
      </c>
      <c r="O68">
        <f t="shared" si="50"/>
        <v>222.71531569788641</v>
      </c>
      <c r="P68">
        <f t="shared" si="51"/>
        <v>22.197795740299458</v>
      </c>
      <c r="Q68">
        <f t="shared" si="52"/>
        <v>43.796119644734397</v>
      </c>
      <c r="R68">
        <f t="shared" si="53"/>
        <v>0.39165886505366393</v>
      </c>
      <c r="S68">
        <f t="shared" si="54"/>
        <v>2.9228536338591358</v>
      </c>
      <c r="T68">
        <f t="shared" si="55"/>
        <v>0.36466445323578078</v>
      </c>
      <c r="U68">
        <f t="shared" si="56"/>
        <v>0.23018539334234911</v>
      </c>
      <c r="V68">
        <f t="shared" si="57"/>
        <v>344.37639864455087</v>
      </c>
      <c r="W68">
        <f t="shared" si="58"/>
        <v>31.045501633119873</v>
      </c>
      <c r="X68">
        <f t="shared" si="59"/>
        <v>30.001100000000001</v>
      </c>
      <c r="Y68">
        <f t="shared" si="60"/>
        <v>4.2607189682508402</v>
      </c>
      <c r="Z68">
        <f t="shared" si="61"/>
        <v>65.410958306639273</v>
      </c>
      <c r="AA68">
        <f t="shared" si="62"/>
        <v>2.8522255809377999</v>
      </c>
      <c r="AB68">
        <f t="shared" si="63"/>
        <v>4.3604705614721082</v>
      </c>
      <c r="AC68">
        <f t="shared" si="64"/>
        <v>1.4084933873130403</v>
      </c>
      <c r="AD68">
        <f t="shared" si="65"/>
        <v>-235.67156184846758</v>
      </c>
      <c r="AE68">
        <f t="shared" si="66"/>
        <v>63.582273141325253</v>
      </c>
      <c r="AF68">
        <f t="shared" si="67"/>
        <v>4.8466339493667929</v>
      </c>
      <c r="AG68">
        <f t="shared" si="68"/>
        <v>177.13374388677533</v>
      </c>
      <c r="AH68">
        <v>0</v>
      </c>
      <c r="AI68">
        <v>0</v>
      </c>
      <c r="AJ68">
        <f t="shared" si="69"/>
        <v>1</v>
      </c>
      <c r="AK68">
        <f t="shared" si="70"/>
        <v>0</v>
      </c>
      <c r="AL68">
        <f t="shared" si="71"/>
        <v>52083.440031595761</v>
      </c>
      <c r="AM68" t="s">
        <v>417</v>
      </c>
      <c r="AN68">
        <v>10366.9</v>
      </c>
      <c r="AO68">
        <v>993.59653846153856</v>
      </c>
      <c r="AP68">
        <v>3431.87</v>
      </c>
      <c r="AQ68">
        <f t="shared" si="72"/>
        <v>0.71047955241266758</v>
      </c>
      <c r="AR68">
        <v>-3.9894345373445681</v>
      </c>
      <c r="AS68" t="s">
        <v>682</v>
      </c>
      <c r="AT68">
        <v>10468.799999999999</v>
      </c>
      <c r="AU68">
        <v>806.03707692307705</v>
      </c>
      <c r="AV68">
        <v>1206.66057190945</v>
      </c>
      <c r="AW68">
        <f t="shared" si="73"/>
        <v>0.33201009821048211</v>
      </c>
      <c r="AX68">
        <v>0.5</v>
      </c>
      <c r="AY68">
        <f t="shared" si="74"/>
        <v>1513.2179993222753</v>
      </c>
      <c r="AZ68">
        <f t="shared" si="75"/>
        <v>48.112108655913723</v>
      </c>
      <c r="BA68">
        <f t="shared" si="76"/>
        <v>251.20182828442893</v>
      </c>
      <c r="BB68">
        <f t="shared" si="77"/>
        <v>3.4430956555230645E-2</v>
      </c>
      <c r="BC68">
        <f t="shared" si="78"/>
        <v>1.8441055255243175</v>
      </c>
      <c r="BD68">
        <f t="shared" si="79"/>
        <v>647.75571116639833</v>
      </c>
      <c r="BE68" t="s">
        <v>683</v>
      </c>
      <c r="BF68">
        <v>618.53</v>
      </c>
      <c r="BG68">
        <f t="shared" si="80"/>
        <v>618.53</v>
      </c>
      <c r="BH68">
        <f t="shared" si="81"/>
        <v>0.48740348827241242</v>
      </c>
      <c r="BI68">
        <f t="shared" si="82"/>
        <v>0.68118121063778658</v>
      </c>
      <c r="BJ68">
        <f t="shared" si="83"/>
        <v>0.79094934422805274</v>
      </c>
      <c r="BK68">
        <f t="shared" si="84"/>
        <v>1.8802962119099977</v>
      </c>
      <c r="BL68">
        <f t="shared" si="85"/>
        <v>0.91261684269266663</v>
      </c>
      <c r="BM68">
        <f t="shared" si="86"/>
        <v>0.52271914813665477</v>
      </c>
      <c r="BN68">
        <f t="shared" si="87"/>
        <v>0.47728085186334523</v>
      </c>
      <c r="BO68">
        <v>7846</v>
      </c>
      <c r="BP68">
        <v>290.00000000000011</v>
      </c>
      <c r="BQ68">
        <v>1097.6300000000001</v>
      </c>
      <c r="BR68">
        <v>175</v>
      </c>
      <c r="BS68">
        <v>10468.799999999999</v>
      </c>
      <c r="BT68">
        <v>1095.54</v>
      </c>
      <c r="BU68">
        <v>2.09</v>
      </c>
      <c r="BV68">
        <v>300.00000000000011</v>
      </c>
      <c r="BW68">
        <v>38.200000000000003</v>
      </c>
      <c r="BX68">
        <v>1206.66057190945</v>
      </c>
      <c r="BY68">
        <v>1.50597966719402</v>
      </c>
      <c r="BZ68">
        <v>-116.327896250782</v>
      </c>
      <c r="CA68">
        <v>1.290546268933731</v>
      </c>
      <c r="CB68">
        <v>0.99656565943127906</v>
      </c>
      <c r="CC68">
        <v>-1.136780289210234E-2</v>
      </c>
      <c r="CD68">
        <v>289.99999999999989</v>
      </c>
      <c r="CE68">
        <v>1083.69</v>
      </c>
      <c r="CF68">
        <v>645</v>
      </c>
      <c r="CG68">
        <v>10447.4</v>
      </c>
      <c r="CH68">
        <v>1095.31</v>
      </c>
      <c r="CI68">
        <v>-11.62</v>
      </c>
      <c r="CW68">
        <f t="shared" si="88"/>
        <v>1800.04</v>
      </c>
      <c r="CX68">
        <f t="shared" si="89"/>
        <v>1513.2179993222753</v>
      </c>
      <c r="CY68">
        <f t="shared" si="90"/>
        <v>0.84065798500159739</v>
      </c>
      <c r="CZ68">
        <f t="shared" si="91"/>
        <v>0.19131597000319486</v>
      </c>
      <c r="DA68">
        <v>6</v>
      </c>
      <c r="DB68">
        <v>0.5</v>
      </c>
      <c r="DC68" t="s">
        <v>420</v>
      </c>
      <c r="DD68">
        <v>2</v>
      </c>
      <c r="DE68">
        <v>1693507100.0999999</v>
      </c>
      <c r="DF68">
        <v>439.416</v>
      </c>
      <c r="DG68">
        <v>499.97800000000001</v>
      </c>
      <c r="DH68">
        <v>28.617000000000001</v>
      </c>
      <c r="DI68">
        <v>22.386700000000001</v>
      </c>
      <c r="DJ68">
        <v>440.00200000000001</v>
      </c>
      <c r="DK68">
        <v>28.3933</v>
      </c>
      <c r="DL68">
        <v>499.92099999999999</v>
      </c>
      <c r="DM68">
        <v>99.569000000000003</v>
      </c>
      <c r="DN68">
        <v>9.9923399999999996E-2</v>
      </c>
      <c r="DO68">
        <v>30.404599999999999</v>
      </c>
      <c r="DP68">
        <v>30.001100000000001</v>
      </c>
      <c r="DQ68">
        <v>999.9</v>
      </c>
      <c r="DR68">
        <v>0</v>
      </c>
      <c r="DS68">
        <v>0</v>
      </c>
      <c r="DT68">
        <v>10005</v>
      </c>
      <c r="DU68">
        <v>0</v>
      </c>
      <c r="DV68">
        <v>1545</v>
      </c>
      <c r="DW68">
        <v>-60.561999999999998</v>
      </c>
      <c r="DX68">
        <v>452.36099999999999</v>
      </c>
      <c r="DY68">
        <v>511.42700000000002</v>
      </c>
      <c r="DZ68">
        <v>6.23027</v>
      </c>
      <c r="EA68">
        <v>499.97800000000001</v>
      </c>
      <c r="EB68">
        <v>22.386700000000001</v>
      </c>
      <c r="EC68">
        <v>2.84937</v>
      </c>
      <c r="ED68">
        <v>2.2290299999999998</v>
      </c>
      <c r="EE68">
        <v>23.172899999999998</v>
      </c>
      <c r="EF68">
        <v>19.172499999999999</v>
      </c>
      <c r="EG68">
        <v>1800.04</v>
      </c>
      <c r="EH68">
        <v>0.97800799999999999</v>
      </c>
      <c r="EI68">
        <v>2.1992100000000001E-2</v>
      </c>
      <c r="EJ68">
        <v>0</v>
      </c>
      <c r="EK68">
        <v>806.57799999999997</v>
      </c>
      <c r="EL68">
        <v>5.0010300000000001</v>
      </c>
      <c r="EM68">
        <v>15736.2</v>
      </c>
      <c r="EN68">
        <v>14701.5</v>
      </c>
      <c r="EO68">
        <v>48.5</v>
      </c>
      <c r="EP68">
        <v>50.186999999999998</v>
      </c>
      <c r="EQ68">
        <v>50.186999999999998</v>
      </c>
      <c r="ER68">
        <v>48.375</v>
      </c>
      <c r="ES68">
        <v>49.875</v>
      </c>
      <c r="ET68">
        <v>1755.56</v>
      </c>
      <c r="EU68">
        <v>39.479999999999997</v>
      </c>
      <c r="EV68">
        <v>0</v>
      </c>
      <c r="EW68">
        <v>100.19999980926509</v>
      </c>
      <c r="EX68">
        <v>0</v>
      </c>
      <c r="EY68">
        <v>806.03707692307705</v>
      </c>
      <c r="EZ68">
        <v>5.2492307607009643</v>
      </c>
      <c r="FA68">
        <v>60.256410141202601</v>
      </c>
      <c r="FB68">
        <v>15730.70384615385</v>
      </c>
      <c r="FC68">
        <v>15</v>
      </c>
      <c r="FD68">
        <v>1693507069.0999999</v>
      </c>
      <c r="FE68" t="s">
        <v>684</v>
      </c>
      <c r="FF68">
        <v>1693507068.0999999</v>
      </c>
      <c r="FG68">
        <v>1693507069.0999999</v>
      </c>
      <c r="FH68">
        <v>58</v>
      </c>
      <c r="FI68">
        <v>-8.5000000000000006E-2</v>
      </c>
      <c r="FJ68">
        <v>-3.0000000000000001E-3</v>
      </c>
      <c r="FK68">
        <v>-0.55100000000000005</v>
      </c>
      <c r="FL68">
        <v>7.9000000000000001E-2</v>
      </c>
      <c r="FM68">
        <v>500</v>
      </c>
      <c r="FN68">
        <v>22</v>
      </c>
      <c r="FO68">
        <v>0.12</v>
      </c>
      <c r="FP68">
        <v>0.05</v>
      </c>
      <c r="FQ68">
        <v>48.157962066955527</v>
      </c>
      <c r="FR68">
        <v>-0.49706825812851507</v>
      </c>
      <c r="FS68">
        <v>7.1732697094392936E-2</v>
      </c>
      <c r="FT68">
        <v>1</v>
      </c>
      <c r="FU68">
        <v>0.39241928873843163</v>
      </c>
      <c r="FV68">
        <v>3.5257469447586197E-2</v>
      </c>
      <c r="FW68">
        <v>3.3737184020155861E-3</v>
      </c>
      <c r="FX68">
        <v>1</v>
      </c>
      <c r="FY68">
        <v>2</v>
      </c>
      <c r="FZ68">
        <v>2</v>
      </c>
      <c r="GA68" t="s">
        <v>422</v>
      </c>
      <c r="GB68">
        <v>2.90225</v>
      </c>
      <c r="GC68">
        <v>2.8179799999999999</v>
      </c>
      <c r="GD68">
        <v>9.7949300000000003E-2</v>
      </c>
      <c r="GE68">
        <v>0.107638</v>
      </c>
      <c r="GF68">
        <v>0.135214</v>
      </c>
      <c r="GG68">
        <v>0.11395</v>
      </c>
      <c r="GH68">
        <v>25083.3</v>
      </c>
      <c r="GI68">
        <v>24841.200000000001</v>
      </c>
      <c r="GJ68">
        <v>24669.200000000001</v>
      </c>
      <c r="GK68">
        <v>24856.5</v>
      </c>
      <c r="GL68">
        <v>28325.4</v>
      </c>
      <c r="GM68">
        <v>28775.4</v>
      </c>
      <c r="GN68">
        <v>33352.699999999997</v>
      </c>
      <c r="GO68">
        <v>33173.800000000003</v>
      </c>
      <c r="GP68">
        <v>1.9743999999999999</v>
      </c>
      <c r="GQ68">
        <v>1.9198</v>
      </c>
      <c r="GR68">
        <v>6.1959E-2</v>
      </c>
      <c r="GS68">
        <v>0</v>
      </c>
      <c r="GT68">
        <v>28.992000000000001</v>
      </c>
      <c r="GU68">
        <v>999.9</v>
      </c>
      <c r="GV68">
        <v>64.099999999999994</v>
      </c>
      <c r="GW68">
        <v>29.5</v>
      </c>
      <c r="GX68">
        <v>26.651399999999999</v>
      </c>
      <c r="GY68">
        <v>61.536799999999999</v>
      </c>
      <c r="GZ68">
        <v>24.318899999999999</v>
      </c>
      <c r="HA68">
        <v>1</v>
      </c>
      <c r="HB68">
        <v>0.36089399999999999</v>
      </c>
      <c r="HC68">
        <v>0.84103499999999998</v>
      </c>
      <c r="HD68">
        <v>20.214600000000001</v>
      </c>
      <c r="HE68">
        <v>5.2340600000000004</v>
      </c>
      <c r="HF68">
        <v>11.9201</v>
      </c>
      <c r="HG68">
        <v>4.9611999999999998</v>
      </c>
      <c r="HH68">
        <v>3.2890000000000001</v>
      </c>
      <c r="HI68">
        <v>9999</v>
      </c>
      <c r="HJ68">
        <v>9999</v>
      </c>
      <c r="HK68">
        <v>9999</v>
      </c>
      <c r="HL68">
        <v>894.6</v>
      </c>
      <c r="HM68">
        <v>1.8803399999999999</v>
      </c>
      <c r="HN68">
        <v>1.87741</v>
      </c>
      <c r="HO68">
        <v>1.8853800000000001</v>
      </c>
      <c r="HP68">
        <v>1.88324</v>
      </c>
      <c r="HQ68">
        <v>1.8806499999999999</v>
      </c>
      <c r="HR68">
        <v>1.8797299999999999</v>
      </c>
      <c r="HS68">
        <v>1.88089</v>
      </c>
      <c r="HT68">
        <v>1.8802300000000001</v>
      </c>
      <c r="HU68">
        <v>5</v>
      </c>
      <c r="HV68">
        <v>0</v>
      </c>
      <c r="HW68">
        <v>0</v>
      </c>
      <c r="HX68">
        <v>0</v>
      </c>
      <c r="HY68" t="s">
        <v>423</v>
      </c>
      <c r="HZ68" t="s">
        <v>424</v>
      </c>
      <c r="IA68" t="s">
        <v>425</v>
      </c>
      <c r="IB68" t="s">
        <v>425</v>
      </c>
      <c r="IC68" t="s">
        <v>425</v>
      </c>
      <c r="ID68" t="s">
        <v>425</v>
      </c>
      <c r="IE68">
        <v>0</v>
      </c>
      <c r="IF68">
        <v>100</v>
      </c>
      <c r="IG68">
        <v>100</v>
      </c>
      <c r="IH68">
        <v>-0.58599999999999997</v>
      </c>
      <c r="II68">
        <v>0.22370000000000001</v>
      </c>
      <c r="IJ68">
        <v>-1.1823061191909641</v>
      </c>
      <c r="IK68">
        <v>2.2153513873161218E-3</v>
      </c>
      <c r="IL68">
        <v>-2.2967369670569612E-6</v>
      </c>
      <c r="IM68">
        <v>7.7859689150384122E-10</v>
      </c>
      <c r="IN68">
        <v>-0.16499041421417021</v>
      </c>
      <c r="IO68">
        <v>-4.1434251034592161E-3</v>
      </c>
      <c r="IP68">
        <v>8.3987709687394815E-4</v>
      </c>
      <c r="IQ68">
        <v>-7.4586254598011197E-6</v>
      </c>
      <c r="IR68">
        <v>2</v>
      </c>
      <c r="IS68">
        <v>1930</v>
      </c>
      <c r="IT68">
        <v>2</v>
      </c>
      <c r="IU68">
        <v>41</v>
      </c>
      <c r="IV68">
        <v>0.5</v>
      </c>
      <c r="IW68">
        <v>0.5</v>
      </c>
      <c r="IX68">
        <v>1.1938500000000001</v>
      </c>
      <c r="IY68">
        <v>2.48047</v>
      </c>
      <c r="IZ68">
        <v>1.24512</v>
      </c>
      <c r="JA68">
        <v>2.2729499999999998</v>
      </c>
      <c r="JB68">
        <v>1.4501999999999999</v>
      </c>
      <c r="JC68">
        <v>2.4597199999999999</v>
      </c>
      <c r="JD68">
        <v>32.731299999999997</v>
      </c>
      <c r="JE68">
        <v>15.9445</v>
      </c>
      <c r="JF68">
        <v>18</v>
      </c>
      <c r="JG68">
        <v>498.18700000000001</v>
      </c>
      <c r="JH68">
        <v>513.81899999999996</v>
      </c>
      <c r="JI68">
        <v>26.943100000000001</v>
      </c>
      <c r="JJ68">
        <v>32.024099999999997</v>
      </c>
      <c r="JK68">
        <v>29.9998</v>
      </c>
      <c r="JL68">
        <v>31.907900000000001</v>
      </c>
      <c r="JM68">
        <v>31.8782</v>
      </c>
      <c r="JN68">
        <v>23.9953</v>
      </c>
      <c r="JO68">
        <v>25.386099999999999</v>
      </c>
      <c r="JP68">
        <v>100</v>
      </c>
      <c r="JQ68">
        <v>26.898800000000001</v>
      </c>
      <c r="JR68">
        <v>500</v>
      </c>
      <c r="JS68">
        <v>22.252099999999999</v>
      </c>
      <c r="JT68">
        <v>99.555400000000006</v>
      </c>
      <c r="JU68">
        <v>99.0411</v>
      </c>
    </row>
    <row r="69" spans="1:281" x14ac:dyDescent="0.25">
      <c r="A69">
        <v>53</v>
      </c>
      <c r="B69">
        <v>1693507206.5999999</v>
      </c>
      <c r="C69">
        <v>11557</v>
      </c>
      <c r="D69" t="s">
        <v>685</v>
      </c>
      <c r="E69" t="s">
        <v>686</v>
      </c>
      <c r="F69" t="s">
        <v>413</v>
      </c>
      <c r="G69" t="s">
        <v>494</v>
      </c>
      <c r="H69" t="s">
        <v>636</v>
      </c>
      <c r="I69" t="s">
        <v>31</v>
      </c>
      <c r="J69">
        <v>1693507206.5999999</v>
      </c>
      <c r="K69">
        <f t="shared" si="46"/>
        <v>5.1495952478506773E-3</v>
      </c>
      <c r="L69">
        <f t="shared" si="47"/>
        <v>5.1495952478506775</v>
      </c>
      <c r="M69">
        <f t="shared" si="48"/>
        <v>49.488792840502114</v>
      </c>
      <c r="N69">
        <f t="shared" si="49"/>
        <v>636.78599999999994</v>
      </c>
      <c r="O69">
        <f t="shared" si="50"/>
        <v>398.78891129070729</v>
      </c>
      <c r="P69">
        <f t="shared" si="51"/>
        <v>39.747057496831694</v>
      </c>
      <c r="Q69">
        <f t="shared" si="52"/>
        <v>63.468088100189995</v>
      </c>
      <c r="R69">
        <f t="shared" si="53"/>
        <v>0.37178302626022081</v>
      </c>
      <c r="S69">
        <f t="shared" si="54"/>
        <v>2.9175911728010924</v>
      </c>
      <c r="T69">
        <f t="shared" si="55"/>
        <v>0.34732640928493408</v>
      </c>
      <c r="U69">
        <f t="shared" si="56"/>
        <v>0.21914212877282863</v>
      </c>
      <c r="V69">
        <f t="shared" si="57"/>
        <v>344.39159864461112</v>
      </c>
      <c r="W69">
        <f t="shared" si="58"/>
        <v>31.073014747174593</v>
      </c>
      <c r="X69">
        <f t="shared" si="59"/>
        <v>29.973299999999998</v>
      </c>
      <c r="Y69">
        <f t="shared" si="60"/>
        <v>4.2539202002300911</v>
      </c>
      <c r="Z69">
        <f t="shared" si="61"/>
        <v>64.961504930657938</v>
      </c>
      <c r="AA69">
        <f t="shared" si="62"/>
        <v>2.8286877662904999</v>
      </c>
      <c r="AB69">
        <f t="shared" si="63"/>
        <v>4.3544061507040741</v>
      </c>
      <c r="AC69">
        <f t="shared" si="64"/>
        <v>1.4252324339395912</v>
      </c>
      <c r="AD69">
        <f t="shared" si="65"/>
        <v>-227.09715043021487</v>
      </c>
      <c r="AE69">
        <f t="shared" si="66"/>
        <v>64.018322350377375</v>
      </c>
      <c r="AF69">
        <f t="shared" si="67"/>
        <v>4.8874142439089479</v>
      </c>
      <c r="AG69">
        <f t="shared" si="68"/>
        <v>186.20018480868259</v>
      </c>
      <c r="AH69">
        <v>0</v>
      </c>
      <c r="AI69">
        <v>0</v>
      </c>
      <c r="AJ69">
        <f t="shared" si="69"/>
        <v>1</v>
      </c>
      <c r="AK69">
        <f t="shared" si="70"/>
        <v>0</v>
      </c>
      <c r="AL69">
        <f t="shared" si="71"/>
        <v>51937.659599644903</v>
      </c>
      <c r="AM69" t="s">
        <v>417</v>
      </c>
      <c r="AN69">
        <v>10366.9</v>
      </c>
      <c r="AO69">
        <v>993.59653846153856</v>
      </c>
      <c r="AP69">
        <v>3431.87</v>
      </c>
      <c r="AQ69">
        <f t="shared" si="72"/>
        <v>0.71047955241266758</v>
      </c>
      <c r="AR69">
        <v>-3.9894345373445681</v>
      </c>
      <c r="AS69" t="s">
        <v>687</v>
      </c>
      <c r="AT69">
        <v>10479.6</v>
      </c>
      <c r="AU69">
        <v>816.08780000000002</v>
      </c>
      <c r="AV69">
        <v>1239.886838705851</v>
      </c>
      <c r="AW69">
        <f t="shared" si="73"/>
        <v>0.34180461109515214</v>
      </c>
      <c r="AX69">
        <v>0.5</v>
      </c>
      <c r="AY69">
        <f t="shared" si="74"/>
        <v>1513.2851993223055</v>
      </c>
      <c r="AZ69">
        <f t="shared" si="75"/>
        <v>49.488792840502114</v>
      </c>
      <c r="BA69">
        <f t="shared" si="76"/>
        <v>258.62392951520519</v>
      </c>
      <c r="BB69">
        <f t="shared" si="77"/>
        <v>3.5339159731289142E-2</v>
      </c>
      <c r="BC69">
        <f t="shared" si="78"/>
        <v>1.7678896919190314</v>
      </c>
      <c r="BD69">
        <f t="shared" si="79"/>
        <v>657.21002039505004</v>
      </c>
      <c r="BE69" t="s">
        <v>688</v>
      </c>
      <c r="BF69">
        <v>624.42999999999995</v>
      </c>
      <c r="BG69">
        <f t="shared" si="80"/>
        <v>624.42999999999995</v>
      </c>
      <c r="BH69">
        <f t="shared" si="81"/>
        <v>0.49638145957597435</v>
      </c>
      <c r="BI69">
        <f t="shared" si="82"/>
        <v>0.68859262267195276</v>
      </c>
      <c r="BJ69">
        <f t="shared" si="83"/>
        <v>0.78077649434864105</v>
      </c>
      <c r="BK69">
        <f t="shared" si="84"/>
        <v>1.7207297172704541</v>
      </c>
      <c r="BL69">
        <f t="shared" si="85"/>
        <v>0.89898987782571671</v>
      </c>
      <c r="BM69">
        <f t="shared" si="86"/>
        <v>0.5268769994785456</v>
      </c>
      <c r="BN69">
        <f t="shared" si="87"/>
        <v>0.4731230005214544</v>
      </c>
      <c r="BO69">
        <v>7848</v>
      </c>
      <c r="BP69">
        <v>290.00000000000011</v>
      </c>
      <c r="BQ69">
        <v>1123.3599999999999</v>
      </c>
      <c r="BR69">
        <v>115</v>
      </c>
      <c r="BS69">
        <v>10479.6</v>
      </c>
      <c r="BT69">
        <v>1121.46</v>
      </c>
      <c r="BU69">
        <v>1.9</v>
      </c>
      <c r="BV69">
        <v>300.00000000000011</v>
      </c>
      <c r="BW69">
        <v>38.200000000000003</v>
      </c>
      <c r="BX69">
        <v>1239.886838705851</v>
      </c>
      <c r="BY69">
        <v>1.4207140291857221</v>
      </c>
      <c r="BZ69">
        <v>-124.1098861578826</v>
      </c>
      <c r="CA69">
        <v>1.2175359870121381</v>
      </c>
      <c r="CB69">
        <v>0.99731255134970509</v>
      </c>
      <c r="CC69">
        <v>-1.136906473859845E-2</v>
      </c>
      <c r="CD69">
        <v>289.99999999999989</v>
      </c>
      <c r="CE69">
        <v>1108.55</v>
      </c>
      <c r="CF69">
        <v>665</v>
      </c>
      <c r="CG69">
        <v>10446</v>
      </c>
      <c r="CH69">
        <v>1121.08</v>
      </c>
      <c r="CI69">
        <v>-12.53</v>
      </c>
      <c r="CW69">
        <f t="shared" si="88"/>
        <v>1800.12</v>
      </c>
      <c r="CX69">
        <f t="shared" si="89"/>
        <v>1513.2851993223055</v>
      </c>
      <c r="CY69">
        <f t="shared" si="90"/>
        <v>0.84065795575978575</v>
      </c>
      <c r="CZ69">
        <f t="shared" si="91"/>
        <v>0.19131591151957156</v>
      </c>
      <c r="DA69">
        <v>6</v>
      </c>
      <c r="DB69">
        <v>0.5</v>
      </c>
      <c r="DC69" t="s">
        <v>420</v>
      </c>
      <c r="DD69">
        <v>2</v>
      </c>
      <c r="DE69">
        <v>1693507206.5999999</v>
      </c>
      <c r="DF69">
        <v>636.78599999999994</v>
      </c>
      <c r="DG69">
        <v>700.02599999999995</v>
      </c>
      <c r="DH69">
        <v>28.380700000000001</v>
      </c>
      <c r="DI69">
        <v>22.3843</v>
      </c>
      <c r="DJ69">
        <v>637.51700000000005</v>
      </c>
      <c r="DK69">
        <v>28.163799999999998</v>
      </c>
      <c r="DL69">
        <v>500.64499999999998</v>
      </c>
      <c r="DM69">
        <v>99.568799999999996</v>
      </c>
      <c r="DN69">
        <v>0.100615</v>
      </c>
      <c r="DO69">
        <v>30.380299999999998</v>
      </c>
      <c r="DP69">
        <v>29.973299999999998</v>
      </c>
      <c r="DQ69">
        <v>999.9</v>
      </c>
      <c r="DR69">
        <v>0</v>
      </c>
      <c r="DS69">
        <v>0</v>
      </c>
      <c r="DT69">
        <v>9975</v>
      </c>
      <c r="DU69">
        <v>0</v>
      </c>
      <c r="DV69">
        <v>1536.27</v>
      </c>
      <c r="DW69">
        <v>-63.240200000000002</v>
      </c>
      <c r="DX69">
        <v>655.38699999999994</v>
      </c>
      <c r="DY69">
        <v>716.05499999999995</v>
      </c>
      <c r="DZ69">
        <v>5.9964000000000004</v>
      </c>
      <c r="EA69">
        <v>700.02599999999995</v>
      </c>
      <c r="EB69">
        <v>22.3843</v>
      </c>
      <c r="EC69">
        <v>2.8258299999999998</v>
      </c>
      <c r="ED69">
        <v>2.22878</v>
      </c>
      <c r="EE69">
        <v>23.035799999999998</v>
      </c>
      <c r="EF69">
        <v>19.1707</v>
      </c>
      <c r="EG69">
        <v>1800.12</v>
      </c>
      <c r="EH69">
        <v>0.97800799999999999</v>
      </c>
      <c r="EI69">
        <v>2.1992100000000001E-2</v>
      </c>
      <c r="EJ69">
        <v>0</v>
      </c>
      <c r="EK69">
        <v>816.16700000000003</v>
      </c>
      <c r="EL69">
        <v>5.0010300000000001</v>
      </c>
      <c r="EM69">
        <v>15915.5</v>
      </c>
      <c r="EN69">
        <v>14702.1</v>
      </c>
      <c r="EO69">
        <v>48.375</v>
      </c>
      <c r="EP69">
        <v>50.061999999999998</v>
      </c>
      <c r="EQ69">
        <v>50.25</v>
      </c>
      <c r="ER69">
        <v>48.25</v>
      </c>
      <c r="ES69">
        <v>49.936999999999998</v>
      </c>
      <c r="ET69">
        <v>1755.64</v>
      </c>
      <c r="EU69">
        <v>39.479999999999997</v>
      </c>
      <c r="EV69">
        <v>0</v>
      </c>
      <c r="EW69">
        <v>104.3999998569489</v>
      </c>
      <c r="EX69">
        <v>0</v>
      </c>
      <c r="EY69">
        <v>816.08780000000002</v>
      </c>
      <c r="EZ69">
        <v>-0.64107692082919132</v>
      </c>
      <c r="FA69">
        <v>27.492307784887561</v>
      </c>
      <c r="FB69">
        <v>15907.616</v>
      </c>
      <c r="FC69">
        <v>15</v>
      </c>
      <c r="FD69">
        <v>1693507165.0999999</v>
      </c>
      <c r="FE69" t="s">
        <v>689</v>
      </c>
      <c r="FF69">
        <v>1693507165.0999999</v>
      </c>
      <c r="FG69">
        <v>1693507164.5999999</v>
      </c>
      <c r="FH69">
        <v>59</v>
      </c>
      <c r="FI69">
        <v>-0.22900000000000001</v>
      </c>
      <c r="FJ69">
        <v>-1E-3</v>
      </c>
      <c r="FK69">
        <v>-0.71899999999999997</v>
      </c>
      <c r="FL69">
        <v>7.4999999999999997E-2</v>
      </c>
      <c r="FM69">
        <v>700</v>
      </c>
      <c r="FN69">
        <v>22</v>
      </c>
      <c r="FO69">
        <v>0.15</v>
      </c>
      <c r="FP69">
        <v>0.04</v>
      </c>
      <c r="FQ69">
        <v>49.460584675507512</v>
      </c>
      <c r="FR69">
        <v>-0.25275862236480012</v>
      </c>
      <c r="FS69">
        <v>0.1135950485125246</v>
      </c>
      <c r="FT69">
        <v>1</v>
      </c>
      <c r="FU69">
        <v>0.37713303916926982</v>
      </c>
      <c r="FV69">
        <v>-4.9848033899835893E-2</v>
      </c>
      <c r="FW69">
        <v>3.6714456918541128E-3</v>
      </c>
      <c r="FX69">
        <v>1</v>
      </c>
      <c r="FY69">
        <v>2</v>
      </c>
      <c r="FZ69">
        <v>2</v>
      </c>
      <c r="GA69" t="s">
        <v>422</v>
      </c>
      <c r="GB69">
        <v>2.9041199999999998</v>
      </c>
      <c r="GC69">
        <v>2.8184100000000001</v>
      </c>
      <c r="GD69">
        <v>0.12796199999999999</v>
      </c>
      <c r="GE69">
        <v>0.136406</v>
      </c>
      <c r="GF69">
        <v>0.13445799999999999</v>
      </c>
      <c r="GG69">
        <v>0.11393499999999999</v>
      </c>
      <c r="GH69">
        <v>24247.3</v>
      </c>
      <c r="GI69">
        <v>24038.2</v>
      </c>
      <c r="GJ69">
        <v>24667.8</v>
      </c>
      <c r="GK69">
        <v>24854.5</v>
      </c>
      <c r="GL69">
        <v>28348.799999999999</v>
      </c>
      <c r="GM69">
        <v>28774.2</v>
      </c>
      <c r="GN69">
        <v>33350.6</v>
      </c>
      <c r="GO69">
        <v>33171.800000000003</v>
      </c>
      <c r="GP69">
        <v>1.9736</v>
      </c>
      <c r="GQ69">
        <v>1.9198</v>
      </c>
      <c r="GR69">
        <v>7.3015700000000003E-2</v>
      </c>
      <c r="GS69">
        <v>0</v>
      </c>
      <c r="GT69">
        <v>28.783899999999999</v>
      </c>
      <c r="GU69">
        <v>999.9</v>
      </c>
      <c r="GV69">
        <v>64.2</v>
      </c>
      <c r="GW69">
        <v>29.5</v>
      </c>
      <c r="GX69">
        <v>26.690899999999999</v>
      </c>
      <c r="GY69">
        <v>62.006799999999998</v>
      </c>
      <c r="GZ69">
        <v>23.117000000000001</v>
      </c>
      <c r="HA69">
        <v>1</v>
      </c>
      <c r="HB69">
        <v>0.363039</v>
      </c>
      <c r="HC69">
        <v>0.75972799999999996</v>
      </c>
      <c r="HD69">
        <v>20.214700000000001</v>
      </c>
      <c r="HE69">
        <v>5.2340600000000004</v>
      </c>
      <c r="HF69">
        <v>11.9201</v>
      </c>
      <c r="HG69">
        <v>4.96</v>
      </c>
      <c r="HH69">
        <v>3.2890000000000001</v>
      </c>
      <c r="HI69">
        <v>9999</v>
      </c>
      <c r="HJ69">
        <v>9999</v>
      </c>
      <c r="HK69">
        <v>9999</v>
      </c>
      <c r="HL69">
        <v>894.7</v>
      </c>
      <c r="HM69">
        <v>1.8803399999999999</v>
      </c>
      <c r="HN69">
        <v>1.87738</v>
      </c>
      <c r="HO69">
        <v>1.88533</v>
      </c>
      <c r="HP69">
        <v>1.88324</v>
      </c>
      <c r="HQ69">
        <v>1.8806499999999999</v>
      </c>
      <c r="HR69">
        <v>1.8797299999999999</v>
      </c>
      <c r="HS69">
        <v>1.8808499999999999</v>
      </c>
      <c r="HT69">
        <v>1.88019</v>
      </c>
      <c r="HU69">
        <v>5</v>
      </c>
      <c r="HV69">
        <v>0</v>
      </c>
      <c r="HW69">
        <v>0</v>
      </c>
      <c r="HX69">
        <v>0</v>
      </c>
      <c r="HY69" t="s">
        <v>423</v>
      </c>
      <c r="HZ69" t="s">
        <v>424</v>
      </c>
      <c r="IA69" t="s">
        <v>425</v>
      </c>
      <c r="IB69" t="s">
        <v>425</v>
      </c>
      <c r="IC69" t="s">
        <v>425</v>
      </c>
      <c r="ID69" t="s">
        <v>425</v>
      </c>
      <c r="IE69">
        <v>0</v>
      </c>
      <c r="IF69">
        <v>100</v>
      </c>
      <c r="IG69">
        <v>100</v>
      </c>
      <c r="IH69">
        <v>-0.73099999999999998</v>
      </c>
      <c r="II69">
        <v>0.21690000000000001</v>
      </c>
      <c r="IJ69">
        <v>-1.4113892751871131</v>
      </c>
      <c r="IK69">
        <v>2.2153513873161218E-3</v>
      </c>
      <c r="IL69">
        <v>-2.2967369670569612E-6</v>
      </c>
      <c r="IM69">
        <v>7.7859689150384122E-10</v>
      </c>
      <c r="IN69">
        <v>-0.16595596677400279</v>
      </c>
      <c r="IO69">
        <v>-4.1434251034592161E-3</v>
      </c>
      <c r="IP69">
        <v>8.3987709687394815E-4</v>
      </c>
      <c r="IQ69">
        <v>-7.4586254598011197E-6</v>
      </c>
      <c r="IR69">
        <v>2</v>
      </c>
      <c r="IS69">
        <v>1930</v>
      </c>
      <c r="IT69">
        <v>2</v>
      </c>
      <c r="IU69">
        <v>41</v>
      </c>
      <c r="IV69">
        <v>0.7</v>
      </c>
      <c r="IW69">
        <v>0.7</v>
      </c>
      <c r="IX69">
        <v>1.56372</v>
      </c>
      <c r="IY69">
        <v>2.4841299999999999</v>
      </c>
      <c r="IZ69">
        <v>1.24512</v>
      </c>
      <c r="JA69">
        <v>2.2729499999999998</v>
      </c>
      <c r="JB69">
        <v>1.4501999999999999</v>
      </c>
      <c r="JC69">
        <v>2.2277800000000001</v>
      </c>
      <c r="JD69">
        <v>32.709099999999999</v>
      </c>
      <c r="JE69">
        <v>15.927</v>
      </c>
      <c r="JF69">
        <v>18</v>
      </c>
      <c r="JG69">
        <v>497.86099999999999</v>
      </c>
      <c r="JH69">
        <v>514.05200000000002</v>
      </c>
      <c r="JI69">
        <v>27.492899999999999</v>
      </c>
      <c r="JJ69">
        <v>32.049500000000002</v>
      </c>
      <c r="JK69">
        <v>29.9999</v>
      </c>
      <c r="JL69">
        <v>31.933299999999999</v>
      </c>
      <c r="JM69">
        <v>31.903500000000001</v>
      </c>
      <c r="JN69">
        <v>31.394100000000002</v>
      </c>
      <c r="JO69">
        <v>24.960999999999999</v>
      </c>
      <c r="JP69">
        <v>100</v>
      </c>
      <c r="JQ69">
        <v>27.4876</v>
      </c>
      <c r="JR69">
        <v>700</v>
      </c>
      <c r="JS69">
        <v>22.3416</v>
      </c>
      <c r="JT69">
        <v>99.549499999999995</v>
      </c>
      <c r="JU69">
        <v>99.034199999999998</v>
      </c>
    </row>
    <row r="70" spans="1:281" x14ac:dyDescent="0.25">
      <c r="A70">
        <v>54</v>
      </c>
      <c r="B70">
        <v>1693507320.5999999</v>
      </c>
      <c r="C70">
        <v>11671</v>
      </c>
      <c r="D70" t="s">
        <v>690</v>
      </c>
      <c r="E70" t="s">
        <v>691</v>
      </c>
      <c r="F70" t="s">
        <v>413</v>
      </c>
      <c r="G70" t="s">
        <v>494</v>
      </c>
      <c r="H70" t="s">
        <v>636</v>
      </c>
      <c r="I70" t="s">
        <v>31</v>
      </c>
      <c r="J70">
        <v>1693507320.5999999</v>
      </c>
      <c r="K70">
        <f t="shared" si="46"/>
        <v>4.9703091938036901E-3</v>
      </c>
      <c r="L70">
        <f t="shared" si="47"/>
        <v>4.9703091938036899</v>
      </c>
      <c r="M70">
        <f t="shared" si="48"/>
        <v>49.40565527348749</v>
      </c>
      <c r="N70">
        <f t="shared" si="49"/>
        <v>835.66200000000003</v>
      </c>
      <c r="O70">
        <f t="shared" si="50"/>
        <v>587.30698763258192</v>
      </c>
      <c r="P70">
        <f t="shared" si="51"/>
        <v>58.53055082605777</v>
      </c>
      <c r="Q70">
        <f t="shared" si="52"/>
        <v>83.281415331983396</v>
      </c>
      <c r="R70">
        <f t="shared" si="53"/>
        <v>0.36106847396580094</v>
      </c>
      <c r="S70">
        <f t="shared" si="54"/>
        <v>2.9165466629266317</v>
      </c>
      <c r="T70">
        <f t="shared" si="55"/>
        <v>0.33794648540604466</v>
      </c>
      <c r="U70">
        <f t="shared" si="56"/>
        <v>0.21317046388429112</v>
      </c>
      <c r="V70">
        <f t="shared" si="57"/>
        <v>344.38209864457349</v>
      </c>
      <c r="W70">
        <f t="shared" si="58"/>
        <v>31.109404171844471</v>
      </c>
      <c r="X70">
        <f t="shared" si="59"/>
        <v>29.988299999999999</v>
      </c>
      <c r="Y70">
        <f t="shared" si="60"/>
        <v>4.2575874248474399</v>
      </c>
      <c r="Z70">
        <f t="shared" si="61"/>
        <v>65.354390431607953</v>
      </c>
      <c r="AA70">
        <f t="shared" si="62"/>
        <v>2.8440845208776695</v>
      </c>
      <c r="AB70">
        <f t="shared" si="63"/>
        <v>4.351788000920835</v>
      </c>
      <c r="AC70">
        <f t="shared" si="64"/>
        <v>1.4135029039697704</v>
      </c>
      <c r="AD70">
        <f t="shared" si="65"/>
        <v>-219.19063544674273</v>
      </c>
      <c r="AE70">
        <f t="shared" si="66"/>
        <v>59.985863498384184</v>
      </c>
      <c r="AF70">
        <f t="shared" si="67"/>
        <v>4.5813020764816983</v>
      </c>
      <c r="AG70">
        <f t="shared" si="68"/>
        <v>189.75862877269662</v>
      </c>
      <c r="AH70">
        <v>0</v>
      </c>
      <c r="AI70">
        <v>0</v>
      </c>
      <c r="AJ70">
        <f t="shared" si="69"/>
        <v>1</v>
      </c>
      <c r="AK70">
        <f t="shared" si="70"/>
        <v>0</v>
      </c>
      <c r="AL70">
        <f t="shared" si="71"/>
        <v>51909.515771005063</v>
      </c>
      <c r="AM70" t="s">
        <v>417</v>
      </c>
      <c r="AN70">
        <v>10366.9</v>
      </c>
      <c r="AO70">
        <v>993.59653846153856</v>
      </c>
      <c r="AP70">
        <v>3431.87</v>
      </c>
      <c r="AQ70">
        <f t="shared" si="72"/>
        <v>0.71047955241266758</v>
      </c>
      <c r="AR70">
        <v>-3.9894345373445681</v>
      </c>
      <c r="AS70" t="s">
        <v>692</v>
      </c>
      <c r="AT70">
        <v>10463</v>
      </c>
      <c r="AU70">
        <v>815.52095999999995</v>
      </c>
      <c r="AV70">
        <v>1247.449647590239</v>
      </c>
      <c r="AW70">
        <f t="shared" si="73"/>
        <v>0.34624939645829977</v>
      </c>
      <c r="AX70">
        <v>0.5</v>
      </c>
      <c r="AY70">
        <f t="shared" si="74"/>
        <v>1513.2431993222865</v>
      </c>
      <c r="AZ70">
        <f t="shared" si="75"/>
        <v>49.40565527348749</v>
      </c>
      <c r="BA70">
        <f t="shared" si="76"/>
        <v>261.97977222998418</v>
      </c>
      <c r="BB70">
        <f t="shared" si="77"/>
        <v>3.5285200577637038E-2</v>
      </c>
      <c r="BC70">
        <f t="shared" si="78"/>
        <v>1.7511090380517687</v>
      </c>
      <c r="BD70">
        <f t="shared" si="79"/>
        <v>659.32879261006383</v>
      </c>
      <c r="BE70" t="s">
        <v>693</v>
      </c>
      <c r="BF70">
        <v>625.64</v>
      </c>
      <c r="BG70">
        <f t="shared" si="80"/>
        <v>625.64</v>
      </c>
      <c r="BH70">
        <f t="shared" si="81"/>
        <v>0.49846472664561647</v>
      </c>
      <c r="BI70">
        <f t="shared" si="82"/>
        <v>0.69463169197219021</v>
      </c>
      <c r="BJ70">
        <f t="shared" si="83"/>
        <v>0.77841814548692057</v>
      </c>
      <c r="BK70">
        <f t="shared" si="84"/>
        <v>1.7014906339841458</v>
      </c>
      <c r="BL70">
        <f t="shared" si="85"/>
        <v>0.89588817122730424</v>
      </c>
      <c r="BM70">
        <f t="shared" si="86"/>
        <v>0.53289785680736046</v>
      </c>
      <c r="BN70">
        <f t="shared" si="87"/>
        <v>0.46710214319263954</v>
      </c>
      <c r="BO70">
        <v>7850</v>
      </c>
      <c r="BP70">
        <v>290.00000000000011</v>
      </c>
      <c r="BQ70">
        <v>1128.31</v>
      </c>
      <c r="BR70">
        <v>215</v>
      </c>
      <c r="BS70">
        <v>10463</v>
      </c>
      <c r="BT70">
        <v>1126.9000000000001</v>
      </c>
      <c r="BU70">
        <v>1.41</v>
      </c>
      <c r="BV70">
        <v>300.00000000000011</v>
      </c>
      <c r="BW70">
        <v>38.200000000000003</v>
      </c>
      <c r="BX70">
        <v>1247.449647590239</v>
      </c>
      <c r="BY70">
        <v>1.2872703842223521</v>
      </c>
      <c r="BZ70">
        <v>-126.1312802328713</v>
      </c>
      <c r="CA70">
        <v>1.103156817728886</v>
      </c>
      <c r="CB70">
        <v>0.99786273813856252</v>
      </c>
      <c r="CC70">
        <v>-1.1368373303670749E-2</v>
      </c>
      <c r="CD70">
        <v>289.99999999999989</v>
      </c>
      <c r="CE70">
        <v>1112.98</v>
      </c>
      <c r="CF70">
        <v>625</v>
      </c>
      <c r="CG70">
        <v>10449.299999999999</v>
      </c>
      <c r="CH70">
        <v>1126.74</v>
      </c>
      <c r="CI70">
        <v>-13.76</v>
      </c>
      <c r="CW70">
        <f t="shared" si="88"/>
        <v>1800.07</v>
      </c>
      <c r="CX70">
        <f t="shared" si="89"/>
        <v>1513.2431993222865</v>
      </c>
      <c r="CY70">
        <f t="shared" si="90"/>
        <v>0.84065797403561338</v>
      </c>
      <c r="CZ70">
        <f t="shared" si="91"/>
        <v>0.19131594807122695</v>
      </c>
      <c r="DA70">
        <v>6</v>
      </c>
      <c r="DB70">
        <v>0.5</v>
      </c>
      <c r="DC70" t="s">
        <v>420</v>
      </c>
      <c r="DD70">
        <v>2</v>
      </c>
      <c r="DE70">
        <v>1693507320.5999999</v>
      </c>
      <c r="DF70">
        <v>835.66200000000003</v>
      </c>
      <c r="DG70">
        <v>899.92899999999997</v>
      </c>
      <c r="DH70">
        <v>28.5381</v>
      </c>
      <c r="DI70">
        <v>22.744299999999999</v>
      </c>
      <c r="DJ70">
        <v>836.52200000000005</v>
      </c>
      <c r="DK70">
        <v>28.3139</v>
      </c>
      <c r="DL70">
        <v>500.03100000000001</v>
      </c>
      <c r="DM70">
        <v>99.559299999999993</v>
      </c>
      <c r="DN70">
        <v>9.9910700000000005E-2</v>
      </c>
      <c r="DO70">
        <v>30.369800000000001</v>
      </c>
      <c r="DP70">
        <v>29.988299999999999</v>
      </c>
      <c r="DQ70">
        <v>999.9</v>
      </c>
      <c r="DR70">
        <v>0</v>
      </c>
      <c r="DS70">
        <v>0</v>
      </c>
      <c r="DT70">
        <v>9970</v>
      </c>
      <c r="DU70">
        <v>0</v>
      </c>
      <c r="DV70">
        <v>1527.04</v>
      </c>
      <c r="DW70">
        <v>-64.267600000000002</v>
      </c>
      <c r="DX70">
        <v>860.21</v>
      </c>
      <c r="DY70">
        <v>920.87400000000002</v>
      </c>
      <c r="DZ70">
        <v>5.7938299999999998</v>
      </c>
      <c r="EA70">
        <v>899.92899999999997</v>
      </c>
      <c r="EB70">
        <v>22.744299999999999</v>
      </c>
      <c r="EC70">
        <v>2.84124</v>
      </c>
      <c r="ED70">
        <v>2.2644099999999998</v>
      </c>
      <c r="EE70">
        <v>23.125599999999999</v>
      </c>
      <c r="EF70">
        <v>19.4254</v>
      </c>
      <c r="EG70">
        <v>1800.07</v>
      </c>
      <c r="EH70">
        <v>0.97800799999999999</v>
      </c>
      <c r="EI70">
        <v>2.1992100000000001E-2</v>
      </c>
      <c r="EJ70">
        <v>0</v>
      </c>
      <c r="EK70">
        <v>815.745</v>
      </c>
      <c r="EL70">
        <v>5.0010300000000001</v>
      </c>
      <c r="EM70">
        <v>15908.9</v>
      </c>
      <c r="EN70">
        <v>14701.7</v>
      </c>
      <c r="EO70">
        <v>48.375</v>
      </c>
      <c r="EP70">
        <v>50</v>
      </c>
      <c r="EQ70">
        <v>50.125</v>
      </c>
      <c r="ER70">
        <v>48.311999999999998</v>
      </c>
      <c r="ES70">
        <v>49.936999999999998</v>
      </c>
      <c r="ET70">
        <v>1755.59</v>
      </c>
      <c r="EU70">
        <v>39.479999999999997</v>
      </c>
      <c r="EV70">
        <v>0</v>
      </c>
      <c r="EW70">
        <v>111.7999999523163</v>
      </c>
      <c r="EX70">
        <v>0</v>
      </c>
      <c r="EY70">
        <v>815.52095999999995</v>
      </c>
      <c r="EZ70">
        <v>-0.52592307729610599</v>
      </c>
      <c r="FA70">
        <v>-62.199999482205563</v>
      </c>
      <c r="FB70">
        <v>15897.68</v>
      </c>
      <c r="FC70">
        <v>15</v>
      </c>
      <c r="FD70">
        <v>1693507291.5999999</v>
      </c>
      <c r="FE70" t="s">
        <v>694</v>
      </c>
      <c r="FF70">
        <v>1693507291.5999999</v>
      </c>
      <c r="FG70">
        <v>1693507278.0999999</v>
      </c>
      <c r="FH70">
        <v>60</v>
      </c>
      <c r="FI70">
        <v>-0.151</v>
      </c>
      <c r="FJ70">
        <v>4.0000000000000001E-3</v>
      </c>
      <c r="FK70">
        <v>-0.86099999999999999</v>
      </c>
      <c r="FL70">
        <v>8.3000000000000004E-2</v>
      </c>
      <c r="FM70">
        <v>900</v>
      </c>
      <c r="FN70">
        <v>23</v>
      </c>
      <c r="FO70">
        <v>0.16</v>
      </c>
      <c r="FP70">
        <v>0.06</v>
      </c>
      <c r="FQ70">
        <v>49.579580925984487</v>
      </c>
      <c r="FR70">
        <v>-0.40372345818291328</v>
      </c>
      <c r="FS70">
        <v>0.14685445724679039</v>
      </c>
      <c r="FT70">
        <v>1</v>
      </c>
      <c r="FU70">
        <v>0.366602515479104</v>
      </c>
      <c r="FV70">
        <v>-7.3425883373771689E-4</v>
      </c>
      <c r="FW70">
        <v>3.9121664283593514E-3</v>
      </c>
      <c r="FX70">
        <v>1</v>
      </c>
      <c r="FY70">
        <v>2</v>
      </c>
      <c r="FZ70">
        <v>2</v>
      </c>
      <c r="GA70" t="s">
        <v>422</v>
      </c>
      <c r="GB70">
        <v>2.90252</v>
      </c>
      <c r="GC70">
        <v>2.81765</v>
      </c>
      <c r="GD70">
        <v>0.153698</v>
      </c>
      <c r="GE70">
        <v>0.16114800000000001</v>
      </c>
      <c r="GF70">
        <v>0.134934</v>
      </c>
      <c r="GG70">
        <v>0.115185</v>
      </c>
      <c r="GH70">
        <v>23531.599999999999</v>
      </c>
      <c r="GI70">
        <v>23348.6</v>
      </c>
      <c r="GJ70">
        <v>24668</v>
      </c>
      <c r="GK70">
        <v>24853.9</v>
      </c>
      <c r="GL70">
        <v>28333.3</v>
      </c>
      <c r="GM70">
        <v>28733.200000000001</v>
      </c>
      <c r="GN70">
        <v>33351</v>
      </c>
      <c r="GO70">
        <v>33171.800000000003</v>
      </c>
      <c r="GP70">
        <v>1.974</v>
      </c>
      <c r="GQ70">
        <v>1.9216</v>
      </c>
      <c r="GR70">
        <v>7.2404700000000002E-2</v>
      </c>
      <c r="GS70">
        <v>0</v>
      </c>
      <c r="GT70">
        <v>28.808800000000002</v>
      </c>
      <c r="GU70">
        <v>999.9</v>
      </c>
      <c r="GV70">
        <v>64.3</v>
      </c>
      <c r="GW70">
        <v>29.5</v>
      </c>
      <c r="GX70">
        <v>26.737200000000001</v>
      </c>
      <c r="GY70">
        <v>61.946800000000003</v>
      </c>
      <c r="GZ70">
        <v>24.118600000000001</v>
      </c>
      <c r="HA70">
        <v>1</v>
      </c>
      <c r="HB70">
        <v>0.36343500000000001</v>
      </c>
      <c r="HC70">
        <v>-0.86780999999999997</v>
      </c>
      <c r="HD70">
        <v>20.212700000000002</v>
      </c>
      <c r="HE70">
        <v>5.23346</v>
      </c>
      <c r="HF70">
        <v>11.9201</v>
      </c>
      <c r="HG70">
        <v>4.9614000000000003</v>
      </c>
      <c r="HH70">
        <v>3.2890000000000001</v>
      </c>
      <c r="HI70">
        <v>9999</v>
      </c>
      <c r="HJ70">
        <v>9999</v>
      </c>
      <c r="HK70">
        <v>9999</v>
      </c>
      <c r="HL70">
        <v>894.7</v>
      </c>
      <c r="HM70">
        <v>1.8803399999999999</v>
      </c>
      <c r="HN70">
        <v>1.8774</v>
      </c>
      <c r="HO70">
        <v>1.8853500000000001</v>
      </c>
      <c r="HP70">
        <v>1.8832100000000001</v>
      </c>
      <c r="HQ70">
        <v>1.88063</v>
      </c>
      <c r="HR70">
        <v>1.8797299999999999</v>
      </c>
      <c r="HS70">
        <v>1.88083</v>
      </c>
      <c r="HT70">
        <v>1.8802000000000001</v>
      </c>
      <c r="HU70">
        <v>5</v>
      </c>
      <c r="HV70">
        <v>0</v>
      </c>
      <c r="HW70">
        <v>0</v>
      </c>
      <c r="HX70">
        <v>0</v>
      </c>
      <c r="HY70" t="s">
        <v>423</v>
      </c>
      <c r="HZ70" t="s">
        <v>424</v>
      </c>
      <c r="IA70" t="s">
        <v>425</v>
      </c>
      <c r="IB70" t="s">
        <v>425</v>
      </c>
      <c r="IC70" t="s">
        <v>425</v>
      </c>
      <c r="ID70" t="s">
        <v>425</v>
      </c>
      <c r="IE70">
        <v>0</v>
      </c>
      <c r="IF70">
        <v>100</v>
      </c>
      <c r="IG70">
        <v>100</v>
      </c>
      <c r="IH70">
        <v>-0.86</v>
      </c>
      <c r="II70">
        <v>0.22420000000000001</v>
      </c>
      <c r="IJ70">
        <v>-1.562314024405475</v>
      </c>
      <c r="IK70">
        <v>2.2153513873161218E-3</v>
      </c>
      <c r="IL70">
        <v>-2.2967369670569612E-6</v>
      </c>
      <c r="IM70">
        <v>7.7859689150384122E-10</v>
      </c>
      <c r="IN70">
        <v>-0.16243020560717619</v>
      </c>
      <c r="IO70">
        <v>-4.1434251034592161E-3</v>
      </c>
      <c r="IP70">
        <v>8.3987709687394815E-4</v>
      </c>
      <c r="IQ70">
        <v>-7.4586254598011197E-6</v>
      </c>
      <c r="IR70">
        <v>2</v>
      </c>
      <c r="IS70">
        <v>1930</v>
      </c>
      <c r="IT70">
        <v>2</v>
      </c>
      <c r="IU70">
        <v>41</v>
      </c>
      <c r="IV70">
        <v>0.5</v>
      </c>
      <c r="IW70">
        <v>0.7</v>
      </c>
      <c r="IX70">
        <v>1.9152800000000001</v>
      </c>
      <c r="IY70">
        <v>2.4694799999999999</v>
      </c>
      <c r="IZ70">
        <v>1.24512</v>
      </c>
      <c r="JA70">
        <v>2.2729499999999998</v>
      </c>
      <c r="JB70">
        <v>1.4501999999999999</v>
      </c>
      <c r="JC70">
        <v>2.4047900000000002</v>
      </c>
      <c r="JD70">
        <v>32.686900000000001</v>
      </c>
      <c r="JE70">
        <v>15.927</v>
      </c>
      <c r="JF70">
        <v>18</v>
      </c>
      <c r="JG70">
        <v>498.15499999999997</v>
      </c>
      <c r="JH70">
        <v>515.44899999999996</v>
      </c>
      <c r="JI70">
        <v>26.820399999999999</v>
      </c>
      <c r="JJ70">
        <v>32.035299999999999</v>
      </c>
      <c r="JK70">
        <v>29.9999</v>
      </c>
      <c r="JL70">
        <v>31.9361</v>
      </c>
      <c r="JM70">
        <v>31.909199999999998</v>
      </c>
      <c r="JN70">
        <v>38.442799999999998</v>
      </c>
      <c r="JO70">
        <v>23.6553</v>
      </c>
      <c r="JP70">
        <v>100</v>
      </c>
      <c r="JQ70">
        <v>27.239100000000001</v>
      </c>
      <c r="JR70">
        <v>900</v>
      </c>
      <c r="JS70">
        <v>22.7471</v>
      </c>
      <c r="JT70">
        <v>99.550399999999996</v>
      </c>
      <c r="JU70">
        <v>99.033100000000005</v>
      </c>
    </row>
    <row r="71" spans="1:281" x14ac:dyDescent="0.25">
      <c r="A71">
        <v>55</v>
      </c>
      <c r="B71">
        <v>1693507448.0999999</v>
      </c>
      <c r="C71">
        <v>11798.5</v>
      </c>
      <c r="D71" t="s">
        <v>695</v>
      </c>
      <c r="E71" t="s">
        <v>696</v>
      </c>
      <c r="F71" t="s">
        <v>413</v>
      </c>
      <c r="G71" t="s">
        <v>494</v>
      </c>
      <c r="H71" t="s">
        <v>636</v>
      </c>
      <c r="I71" t="s">
        <v>31</v>
      </c>
      <c r="J71">
        <v>1693507448.0999999</v>
      </c>
      <c r="K71">
        <f t="shared" si="46"/>
        <v>4.821109250859189E-3</v>
      </c>
      <c r="L71">
        <f t="shared" si="47"/>
        <v>4.8211092508591893</v>
      </c>
      <c r="M71">
        <f t="shared" si="48"/>
        <v>49.161947821790108</v>
      </c>
      <c r="N71">
        <f t="shared" si="49"/>
        <v>1134.6199999999999</v>
      </c>
      <c r="O71">
        <f t="shared" si="50"/>
        <v>869.17769822932701</v>
      </c>
      <c r="P71">
        <f t="shared" si="51"/>
        <v>86.623522490109323</v>
      </c>
      <c r="Q71">
        <f t="shared" si="52"/>
        <v>113.07789107791399</v>
      </c>
      <c r="R71">
        <f t="shared" si="53"/>
        <v>0.34361960867989977</v>
      </c>
      <c r="S71">
        <f t="shared" si="54"/>
        <v>2.9148311916119116</v>
      </c>
      <c r="T71">
        <f t="shared" si="55"/>
        <v>0.32259708257883046</v>
      </c>
      <c r="U71">
        <f t="shared" si="56"/>
        <v>0.20340469952045637</v>
      </c>
      <c r="V71">
        <f t="shared" si="57"/>
        <v>344.36499864450576</v>
      </c>
      <c r="W71">
        <f t="shared" si="58"/>
        <v>31.139705095105342</v>
      </c>
      <c r="X71">
        <f t="shared" si="59"/>
        <v>30.044599999999999</v>
      </c>
      <c r="Y71">
        <f t="shared" si="60"/>
        <v>4.2713763305072776</v>
      </c>
      <c r="Z71">
        <f t="shared" si="61"/>
        <v>65.180460679846888</v>
      </c>
      <c r="AA71">
        <f t="shared" si="62"/>
        <v>2.8350696863209</v>
      </c>
      <c r="AB71">
        <f t="shared" si="63"/>
        <v>4.3495698814498773</v>
      </c>
      <c r="AC71">
        <f t="shared" si="64"/>
        <v>1.4363066441863777</v>
      </c>
      <c r="AD71">
        <f t="shared" si="65"/>
        <v>-212.61091796289023</v>
      </c>
      <c r="AE71">
        <f t="shared" si="66"/>
        <v>49.704767141650258</v>
      </c>
      <c r="AF71">
        <f t="shared" si="67"/>
        <v>3.7992281034122244</v>
      </c>
      <c r="AG71">
        <f t="shared" si="68"/>
        <v>185.25807592667803</v>
      </c>
      <c r="AH71">
        <v>0</v>
      </c>
      <c r="AI71">
        <v>0</v>
      </c>
      <c r="AJ71">
        <f t="shared" si="69"/>
        <v>1</v>
      </c>
      <c r="AK71">
        <f t="shared" si="70"/>
        <v>0</v>
      </c>
      <c r="AL71">
        <f t="shared" si="71"/>
        <v>51862.25268787684</v>
      </c>
      <c r="AM71" t="s">
        <v>417</v>
      </c>
      <c r="AN71">
        <v>10366.9</v>
      </c>
      <c r="AO71">
        <v>993.59653846153856</v>
      </c>
      <c r="AP71">
        <v>3431.87</v>
      </c>
      <c r="AQ71">
        <f t="shared" si="72"/>
        <v>0.71047955241266758</v>
      </c>
      <c r="AR71">
        <v>-3.9894345373445681</v>
      </c>
      <c r="AS71" t="s">
        <v>697</v>
      </c>
      <c r="AT71">
        <v>10470.1</v>
      </c>
      <c r="AU71">
        <v>812.14726923076933</v>
      </c>
      <c r="AV71">
        <v>1247.6505428728381</v>
      </c>
      <c r="AW71">
        <f t="shared" si="73"/>
        <v>0.34905869766968534</v>
      </c>
      <c r="AX71">
        <v>0.5</v>
      </c>
      <c r="AY71">
        <f t="shared" si="74"/>
        <v>1513.167599322253</v>
      </c>
      <c r="AZ71">
        <f t="shared" si="75"/>
        <v>49.161947821790108</v>
      </c>
      <c r="BA71">
        <f t="shared" si="76"/>
        <v>264.09215578769494</v>
      </c>
      <c r="BB71">
        <f t="shared" si="77"/>
        <v>3.5125905671613077E-2</v>
      </c>
      <c r="BC71">
        <f t="shared" si="78"/>
        <v>1.7506660575787367</v>
      </c>
      <c r="BD71">
        <f t="shared" si="79"/>
        <v>659.38490965580991</v>
      </c>
      <c r="BE71" t="s">
        <v>698</v>
      </c>
      <c r="BF71">
        <v>625.45000000000005</v>
      </c>
      <c r="BG71">
        <f t="shared" si="80"/>
        <v>625.45000000000005</v>
      </c>
      <c r="BH71">
        <f t="shared" si="81"/>
        <v>0.49869776952139189</v>
      </c>
      <c r="BI71">
        <f t="shared" si="82"/>
        <v>0.69994036268636706</v>
      </c>
      <c r="BJ71">
        <f t="shared" si="83"/>
        <v>0.7782938609071921</v>
      </c>
      <c r="BK71">
        <f t="shared" si="84"/>
        <v>1.7142153482336489</v>
      </c>
      <c r="BL71">
        <f t="shared" si="85"/>
        <v>0.89580577879439305</v>
      </c>
      <c r="BM71">
        <f t="shared" si="86"/>
        <v>0.53903733525673536</v>
      </c>
      <c r="BN71">
        <f t="shared" si="87"/>
        <v>0.46096266474326464</v>
      </c>
      <c r="BO71">
        <v>7852</v>
      </c>
      <c r="BP71">
        <v>290.00000000000011</v>
      </c>
      <c r="BQ71">
        <v>1128.3499999999999</v>
      </c>
      <c r="BR71">
        <v>165</v>
      </c>
      <c r="BS71">
        <v>10470.1</v>
      </c>
      <c r="BT71">
        <v>1126.54</v>
      </c>
      <c r="BU71">
        <v>1.81</v>
      </c>
      <c r="BV71">
        <v>300.00000000000011</v>
      </c>
      <c r="BW71">
        <v>38.200000000000003</v>
      </c>
      <c r="BX71">
        <v>1247.6505428728381</v>
      </c>
      <c r="BY71">
        <v>1.204457276359703</v>
      </c>
      <c r="BZ71">
        <v>-126.80625520720371</v>
      </c>
      <c r="CA71">
        <v>1.03213454195206</v>
      </c>
      <c r="CB71">
        <v>0.99814841172504765</v>
      </c>
      <c r="CC71">
        <v>-1.136773437152392E-2</v>
      </c>
      <c r="CD71">
        <v>289.99999999999989</v>
      </c>
      <c r="CE71">
        <v>1114.3800000000001</v>
      </c>
      <c r="CF71">
        <v>645</v>
      </c>
      <c r="CG71">
        <v>10447.1</v>
      </c>
      <c r="CH71">
        <v>1126.27</v>
      </c>
      <c r="CI71">
        <v>-11.89</v>
      </c>
      <c r="CW71">
        <f t="shared" si="88"/>
        <v>1799.98</v>
      </c>
      <c r="CX71">
        <f t="shared" si="89"/>
        <v>1513.167599322253</v>
      </c>
      <c r="CY71">
        <f t="shared" si="90"/>
        <v>0.84065800693466197</v>
      </c>
      <c r="CZ71">
        <f t="shared" si="91"/>
        <v>0.19131601386932395</v>
      </c>
      <c r="DA71">
        <v>6</v>
      </c>
      <c r="DB71">
        <v>0.5</v>
      </c>
      <c r="DC71" t="s">
        <v>420</v>
      </c>
      <c r="DD71">
        <v>2</v>
      </c>
      <c r="DE71">
        <v>1693507448.0999999</v>
      </c>
      <c r="DF71">
        <v>1134.6199999999999</v>
      </c>
      <c r="DG71">
        <v>1200.2</v>
      </c>
      <c r="DH71">
        <v>28.446999999999999</v>
      </c>
      <c r="DI71">
        <v>22.824400000000001</v>
      </c>
      <c r="DJ71">
        <v>1135.57</v>
      </c>
      <c r="DK71">
        <v>28.224799999999998</v>
      </c>
      <c r="DL71">
        <v>499.83600000000001</v>
      </c>
      <c r="DM71">
        <v>99.561599999999999</v>
      </c>
      <c r="DN71">
        <v>9.9864700000000001E-2</v>
      </c>
      <c r="DO71">
        <v>30.360900000000001</v>
      </c>
      <c r="DP71">
        <v>30.044599999999999</v>
      </c>
      <c r="DQ71">
        <v>999.9</v>
      </c>
      <c r="DR71">
        <v>0</v>
      </c>
      <c r="DS71">
        <v>0</v>
      </c>
      <c r="DT71">
        <v>9960</v>
      </c>
      <c r="DU71">
        <v>0</v>
      </c>
      <c r="DV71">
        <v>1516.24</v>
      </c>
      <c r="DW71">
        <v>-65.573099999999997</v>
      </c>
      <c r="DX71">
        <v>1167.8499999999999</v>
      </c>
      <c r="DY71">
        <v>1228.23</v>
      </c>
      <c r="DZ71">
        <v>5.6225300000000002</v>
      </c>
      <c r="EA71">
        <v>1200.2</v>
      </c>
      <c r="EB71">
        <v>22.824400000000001</v>
      </c>
      <c r="EC71">
        <v>2.83223</v>
      </c>
      <c r="ED71">
        <v>2.27244</v>
      </c>
      <c r="EE71">
        <v>23.0731</v>
      </c>
      <c r="EF71">
        <v>19.482399999999998</v>
      </c>
      <c r="EG71">
        <v>1799.98</v>
      </c>
      <c r="EH71">
        <v>0.97800799999999999</v>
      </c>
      <c r="EI71">
        <v>2.1992100000000001E-2</v>
      </c>
      <c r="EJ71">
        <v>0</v>
      </c>
      <c r="EK71">
        <v>812.32</v>
      </c>
      <c r="EL71">
        <v>5.0010300000000001</v>
      </c>
      <c r="EM71">
        <v>15847</v>
      </c>
      <c r="EN71">
        <v>14701</v>
      </c>
      <c r="EO71">
        <v>48.25</v>
      </c>
      <c r="EP71">
        <v>50</v>
      </c>
      <c r="EQ71">
        <v>50</v>
      </c>
      <c r="ER71">
        <v>48.186999999999998</v>
      </c>
      <c r="ES71">
        <v>49.811999999999998</v>
      </c>
      <c r="ET71">
        <v>1755.5</v>
      </c>
      <c r="EU71">
        <v>39.479999999999997</v>
      </c>
      <c r="EV71">
        <v>0</v>
      </c>
      <c r="EW71">
        <v>125.3999998569489</v>
      </c>
      <c r="EX71">
        <v>0</v>
      </c>
      <c r="EY71">
        <v>812.14726923076933</v>
      </c>
      <c r="EZ71">
        <v>0.12365811722206781</v>
      </c>
      <c r="FA71">
        <v>20.321367318063459</v>
      </c>
      <c r="FB71">
        <v>15842.223076923079</v>
      </c>
      <c r="FC71">
        <v>15</v>
      </c>
      <c r="FD71">
        <v>1693507416.5999999</v>
      </c>
      <c r="FE71" t="s">
        <v>699</v>
      </c>
      <c r="FF71">
        <v>1693507416.5999999</v>
      </c>
      <c r="FG71">
        <v>1693507414.5999999</v>
      </c>
      <c r="FH71">
        <v>61</v>
      </c>
      <c r="FI71">
        <v>-0.08</v>
      </c>
      <c r="FJ71">
        <v>0</v>
      </c>
      <c r="FK71">
        <v>-0.94499999999999995</v>
      </c>
      <c r="FL71">
        <v>8.6999999999999994E-2</v>
      </c>
      <c r="FM71">
        <v>1200</v>
      </c>
      <c r="FN71">
        <v>23</v>
      </c>
      <c r="FO71">
        <v>0.14000000000000001</v>
      </c>
      <c r="FP71">
        <v>0.05</v>
      </c>
      <c r="FQ71">
        <v>48.965197007215203</v>
      </c>
      <c r="FR71">
        <v>0.1331781961245814</v>
      </c>
      <c r="FS71">
        <v>0.1822473768263726</v>
      </c>
      <c r="FT71">
        <v>1</v>
      </c>
      <c r="FU71">
        <v>0.35041391765905971</v>
      </c>
      <c r="FV71">
        <v>-2.502200730851634E-2</v>
      </c>
      <c r="FW71">
        <v>2.7449023969704422E-3</v>
      </c>
      <c r="FX71">
        <v>1</v>
      </c>
      <c r="FY71">
        <v>2</v>
      </c>
      <c r="FZ71">
        <v>2</v>
      </c>
      <c r="GA71" t="s">
        <v>422</v>
      </c>
      <c r="GB71">
        <v>2.9020600000000001</v>
      </c>
      <c r="GC71">
        <v>2.81752</v>
      </c>
      <c r="GD71">
        <v>0.18690100000000001</v>
      </c>
      <c r="GE71">
        <v>0.19332099999999999</v>
      </c>
      <c r="GF71">
        <v>0.13464899999999999</v>
      </c>
      <c r="GG71">
        <v>0.115468</v>
      </c>
      <c r="GH71">
        <v>22607.5</v>
      </c>
      <c r="GI71">
        <v>22453.1</v>
      </c>
      <c r="GJ71">
        <v>24668</v>
      </c>
      <c r="GK71">
        <v>24854.7</v>
      </c>
      <c r="GL71">
        <v>28342.3</v>
      </c>
      <c r="GM71">
        <v>28722.9</v>
      </c>
      <c r="GN71">
        <v>33350.699999999997</v>
      </c>
      <c r="GO71">
        <v>33170.6</v>
      </c>
      <c r="GP71">
        <v>1.9739</v>
      </c>
      <c r="GQ71">
        <v>1.9232</v>
      </c>
      <c r="GR71">
        <v>7.3850200000000005E-2</v>
      </c>
      <c r="GS71">
        <v>0</v>
      </c>
      <c r="GT71">
        <v>28.841699999999999</v>
      </c>
      <c r="GU71">
        <v>999.9</v>
      </c>
      <c r="GV71">
        <v>64.2</v>
      </c>
      <c r="GW71">
        <v>29.5</v>
      </c>
      <c r="GX71">
        <v>26.6953</v>
      </c>
      <c r="GY71">
        <v>61.896799999999999</v>
      </c>
      <c r="GZ71">
        <v>24.186699999999998</v>
      </c>
      <c r="HA71">
        <v>1</v>
      </c>
      <c r="HB71">
        <v>0.363232</v>
      </c>
      <c r="HC71">
        <v>1.83544</v>
      </c>
      <c r="HD71">
        <v>20.205200000000001</v>
      </c>
      <c r="HE71">
        <v>5.2316700000000003</v>
      </c>
      <c r="HF71">
        <v>11.9201</v>
      </c>
      <c r="HG71">
        <v>4.9602000000000004</v>
      </c>
      <c r="HH71">
        <v>3.2881</v>
      </c>
      <c r="HI71">
        <v>9999</v>
      </c>
      <c r="HJ71">
        <v>9999</v>
      </c>
      <c r="HK71">
        <v>9999</v>
      </c>
      <c r="HL71">
        <v>894.7</v>
      </c>
      <c r="HM71">
        <v>1.8803399999999999</v>
      </c>
      <c r="HN71">
        <v>1.87741</v>
      </c>
      <c r="HO71">
        <v>1.8852800000000001</v>
      </c>
      <c r="HP71">
        <v>1.88324</v>
      </c>
      <c r="HQ71">
        <v>1.88063</v>
      </c>
      <c r="HR71">
        <v>1.8797299999999999</v>
      </c>
      <c r="HS71">
        <v>1.8808</v>
      </c>
      <c r="HT71">
        <v>1.8802300000000001</v>
      </c>
      <c r="HU71">
        <v>5</v>
      </c>
      <c r="HV71">
        <v>0</v>
      </c>
      <c r="HW71">
        <v>0</v>
      </c>
      <c r="HX71">
        <v>0</v>
      </c>
      <c r="HY71" t="s">
        <v>423</v>
      </c>
      <c r="HZ71" t="s">
        <v>424</v>
      </c>
      <c r="IA71" t="s">
        <v>425</v>
      </c>
      <c r="IB71" t="s">
        <v>425</v>
      </c>
      <c r="IC71" t="s">
        <v>425</v>
      </c>
      <c r="ID71" t="s">
        <v>425</v>
      </c>
      <c r="IE71">
        <v>0</v>
      </c>
      <c r="IF71">
        <v>100</v>
      </c>
      <c r="IG71">
        <v>100</v>
      </c>
      <c r="IH71">
        <v>-0.95</v>
      </c>
      <c r="II71">
        <v>0.22220000000000001</v>
      </c>
      <c r="IJ71">
        <v>-1.6413627364246459</v>
      </c>
      <c r="IK71">
        <v>2.2153513873161218E-3</v>
      </c>
      <c r="IL71">
        <v>-2.2967369670569612E-6</v>
      </c>
      <c r="IM71">
        <v>7.7859689150384122E-10</v>
      </c>
      <c r="IN71">
        <v>-0.1622147615708536</v>
      </c>
      <c r="IO71">
        <v>-4.1434251034592161E-3</v>
      </c>
      <c r="IP71">
        <v>8.3987709687394815E-4</v>
      </c>
      <c r="IQ71">
        <v>-7.4586254598011197E-6</v>
      </c>
      <c r="IR71">
        <v>2</v>
      </c>
      <c r="IS71">
        <v>1930</v>
      </c>
      <c r="IT71">
        <v>2</v>
      </c>
      <c r="IU71">
        <v>41</v>
      </c>
      <c r="IV71">
        <v>0.5</v>
      </c>
      <c r="IW71">
        <v>0.6</v>
      </c>
      <c r="IX71">
        <v>2.4157700000000002</v>
      </c>
      <c r="IY71">
        <v>2.4694799999999999</v>
      </c>
      <c r="IZ71">
        <v>1.24512</v>
      </c>
      <c r="JA71">
        <v>2.2729499999999998</v>
      </c>
      <c r="JB71">
        <v>1.4501999999999999</v>
      </c>
      <c r="JC71">
        <v>2.18872</v>
      </c>
      <c r="JD71">
        <v>32.6648</v>
      </c>
      <c r="JE71">
        <v>15.900700000000001</v>
      </c>
      <c r="JF71">
        <v>18</v>
      </c>
      <c r="JG71">
        <v>498.01299999999998</v>
      </c>
      <c r="JH71">
        <v>516.62300000000005</v>
      </c>
      <c r="JI71">
        <v>26.4589</v>
      </c>
      <c r="JJ71">
        <v>32.0212</v>
      </c>
      <c r="JK71">
        <v>30.0002</v>
      </c>
      <c r="JL71">
        <v>31.927600000000002</v>
      </c>
      <c r="JM71">
        <v>31.906400000000001</v>
      </c>
      <c r="JN71">
        <v>48.455500000000001</v>
      </c>
      <c r="JO71">
        <v>23.189599999999999</v>
      </c>
      <c r="JP71">
        <v>100</v>
      </c>
      <c r="JQ71">
        <v>26.423100000000002</v>
      </c>
      <c r="JR71">
        <v>1200</v>
      </c>
      <c r="JS71">
        <v>22.8415</v>
      </c>
      <c r="JT71">
        <v>99.549800000000005</v>
      </c>
      <c r="JU71">
        <v>99.032499999999999</v>
      </c>
    </row>
    <row r="72" spans="1:281" x14ac:dyDescent="0.25">
      <c r="A72">
        <v>56</v>
      </c>
      <c r="B72">
        <v>1693507572.0999999</v>
      </c>
      <c r="C72">
        <v>11922.5</v>
      </c>
      <c r="D72" t="s">
        <v>700</v>
      </c>
      <c r="E72" t="s">
        <v>701</v>
      </c>
      <c r="F72" t="s">
        <v>413</v>
      </c>
      <c r="G72" t="s">
        <v>494</v>
      </c>
      <c r="H72" t="s">
        <v>636</v>
      </c>
      <c r="I72" t="s">
        <v>31</v>
      </c>
      <c r="J72">
        <v>1693507572.0999999</v>
      </c>
      <c r="K72">
        <f t="shared" si="46"/>
        <v>4.7628703970130897E-3</v>
      </c>
      <c r="L72">
        <f t="shared" si="47"/>
        <v>4.7628703970130895</v>
      </c>
      <c r="M72">
        <f t="shared" si="48"/>
        <v>48.120932701606336</v>
      </c>
      <c r="N72">
        <f t="shared" si="49"/>
        <v>1434.11</v>
      </c>
      <c r="O72">
        <f t="shared" si="50"/>
        <v>1161.0473852896203</v>
      </c>
      <c r="P72">
        <f t="shared" si="51"/>
        <v>115.71202876398013</v>
      </c>
      <c r="Q72">
        <f t="shared" si="52"/>
        <v>142.92593021887498</v>
      </c>
      <c r="R72">
        <f t="shared" si="53"/>
        <v>0.33552450761630526</v>
      </c>
      <c r="S72">
        <f t="shared" si="54"/>
        <v>2.9148470060883636</v>
      </c>
      <c r="T72">
        <f t="shared" si="55"/>
        <v>0.31544988023874132</v>
      </c>
      <c r="U72">
        <f t="shared" si="56"/>
        <v>0.19885963482109426</v>
      </c>
      <c r="V72">
        <f t="shared" si="57"/>
        <v>344.36619864381913</v>
      </c>
      <c r="W72">
        <f t="shared" si="58"/>
        <v>31.053546339862898</v>
      </c>
      <c r="X72">
        <f t="shared" si="59"/>
        <v>30.043299999999999</v>
      </c>
      <c r="Y72">
        <f t="shared" si="60"/>
        <v>4.2710574981832226</v>
      </c>
      <c r="Z72">
        <f t="shared" si="61"/>
        <v>65.20791200440685</v>
      </c>
      <c r="AA72">
        <f t="shared" si="62"/>
        <v>2.8198299081749996</v>
      </c>
      <c r="AB72">
        <f t="shared" si="63"/>
        <v>4.3243677362103403</v>
      </c>
      <c r="AC72">
        <f t="shared" si="64"/>
        <v>1.451227590008223</v>
      </c>
      <c r="AD72">
        <f t="shared" si="65"/>
        <v>-210.04258450827726</v>
      </c>
      <c r="AE72">
        <f t="shared" si="66"/>
        <v>33.974799113481495</v>
      </c>
      <c r="AF72">
        <f t="shared" si="67"/>
        <v>2.5955603466496555</v>
      </c>
      <c r="AG72">
        <f t="shared" si="68"/>
        <v>170.89397359567306</v>
      </c>
      <c r="AH72">
        <v>0</v>
      </c>
      <c r="AI72">
        <v>0</v>
      </c>
      <c r="AJ72">
        <f t="shared" si="69"/>
        <v>1</v>
      </c>
      <c r="AK72">
        <f t="shared" si="70"/>
        <v>0</v>
      </c>
      <c r="AL72">
        <f t="shared" si="71"/>
        <v>51880.062691300504</v>
      </c>
      <c r="AM72" t="s">
        <v>417</v>
      </c>
      <c r="AN72">
        <v>10366.9</v>
      </c>
      <c r="AO72">
        <v>993.59653846153856</v>
      </c>
      <c r="AP72">
        <v>3431.87</v>
      </c>
      <c r="AQ72">
        <f t="shared" si="72"/>
        <v>0.71047955241266758</v>
      </c>
      <c r="AR72">
        <v>-3.9894345373445681</v>
      </c>
      <c r="AS72" t="s">
        <v>702</v>
      </c>
      <c r="AT72">
        <v>10465.5</v>
      </c>
      <c r="AU72">
        <v>808.38335999999993</v>
      </c>
      <c r="AV72">
        <v>1243.189674015129</v>
      </c>
      <c r="AW72">
        <f t="shared" si="73"/>
        <v>0.34975058360228761</v>
      </c>
      <c r="AX72">
        <v>0.5</v>
      </c>
      <c r="AY72">
        <f t="shared" si="74"/>
        <v>1513.1681993219095</v>
      </c>
      <c r="AZ72">
        <f t="shared" si="75"/>
        <v>48.120932701606336</v>
      </c>
      <c r="BA72">
        <f t="shared" si="76"/>
        <v>264.61573040063024</v>
      </c>
      <c r="BB72">
        <f t="shared" si="77"/>
        <v>3.443792121874021E-2</v>
      </c>
      <c r="BC72">
        <f t="shared" si="78"/>
        <v>1.7605361206999826</v>
      </c>
      <c r="BD72">
        <f t="shared" si="79"/>
        <v>658.13682427296249</v>
      </c>
      <c r="BE72" t="s">
        <v>703</v>
      </c>
      <c r="BF72">
        <v>622.04999999999995</v>
      </c>
      <c r="BG72">
        <f t="shared" si="80"/>
        <v>622.04999999999995</v>
      </c>
      <c r="BH72">
        <f t="shared" si="81"/>
        <v>0.49963387486081234</v>
      </c>
      <c r="BI72">
        <f t="shared" si="82"/>
        <v>0.70001375246968767</v>
      </c>
      <c r="BJ72">
        <f t="shared" si="83"/>
        <v>0.77893969221689341</v>
      </c>
      <c r="BK72">
        <f t="shared" si="84"/>
        <v>1.742060385798436</v>
      </c>
      <c r="BL72">
        <f t="shared" si="85"/>
        <v>0.89763529829992639</v>
      </c>
      <c r="BM72">
        <f t="shared" si="86"/>
        <v>0.53865972046204569</v>
      </c>
      <c r="BN72">
        <f t="shared" si="87"/>
        <v>0.46134027953795431</v>
      </c>
      <c r="BO72">
        <v>7854</v>
      </c>
      <c r="BP72">
        <v>290.00000000000011</v>
      </c>
      <c r="BQ72">
        <v>1124.47</v>
      </c>
      <c r="BR72">
        <v>185</v>
      </c>
      <c r="BS72">
        <v>10465.5</v>
      </c>
      <c r="BT72">
        <v>1122.77</v>
      </c>
      <c r="BU72">
        <v>1.7</v>
      </c>
      <c r="BV72">
        <v>300.00000000000011</v>
      </c>
      <c r="BW72">
        <v>38.200000000000003</v>
      </c>
      <c r="BX72">
        <v>1243.189674015129</v>
      </c>
      <c r="BY72">
        <v>1.328019161317805</v>
      </c>
      <c r="BZ72">
        <v>-126.0264525240196</v>
      </c>
      <c r="CA72">
        <v>1.137844261252686</v>
      </c>
      <c r="CB72">
        <v>0.99772275303754299</v>
      </c>
      <c r="CC72">
        <v>-1.13665592880979E-2</v>
      </c>
      <c r="CD72">
        <v>289.99999999999989</v>
      </c>
      <c r="CE72">
        <v>1110.47</v>
      </c>
      <c r="CF72">
        <v>675</v>
      </c>
      <c r="CG72">
        <v>10442.799999999999</v>
      </c>
      <c r="CH72">
        <v>1122.51</v>
      </c>
      <c r="CI72">
        <v>-12.04</v>
      </c>
      <c r="CW72">
        <f t="shared" si="88"/>
        <v>1799.98</v>
      </c>
      <c r="CX72">
        <f t="shared" si="89"/>
        <v>1513.1681993219095</v>
      </c>
      <c r="CY72">
        <f t="shared" si="90"/>
        <v>0.84065834027150832</v>
      </c>
      <c r="CZ72">
        <f t="shared" si="91"/>
        <v>0.19131668054301665</v>
      </c>
      <c r="DA72">
        <v>6</v>
      </c>
      <c r="DB72">
        <v>0.5</v>
      </c>
      <c r="DC72" t="s">
        <v>420</v>
      </c>
      <c r="DD72">
        <v>2</v>
      </c>
      <c r="DE72">
        <v>1693507572.0999999</v>
      </c>
      <c r="DF72">
        <v>1434.11</v>
      </c>
      <c r="DG72">
        <v>1500.1</v>
      </c>
      <c r="DH72">
        <v>28.294</v>
      </c>
      <c r="DI72">
        <v>22.7362</v>
      </c>
      <c r="DJ72">
        <v>1435.11</v>
      </c>
      <c r="DK72">
        <v>28.075199999999999</v>
      </c>
      <c r="DL72">
        <v>499.63400000000001</v>
      </c>
      <c r="DM72">
        <v>99.5625</v>
      </c>
      <c r="DN72">
        <v>9.9262500000000004E-2</v>
      </c>
      <c r="DO72">
        <v>30.259499999999999</v>
      </c>
      <c r="DP72">
        <v>30.043299999999999</v>
      </c>
      <c r="DQ72">
        <v>999.9</v>
      </c>
      <c r="DR72">
        <v>0</v>
      </c>
      <c r="DS72">
        <v>0</v>
      </c>
      <c r="DT72">
        <v>9960</v>
      </c>
      <c r="DU72">
        <v>0</v>
      </c>
      <c r="DV72">
        <v>1504.3</v>
      </c>
      <c r="DW72">
        <v>-65.981099999999998</v>
      </c>
      <c r="DX72">
        <v>1475.87</v>
      </c>
      <c r="DY72">
        <v>1535</v>
      </c>
      <c r="DZ72">
        <v>5.5577399999999999</v>
      </c>
      <c r="EA72">
        <v>1500.1</v>
      </c>
      <c r="EB72">
        <v>22.7362</v>
      </c>
      <c r="EC72">
        <v>2.8170199999999999</v>
      </c>
      <c r="ED72">
        <v>2.2636799999999999</v>
      </c>
      <c r="EE72">
        <v>22.984100000000002</v>
      </c>
      <c r="EF72">
        <v>19.420200000000001</v>
      </c>
      <c r="EG72">
        <v>1799.98</v>
      </c>
      <c r="EH72">
        <v>0.97799199999999997</v>
      </c>
      <c r="EI72">
        <v>2.2007599999999999E-2</v>
      </c>
      <c r="EJ72">
        <v>0</v>
      </c>
      <c r="EK72">
        <v>807.95100000000002</v>
      </c>
      <c r="EL72">
        <v>5.0010300000000001</v>
      </c>
      <c r="EM72">
        <v>15786.7</v>
      </c>
      <c r="EN72">
        <v>14700.9</v>
      </c>
      <c r="EO72">
        <v>48.625</v>
      </c>
      <c r="EP72">
        <v>50.311999999999998</v>
      </c>
      <c r="EQ72">
        <v>50.25</v>
      </c>
      <c r="ER72">
        <v>48.561999999999998</v>
      </c>
      <c r="ES72">
        <v>49.875</v>
      </c>
      <c r="ET72">
        <v>1755.48</v>
      </c>
      <c r="EU72">
        <v>39.5</v>
      </c>
      <c r="EV72">
        <v>0</v>
      </c>
      <c r="EW72">
        <v>122</v>
      </c>
      <c r="EX72">
        <v>0</v>
      </c>
      <c r="EY72">
        <v>808.38335999999993</v>
      </c>
      <c r="EZ72">
        <v>-2.3660769251232572</v>
      </c>
      <c r="FA72">
        <v>-35.915384539755983</v>
      </c>
      <c r="FB72">
        <v>15787.084000000001</v>
      </c>
      <c r="FC72">
        <v>15</v>
      </c>
      <c r="FD72">
        <v>1693507540.0999999</v>
      </c>
      <c r="FE72" t="s">
        <v>704</v>
      </c>
      <c r="FF72">
        <v>1693507540.0999999</v>
      </c>
      <c r="FG72">
        <v>1693507539.5999999</v>
      </c>
      <c r="FH72">
        <v>62</v>
      </c>
      <c r="FI72">
        <v>-0.106</v>
      </c>
      <c r="FJ72">
        <v>0</v>
      </c>
      <c r="FK72">
        <v>-0.96499999999999997</v>
      </c>
      <c r="FL72">
        <v>8.7999999999999995E-2</v>
      </c>
      <c r="FM72">
        <v>1500</v>
      </c>
      <c r="FN72">
        <v>23</v>
      </c>
      <c r="FO72">
        <v>0.11</v>
      </c>
      <c r="FP72">
        <v>0.04</v>
      </c>
      <c r="FQ72">
        <v>48.162182795776843</v>
      </c>
      <c r="FR72">
        <v>-8.6846205050058092E-2</v>
      </c>
      <c r="FS72">
        <v>0.1640491210773414</v>
      </c>
      <c r="FT72">
        <v>1</v>
      </c>
      <c r="FU72">
        <v>0.34501221873735022</v>
      </c>
      <c r="FV72">
        <v>-3.061993330169524E-2</v>
      </c>
      <c r="FW72">
        <v>3.3761765830878209E-3</v>
      </c>
      <c r="FX72">
        <v>1</v>
      </c>
      <c r="FY72">
        <v>2</v>
      </c>
      <c r="FZ72">
        <v>2</v>
      </c>
      <c r="GA72" t="s">
        <v>422</v>
      </c>
      <c r="GB72">
        <v>2.9013599999999999</v>
      </c>
      <c r="GC72">
        <v>2.81691</v>
      </c>
      <c r="GD72">
        <v>0.21557599999999999</v>
      </c>
      <c r="GE72">
        <v>0.22117700000000001</v>
      </c>
      <c r="GF72">
        <v>0.13414699999999999</v>
      </c>
      <c r="GG72">
        <v>0.115149</v>
      </c>
      <c r="GH72">
        <v>21807</v>
      </c>
      <c r="GI72">
        <v>21674.799999999999</v>
      </c>
      <c r="GJ72">
        <v>24665.9</v>
      </c>
      <c r="GK72">
        <v>24853.1</v>
      </c>
      <c r="GL72">
        <v>28357.200000000001</v>
      </c>
      <c r="GM72">
        <v>28732.1</v>
      </c>
      <c r="GN72">
        <v>33348.1</v>
      </c>
      <c r="GO72">
        <v>33168.9</v>
      </c>
      <c r="GP72">
        <v>1.9726999999999999</v>
      </c>
      <c r="GQ72">
        <v>1.923</v>
      </c>
      <c r="GR72">
        <v>6.3329899999999995E-2</v>
      </c>
      <c r="GS72">
        <v>0</v>
      </c>
      <c r="GT72">
        <v>29.011900000000001</v>
      </c>
      <c r="GU72">
        <v>999.9</v>
      </c>
      <c r="GV72">
        <v>64.2</v>
      </c>
      <c r="GW72">
        <v>29.5</v>
      </c>
      <c r="GX72">
        <v>26.6922</v>
      </c>
      <c r="GY72">
        <v>61.946800000000003</v>
      </c>
      <c r="GZ72">
        <v>24.218800000000002</v>
      </c>
      <c r="HA72">
        <v>1</v>
      </c>
      <c r="HB72">
        <v>0.36851600000000001</v>
      </c>
      <c r="HC72">
        <v>1.9748699999999999</v>
      </c>
      <c r="HD72">
        <v>20.203499999999998</v>
      </c>
      <c r="HE72">
        <v>5.2274700000000003</v>
      </c>
      <c r="HF72">
        <v>11.9201</v>
      </c>
      <c r="HG72">
        <v>4.9589999999999996</v>
      </c>
      <c r="HH72">
        <v>3.2871999999999999</v>
      </c>
      <c r="HI72">
        <v>9999</v>
      </c>
      <c r="HJ72">
        <v>9999</v>
      </c>
      <c r="HK72">
        <v>9999</v>
      </c>
      <c r="HL72">
        <v>894.8</v>
      </c>
      <c r="HM72">
        <v>1.8803399999999999</v>
      </c>
      <c r="HN72">
        <v>1.8774200000000001</v>
      </c>
      <c r="HO72">
        <v>1.8853500000000001</v>
      </c>
      <c r="HP72">
        <v>1.88324</v>
      </c>
      <c r="HQ72">
        <v>1.8806499999999999</v>
      </c>
      <c r="HR72">
        <v>1.87978</v>
      </c>
      <c r="HS72">
        <v>1.88087</v>
      </c>
      <c r="HT72">
        <v>1.88022</v>
      </c>
      <c r="HU72">
        <v>5</v>
      </c>
      <c r="HV72">
        <v>0</v>
      </c>
      <c r="HW72">
        <v>0</v>
      </c>
      <c r="HX72">
        <v>0</v>
      </c>
      <c r="HY72" t="s">
        <v>423</v>
      </c>
      <c r="HZ72" t="s">
        <v>424</v>
      </c>
      <c r="IA72" t="s">
        <v>425</v>
      </c>
      <c r="IB72" t="s">
        <v>425</v>
      </c>
      <c r="IC72" t="s">
        <v>425</v>
      </c>
      <c r="ID72" t="s">
        <v>425</v>
      </c>
      <c r="IE72">
        <v>0</v>
      </c>
      <c r="IF72">
        <v>100</v>
      </c>
      <c r="IG72">
        <v>100</v>
      </c>
      <c r="IH72">
        <v>-1</v>
      </c>
      <c r="II72">
        <v>0.21879999999999999</v>
      </c>
      <c r="IJ72">
        <v>-1.7489017511405249</v>
      </c>
      <c r="IK72">
        <v>2.2153513873161218E-3</v>
      </c>
      <c r="IL72">
        <v>-2.2967369670569612E-6</v>
      </c>
      <c r="IM72">
        <v>7.7859689150384122E-10</v>
      </c>
      <c r="IN72">
        <v>-0.1618393592789367</v>
      </c>
      <c r="IO72">
        <v>-4.1434251034592161E-3</v>
      </c>
      <c r="IP72">
        <v>8.3987709687394815E-4</v>
      </c>
      <c r="IQ72">
        <v>-7.4586254598011197E-6</v>
      </c>
      <c r="IR72">
        <v>2</v>
      </c>
      <c r="IS72">
        <v>1930</v>
      </c>
      <c r="IT72">
        <v>2</v>
      </c>
      <c r="IU72">
        <v>41</v>
      </c>
      <c r="IV72">
        <v>0.5</v>
      </c>
      <c r="IW72">
        <v>0.5</v>
      </c>
      <c r="IX72">
        <v>2.8869600000000002</v>
      </c>
      <c r="IY72">
        <v>2.4597199999999999</v>
      </c>
      <c r="IZ72">
        <v>1.24512</v>
      </c>
      <c r="JA72">
        <v>2.2729499999999998</v>
      </c>
      <c r="JB72">
        <v>1.4501999999999999</v>
      </c>
      <c r="JC72">
        <v>2.1972700000000001</v>
      </c>
      <c r="JD72">
        <v>32.6648</v>
      </c>
      <c r="JE72">
        <v>15.8832</v>
      </c>
      <c r="JF72">
        <v>18</v>
      </c>
      <c r="JG72">
        <v>497.60500000000002</v>
      </c>
      <c r="JH72">
        <v>516.90800000000002</v>
      </c>
      <c r="JI72">
        <v>26.168500000000002</v>
      </c>
      <c r="JJ72">
        <v>32.091900000000003</v>
      </c>
      <c r="JK72">
        <v>30.000900000000001</v>
      </c>
      <c r="JL72">
        <v>31.9758</v>
      </c>
      <c r="JM72">
        <v>31.953800000000001</v>
      </c>
      <c r="JN72">
        <v>57.893999999999998</v>
      </c>
      <c r="JO72">
        <v>23.3141</v>
      </c>
      <c r="JP72">
        <v>100</v>
      </c>
      <c r="JQ72">
        <v>26.131799999999998</v>
      </c>
      <c r="JR72">
        <v>1500</v>
      </c>
      <c r="JS72">
        <v>22.777100000000001</v>
      </c>
      <c r="JT72">
        <v>99.541899999999998</v>
      </c>
      <c r="JU72">
        <v>99.026700000000005</v>
      </c>
    </row>
    <row r="73" spans="1:281" x14ac:dyDescent="0.25">
      <c r="A73">
        <v>57</v>
      </c>
      <c r="B73">
        <v>1693509268.5</v>
      </c>
      <c r="C73">
        <v>13618.900000095369</v>
      </c>
      <c r="D73" t="s">
        <v>705</v>
      </c>
      <c r="E73" t="s">
        <v>706</v>
      </c>
      <c r="F73" t="s">
        <v>413</v>
      </c>
      <c r="G73" t="s">
        <v>414</v>
      </c>
      <c r="H73" t="s">
        <v>707</v>
      </c>
      <c r="I73" t="s">
        <v>416</v>
      </c>
      <c r="J73">
        <v>1693509268.5</v>
      </c>
      <c r="K73">
        <f t="shared" si="46"/>
        <v>4.1001644207458877E-3</v>
      </c>
      <c r="L73">
        <f t="shared" si="47"/>
        <v>4.1001644207458874</v>
      </c>
      <c r="M73">
        <f t="shared" si="48"/>
        <v>41.069400138086912</v>
      </c>
      <c r="N73">
        <f t="shared" si="49"/>
        <v>349.11599999999999</v>
      </c>
      <c r="O73">
        <f t="shared" si="50"/>
        <v>103.65373786117084</v>
      </c>
      <c r="P73">
        <f t="shared" si="51"/>
        <v>10.330084871062249</v>
      </c>
      <c r="Q73">
        <f t="shared" si="52"/>
        <v>34.792743457799993</v>
      </c>
      <c r="R73">
        <f t="shared" si="53"/>
        <v>0.28651971364969309</v>
      </c>
      <c r="S73">
        <f t="shared" si="54"/>
        <v>2.9121547263723455</v>
      </c>
      <c r="T73">
        <f t="shared" si="55"/>
        <v>0.27172928790798129</v>
      </c>
      <c r="U73">
        <f t="shared" si="56"/>
        <v>0.17109601678533465</v>
      </c>
      <c r="V73">
        <f t="shared" si="57"/>
        <v>344.34979864444546</v>
      </c>
      <c r="W73">
        <f t="shared" si="58"/>
        <v>31.130309314195475</v>
      </c>
      <c r="X73">
        <f t="shared" si="59"/>
        <v>29.987100000000002</v>
      </c>
      <c r="Y73">
        <f t="shared" si="60"/>
        <v>4.2572939455202681</v>
      </c>
      <c r="Z73">
        <f t="shared" si="61"/>
        <v>65.268195745334182</v>
      </c>
      <c r="AA73">
        <f t="shared" si="62"/>
        <v>2.8068115661999999</v>
      </c>
      <c r="AB73">
        <f t="shared" si="63"/>
        <v>4.3004276955222105</v>
      </c>
      <c r="AC73">
        <f t="shared" si="64"/>
        <v>1.4504823793202681</v>
      </c>
      <c r="AD73">
        <f t="shared" si="65"/>
        <v>-180.81725095489364</v>
      </c>
      <c r="AE73">
        <f t="shared" si="66"/>
        <v>27.569215032797334</v>
      </c>
      <c r="AF73">
        <f t="shared" si="67"/>
        <v>2.1065467939519409</v>
      </c>
      <c r="AG73">
        <f t="shared" si="68"/>
        <v>193.20830951630111</v>
      </c>
      <c r="AH73">
        <v>0</v>
      </c>
      <c r="AI73">
        <v>0</v>
      </c>
      <c r="AJ73">
        <f t="shared" si="69"/>
        <v>1</v>
      </c>
      <c r="AK73">
        <f t="shared" si="70"/>
        <v>0</v>
      </c>
      <c r="AL73">
        <f t="shared" si="71"/>
        <v>51819.907483466915</v>
      </c>
      <c r="AM73" t="s">
        <v>417</v>
      </c>
      <c r="AN73">
        <v>10366.9</v>
      </c>
      <c r="AO73">
        <v>993.59653846153856</v>
      </c>
      <c r="AP73">
        <v>3431.87</v>
      </c>
      <c r="AQ73">
        <f t="shared" si="72"/>
        <v>0.71047955241266758</v>
      </c>
      <c r="AR73">
        <v>-3.9894345373445681</v>
      </c>
      <c r="AS73" t="s">
        <v>708</v>
      </c>
      <c r="AT73">
        <v>10431</v>
      </c>
      <c r="AU73">
        <v>809.25080000000003</v>
      </c>
      <c r="AV73">
        <v>1132.6993806024859</v>
      </c>
      <c r="AW73">
        <f t="shared" si="73"/>
        <v>0.285555537631214</v>
      </c>
      <c r="AX73">
        <v>0.5</v>
      </c>
      <c r="AY73">
        <f t="shared" si="74"/>
        <v>1513.1003993222228</v>
      </c>
      <c r="AZ73">
        <f t="shared" si="75"/>
        <v>41.069400138086912</v>
      </c>
      <c r="BA73">
        <f t="shared" si="76"/>
        <v>216.03709900923096</v>
      </c>
      <c r="BB73">
        <f t="shared" si="77"/>
        <v>2.9779143998385771E-2</v>
      </c>
      <c r="BC73">
        <f t="shared" si="78"/>
        <v>2.0298153762338766</v>
      </c>
      <c r="BD73">
        <f t="shared" si="79"/>
        <v>625.81936158210863</v>
      </c>
      <c r="BE73" t="s">
        <v>709</v>
      </c>
      <c r="BF73">
        <v>612.1</v>
      </c>
      <c r="BG73">
        <f t="shared" si="80"/>
        <v>612.1</v>
      </c>
      <c r="BH73">
        <f t="shared" si="81"/>
        <v>0.45960948643370636</v>
      </c>
      <c r="BI73">
        <f t="shared" si="82"/>
        <v>0.62130035619358825</v>
      </c>
      <c r="BJ73">
        <f t="shared" si="83"/>
        <v>0.81537523251808275</v>
      </c>
      <c r="BK73">
        <f t="shared" si="84"/>
        <v>2.3252478211390417</v>
      </c>
      <c r="BL73">
        <f t="shared" si="85"/>
        <v>0.94295027020751865</v>
      </c>
      <c r="BM73">
        <f t="shared" si="86"/>
        <v>0.46993830346055315</v>
      </c>
      <c r="BN73">
        <f t="shared" si="87"/>
        <v>0.5300616965394469</v>
      </c>
      <c r="BO73">
        <v>7856</v>
      </c>
      <c r="BP73">
        <v>290.00000000000011</v>
      </c>
      <c r="BQ73">
        <v>1044.31</v>
      </c>
      <c r="BR73">
        <v>185</v>
      </c>
      <c r="BS73">
        <v>10431</v>
      </c>
      <c r="BT73">
        <v>1042.54</v>
      </c>
      <c r="BU73">
        <v>1.77</v>
      </c>
      <c r="BV73">
        <v>300.00000000000011</v>
      </c>
      <c r="BW73">
        <v>38.200000000000003</v>
      </c>
      <c r="BX73">
        <v>1132.6993806024859</v>
      </c>
      <c r="BY73">
        <v>1.240524408746035</v>
      </c>
      <c r="BZ73">
        <v>-94.050051096920541</v>
      </c>
      <c r="CA73">
        <v>1.059335286711387</v>
      </c>
      <c r="CB73">
        <v>0.99646029689417126</v>
      </c>
      <c r="CC73">
        <v>-1.132856462736374E-2</v>
      </c>
      <c r="CD73">
        <v>289.99999999999989</v>
      </c>
      <c r="CE73">
        <v>1035.98</v>
      </c>
      <c r="CF73">
        <v>665</v>
      </c>
      <c r="CG73">
        <v>10408.799999999999</v>
      </c>
      <c r="CH73">
        <v>1042.3399999999999</v>
      </c>
      <c r="CI73">
        <v>-6.36</v>
      </c>
      <c r="CW73">
        <f t="shared" si="88"/>
        <v>1799.9</v>
      </c>
      <c r="CX73">
        <f t="shared" si="89"/>
        <v>1513.1003993222228</v>
      </c>
      <c r="CY73">
        <f t="shared" si="90"/>
        <v>0.84065803618102264</v>
      </c>
      <c r="CZ73">
        <f t="shared" si="91"/>
        <v>0.19131607236204537</v>
      </c>
      <c r="DA73">
        <v>6</v>
      </c>
      <c r="DB73">
        <v>0.5</v>
      </c>
      <c r="DC73" t="s">
        <v>420</v>
      </c>
      <c r="DD73">
        <v>2</v>
      </c>
      <c r="DE73">
        <v>1693509268.5</v>
      </c>
      <c r="DF73">
        <v>349.11599999999999</v>
      </c>
      <c r="DG73">
        <v>400.137</v>
      </c>
      <c r="DH73">
        <v>28.164000000000001</v>
      </c>
      <c r="DI73">
        <v>23.380500000000001</v>
      </c>
      <c r="DJ73">
        <v>349.97399999999999</v>
      </c>
      <c r="DK73">
        <v>27.983699999999999</v>
      </c>
      <c r="DL73">
        <v>499.80399999999997</v>
      </c>
      <c r="DM73">
        <v>99.559299999999993</v>
      </c>
      <c r="DN73">
        <v>0.10025000000000001</v>
      </c>
      <c r="DO73">
        <v>30.162700000000001</v>
      </c>
      <c r="DP73">
        <v>29.987100000000002</v>
      </c>
      <c r="DQ73">
        <v>999.9</v>
      </c>
      <c r="DR73">
        <v>0</v>
      </c>
      <c r="DS73">
        <v>0</v>
      </c>
      <c r="DT73">
        <v>9945</v>
      </c>
      <c r="DU73">
        <v>0</v>
      </c>
      <c r="DV73">
        <v>1518.82</v>
      </c>
      <c r="DW73">
        <v>-51.021000000000001</v>
      </c>
      <c r="DX73">
        <v>359.23399999999998</v>
      </c>
      <c r="DY73">
        <v>409.71699999999998</v>
      </c>
      <c r="DZ73">
        <v>4.7835200000000002</v>
      </c>
      <c r="EA73">
        <v>400.137</v>
      </c>
      <c r="EB73">
        <v>23.380500000000001</v>
      </c>
      <c r="EC73">
        <v>2.8039900000000002</v>
      </c>
      <c r="ED73">
        <v>2.32775</v>
      </c>
      <c r="EE73">
        <v>22.907599999999999</v>
      </c>
      <c r="EF73">
        <v>19.869700000000002</v>
      </c>
      <c r="EG73">
        <v>1799.9</v>
      </c>
      <c r="EH73">
        <v>0.97800500000000001</v>
      </c>
      <c r="EI73">
        <v>2.19951E-2</v>
      </c>
      <c r="EJ73">
        <v>0</v>
      </c>
      <c r="EK73">
        <v>809.154</v>
      </c>
      <c r="EL73">
        <v>5.0010300000000001</v>
      </c>
      <c r="EM73">
        <v>15583.5</v>
      </c>
      <c r="EN73">
        <v>14700.3</v>
      </c>
      <c r="EO73">
        <v>49.5</v>
      </c>
      <c r="EP73">
        <v>51</v>
      </c>
      <c r="EQ73">
        <v>50.936999999999998</v>
      </c>
      <c r="ER73">
        <v>49.936999999999998</v>
      </c>
      <c r="ES73">
        <v>50.936999999999998</v>
      </c>
      <c r="ET73">
        <v>1755.42</v>
      </c>
      <c r="EU73">
        <v>39.479999999999997</v>
      </c>
      <c r="EV73">
        <v>0</v>
      </c>
      <c r="EW73">
        <v>1694.599999904633</v>
      </c>
      <c r="EX73">
        <v>0</v>
      </c>
      <c r="EY73">
        <v>809.25080000000003</v>
      </c>
      <c r="EZ73">
        <v>1.6271538431576911</v>
      </c>
      <c r="FA73">
        <v>21.16923095816372</v>
      </c>
      <c r="FB73">
        <v>15585.724</v>
      </c>
      <c r="FC73">
        <v>15</v>
      </c>
      <c r="FD73">
        <v>1693509237.5</v>
      </c>
      <c r="FE73" t="s">
        <v>710</v>
      </c>
      <c r="FF73">
        <v>1693509236.5</v>
      </c>
      <c r="FG73">
        <v>1693509237.5</v>
      </c>
      <c r="FH73">
        <v>64</v>
      </c>
      <c r="FI73">
        <v>-6.8000000000000005E-2</v>
      </c>
      <c r="FJ73">
        <v>-3.6999999999999998E-2</v>
      </c>
      <c r="FK73">
        <v>-0.81599999999999995</v>
      </c>
      <c r="FL73">
        <v>6.3E-2</v>
      </c>
      <c r="FM73">
        <v>400</v>
      </c>
      <c r="FN73">
        <v>23</v>
      </c>
      <c r="FO73">
        <v>0.1</v>
      </c>
      <c r="FP73">
        <v>0.04</v>
      </c>
      <c r="FQ73">
        <v>40.957689698329503</v>
      </c>
      <c r="FR73">
        <v>0.38229598134814291</v>
      </c>
      <c r="FS73">
        <v>9.7551776734120341E-2</v>
      </c>
      <c r="FT73">
        <v>1</v>
      </c>
      <c r="FU73">
        <v>0.28620650119077579</v>
      </c>
      <c r="FV73">
        <v>1.6570116525616459E-2</v>
      </c>
      <c r="FW73">
        <v>2.330637107803543E-3</v>
      </c>
      <c r="FX73">
        <v>1</v>
      </c>
      <c r="FY73">
        <v>2</v>
      </c>
      <c r="FZ73">
        <v>2</v>
      </c>
      <c r="GA73" t="s">
        <v>422</v>
      </c>
      <c r="GB73">
        <v>2.8978600000000001</v>
      </c>
      <c r="GC73">
        <v>2.8177699999999999</v>
      </c>
      <c r="GD73">
        <v>8.1710400000000002E-2</v>
      </c>
      <c r="GE73">
        <v>9.0705499999999994E-2</v>
      </c>
      <c r="GF73">
        <v>0.133303</v>
      </c>
      <c r="GG73">
        <v>0.11691799999999999</v>
      </c>
      <c r="GH73">
        <v>25440.400000000001</v>
      </c>
      <c r="GI73">
        <v>25233.7</v>
      </c>
      <c r="GJ73">
        <v>24582.400000000001</v>
      </c>
      <c r="GK73">
        <v>24786.7</v>
      </c>
      <c r="GL73">
        <v>28299.5</v>
      </c>
      <c r="GM73">
        <v>28599.7</v>
      </c>
      <c r="GN73">
        <v>33237.199999999997</v>
      </c>
      <c r="GO73">
        <v>33076.6</v>
      </c>
      <c r="GP73">
        <v>1.9467000000000001</v>
      </c>
      <c r="GQ73">
        <v>1.8758999999999999</v>
      </c>
      <c r="GR73">
        <v>5.4240200000000002E-2</v>
      </c>
      <c r="GS73">
        <v>0</v>
      </c>
      <c r="GT73">
        <v>29.1037</v>
      </c>
      <c r="GU73">
        <v>999.9</v>
      </c>
      <c r="GV73">
        <v>62.4</v>
      </c>
      <c r="GW73">
        <v>31.2</v>
      </c>
      <c r="GX73">
        <v>28.6008</v>
      </c>
      <c r="GY73">
        <v>62.027000000000001</v>
      </c>
      <c r="GZ73">
        <v>24.3429</v>
      </c>
      <c r="HA73">
        <v>1</v>
      </c>
      <c r="HB73">
        <v>0.53817099999999995</v>
      </c>
      <c r="HC73">
        <v>2.5867599999999999</v>
      </c>
      <c r="HD73">
        <v>20.148299999999999</v>
      </c>
      <c r="HE73">
        <v>5.2352600000000002</v>
      </c>
      <c r="HF73">
        <v>11.9201</v>
      </c>
      <c r="HG73">
        <v>4.9602000000000004</v>
      </c>
      <c r="HH73">
        <v>3.2890000000000001</v>
      </c>
      <c r="HI73">
        <v>9999</v>
      </c>
      <c r="HJ73">
        <v>9999</v>
      </c>
      <c r="HK73">
        <v>9999</v>
      </c>
      <c r="HL73">
        <v>895.2</v>
      </c>
      <c r="HM73">
        <v>1.8811</v>
      </c>
      <c r="HN73">
        <v>1.8782000000000001</v>
      </c>
      <c r="HO73">
        <v>1.88612</v>
      </c>
      <c r="HP73">
        <v>1.88388</v>
      </c>
      <c r="HQ73">
        <v>1.8813899999999999</v>
      </c>
      <c r="HR73">
        <v>1.88049</v>
      </c>
      <c r="HS73">
        <v>1.8815900000000001</v>
      </c>
      <c r="HT73">
        <v>1.8811</v>
      </c>
      <c r="HU73">
        <v>5</v>
      </c>
      <c r="HV73">
        <v>0</v>
      </c>
      <c r="HW73">
        <v>0</v>
      </c>
      <c r="HX73">
        <v>0</v>
      </c>
      <c r="HY73" t="s">
        <v>423</v>
      </c>
      <c r="HZ73" t="s">
        <v>424</v>
      </c>
      <c r="IA73" t="s">
        <v>425</v>
      </c>
      <c r="IB73" t="s">
        <v>425</v>
      </c>
      <c r="IC73" t="s">
        <v>425</v>
      </c>
      <c r="ID73" t="s">
        <v>425</v>
      </c>
      <c r="IE73">
        <v>0</v>
      </c>
      <c r="IF73">
        <v>100</v>
      </c>
      <c r="IG73">
        <v>100</v>
      </c>
      <c r="IH73">
        <v>-0.85799999999999998</v>
      </c>
      <c r="II73">
        <v>0.18029999999999999</v>
      </c>
      <c r="IJ73">
        <v>-1.3853767083279169</v>
      </c>
      <c r="IK73">
        <v>2.2153513873161218E-3</v>
      </c>
      <c r="IL73">
        <v>-2.2967369670569612E-6</v>
      </c>
      <c r="IM73">
        <v>7.7859689150384122E-10</v>
      </c>
      <c r="IN73">
        <v>-0.19800118157256899</v>
      </c>
      <c r="IO73">
        <v>-4.1434251034592161E-3</v>
      </c>
      <c r="IP73">
        <v>8.3987709687394815E-4</v>
      </c>
      <c r="IQ73">
        <v>-7.4586254598011197E-6</v>
      </c>
      <c r="IR73">
        <v>2</v>
      </c>
      <c r="IS73">
        <v>1930</v>
      </c>
      <c r="IT73">
        <v>2</v>
      </c>
      <c r="IU73">
        <v>41</v>
      </c>
      <c r="IV73">
        <v>0.5</v>
      </c>
      <c r="IW73">
        <v>0.5</v>
      </c>
      <c r="IX73">
        <v>0.99487300000000001</v>
      </c>
      <c r="IY73">
        <v>2.47681</v>
      </c>
      <c r="IZ73">
        <v>1.24512</v>
      </c>
      <c r="JA73">
        <v>2.2729499999999998</v>
      </c>
      <c r="JB73">
        <v>1.4501999999999999</v>
      </c>
      <c r="JC73">
        <v>2.4609399999999999</v>
      </c>
      <c r="JD73">
        <v>37.433799999999998</v>
      </c>
      <c r="JE73">
        <v>23.7986</v>
      </c>
      <c r="JF73">
        <v>18</v>
      </c>
      <c r="JG73">
        <v>494.83699999999999</v>
      </c>
      <c r="JH73">
        <v>497.74200000000002</v>
      </c>
      <c r="JI73">
        <v>25.5471</v>
      </c>
      <c r="JJ73">
        <v>33.985399999999998</v>
      </c>
      <c r="JK73">
        <v>30.0002</v>
      </c>
      <c r="JL73">
        <v>33.788800000000002</v>
      </c>
      <c r="JM73">
        <v>33.723300000000002</v>
      </c>
      <c r="JN73">
        <v>20.026599999999998</v>
      </c>
      <c r="JO73">
        <v>27.050899999999999</v>
      </c>
      <c r="JP73">
        <v>100</v>
      </c>
      <c r="JQ73">
        <v>25.555599999999998</v>
      </c>
      <c r="JR73">
        <v>400</v>
      </c>
      <c r="JS73">
        <v>23.193999999999999</v>
      </c>
      <c r="JT73">
        <v>99.208299999999994</v>
      </c>
      <c r="JU73">
        <v>98.756</v>
      </c>
    </row>
    <row r="74" spans="1:281" x14ac:dyDescent="0.25">
      <c r="A74">
        <v>58</v>
      </c>
      <c r="B74">
        <v>1693509428.0999999</v>
      </c>
      <c r="C74">
        <v>13778.5</v>
      </c>
      <c r="D74" t="s">
        <v>711</v>
      </c>
      <c r="E74" t="s">
        <v>712</v>
      </c>
      <c r="F74" t="s">
        <v>413</v>
      </c>
      <c r="G74" t="s">
        <v>414</v>
      </c>
      <c r="H74" t="s">
        <v>707</v>
      </c>
      <c r="I74" t="s">
        <v>416</v>
      </c>
      <c r="J74">
        <v>1693509428.0999999</v>
      </c>
      <c r="K74">
        <f t="shared" si="46"/>
        <v>4.3967704062916231E-3</v>
      </c>
      <c r="L74">
        <f t="shared" si="47"/>
        <v>4.3967704062916235</v>
      </c>
      <c r="M74">
        <f t="shared" si="48"/>
        <v>33.582539316944661</v>
      </c>
      <c r="N74">
        <f t="shared" si="49"/>
        <v>258.48099999999999</v>
      </c>
      <c r="O74">
        <f t="shared" si="50"/>
        <v>71.446381619588806</v>
      </c>
      <c r="P74">
        <f t="shared" si="51"/>
        <v>7.1201960761659313</v>
      </c>
      <c r="Q74">
        <f t="shared" si="52"/>
        <v>25.7596726418241</v>
      </c>
      <c r="R74">
        <f t="shared" si="53"/>
        <v>0.30815646783784395</v>
      </c>
      <c r="S74">
        <f t="shared" si="54"/>
        <v>2.921789622695397</v>
      </c>
      <c r="T74">
        <f t="shared" si="55"/>
        <v>0.29117205383455541</v>
      </c>
      <c r="U74">
        <f t="shared" si="56"/>
        <v>0.18343046377131533</v>
      </c>
      <c r="V74">
        <f t="shared" si="57"/>
        <v>344.38209864457349</v>
      </c>
      <c r="W74">
        <f t="shared" si="58"/>
        <v>31.044380663801093</v>
      </c>
      <c r="X74">
        <f t="shared" si="59"/>
        <v>29.965599999999998</v>
      </c>
      <c r="Y74">
        <f t="shared" si="60"/>
        <v>4.2520387610966566</v>
      </c>
      <c r="Z74">
        <f t="shared" si="61"/>
        <v>65.142146235998652</v>
      </c>
      <c r="AA74">
        <f t="shared" si="62"/>
        <v>2.80042674356844</v>
      </c>
      <c r="AB74">
        <f t="shared" si="63"/>
        <v>4.2989476174502776</v>
      </c>
      <c r="AC74">
        <f t="shared" si="64"/>
        <v>1.4516120175282166</v>
      </c>
      <c r="AD74">
        <f t="shared" si="65"/>
        <v>-193.89757491746059</v>
      </c>
      <c r="AE74">
        <f t="shared" si="66"/>
        <v>30.101980680716292</v>
      </c>
      <c r="AF74">
        <f t="shared" si="67"/>
        <v>2.2921771667150161</v>
      </c>
      <c r="AG74">
        <f t="shared" si="68"/>
        <v>182.8786815745442</v>
      </c>
      <c r="AH74">
        <v>1</v>
      </c>
      <c r="AI74">
        <v>0</v>
      </c>
      <c r="AJ74">
        <f t="shared" si="69"/>
        <v>1</v>
      </c>
      <c r="AK74">
        <f t="shared" si="70"/>
        <v>0</v>
      </c>
      <c r="AL74">
        <f t="shared" si="71"/>
        <v>52095.447279087639</v>
      </c>
      <c r="AM74" t="s">
        <v>417</v>
      </c>
      <c r="AN74">
        <v>10366.9</v>
      </c>
      <c r="AO74">
        <v>993.59653846153856</v>
      </c>
      <c r="AP74">
        <v>3431.87</v>
      </c>
      <c r="AQ74">
        <f t="shared" si="72"/>
        <v>0.71047955241266758</v>
      </c>
      <c r="AR74">
        <v>-3.9894345373445681</v>
      </c>
      <c r="AS74" t="s">
        <v>713</v>
      </c>
      <c r="AT74">
        <v>10434.700000000001</v>
      </c>
      <c r="AU74">
        <v>795.03044000000011</v>
      </c>
      <c r="AV74">
        <v>1055.0098460853551</v>
      </c>
      <c r="AW74">
        <f t="shared" si="73"/>
        <v>0.24642367751354755</v>
      </c>
      <c r="AX74">
        <v>0.5</v>
      </c>
      <c r="AY74">
        <f t="shared" si="74"/>
        <v>1513.2431993222865</v>
      </c>
      <c r="AZ74">
        <f t="shared" si="75"/>
        <v>33.582539316944661</v>
      </c>
      <c r="BA74">
        <f t="shared" si="76"/>
        <v>186.44947707468205</v>
      </c>
      <c r="BB74">
        <f t="shared" si="77"/>
        <v>2.4828774298219891E-2</v>
      </c>
      <c r="BC74">
        <f t="shared" si="78"/>
        <v>2.2529269871120672</v>
      </c>
      <c r="BD74">
        <f t="shared" si="79"/>
        <v>601.35297667570751</v>
      </c>
      <c r="BE74" t="s">
        <v>714</v>
      </c>
      <c r="BF74">
        <v>599.20000000000005</v>
      </c>
      <c r="BG74">
        <f t="shared" si="80"/>
        <v>599.20000000000005</v>
      </c>
      <c r="BH74">
        <f t="shared" si="81"/>
        <v>0.43204321530898582</v>
      </c>
      <c r="BI74">
        <f t="shared" si="82"/>
        <v>0.57036812240486612</v>
      </c>
      <c r="BJ74">
        <f t="shared" si="83"/>
        <v>0.83908826439883388</v>
      </c>
      <c r="BK74">
        <f t="shared" si="84"/>
        <v>4.2332747761746194</v>
      </c>
      <c r="BL74">
        <f t="shared" si="85"/>
        <v>0.97481278921640435</v>
      </c>
      <c r="BM74">
        <f t="shared" si="86"/>
        <v>0.42987609247388781</v>
      </c>
      <c r="BN74">
        <f t="shared" si="87"/>
        <v>0.57012390752611219</v>
      </c>
      <c r="BO74">
        <v>7858</v>
      </c>
      <c r="BP74">
        <v>290.00000000000011</v>
      </c>
      <c r="BQ74">
        <v>985.03</v>
      </c>
      <c r="BR74">
        <v>155</v>
      </c>
      <c r="BS74">
        <v>10434.700000000001</v>
      </c>
      <c r="BT74">
        <v>983.35</v>
      </c>
      <c r="BU74">
        <v>1.68</v>
      </c>
      <c r="BV74">
        <v>300.00000000000011</v>
      </c>
      <c r="BW74">
        <v>38.200000000000003</v>
      </c>
      <c r="BX74">
        <v>1055.0098460853551</v>
      </c>
      <c r="BY74">
        <v>1.2227183196496489</v>
      </c>
      <c r="BZ74">
        <v>-74.777244921958868</v>
      </c>
      <c r="CA74">
        <v>1.0440252271443979</v>
      </c>
      <c r="CB74">
        <v>0.994571534003174</v>
      </c>
      <c r="CC74">
        <v>-1.132726117908788E-2</v>
      </c>
      <c r="CD74">
        <v>289.99999999999989</v>
      </c>
      <c r="CE74">
        <v>978.77</v>
      </c>
      <c r="CF74">
        <v>785</v>
      </c>
      <c r="CG74">
        <v>10399.5</v>
      </c>
      <c r="CH74">
        <v>983.11</v>
      </c>
      <c r="CI74">
        <v>-4.34</v>
      </c>
      <c r="CW74">
        <f t="shared" si="88"/>
        <v>1800.07</v>
      </c>
      <c r="CX74">
        <f t="shared" si="89"/>
        <v>1513.2431993222865</v>
      </c>
      <c r="CY74">
        <f t="shared" si="90"/>
        <v>0.84065797403561338</v>
      </c>
      <c r="CZ74">
        <f t="shared" si="91"/>
        <v>0.19131594807122695</v>
      </c>
      <c r="DA74">
        <v>6</v>
      </c>
      <c r="DB74">
        <v>0.5</v>
      </c>
      <c r="DC74" t="s">
        <v>420</v>
      </c>
      <c r="DD74">
        <v>2</v>
      </c>
      <c r="DE74">
        <v>1693509428.0999999</v>
      </c>
      <c r="DF74">
        <v>258.48099999999999</v>
      </c>
      <c r="DG74">
        <v>300.084</v>
      </c>
      <c r="DH74">
        <v>28.1004</v>
      </c>
      <c r="DI74">
        <v>22.979900000000001</v>
      </c>
      <c r="DJ74">
        <v>259.255</v>
      </c>
      <c r="DK74">
        <v>27.923300000000001</v>
      </c>
      <c r="DL74">
        <v>500.71899999999999</v>
      </c>
      <c r="DM74">
        <v>99.558300000000003</v>
      </c>
      <c r="DN74">
        <v>9.9596100000000007E-2</v>
      </c>
      <c r="DO74">
        <v>30.156700000000001</v>
      </c>
      <c r="DP74">
        <v>29.965599999999998</v>
      </c>
      <c r="DQ74">
        <v>999.9</v>
      </c>
      <c r="DR74">
        <v>0</v>
      </c>
      <c r="DS74">
        <v>0</v>
      </c>
      <c r="DT74">
        <v>10000</v>
      </c>
      <c r="DU74">
        <v>0</v>
      </c>
      <c r="DV74">
        <v>1505.82</v>
      </c>
      <c r="DW74">
        <v>-41.602800000000002</v>
      </c>
      <c r="DX74">
        <v>265.95499999999998</v>
      </c>
      <c r="DY74">
        <v>307.142</v>
      </c>
      <c r="DZ74">
        <v>5.1205100000000003</v>
      </c>
      <c r="EA74">
        <v>300.084</v>
      </c>
      <c r="EB74">
        <v>22.979900000000001</v>
      </c>
      <c r="EC74">
        <v>2.7976299999999998</v>
      </c>
      <c r="ED74">
        <v>2.2878400000000001</v>
      </c>
      <c r="EE74">
        <v>22.870100000000001</v>
      </c>
      <c r="EF74">
        <v>19.591000000000001</v>
      </c>
      <c r="EG74">
        <v>1800.07</v>
      </c>
      <c r="EH74">
        <v>0.97800799999999999</v>
      </c>
      <c r="EI74">
        <v>2.19916E-2</v>
      </c>
      <c r="EJ74">
        <v>0</v>
      </c>
      <c r="EK74">
        <v>795.33600000000001</v>
      </c>
      <c r="EL74">
        <v>5.0010300000000001</v>
      </c>
      <c r="EM74">
        <v>15349.5</v>
      </c>
      <c r="EN74">
        <v>14701.7</v>
      </c>
      <c r="EO74">
        <v>49.561999999999998</v>
      </c>
      <c r="EP74">
        <v>51.061999999999998</v>
      </c>
      <c r="EQ74">
        <v>51.061999999999998</v>
      </c>
      <c r="ER74">
        <v>50</v>
      </c>
      <c r="ES74">
        <v>50.936999999999998</v>
      </c>
      <c r="ET74">
        <v>1755.59</v>
      </c>
      <c r="EU74">
        <v>39.479999999999997</v>
      </c>
      <c r="EV74">
        <v>0</v>
      </c>
      <c r="EW74">
        <v>157.39999985694891</v>
      </c>
      <c r="EX74">
        <v>0</v>
      </c>
      <c r="EY74">
        <v>795.03044000000011</v>
      </c>
      <c r="EZ74">
        <v>0.78238461261739134</v>
      </c>
      <c r="FA74">
        <v>14.146153963955379</v>
      </c>
      <c r="FB74">
        <v>15347.18</v>
      </c>
      <c r="FC74">
        <v>15</v>
      </c>
      <c r="FD74">
        <v>1693509348.0999999</v>
      </c>
      <c r="FE74" t="s">
        <v>715</v>
      </c>
      <c r="FF74">
        <v>1693509345.0999999</v>
      </c>
      <c r="FG74">
        <v>1693509348.0999999</v>
      </c>
      <c r="FH74">
        <v>65</v>
      </c>
      <c r="FI74">
        <v>0.17799999999999999</v>
      </c>
      <c r="FJ74">
        <v>-2E-3</v>
      </c>
      <c r="FK74">
        <v>-0.72699999999999998</v>
      </c>
      <c r="FL74">
        <v>6.4000000000000001E-2</v>
      </c>
      <c r="FM74">
        <v>300</v>
      </c>
      <c r="FN74">
        <v>23</v>
      </c>
      <c r="FO74">
        <v>0.17</v>
      </c>
      <c r="FP74">
        <v>0.05</v>
      </c>
      <c r="FQ74">
        <v>33.351582316453431</v>
      </c>
      <c r="FR74">
        <v>0.48070659867328802</v>
      </c>
      <c r="FS74">
        <v>7.5543298194418226E-2</v>
      </c>
      <c r="FT74">
        <v>1</v>
      </c>
      <c r="FU74">
        <v>0.30578530343072058</v>
      </c>
      <c r="FV74">
        <v>1.668082115629093E-2</v>
      </c>
      <c r="FW74">
        <v>1.335974313069343E-3</v>
      </c>
      <c r="FX74">
        <v>1</v>
      </c>
      <c r="FY74">
        <v>2</v>
      </c>
      <c r="FZ74">
        <v>2</v>
      </c>
      <c r="GA74" t="s">
        <v>422</v>
      </c>
      <c r="GB74">
        <v>2.9000499999999998</v>
      </c>
      <c r="GC74">
        <v>2.8176100000000002</v>
      </c>
      <c r="GD74">
        <v>6.3929899999999998E-2</v>
      </c>
      <c r="GE74">
        <v>7.2195999999999996E-2</v>
      </c>
      <c r="GF74">
        <v>0.133073</v>
      </c>
      <c r="GG74">
        <v>0.115504</v>
      </c>
      <c r="GH74">
        <v>25928.9</v>
      </c>
      <c r="GI74">
        <v>25743.8</v>
      </c>
      <c r="GJ74">
        <v>24579.200000000001</v>
      </c>
      <c r="GK74">
        <v>24784</v>
      </c>
      <c r="GL74">
        <v>28303.9</v>
      </c>
      <c r="GM74">
        <v>28642.7</v>
      </c>
      <c r="GN74">
        <v>33232.9</v>
      </c>
      <c r="GO74">
        <v>33072.9</v>
      </c>
      <c r="GP74">
        <v>1.9467000000000001</v>
      </c>
      <c r="GQ74">
        <v>1.8712</v>
      </c>
      <c r="GR74">
        <v>5.2735200000000003E-2</v>
      </c>
      <c r="GS74">
        <v>0</v>
      </c>
      <c r="GT74">
        <v>29.1068</v>
      </c>
      <c r="GU74">
        <v>999.9</v>
      </c>
      <c r="GV74">
        <v>61.9</v>
      </c>
      <c r="GW74">
        <v>31.4</v>
      </c>
      <c r="GX74">
        <v>28.698799999999999</v>
      </c>
      <c r="GY74">
        <v>61.9161</v>
      </c>
      <c r="GZ74">
        <v>23.3934</v>
      </c>
      <c r="HA74">
        <v>1</v>
      </c>
      <c r="HB74">
        <v>0.545346</v>
      </c>
      <c r="HC74">
        <v>2.3094100000000002</v>
      </c>
      <c r="HD74">
        <v>20.1524</v>
      </c>
      <c r="HE74">
        <v>5.2346599999999999</v>
      </c>
      <c r="HF74">
        <v>11.9201</v>
      </c>
      <c r="HG74">
        <v>4.9611999999999998</v>
      </c>
      <c r="HH74">
        <v>3.2890000000000001</v>
      </c>
      <c r="HI74">
        <v>9999</v>
      </c>
      <c r="HJ74">
        <v>9999</v>
      </c>
      <c r="HK74">
        <v>9999</v>
      </c>
      <c r="HL74">
        <v>895.3</v>
      </c>
      <c r="HM74">
        <v>1.8811</v>
      </c>
      <c r="HN74">
        <v>1.8782000000000001</v>
      </c>
      <c r="HO74">
        <v>1.8861399999999999</v>
      </c>
      <c r="HP74">
        <v>1.88391</v>
      </c>
      <c r="HQ74">
        <v>1.88141</v>
      </c>
      <c r="HR74">
        <v>1.88049</v>
      </c>
      <c r="HS74">
        <v>1.88165</v>
      </c>
      <c r="HT74">
        <v>1.88107</v>
      </c>
      <c r="HU74">
        <v>5</v>
      </c>
      <c r="HV74">
        <v>0</v>
      </c>
      <c r="HW74">
        <v>0</v>
      </c>
      <c r="HX74">
        <v>0</v>
      </c>
      <c r="HY74" t="s">
        <v>423</v>
      </c>
      <c r="HZ74" t="s">
        <v>424</v>
      </c>
      <c r="IA74" t="s">
        <v>425</v>
      </c>
      <c r="IB74" t="s">
        <v>425</v>
      </c>
      <c r="IC74" t="s">
        <v>425</v>
      </c>
      <c r="ID74" t="s">
        <v>425</v>
      </c>
      <c r="IE74">
        <v>0</v>
      </c>
      <c r="IF74">
        <v>100</v>
      </c>
      <c r="IG74">
        <v>100</v>
      </c>
      <c r="IH74">
        <v>-0.77400000000000002</v>
      </c>
      <c r="II74">
        <v>0.17710000000000001</v>
      </c>
      <c r="IJ74">
        <v>-1.2071075100281361</v>
      </c>
      <c r="IK74">
        <v>2.2153513873161218E-3</v>
      </c>
      <c r="IL74">
        <v>-2.2967369670569612E-6</v>
      </c>
      <c r="IM74">
        <v>7.7859689150384122E-10</v>
      </c>
      <c r="IN74">
        <v>-0.1996222282580869</v>
      </c>
      <c r="IO74">
        <v>-4.1434251034592161E-3</v>
      </c>
      <c r="IP74">
        <v>8.3987709687394815E-4</v>
      </c>
      <c r="IQ74">
        <v>-7.4586254598011197E-6</v>
      </c>
      <c r="IR74">
        <v>2</v>
      </c>
      <c r="IS74">
        <v>1930</v>
      </c>
      <c r="IT74">
        <v>2</v>
      </c>
      <c r="IU74">
        <v>41</v>
      </c>
      <c r="IV74">
        <v>1.4</v>
      </c>
      <c r="IW74">
        <v>1.3</v>
      </c>
      <c r="IX74">
        <v>0.794678</v>
      </c>
      <c r="IY74">
        <v>2.4902299999999999</v>
      </c>
      <c r="IZ74">
        <v>1.24512</v>
      </c>
      <c r="JA74">
        <v>2.2717299999999998</v>
      </c>
      <c r="JB74">
        <v>1.4501999999999999</v>
      </c>
      <c r="JC74">
        <v>2.32666</v>
      </c>
      <c r="JD74">
        <v>37.722799999999999</v>
      </c>
      <c r="JE74">
        <v>23.7986</v>
      </c>
      <c r="JF74">
        <v>18</v>
      </c>
      <c r="JG74">
        <v>495.68</v>
      </c>
      <c r="JH74">
        <v>495.24</v>
      </c>
      <c r="JI74">
        <v>25.6678</v>
      </c>
      <c r="JJ74">
        <v>34.074399999999997</v>
      </c>
      <c r="JK74">
        <v>30.0002</v>
      </c>
      <c r="JL74">
        <v>33.893000000000001</v>
      </c>
      <c r="JM74">
        <v>33.833199999999998</v>
      </c>
      <c r="JN74">
        <v>15.990500000000001</v>
      </c>
      <c r="JO74">
        <v>28.4497</v>
      </c>
      <c r="JP74">
        <v>99.254000000000005</v>
      </c>
      <c r="JQ74">
        <v>25.674399999999999</v>
      </c>
      <c r="JR74">
        <v>300</v>
      </c>
      <c r="JS74">
        <v>22.793099999999999</v>
      </c>
      <c r="JT74">
        <v>99.195400000000006</v>
      </c>
      <c r="JU74">
        <v>98.745099999999994</v>
      </c>
    </row>
    <row r="75" spans="1:281" x14ac:dyDescent="0.25">
      <c r="A75">
        <v>59</v>
      </c>
      <c r="B75">
        <v>1693509570.0999999</v>
      </c>
      <c r="C75">
        <v>13920.5</v>
      </c>
      <c r="D75" t="s">
        <v>716</v>
      </c>
      <c r="E75" t="s">
        <v>717</v>
      </c>
      <c r="F75" t="s">
        <v>413</v>
      </c>
      <c r="G75" t="s">
        <v>414</v>
      </c>
      <c r="H75" t="s">
        <v>707</v>
      </c>
      <c r="I75" t="s">
        <v>416</v>
      </c>
      <c r="J75">
        <v>1693509570.0999999</v>
      </c>
      <c r="K75">
        <f t="shared" si="46"/>
        <v>5.0421703355654594E-3</v>
      </c>
      <c r="L75">
        <f t="shared" si="47"/>
        <v>5.0421703355654595</v>
      </c>
      <c r="M75">
        <f t="shared" si="48"/>
        <v>24.621150316418309</v>
      </c>
      <c r="N75">
        <f t="shared" si="49"/>
        <v>169.51</v>
      </c>
      <c r="O75">
        <f t="shared" si="50"/>
        <v>50.520586360054125</v>
      </c>
      <c r="P75">
        <f t="shared" si="51"/>
        <v>5.0343798156586788</v>
      </c>
      <c r="Q75">
        <f t="shared" si="52"/>
        <v>16.89168285717</v>
      </c>
      <c r="R75">
        <f t="shared" si="53"/>
        <v>0.35818990145946694</v>
      </c>
      <c r="S75">
        <f t="shared" si="54"/>
        <v>2.9207658275779607</v>
      </c>
      <c r="T75">
        <f t="shared" si="55"/>
        <v>0.33545329844187888</v>
      </c>
      <c r="U75">
        <f t="shared" si="56"/>
        <v>0.21158072297363945</v>
      </c>
      <c r="V75">
        <f t="shared" si="57"/>
        <v>344.3953986446262</v>
      </c>
      <c r="W75">
        <f t="shared" si="58"/>
        <v>30.956260492300736</v>
      </c>
      <c r="X75">
        <f t="shared" si="59"/>
        <v>29.973800000000001</v>
      </c>
      <c r="Y75">
        <f t="shared" si="60"/>
        <v>4.2540423966843264</v>
      </c>
      <c r="Z75">
        <f t="shared" si="61"/>
        <v>65.05113374871236</v>
      </c>
      <c r="AA75">
        <f t="shared" si="62"/>
        <v>2.8092948288371997</v>
      </c>
      <c r="AB75">
        <f t="shared" si="63"/>
        <v>4.3185947222523353</v>
      </c>
      <c r="AC75">
        <f t="shared" si="64"/>
        <v>1.4447475678471267</v>
      </c>
      <c r="AD75">
        <f t="shared" si="65"/>
        <v>-222.35971179843676</v>
      </c>
      <c r="AE75">
        <f t="shared" si="66"/>
        <v>41.318639482570823</v>
      </c>
      <c r="AF75">
        <f t="shared" si="67"/>
        <v>3.1487622116489979</v>
      </c>
      <c r="AG75">
        <f t="shared" si="68"/>
        <v>166.50308854040927</v>
      </c>
      <c r="AH75">
        <v>0</v>
      </c>
      <c r="AI75">
        <v>0</v>
      </c>
      <c r="AJ75">
        <f t="shared" si="69"/>
        <v>1</v>
      </c>
      <c r="AK75">
        <f t="shared" si="70"/>
        <v>0</v>
      </c>
      <c r="AL75">
        <f t="shared" si="71"/>
        <v>52052.418790813696</v>
      </c>
      <c r="AM75" t="s">
        <v>417</v>
      </c>
      <c r="AN75">
        <v>10366.9</v>
      </c>
      <c r="AO75">
        <v>993.59653846153856</v>
      </c>
      <c r="AP75">
        <v>3431.87</v>
      </c>
      <c r="AQ75">
        <f t="shared" si="72"/>
        <v>0.71047955241266758</v>
      </c>
      <c r="AR75">
        <v>-3.9894345373445681</v>
      </c>
      <c r="AS75" t="s">
        <v>718</v>
      </c>
      <c r="AT75">
        <v>10426.799999999999</v>
      </c>
      <c r="AU75">
        <v>796.7904615384615</v>
      </c>
      <c r="AV75">
        <v>995.76193786252986</v>
      </c>
      <c r="AW75">
        <f t="shared" si="73"/>
        <v>0.1998183187752427</v>
      </c>
      <c r="AX75">
        <v>0.5</v>
      </c>
      <c r="AY75">
        <f t="shared" si="74"/>
        <v>1513.3019993223131</v>
      </c>
      <c r="AZ75">
        <f t="shared" si="75"/>
        <v>24.621150316418309</v>
      </c>
      <c r="BA75">
        <f t="shared" si="76"/>
        <v>151.19273065189904</v>
      </c>
      <c r="BB75">
        <f t="shared" si="77"/>
        <v>1.8906064266468469E-2</v>
      </c>
      <c r="BC75">
        <f t="shared" si="78"/>
        <v>2.4464763810582477</v>
      </c>
      <c r="BD75">
        <f t="shared" si="79"/>
        <v>581.62715392620601</v>
      </c>
      <c r="BE75" t="s">
        <v>719</v>
      </c>
      <c r="BF75">
        <v>596.13</v>
      </c>
      <c r="BG75">
        <f t="shared" si="80"/>
        <v>596.13</v>
      </c>
      <c r="BH75">
        <f t="shared" si="81"/>
        <v>0.40133281125443176</v>
      </c>
      <c r="BI75">
        <f t="shared" si="82"/>
        <v>0.49788682403184936</v>
      </c>
      <c r="BJ75">
        <f t="shared" si="83"/>
        <v>0.85907313862958878</v>
      </c>
      <c r="BK75">
        <f t="shared" si="84"/>
        <v>91.886732873843314</v>
      </c>
      <c r="BL75">
        <f t="shared" si="85"/>
        <v>0.9991119128206295</v>
      </c>
      <c r="BM75">
        <f t="shared" si="86"/>
        <v>0.37250103601520007</v>
      </c>
      <c r="BN75">
        <f t="shared" si="87"/>
        <v>0.62749896398479987</v>
      </c>
      <c r="BO75">
        <v>7860</v>
      </c>
      <c r="BP75">
        <v>290.00000000000011</v>
      </c>
      <c r="BQ75">
        <v>941</v>
      </c>
      <c r="BR75">
        <v>205</v>
      </c>
      <c r="BS75">
        <v>10426.799999999999</v>
      </c>
      <c r="BT75">
        <v>940.15</v>
      </c>
      <c r="BU75">
        <v>0.85</v>
      </c>
      <c r="BV75">
        <v>300.00000000000011</v>
      </c>
      <c r="BW75">
        <v>38.200000000000003</v>
      </c>
      <c r="BX75">
        <v>995.76193786252986</v>
      </c>
      <c r="BY75">
        <v>1.241936962286077</v>
      </c>
      <c r="BZ75">
        <v>-57.981174645282032</v>
      </c>
      <c r="CA75">
        <v>1.060409100214293</v>
      </c>
      <c r="CB75">
        <v>0.99072140008801046</v>
      </c>
      <c r="CC75">
        <v>-1.132746941045607E-2</v>
      </c>
      <c r="CD75">
        <v>289.99999999999989</v>
      </c>
      <c r="CE75">
        <v>938.45</v>
      </c>
      <c r="CF75">
        <v>685</v>
      </c>
      <c r="CG75">
        <v>10405.9</v>
      </c>
      <c r="CH75">
        <v>940.04</v>
      </c>
      <c r="CI75">
        <v>-1.59</v>
      </c>
      <c r="CW75">
        <f t="shared" si="88"/>
        <v>1800.14</v>
      </c>
      <c r="CX75">
        <f t="shared" si="89"/>
        <v>1513.3019993223131</v>
      </c>
      <c r="CY75">
        <f t="shared" si="90"/>
        <v>0.84065794844973896</v>
      </c>
      <c r="CZ75">
        <f t="shared" si="91"/>
        <v>0.19131589689947792</v>
      </c>
      <c r="DA75">
        <v>6</v>
      </c>
      <c r="DB75">
        <v>0.5</v>
      </c>
      <c r="DC75" t="s">
        <v>420</v>
      </c>
      <c r="DD75">
        <v>2</v>
      </c>
      <c r="DE75">
        <v>1693509570.0999999</v>
      </c>
      <c r="DF75">
        <v>169.51</v>
      </c>
      <c r="DG75">
        <v>200.03200000000001</v>
      </c>
      <c r="DH75">
        <v>28.191600000000001</v>
      </c>
      <c r="DI75">
        <v>22.321000000000002</v>
      </c>
      <c r="DJ75">
        <v>170.32</v>
      </c>
      <c r="DK75">
        <v>28.0123</v>
      </c>
      <c r="DL75">
        <v>500.803</v>
      </c>
      <c r="DM75">
        <v>99.549899999999994</v>
      </c>
      <c r="DN75">
        <v>0.10016700000000001</v>
      </c>
      <c r="DO75">
        <v>30.2362</v>
      </c>
      <c r="DP75">
        <v>29.973800000000001</v>
      </c>
      <c r="DQ75">
        <v>999.9</v>
      </c>
      <c r="DR75">
        <v>0</v>
      </c>
      <c r="DS75">
        <v>0</v>
      </c>
      <c r="DT75">
        <v>9995</v>
      </c>
      <c r="DU75">
        <v>0</v>
      </c>
      <c r="DV75">
        <v>1498.27</v>
      </c>
      <c r="DW75">
        <v>-30.521899999999999</v>
      </c>
      <c r="DX75">
        <v>174.42699999999999</v>
      </c>
      <c r="DY75">
        <v>204.59899999999999</v>
      </c>
      <c r="DZ75">
        <v>5.8705699999999998</v>
      </c>
      <c r="EA75">
        <v>200.03200000000001</v>
      </c>
      <c r="EB75">
        <v>22.321000000000002</v>
      </c>
      <c r="EC75">
        <v>2.80647</v>
      </c>
      <c r="ED75">
        <v>2.2220499999999999</v>
      </c>
      <c r="EE75">
        <v>22.9222</v>
      </c>
      <c r="EF75">
        <v>19.122199999999999</v>
      </c>
      <c r="EG75">
        <v>1800.14</v>
      </c>
      <c r="EH75">
        <v>0.97800799999999999</v>
      </c>
      <c r="EI75">
        <v>2.19916E-2</v>
      </c>
      <c r="EJ75">
        <v>0</v>
      </c>
      <c r="EK75">
        <v>796.88199999999995</v>
      </c>
      <c r="EL75">
        <v>5.0010300000000001</v>
      </c>
      <c r="EM75">
        <v>15399.5</v>
      </c>
      <c r="EN75">
        <v>14702.3</v>
      </c>
      <c r="EO75">
        <v>49.561999999999998</v>
      </c>
      <c r="EP75">
        <v>51</v>
      </c>
      <c r="EQ75">
        <v>50.936999999999998</v>
      </c>
      <c r="ER75">
        <v>49.936999999999998</v>
      </c>
      <c r="ES75">
        <v>51</v>
      </c>
      <c r="ET75">
        <v>1755.66</v>
      </c>
      <c r="EU75">
        <v>39.479999999999997</v>
      </c>
      <c r="EV75">
        <v>0</v>
      </c>
      <c r="EW75">
        <v>139.79999995231631</v>
      </c>
      <c r="EX75">
        <v>0</v>
      </c>
      <c r="EY75">
        <v>796.7904615384615</v>
      </c>
      <c r="EZ75">
        <v>-0.80075214400812633</v>
      </c>
      <c r="FA75">
        <v>-41.011965945772587</v>
      </c>
      <c r="FB75">
        <v>15396.63846153846</v>
      </c>
      <c r="FC75">
        <v>15</v>
      </c>
      <c r="FD75">
        <v>1693509499.5999999</v>
      </c>
      <c r="FE75" t="s">
        <v>720</v>
      </c>
      <c r="FF75">
        <v>1693509490.0999999</v>
      </c>
      <c r="FG75">
        <v>1693509499.5999999</v>
      </c>
      <c r="FH75">
        <v>66</v>
      </c>
      <c r="FI75">
        <v>8.2000000000000003E-2</v>
      </c>
      <c r="FJ75">
        <v>0</v>
      </c>
      <c r="FK75">
        <v>-0.76600000000000001</v>
      </c>
      <c r="FL75">
        <v>5.3999999999999999E-2</v>
      </c>
      <c r="FM75">
        <v>200</v>
      </c>
      <c r="FN75">
        <v>23</v>
      </c>
      <c r="FO75">
        <v>0.13</v>
      </c>
      <c r="FP75">
        <v>0.05</v>
      </c>
      <c r="FQ75">
        <v>24.448866791237471</v>
      </c>
      <c r="FR75">
        <v>0.60834858951138526</v>
      </c>
      <c r="FS75">
        <v>7.9326712247683104E-2</v>
      </c>
      <c r="FT75">
        <v>1</v>
      </c>
      <c r="FU75">
        <v>0.3572251076929549</v>
      </c>
      <c r="FV75">
        <v>2.8032685300100248E-2</v>
      </c>
      <c r="FW75">
        <v>2.7711742259251509E-3</v>
      </c>
      <c r="FX75">
        <v>1</v>
      </c>
      <c r="FY75">
        <v>2</v>
      </c>
      <c r="FZ75">
        <v>2</v>
      </c>
      <c r="GA75" t="s">
        <v>422</v>
      </c>
      <c r="GB75">
        <v>2.9001899999999998</v>
      </c>
      <c r="GC75">
        <v>2.8181400000000001</v>
      </c>
      <c r="GD75">
        <v>4.4243699999999997E-2</v>
      </c>
      <c r="GE75">
        <v>5.1118799999999999E-2</v>
      </c>
      <c r="GF75">
        <v>0.13333700000000001</v>
      </c>
      <c r="GG75">
        <v>0.113181</v>
      </c>
      <c r="GH75">
        <v>26472.5</v>
      </c>
      <c r="GI75">
        <v>26327.200000000001</v>
      </c>
      <c r="GJ75">
        <v>24578.3</v>
      </c>
      <c r="GK75">
        <v>24783.4</v>
      </c>
      <c r="GL75">
        <v>28294.400000000001</v>
      </c>
      <c r="GM75">
        <v>28716.9</v>
      </c>
      <c r="GN75">
        <v>33231.800000000003</v>
      </c>
      <c r="GO75">
        <v>33071.300000000003</v>
      </c>
      <c r="GP75">
        <v>1.9467000000000001</v>
      </c>
      <c r="GQ75">
        <v>1.8683000000000001</v>
      </c>
      <c r="GR75">
        <v>5.89043E-2</v>
      </c>
      <c r="GS75">
        <v>0</v>
      </c>
      <c r="GT75">
        <v>29.014399999999998</v>
      </c>
      <c r="GU75">
        <v>999.9</v>
      </c>
      <c r="GV75">
        <v>61.5</v>
      </c>
      <c r="GW75">
        <v>31.7</v>
      </c>
      <c r="GX75">
        <v>29.003499999999999</v>
      </c>
      <c r="GY75">
        <v>62.0261</v>
      </c>
      <c r="GZ75">
        <v>23.1691</v>
      </c>
      <c r="HA75">
        <v>1</v>
      </c>
      <c r="HB75">
        <v>0.54618900000000004</v>
      </c>
      <c r="HC75">
        <v>2.02711</v>
      </c>
      <c r="HD75">
        <v>20.1556</v>
      </c>
      <c r="HE75">
        <v>5.2340600000000004</v>
      </c>
      <c r="HF75">
        <v>11.9201</v>
      </c>
      <c r="HG75">
        <v>4.9593999999999996</v>
      </c>
      <c r="HH75">
        <v>3.2890000000000001</v>
      </c>
      <c r="HI75">
        <v>9999</v>
      </c>
      <c r="HJ75">
        <v>9999</v>
      </c>
      <c r="HK75">
        <v>9999</v>
      </c>
      <c r="HL75">
        <v>895.3</v>
      </c>
      <c r="HM75">
        <v>1.8811</v>
      </c>
      <c r="HN75">
        <v>1.8782000000000001</v>
      </c>
      <c r="HO75">
        <v>1.8861399999999999</v>
      </c>
      <c r="HP75">
        <v>1.8839699999999999</v>
      </c>
      <c r="HQ75">
        <v>1.88141</v>
      </c>
      <c r="HR75">
        <v>1.88049</v>
      </c>
      <c r="HS75">
        <v>1.8815599999999999</v>
      </c>
      <c r="HT75">
        <v>1.88107</v>
      </c>
      <c r="HU75">
        <v>5</v>
      </c>
      <c r="HV75">
        <v>0</v>
      </c>
      <c r="HW75">
        <v>0</v>
      </c>
      <c r="HX75">
        <v>0</v>
      </c>
      <c r="HY75" t="s">
        <v>423</v>
      </c>
      <c r="HZ75" t="s">
        <v>424</v>
      </c>
      <c r="IA75" t="s">
        <v>425</v>
      </c>
      <c r="IB75" t="s">
        <v>425</v>
      </c>
      <c r="IC75" t="s">
        <v>425</v>
      </c>
      <c r="ID75" t="s">
        <v>425</v>
      </c>
      <c r="IE75">
        <v>0</v>
      </c>
      <c r="IF75">
        <v>100</v>
      </c>
      <c r="IG75">
        <v>100</v>
      </c>
      <c r="IH75">
        <v>-0.81</v>
      </c>
      <c r="II75">
        <v>0.17929999999999999</v>
      </c>
      <c r="IJ75">
        <v>-1.124801273523093</v>
      </c>
      <c r="IK75">
        <v>2.2153513873161218E-3</v>
      </c>
      <c r="IL75">
        <v>-2.2967369670569612E-6</v>
      </c>
      <c r="IM75">
        <v>7.7859689150384122E-10</v>
      </c>
      <c r="IN75">
        <v>-0.19973345042374879</v>
      </c>
      <c r="IO75">
        <v>-4.1434251034592161E-3</v>
      </c>
      <c r="IP75">
        <v>8.3987709687394815E-4</v>
      </c>
      <c r="IQ75">
        <v>-7.4586254598011197E-6</v>
      </c>
      <c r="IR75">
        <v>2</v>
      </c>
      <c r="IS75">
        <v>1930</v>
      </c>
      <c r="IT75">
        <v>2</v>
      </c>
      <c r="IU75">
        <v>41</v>
      </c>
      <c r="IV75">
        <v>1.3</v>
      </c>
      <c r="IW75">
        <v>1.2</v>
      </c>
      <c r="IX75">
        <v>0.58471700000000004</v>
      </c>
      <c r="IY75">
        <v>2.50122</v>
      </c>
      <c r="IZ75">
        <v>1.24512</v>
      </c>
      <c r="JA75">
        <v>2.2705099999999998</v>
      </c>
      <c r="JB75">
        <v>1.4501999999999999</v>
      </c>
      <c r="JC75">
        <v>2.4389599999999998</v>
      </c>
      <c r="JD75">
        <v>37.9649</v>
      </c>
      <c r="JE75">
        <v>23.7986</v>
      </c>
      <c r="JF75">
        <v>18</v>
      </c>
      <c r="JG75">
        <v>496.10199999999998</v>
      </c>
      <c r="JH75">
        <v>493.61599999999999</v>
      </c>
      <c r="JI75">
        <v>26.200399999999998</v>
      </c>
      <c r="JJ75">
        <v>34.105200000000004</v>
      </c>
      <c r="JK75">
        <v>30.000299999999999</v>
      </c>
      <c r="JL75">
        <v>33.945300000000003</v>
      </c>
      <c r="JM75">
        <v>33.891399999999997</v>
      </c>
      <c r="JN75">
        <v>11.7944</v>
      </c>
      <c r="JO75">
        <v>30.128</v>
      </c>
      <c r="JP75">
        <v>98.877799999999993</v>
      </c>
      <c r="JQ75">
        <v>26.206600000000002</v>
      </c>
      <c r="JR75">
        <v>200</v>
      </c>
      <c r="JS75">
        <v>22.264199999999999</v>
      </c>
      <c r="JT75">
        <v>99.191900000000004</v>
      </c>
      <c r="JU75">
        <v>98.741399999999999</v>
      </c>
    </row>
    <row r="76" spans="1:281" x14ac:dyDescent="0.25">
      <c r="A76">
        <v>60</v>
      </c>
      <c r="B76">
        <v>1693509673.5999999</v>
      </c>
      <c r="C76">
        <v>14024</v>
      </c>
      <c r="D76" t="s">
        <v>721</v>
      </c>
      <c r="E76" t="s">
        <v>722</v>
      </c>
      <c r="F76" t="s">
        <v>413</v>
      </c>
      <c r="G76" t="s">
        <v>414</v>
      </c>
      <c r="H76" t="s">
        <v>707</v>
      </c>
      <c r="I76" t="s">
        <v>416</v>
      </c>
      <c r="J76">
        <v>1693509673.5999999</v>
      </c>
      <c r="K76">
        <f t="shared" si="46"/>
        <v>5.4365015908214897E-3</v>
      </c>
      <c r="L76">
        <f t="shared" si="47"/>
        <v>5.4365015908214893</v>
      </c>
      <c r="M76">
        <f t="shared" si="48"/>
        <v>15.953504895599693</v>
      </c>
      <c r="N76">
        <f t="shared" si="49"/>
        <v>100.2</v>
      </c>
      <c r="O76">
        <f t="shared" si="50"/>
        <v>29.507060956492833</v>
      </c>
      <c r="P76">
        <f t="shared" si="51"/>
        <v>2.9404599900350985</v>
      </c>
      <c r="Q76">
        <f t="shared" si="52"/>
        <v>9.9852063014999999</v>
      </c>
      <c r="R76">
        <f t="shared" si="53"/>
        <v>0.3924839697575086</v>
      </c>
      <c r="S76">
        <f t="shared" si="54"/>
        <v>2.9269496801522985</v>
      </c>
      <c r="T76">
        <f t="shared" si="55"/>
        <v>0.36541504501350092</v>
      </c>
      <c r="U76">
        <f t="shared" si="56"/>
        <v>0.23066067754206224</v>
      </c>
      <c r="V76">
        <f t="shared" si="57"/>
        <v>344.39729864463374</v>
      </c>
      <c r="W76">
        <f t="shared" si="58"/>
        <v>30.980196159183571</v>
      </c>
      <c r="X76">
        <f t="shared" si="59"/>
        <v>30.063300000000002</v>
      </c>
      <c r="Y76">
        <f t="shared" si="60"/>
        <v>4.2759649064985821</v>
      </c>
      <c r="Z76">
        <f t="shared" si="61"/>
        <v>65.428225472362016</v>
      </c>
      <c r="AA76">
        <f t="shared" si="62"/>
        <v>2.8463518166452499</v>
      </c>
      <c r="AB76">
        <f t="shared" si="63"/>
        <v>4.3503423730292008</v>
      </c>
      <c r="AC76">
        <f t="shared" si="64"/>
        <v>1.4296130898533321</v>
      </c>
      <c r="AD76">
        <f t="shared" si="65"/>
        <v>-239.74972015522769</v>
      </c>
      <c r="AE76">
        <f t="shared" si="66"/>
        <v>47.449771744720529</v>
      </c>
      <c r="AF76">
        <f t="shared" si="67"/>
        <v>3.6122386167474412</v>
      </c>
      <c r="AG76">
        <f t="shared" si="68"/>
        <v>155.70958885087401</v>
      </c>
      <c r="AH76">
        <v>0</v>
      </c>
      <c r="AI76">
        <v>0</v>
      </c>
      <c r="AJ76">
        <f t="shared" si="69"/>
        <v>1</v>
      </c>
      <c r="AK76">
        <f t="shared" si="70"/>
        <v>0</v>
      </c>
      <c r="AL76">
        <f t="shared" si="71"/>
        <v>52206.904504788945</v>
      </c>
      <c r="AM76" t="s">
        <v>417</v>
      </c>
      <c r="AN76">
        <v>10366.9</v>
      </c>
      <c r="AO76">
        <v>993.59653846153856</v>
      </c>
      <c r="AP76">
        <v>3431.87</v>
      </c>
      <c r="AQ76">
        <f t="shared" si="72"/>
        <v>0.71047955241266758</v>
      </c>
      <c r="AR76">
        <v>-3.9894345373445681</v>
      </c>
      <c r="AS76" t="s">
        <v>723</v>
      </c>
      <c r="AT76">
        <v>10417.1</v>
      </c>
      <c r="AU76">
        <v>805.45971999999995</v>
      </c>
      <c r="AV76">
        <v>951.68717655622129</v>
      </c>
      <c r="AW76">
        <f t="shared" si="73"/>
        <v>0.15365075852483434</v>
      </c>
      <c r="AX76">
        <v>0.5</v>
      </c>
      <c r="AY76">
        <f t="shared" si="74"/>
        <v>1513.3103993223169</v>
      </c>
      <c r="AZ76">
        <f t="shared" si="75"/>
        <v>15.953504895599693</v>
      </c>
      <c r="BA76">
        <f t="shared" si="76"/>
        <v>116.26064536969697</v>
      </c>
      <c r="BB76">
        <f t="shared" si="77"/>
        <v>1.3178353523424545E-2</v>
      </c>
      <c r="BC76">
        <f t="shared" si="78"/>
        <v>2.6060904092651298</v>
      </c>
      <c r="BD76">
        <f t="shared" si="79"/>
        <v>566.30790313257228</v>
      </c>
      <c r="BE76" t="s">
        <v>724</v>
      </c>
      <c r="BF76">
        <v>603.19000000000005</v>
      </c>
      <c r="BG76">
        <f t="shared" si="80"/>
        <v>603.19000000000005</v>
      </c>
      <c r="BH76">
        <f t="shared" si="81"/>
        <v>0.36618879096101131</v>
      </c>
      <c r="BI76">
        <f t="shared" si="82"/>
        <v>0.41959437950462486</v>
      </c>
      <c r="BJ76">
        <f t="shared" si="83"/>
        <v>0.87679865642058441</v>
      </c>
      <c r="BK76">
        <f t="shared" si="84"/>
        <v>-3.4891358376341364</v>
      </c>
      <c r="BL76">
        <f t="shared" si="85"/>
        <v>1.0171881302759509</v>
      </c>
      <c r="BM76">
        <f t="shared" si="86"/>
        <v>0.31422444535574628</v>
      </c>
      <c r="BN76">
        <f t="shared" si="87"/>
        <v>0.68577555464425366</v>
      </c>
      <c r="BO76">
        <v>7862</v>
      </c>
      <c r="BP76">
        <v>290.00000000000011</v>
      </c>
      <c r="BQ76">
        <v>913.93</v>
      </c>
      <c r="BR76">
        <v>295</v>
      </c>
      <c r="BS76">
        <v>10417.1</v>
      </c>
      <c r="BT76">
        <v>913.57</v>
      </c>
      <c r="BU76">
        <v>0.36</v>
      </c>
      <c r="BV76">
        <v>300.00000000000011</v>
      </c>
      <c r="BW76">
        <v>38.200000000000003</v>
      </c>
      <c r="BX76">
        <v>951.68717655622129</v>
      </c>
      <c r="BY76">
        <v>1.129151585611601</v>
      </c>
      <c r="BZ76">
        <v>-39.704622431957382</v>
      </c>
      <c r="CA76">
        <v>0.96411368983223711</v>
      </c>
      <c r="CB76">
        <v>0.98375869311034447</v>
      </c>
      <c r="CC76">
        <v>-1.1326577530589519E-2</v>
      </c>
      <c r="CD76">
        <v>289.99999999999989</v>
      </c>
      <c r="CE76">
        <v>912.74</v>
      </c>
      <c r="CF76">
        <v>665</v>
      </c>
      <c r="CG76">
        <v>10407.6</v>
      </c>
      <c r="CH76">
        <v>913.54</v>
      </c>
      <c r="CI76">
        <v>-0.8</v>
      </c>
      <c r="CW76">
        <f t="shared" si="88"/>
        <v>1800.15</v>
      </c>
      <c r="CX76">
        <f t="shared" si="89"/>
        <v>1513.3103993223169</v>
      </c>
      <c r="CY76">
        <f t="shared" si="90"/>
        <v>0.84065794479477651</v>
      </c>
      <c r="CZ76">
        <f t="shared" si="91"/>
        <v>0.19131588958955295</v>
      </c>
      <c r="DA76">
        <v>6</v>
      </c>
      <c r="DB76">
        <v>0.5</v>
      </c>
      <c r="DC76" t="s">
        <v>420</v>
      </c>
      <c r="DD76">
        <v>2</v>
      </c>
      <c r="DE76">
        <v>1693509673.5999999</v>
      </c>
      <c r="DF76">
        <v>100.2</v>
      </c>
      <c r="DG76">
        <v>120.003</v>
      </c>
      <c r="DH76">
        <v>28.5627</v>
      </c>
      <c r="DI76">
        <v>22.223600000000001</v>
      </c>
      <c r="DJ76">
        <v>101.089</v>
      </c>
      <c r="DK76">
        <v>28.375</v>
      </c>
      <c r="DL76">
        <v>499.87099999999998</v>
      </c>
      <c r="DM76">
        <v>99.553200000000004</v>
      </c>
      <c r="DN76">
        <v>9.9557499999999993E-2</v>
      </c>
      <c r="DO76">
        <v>30.364000000000001</v>
      </c>
      <c r="DP76">
        <v>30.063300000000002</v>
      </c>
      <c r="DQ76">
        <v>999.9</v>
      </c>
      <c r="DR76">
        <v>0</v>
      </c>
      <c r="DS76">
        <v>0</v>
      </c>
      <c r="DT76">
        <v>10030</v>
      </c>
      <c r="DU76">
        <v>0</v>
      </c>
      <c r="DV76">
        <v>1492.05</v>
      </c>
      <c r="DW76">
        <v>-19.803799999999999</v>
      </c>
      <c r="DX76">
        <v>103.146</v>
      </c>
      <c r="DY76">
        <v>122.73099999999999</v>
      </c>
      <c r="DZ76">
        <v>6.3390300000000002</v>
      </c>
      <c r="EA76">
        <v>120.003</v>
      </c>
      <c r="EB76">
        <v>22.223600000000001</v>
      </c>
      <c r="EC76">
        <v>2.8435100000000002</v>
      </c>
      <c r="ED76">
        <v>2.21244</v>
      </c>
      <c r="EE76">
        <v>23.1388</v>
      </c>
      <c r="EF76">
        <v>19.052600000000002</v>
      </c>
      <c r="EG76">
        <v>1800.15</v>
      </c>
      <c r="EH76">
        <v>0.97800799999999999</v>
      </c>
      <c r="EI76">
        <v>2.19916E-2</v>
      </c>
      <c r="EJ76">
        <v>0</v>
      </c>
      <c r="EK76">
        <v>804.91200000000003</v>
      </c>
      <c r="EL76">
        <v>5.0010300000000001</v>
      </c>
      <c r="EM76">
        <v>15545.7</v>
      </c>
      <c r="EN76">
        <v>14702.4</v>
      </c>
      <c r="EO76">
        <v>49.561999999999998</v>
      </c>
      <c r="EP76">
        <v>50.936999999999998</v>
      </c>
      <c r="EQ76">
        <v>51.061999999999998</v>
      </c>
      <c r="ER76">
        <v>49.75</v>
      </c>
      <c r="ES76">
        <v>50.936999999999998</v>
      </c>
      <c r="ET76">
        <v>1755.67</v>
      </c>
      <c r="EU76">
        <v>39.479999999999997</v>
      </c>
      <c r="EV76">
        <v>0</v>
      </c>
      <c r="EW76">
        <v>101.3999998569489</v>
      </c>
      <c r="EX76">
        <v>0</v>
      </c>
      <c r="EY76">
        <v>805.45971999999995</v>
      </c>
      <c r="EZ76">
        <v>-4.3878461665980177</v>
      </c>
      <c r="FA76">
        <v>-100.6461536964859</v>
      </c>
      <c r="FB76">
        <v>15560.22</v>
      </c>
      <c r="FC76">
        <v>15</v>
      </c>
      <c r="FD76">
        <v>1693509642.5999999</v>
      </c>
      <c r="FE76" t="s">
        <v>725</v>
      </c>
      <c r="FF76">
        <v>1693509636.5999999</v>
      </c>
      <c r="FG76">
        <v>1693509642.5999999</v>
      </c>
      <c r="FH76">
        <v>67</v>
      </c>
      <c r="FI76">
        <v>3.4000000000000002E-2</v>
      </c>
      <c r="FJ76">
        <v>-1E-3</v>
      </c>
      <c r="FK76">
        <v>-0.85499999999999998</v>
      </c>
      <c r="FL76">
        <v>3.9E-2</v>
      </c>
      <c r="FM76">
        <v>120</v>
      </c>
      <c r="FN76">
        <v>22</v>
      </c>
      <c r="FO76">
        <v>0.21</v>
      </c>
      <c r="FP76">
        <v>0.05</v>
      </c>
      <c r="FQ76">
        <v>15.78482262389724</v>
      </c>
      <c r="FR76">
        <v>0.65027961724589356</v>
      </c>
      <c r="FS76">
        <v>6.6937659213051351E-2</v>
      </c>
      <c r="FT76">
        <v>1</v>
      </c>
      <c r="FU76">
        <v>0.39327749965355241</v>
      </c>
      <c r="FV76">
        <v>3.2335558247212737E-2</v>
      </c>
      <c r="FW76">
        <v>3.2239069817058359E-3</v>
      </c>
      <c r="FX76">
        <v>1</v>
      </c>
      <c r="FY76">
        <v>2</v>
      </c>
      <c r="FZ76">
        <v>2</v>
      </c>
      <c r="GA76" t="s">
        <v>422</v>
      </c>
      <c r="GB76">
        <v>2.8978100000000002</v>
      </c>
      <c r="GC76">
        <v>2.8178200000000002</v>
      </c>
      <c r="GD76">
        <v>2.7173599999999999E-2</v>
      </c>
      <c r="GE76">
        <v>3.2028899999999999E-2</v>
      </c>
      <c r="GF76">
        <v>0.134517</v>
      </c>
      <c r="GG76">
        <v>0.11283899999999999</v>
      </c>
      <c r="GH76">
        <v>26944.2</v>
      </c>
      <c r="GI76">
        <v>26857.5</v>
      </c>
      <c r="GJ76">
        <v>24577.9</v>
      </c>
      <c r="GK76">
        <v>24784.799999999999</v>
      </c>
      <c r="GL76">
        <v>28255.599999999999</v>
      </c>
      <c r="GM76">
        <v>28728.6</v>
      </c>
      <c r="GN76">
        <v>33231.699999999997</v>
      </c>
      <c r="GO76">
        <v>33072</v>
      </c>
      <c r="GP76">
        <v>1.9464999999999999</v>
      </c>
      <c r="GQ76">
        <v>1.8653</v>
      </c>
      <c r="GR76">
        <v>5.6892600000000002E-2</v>
      </c>
      <c r="GS76">
        <v>0</v>
      </c>
      <c r="GT76">
        <v>29.136800000000001</v>
      </c>
      <c r="GU76">
        <v>999.9</v>
      </c>
      <c r="GV76">
        <v>61.2</v>
      </c>
      <c r="GW76">
        <v>31.8</v>
      </c>
      <c r="GX76">
        <v>29.024799999999999</v>
      </c>
      <c r="GY76">
        <v>61.836100000000002</v>
      </c>
      <c r="GZ76">
        <v>24.651399999999999</v>
      </c>
      <c r="HA76">
        <v>1</v>
      </c>
      <c r="HB76">
        <v>0.54949199999999998</v>
      </c>
      <c r="HC76">
        <v>3.1107300000000002</v>
      </c>
      <c r="HD76">
        <v>20.1386</v>
      </c>
      <c r="HE76">
        <v>5.23346</v>
      </c>
      <c r="HF76">
        <v>11.9201</v>
      </c>
      <c r="HG76">
        <v>4.9607999999999999</v>
      </c>
      <c r="HH76">
        <v>3.2890000000000001</v>
      </c>
      <c r="HI76">
        <v>9999</v>
      </c>
      <c r="HJ76">
        <v>9999</v>
      </c>
      <c r="HK76">
        <v>9999</v>
      </c>
      <c r="HL76">
        <v>895.3</v>
      </c>
      <c r="HM76">
        <v>1.8811</v>
      </c>
      <c r="HN76">
        <v>1.8782000000000001</v>
      </c>
      <c r="HO76">
        <v>1.8861399999999999</v>
      </c>
      <c r="HP76">
        <v>1.8839600000000001</v>
      </c>
      <c r="HQ76">
        <v>1.88141</v>
      </c>
      <c r="HR76">
        <v>1.88049</v>
      </c>
      <c r="HS76">
        <v>1.88165</v>
      </c>
      <c r="HT76">
        <v>1.8811</v>
      </c>
      <c r="HU76">
        <v>5</v>
      </c>
      <c r="HV76">
        <v>0</v>
      </c>
      <c r="HW76">
        <v>0</v>
      </c>
      <c r="HX76">
        <v>0</v>
      </c>
      <c r="HY76" t="s">
        <v>423</v>
      </c>
      <c r="HZ76" t="s">
        <v>424</v>
      </c>
      <c r="IA76" t="s">
        <v>425</v>
      </c>
      <c r="IB76" t="s">
        <v>425</v>
      </c>
      <c r="IC76" t="s">
        <v>425</v>
      </c>
      <c r="ID76" t="s">
        <v>425</v>
      </c>
      <c r="IE76">
        <v>0</v>
      </c>
      <c r="IF76">
        <v>100</v>
      </c>
      <c r="IG76">
        <v>100</v>
      </c>
      <c r="IH76">
        <v>-0.88900000000000001</v>
      </c>
      <c r="II76">
        <v>0.18770000000000001</v>
      </c>
      <c r="IJ76">
        <v>-1.090902320594342</v>
      </c>
      <c r="IK76">
        <v>2.2153513873161218E-3</v>
      </c>
      <c r="IL76">
        <v>-2.2967369670569612E-6</v>
      </c>
      <c r="IM76">
        <v>7.7859689150384122E-10</v>
      </c>
      <c r="IN76">
        <v>-0.20056030821630319</v>
      </c>
      <c r="IO76">
        <v>-4.1434251034592161E-3</v>
      </c>
      <c r="IP76">
        <v>8.3987709687394815E-4</v>
      </c>
      <c r="IQ76">
        <v>-7.4586254598011197E-6</v>
      </c>
      <c r="IR76">
        <v>2</v>
      </c>
      <c r="IS76">
        <v>1930</v>
      </c>
      <c r="IT76">
        <v>2</v>
      </c>
      <c r="IU76">
        <v>41</v>
      </c>
      <c r="IV76">
        <v>0.6</v>
      </c>
      <c r="IW76">
        <v>0.5</v>
      </c>
      <c r="IX76">
        <v>0.41259800000000002</v>
      </c>
      <c r="IY76">
        <v>2.52075</v>
      </c>
      <c r="IZ76">
        <v>1.24512</v>
      </c>
      <c r="JA76">
        <v>2.2705099999999998</v>
      </c>
      <c r="JB76">
        <v>1.4501999999999999</v>
      </c>
      <c r="JC76">
        <v>2.3168899999999999</v>
      </c>
      <c r="JD76">
        <v>38.110599999999998</v>
      </c>
      <c r="JE76">
        <v>23.780999999999999</v>
      </c>
      <c r="JF76">
        <v>18</v>
      </c>
      <c r="JG76">
        <v>496.04</v>
      </c>
      <c r="JH76">
        <v>491.53500000000003</v>
      </c>
      <c r="JI76">
        <v>25.621600000000001</v>
      </c>
      <c r="JJ76">
        <v>34.089799999999997</v>
      </c>
      <c r="JK76">
        <v>30</v>
      </c>
      <c r="JL76">
        <v>33.954500000000003</v>
      </c>
      <c r="JM76">
        <v>33.903700000000001</v>
      </c>
      <c r="JN76">
        <v>8.3413599999999999</v>
      </c>
      <c r="JO76">
        <v>31.1402</v>
      </c>
      <c r="JP76">
        <v>99.239699999999999</v>
      </c>
      <c r="JQ76">
        <v>25.586400000000001</v>
      </c>
      <c r="JR76">
        <v>120</v>
      </c>
      <c r="JS76">
        <v>22.109500000000001</v>
      </c>
      <c r="JT76">
        <v>99.191199999999995</v>
      </c>
      <c r="JU76">
        <v>98.745000000000005</v>
      </c>
    </row>
    <row r="77" spans="1:281" x14ac:dyDescent="0.25">
      <c r="A77">
        <v>61</v>
      </c>
      <c r="B77">
        <v>1693509782.5999999</v>
      </c>
      <c r="C77">
        <v>14133</v>
      </c>
      <c r="D77" t="s">
        <v>726</v>
      </c>
      <c r="E77" t="s">
        <v>727</v>
      </c>
      <c r="F77" t="s">
        <v>413</v>
      </c>
      <c r="G77" t="s">
        <v>414</v>
      </c>
      <c r="H77" t="s">
        <v>707</v>
      </c>
      <c r="I77" t="s">
        <v>416</v>
      </c>
      <c r="J77">
        <v>1693509782.5999999</v>
      </c>
      <c r="K77">
        <f t="shared" si="46"/>
        <v>6.0674732383356137E-3</v>
      </c>
      <c r="L77">
        <f t="shared" si="47"/>
        <v>6.067473238335614</v>
      </c>
      <c r="M77">
        <f t="shared" si="48"/>
        <v>10.240964661254829</v>
      </c>
      <c r="N77">
        <f t="shared" si="49"/>
        <v>57.392600000000002</v>
      </c>
      <c r="O77">
        <f t="shared" si="50"/>
        <v>17.477908619744817</v>
      </c>
      <c r="P77">
        <f t="shared" si="51"/>
        <v>1.7416152736720887</v>
      </c>
      <c r="Q77">
        <f t="shared" si="52"/>
        <v>5.7189810823723199</v>
      </c>
      <c r="R77">
        <f t="shared" si="53"/>
        <v>0.45018837686862456</v>
      </c>
      <c r="S77">
        <f t="shared" si="54"/>
        <v>2.9233453910793581</v>
      </c>
      <c r="T77">
        <f t="shared" si="55"/>
        <v>0.41491778870342777</v>
      </c>
      <c r="U77">
        <f t="shared" si="56"/>
        <v>0.26226188160203534</v>
      </c>
      <c r="V77">
        <f t="shared" si="57"/>
        <v>344.39919864464127</v>
      </c>
      <c r="W77">
        <f t="shared" si="58"/>
        <v>30.738603483809825</v>
      </c>
      <c r="X77">
        <f t="shared" si="59"/>
        <v>29.956099999999999</v>
      </c>
      <c r="Y77">
        <f t="shared" si="60"/>
        <v>4.2497185043812173</v>
      </c>
      <c r="Z77">
        <f t="shared" si="61"/>
        <v>65.677929188169458</v>
      </c>
      <c r="AA77">
        <f t="shared" si="62"/>
        <v>2.8444239657103205</v>
      </c>
      <c r="AB77">
        <f t="shared" si="63"/>
        <v>4.3308673109362976</v>
      </c>
      <c r="AC77">
        <f t="shared" si="64"/>
        <v>1.4052945386708968</v>
      </c>
      <c r="AD77">
        <f t="shared" si="65"/>
        <v>-267.57556981060054</v>
      </c>
      <c r="AE77">
        <f t="shared" si="66"/>
        <v>51.946079560187549</v>
      </c>
      <c r="AF77">
        <f t="shared" si="67"/>
        <v>3.955775422034352</v>
      </c>
      <c r="AG77">
        <f t="shared" si="68"/>
        <v>132.72548381626265</v>
      </c>
      <c r="AH77">
        <v>0</v>
      </c>
      <c r="AI77">
        <v>0</v>
      </c>
      <c r="AJ77">
        <f t="shared" si="69"/>
        <v>1</v>
      </c>
      <c r="AK77">
        <f t="shared" si="70"/>
        <v>0</v>
      </c>
      <c r="AL77">
        <f t="shared" si="71"/>
        <v>52117.415198937786</v>
      </c>
      <c r="AM77" t="s">
        <v>417</v>
      </c>
      <c r="AN77">
        <v>10366.9</v>
      </c>
      <c r="AO77">
        <v>993.59653846153856</v>
      </c>
      <c r="AP77">
        <v>3431.87</v>
      </c>
      <c r="AQ77">
        <f t="shared" si="72"/>
        <v>0.71047955241266758</v>
      </c>
      <c r="AR77">
        <v>-3.9894345373445681</v>
      </c>
      <c r="AS77" t="s">
        <v>728</v>
      </c>
      <c r="AT77">
        <v>10418.9</v>
      </c>
      <c r="AU77">
        <v>811.79243999999994</v>
      </c>
      <c r="AV77">
        <v>914.0514258040854</v>
      </c>
      <c r="AW77">
        <f t="shared" si="73"/>
        <v>0.1118744338855211</v>
      </c>
      <c r="AX77">
        <v>0.5</v>
      </c>
      <c r="AY77">
        <f t="shared" si="74"/>
        <v>1513.3187993223205</v>
      </c>
      <c r="AZ77">
        <f t="shared" si="75"/>
        <v>10.240964661254829</v>
      </c>
      <c r="BA77">
        <f t="shared" si="76"/>
        <v>84.650841981250551</v>
      </c>
      <c r="BB77">
        <f t="shared" si="77"/>
        <v>9.4034377984149233E-3</v>
      </c>
      <c r="BC77">
        <f t="shared" si="78"/>
        <v>2.754569932409443</v>
      </c>
      <c r="BD77">
        <f t="shared" si="79"/>
        <v>552.76447881041418</v>
      </c>
      <c r="BE77" t="s">
        <v>729</v>
      </c>
      <c r="BF77">
        <v>613.99</v>
      </c>
      <c r="BG77">
        <f t="shared" si="80"/>
        <v>613.99</v>
      </c>
      <c r="BH77">
        <f t="shared" si="81"/>
        <v>0.32827630627032089</v>
      </c>
      <c r="BI77">
        <f t="shared" si="82"/>
        <v>0.34079350762950744</v>
      </c>
      <c r="BJ77">
        <f t="shared" si="83"/>
        <v>0.89351518666370267</v>
      </c>
      <c r="BK77">
        <f t="shared" si="84"/>
        <v>-1.2855470611305253</v>
      </c>
      <c r="BL77">
        <f t="shared" si="85"/>
        <v>1.0326235403502537</v>
      </c>
      <c r="BM77">
        <f t="shared" si="86"/>
        <v>0.25775530226598475</v>
      </c>
      <c r="BN77">
        <f t="shared" si="87"/>
        <v>0.74224469773401525</v>
      </c>
      <c r="BO77">
        <v>7864</v>
      </c>
      <c r="BP77">
        <v>290.00000000000011</v>
      </c>
      <c r="BQ77">
        <v>889.38</v>
      </c>
      <c r="BR77">
        <v>265</v>
      </c>
      <c r="BS77">
        <v>10418.9</v>
      </c>
      <c r="BT77">
        <v>888.75</v>
      </c>
      <c r="BU77">
        <v>0.63</v>
      </c>
      <c r="BV77">
        <v>300.00000000000011</v>
      </c>
      <c r="BW77">
        <v>38.200000000000003</v>
      </c>
      <c r="BX77">
        <v>914.0514258040854</v>
      </c>
      <c r="BY77">
        <v>0.98903427729364701</v>
      </c>
      <c r="BZ77">
        <v>-26.35835788806898</v>
      </c>
      <c r="CA77">
        <v>0.84445623644293344</v>
      </c>
      <c r="CB77">
        <v>0.97206360840280215</v>
      </c>
      <c r="CC77">
        <v>-1.13264464961068E-2</v>
      </c>
      <c r="CD77">
        <v>289.99999999999989</v>
      </c>
      <c r="CE77">
        <v>886.5</v>
      </c>
      <c r="CF77">
        <v>635</v>
      </c>
      <c r="CG77">
        <v>10409.9</v>
      </c>
      <c r="CH77">
        <v>888.73</v>
      </c>
      <c r="CI77">
        <v>-2.23</v>
      </c>
      <c r="CW77">
        <f t="shared" si="88"/>
        <v>1800.16</v>
      </c>
      <c r="CX77">
        <f t="shared" si="89"/>
        <v>1513.3187993223205</v>
      </c>
      <c r="CY77">
        <f t="shared" si="90"/>
        <v>0.84065794113985448</v>
      </c>
      <c r="CZ77">
        <f t="shared" si="91"/>
        <v>0.19131588227970917</v>
      </c>
      <c r="DA77">
        <v>6</v>
      </c>
      <c r="DB77">
        <v>0.5</v>
      </c>
      <c r="DC77" t="s">
        <v>420</v>
      </c>
      <c r="DD77">
        <v>2</v>
      </c>
      <c r="DE77">
        <v>1693509782.5999999</v>
      </c>
      <c r="DF77">
        <v>57.392600000000002</v>
      </c>
      <c r="DG77">
        <v>70.086100000000002</v>
      </c>
      <c r="DH77">
        <v>28.545100000000001</v>
      </c>
      <c r="DI77">
        <v>21.479500000000002</v>
      </c>
      <c r="DJ77">
        <v>58.277299999999997</v>
      </c>
      <c r="DK77">
        <v>28.358599999999999</v>
      </c>
      <c r="DL77">
        <v>500.53300000000002</v>
      </c>
      <c r="DM77">
        <v>99.547200000000004</v>
      </c>
      <c r="DN77">
        <v>9.9463200000000002E-2</v>
      </c>
      <c r="DO77">
        <v>30.285699999999999</v>
      </c>
      <c r="DP77">
        <v>29.956099999999999</v>
      </c>
      <c r="DQ77">
        <v>999.9</v>
      </c>
      <c r="DR77">
        <v>0</v>
      </c>
      <c r="DS77">
        <v>0</v>
      </c>
      <c r="DT77">
        <v>10010</v>
      </c>
      <c r="DU77">
        <v>0</v>
      </c>
      <c r="DV77">
        <v>1485.69</v>
      </c>
      <c r="DW77">
        <v>-12.6935</v>
      </c>
      <c r="DX77">
        <v>59.079000000000001</v>
      </c>
      <c r="DY77">
        <v>71.624600000000001</v>
      </c>
      <c r="DZ77">
        <v>7.0655599999999996</v>
      </c>
      <c r="EA77">
        <v>70.086100000000002</v>
      </c>
      <c r="EB77">
        <v>21.479500000000002</v>
      </c>
      <c r="EC77">
        <v>2.84158</v>
      </c>
      <c r="ED77">
        <v>2.1382300000000001</v>
      </c>
      <c r="EE77">
        <v>23.127700000000001</v>
      </c>
      <c r="EF77">
        <v>18.506799999999998</v>
      </c>
      <c r="EG77">
        <v>1800.16</v>
      </c>
      <c r="EH77">
        <v>0.97800799999999999</v>
      </c>
      <c r="EI77">
        <v>2.19916E-2</v>
      </c>
      <c r="EJ77">
        <v>0</v>
      </c>
      <c r="EK77">
        <v>811.21</v>
      </c>
      <c r="EL77">
        <v>5.0010300000000001</v>
      </c>
      <c r="EM77">
        <v>15676.4</v>
      </c>
      <c r="EN77">
        <v>14702.5</v>
      </c>
      <c r="EO77">
        <v>49.561999999999998</v>
      </c>
      <c r="EP77">
        <v>51.061999999999998</v>
      </c>
      <c r="EQ77">
        <v>51.125</v>
      </c>
      <c r="ER77">
        <v>49.875</v>
      </c>
      <c r="ES77">
        <v>51</v>
      </c>
      <c r="ET77">
        <v>1755.68</v>
      </c>
      <c r="EU77">
        <v>39.479999999999997</v>
      </c>
      <c r="EV77">
        <v>0</v>
      </c>
      <c r="EW77">
        <v>107</v>
      </c>
      <c r="EX77">
        <v>0</v>
      </c>
      <c r="EY77">
        <v>811.79243999999994</v>
      </c>
      <c r="EZ77">
        <v>-3.0522307669542328</v>
      </c>
      <c r="FA77">
        <v>-69.884615905849643</v>
      </c>
      <c r="FB77">
        <v>15675.188</v>
      </c>
      <c r="FC77">
        <v>15</v>
      </c>
      <c r="FD77">
        <v>1693509753.0999999</v>
      </c>
      <c r="FE77" t="s">
        <v>730</v>
      </c>
      <c r="FF77">
        <v>1693509751.5999999</v>
      </c>
      <c r="FG77">
        <v>1693509753.0999999</v>
      </c>
      <c r="FH77">
        <v>68</v>
      </c>
      <c r="FI77">
        <v>8.5000000000000006E-2</v>
      </c>
      <c r="FJ77">
        <v>-1E-3</v>
      </c>
      <c r="FK77">
        <v>-0.86</v>
      </c>
      <c r="FL77">
        <v>2.7E-2</v>
      </c>
      <c r="FM77">
        <v>70</v>
      </c>
      <c r="FN77">
        <v>22</v>
      </c>
      <c r="FO77">
        <v>0.41</v>
      </c>
      <c r="FP77">
        <v>0.04</v>
      </c>
      <c r="FQ77">
        <v>10.083227758063391</v>
      </c>
      <c r="FR77">
        <v>0.36888890047688228</v>
      </c>
      <c r="FS77">
        <v>6.7796050612060788E-2</v>
      </c>
      <c r="FT77">
        <v>1</v>
      </c>
      <c r="FU77">
        <v>0.45051530660741629</v>
      </c>
      <c r="FV77">
        <v>3.1740203680262383E-2</v>
      </c>
      <c r="FW77">
        <v>2.93594567114137E-3</v>
      </c>
      <c r="FX77">
        <v>1</v>
      </c>
      <c r="FY77">
        <v>2</v>
      </c>
      <c r="FZ77">
        <v>2</v>
      </c>
      <c r="GA77" t="s">
        <v>422</v>
      </c>
      <c r="GB77">
        <v>2.8995000000000002</v>
      </c>
      <c r="GC77">
        <v>2.8175599999999998</v>
      </c>
      <c r="GD77">
        <v>1.5899099999999999E-2</v>
      </c>
      <c r="GE77">
        <v>1.90916E-2</v>
      </c>
      <c r="GF77">
        <v>0.13444900000000001</v>
      </c>
      <c r="GG77">
        <v>0.110193</v>
      </c>
      <c r="GH77">
        <v>27254.400000000001</v>
      </c>
      <c r="GI77">
        <v>27214.9</v>
      </c>
      <c r="GJ77">
        <v>24576.6</v>
      </c>
      <c r="GK77">
        <v>24784.2</v>
      </c>
      <c r="GL77">
        <v>28255.8</v>
      </c>
      <c r="GM77">
        <v>28813.5</v>
      </c>
      <c r="GN77">
        <v>33229.300000000003</v>
      </c>
      <c r="GO77">
        <v>33070.699999999997</v>
      </c>
      <c r="GP77">
        <v>1.9468000000000001</v>
      </c>
      <c r="GQ77">
        <v>1.863</v>
      </c>
      <c r="GR77">
        <v>4.5537899999999999E-2</v>
      </c>
      <c r="GS77">
        <v>0</v>
      </c>
      <c r="GT77">
        <v>29.214500000000001</v>
      </c>
      <c r="GU77">
        <v>999.9</v>
      </c>
      <c r="GV77">
        <v>60.9</v>
      </c>
      <c r="GW77">
        <v>32</v>
      </c>
      <c r="GX77">
        <v>29.211500000000001</v>
      </c>
      <c r="GY77">
        <v>62.096200000000003</v>
      </c>
      <c r="GZ77">
        <v>23.757999999999999</v>
      </c>
      <c r="HA77">
        <v>1</v>
      </c>
      <c r="HB77">
        <v>0.54963399999999996</v>
      </c>
      <c r="HC77">
        <v>2.5371899999999998</v>
      </c>
      <c r="HD77">
        <v>20.148299999999999</v>
      </c>
      <c r="HE77">
        <v>5.23346</v>
      </c>
      <c r="HF77">
        <v>11.9201</v>
      </c>
      <c r="HG77">
        <v>4.9607999999999999</v>
      </c>
      <c r="HH77">
        <v>3.2890000000000001</v>
      </c>
      <c r="HI77">
        <v>9999</v>
      </c>
      <c r="HJ77">
        <v>9999</v>
      </c>
      <c r="HK77">
        <v>9999</v>
      </c>
      <c r="HL77">
        <v>895.4</v>
      </c>
      <c r="HM77">
        <v>1.8811</v>
      </c>
      <c r="HN77">
        <v>1.8782000000000001</v>
      </c>
      <c r="HO77">
        <v>1.8861399999999999</v>
      </c>
      <c r="HP77">
        <v>1.88398</v>
      </c>
      <c r="HQ77">
        <v>1.88141</v>
      </c>
      <c r="HR77">
        <v>1.88049</v>
      </c>
      <c r="HS77">
        <v>1.8816200000000001</v>
      </c>
      <c r="HT77">
        <v>1.8811</v>
      </c>
      <c r="HU77">
        <v>5</v>
      </c>
      <c r="HV77">
        <v>0</v>
      </c>
      <c r="HW77">
        <v>0</v>
      </c>
      <c r="HX77">
        <v>0</v>
      </c>
      <c r="HY77" t="s">
        <v>423</v>
      </c>
      <c r="HZ77" t="s">
        <v>424</v>
      </c>
      <c r="IA77" t="s">
        <v>425</v>
      </c>
      <c r="IB77" t="s">
        <v>425</v>
      </c>
      <c r="IC77" t="s">
        <v>425</v>
      </c>
      <c r="ID77" t="s">
        <v>425</v>
      </c>
      <c r="IE77">
        <v>0</v>
      </c>
      <c r="IF77">
        <v>100</v>
      </c>
      <c r="IG77">
        <v>100</v>
      </c>
      <c r="IH77">
        <v>-0.88500000000000001</v>
      </c>
      <c r="II77">
        <v>0.1865</v>
      </c>
      <c r="IJ77">
        <v>-1.006140834871792</v>
      </c>
      <c r="IK77">
        <v>2.2153513873161218E-3</v>
      </c>
      <c r="IL77">
        <v>-2.2967369670569612E-6</v>
      </c>
      <c r="IM77">
        <v>7.7859689150384122E-10</v>
      </c>
      <c r="IN77">
        <v>-0.20137810803203149</v>
      </c>
      <c r="IO77">
        <v>-4.1434251034592161E-3</v>
      </c>
      <c r="IP77">
        <v>8.3987709687394815E-4</v>
      </c>
      <c r="IQ77">
        <v>-7.4586254598011197E-6</v>
      </c>
      <c r="IR77">
        <v>2</v>
      </c>
      <c r="IS77">
        <v>1930</v>
      </c>
      <c r="IT77">
        <v>2</v>
      </c>
      <c r="IU77">
        <v>41</v>
      </c>
      <c r="IV77">
        <v>0.5</v>
      </c>
      <c r="IW77">
        <v>0.5</v>
      </c>
      <c r="IX77">
        <v>0.30395499999999998</v>
      </c>
      <c r="IY77">
        <v>2.5500500000000001</v>
      </c>
      <c r="IZ77">
        <v>1.24512</v>
      </c>
      <c r="JA77">
        <v>2.2705099999999998</v>
      </c>
      <c r="JB77">
        <v>1.4501999999999999</v>
      </c>
      <c r="JC77">
        <v>2.2155800000000001</v>
      </c>
      <c r="JD77">
        <v>38.305599999999998</v>
      </c>
      <c r="JE77">
        <v>23.7898</v>
      </c>
      <c r="JF77">
        <v>18</v>
      </c>
      <c r="JG77">
        <v>496.41699999999997</v>
      </c>
      <c r="JH77">
        <v>490.07</v>
      </c>
      <c r="JI77">
        <v>25.723299999999998</v>
      </c>
      <c r="JJ77">
        <v>34.114400000000003</v>
      </c>
      <c r="JK77">
        <v>30.0002</v>
      </c>
      <c r="JL77">
        <v>33.976100000000002</v>
      </c>
      <c r="JM77">
        <v>33.9283</v>
      </c>
      <c r="JN77">
        <v>6.1576599999999999</v>
      </c>
      <c r="JO77">
        <v>33.966299999999997</v>
      </c>
      <c r="JP77">
        <v>98.788499999999999</v>
      </c>
      <c r="JQ77">
        <v>25.732600000000001</v>
      </c>
      <c r="JR77">
        <v>70</v>
      </c>
      <c r="JS77">
        <v>21.378599999999999</v>
      </c>
      <c r="JT77">
        <v>99.184899999999999</v>
      </c>
      <c r="JU77">
        <v>98.741699999999994</v>
      </c>
    </row>
    <row r="78" spans="1:281" x14ac:dyDescent="0.25">
      <c r="A78">
        <v>62</v>
      </c>
      <c r="B78">
        <v>1693509887.5999999</v>
      </c>
      <c r="C78">
        <v>14238</v>
      </c>
      <c r="D78" t="s">
        <v>731</v>
      </c>
      <c r="E78" t="s">
        <v>732</v>
      </c>
      <c r="F78" t="s">
        <v>413</v>
      </c>
      <c r="G78" t="s">
        <v>414</v>
      </c>
      <c r="H78" t="s">
        <v>707</v>
      </c>
      <c r="I78" t="s">
        <v>416</v>
      </c>
      <c r="J78">
        <v>1693509887.5999999</v>
      </c>
      <c r="K78">
        <f t="shared" si="46"/>
        <v>6.4109737940108982E-3</v>
      </c>
      <c r="L78">
        <f t="shared" si="47"/>
        <v>6.4109737940108982</v>
      </c>
      <c r="M78">
        <f t="shared" si="48"/>
        <v>4.5881889684570156</v>
      </c>
      <c r="N78">
        <f t="shared" si="49"/>
        <v>24.3185</v>
      </c>
      <c r="O78">
        <f t="shared" si="50"/>
        <v>7.20530474156664</v>
      </c>
      <c r="P78">
        <f t="shared" si="51"/>
        <v>0.71798774372927943</v>
      </c>
      <c r="Q78">
        <f t="shared" si="52"/>
        <v>2.4232680743055002</v>
      </c>
      <c r="R78">
        <f t="shared" si="53"/>
        <v>0.47192339373332298</v>
      </c>
      <c r="S78">
        <f t="shared" si="54"/>
        <v>2.920716566066365</v>
      </c>
      <c r="T78">
        <f t="shared" si="55"/>
        <v>0.43328952725889935</v>
      </c>
      <c r="U78">
        <f t="shared" si="56"/>
        <v>0.27401300813119722</v>
      </c>
      <c r="V78">
        <f t="shared" si="57"/>
        <v>344.39729864463374</v>
      </c>
      <c r="W78">
        <f t="shared" si="58"/>
        <v>30.756863692655685</v>
      </c>
      <c r="X78">
        <f t="shared" si="59"/>
        <v>30.056699999999999</v>
      </c>
      <c r="Y78">
        <f t="shared" si="60"/>
        <v>4.2743449188115239</v>
      </c>
      <c r="Z78">
        <f t="shared" si="61"/>
        <v>65.465023481940804</v>
      </c>
      <c r="AA78">
        <f t="shared" si="62"/>
        <v>2.8526872999737001</v>
      </c>
      <c r="AB78">
        <f t="shared" si="63"/>
        <v>4.3575746990461903</v>
      </c>
      <c r="AC78">
        <f t="shared" si="64"/>
        <v>1.4216576188378238</v>
      </c>
      <c r="AD78">
        <f t="shared" si="65"/>
        <v>-282.7239443158806</v>
      </c>
      <c r="AE78">
        <f t="shared" si="66"/>
        <v>52.954360128735821</v>
      </c>
      <c r="AF78">
        <f t="shared" si="67"/>
        <v>4.0403410102768254</v>
      </c>
      <c r="AG78">
        <f t="shared" si="68"/>
        <v>118.66805546776581</v>
      </c>
      <c r="AH78">
        <v>0</v>
      </c>
      <c r="AI78">
        <v>0</v>
      </c>
      <c r="AJ78">
        <f t="shared" si="69"/>
        <v>1</v>
      </c>
      <c r="AK78">
        <f t="shared" si="70"/>
        <v>0</v>
      </c>
      <c r="AL78">
        <f t="shared" si="71"/>
        <v>52024.053685212268</v>
      </c>
      <c r="AM78" t="s">
        <v>417</v>
      </c>
      <c r="AN78">
        <v>10366.9</v>
      </c>
      <c r="AO78">
        <v>993.59653846153856</v>
      </c>
      <c r="AP78">
        <v>3431.87</v>
      </c>
      <c r="AQ78">
        <f t="shared" si="72"/>
        <v>0.71047955241266758</v>
      </c>
      <c r="AR78">
        <v>-3.9894345373445681</v>
      </c>
      <c r="AS78" t="s">
        <v>733</v>
      </c>
      <c r="AT78">
        <v>10421.200000000001</v>
      </c>
      <c r="AU78">
        <v>817.71761538461556</v>
      </c>
      <c r="AV78">
        <v>883.24801172450191</v>
      </c>
      <c r="AW78">
        <f t="shared" si="73"/>
        <v>7.4192520639747794E-2</v>
      </c>
      <c r="AX78">
        <v>0.5</v>
      </c>
      <c r="AY78">
        <f t="shared" si="74"/>
        <v>1513.3103993223169</v>
      </c>
      <c r="AZ78">
        <f t="shared" si="75"/>
        <v>4.5881889684570156</v>
      </c>
      <c r="BA78">
        <f t="shared" si="76"/>
        <v>56.138156518032986</v>
      </c>
      <c r="BB78">
        <f t="shared" si="77"/>
        <v>5.6681190518764503E-3</v>
      </c>
      <c r="BC78">
        <f t="shared" si="78"/>
        <v>2.8855111525237724</v>
      </c>
      <c r="BD78">
        <f t="shared" si="79"/>
        <v>541.34722651129243</v>
      </c>
      <c r="BE78" t="s">
        <v>734</v>
      </c>
      <c r="BF78">
        <v>628.76</v>
      </c>
      <c r="BG78">
        <f t="shared" si="80"/>
        <v>628.76</v>
      </c>
      <c r="BH78">
        <f t="shared" si="81"/>
        <v>0.28812746629072572</v>
      </c>
      <c r="BI78">
        <f t="shared" si="82"/>
        <v>0.25749895209534202</v>
      </c>
      <c r="BJ78">
        <f t="shared" si="83"/>
        <v>0.90921226361987162</v>
      </c>
      <c r="BK78">
        <f t="shared" si="84"/>
        <v>-0.59384930889061127</v>
      </c>
      <c r="BL78">
        <f t="shared" si="85"/>
        <v>1.0452568296697167</v>
      </c>
      <c r="BM78">
        <f t="shared" si="86"/>
        <v>0.19799627410902088</v>
      </c>
      <c r="BN78">
        <f t="shared" si="87"/>
        <v>0.80200372589097912</v>
      </c>
      <c r="BO78">
        <v>7866</v>
      </c>
      <c r="BP78">
        <v>290.00000000000011</v>
      </c>
      <c r="BQ78">
        <v>866.93</v>
      </c>
      <c r="BR78">
        <v>245</v>
      </c>
      <c r="BS78">
        <v>10421.200000000001</v>
      </c>
      <c r="BT78">
        <v>866.08</v>
      </c>
      <c r="BU78">
        <v>0.85</v>
      </c>
      <c r="BV78">
        <v>300.00000000000011</v>
      </c>
      <c r="BW78">
        <v>38.200000000000003</v>
      </c>
      <c r="BX78">
        <v>883.24801172450191</v>
      </c>
      <c r="BY78">
        <v>0.85388626873066409</v>
      </c>
      <c r="BZ78">
        <v>-17.894626849406109</v>
      </c>
      <c r="CA78">
        <v>0.72905123225208268</v>
      </c>
      <c r="CB78">
        <v>0.95558807905486365</v>
      </c>
      <c r="CC78">
        <v>-1.1326136151279189E-2</v>
      </c>
      <c r="CD78">
        <v>289.99999999999989</v>
      </c>
      <c r="CE78">
        <v>865.19</v>
      </c>
      <c r="CF78">
        <v>665</v>
      </c>
      <c r="CG78">
        <v>10407</v>
      </c>
      <c r="CH78">
        <v>866.05</v>
      </c>
      <c r="CI78">
        <v>-0.86</v>
      </c>
      <c r="CW78">
        <f t="shared" si="88"/>
        <v>1800.15</v>
      </c>
      <c r="CX78">
        <f t="shared" si="89"/>
        <v>1513.3103993223169</v>
      </c>
      <c r="CY78">
        <f t="shared" si="90"/>
        <v>0.84065794479477651</v>
      </c>
      <c r="CZ78">
        <f t="shared" si="91"/>
        <v>0.19131588958955295</v>
      </c>
      <c r="DA78">
        <v>6</v>
      </c>
      <c r="DB78">
        <v>0.5</v>
      </c>
      <c r="DC78" t="s">
        <v>420</v>
      </c>
      <c r="DD78">
        <v>2</v>
      </c>
      <c r="DE78">
        <v>1693509887.5999999</v>
      </c>
      <c r="DF78">
        <v>24.3185</v>
      </c>
      <c r="DG78">
        <v>30.0136</v>
      </c>
      <c r="DH78">
        <v>28.6279</v>
      </c>
      <c r="DI78">
        <v>21.152100000000001</v>
      </c>
      <c r="DJ78">
        <v>25.155799999999999</v>
      </c>
      <c r="DK78">
        <v>28.4359</v>
      </c>
      <c r="DL78">
        <v>499.80799999999999</v>
      </c>
      <c r="DM78">
        <v>99.5471</v>
      </c>
      <c r="DN78">
        <v>0.10000299999999999</v>
      </c>
      <c r="DO78">
        <v>30.393000000000001</v>
      </c>
      <c r="DP78">
        <v>30.056699999999999</v>
      </c>
      <c r="DQ78">
        <v>999.9</v>
      </c>
      <c r="DR78">
        <v>0</v>
      </c>
      <c r="DS78">
        <v>0</v>
      </c>
      <c r="DT78">
        <v>9995</v>
      </c>
      <c r="DU78">
        <v>0</v>
      </c>
      <c r="DV78">
        <v>1481.32</v>
      </c>
      <c r="DW78">
        <v>-5.6951200000000002</v>
      </c>
      <c r="DX78">
        <v>25.0352</v>
      </c>
      <c r="DY78">
        <v>30.662199999999999</v>
      </c>
      <c r="DZ78">
        <v>7.4758399999999998</v>
      </c>
      <c r="EA78">
        <v>30.0136</v>
      </c>
      <c r="EB78">
        <v>21.152100000000001</v>
      </c>
      <c r="EC78">
        <v>2.8498299999999999</v>
      </c>
      <c r="ED78">
        <v>2.1056300000000001</v>
      </c>
      <c r="EE78">
        <v>23.175599999999999</v>
      </c>
      <c r="EF78">
        <v>18.261800000000001</v>
      </c>
      <c r="EG78">
        <v>1800.15</v>
      </c>
      <c r="EH78">
        <v>0.97800799999999999</v>
      </c>
      <c r="EI78">
        <v>2.1991699999999999E-2</v>
      </c>
      <c r="EJ78">
        <v>0</v>
      </c>
      <c r="EK78">
        <v>816.88400000000001</v>
      </c>
      <c r="EL78">
        <v>5.0010300000000001</v>
      </c>
      <c r="EM78">
        <v>15802</v>
      </c>
      <c r="EN78">
        <v>14702.4</v>
      </c>
      <c r="EO78">
        <v>49.625</v>
      </c>
      <c r="EP78">
        <v>51.125</v>
      </c>
      <c r="EQ78">
        <v>51.125</v>
      </c>
      <c r="ER78">
        <v>50</v>
      </c>
      <c r="ES78">
        <v>51.061999999999998</v>
      </c>
      <c r="ET78">
        <v>1755.67</v>
      </c>
      <c r="EU78">
        <v>39.479999999999997</v>
      </c>
      <c r="EV78">
        <v>0</v>
      </c>
      <c r="EW78">
        <v>102.7999999523163</v>
      </c>
      <c r="EX78">
        <v>0</v>
      </c>
      <c r="EY78">
        <v>817.71761538461556</v>
      </c>
      <c r="EZ78">
        <v>-4.0643418793353021</v>
      </c>
      <c r="FA78">
        <v>-43.955555633119602</v>
      </c>
      <c r="FB78">
        <v>15802.51923076923</v>
      </c>
      <c r="FC78">
        <v>15</v>
      </c>
      <c r="FD78">
        <v>1693509859.0999999</v>
      </c>
      <c r="FE78" t="s">
        <v>735</v>
      </c>
      <c r="FF78">
        <v>1693509846.5999999</v>
      </c>
      <c r="FG78">
        <v>1693509859.0999999</v>
      </c>
      <c r="FH78">
        <v>69</v>
      </c>
      <c r="FI78">
        <v>0.115</v>
      </c>
      <c r="FJ78">
        <v>4.0000000000000001E-3</v>
      </c>
      <c r="FK78">
        <v>-0.82599999999999996</v>
      </c>
      <c r="FL78">
        <v>0.02</v>
      </c>
      <c r="FM78">
        <v>30</v>
      </c>
      <c r="FN78">
        <v>21</v>
      </c>
      <c r="FO78">
        <v>0.9</v>
      </c>
      <c r="FP78">
        <v>0.02</v>
      </c>
      <c r="FQ78">
        <v>4.5890196955916931</v>
      </c>
      <c r="FR78">
        <v>0.10364652311296089</v>
      </c>
      <c r="FS78">
        <v>4.1975637304862957E-2</v>
      </c>
      <c r="FT78">
        <v>1</v>
      </c>
      <c r="FU78">
        <v>0.47240563725808937</v>
      </c>
      <c r="FV78">
        <v>4.4236177919134957E-2</v>
      </c>
      <c r="FW78">
        <v>4.5235988182319121E-3</v>
      </c>
      <c r="FX78">
        <v>1</v>
      </c>
      <c r="FY78">
        <v>2</v>
      </c>
      <c r="FZ78">
        <v>2</v>
      </c>
      <c r="GA78" t="s">
        <v>422</v>
      </c>
      <c r="GB78">
        <v>2.8975200000000001</v>
      </c>
      <c r="GC78">
        <v>2.8179599999999998</v>
      </c>
      <c r="GD78">
        <v>6.9078100000000003E-3</v>
      </c>
      <c r="GE78">
        <v>8.2589499999999993E-3</v>
      </c>
      <c r="GF78">
        <v>0.134688</v>
      </c>
      <c r="GG78">
        <v>0.109012</v>
      </c>
      <c r="GH78">
        <v>27501.5</v>
      </c>
      <c r="GI78">
        <v>27513.1</v>
      </c>
      <c r="GJ78">
        <v>24575.5</v>
      </c>
      <c r="GK78">
        <v>24783</v>
      </c>
      <c r="GL78">
        <v>28246.6</v>
      </c>
      <c r="GM78">
        <v>28851.1</v>
      </c>
      <c r="GN78">
        <v>33227.4</v>
      </c>
      <c r="GO78">
        <v>33069.699999999997</v>
      </c>
      <c r="GP78">
        <v>1.9464999999999999</v>
      </c>
      <c r="GQ78">
        <v>1.8596999999999999</v>
      </c>
      <c r="GR78">
        <v>4.7087700000000003E-2</v>
      </c>
      <c r="GS78">
        <v>0</v>
      </c>
      <c r="GT78">
        <v>29.29</v>
      </c>
      <c r="GU78">
        <v>999.9</v>
      </c>
      <c r="GV78">
        <v>60.7</v>
      </c>
      <c r="GW78">
        <v>32.1</v>
      </c>
      <c r="GX78">
        <v>29.281099999999999</v>
      </c>
      <c r="GY78">
        <v>62.036200000000001</v>
      </c>
      <c r="GZ78">
        <v>24.759599999999999</v>
      </c>
      <c r="HA78">
        <v>1</v>
      </c>
      <c r="HB78">
        <v>0.55506100000000003</v>
      </c>
      <c r="HC78">
        <v>2.9886300000000001</v>
      </c>
      <c r="HD78">
        <v>20.186599999999999</v>
      </c>
      <c r="HE78">
        <v>5.2304700000000004</v>
      </c>
      <c r="HF78">
        <v>11.9201</v>
      </c>
      <c r="HG78">
        <v>4.9596</v>
      </c>
      <c r="HH78">
        <v>3.2890000000000001</v>
      </c>
      <c r="HI78">
        <v>9999</v>
      </c>
      <c r="HJ78">
        <v>9999</v>
      </c>
      <c r="HK78">
        <v>9999</v>
      </c>
      <c r="HL78">
        <v>895.4</v>
      </c>
      <c r="HM78">
        <v>1.8809499999999999</v>
      </c>
      <c r="HN78">
        <v>1.87802</v>
      </c>
      <c r="HO78">
        <v>1.88591</v>
      </c>
      <c r="HP78">
        <v>1.8837200000000001</v>
      </c>
      <c r="HQ78">
        <v>1.88123</v>
      </c>
      <c r="HR78">
        <v>1.88032</v>
      </c>
      <c r="HS78">
        <v>1.88141</v>
      </c>
      <c r="HT78">
        <v>1.8808</v>
      </c>
      <c r="HU78">
        <v>5</v>
      </c>
      <c r="HV78">
        <v>0</v>
      </c>
      <c r="HW78">
        <v>0</v>
      </c>
      <c r="HX78">
        <v>0</v>
      </c>
      <c r="HY78" t="s">
        <v>423</v>
      </c>
      <c r="HZ78" t="s">
        <v>424</v>
      </c>
      <c r="IA78" t="s">
        <v>425</v>
      </c>
      <c r="IB78" t="s">
        <v>425</v>
      </c>
      <c r="IC78" t="s">
        <v>425</v>
      </c>
      <c r="ID78" t="s">
        <v>425</v>
      </c>
      <c r="IE78">
        <v>0</v>
      </c>
      <c r="IF78">
        <v>100</v>
      </c>
      <c r="IG78">
        <v>100</v>
      </c>
      <c r="IH78">
        <v>-0.83699999999999997</v>
      </c>
      <c r="II78">
        <v>0.192</v>
      </c>
      <c r="IJ78">
        <v>-0.89162285453306511</v>
      </c>
      <c r="IK78">
        <v>2.2153513873161218E-3</v>
      </c>
      <c r="IL78">
        <v>-2.2967369670569612E-6</v>
      </c>
      <c r="IM78">
        <v>7.7859689150384122E-10</v>
      </c>
      <c r="IN78">
        <v>-0.19777746408344821</v>
      </c>
      <c r="IO78">
        <v>-4.1434251034592161E-3</v>
      </c>
      <c r="IP78">
        <v>8.3987709687394815E-4</v>
      </c>
      <c r="IQ78">
        <v>-7.4586254598011197E-6</v>
      </c>
      <c r="IR78">
        <v>2</v>
      </c>
      <c r="IS78">
        <v>1930</v>
      </c>
      <c r="IT78">
        <v>2</v>
      </c>
      <c r="IU78">
        <v>41</v>
      </c>
      <c r="IV78">
        <v>0.7</v>
      </c>
      <c r="IW78">
        <v>0.5</v>
      </c>
      <c r="IX78">
        <v>0.21850600000000001</v>
      </c>
      <c r="IY78">
        <v>2.5622600000000002</v>
      </c>
      <c r="IZ78">
        <v>1.24512</v>
      </c>
      <c r="JA78">
        <v>2.2705099999999998</v>
      </c>
      <c r="JB78">
        <v>1.4501999999999999</v>
      </c>
      <c r="JC78">
        <v>2.3547400000000001</v>
      </c>
      <c r="JD78">
        <v>38.501399999999997</v>
      </c>
      <c r="JE78">
        <v>16.215900000000001</v>
      </c>
      <c r="JF78">
        <v>18</v>
      </c>
      <c r="JG78">
        <v>496.536</v>
      </c>
      <c r="JH78">
        <v>488.01400000000001</v>
      </c>
      <c r="JI78">
        <v>25.6615</v>
      </c>
      <c r="JJ78">
        <v>34.161299999999997</v>
      </c>
      <c r="JK78">
        <v>30.0001</v>
      </c>
      <c r="JL78">
        <v>34.016199999999998</v>
      </c>
      <c r="JM78">
        <v>33.968200000000003</v>
      </c>
      <c r="JN78">
        <v>4.44224</v>
      </c>
      <c r="JO78">
        <v>35.186999999999998</v>
      </c>
      <c r="JP78">
        <v>98.855800000000002</v>
      </c>
      <c r="JQ78">
        <v>25.642900000000001</v>
      </c>
      <c r="JR78">
        <v>30</v>
      </c>
      <c r="JS78">
        <v>21.084599999999998</v>
      </c>
      <c r="JT78">
        <v>99.1798</v>
      </c>
      <c r="JU78">
        <v>98.737899999999996</v>
      </c>
    </row>
    <row r="79" spans="1:281" x14ac:dyDescent="0.25">
      <c r="A79">
        <v>63</v>
      </c>
      <c r="B79">
        <v>1693510000.0999999</v>
      </c>
      <c r="C79">
        <v>14350.5</v>
      </c>
      <c r="D79" t="s">
        <v>736</v>
      </c>
      <c r="E79" t="s">
        <v>737</v>
      </c>
      <c r="F79" t="s">
        <v>413</v>
      </c>
      <c r="G79" t="s">
        <v>414</v>
      </c>
      <c r="H79" t="s">
        <v>707</v>
      </c>
      <c r="I79" t="s">
        <v>416</v>
      </c>
      <c r="J79">
        <v>1693510000.0999999</v>
      </c>
      <c r="K79">
        <f t="shared" si="46"/>
        <v>6.6039990599823482E-3</v>
      </c>
      <c r="L79">
        <f t="shared" si="47"/>
        <v>6.6039990599823479</v>
      </c>
      <c r="M79">
        <f t="shared" si="48"/>
        <v>1.6552418758092344</v>
      </c>
      <c r="N79">
        <f t="shared" si="49"/>
        <v>7.9671200000000004</v>
      </c>
      <c r="O79">
        <f t="shared" si="50"/>
        <v>2.0420815643035262</v>
      </c>
      <c r="P79">
        <f t="shared" si="51"/>
        <v>0.20348801228253785</v>
      </c>
      <c r="Q79">
        <f t="shared" si="52"/>
        <v>0.79390237919776008</v>
      </c>
      <c r="R79">
        <f t="shared" si="53"/>
        <v>0.49220199128154912</v>
      </c>
      <c r="S79">
        <f t="shared" si="54"/>
        <v>2.9233471512887022</v>
      </c>
      <c r="T79">
        <f t="shared" si="55"/>
        <v>0.45036848330054863</v>
      </c>
      <c r="U79">
        <f t="shared" si="56"/>
        <v>0.28494199202130521</v>
      </c>
      <c r="V79">
        <f t="shared" si="57"/>
        <v>344.38399864458103</v>
      </c>
      <c r="W79">
        <f t="shared" si="58"/>
        <v>30.6399156820423</v>
      </c>
      <c r="X79">
        <f t="shared" si="59"/>
        <v>29.9939</v>
      </c>
      <c r="Y79">
        <f t="shared" si="60"/>
        <v>4.2589572281822958</v>
      </c>
      <c r="Z79">
        <f t="shared" si="61"/>
        <v>65.650175716085585</v>
      </c>
      <c r="AA79">
        <f t="shared" si="62"/>
        <v>2.8498942233304003</v>
      </c>
      <c r="AB79">
        <f t="shared" si="63"/>
        <v>4.3410306099639584</v>
      </c>
      <c r="AC79">
        <f t="shared" si="64"/>
        <v>1.4090630048518955</v>
      </c>
      <c r="AD79">
        <f t="shared" si="65"/>
        <v>-291.23635854522155</v>
      </c>
      <c r="AE79">
        <f t="shared" si="66"/>
        <v>52.434681662065856</v>
      </c>
      <c r="AF79">
        <f t="shared" si="67"/>
        <v>3.9945361186192181</v>
      </c>
      <c r="AG79">
        <f t="shared" si="68"/>
        <v>109.57685788004457</v>
      </c>
      <c r="AH79">
        <v>0</v>
      </c>
      <c r="AI79">
        <v>0</v>
      </c>
      <c r="AJ79">
        <f t="shared" si="69"/>
        <v>1</v>
      </c>
      <c r="AK79">
        <f t="shared" si="70"/>
        <v>0</v>
      </c>
      <c r="AL79">
        <f t="shared" si="71"/>
        <v>52110.440130092349</v>
      </c>
      <c r="AM79" t="s">
        <v>417</v>
      </c>
      <c r="AN79">
        <v>10366.9</v>
      </c>
      <c r="AO79">
        <v>993.59653846153856</v>
      </c>
      <c r="AP79">
        <v>3431.87</v>
      </c>
      <c r="AQ79">
        <f t="shared" si="72"/>
        <v>0.71047955241266758</v>
      </c>
      <c r="AR79">
        <v>-3.9894345373445681</v>
      </c>
      <c r="AS79" t="s">
        <v>738</v>
      </c>
      <c r="AT79">
        <v>10425.700000000001</v>
      </c>
      <c r="AU79">
        <v>819.4502</v>
      </c>
      <c r="AV79">
        <v>871.35015983622577</v>
      </c>
      <c r="AW79">
        <f t="shared" si="73"/>
        <v>5.9562690441212096E-2</v>
      </c>
      <c r="AX79">
        <v>0.5</v>
      </c>
      <c r="AY79">
        <f t="shared" si="74"/>
        <v>1513.2515993222905</v>
      </c>
      <c r="AZ79">
        <f t="shared" si="75"/>
        <v>1.6552418758092344</v>
      </c>
      <c r="BA79">
        <f t="shared" si="76"/>
        <v>45.066668285051357</v>
      </c>
      <c r="BB79">
        <f t="shared" si="77"/>
        <v>3.7301638509298586E-3</v>
      </c>
      <c r="BC79">
        <f t="shared" si="78"/>
        <v>2.9385658695983201</v>
      </c>
      <c r="BD79">
        <f t="shared" si="79"/>
        <v>536.85433886701185</v>
      </c>
      <c r="BE79" t="s">
        <v>739</v>
      </c>
      <c r="BF79">
        <v>638.99</v>
      </c>
      <c r="BG79">
        <f t="shared" si="80"/>
        <v>638.99</v>
      </c>
      <c r="BH79">
        <f t="shared" si="81"/>
        <v>0.26666680118575858</v>
      </c>
      <c r="BI79">
        <f t="shared" si="82"/>
        <v>0.22335997648136577</v>
      </c>
      <c r="BJ79">
        <f t="shared" si="83"/>
        <v>0.91680266970431024</v>
      </c>
      <c r="BK79">
        <f t="shared" si="84"/>
        <v>-0.42455212514147372</v>
      </c>
      <c r="BL79">
        <f t="shared" si="85"/>
        <v>1.0501364512855664</v>
      </c>
      <c r="BM79">
        <f t="shared" si="86"/>
        <v>0.1741714034261361</v>
      </c>
      <c r="BN79">
        <f t="shared" si="87"/>
        <v>0.82582859657386387</v>
      </c>
      <c r="BO79">
        <v>7868</v>
      </c>
      <c r="BP79">
        <v>290.00000000000011</v>
      </c>
      <c r="BQ79">
        <v>857.47</v>
      </c>
      <c r="BR79">
        <v>205</v>
      </c>
      <c r="BS79">
        <v>10425.700000000001</v>
      </c>
      <c r="BT79">
        <v>856.08</v>
      </c>
      <c r="BU79">
        <v>1.39</v>
      </c>
      <c r="BV79">
        <v>300.00000000000011</v>
      </c>
      <c r="BW79">
        <v>38.200000000000003</v>
      </c>
      <c r="BX79">
        <v>871.35015983622577</v>
      </c>
      <c r="BY79">
        <v>1.018163974609726</v>
      </c>
      <c r="BZ79">
        <v>-15.924547636263069</v>
      </c>
      <c r="CA79">
        <v>0.86925559352117088</v>
      </c>
      <c r="CB79">
        <v>0.92299512538656237</v>
      </c>
      <c r="CC79">
        <v>-1.132549477196885E-2</v>
      </c>
      <c r="CD79">
        <v>289.99999999999989</v>
      </c>
      <c r="CE79">
        <v>854.15</v>
      </c>
      <c r="CF79">
        <v>635</v>
      </c>
      <c r="CG79">
        <v>10409</v>
      </c>
      <c r="CH79">
        <v>856.05</v>
      </c>
      <c r="CI79">
        <v>-1.9</v>
      </c>
      <c r="CW79">
        <f t="shared" si="88"/>
        <v>1800.08</v>
      </c>
      <c r="CX79">
        <f t="shared" si="89"/>
        <v>1513.2515993222905</v>
      </c>
      <c r="CY79">
        <f t="shared" si="90"/>
        <v>0.84065797038036671</v>
      </c>
      <c r="CZ79">
        <f t="shared" si="91"/>
        <v>0.19131594076073344</v>
      </c>
      <c r="DA79">
        <v>6</v>
      </c>
      <c r="DB79">
        <v>0.5</v>
      </c>
      <c r="DC79" t="s">
        <v>420</v>
      </c>
      <c r="DD79">
        <v>2</v>
      </c>
      <c r="DE79">
        <v>1693510000.0999999</v>
      </c>
      <c r="DF79">
        <v>7.9671200000000004</v>
      </c>
      <c r="DG79">
        <v>10.017200000000001</v>
      </c>
      <c r="DH79">
        <v>28.599799999999998</v>
      </c>
      <c r="DI79">
        <v>20.8992</v>
      </c>
      <c r="DJ79">
        <v>8.8148700000000009</v>
      </c>
      <c r="DK79">
        <v>28.409800000000001</v>
      </c>
      <c r="DL79">
        <v>499.84100000000001</v>
      </c>
      <c r="DM79">
        <v>99.547300000000007</v>
      </c>
      <c r="DN79">
        <v>0.100048</v>
      </c>
      <c r="DO79">
        <v>30.326599999999999</v>
      </c>
      <c r="DP79">
        <v>29.9939</v>
      </c>
      <c r="DQ79">
        <v>999.9</v>
      </c>
      <c r="DR79">
        <v>0</v>
      </c>
      <c r="DS79">
        <v>0</v>
      </c>
      <c r="DT79">
        <v>10010</v>
      </c>
      <c r="DU79">
        <v>0</v>
      </c>
      <c r="DV79">
        <v>1470.92</v>
      </c>
      <c r="DW79">
        <v>-2.0501200000000002</v>
      </c>
      <c r="DX79">
        <v>8.2016899999999993</v>
      </c>
      <c r="DY79">
        <v>10.2311</v>
      </c>
      <c r="DZ79">
        <v>7.7006399999999999</v>
      </c>
      <c r="EA79">
        <v>10.017200000000001</v>
      </c>
      <c r="EB79">
        <v>20.8992</v>
      </c>
      <c r="EC79">
        <v>2.8470399999999998</v>
      </c>
      <c r="ED79">
        <v>2.08046</v>
      </c>
      <c r="EE79">
        <v>23.159400000000002</v>
      </c>
      <c r="EF79">
        <v>18.070399999999999</v>
      </c>
      <c r="EG79">
        <v>1800.08</v>
      </c>
      <c r="EH79">
        <v>0.97800799999999999</v>
      </c>
      <c r="EI79">
        <v>2.19916E-2</v>
      </c>
      <c r="EJ79">
        <v>0</v>
      </c>
      <c r="EK79">
        <v>819.149</v>
      </c>
      <c r="EL79">
        <v>5.0010300000000001</v>
      </c>
      <c r="EM79">
        <v>15835</v>
      </c>
      <c r="EN79">
        <v>14701.8</v>
      </c>
      <c r="EO79">
        <v>49.811999999999998</v>
      </c>
      <c r="EP79">
        <v>51.311999999999998</v>
      </c>
      <c r="EQ79">
        <v>51.25</v>
      </c>
      <c r="ER79">
        <v>50.186999999999998</v>
      </c>
      <c r="ES79">
        <v>51.125</v>
      </c>
      <c r="ET79">
        <v>1755.6</v>
      </c>
      <c r="EU79">
        <v>39.479999999999997</v>
      </c>
      <c r="EV79">
        <v>0</v>
      </c>
      <c r="EW79">
        <v>110.4000000953674</v>
      </c>
      <c r="EX79">
        <v>0</v>
      </c>
      <c r="EY79">
        <v>819.4502</v>
      </c>
      <c r="EZ79">
        <v>-1.969000003797609</v>
      </c>
      <c r="FA79">
        <v>-39.407692131579353</v>
      </c>
      <c r="FB79">
        <v>15836.38</v>
      </c>
      <c r="FC79">
        <v>15</v>
      </c>
      <c r="FD79">
        <v>1693509972.0999999</v>
      </c>
      <c r="FE79" t="s">
        <v>740</v>
      </c>
      <c r="FF79">
        <v>1693509963.0999999</v>
      </c>
      <c r="FG79">
        <v>1693509972.0999999</v>
      </c>
      <c r="FH79">
        <v>70</v>
      </c>
      <c r="FI79">
        <v>2.5000000000000001E-2</v>
      </c>
      <c r="FJ79">
        <v>-1E-3</v>
      </c>
      <c r="FK79">
        <v>-0.84299999999999997</v>
      </c>
      <c r="FL79">
        <v>1.4E-2</v>
      </c>
      <c r="FM79">
        <v>10</v>
      </c>
      <c r="FN79">
        <v>21</v>
      </c>
      <c r="FO79">
        <v>0.66</v>
      </c>
      <c r="FP79">
        <v>0.04</v>
      </c>
      <c r="FQ79">
        <v>1.6334568482949909</v>
      </c>
      <c r="FR79">
        <v>0.10873213540170611</v>
      </c>
      <c r="FS79">
        <v>4.4631534674469578E-2</v>
      </c>
      <c r="FT79">
        <v>1</v>
      </c>
      <c r="FU79">
        <v>0.49614179028493582</v>
      </c>
      <c r="FV79">
        <v>4.5690008117624102E-2</v>
      </c>
      <c r="FW79">
        <v>5.7423049719800478E-3</v>
      </c>
      <c r="FX79">
        <v>1</v>
      </c>
      <c r="FY79">
        <v>2</v>
      </c>
      <c r="FZ79">
        <v>2</v>
      </c>
      <c r="GA79" t="s">
        <v>422</v>
      </c>
      <c r="GB79">
        <v>2.8973499999999999</v>
      </c>
      <c r="GC79">
        <v>2.8181400000000001</v>
      </c>
      <c r="GD79">
        <v>2.4231299999999999E-3</v>
      </c>
      <c r="GE79">
        <v>2.7624099999999999E-3</v>
      </c>
      <c r="GF79">
        <v>0.134574</v>
      </c>
      <c r="GG79">
        <v>0.108081</v>
      </c>
      <c r="GH79">
        <v>27618.7</v>
      </c>
      <c r="GI79">
        <v>27659.9</v>
      </c>
      <c r="GJ79">
        <v>24569.9</v>
      </c>
      <c r="GK79">
        <v>24778.7</v>
      </c>
      <c r="GL79">
        <v>28244.799999999999</v>
      </c>
      <c r="GM79">
        <v>28876.2</v>
      </c>
      <c r="GN79">
        <v>33220.199999999997</v>
      </c>
      <c r="GO79">
        <v>33063.599999999999</v>
      </c>
      <c r="GP79">
        <v>1.9451000000000001</v>
      </c>
      <c r="GQ79">
        <v>1.8562000000000001</v>
      </c>
      <c r="GR79">
        <v>3.4228000000000001E-2</v>
      </c>
      <c r="GS79">
        <v>0</v>
      </c>
      <c r="GT79">
        <v>29.436599999999999</v>
      </c>
      <c r="GU79">
        <v>999.9</v>
      </c>
      <c r="GV79">
        <v>60.4</v>
      </c>
      <c r="GW79">
        <v>32.299999999999997</v>
      </c>
      <c r="GX79">
        <v>29.466200000000001</v>
      </c>
      <c r="GY79">
        <v>61.956200000000003</v>
      </c>
      <c r="GZ79">
        <v>24.791699999999999</v>
      </c>
      <c r="HA79">
        <v>1</v>
      </c>
      <c r="HB79">
        <v>0.56579299999999999</v>
      </c>
      <c r="HC79">
        <v>2.8964500000000002</v>
      </c>
      <c r="HD79">
        <v>20.189</v>
      </c>
      <c r="HE79">
        <v>5.23346</v>
      </c>
      <c r="HF79">
        <v>11.9201</v>
      </c>
      <c r="HG79">
        <v>4.9610000000000003</v>
      </c>
      <c r="HH79">
        <v>3.2890000000000001</v>
      </c>
      <c r="HI79">
        <v>9999</v>
      </c>
      <c r="HJ79">
        <v>9999</v>
      </c>
      <c r="HK79">
        <v>9999</v>
      </c>
      <c r="HL79">
        <v>895.4</v>
      </c>
      <c r="HM79">
        <v>1.88069</v>
      </c>
      <c r="HN79">
        <v>1.87775</v>
      </c>
      <c r="HO79">
        <v>1.88568</v>
      </c>
      <c r="HP79">
        <v>1.8835299999999999</v>
      </c>
      <c r="HQ79">
        <v>1.88096</v>
      </c>
      <c r="HR79">
        <v>1.8800699999999999</v>
      </c>
      <c r="HS79">
        <v>1.88123</v>
      </c>
      <c r="HT79">
        <v>1.8806499999999999</v>
      </c>
      <c r="HU79">
        <v>5</v>
      </c>
      <c r="HV79">
        <v>0</v>
      </c>
      <c r="HW79">
        <v>0</v>
      </c>
      <c r="HX79">
        <v>0</v>
      </c>
      <c r="HY79" t="s">
        <v>423</v>
      </c>
      <c r="HZ79" t="s">
        <v>424</v>
      </c>
      <c r="IA79" t="s">
        <v>425</v>
      </c>
      <c r="IB79" t="s">
        <v>425</v>
      </c>
      <c r="IC79" t="s">
        <v>425</v>
      </c>
      <c r="ID79" t="s">
        <v>425</v>
      </c>
      <c r="IE79">
        <v>0</v>
      </c>
      <c r="IF79">
        <v>100</v>
      </c>
      <c r="IG79">
        <v>100</v>
      </c>
      <c r="IH79">
        <v>-0.84799999999999998</v>
      </c>
      <c r="II79">
        <v>0.19</v>
      </c>
      <c r="IJ79">
        <v>-0.86710012643297585</v>
      </c>
      <c r="IK79">
        <v>2.2153513873161218E-3</v>
      </c>
      <c r="IL79">
        <v>-2.2967369670569612E-6</v>
      </c>
      <c r="IM79">
        <v>7.7859689150384122E-10</v>
      </c>
      <c r="IN79">
        <v>-0.19910742704683479</v>
      </c>
      <c r="IO79">
        <v>-4.1434251034592161E-3</v>
      </c>
      <c r="IP79">
        <v>8.3987709687394815E-4</v>
      </c>
      <c r="IQ79">
        <v>-7.4586254598011197E-6</v>
      </c>
      <c r="IR79">
        <v>2</v>
      </c>
      <c r="IS79">
        <v>1930</v>
      </c>
      <c r="IT79">
        <v>2</v>
      </c>
      <c r="IU79">
        <v>41</v>
      </c>
      <c r="IV79">
        <v>0.6</v>
      </c>
      <c r="IW79">
        <v>0.5</v>
      </c>
      <c r="IX79">
        <v>0.17700199999999999</v>
      </c>
      <c r="IY79">
        <v>2.5805699999999998</v>
      </c>
      <c r="IZ79">
        <v>1.24512</v>
      </c>
      <c r="JA79">
        <v>2.2692899999999998</v>
      </c>
      <c r="JB79">
        <v>1.4501999999999999</v>
      </c>
      <c r="JC79">
        <v>2.33765</v>
      </c>
      <c r="JD79">
        <v>38.403399999999998</v>
      </c>
      <c r="JE79">
        <v>16.084599999999998</v>
      </c>
      <c r="JF79">
        <v>18</v>
      </c>
      <c r="JG79">
        <v>496.37599999999998</v>
      </c>
      <c r="JH79">
        <v>486.233</v>
      </c>
      <c r="JI79">
        <v>25.482299999999999</v>
      </c>
      <c r="JJ79">
        <v>34.284500000000001</v>
      </c>
      <c r="JK79">
        <v>30.000599999999999</v>
      </c>
      <c r="JL79">
        <v>34.115200000000002</v>
      </c>
      <c r="JM79">
        <v>34.057600000000001</v>
      </c>
      <c r="JN79">
        <v>3.6051700000000002</v>
      </c>
      <c r="JO79">
        <v>36.252499999999998</v>
      </c>
      <c r="JP79">
        <v>95.776899999999998</v>
      </c>
      <c r="JQ79">
        <v>25.521699999999999</v>
      </c>
      <c r="JR79">
        <v>10</v>
      </c>
      <c r="JS79">
        <v>20.812200000000001</v>
      </c>
      <c r="JT79">
        <v>99.157899999999998</v>
      </c>
      <c r="JU79">
        <v>98.720100000000002</v>
      </c>
    </row>
    <row r="80" spans="1:281" x14ac:dyDescent="0.25">
      <c r="A80">
        <v>64</v>
      </c>
      <c r="B80">
        <v>1693510174.0999999</v>
      </c>
      <c r="C80">
        <v>14524.5</v>
      </c>
      <c r="D80" t="s">
        <v>741</v>
      </c>
      <c r="E80" t="s">
        <v>742</v>
      </c>
      <c r="F80" t="s">
        <v>413</v>
      </c>
      <c r="G80" t="s">
        <v>414</v>
      </c>
      <c r="H80" t="s">
        <v>707</v>
      </c>
      <c r="I80" t="s">
        <v>416</v>
      </c>
      <c r="J80">
        <v>1693510174.0999999</v>
      </c>
      <c r="K80">
        <f t="shared" si="46"/>
        <v>6.2901147048350604E-3</v>
      </c>
      <c r="L80">
        <f t="shared" si="47"/>
        <v>6.2901147048350605</v>
      </c>
      <c r="M80">
        <f t="shared" si="48"/>
        <v>42.91824004142503</v>
      </c>
      <c r="N80">
        <f t="shared" si="49"/>
        <v>345.94799999999998</v>
      </c>
      <c r="O80">
        <f t="shared" si="50"/>
        <v>176.87169795616427</v>
      </c>
      <c r="P80">
        <f t="shared" si="51"/>
        <v>17.625097380705505</v>
      </c>
      <c r="Q80">
        <f t="shared" si="52"/>
        <v>34.473390933192</v>
      </c>
      <c r="R80">
        <f t="shared" si="53"/>
        <v>0.45259706354677071</v>
      </c>
      <c r="S80">
        <f t="shared" si="54"/>
        <v>2.9224999170504633</v>
      </c>
      <c r="T80">
        <f t="shared" si="55"/>
        <v>0.41695459995868056</v>
      </c>
      <c r="U80">
        <f t="shared" si="56"/>
        <v>0.26356465949271374</v>
      </c>
      <c r="V80">
        <f t="shared" si="57"/>
        <v>344.37259864453586</v>
      </c>
      <c r="W80">
        <f t="shared" si="58"/>
        <v>30.740052754744724</v>
      </c>
      <c r="X80">
        <f t="shared" si="59"/>
        <v>30.040900000000001</v>
      </c>
      <c r="Y80">
        <f t="shared" si="60"/>
        <v>4.2704689391508035</v>
      </c>
      <c r="Z80">
        <f t="shared" si="61"/>
        <v>64.908038344789247</v>
      </c>
      <c r="AA80">
        <f t="shared" si="62"/>
        <v>2.8206661225240004</v>
      </c>
      <c r="AB80">
        <f t="shared" si="63"/>
        <v>4.3456345230165789</v>
      </c>
      <c r="AC80">
        <f t="shared" si="64"/>
        <v>1.4498028166268031</v>
      </c>
      <c r="AD80">
        <f t="shared" si="65"/>
        <v>-277.39405848322616</v>
      </c>
      <c r="AE80">
        <f t="shared" si="66"/>
        <v>47.929087483624777</v>
      </c>
      <c r="AF80">
        <f t="shared" si="67"/>
        <v>3.6535367566900208</v>
      </c>
      <c r="AG80">
        <f t="shared" si="68"/>
        <v>118.5611644016245</v>
      </c>
      <c r="AH80">
        <v>0</v>
      </c>
      <c r="AI80">
        <v>0</v>
      </c>
      <c r="AJ80">
        <f t="shared" si="69"/>
        <v>1</v>
      </c>
      <c r="AK80">
        <f t="shared" si="70"/>
        <v>0</v>
      </c>
      <c r="AL80">
        <f t="shared" si="71"/>
        <v>52083.139852928376</v>
      </c>
      <c r="AM80" t="s">
        <v>417</v>
      </c>
      <c r="AN80">
        <v>10366.9</v>
      </c>
      <c r="AO80">
        <v>993.59653846153856</v>
      </c>
      <c r="AP80">
        <v>3431.87</v>
      </c>
      <c r="AQ80">
        <f t="shared" si="72"/>
        <v>0.71047955241266758</v>
      </c>
      <c r="AR80">
        <v>-3.9894345373445681</v>
      </c>
      <c r="AS80" t="s">
        <v>743</v>
      </c>
      <c r="AT80">
        <v>10416.9</v>
      </c>
      <c r="AU80">
        <v>802.57355999999982</v>
      </c>
      <c r="AV80">
        <v>1135.757102712274</v>
      </c>
      <c r="AW80">
        <f t="shared" si="73"/>
        <v>0.29335809735779472</v>
      </c>
      <c r="AX80">
        <v>0.5</v>
      </c>
      <c r="AY80">
        <f t="shared" si="74"/>
        <v>1513.2011993222679</v>
      </c>
      <c r="AZ80">
        <f t="shared" si="75"/>
        <v>42.91824004142503</v>
      </c>
      <c r="BA80">
        <f t="shared" si="76"/>
        <v>221.95491237635682</v>
      </c>
      <c r="BB80">
        <f t="shared" si="77"/>
        <v>3.0998967354624485E-2</v>
      </c>
      <c r="BC80">
        <f t="shared" si="78"/>
        <v>2.0216584090070264</v>
      </c>
      <c r="BD80">
        <f t="shared" si="79"/>
        <v>626.75163297613199</v>
      </c>
      <c r="BE80" t="s">
        <v>744</v>
      </c>
      <c r="BF80">
        <v>614.82000000000005</v>
      </c>
      <c r="BG80">
        <f t="shared" si="80"/>
        <v>614.82000000000005</v>
      </c>
      <c r="BH80">
        <f t="shared" si="81"/>
        <v>0.45866946503635031</v>
      </c>
      <c r="BI80">
        <f t="shared" si="82"/>
        <v>0.63958497288356797</v>
      </c>
      <c r="BJ80">
        <f t="shared" si="83"/>
        <v>0.81507708322100292</v>
      </c>
      <c r="BK80">
        <f t="shared" si="84"/>
        <v>2.3437128606539739</v>
      </c>
      <c r="BL80">
        <f t="shared" si="85"/>
        <v>0.94169621804396064</v>
      </c>
      <c r="BM80">
        <f t="shared" si="86"/>
        <v>0.48996086169132635</v>
      </c>
      <c r="BN80">
        <f t="shared" si="87"/>
        <v>0.51003913830867365</v>
      </c>
      <c r="BO80">
        <v>7870</v>
      </c>
      <c r="BP80">
        <v>290.00000000000011</v>
      </c>
      <c r="BQ80">
        <v>1034.33</v>
      </c>
      <c r="BR80">
        <v>285</v>
      </c>
      <c r="BS80">
        <v>10416.9</v>
      </c>
      <c r="BT80">
        <v>1034.18</v>
      </c>
      <c r="BU80">
        <v>0.15</v>
      </c>
      <c r="BV80">
        <v>300.00000000000011</v>
      </c>
      <c r="BW80">
        <v>38.200000000000003</v>
      </c>
      <c r="BX80">
        <v>1135.757102712274</v>
      </c>
      <c r="BY80">
        <v>1.191311829036346</v>
      </c>
      <c r="BZ80">
        <v>-105.8114698397677</v>
      </c>
      <c r="CA80">
        <v>1.01715240204998</v>
      </c>
      <c r="CB80">
        <v>0.99741927130981811</v>
      </c>
      <c r="CC80">
        <v>-1.132730700778645E-2</v>
      </c>
      <c r="CD80">
        <v>289.99999999999989</v>
      </c>
      <c r="CE80">
        <v>1014.75</v>
      </c>
      <c r="CF80">
        <v>675</v>
      </c>
      <c r="CG80">
        <v>10406.200000000001</v>
      </c>
      <c r="CH80">
        <v>1034.08</v>
      </c>
      <c r="CI80">
        <v>-19.329999999999998</v>
      </c>
      <c r="CW80">
        <f t="shared" si="88"/>
        <v>1800.02</v>
      </c>
      <c r="CX80">
        <f t="shared" si="89"/>
        <v>1513.2011993222679</v>
      </c>
      <c r="CY80">
        <f t="shared" si="90"/>
        <v>0.84065799231245653</v>
      </c>
      <c r="CZ80">
        <f t="shared" si="91"/>
        <v>0.19131598462491298</v>
      </c>
      <c r="DA80">
        <v>6</v>
      </c>
      <c r="DB80">
        <v>0.5</v>
      </c>
      <c r="DC80" t="s">
        <v>420</v>
      </c>
      <c r="DD80">
        <v>2</v>
      </c>
      <c r="DE80">
        <v>1693510174.0999999</v>
      </c>
      <c r="DF80">
        <v>345.94799999999998</v>
      </c>
      <c r="DG80">
        <v>400.03399999999999</v>
      </c>
      <c r="DH80">
        <v>28.306000000000001</v>
      </c>
      <c r="DI80">
        <v>20.975200000000001</v>
      </c>
      <c r="DJ80">
        <v>346.846</v>
      </c>
      <c r="DK80">
        <v>28.1236</v>
      </c>
      <c r="DL80">
        <v>500.25099999999998</v>
      </c>
      <c r="DM80">
        <v>99.548900000000003</v>
      </c>
      <c r="DN80">
        <v>0.10015400000000001</v>
      </c>
      <c r="DO80">
        <v>30.345099999999999</v>
      </c>
      <c r="DP80">
        <v>30.040900000000001</v>
      </c>
      <c r="DQ80">
        <v>999.9</v>
      </c>
      <c r="DR80">
        <v>0</v>
      </c>
      <c r="DS80">
        <v>0</v>
      </c>
      <c r="DT80">
        <v>10005</v>
      </c>
      <c r="DU80">
        <v>0</v>
      </c>
      <c r="DV80">
        <v>1455.87</v>
      </c>
      <c r="DW80">
        <v>-54.085999999999999</v>
      </c>
      <c r="DX80">
        <v>356.02499999999998</v>
      </c>
      <c r="DY80">
        <v>408.60399999999998</v>
      </c>
      <c r="DZ80">
        <v>7.3308</v>
      </c>
      <c r="EA80">
        <v>400.03399999999999</v>
      </c>
      <c r="EB80">
        <v>20.975200000000001</v>
      </c>
      <c r="EC80">
        <v>2.8178299999999998</v>
      </c>
      <c r="ED80">
        <v>2.08805</v>
      </c>
      <c r="EE80">
        <v>22.988900000000001</v>
      </c>
      <c r="EF80">
        <v>18.128299999999999</v>
      </c>
      <c r="EG80">
        <v>1800.02</v>
      </c>
      <c r="EH80">
        <v>0.97800799999999999</v>
      </c>
      <c r="EI80">
        <v>2.19916E-2</v>
      </c>
      <c r="EJ80">
        <v>0</v>
      </c>
      <c r="EK80">
        <v>799.92899999999997</v>
      </c>
      <c r="EL80">
        <v>5.0010300000000001</v>
      </c>
      <c r="EM80">
        <v>15517.6</v>
      </c>
      <c r="EN80">
        <v>14701.3</v>
      </c>
      <c r="EO80">
        <v>50</v>
      </c>
      <c r="EP80">
        <v>51.5</v>
      </c>
      <c r="EQ80">
        <v>51.5</v>
      </c>
      <c r="ER80">
        <v>50.436999999999998</v>
      </c>
      <c r="ES80">
        <v>51.436999999999998</v>
      </c>
      <c r="ET80">
        <v>1755.54</v>
      </c>
      <c r="EU80">
        <v>39.479999999999997</v>
      </c>
      <c r="EV80">
        <v>0</v>
      </c>
      <c r="EW80">
        <v>171.79999995231631</v>
      </c>
      <c r="EX80">
        <v>0</v>
      </c>
      <c r="EY80">
        <v>802.57355999999982</v>
      </c>
      <c r="EZ80">
        <v>-22.58515387740216</v>
      </c>
      <c r="FA80">
        <v>-376.81538534350398</v>
      </c>
      <c r="FB80">
        <v>15561.407999999999</v>
      </c>
      <c r="FC80">
        <v>15</v>
      </c>
      <c r="FD80">
        <v>1693510071.5999999</v>
      </c>
      <c r="FE80" t="s">
        <v>745</v>
      </c>
      <c r="FF80">
        <v>1693510064.5999999</v>
      </c>
      <c r="FG80">
        <v>1693510071.5999999</v>
      </c>
      <c r="FH80">
        <v>71</v>
      </c>
      <c r="FI80">
        <v>-0.55500000000000005</v>
      </c>
      <c r="FJ80">
        <v>0</v>
      </c>
      <c r="FK80">
        <v>-0.85299999999999998</v>
      </c>
      <c r="FL80">
        <v>8.9999999999999993E-3</v>
      </c>
      <c r="FM80">
        <v>400</v>
      </c>
      <c r="FN80">
        <v>21</v>
      </c>
      <c r="FO80">
        <v>0.19</v>
      </c>
      <c r="FP80">
        <v>0.04</v>
      </c>
      <c r="FQ80">
        <v>42.872638971987122</v>
      </c>
      <c r="FR80">
        <v>0.67147060942156511</v>
      </c>
      <c r="FS80">
        <v>9.5607719273522726E-2</v>
      </c>
      <c r="FT80">
        <v>1</v>
      </c>
      <c r="FU80">
        <v>0.45647697923722108</v>
      </c>
      <c r="FV80">
        <v>-1.732416053519158E-2</v>
      </c>
      <c r="FW80">
        <v>1.4819963009472901E-3</v>
      </c>
      <c r="FX80">
        <v>1</v>
      </c>
      <c r="FY80">
        <v>2</v>
      </c>
      <c r="FZ80">
        <v>2</v>
      </c>
      <c r="GA80" t="s">
        <v>422</v>
      </c>
      <c r="GB80">
        <v>2.8980199999999998</v>
      </c>
      <c r="GC80">
        <v>2.8182</v>
      </c>
      <c r="GD80">
        <v>8.1022800000000006E-2</v>
      </c>
      <c r="GE80">
        <v>9.0546799999999997E-2</v>
      </c>
      <c r="GF80">
        <v>0.1336</v>
      </c>
      <c r="GG80">
        <v>0.108319</v>
      </c>
      <c r="GH80">
        <v>25436.3</v>
      </c>
      <c r="GI80">
        <v>25221.1</v>
      </c>
      <c r="GJ80">
        <v>24561.1</v>
      </c>
      <c r="GK80">
        <v>24771.9</v>
      </c>
      <c r="GL80">
        <v>28268.2</v>
      </c>
      <c r="GM80">
        <v>28860.799999999999</v>
      </c>
      <c r="GN80">
        <v>33209.199999999997</v>
      </c>
      <c r="GO80">
        <v>33054.199999999997</v>
      </c>
      <c r="GP80">
        <v>1.9426000000000001</v>
      </c>
      <c r="GQ80">
        <v>1.8532</v>
      </c>
      <c r="GR80">
        <v>3.5405199999999998E-2</v>
      </c>
      <c r="GS80">
        <v>0</v>
      </c>
      <c r="GT80">
        <v>29.464500000000001</v>
      </c>
      <c r="GU80">
        <v>999.9</v>
      </c>
      <c r="GV80">
        <v>59.8</v>
      </c>
      <c r="GW80">
        <v>32.5</v>
      </c>
      <c r="GX80">
        <v>29.508400000000002</v>
      </c>
      <c r="GY80">
        <v>61.866199999999999</v>
      </c>
      <c r="GZ80">
        <v>23.689900000000002</v>
      </c>
      <c r="HA80">
        <v>1</v>
      </c>
      <c r="HB80">
        <v>0.58282500000000004</v>
      </c>
      <c r="HC80">
        <v>2.9930400000000001</v>
      </c>
      <c r="HD80">
        <v>20.186699999999998</v>
      </c>
      <c r="HE80">
        <v>5.23346</v>
      </c>
      <c r="HF80">
        <v>11.9201</v>
      </c>
      <c r="HG80">
        <v>4.9596</v>
      </c>
      <c r="HH80">
        <v>3.2890000000000001</v>
      </c>
      <c r="HI80">
        <v>9999</v>
      </c>
      <c r="HJ80">
        <v>9999</v>
      </c>
      <c r="HK80">
        <v>9999</v>
      </c>
      <c r="HL80">
        <v>895.5</v>
      </c>
      <c r="HM80">
        <v>1.88063</v>
      </c>
      <c r="HN80">
        <v>1.8776999999999999</v>
      </c>
      <c r="HO80">
        <v>1.8856599999999999</v>
      </c>
      <c r="HP80">
        <v>1.8834</v>
      </c>
      <c r="HQ80">
        <v>1.8809499999999999</v>
      </c>
      <c r="HR80">
        <v>1.8800399999999999</v>
      </c>
      <c r="HS80">
        <v>1.8811199999999999</v>
      </c>
      <c r="HT80">
        <v>1.8805400000000001</v>
      </c>
      <c r="HU80">
        <v>5</v>
      </c>
      <c r="HV80">
        <v>0</v>
      </c>
      <c r="HW80">
        <v>0</v>
      </c>
      <c r="HX80">
        <v>0</v>
      </c>
      <c r="HY80" t="s">
        <v>423</v>
      </c>
      <c r="HZ80" t="s">
        <v>424</v>
      </c>
      <c r="IA80" t="s">
        <v>425</v>
      </c>
      <c r="IB80" t="s">
        <v>425</v>
      </c>
      <c r="IC80" t="s">
        <v>425</v>
      </c>
      <c r="ID80" t="s">
        <v>425</v>
      </c>
      <c r="IE80">
        <v>0</v>
      </c>
      <c r="IF80">
        <v>100</v>
      </c>
      <c r="IG80">
        <v>100</v>
      </c>
      <c r="IH80">
        <v>-0.89800000000000002</v>
      </c>
      <c r="II80">
        <v>0.18240000000000001</v>
      </c>
      <c r="IJ80">
        <v>-1.4223979100668029</v>
      </c>
      <c r="IK80">
        <v>2.2153513873161218E-3</v>
      </c>
      <c r="IL80">
        <v>-2.2967369670569612E-6</v>
      </c>
      <c r="IM80">
        <v>7.7859689150384122E-10</v>
      </c>
      <c r="IN80">
        <v>-0.19946749298327229</v>
      </c>
      <c r="IO80">
        <v>-4.1434251034592161E-3</v>
      </c>
      <c r="IP80">
        <v>8.3987709687394815E-4</v>
      </c>
      <c r="IQ80">
        <v>-7.4586254598011197E-6</v>
      </c>
      <c r="IR80">
        <v>2</v>
      </c>
      <c r="IS80">
        <v>1930</v>
      </c>
      <c r="IT80">
        <v>2</v>
      </c>
      <c r="IU80">
        <v>41</v>
      </c>
      <c r="IV80">
        <v>1.8</v>
      </c>
      <c r="IW80">
        <v>1.7</v>
      </c>
      <c r="IX80">
        <v>0.99365199999999998</v>
      </c>
      <c r="IY80">
        <v>2.50732</v>
      </c>
      <c r="IZ80">
        <v>1.24512</v>
      </c>
      <c r="JA80">
        <v>2.2680699999999998</v>
      </c>
      <c r="JB80">
        <v>1.4501999999999999</v>
      </c>
      <c r="JC80">
        <v>2.4658199999999999</v>
      </c>
      <c r="JD80">
        <v>38.061999999999998</v>
      </c>
      <c r="JE80">
        <v>16.049600000000002</v>
      </c>
      <c r="JF80">
        <v>18</v>
      </c>
      <c r="JG80">
        <v>495.94099999999997</v>
      </c>
      <c r="JH80">
        <v>485.35899999999998</v>
      </c>
      <c r="JI80">
        <v>25.520600000000002</v>
      </c>
      <c r="JJ80">
        <v>34.468400000000003</v>
      </c>
      <c r="JK80">
        <v>30.000499999999999</v>
      </c>
      <c r="JL80">
        <v>34.273899999999998</v>
      </c>
      <c r="JM80">
        <v>34.212600000000002</v>
      </c>
      <c r="JN80">
        <v>20.0045</v>
      </c>
      <c r="JO80">
        <v>35.587299999999999</v>
      </c>
      <c r="JP80">
        <v>91.096400000000003</v>
      </c>
      <c r="JQ80">
        <v>25.506599999999999</v>
      </c>
      <c r="JR80">
        <v>400</v>
      </c>
      <c r="JS80">
        <v>21.0108</v>
      </c>
      <c r="JT80">
        <v>99.123699999999999</v>
      </c>
      <c r="JU80">
        <v>98.692499999999995</v>
      </c>
    </row>
    <row r="81" spans="1:281" x14ac:dyDescent="0.25">
      <c r="A81">
        <v>65</v>
      </c>
      <c r="B81">
        <v>1693510363.5999999</v>
      </c>
      <c r="C81">
        <v>14714</v>
      </c>
      <c r="D81" t="s">
        <v>746</v>
      </c>
      <c r="E81" t="s">
        <v>747</v>
      </c>
      <c r="F81" t="s">
        <v>413</v>
      </c>
      <c r="G81" t="s">
        <v>414</v>
      </c>
      <c r="H81" t="s">
        <v>707</v>
      </c>
      <c r="I81" t="s">
        <v>416</v>
      </c>
      <c r="J81">
        <v>1693510363.5999999</v>
      </c>
      <c r="K81">
        <f t="shared" ref="K81:K112" si="92">(L81)/1000</f>
        <v>5.8497900891573435E-3</v>
      </c>
      <c r="L81">
        <f t="shared" ref="L81:L112" si="93">1000*DL81*AJ81*(DH81-DI81)/(100*DA81*(1000-AJ81*DH81))</f>
        <v>5.8497900891573433</v>
      </c>
      <c r="M81">
        <f t="shared" ref="M81:M112" si="94">DL81*AJ81*(DG81-DF81*(1000-AJ81*DI81)/(1000-AJ81*DH81))/(100*DA81)</f>
        <v>47.243264161826026</v>
      </c>
      <c r="N81">
        <f t="shared" ref="N81:N112" si="95">DF81 - IF(AJ81&gt;1, M81*DA81*100/(AL81*DT81), 0)</f>
        <v>340.82799999999997</v>
      </c>
      <c r="O81">
        <f t="shared" ref="O81:O112" si="96">((U81-K81/2)*N81-M81)/(U81+K81/2)</f>
        <v>144.20140198108678</v>
      </c>
      <c r="P81">
        <f t="shared" ref="P81:P112" si="97">O81*(DM81+DN81)/1000</f>
        <v>14.368717112953812</v>
      </c>
      <c r="Q81">
        <f t="shared" ref="Q81:Q112" si="98">(DF81 - IF(AJ81&gt;1, M81*DA81*100/(AL81*DT81), 0))*(DM81+DN81)/1000</f>
        <v>33.961258690231993</v>
      </c>
      <c r="R81">
        <f t="shared" ref="R81:R112" si="99">2/((1/T81-1/S81)+SIGN(T81)*SQRT((1/T81-1/S81)*(1/T81-1/S81) + 4*DB81/((DB81+1)*(DB81+1))*(2*1/T81*1/S81-1/S81*1/S81)))</f>
        <v>0.42322476812899107</v>
      </c>
      <c r="S81">
        <f t="shared" ref="S81:S112" si="100">IF(LEFT(DC81,1)&lt;&gt;"0",IF(LEFT(DC81,1)="1",3,DD81),$D$5+$E$5*(DT81*DM81/($K$5*1000))+$F$5*(DT81*DM81/($K$5*1000))*MAX(MIN(DA81,$J$5),$I$5)*MAX(MIN(DA81,$J$5),$I$5)+$G$5*MAX(MIN(DA81,$J$5),$I$5)*(DT81*DM81/($K$5*1000))+$H$5*(DT81*DM81/($K$5*1000))*(DT81*DM81/($K$5*1000)))</f>
        <v>2.9101044104181581</v>
      </c>
      <c r="T81">
        <f t="shared" ref="T81:T112" si="101">K81*(1000-(1000*0.61365*EXP(17.502*X81/(240.97+X81))/(DM81+DN81)+DH81)/2)/(1000*0.61365*EXP(17.502*X81/(240.97+X81))/(DM81+DN81)-DH81)</f>
        <v>0.39176396958993914</v>
      </c>
      <c r="U81">
        <f t="shared" ref="U81:U112" si="102">1/((DB81+1)/(R81/1.6)+1/(S81/1.37)) + DB81/((DB81+1)/(R81/1.6) + DB81/(S81/1.37))</f>
        <v>0.247483935268385</v>
      </c>
      <c r="V81">
        <f t="shared" ref="V81:V112" si="103">(CW81*CZ81)</f>
        <v>344.33209864472104</v>
      </c>
      <c r="W81">
        <f t="shared" ref="W81:W112" si="104">(DO81+(V81+2*0.95*0.0000000567*(((DO81+$B$7)+273)^4-(DO81+273)^4)-44100*K81)/(1.84*29.3*S81+8*0.95*0.0000000567*(DO81+273)^3))</f>
        <v>30.795854361221149</v>
      </c>
      <c r="X81">
        <f t="shared" ref="X81:X112" si="105">($C$7*DP81+$D$7*DQ81+$E$7*W81)</f>
        <v>29.996400000000001</v>
      </c>
      <c r="Y81">
        <f t="shared" ref="Y81:Y112" si="106">0.61365*EXP(17.502*X81/(240.97+X81))</f>
        <v>4.2595688715232196</v>
      </c>
      <c r="Z81">
        <f t="shared" ref="Z81:Z112" si="107">(AA81/AB81*100)</f>
        <v>65.224103717278197</v>
      </c>
      <c r="AA81">
        <f t="shared" ref="AA81:AA112" si="108">DH81*(DM81+DN81)/1000</f>
        <v>2.8245912897180001</v>
      </c>
      <c r="AB81">
        <f t="shared" ref="AB81:AB112" si="109">0.61365*EXP(17.502*DO81/(240.97+DO81))</f>
        <v>4.3305942569353411</v>
      </c>
      <c r="AC81">
        <f t="shared" ref="AC81:AC112" si="110">(Y81-DH81*(DM81+DN81)/1000)</f>
        <v>1.4349775818052195</v>
      </c>
      <c r="AD81">
        <f t="shared" ref="AD81:AD112" si="111">(-K81*44100)</f>
        <v>-257.97574293183885</v>
      </c>
      <c r="AE81">
        <f t="shared" ref="AE81:AE112" si="112">2*29.3*S81*0.92*(DO81-X81)</f>
        <v>45.215568014440422</v>
      </c>
      <c r="AF81">
        <f t="shared" ref="AF81:AF112" si="113">2*0.95*0.0000000567*(((DO81+$B$7)+273)^4-(X81+273)^4)</f>
        <v>3.459573912612032</v>
      </c>
      <c r="AG81">
        <f t="shared" ref="AG81:AG112" si="114">V81+AF81+AD81+AE81</f>
        <v>135.03149763993463</v>
      </c>
      <c r="AH81">
        <v>0</v>
      </c>
      <c r="AI81">
        <v>0</v>
      </c>
      <c r="AJ81">
        <f t="shared" ref="AJ81:AJ112" si="115">IF(AH81*$H$13&gt;=AL81,1,(AL81/(AL81-AH81*$H$13)))</f>
        <v>1</v>
      </c>
      <c r="AK81">
        <f t="shared" ref="AK81:AK112" si="116">(AJ81-1)*100</f>
        <v>0</v>
      </c>
      <c r="AL81">
        <f t="shared" ref="AL81:AL112" si="117">MAX(0,($B$13+$C$13*DT81)/(1+$D$13*DT81)*DM81/(DO81+273)*$E$13)</f>
        <v>51740.41781240399</v>
      </c>
      <c r="AM81" t="s">
        <v>417</v>
      </c>
      <c r="AN81">
        <v>10366.9</v>
      </c>
      <c r="AO81">
        <v>993.59653846153856</v>
      </c>
      <c r="AP81">
        <v>3431.87</v>
      </c>
      <c r="AQ81">
        <f t="shared" ref="AQ81:AQ112" si="118">1-AO81/AP81</f>
        <v>0.71047955241266758</v>
      </c>
      <c r="AR81">
        <v>-3.9894345373445681</v>
      </c>
      <c r="AS81" t="s">
        <v>748</v>
      </c>
      <c r="AT81">
        <v>10428.9</v>
      </c>
      <c r="AU81">
        <v>808.15938461538474</v>
      </c>
      <c r="AV81">
        <v>1179.6743409023991</v>
      </c>
      <c r="AW81">
        <f t="shared" ref="AW81:AW112" si="119">1-AU81/AV81</f>
        <v>0.31493009842260511</v>
      </c>
      <c r="AX81">
        <v>0.5</v>
      </c>
      <c r="AY81">
        <f t="shared" ref="AY81:AY112" si="120">CX81</f>
        <v>1513.0244993223603</v>
      </c>
      <c r="AZ81">
        <f t="shared" ref="AZ81:AZ112" si="121">M81</f>
        <v>47.243264161826026</v>
      </c>
      <c r="BA81">
        <f t="shared" ref="BA81:BA112" si="122">AW81*AX81*AY81</f>
        <v>238.24847724370187</v>
      </c>
      <c r="BB81">
        <f t="shared" ref="BB81:BB112" si="123">(AZ81-AR81)/AY81</f>
        <v>3.3861116407643256E-2</v>
      </c>
      <c r="BC81">
        <f t="shared" ref="BC81:BC112" si="124">(AP81-AV81)/AV81</f>
        <v>1.9091672854177448</v>
      </c>
      <c r="BD81">
        <f t="shared" ref="BD81:BD112" si="125">AO81/(AQ81+AO81/AV81)</f>
        <v>639.89762606077579</v>
      </c>
      <c r="BE81" t="s">
        <v>749</v>
      </c>
      <c r="BF81">
        <v>618.92999999999995</v>
      </c>
      <c r="BG81">
        <f t="shared" ref="BG81:BG112" si="126">IF(BF81&lt;&gt;0, BF81, BD81)</f>
        <v>618.92999999999995</v>
      </c>
      <c r="BH81">
        <f t="shared" ref="BH81:BH112" si="127">1-BG81/AV81</f>
        <v>0.47533825349922787</v>
      </c>
      <c r="BI81">
        <f t="shared" ref="BI81:BI112" si="128">(AV81-AU81)/(AV81-BG81)</f>
        <v>0.66253893118054441</v>
      </c>
      <c r="BJ81">
        <f t="shared" ref="BJ81:BJ112" si="129">(AP81-AV81)/(AP81-BG81)</f>
        <v>0.80065542069777551</v>
      </c>
      <c r="BK81">
        <f t="shared" ref="BK81:BK112" si="130">(AV81-AU81)/(AV81-AO81)</f>
        <v>1.9965570928595295</v>
      </c>
      <c r="BL81">
        <f t="shared" ref="BL81:BL112" si="131">(AP81-AV81)/(AP81-AO81)</f>
        <v>0.92368460495671689</v>
      </c>
      <c r="BM81">
        <f t="shared" ref="BM81:BM112" si="132">(BI81*BG81/AU81)</f>
        <v>0.50740637117111564</v>
      </c>
      <c r="BN81">
        <f t="shared" ref="BN81:BN112" si="133">(1-BM81)</f>
        <v>0.49259362882888436</v>
      </c>
      <c r="BO81">
        <v>7872</v>
      </c>
      <c r="BP81">
        <v>290.00000000000011</v>
      </c>
      <c r="BQ81">
        <v>1073.77</v>
      </c>
      <c r="BR81">
        <v>185</v>
      </c>
      <c r="BS81">
        <v>10428.9</v>
      </c>
      <c r="BT81">
        <v>1069.72</v>
      </c>
      <c r="BU81">
        <v>4.05</v>
      </c>
      <c r="BV81">
        <v>300.00000000000011</v>
      </c>
      <c r="BW81">
        <v>38.200000000000003</v>
      </c>
      <c r="BX81">
        <v>1179.6743409023991</v>
      </c>
      <c r="BY81">
        <v>1.2522317552723909</v>
      </c>
      <c r="BZ81">
        <v>-114.67424259935591</v>
      </c>
      <c r="CA81">
        <v>1.069067024959663</v>
      </c>
      <c r="CB81">
        <v>0.99757238084660294</v>
      </c>
      <c r="CC81">
        <v>-1.1326536596218019E-2</v>
      </c>
      <c r="CD81">
        <v>289.99999999999989</v>
      </c>
      <c r="CE81">
        <v>1055.6600000000001</v>
      </c>
      <c r="CF81">
        <v>635</v>
      </c>
      <c r="CG81">
        <v>10408.799999999999</v>
      </c>
      <c r="CH81">
        <v>1069.5</v>
      </c>
      <c r="CI81">
        <v>-13.84</v>
      </c>
      <c r="CW81">
        <f t="shared" ref="CW81:CW112" si="134">$B$11*DU81+$C$11*DV81+$F$11*EG81*(1-EJ81)</f>
        <v>1799.81</v>
      </c>
      <c r="CX81">
        <f t="shared" ref="CX81:CX112" si="135">CW81*CY81</f>
        <v>1513.0244993223603</v>
      </c>
      <c r="CY81">
        <f t="shared" ref="CY81:CY112" si="136">($B$11*$D$9+$C$11*$D$9+$F$11*((ET81+EL81)/MAX(ET81+EL81+EU81, 0.1)*$I$9+EU81/MAX(ET81+EL81+EU81, 0.1)*$J$9))/($B$11+$C$11+$F$11)</f>
        <v>0.84065790240212046</v>
      </c>
      <c r="CZ81">
        <f t="shared" ref="CZ81:CZ112" si="137">($B$11*$K$9+$C$11*$K$9+$F$11*((ET81+EL81)/MAX(ET81+EL81+EU81, 0.1)*$P$9+EU81/MAX(ET81+EL81+EU81, 0.1)*$Q$9))/($B$11+$C$11+$F$11)</f>
        <v>0.19131580480424104</v>
      </c>
      <c r="DA81">
        <v>6</v>
      </c>
      <c r="DB81">
        <v>0.5</v>
      </c>
      <c r="DC81" t="s">
        <v>420</v>
      </c>
      <c r="DD81">
        <v>2</v>
      </c>
      <c r="DE81">
        <v>1693510363.5999999</v>
      </c>
      <c r="DF81">
        <v>340.82799999999997</v>
      </c>
      <c r="DG81">
        <v>399.90499999999997</v>
      </c>
      <c r="DH81">
        <v>28.347000000000001</v>
      </c>
      <c r="DI81">
        <v>21.527100000000001</v>
      </c>
      <c r="DJ81">
        <v>341.78899999999999</v>
      </c>
      <c r="DK81">
        <v>28.164999999999999</v>
      </c>
      <c r="DL81">
        <v>500.06299999999999</v>
      </c>
      <c r="DM81">
        <v>99.542699999999996</v>
      </c>
      <c r="DN81">
        <v>0.10069400000000001</v>
      </c>
      <c r="DO81">
        <v>30.284600000000001</v>
      </c>
      <c r="DP81">
        <v>29.996400000000001</v>
      </c>
      <c r="DQ81">
        <v>999.9</v>
      </c>
      <c r="DR81">
        <v>0</v>
      </c>
      <c r="DS81">
        <v>0</v>
      </c>
      <c r="DT81">
        <v>9935</v>
      </c>
      <c r="DU81">
        <v>0</v>
      </c>
      <c r="DV81">
        <v>1443.16</v>
      </c>
      <c r="DW81">
        <v>-59.077399999999997</v>
      </c>
      <c r="DX81">
        <v>350.77100000000002</v>
      </c>
      <c r="DY81">
        <v>408.70299999999997</v>
      </c>
      <c r="DZ81">
        <v>6.8199199999999998</v>
      </c>
      <c r="EA81">
        <v>399.90499999999997</v>
      </c>
      <c r="EB81">
        <v>21.527100000000001</v>
      </c>
      <c r="EC81">
        <v>2.8217400000000001</v>
      </c>
      <c r="ED81">
        <v>2.1428600000000002</v>
      </c>
      <c r="EE81">
        <v>23.011800000000001</v>
      </c>
      <c r="EF81">
        <v>18.541399999999999</v>
      </c>
      <c r="EG81">
        <v>1799.81</v>
      </c>
      <c r="EH81">
        <v>0.97800799999999999</v>
      </c>
      <c r="EI81">
        <v>2.19916E-2</v>
      </c>
      <c r="EJ81">
        <v>0</v>
      </c>
      <c r="EK81">
        <v>808.93399999999997</v>
      </c>
      <c r="EL81">
        <v>5.0010300000000001</v>
      </c>
      <c r="EM81">
        <v>15712.9</v>
      </c>
      <c r="EN81">
        <v>14699.6</v>
      </c>
      <c r="EO81">
        <v>50.125</v>
      </c>
      <c r="EP81">
        <v>51.811999999999998</v>
      </c>
      <c r="EQ81">
        <v>51.625</v>
      </c>
      <c r="ER81">
        <v>50.686999999999998</v>
      </c>
      <c r="ES81">
        <v>51.5</v>
      </c>
      <c r="ET81">
        <v>1755.34</v>
      </c>
      <c r="EU81">
        <v>39.47</v>
      </c>
      <c r="EV81">
        <v>0</v>
      </c>
      <c r="EW81">
        <v>187.79999995231631</v>
      </c>
      <c r="EX81">
        <v>0</v>
      </c>
      <c r="EY81">
        <v>808.15938461538474</v>
      </c>
      <c r="EZ81">
        <v>7.2461538294779091</v>
      </c>
      <c r="FA81">
        <v>139.0871795173851</v>
      </c>
      <c r="FB81">
        <v>15698.89615384615</v>
      </c>
      <c r="FC81">
        <v>15</v>
      </c>
      <c r="FD81">
        <v>1693510241.5999999</v>
      </c>
      <c r="FE81" t="s">
        <v>750</v>
      </c>
      <c r="FF81">
        <v>1693510240.0999999</v>
      </c>
      <c r="FG81">
        <v>1693510241.5999999</v>
      </c>
      <c r="FH81">
        <v>72</v>
      </c>
      <c r="FI81">
        <v>-0.06</v>
      </c>
      <c r="FJ81">
        <v>-1E-3</v>
      </c>
      <c r="FK81">
        <v>-0.91300000000000003</v>
      </c>
      <c r="FL81">
        <v>1.7000000000000001E-2</v>
      </c>
      <c r="FM81">
        <v>400</v>
      </c>
      <c r="FN81">
        <v>21</v>
      </c>
      <c r="FO81">
        <v>0.17</v>
      </c>
      <c r="FP81">
        <v>0.04</v>
      </c>
      <c r="FQ81">
        <v>47.216753192043072</v>
      </c>
      <c r="FR81">
        <v>1.345457485682183</v>
      </c>
      <c r="FS81">
        <v>0.13976509125944439</v>
      </c>
      <c r="FT81">
        <v>0</v>
      </c>
      <c r="FU81">
        <v>0.421302276482445</v>
      </c>
      <c r="FV81">
        <v>1.5433325767807159E-2</v>
      </c>
      <c r="FW81">
        <v>1.4124167959618701E-3</v>
      </c>
      <c r="FX81">
        <v>1</v>
      </c>
      <c r="FY81">
        <v>1</v>
      </c>
      <c r="FZ81">
        <v>2</v>
      </c>
      <c r="GA81" t="s">
        <v>461</v>
      </c>
      <c r="GB81">
        <v>2.89717</v>
      </c>
      <c r="GC81">
        <v>2.81813</v>
      </c>
      <c r="GD81">
        <v>8.00487E-2</v>
      </c>
      <c r="GE81">
        <v>9.0490699999999993E-2</v>
      </c>
      <c r="GF81">
        <v>0.133683</v>
      </c>
      <c r="GG81">
        <v>0.11025</v>
      </c>
      <c r="GH81">
        <v>25457.4</v>
      </c>
      <c r="GI81">
        <v>25216.9</v>
      </c>
      <c r="GJ81">
        <v>24555.9</v>
      </c>
      <c r="GK81">
        <v>24766.9</v>
      </c>
      <c r="GL81">
        <v>28259.3</v>
      </c>
      <c r="GM81">
        <v>28792.9</v>
      </c>
      <c r="GN81">
        <v>33201</v>
      </c>
      <c r="GO81">
        <v>33047.800000000003</v>
      </c>
      <c r="GP81">
        <v>1.9412</v>
      </c>
      <c r="GQ81">
        <v>1.8496999999999999</v>
      </c>
      <c r="GR81">
        <v>3.2529200000000001E-2</v>
      </c>
      <c r="GS81">
        <v>0</v>
      </c>
      <c r="GT81">
        <v>29.466799999999999</v>
      </c>
      <c r="GU81">
        <v>999.9</v>
      </c>
      <c r="GV81">
        <v>59.1</v>
      </c>
      <c r="GW81">
        <v>32.700000000000003</v>
      </c>
      <c r="GX81">
        <v>29.4924</v>
      </c>
      <c r="GY81">
        <v>61.896299999999997</v>
      </c>
      <c r="GZ81">
        <v>24.118600000000001</v>
      </c>
      <c r="HA81">
        <v>1</v>
      </c>
      <c r="HB81">
        <v>0.59591499999999997</v>
      </c>
      <c r="HC81">
        <v>2.9755799999999999</v>
      </c>
      <c r="HD81">
        <v>20.187999999999999</v>
      </c>
      <c r="HE81">
        <v>5.2352600000000002</v>
      </c>
      <c r="HF81">
        <v>11.9201</v>
      </c>
      <c r="HG81">
        <v>4.9596</v>
      </c>
      <c r="HH81">
        <v>3.2890000000000001</v>
      </c>
      <c r="HI81">
        <v>9999</v>
      </c>
      <c r="HJ81">
        <v>9999</v>
      </c>
      <c r="HK81">
        <v>9999</v>
      </c>
      <c r="HL81">
        <v>895.5</v>
      </c>
      <c r="HM81">
        <v>1.88049</v>
      </c>
      <c r="HN81">
        <v>1.87761</v>
      </c>
      <c r="HO81">
        <v>1.88561</v>
      </c>
      <c r="HP81">
        <v>1.8833899999999999</v>
      </c>
      <c r="HQ81">
        <v>1.88087</v>
      </c>
      <c r="HR81">
        <v>1.88001</v>
      </c>
      <c r="HS81">
        <v>1.8811</v>
      </c>
      <c r="HT81">
        <v>1.8805099999999999</v>
      </c>
      <c r="HU81">
        <v>5</v>
      </c>
      <c r="HV81">
        <v>0</v>
      </c>
      <c r="HW81">
        <v>0</v>
      </c>
      <c r="HX81">
        <v>0</v>
      </c>
      <c r="HY81" t="s">
        <v>423</v>
      </c>
      <c r="HZ81" t="s">
        <v>424</v>
      </c>
      <c r="IA81" t="s">
        <v>425</v>
      </c>
      <c r="IB81" t="s">
        <v>425</v>
      </c>
      <c r="IC81" t="s">
        <v>425</v>
      </c>
      <c r="ID81" t="s">
        <v>425</v>
      </c>
      <c r="IE81">
        <v>0</v>
      </c>
      <c r="IF81">
        <v>100</v>
      </c>
      <c r="IG81">
        <v>100</v>
      </c>
      <c r="IH81">
        <v>-0.96099999999999997</v>
      </c>
      <c r="II81">
        <v>0.182</v>
      </c>
      <c r="IJ81">
        <v>-1.481739579287265</v>
      </c>
      <c r="IK81">
        <v>2.2153513873161218E-3</v>
      </c>
      <c r="IL81">
        <v>-2.2967369670569612E-6</v>
      </c>
      <c r="IM81">
        <v>7.7859689150384122E-10</v>
      </c>
      <c r="IN81">
        <v>-0.2009001481536358</v>
      </c>
      <c r="IO81">
        <v>-4.1434251034592161E-3</v>
      </c>
      <c r="IP81">
        <v>8.3987709687394815E-4</v>
      </c>
      <c r="IQ81">
        <v>-7.4586254598011197E-6</v>
      </c>
      <c r="IR81">
        <v>2</v>
      </c>
      <c r="IS81">
        <v>1930</v>
      </c>
      <c r="IT81">
        <v>2</v>
      </c>
      <c r="IU81">
        <v>41</v>
      </c>
      <c r="IV81">
        <v>2.1</v>
      </c>
      <c r="IW81">
        <v>2</v>
      </c>
      <c r="IX81">
        <v>0.99487300000000001</v>
      </c>
      <c r="IY81">
        <v>2.50854</v>
      </c>
      <c r="IZ81">
        <v>1.24512</v>
      </c>
      <c r="JA81">
        <v>2.2668499999999998</v>
      </c>
      <c r="JB81">
        <v>1.4501999999999999</v>
      </c>
      <c r="JC81">
        <v>2.4499499999999999</v>
      </c>
      <c r="JD81">
        <v>37.892099999999999</v>
      </c>
      <c r="JE81">
        <v>16.023299999999999</v>
      </c>
      <c r="JF81">
        <v>18</v>
      </c>
      <c r="JG81">
        <v>496.16</v>
      </c>
      <c r="JH81">
        <v>484.05099999999999</v>
      </c>
      <c r="JI81">
        <v>25.257100000000001</v>
      </c>
      <c r="JJ81">
        <v>34.622100000000003</v>
      </c>
      <c r="JK81">
        <v>30.0001</v>
      </c>
      <c r="JL81">
        <v>34.421100000000003</v>
      </c>
      <c r="JM81">
        <v>34.359099999999998</v>
      </c>
      <c r="JN81">
        <v>20.020600000000002</v>
      </c>
      <c r="JO81">
        <v>33.484400000000001</v>
      </c>
      <c r="JP81">
        <v>86.772900000000007</v>
      </c>
      <c r="JQ81">
        <v>25.248899999999999</v>
      </c>
      <c r="JR81">
        <v>400</v>
      </c>
      <c r="JS81">
        <v>21.573399999999999</v>
      </c>
      <c r="JT81">
        <v>99.100700000000003</v>
      </c>
      <c r="JU81">
        <v>98.673100000000005</v>
      </c>
    </row>
    <row r="82" spans="1:281" x14ac:dyDescent="0.25">
      <c r="A82">
        <v>66</v>
      </c>
      <c r="B82">
        <v>1693510476.0999999</v>
      </c>
      <c r="C82">
        <v>14826.5</v>
      </c>
      <c r="D82" t="s">
        <v>751</v>
      </c>
      <c r="E82" t="s">
        <v>752</v>
      </c>
      <c r="F82" t="s">
        <v>413</v>
      </c>
      <c r="G82" t="s">
        <v>414</v>
      </c>
      <c r="H82" t="s">
        <v>707</v>
      </c>
      <c r="I82" t="s">
        <v>416</v>
      </c>
      <c r="J82">
        <v>1693510476.0999999</v>
      </c>
      <c r="K82">
        <f t="shared" si="92"/>
        <v>5.8210787854747099E-3</v>
      </c>
      <c r="L82">
        <f t="shared" si="93"/>
        <v>5.8210787854747101</v>
      </c>
      <c r="M82">
        <f t="shared" si="94"/>
        <v>50.261500270940886</v>
      </c>
      <c r="N82">
        <f t="shared" si="95"/>
        <v>436.73099999999999</v>
      </c>
      <c r="O82">
        <f t="shared" si="96"/>
        <v>225.60446031960447</v>
      </c>
      <c r="P82">
        <f t="shared" si="97"/>
        <v>22.478497580596184</v>
      </c>
      <c r="Q82">
        <f t="shared" si="98"/>
        <v>43.514462049925498</v>
      </c>
      <c r="R82">
        <f t="shared" si="99"/>
        <v>0.42257495366001963</v>
      </c>
      <c r="S82">
        <f t="shared" si="100"/>
        <v>2.922286959755219</v>
      </c>
      <c r="T82">
        <f t="shared" si="101"/>
        <v>0.39132726173156879</v>
      </c>
      <c r="U82">
        <f t="shared" si="102"/>
        <v>0.24719418884244632</v>
      </c>
      <c r="V82">
        <f t="shared" si="103"/>
        <v>344.37569864385671</v>
      </c>
      <c r="W82">
        <f t="shared" si="104"/>
        <v>30.746618228230151</v>
      </c>
      <c r="X82">
        <f t="shared" si="105"/>
        <v>30.0017</v>
      </c>
      <c r="Y82">
        <f t="shared" si="106"/>
        <v>4.2608658085871269</v>
      </c>
      <c r="Z82">
        <f t="shared" si="107"/>
        <v>65.590066816665768</v>
      </c>
      <c r="AA82">
        <f t="shared" si="108"/>
        <v>2.8314973872410998</v>
      </c>
      <c r="AB82">
        <f t="shared" si="109"/>
        <v>4.3169606689920998</v>
      </c>
      <c r="AC82">
        <f t="shared" si="110"/>
        <v>1.4293684213460272</v>
      </c>
      <c r="AD82">
        <f t="shared" si="111"/>
        <v>-256.70957443943473</v>
      </c>
      <c r="AE82">
        <f t="shared" si="112"/>
        <v>35.904809649488577</v>
      </c>
      <c r="AF82">
        <f t="shared" si="113"/>
        <v>2.7350553333383991</v>
      </c>
      <c r="AG82">
        <f t="shared" si="114"/>
        <v>126.30598918724894</v>
      </c>
      <c r="AH82">
        <v>1</v>
      </c>
      <c r="AI82">
        <v>0</v>
      </c>
      <c r="AJ82">
        <f t="shared" si="115"/>
        <v>1</v>
      </c>
      <c r="AK82">
        <f t="shared" si="116"/>
        <v>0</v>
      </c>
      <c r="AL82">
        <f t="shared" si="117"/>
        <v>52096.645265671243</v>
      </c>
      <c r="AM82" t="s">
        <v>417</v>
      </c>
      <c r="AN82">
        <v>10366.9</v>
      </c>
      <c r="AO82">
        <v>993.59653846153856</v>
      </c>
      <c r="AP82">
        <v>3431.87</v>
      </c>
      <c r="AQ82">
        <f t="shared" si="118"/>
        <v>0.71047955241266758</v>
      </c>
      <c r="AR82">
        <v>-3.9894345373445681</v>
      </c>
      <c r="AS82" t="s">
        <v>753</v>
      </c>
      <c r="AT82">
        <v>10428.200000000001</v>
      </c>
      <c r="AU82">
        <v>824.11968000000013</v>
      </c>
      <c r="AV82">
        <v>1228.1336306687299</v>
      </c>
      <c r="AW82">
        <f t="shared" si="119"/>
        <v>0.32896579051315489</v>
      </c>
      <c r="AX82">
        <v>0.5</v>
      </c>
      <c r="AY82">
        <f t="shared" si="120"/>
        <v>1513.2101993219283</v>
      </c>
      <c r="AZ82">
        <f t="shared" si="121"/>
        <v>50.261500270940886</v>
      </c>
      <c r="BA82">
        <f t="shared" si="122"/>
        <v>248.89719471625341</v>
      </c>
      <c r="BB82">
        <f t="shared" si="123"/>
        <v>3.5851552436400029E-2</v>
      </c>
      <c r="BC82">
        <f t="shared" si="124"/>
        <v>1.7943783268367266</v>
      </c>
      <c r="BD82">
        <f t="shared" si="125"/>
        <v>653.89306480380094</v>
      </c>
      <c r="BE82" t="s">
        <v>754</v>
      </c>
      <c r="BF82">
        <v>627.88</v>
      </c>
      <c r="BG82">
        <f t="shared" si="126"/>
        <v>627.88</v>
      </c>
      <c r="BH82">
        <f t="shared" si="127"/>
        <v>0.4887527022135908</v>
      </c>
      <c r="BI82">
        <f t="shared" si="128"/>
        <v>0.67307206491800198</v>
      </c>
      <c r="BJ82">
        <f t="shared" si="129"/>
        <v>0.78592875485692537</v>
      </c>
      <c r="BK82">
        <f t="shared" si="130"/>
        <v>1.7226015163171788</v>
      </c>
      <c r="BL82">
        <f t="shared" si="131"/>
        <v>0.90381017719841517</v>
      </c>
      <c r="BM82">
        <f t="shared" si="132"/>
        <v>0.51279989833602202</v>
      </c>
      <c r="BN82">
        <f t="shared" si="133"/>
        <v>0.48720010166397798</v>
      </c>
      <c r="BO82">
        <v>7874</v>
      </c>
      <c r="BP82">
        <v>290.00000000000011</v>
      </c>
      <c r="BQ82">
        <v>1115.4000000000001</v>
      </c>
      <c r="BR82">
        <v>185</v>
      </c>
      <c r="BS82">
        <v>10428.200000000001</v>
      </c>
      <c r="BT82">
        <v>1111.3599999999999</v>
      </c>
      <c r="BU82">
        <v>4.04</v>
      </c>
      <c r="BV82">
        <v>300.00000000000011</v>
      </c>
      <c r="BW82">
        <v>38.200000000000003</v>
      </c>
      <c r="BX82">
        <v>1228.1336306687299</v>
      </c>
      <c r="BY82">
        <v>1.293605939300269</v>
      </c>
      <c r="BZ82">
        <v>-121.76918173605181</v>
      </c>
      <c r="CA82">
        <v>1.1043060722595339</v>
      </c>
      <c r="CB82">
        <v>0.99770245926982726</v>
      </c>
      <c r="CC82">
        <v>-1.1326250500556179E-2</v>
      </c>
      <c r="CD82">
        <v>289.99999999999989</v>
      </c>
      <c r="CE82">
        <v>1098.3499999999999</v>
      </c>
      <c r="CF82">
        <v>665</v>
      </c>
      <c r="CG82">
        <v>10405.5</v>
      </c>
      <c r="CH82">
        <v>1111.1099999999999</v>
      </c>
      <c r="CI82">
        <v>-12.76</v>
      </c>
      <c r="CW82">
        <f t="shared" si="134"/>
        <v>1800.03</v>
      </c>
      <c r="CX82">
        <f t="shared" si="135"/>
        <v>1513.2101993219283</v>
      </c>
      <c r="CY82">
        <f t="shared" si="136"/>
        <v>0.84065832198459378</v>
      </c>
      <c r="CZ82">
        <f t="shared" si="137"/>
        <v>0.19131664396918757</v>
      </c>
      <c r="DA82">
        <v>6</v>
      </c>
      <c r="DB82">
        <v>0.5</v>
      </c>
      <c r="DC82" t="s">
        <v>420</v>
      </c>
      <c r="DD82">
        <v>2</v>
      </c>
      <c r="DE82">
        <v>1693510476.0999999</v>
      </c>
      <c r="DF82">
        <v>436.73099999999999</v>
      </c>
      <c r="DG82">
        <v>499.99200000000002</v>
      </c>
      <c r="DH82">
        <v>28.418199999999999</v>
      </c>
      <c r="DI82">
        <v>21.642499999999998</v>
      </c>
      <c r="DJ82">
        <v>437.82799999999997</v>
      </c>
      <c r="DK82">
        <v>28.235199999999999</v>
      </c>
      <c r="DL82">
        <v>500.81799999999998</v>
      </c>
      <c r="DM82">
        <v>99.536799999999999</v>
      </c>
      <c r="DN82">
        <v>9.9960499999999994E-2</v>
      </c>
      <c r="DO82">
        <v>30.229600000000001</v>
      </c>
      <c r="DP82">
        <v>30.0017</v>
      </c>
      <c r="DQ82">
        <v>999.9</v>
      </c>
      <c r="DR82">
        <v>0</v>
      </c>
      <c r="DS82">
        <v>0</v>
      </c>
      <c r="DT82">
        <v>10005</v>
      </c>
      <c r="DU82">
        <v>0</v>
      </c>
      <c r="DV82">
        <v>1434.04</v>
      </c>
      <c r="DW82">
        <v>-63.2605</v>
      </c>
      <c r="DX82">
        <v>449.50599999999997</v>
      </c>
      <c r="DY82">
        <v>511.05200000000002</v>
      </c>
      <c r="DZ82">
        <v>6.7757100000000001</v>
      </c>
      <c r="EA82">
        <v>499.99200000000002</v>
      </c>
      <c r="EB82">
        <v>21.642499999999998</v>
      </c>
      <c r="EC82">
        <v>2.8286600000000002</v>
      </c>
      <c r="ED82">
        <v>2.1542300000000001</v>
      </c>
      <c r="EE82">
        <v>23.052299999999999</v>
      </c>
      <c r="EF82">
        <v>18.625900000000001</v>
      </c>
      <c r="EG82">
        <v>1800.03</v>
      </c>
      <c r="EH82">
        <v>0.977993</v>
      </c>
      <c r="EI82">
        <v>2.2006999999999999E-2</v>
      </c>
      <c r="EJ82">
        <v>0</v>
      </c>
      <c r="EK82">
        <v>824.10900000000004</v>
      </c>
      <c r="EL82">
        <v>5.0010300000000001</v>
      </c>
      <c r="EM82">
        <v>15995.7</v>
      </c>
      <c r="EN82">
        <v>14701.3</v>
      </c>
      <c r="EO82">
        <v>50.25</v>
      </c>
      <c r="EP82">
        <v>51.936999999999998</v>
      </c>
      <c r="EQ82">
        <v>51.75</v>
      </c>
      <c r="ER82">
        <v>50.811999999999998</v>
      </c>
      <c r="ES82">
        <v>51.686999999999998</v>
      </c>
      <c r="ET82">
        <v>1755.53</v>
      </c>
      <c r="EU82">
        <v>39.5</v>
      </c>
      <c r="EV82">
        <v>0</v>
      </c>
      <c r="EW82">
        <v>110.4000000953674</v>
      </c>
      <c r="EX82">
        <v>0</v>
      </c>
      <c r="EY82">
        <v>824.11968000000013</v>
      </c>
      <c r="EZ82">
        <v>0.506846153576752</v>
      </c>
      <c r="FA82">
        <v>-21.492307457879509</v>
      </c>
      <c r="FB82">
        <v>15996.691999999999</v>
      </c>
      <c r="FC82">
        <v>15</v>
      </c>
      <c r="FD82">
        <v>1693510443.0999999</v>
      </c>
      <c r="FE82" t="s">
        <v>755</v>
      </c>
      <c r="FF82">
        <v>1693510443.0999999</v>
      </c>
      <c r="FG82">
        <v>1693510432.0999999</v>
      </c>
      <c r="FH82">
        <v>73</v>
      </c>
      <c r="FI82">
        <v>-0.21</v>
      </c>
      <c r="FJ82">
        <v>-1E-3</v>
      </c>
      <c r="FK82">
        <v>-1.0609999999999999</v>
      </c>
      <c r="FL82">
        <v>2.1999999999999999E-2</v>
      </c>
      <c r="FM82">
        <v>500</v>
      </c>
      <c r="FN82">
        <v>21</v>
      </c>
      <c r="FO82">
        <v>0.12</v>
      </c>
      <c r="FP82">
        <v>0.04</v>
      </c>
      <c r="FQ82">
        <v>50.315766344942283</v>
      </c>
      <c r="FR82">
        <v>-0.16032457704015221</v>
      </c>
      <c r="FS82">
        <v>0.1239628435121309</v>
      </c>
      <c r="FT82">
        <v>1</v>
      </c>
      <c r="FU82">
        <v>0.42538304520903841</v>
      </c>
      <c r="FV82">
        <v>3.6555174090693088E-2</v>
      </c>
      <c r="FW82">
        <v>3.9799049666670869E-3</v>
      </c>
      <c r="FX82">
        <v>1</v>
      </c>
      <c r="FY82">
        <v>2</v>
      </c>
      <c r="FZ82">
        <v>2</v>
      </c>
      <c r="GA82" t="s">
        <v>422</v>
      </c>
      <c r="GB82">
        <v>2.8989099999999999</v>
      </c>
      <c r="GC82">
        <v>2.8180100000000001</v>
      </c>
      <c r="GD82">
        <v>9.6931799999999999E-2</v>
      </c>
      <c r="GE82">
        <v>0.10693999999999999</v>
      </c>
      <c r="GF82">
        <v>0.133876</v>
      </c>
      <c r="GG82">
        <v>0.11063199999999999</v>
      </c>
      <c r="GH82">
        <v>24985.9</v>
      </c>
      <c r="GI82">
        <v>24756.9</v>
      </c>
      <c r="GJ82">
        <v>24551.599999999999</v>
      </c>
      <c r="GK82">
        <v>24763.1</v>
      </c>
      <c r="GL82">
        <v>28248.9</v>
      </c>
      <c r="GM82">
        <v>28776.9</v>
      </c>
      <c r="GN82">
        <v>33195.800000000003</v>
      </c>
      <c r="GO82">
        <v>33043.4</v>
      </c>
      <c r="GP82">
        <v>1.9397</v>
      </c>
      <c r="GQ82">
        <v>1.8481000000000001</v>
      </c>
      <c r="GR82">
        <v>3.3557400000000001E-2</v>
      </c>
      <c r="GS82">
        <v>0</v>
      </c>
      <c r="GT82">
        <v>29.455400000000001</v>
      </c>
      <c r="GU82">
        <v>999.9</v>
      </c>
      <c r="GV82">
        <v>58.6</v>
      </c>
      <c r="GW82">
        <v>32.9</v>
      </c>
      <c r="GX82">
        <v>29.577300000000001</v>
      </c>
      <c r="GY82">
        <v>61.936300000000003</v>
      </c>
      <c r="GZ82">
        <v>23.2973</v>
      </c>
      <c r="HA82">
        <v>1</v>
      </c>
      <c r="HB82">
        <v>0.60355700000000001</v>
      </c>
      <c r="HC82">
        <v>2.9631699999999999</v>
      </c>
      <c r="HD82">
        <v>20.1876</v>
      </c>
      <c r="HE82">
        <v>5.2340600000000004</v>
      </c>
      <c r="HF82">
        <v>11.9201</v>
      </c>
      <c r="HG82">
        <v>4.9596</v>
      </c>
      <c r="HH82">
        <v>3.2887</v>
      </c>
      <c r="HI82">
        <v>9999</v>
      </c>
      <c r="HJ82">
        <v>9999</v>
      </c>
      <c r="HK82">
        <v>9999</v>
      </c>
      <c r="HL82">
        <v>895.6</v>
      </c>
      <c r="HM82">
        <v>1.88052</v>
      </c>
      <c r="HN82">
        <v>1.8776200000000001</v>
      </c>
      <c r="HO82">
        <v>1.8855500000000001</v>
      </c>
      <c r="HP82">
        <v>1.8833899999999999</v>
      </c>
      <c r="HQ82">
        <v>1.8809</v>
      </c>
      <c r="HR82">
        <v>1.8799399999999999</v>
      </c>
      <c r="HS82">
        <v>1.8811</v>
      </c>
      <c r="HT82">
        <v>1.88049</v>
      </c>
      <c r="HU82">
        <v>5</v>
      </c>
      <c r="HV82">
        <v>0</v>
      </c>
      <c r="HW82">
        <v>0</v>
      </c>
      <c r="HX82">
        <v>0</v>
      </c>
      <c r="HY82" t="s">
        <v>423</v>
      </c>
      <c r="HZ82" t="s">
        <v>424</v>
      </c>
      <c r="IA82" t="s">
        <v>425</v>
      </c>
      <c r="IB82" t="s">
        <v>425</v>
      </c>
      <c r="IC82" t="s">
        <v>425</v>
      </c>
      <c r="ID82" t="s">
        <v>425</v>
      </c>
      <c r="IE82">
        <v>0</v>
      </c>
      <c r="IF82">
        <v>100</v>
      </c>
      <c r="IG82">
        <v>100</v>
      </c>
      <c r="IH82">
        <v>-1.097</v>
      </c>
      <c r="II82">
        <v>0.183</v>
      </c>
      <c r="IJ82">
        <v>-1.6919175917796889</v>
      </c>
      <c r="IK82">
        <v>2.2153513873161218E-3</v>
      </c>
      <c r="IL82">
        <v>-2.2967369670569612E-6</v>
      </c>
      <c r="IM82">
        <v>7.7859689150384122E-10</v>
      </c>
      <c r="IN82">
        <v>-0.20170316496396909</v>
      </c>
      <c r="IO82">
        <v>-4.1434251034592161E-3</v>
      </c>
      <c r="IP82">
        <v>8.3987709687394815E-4</v>
      </c>
      <c r="IQ82">
        <v>-7.4586254598011197E-6</v>
      </c>
      <c r="IR82">
        <v>2</v>
      </c>
      <c r="IS82">
        <v>1930</v>
      </c>
      <c r="IT82">
        <v>2</v>
      </c>
      <c r="IU82">
        <v>41</v>
      </c>
      <c r="IV82">
        <v>0.6</v>
      </c>
      <c r="IW82">
        <v>0.7</v>
      </c>
      <c r="IX82">
        <v>1.18774</v>
      </c>
      <c r="IY82">
        <v>2.50244</v>
      </c>
      <c r="IZ82">
        <v>1.24512</v>
      </c>
      <c r="JA82">
        <v>2.2656200000000002</v>
      </c>
      <c r="JB82">
        <v>1.4501999999999999</v>
      </c>
      <c r="JC82">
        <v>2.3815900000000001</v>
      </c>
      <c r="JD82">
        <v>37.843699999999998</v>
      </c>
      <c r="JE82">
        <v>16.005800000000001</v>
      </c>
      <c r="JF82">
        <v>18</v>
      </c>
      <c r="JG82">
        <v>495.86200000000002</v>
      </c>
      <c r="JH82">
        <v>483.62099999999998</v>
      </c>
      <c r="JI82">
        <v>25.247499999999999</v>
      </c>
      <c r="JJ82">
        <v>34.706600000000002</v>
      </c>
      <c r="JK82">
        <v>30.000800000000002</v>
      </c>
      <c r="JL82">
        <v>34.512300000000003</v>
      </c>
      <c r="JM82">
        <v>34.446899999999999</v>
      </c>
      <c r="JN82">
        <v>23.8916</v>
      </c>
      <c r="JO82">
        <v>32.864699999999999</v>
      </c>
      <c r="JP82">
        <v>84.5334</v>
      </c>
      <c r="JQ82">
        <v>25.2254</v>
      </c>
      <c r="JR82">
        <v>500</v>
      </c>
      <c r="JS82">
        <v>21.5825</v>
      </c>
      <c r="JT82">
        <v>99.084400000000002</v>
      </c>
      <c r="JU82">
        <v>98.659000000000006</v>
      </c>
    </row>
    <row r="83" spans="1:281" x14ac:dyDescent="0.25">
      <c r="A83">
        <v>67</v>
      </c>
      <c r="B83">
        <v>1693510576.5999999</v>
      </c>
      <c r="C83">
        <v>14927</v>
      </c>
      <c r="D83" t="s">
        <v>756</v>
      </c>
      <c r="E83" t="s">
        <v>757</v>
      </c>
      <c r="F83" t="s">
        <v>413</v>
      </c>
      <c r="G83" t="s">
        <v>414</v>
      </c>
      <c r="H83" t="s">
        <v>707</v>
      </c>
      <c r="I83" t="s">
        <v>416</v>
      </c>
      <c r="J83">
        <v>1693510576.5999999</v>
      </c>
      <c r="K83">
        <f t="shared" si="92"/>
        <v>5.5845550476685607E-3</v>
      </c>
      <c r="L83">
        <f t="shared" si="93"/>
        <v>5.5845550476685606</v>
      </c>
      <c r="M83">
        <f t="shared" si="94"/>
        <v>51.113080811997456</v>
      </c>
      <c r="N83">
        <f t="shared" si="95"/>
        <v>634.43200000000002</v>
      </c>
      <c r="O83">
        <f t="shared" si="96"/>
        <v>404.28085522002453</v>
      </c>
      <c r="P83">
        <f t="shared" si="97"/>
        <v>40.283313356309876</v>
      </c>
      <c r="Q83">
        <f t="shared" si="98"/>
        <v>63.216011169664</v>
      </c>
      <c r="R83">
        <f t="shared" si="99"/>
        <v>0.39987784325183756</v>
      </c>
      <c r="S83">
        <f t="shared" si="100"/>
        <v>2.9153560163507817</v>
      </c>
      <c r="T83">
        <f t="shared" si="101"/>
        <v>0.3717153470360392</v>
      </c>
      <c r="U83">
        <f t="shared" si="102"/>
        <v>0.23468688553768843</v>
      </c>
      <c r="V83">
        <f t="shared" si="103"/>
        <v>344.3244118121338</v>
      </c>
      <c r="W83">
        <f t="shared" si="104"/>
        <v>30.764726795235653</v>
      </c>
      <c r="X83">
        <f t="shared" si="105"/>
        <v>29.971299999999999</v>
      </c>
      <c r="Y83">
        <f t="shared" si="106"/>
        <v>4.2534314450033284</v>
      </c>
      <c r="Z83">
        <f t="shared" si="107"/>
        <v>65.246281596369073</v>
      </c>
      <c r="AA83">
        <f t="shared" si="108"/>
        <v>2.8094931046017999</v>
      </c>
      <c r="AB83">
        <f t="shared" si="109"/>
        <v>4.305981943893868</v>
      </c>
      <c r="AC83">
        <f t="shared" si="110"/>
        <v>1.4439383404015285</v>
      </c>
      <c r="AD83">
        <f t="shared" si="111"/>
        <v>-246.27887760218351</v>
      </c>
      <c r="AE83">
        <f t="shared" si="112"/>
        <v>33.619234873094186</v>
      </c>
      <c r="AF83">
        <f t="shared" si="113"/>
        <v>2.5660895177455596</v>
      </c>
      <c r="AG83">
        <f t="shared" si="114"/>
        <v>134.23085860079004</v>
      </c>
      <c r="AH83">
        <v>0</v>
      </c>
      <c r="AI83">
        <v>0</v>
      </c>
      <c r="AJ83">
        <f t="shared" si="115"/>
        <v>1</v>
      </c>
      <c r="AK83">
        <f t="shared" si="116"/>
        <v>0</v>
      </c>
      <c r="AL83">
        <f t="shared" si="117"/>
        <v>51906.835177989538</v>
      </c>
      <c r="AM83" t="s">
        <v>417</v>
      </c>
      <c r="AN83">
        <v>10366.9</v>
      </c>
      <c r="AO83">
        <v>993.59653846153856</v>
      </c>
      <c r="AP83">
        <v>3431.87</v>
      </c>
      <c r="AQ83">
        <f t="shared" si="118"/>
        <v>0.71047955241266758</v>
      </c>
      <c r="AR83">
        <v>-3.9894345373445681</v>
      </c>
      <c r="AS83" t="s">
        <v>758</v>
      </c>
      <c r="AT83">
        <v>10440.6</v>
      </c>
      <c r="AU83">
        <v>826.40940000000001</v>
      </c>
      <c r="AV83">
        <v>1242.671513628854</v>
      </c>
      <c r="AW83">
        <f t="shared" si="119"/>
        <v>0.33497357029878616</v>
      </c>
      <c r="AX83">
        <v>0.5</v>
      </c>
      <c r="AY83">
        <f t="shared" si="120"/>
        <v>1512.983405906067</v>
      </c>
      <c r="AZ83">
        <f t="shared" si="121"/>
        <v>51.113080811997456</v>
      </c>
      <c r="BA83">
        <f t="shared" si="122"/>
        <v>253.40472663958641</v>
      </c>
      <c r="BB83">
        <f t="shared" si="123"/>
        <v>3.6419775084276795E-2</v>
      </c>
      <c r="BC83">
        <f t="shared" si="124"/>
        <v>1.761687189543953</v>
      </c>
      <c r="BD83">
        <f t="shared" si="125"/>
        <v>657.99157733137292</v>
      </c>
      <c r="BE83" t="s">
        <v>759</v>
      </c>
      <c r="BF83">
        <v>628.05999999999995</v>
      </c>
      <c r="BG83">
        <f t="shared" si="126"/>
        <v>628.05999999999995</v>
      </c>
      <c r="BH83">
        <f t="shared" si="127"/>
        <v>0.49458888120325795</v>
      </c>
      <c r="BI83">
        <f t="shared" si="128"/>
        <v>0.67727679094573967</v>
      </c>
      <c r="BJ83">
        <f t="shared" si="129"/>
        <v>0.78079416450156969</v>
      </c>
      <c r="BK83">
        <f t="shared" si="130"/>
        <v>1.6712321795846052</v>
      </c>
      <c r="BL83">
        <f t="shared" si="131"/>
        <v>0.89784780948640663</v>
      </c>
      <c r="BM83">
        <f t="shared" si="132"/>
        <v>0.5147212281483986</v>
      </c>
      <c r="BN83">
        <f t="shared" si="133"/>
        <v>0.4852787718516014</v>
      </c>
      <c r="BO83">
        <v>7876</v>
      </c>
      <c r="BP83">
        <v>290.00000000000011</v>
      </c>
      <c r="BQ83">
        <v>1126.23</v>
      </c>
      <c r="BR83">
        <v>115</v>
      </c>
      <c r="BS83">
        <v>10440.6</v>
      </c>
      <c r="BT83">
        <v>1121.94</v>
      </c>
      <c r="BU83">
        <v>4.29</v>
      </c>
      <c r="BV83">
        <v>300.00000000000011</v>
      </c>
      <c r="BW83">
        <v>38.200000000000003</v>
      </c>
      <c r="BX83">
        <v>1242.671513628854</v>
      </c>
      <c r="BY83">
        <v>1.348783153826121</v>
      </c>
      <c r="BZ83">
        <v>-126.0478872279312</v>
      </c>
      <c r="CA83">
        <v>1.1514430663980579</v>
      </c>
      <c r="CB83">
        <v>0.99766891414780323</v>
      </c>
      <c r="CC83">
        <v>-1.132656395995551E-2</v>
      </c>
      <c r="CD83">
        <v>289.99999999999989</v>
      </c>
      <c r="CE83">
        <v>1108.06</v>
      </c>
      <c r="CF83">
        <v>655</v>
      </c>
      <c r="CG83">
        <v>10406.6</v>
      </c>
      <c r="CH83">
        <v>1121.55</v>
      </c>
      <c r="CI83">
        <v>-13.49</v>
      </c>
      <c r="CW83">
        <f t="shared" si="134"/>
        <v>1799.76</v>
      </c>
      <c r="CX83">
        <f t="shared" si="135"/>
        <v>1512.983405906067</v>
      </c>
      <c r="CY83">
        <f t="shared" si="136"/>
        <v>0.84065842440440219</v>
      </c>
      <c r="CZ83">
        <f t="shared" si="137"/>
        <v>0.1913168488088044</v>
      </c>
      <c r="DA83">
        <v>6</v>
      </c>
      <c r="DB83">
        <v>0.5</v>
      </c>
      <c r="DC83" t="s">
        <v>420</v>
      </c>
      <c r="DD83">
        <v>2</v>
      </c>
      <c r="DE83">
        <v>1693510576.5999999</v>
      </c>
      <c r="DF83">
        <v>634.43200000000002</v>
      </c>
      <c r="DG83">
        <v>699.99099999999999</v>
      </c>
      <c r="DH83">
        <v>28.195900000000002</v>
      </c>
      <c r="DI83">
        <v>21.686199999999999</v>
      </c>
      <c r="DJ83">
        <v>635.60400000000004</v>
      </c>
      <c r="DK83">
        <v>28.016400000000001</v>
      </c>
      <c r="DL83">
        <v>500.21600000000001</v>
      </c>
      <c r="DM83">
        <v>99.541499999999999</v>
      </c>
      <c r="DN83">
        <v>0.10040200000000001</v>
      </c>
      <c r="DO83">
        <v>30.185199999999998</v>
      </c>
      <c r="DP83">
        <v>29.971299999999999</v>
      </c>
      <c r="DQ83">
        <v>999.9</v>
      </c>
      <c r="DR83">
        <v>0</v>
      </c>
      <c r="DS83">
        <v>0</v>
      </c>
      <c r="DT83">
        <v>9965</v>
      </c>
      <c r="DU83">
        <v>0</v>
      </c>
      <c r="DV83">
        <v>1430.03</v>
      </c>
      <c r="DW83">
        <v>-65.559600000000003</v>
      </c>
      <c r="DX83">
        <v>652.83900000000006</v>
      </c>
      <c r="DY83">
        <v>715.50800000000004</v>
      </c>
      <c r="DZ83">
        <v>6.5096600000000002</v>
      </c>
      <c r="EA83">
        <v>699.99099999999999</v>
      </c>
      <c r="EB83">
        <v>21.686199999999999</v>
      </c>
      <c r="EC83">
        <v>2.8066599999999999</v>
      </c>
      <c r="ED83">
        <v>2.1586799999999999</v>
      </c>
      <c r="EE83">
        <v>22.923300000000001</v>
      </c>
      <c r="EF83">
        <v>18.658899999999999</v>
      </c>
      <c r="EG83">
        <v>1799.76</v>
      </c>
      <c r="EH83">
        <v>0.977989</v>
      </c>
      <c r="EI83">
        <v>2.2010499999999999E-2</v>
      </c>
      <c r="EJ83">
        <v>0</v>
      </c>
      <c r="EK83">
        <v>826.30399999999997</v>
      </c>
      <c r="EL83">
        <v>5.0010300000000001</v>
      </c>
      <c r="EM83">
        <v>16046.9</v>
      </c>
      <c r="EN83">
        <v>14699.1</v>
      </c>
      <c r="EO83">
        <v>50.25</v>
      </c>
      <c r="EP83">
        <v>51.75</v>
      </c>
      <c r="EQ83">
        <v>51.75</v>
      </c>
      <c r="ER83">
        <v>50.686999999999998</v>
      </c>
      <c r="ES83">
        <v>51.625</v>
      </c>
      <c r="ET83">
        <v>1755.25</v>
      </c>
      <c r="EU83">
        <v>39.5</v>
      </c>
      <c r="EV83">
        <v>0</v>
      </c>
      <c r="EW83">
        <v>98.599999904632568</v>
      </c>
      <c r="EX83">
        <v>0</v>
      </c>
      <c r="EY83">
        <v>826.40940000000001</v>
      </c>
      <c r="EZ83">
        <v>-3.1772307833586702</v>
      </c>
      <c r="FA83">
        <v>-55.215384534115643</v>
      </c>
      <c r="FB83">
        <v>16055.776</v>
      </c>
      <c r="FC83">
        <v>15</v>
      </c>
      <c r="FD83">
        <v>1693510546.5999999</v>
      </c>
      <c r="FE83" t="s">
        <v>760</v>
      </c>
      <c r="FF83">
        <v>1693510540.5999999</v>
      </c>
      <c r="FG83">
        <v>1693510546.5999999</v>
      </c>
      <c r="FH83">
        <v>74</v>
      </c>
      <c r="FI83">
        <v>-0.161</v>
      </c>
      <c r="FJ83">
        <v>2E-3</v>
      </c>
      <c r="FK83">
        <v>-1.1599999999999999</v>
      </c>
      <c r="FL83">
        <v>2.3E-2</v>
      </c>
      <c r="FM83">
        <v>700</v>
      </c>
      <c r="FN83">
        <v>21</v>
      </c>
      <c r="FO83">
        <v>0.12</v>
      </c>
      <c r="FP83">
        <v>0.04</v>
      </c>
      <c r="FQ83">
        <v>51.200650291347671</v>
      </c>
      <c r="FR83">
        <v>-0.19624412178972811</v>
      </c>
      <c r="FS83">
        <v>0.14948356694378201</v>
      </c>
      <c r="FT83">
        <v>1</v>
      </c>
      <c r="FU83">
        <v>0.40245311342902113</v>
      </c>
      <c r="FV83">
        <v>1.478087565141545E-2</v>
      </c>
      <c r="FW83">
        <v>1.98502012046572E-3</v>
      </c>
      <c r="FX83">
        <v>1</v>
      </c>
      <c r="FY83">
        <v>2</v>
      </c>
      <c r="FZ83">
        <v>2</v>
      </c>
      <c r="GA83" t="s">
        <v>422</v>
      </c>
      <c r="GB83">
        <v>2.8973200000000001</v>
      </c>
      <c r="GC83">
        <v>2.8180999999999998</v>
      </c>
      <c r="GD83">
        <v>0.12690100000000001</v>
      </c>
      <c r="GE83">
        <v>0.135569</v>
      </c>
      <c r="GF83">
        <v>0.133156</v>
      </c>
      <c r="GG83">
        <v>0.11078</v>
      </c>
      <c r="GH83">
        <v>24154.5</v>
      </c>
      <c r="GI83">
        <v>23962.2</v>
      </c>
      <c r="GJ83">
        <v>24549.5</v>
      </c>
      <c r="GK83">
        <v>24762.2</v>
      </c>
      <c r="GL83">
        <v>28270.3</v>
      </c>
      <c r="GM83">
        <v>28770.6</v>
      </c>
      <c r="GN83">
        <v>33193</v>
      </c>
      <c r="GO83">
        <v>33041.599999999999</v>
      </c>
      <c r="GP83">
        <v>1.9386000000000001</v>
      </c>
      <c r="GQ83">
        <v>1.8471</v>
      </c>
      <c r="GR83">
        <v>4.5716800000000002E-2</v>
      </c>
      <c r="GS83">
        <v>0</v>
      </c>
      <c r="GT83">
        <v>29.226900000000001</v>
      </c>
      <c r="GU83">
        <v>999.9</v>
      </c>
      <c r="GV83">
        <v>58.2</v>
      </c>
      <c r="GW83">
        <v>33</v>
      </c>
      <c r="GX83">
        <v>29.537500000000001</v>
      </c>
      <c r="GY83">
        <v>62.076300000000003</v>
      </c>
      <c r="GZ83">
        <v>24.567299999999999</v>
      </c>
      <c r="HA83">
        <v>1</v>
      </c>
      <c r="HB83">
        <v>0.60624</v>
      </c>
      <c r="HC83">
        <v>2.62012</v>
      </c>
      <c r="HD83">
        <v>20.192900000000002</v>
      </c>
      <c r="HE83">
        <v>5.2340600000000004</v>
      </c>
      <c r="HF83">
        <v>11.9207</v>
      </c>
      <c r="HG83">
        <v>4.9598000000000004</v>
      </c>
      <c r="HH83">
        <v>3.2890000000000001</v>
      </c>
      <c r="HI83">
        <v>9999</v>
      </c>
      <c r="HJ83">
        <v>9999</v>
      </c>
      <c r="HK83">
        <v>9999</v>
      </c>
      <c r="HL83">
        <v>895.6</v>
      </c>
      <c r="HM83">
        <v>1.8805400000000001</v>
      </c>
      <c r="HN83">
        <v>1.87764</v>
      </c>
      <c r="HO83">
        <v>1.8855500000000001</v>
      </c>
      <c r="HP83">
        <v>1.8833899999999999</v>
      </c>
      <c r="HQ83">
        <v>1.88089</v>
      </c>
      <c r="HR83">
        <v>1.8799300000000001</v>
      </c>
      <c r="HS83">
        <v>1.8811</v>
      </c>
      <c r="HT83">
        <v>1.88049</v>
      </c>
      <c r="HU83">
        <v>5</v>
      </c>
      <c r="HV83">
        <v>0</v>
      </c>
      <c r="HW83">
        <v>0</v>
      </c>
      <c r="HX83">
        <v>0</v>
      </c>
      <c r="HY83" t="s">
        <v>423</v>
      </c>
      <c r="HZ83" t="s">
        <v>424</v>
      </c>
      <c r="IA83" t="s">
        <v>425</v>
      </c>
      <c r="IB83" t="s">
        <v>425</v>
      </c>
      <c r="IC83" t="s">
        <v>425</v>
      </c>
      <c r="ID83" t="s">
        <v>425</v>
      </c>
      <c r="IE83">
        <v>0</v>
      </c>
      <c r="IF83">
        <v>100</v>
      </c>
      <c r="IG83">
        <v>100</v>
      </c>
      <c r="IH83">
        <v>-1.1719999999999999</v>
      </c>
      <c r="II83">
        <v>0.17949999999999999</v>
      </c>
      <c r="IJ83">
        <v>-1.8528514341197739</v>
      </c>
      <c r="IK83">
        <v>2.2153513873161218E-3</v>
      </c>
      <c r="IL83">
        <v>-2.2967369670569612E-6</v>
      </c>
      <c r="IM83">
        <v>7.7859689150384122E-10</v>
      </c>
      <c r="IN83">
        <v>-0.19966332723465741</v>
      </c>
      <c r="IO83">
        <v>-4.1434251034592161E-3</v>
      </c>
      <c r="IP83">
        <v>8.3987709687394815E-4</v>
      </c>
      <c r="IQ83">
        <v>-7.4586254598011197E-6</v>
      </c>
      <c r="IR83">
        <v>2</v>
      </c>
      <c r="IS83">
        <v>1930</v>
      </c>
      <c r="IT83">
        <v>2</v>
      </c>
      <c r="IU83">
        <v>41</v>
      </c>
      <c r="IV83">
        <v>0.6</v>
      </c>
      <c r="IW83">
        <v>0.5</v>
      </c>
      <c r="IX83">
        <v>1.55762</v>
      </c>
      <c r="IY83">
        <v>2.50366</v>
      </c>
      <c r="IZ83">
        <v>1.24512</v>
      </c>
      <c r="JA83">
        <v>2.2656200000000002</v>
      </c>
      <c r="JB83">
        <v>1.4501999999999999</v>
      </c>
      <c r="JC83">
        <v>2.2766099999999998</v>
      </c>
      <c r="JD83">
        <v>37.795299999999997</v>
      </c>
      <c r="JE83">
        <v>15.988300000000001</v>
      </c>
      <c r="JF83">
        <v>18</v>
      </c>
      <c r="JG83">
        <v>495.51100000000002</v>
      </c>
      <c r="JH83">
        <v>483.31700000000001</v>
      </c>
      <c r="JI83">
        <v>25.6114</v>
      </c>
      <c r="JJ83">
        <v>34.738900000000001</v>
      </c>
      <c r="JK83">
        <v>30.0001</v>
      </c>
      <c r="JL83">
        <v>34.562800000000003</v>
      </c>
      <c r="JM83">
        <v>34.497199999999999</v>
      </c>
      <c r="JN83">
        <v>31.274799999999999</v>
      </c>
      <c r="JO83">
        <v>32.555900000000001</v>
      </c>
      <c r="JP83">
        <v>82.968900000000005</v>
      </c>
      <c r="JQ83">
        <v>25.6126</v>
      </c>
      <c r="JR83">
        <v>700</v>
      </c>
      <c r="JS83">
        <v>21.6676</v>
      </c>
      <c r="JT83">
        <v>99.076099999999997</v>
      </c>
      <c r="JU83">
        <v>98.654399999999995</v>
      </c>
    </row>
    <row r="84" spans="1:281" x14ac:dyDescent="0.25">
      <c r="A84">
        <v>68</v>
      </c>
      <c r="B84">
        <v>1693510705.0999999</v>
      </c>
      <c r="C84">
        <v>15055.5</v>
      </c>
      <c r="D84" t="s">
        <v>761</v>
      </c>
      <c r="E84" t="s">
        <v>762</v>
      </c>
      <c r="F84" t="s">
        <v>413</v>
      </c>
      <c r="G84" t="s">
        <v>414</v>
      </c>
      <c r="H84" t="s">
        <v>707</v>
      </c>
      <c r="I84" t="s">
        <v>416</v>
      </c>
      <c r="J84">
        <v>1693510705.0999999</v>
      </c>
      <c r="K84">
        <f t="shared" si="92"/>
        <v>5.1848540207824574E-3</v>
      </c>
      <c r="L84">
        <f t="shared" si="93"/>
        <v>5.1848540207824572</v>
      </c>
      <c r="M84">
        <f t="shared" si="94"/>
        <v>51.373688053545202</v>
      </c>
      <c r="N84">
        <f t="shared" si="95"/>
        <v>833.30499999999995</v>
      </c>
      <c r="O84">
        <f t="shared" si="96"/>
        <v>577.01241937542898</v>
      </c>
      <c r="P84">
        <f t="shared" si="97"/>
        <v>57.492548893520578</v>
      </c>
      <c r="Q84">
        <f t="shared" si="98"/>
        <v>83.029111414226989</v>
      </c>
      <c r="R84">
        <f t="shared" si="99"/>
        <v>0.36375140710934772</v>
      </c>
      <c r="S84">
        <f t="shared" si="100"/>
        <v>2.9284364792998829</v>
      </c>
      <c r="T84">
        <f t="shared" si="101"/>
        <v>0.3403851637579155</v>
      </c>
      <c r="U84">
        <f t="shared" si="102"/>
        <v>0.2147148890953246</v>
      </c>
      <c r="V84">
        <f t="shared" si="103"/>
        <v>344.33201181187127</v>
      </c>
      <c r="W84">
        <f t="shared" si="104"/>
        <v>30.867621192040634</v>
      </c>
      <c r="X84">
        <f t="shared" si="105"/>
        <v>30.040600000000001</v>
      </c>
      <c r="Y84">
        <f t="shared" si="106"/>
        <v>4.270395374241744</v>
      </c>
      <c r="Z84">
        <f t="shared" si="107"/>
        <v>65.17284441813986</v>
      </c>
      <c r="AA84">
        <f t="shared" si="108"/>
        <v>2.8065723818666397</v>
      </c>
      <c r="AB84">
        <f t="shared" si="109"/>
        <v>4.3063524492809666</v>
      </c>
      <c r="AC84">
        <f t="shared" si="110"/>
        <v>1.4638229923751043</v>
      </c>
      <c r="AD84">
        <f t="shared" si="111"/>
        <v>-228.65206231650637</v>
      </c>
      <c r="AE84">
        <f t="shared" si="112"/>
        <v>23.065956437660962</v>
      </c>
      <c r="AF84">
        <f t="shared" si="113"/>
        <v>1.7533288341598856</v>
      </c>
      <c r="AG84">
        <f t="shared" si="114"/>
        <v>140.49923476718575</v>
      </c>
      <c r="AH84">
        <v>1</v>
      </c>
      <c r="AI84">
        <v>0</v>
      </c>
      <c r="AJ84">
        <f t="shared" si="115"/>
        <v>1</v>
      </c>
      <c r="AK84">
        <f t="shared" si="116"/>
        <v>0</v>
      </c>
      <c r="AL84">
        <f t="shared" si="117"/>
        <v>52279.56888641377</v>
      </c>
      <c r="AM84" t="s">
        <v>417</v>
      </c>
      <c r="AN84">
        <v>10366.9</v>
      </c>
      <c r="AO84">
        <v>993.59653846153856</v>
      </c>
      <c r="AP84">
        <v>3431.87</v>
      </c>
      <c r="AQ84">
        <f t="shared" si="118"/>
        <v>0.71047955241266758</v>
      </c>
      <c r="AR84">
        <v>-3.9894345373445681</v>
      </c>
      <c r="AS84" t="s">
        <v>763</v>
      </c>
      <c r="AT84">
        <v>10440.6</v>
      </c>
      <c r="AU84">
        <v>822.71947999999986</v>
      </c>
      <c r="AV84">
        <v>1244.2343048767241</v>
      </c>
      <c r="AW84">
        <f t="shared" si="119"/>
        <v>0.33877447617752909</v>
      </c>
      <c r="AX84">
        <v>0.5</v>
      </c>
      <c r="AY84">
        <f t="shared" si="120"/>
        <v>1513.0170059059355</v>
      </c>
      <c r="AZ84">
        <f t="shared" si="121"/>
        <v>51.373688053545202</v>
      </c>
      <c r="BA84">
        <f t="shared" si="122"/>
        <v>256.28577181173836</v>
      </c>
      <c r="BB84">
        <f t="shared" si="123"/>
        <v>3.6591209731803707E-2</v>
      </c>
      <c r="BC84">
        <f t="shared" si="124"/>
        <v>1.7582184372741769</v>
      </c>
      <c r="BD84">
        <f t="shared" si="125"/>
        <v>658.42947441666797</v>
      </c>
      <c r="BE84" t="s">
        <v>764</v>
      </c>
      <c r="BF84">
        <v>631.13</v>
      </c>
      <c r="BG84">
        <f t="shared" si="126"/>
        <v>631.13</v>
      </c>
      <c r="BH84">
        <f t="shared" si="127"/>
        <v>0.49275631002431575</v>
      </c>
      <c r="BI84">
        <f t="shared" si="128"/>
        <v>0.68750915875803142</v>
      </c>
      <c r="BJ84">
        <f t="shared" si="129"/>
        <v>0.78109203107867053</v>
      </c>
      <c r="BK84">
        <f t="shared" si="130"/>
        <v>1.6817689963709543</v>
      </c>
      <c r="BL84">
        <f t="shared" si="131"/>
        <v>0.89720686774114222</v>
      </c>
      <c r="BM84">
        <f t="shared" si="132"/>
        <v>0.52740656556102994</v>
      </c>
      <c r="BN84">
        <f t="shared" si="133"/>
        <v>0.47259343443897006</v>
      </c>
      <c r="BO84">
        <v>7878</v>
      </c>
      <c r="BP84">
        <v>290.00000000000011</v>
      </c>
      <c r="BQ84">
        <v>1125.8</v>
      </c>
      <c r="BR84">
        <v>115</v>
      </c>
      <c r="BS84">
        <v>10440.6</v>
      </c>
      <c r="BT84">
        <v>1122.28</v>
      </c>
      <c r="BU84">
        <v>3.52</v>
      </c>
      <c r="BV84">
        <v>300.00000000000011</v>
      </c>
      <c r="BW84">
        <v>38.200000000000003</v>
      </c>
      <c r="BX84">
        <v>1244.2343048767241</v>
      </c>
      <c r="BY84">
        <v>1.335355452635874</v>
      </c>
      <c r="BZ84">
        <v>-127.3224682359848</v>
      </c>
      <c r="CA84">
        <v>1.1400030320815899</v>
      </c>
      <c r="CB84">
        <v>0.99776031895767248</v>
      </c>
      <c r="CC84">
        <v>-1.132621913236931E-2</v>
      </c>
      <c r="CD84">
        <v>289.99999999999989</v>
      </c>
      <c r="CE84">
        <v>1108.42</v>
      </c>
      <c r="CF84">
        <v>645</v>
      </c>
      <c r="CG84">
        <v>10407.700000000001</v>
      </c>
      <c r="CH84">
        <v>1121.9000000000001</v>
      </c>
      <c r="CI84">
        <v>-13.48</v>
      </c>
      <c r="CW84">
        <f t="shared" si="134"/>
        <v>1799.8</v>
      </c>
      <c r="CX84">
        <f t="shared" si="135"/>
        <v>1513.0170059059355</v>
      </c>
      <c r="CY84">
        <f t="shared" si="136"/>
        <v>0.84065840977104989</v>
      </c>
      <c r="CZ84">
        <f t="shared" si="137"/>
        <v>0.19131681954209984</v>
      </c>
      <c r="DA84">
        <v>6</v>
      </c>
      <c r="DB84">
        <v>0.5</v>
      </c>
      <c r="DC84" t="s">
        <v>420</v>
      </c>
      <c r="DD84">
        <v>2</v>
      </c>
      <c r="DE84">
        <v>1693510705.0999999</v>
      </c>
      <c r="DF84">
        <v>833.30499999999995</v>
      </c>
      <c r="DG84">
        <v>900.05</v>
      </c>
      <c r="DH84">
        <v>28.1676</v>
      </c>
      <c r="DI84">
        <v>22.129000000000001</v>
      </c>
      <c r="DJ84">
        <v>834.63300000000004</v>
      </c>
      <c r="DK84">
        <v>27.991800000000001</v>
      </c>
      <c r="DL84">
        <v>500.66</v>
      </c>
      <c r="DM84">
        <v>99.538399999999996</v>
      </c>
      <c r="DN84">
        <v>9.9921399999999994E-2</v>
      </c>
      <c r="DO84">
        <v>30.186699999999998</v>
      </c>
      <c r="DP84">
        <v>30.040600000000001</v>
      </c>
      <c r="DQ84">
        <v>999.9</v>
      </c>
      <c r="DR84">
        <v>0</v>
      </c>
      <c r="DS84">
        <v>0</v>
      </c>
      <c r="DT84">
        <v>10040</v>
      </c>
      <c r="DU84">
        <v>0</v>
      </c>
      <c r="DV84">
        <v>1422.19</v>
      </c>
      <c r="DW84">
        <v>-66.744600000000005</v>
      </c>
      <c r="DX84">
        <v>857.45799999999997</v>
      </c>
      <c r="DY84">
        <v>920.41800000000001</v>
      </c>
      <c r="DZ84">
        <v>6.0385999999999997</v>
      </c>
      <c r="EA84">
        <v>900.05</v>
      </c>
      <c r="EB84">
        <v>22.129000000000001</v>
      </c>
      <c r="EC84">
        <v>2.80376</v>
      </c>
      <c r="ED84">
        <v>2.20269</v>
      </c>
      <c r="EE84">
        <v>22.906199999999998</v>
      </c>
      <c r="EF84">
        <v>18.9819</v>
      </c>
      <c r="EG84">
        <v>1799.8</v>
      </c>
      <c r="EH84">
        <v>0.977989</v>
      </c>
      <c r="EI84">
        <v>2.2010700000000001E-2</v>
      </c>
      <c r="EJ84">
        <v>0</v>
      </c>
      <c r="EK84">
        <v>822.83799999999997</v>
      </c>
      <c r="EL84">
        <v>5.0010300000000001</v>
      </c>
      <c r="EM84">
        <v>16001.4</v>
      </c>
      <c r="EN84">
        <v>14699.4</v>
      </c>
      <c r="EO84">
        <v>50.061999999999998</v>
      </c>
      <c r="EP84">
        <v>51.625</v>
      </c>
      <c r="EQ84">
        <v>51.686999999999998</v>
      </c>
      <c r="ER84">
        <v>50.5</v>
      </c>
      <c r="ES84">
        <v>51.561999999999998</v>
      </c>
      <c r="ET84">
        <v>1755.29</v>
      </c>
      <c r="EU84">
        <v>39.5</v>
      </c>
      <c r="EV84">
        <v>0</v>
      </c>
      <c r="EW84">
        <v>126.7999999523163</v>
      </c>
      <c r="EX84">
        <v>0</v>
      </c>
      <c r="EY84">
        <v>822.71947999999986</v>
      </c>
      <c r="EZ84">
        <v>-0.58884614617106668</v>
      </c>
      <c r="FA84">
        <v>14.207692519227111</v>
      </c>
      <c r="FB84">
        <v>15999.172</v>
      </c>
      <c r="FC84">
        <v>15</v>
      </c>
      <c r="FD84">
        <v>1693510675.0999999</v>
      </c>
      <c r="FE84" t="s">
        <v>765</v>
      </c>
      <c r="FF84">
        <v>1693510675.0999999</v>
      </c>
      <c r="FG84">
        <v>1693510670.0999999</v>
      </c>
      <c r="FH84">
        <v>75</v>
      </c>
      <c r="FI84">
        <v>-0.17699999999999999</v>
      </c>
      <c r="FJ84">
        <v>-3.0000000000000001E-3</v>
      </c>
      <c r="FK84">
        <v>-1.329</v>
      </c>
      <c r="FL84">
        <v>2.9000000000000001E-2</v>
      </c>
      <c r="FM84">
        <v>900</v>
      </c>
      <c r="FN84">
        <v>22</v>
      </c>
      <c r="FO84">
        <v>0.12</v>
      </c>
      <c r="FP84">
        <v>0.04</v>
      </c>
      <c r="FQ84">
        <v>51.352683179279268</v>
      </c>
      <c r="FR84">
        <v>-0.65623758311235214</v>
      </c>
      <c r="FS84">
        <v>0.16683619961370319</v>
      </c>
      <c r="FT84">
        <v>1</v>
      </c>
      <c r="FU84">
        <v>0.36518924863896379</v>
      </c>
      <c r="FV84">
        <v>1.5782546042608071E-2</v>
      </c>
      <c r="FW84">
        <v>2.1039181576133019E-3</v>
      </c>
      <c r="FX84">
        <v>1</v>
      </c>
      <c r="FY84">
        <v>2</v>
      </c>
      <c r="FZ84">
        <v>2</v>
      </c>
      <c r="GA84" t="s">
        <v>422</v>
      </c>
      <c r="GB84">
        <v>2.8984700000000001</v>
      </c>
      <c r="GC84">
        <v>2.8182800000000001</v>
      </c>
      <c r="GD84">
        <v>0.15256700000000001</v>
      </c>
      <c r="GE84">
        <v>0.16022900000000001</v>
      </c>
      <c r="GF84">
        <v>0.13307099999999999</v>
      </c>
      <c r="GG84">
        <v>0.11233700000000001</v>
      </c>
      <c r="GH84">
        <v>23445.4</v>
      </c>
      <c r="GI84">
        <v>23276.5</v>
      </c>
      <c r="GJ84">
        <v>24551</v>
      </c>
      <c r="GK84">
        <v>24760.5</v>
      </c>
      <c r="GL84">
        <v>28275.200000000001</v>
      </c>
      <c r="GM84">
        <v>28718.2</v>
      </c>
      <c r="GN84">
        <v>33195.699999999997</v>
      </c>
      <c r="GO84">
        <v>33039.5</v>
      </c>
      <c r="GP84">
        <v>1.9384999999999999</v>
      </c>
      <c r="GQ84">
        <v>1.8487</v>
      </c>
      <c r="GR84">
        <v>5.6117800000000002E-2</v>
      </c>
      <c r="GS84">
        <v>0</v>
      </c>
      <c r="GT84">
        <v>29.126799999999999</v>
      </c>
      <c r="GU84">
        <v>999.9</v>
      </c>
      <c r="GV84">
        <v>57.6</v>
      </c>
      <c r="GW84">
        <v>33.1</v>
      </c>
      <c r="GX84">
        <v>29.398900000000001</v>
      </c>
      <c r="GY84">
        <v>61.776299999999999</v>
      </c>
      <c r="GZ84">
        <v>23.3093</v>
      </c>
      <c r="HA84">
        <v>1</v>
      </c>
      <c r="HB84">
        <v>0.60621999999999998</v>
      </c>
      <c r="HC84">
        <v>3.3058000000000001</v>
      </c>
      <c r="HD84">
        <v>20.181000000000001</v>
      </c>
      <c r="HE84">
        <v>5.2352600000000002</v>
      </c>
      <c r="HF84">
        <v>11.9201</v>
      </c>
      <c r="HG84">
        <v>4.96</v>
      </c>
      <c r="HH84">
        <v>3.2890000000000001</v>
      </c>
      <c r="HI84">
        <v>9999</v>
      </c>
      <c r="HJ84">
        <v>9999</v>
      </c>
      <c r="HK84">
        <v>9999</v>
      </c>
      <c r="HL84">
        <v>895.6</v>
      </c>
      <c r="HM84">
        <v>1.88052</v>
      </c>
      <c r="HN84">
        <v>1.87761</v>
      </c>
      <c r="HO84">
        <v>1.8855500000000001</v>
      </c>
      <c r="HP84">
        <v>1.8833899999999999</v>
      </c>
      <c r="HQ84">
        <v>1.8808499999999999</v>
      </c>
      <c r="HR84">
        <v>1.87991</v>
      </c>
      <c r="HS84">
        <v>1.8811</v>
      </c>
      <c r="HT84">
        <v>1.88049</v>
      </c>
      <c r="HU84">
        <v>5</v>
      </c>
      <c r="HV84">
        <v>0</v>
      </c>
      <c r="HW84">
        <v>0</v>
      </c>
      <c r="HX84">
        <v>0</v>
      </c>
      <c r="HY84" t="s">
        <v>423</v>
      </c>
      <c r="HZ84" t="s">
        <v>424</v>
      </c>
      <c r="IA84" t="s">
        <v>425</v>
      </c>
      <c r="IB84" t="s">
        <v>425</v>
      </c>
      <c r="IC84" t="s">
        <v>425</v>
      </c>
      <c r="ID84" t="s">
        <v>425</v>
      </c>
      <c r="IE84">
        <v>0</v>
      </c>
      <c r="IF84">
        <v>100</v>
      </c>
      <c r="IG84">
        <v>100</v>
      </c>
      <c r="IH84">
        <v>-1.3280000000000001</v>
      </c>
      <c r="II84">
        <v>0.17580000000000001</v>
      </c>
      <c r="IJ84">
        <v>-2.0301233551478419</v>
      </c>
      <c r="IK84">
        <v>2.2153513873161218E-3</v>
      </c>
      <c r="IL84">
        <v>-2.2967369670569612E-6</v>
      </c>
      <c r="IM84">
        <v>7.7859689150384122E-10</v>
      </c>
      <c r="IN84">
        <v>-0.2026637582419443</v>
      </c>
      <c r="IO84">
        <v>-4.1434251034592161E-3</v>
      </c>
      <c r="IP84">
        <v>8.3987709687394815E-4</v>
      </c>
      <c r="IQ84">
        <v>-7.4586254598011197E-6</v>
      </c>
      <c r="IR84">
        <v>2</v>
      </c>
      <c r="IS84">
        <v>1930</v>
      </c>
      <c r="IT84">
        <v>2</v>
      </c>
      <c r="IU84">
        <v>41</v>
      </c>
      <c r="IV84">
        <v>0.5</v>
      </c>
      <c r="IW84">
        <v>0.6</v>
      </c>
      <c r="IX84">
        <v>1.9091800000000001</v>
      </c>
      <c r="IY84">
        <v>2.49268</v>
      </c>
      <c r="IZ84">
        <v>1.24512</v>
      </c>
      <c r="JA84">
        <v>2.2644000000000002</v>
      </c>
      <c r="JB84">
        <v>1.4501999999999999</v>
      </c>
      <c r="JC84">
        <v>2.2338900000000002</v>
      </c>
      <c r="JD84">
        <v>37.747</v>
      </c>
      <c r="JE84">
        <v>15.970800000000001</v>
      </c>
      <c r="JF84">
        <v>18</v>
      </c>
      <c r="JG84">
        <v>495.46800000000002</v>
      </c>
      <c r="JH84">
        <v>484.57600000000002</v>
      </c>
      <c r="JI84">
        <v>25.175899999999999</v>
      </c>
      <c r="JJ84">
        <v>34.7104</v>
      </c>
      <c r="JK84">
        <v>30</v>
      </c>
      <c r="JL84">
        <v>34.566000000000003</v>
      </c>
      <c r="JM84">
        <v>34.509700000000002</v>
      </c>
      <c r="JN84">
        <v>38.308100000000003</v>
      </c>
      <c r="JO84">
        <v>30.421299999999999</v>
      </c>
      <c r="JP84">
        <v>80.659499999999994</v>
      </c>
      <c r="JQ84">
        <v>25.1554</v>
      </c>
      <c r="JR84">
        <v>900</v>
      </c>
      <c r="JS84">
        <v>22.159600000000001</v>
      </c>
      <c r="JT84">
        <v>99.083200000000005</v>
      </c>
      <c r="JU84">
        <v>98.647999999999996</v>
      </c>
    </row>
    <row r="85" spans="1:281" x14ac:dyDescent="0.25">
      <c r="A85">
        <v>69</v>
      </c>
      <c r="B85">
        <v>1693510859.0999999</v>
      </c>
      <c r="C85">
        <v>15209.5</v>
      </c>
      <c r="D85" t="s">
        <v>766</v>
      </c>
      <c r="E85" t="s">
        <v>767</v>
      </c>
      <c r="F85" t="s">
        <v>413</v>
      </c>
      <c r="G85" t="s">
        <v>414</v>
      </c>
      <c r="H85" t="s">
        <v>707</v>
      </c>
      <c r="I85" t="s">
        <v>416</v>
      </c>
      <c r="J85">
        <v>1693510859.0999999</v>
      </c>
      <c r="K85">
        <f t="shared" si="92"/>
        <v>4.7166358425460254E-3</v>
      </c>
      <c r="L85">
        <f t="shared" si="93"/>
        <v>4.7166358425460251</v>
      </c>
      <c r="M85">
        <f t="shared" si="94"/>
        <v>50.703787576832717</v>
      </c>
      <c r="N85">
        <f t="shared" si="95"/>
        <v>1132.56</v>
      </c>
      <c r="O85">
        <f t="shared" si="96"/>
        <v>844.80430697449663</v>
      </c>
      <c r="P85">
        <f t="shared" si="97"/>
        <v>84.172810162101129</v>
      </c>
      <c r="Q85">
        <f t="shared" si="98"/>
        <v>112.84359832231199</v>
      </c>
      <c r="R85">
        <f t="shared" si="99"/>
        <v>0.32405883881120523</v>
      </c>
      <c r="S85">
        <f t="shared" si="100"/>
        <v>2.917012742755301</v>
      </c>
      <c r="T85">
        <f t="shared" si="101"/>
        <v>0.30530465258576361</v>
      </c>
      <c r="U85">
        <f t="shared" si="102"/>
        <v>0.19240989005888814</v>
      </c>
      <c r="V85">
        <f t="shared" si="103"/>
        <v>344.38139864387927</v>
      </c>
      <c r="W85">
        <f t="shared" si="104"/>
        <v>30.854152612106311</v>
      </c>
      <c r="X85">
        <f t="shared" si="105"/>
        <v>30.006</v>
      </c>
      <c r="Y85">
        <f t="shared" si="106"/>
        <v>4.2619182934012949</v>
      </c>
      <c r="Z85">
        <f t="shared" si="107"/>
        <v>65.000480775767045</v>
      </c>
      <c r="AA85">
        <f t="shared" si="108"/>
        <v>2.7770210137740898</v>
      </c>
      <c r="AB85">
        <f t="shared" si="109"/>
        <v>4.2723084208469366</v>
      </c>
      <c r="AC85">
        <f t="shared" si="110"/>
        <v>1.4848972796272051</v>
      </c>
      <c r="AD85">
        <f t="shared" si="111"/>
        <v>-208.00364065627971</v>
      </c>
      <c r="AE85">
        <f t="shared" si="112"/>
        <v>6.6679084178668724</v>
      </c>
      <c r="AF85">
        <f t="shared" si="113"/>
        <v>0.50840211508559408</v>
      </c>
      <c r="AG85">
        <f t="shared" si="114"/>
        <v>143.55406852055199</v>
      </c>
      <c r="AH85">
        <v>0</v>
      </c>
      <c r="AI85">
        <v>0</v>
      </c>
      <c r="AJ85">
        <f t="shared" si="115"/>
        <v>1</v>
      </c>
      <c r="AK85">
        <f t="shared" si="116"/>
        <v>0</v>
      </c>
      <c r="AL85">
        <f t="shared" si="117"/>
        <v>51977.361677362074</v>
      </c>
      <c r="AM85" t="s">
        <v>417</v>
      </c>
      <c r="AN85">
        <v>10366.9</v>
      </c>
      <c r="AO85">
        <v>993.59653846153856</v>
      </c>
      <c r="AP85">
        <v>3431.87</v>
      </c>
      <c r="AQ85">
        <f t="shared" si="118"/>
        <v>0.71047955241266758</v>
      </c>
      <c r="AR85">
        <v>-3.9894345373445681</v>
      </c>
      <c r="AS85" t="s">
        <v>768</v>
      </c>
      <c r="AT85">
        <v>10435.1</v>
      </c>
      <c r="AU85">
        <v>820.45342307692306</v>
      </c>
      <c r="AV85">
        <v>1244.0195130434961</v>
      </c>
      <c r="AW85">
        <f t="shared" si="119"/>
        <v>0.3404818698786467</v>
      </c>
      <c r="AX85">
        <v>0.5</v>
      </c>
      <c r="AY85">
        <f t="shared" si="120"/>
        <v>1513.2353993219394</v>
      </c>
      <c r="AZ85">
        <f t="shared" si="121"/>
        <v>50.703787576832717</v>
      </c>
      <c r="BA85">
        <f t="shared" si="122"/>
        <v>257.61460916384726</v>
      </c>
      <c r="BB85">
        <f t="shared" si="123"/>
        <v>3.6143234647223153E-2</v>
      </c>
      <c r="BC85">
        <f t="shared" si="124"/>
        <v>1.7586946699926946</v>
      </c>
      <c r="BD85">
        <f t="shared" si="125"/>
        <v>658.36932003744937</v>
      </c>
      <c r="BE85" t="s">
        <v>769</v>
      </c>
      <c r="BF85">
        <v>627.69000000000005</v>
      </c>
      <c r="BG85">
        <f t="shared" si="126"/>
        <v>627.69000000000005</v>
      </c>
      <c r="BH85">
        <f t="shared" si="127"/>
        <v>0.49543395950088009</v>
      </c>
      <c r="BI85">
        <f t="shared" si="128"/>
        <v>0.68723966807132408</v>
      </c>
      <c r="BJ85">
        <f t="shared" si="129"/>
        <v>0.7802104311978918</v>
      </c>
      <c r="BK85">
        <f t="shared" si="130"/>
        <v>1.6914026785028458</v>
      </c>
      <c r="BL85">
        <f t="shared" si="131"/>
        <v>0.89729495951452887</v>
      </c>
      <c r="BM85">
        <f t="shared" si="132"/>
        <v>0.52577447435580427</v>
      </c>
      <c r="BN85">
        <f t="shared" si="133"/>
        <v>0.47422552564419573</v>
      </c>
      <c r="BO85">
        <v>7880</v>
      </c>
      <c r="BP85">
        <v>290.00000000000011</v>
      </c>
      <c r="BQ85">
        <v>1125.1500000000001</v>
      </c>
      <c r="BR85">
        <v>145</v>
      </c>
      <c r="BS85">
        <v>10435.1</v>
      </c>
      <c r="BT85">
        <v>1121.6400000000001</v>
      </c>
      <c r="BU85">
        <v>3.51</v>
      </c>
      <c r="BV85">
        <v>300.00000000000011</v>
      </c>
      <c r="BW85">
        <v>38.200000000000003</v>
      </c>
      <c r="BX85">
        <v>1244.0195130434961</v>
      </c>
      <c r="BY85">
        <v>1.3829767413682881</v>
      </c>
      <c r="BZ85">
        <v>-127.7013060007388</v>
      </c>
      <c r="CA85">
        <v>1.180652373014335</v>
      </c>
      <c r="CB85">
        <v>0.99761233577074337</v>
      </c>
      <c r="CC85">
        <v>-1.1326341935483861E-2</v>
      </c>
      <c r="CD85">
        <v>289.99999999999989</v>
      </c>
      <c r="CE85">
        <v>1108.6099999999999</v>
      </c>
      <c r="CF85">
        <v>665</v>
      </c>
      <c r="CG85">
        <v>10405.700000000001</v>
      </c>
      <c r="CH85">
        <v>1121.3</v>
      </c>
      <c r="CI85">
        <v>-12.69</v>
      </c>
      <c r="CW85">
        <f t="shared" si="134"/>
        <v>1800.06</v>
      </c>
      <c r="CX85">
        <f t="shared" si="135"/>
        <v>1513.2353993219394</v>
      </c>
      <c r="CY85">
        <f t="shared" si="136"/>
        <v>0.84065831101293265</v>
      </c>
      <c r="CZ85">
        <f t="shared" si="137"/>
        <v>0.19131662202586541</v>
      </c>
      <c r="DA85">
        <v>6</v>
      </c>
      <c r="DB85">
        <v>0.5</v>
      </c>
      <c r="DC85" t="s">
        <v>420</v>
      </c>
      <c r="DD85">
        <v>2</v>
      </c>
      <c r="DE85">
        <v>1693510859.0999999</v>
      </c>
      <c r="DF85">
        <v>1132.56</v>
      </c>
      <c r="DG85">
        <v>1199.8</v>
      </c>
      <c r="DH85">
        <v>27.871700000000001</v>
      </c>
      <c r="DI85">
        <v>22.370699999999999</v>
      </c>
      <c r="DJ85">
        <v>1134.0999999999999</v>
      </c>
      <c r="DK85">
        <v>27.6998</v>
      </c>
      <c r="DL85">
        <v>500.11</v>
      </c>
      <c r="DM85">
        <v>99.535899999999998</v>
      </c>
      <c r="DN85">
        <v>9.9967700000000007E-2</v>
      </c>
      <c r="DO85">
        <v>30.048400000000001</v>
      </c>
      <c r="DP85">
        <v>30.006</v>
      </c>
      <c r="DQ85">
        <v>999.9</v>
      </c>
      <c r="DR85">
        <v>0</v>
      </c>
      <c r="DS85">
        <v>0</v>
      </c>
      <c r="DT85">
        <v>9975</v>
      </c>
      <c r="DU85">
        <v>0</v>
      </c>
      <c r="DV85">
        <v>1409.34</v>
      </c>
      <c r="DW85">
        <v>-67.242199999999997</v>
      </c>
      <c r="DX85">
        <v>1165.03</v>
      </c>
      <c r="DY85">
        <v>1227.26</v>
      </c>
      <c r="DZ85">
        <v>5.5010700000000003</v>
      </c>
      <c r="EA85">
        <v>1199.8</v>
      </c>
      <c r="EB85">
        <v>22.370699999999999</v>
      </c>
      <c r="EC85">
        <v>2.7742399999999998</v>
      </c>
      <c r="ED85">
        <v>2.2266900000000001</v>
      </c>
      <c r="EE85">
        <v>22.7316</v>
      </c>
      <c r="EF85">
        <v>19.1556</v>
      </c>
      <c r="EG85">
        <v>1800.06</v>
      </c>
      <c r="EH85">
        <v>0.977993</v>
      </c>
      <c r="EI85">
        <v>2.2006999999999999E-2</v>
      </c>
      <c r="EJ85">
        <v>0</v>
      </c>
      <c r="EK85">
        <v>820.7</v>
      </c>
      <c r="EL85">
        <v>5.0010300000000001</v>
      </c>
      <c r="EM85">
        <v>15967.8</v>
      </c>
      <c r="EN85">
        <v>14701.6</v>
      </c>
      <c r="EO85">
        <v>50.125</v>
      </c>
      <c r="EP85">
        <v>51.686999999999998</v>
      </c>
      <c r="EQ85">
        <v>51.686999999999998</v>
      </c>
      <c r="ER85">
        <v>50.561999999999998</v>
      </c>
      <c r="ES85">
        <v>51.5</v>
      </c>
      <c r="ET85">
        <v>1755.56</v>
      </c>
      <c r="EU85">
        <v>39.5</v>
      </c>
      <c r="EV85">
        <v>0</v>
      </c>
      <c r="EW85">
        <v>151.79999995231631</v>
      </c>
      <c r="EX85">
        <v>0</v>
      </c>
      <c r="EY85">
        <v>820.45342307692306</v>
      </c>
      <c r="EZ85">
        <v>-0.872170950511583</v>
      </c>
      <c r="FA85">
        <v>-1.27521364750421</v>
      </c>
      <c r="FB85">
        <v>15969.534615384609</v>
      </c>
      <c r="FC85">
        <v>15</v>
      </c>
      <c r="FD85">
        <v>1693510806.5999999</v>
      </c>
      <c r="FE85" t="s">
        <v>770</v>
      </c>
      <c r="FF85">
        <v>1693510806.5999999</v>
      </c>
      <c r="FG85">
        <v>1693510793.0999999</v>
      </c>
      <c r="FH85">
        <v>76</v>
      </c>
      <c r="FI85">
        <v>-0.20599999999999999</v>
      </c>
      <c r="FJ85">
        <v>4.0000000000000001E-3</v>
      </c>
      <c r="FK85">
        <v>-1.54</v>
      </c>
      <c r="FL85">
        <v>4.2000000000000003E-2</v>
      </c>
      <c r="FM85">
        <v>1200</v>
      </c>
      <c r="FN85">
        <v>22</v>
      </c>
      <c r="FO85">
        <v>0.08</v>
      </c>
      <c r="FP85">
        <v>0.06</v>
      </c>
      <c r="FQ85">
        <v>50.824188398055163</v>
      </c>
      <c r="FR85">
        <v>0.23107447735847689</v>
      </c>
      <c r="FS85">
        <v>0.18647580560831031</v>
      </c>
      <c r="FT85">
        <v>1</v>
      </c>
      <c r="FU85">
        <v>0.32904939923326798</v>
      </c>
      <c r="FV85">
        <v>-3.6186413917354138E-2</v>
      </c>
      <c r="FW85">
        <v>2.8110344003447552E-3</v>
      </c>
      <c r="FX85">
        <v>1</v>
      </c>
      <c r="FY85">
        <v>2</v>
      </c>
      <c r="FZ85">
        <v>2</v>
      </c>
      <c r="GA85" t="s">
        <v>422</v>
      </c>
      <c r="GB85">
        <v>2.8970699999999998</v>
      </c>
      <c r="GC85">
        <v>2.8177599999999998</v>
      </c>
      <c r="GD85">
        <v>0.18568799999999999</v>
      </c>
      <c r="GE85">
        <v>0.19220499999999999</v>
      </c>
      <c r="GF85">
        <v>0.13211400000000001</v>
      </c>
      <c r="GG85">
        <v>0.113179</v>
      </c>
      <c r="GH85">
        <v>22528.799999999999</v>
      </c>
      <c r="GI85">
        <v>22389</v>
      </c>
      <c r="GJ85">
        <v>24552.400000000001</v>
      </c>
      <c r="GK85">
        <v>24760.9</v>
      </c>
      <c r="GL85">
        <v>28307.4</v>
      </c>
      <c r="GM85">
        <v>28691.4</v>
      </c>
      <c r="GN85">
        <v>33196.699999999997</v>
      </c>
      <c r="GO85">
        <v>33040</v>
      </c>
      <c r="GP85">
        <v>1.9389000000000001</v>
      </c>
      <c r="GQ85">
        <v>1.8489</v>
      </c>
      <c r="GR85">
        <v>5.0917299999999999E-2</v>
      </c>
      <c r="GS85">
        <v>0</v>
      </c>
      <c r="GT85">
        <v>29.1769</v>
      </c>
      <c r="GU85">
        <v>999.9</v>
      </c>
      <c r="GV85">
        <v>57.1</v>
      </c>
      <c r="GW85">
        <v>33.200000000000003</v>
      </c>
      <c r="GX85">
        <v>29.309200000000001</v>
      </c>
      <c r="GY85">
        <v>62.006300000000003</v>
      </c>
      <c r="GZ85">
        <v>24.6675</v>
      </c>
      <c r="HA85">
        <v>1</v>
      </c>
      <c r="HB85">
        <v>0.60502</v>
      </c>
      <c r="HC85">
        <v>3.0910700000000002</v>
      </c>
      <c r="HD85">
        <v>20.185300000000002</v>
      </c>
      <c r="HE85">
        <v>5.2352600000000002</v>
      </c>
      <c r="HF85">
        <v>11.9201</v>
      </c>
      <c r="HG85">
        <v>4.9602000000000004</v>
      </c>
      <c r="HH85">
        <v>3.2890000000000001</v>
      </c>
      <c r="HI85">
        <v>9999</v>
      </c>
      <c r="HJ85">
        <v>9999</v>
      </c>
      <c r="HK85">
        <v>9999</v>
      </c>
      <c r="HL85">
        <v>895.7</v>
      </c>
      <c r="HM85">
        <v>1.8805499999999999</v>
      </c>
      <c r="HN85">
        <v>1.87761</v>
      </c>
      <c r="HO85">
        <v>1.8855500000000001</v>
      </c>
      <c r="HP85">
        <v>1.8833899999999999</v>
      </c>
      <c r="HQ85">
        <v>1.8808100000000001</v>
      </c>
      <c r="HR85">
        <v>1.87998</v>
      </c>
      <c r="HS85">
        <v>1.8811</v>
      </c>
      <c r="HT85">
        <v>1.88049</v>
      </c>
      <c r="HU85">
        <v>5</v>
      </c>
      <c r="HV85">
        <v>0</v>
      </c>
      <c r="HW85">
        <v>0</v>
      </c>
      <c r="HX85">
        <v>0</v>
      </c>
      <c r="HY85" t="s">
        <v>423</v>
      </c>
      <c r="HZ85" t="s">
        <v>424</v>
      </c>
      <c r="IA85" t="s">
        <v>425</v>
      </c>
      <c r="IB85" t="s">
        <v>425</v>
      </c>
      <c r="IC85" t="s">
        <v>425</v>
      </c>
      <c r="ID85" t="s">
        <v>425</v>
      </c>
      <c r="IE85">
        <v>0</v>
      </c>
      <c r="IF85">
        <v>100</v>
      </c>
      <c r="IG85">
        <v>100</v>
      </c>
      <c r="IH85">
        <v>-1.54</v>
      </c>
      <c r="II85">
        <v>0.1719</v>
      </c>
      <c r="IJ85">
        <v>-2.2361334345416282</v>
      </c>
      <c r="IK85">
        <v>2.2153513873161218E-3</v>
      </c>
      <c r="IL85">
        <v>-2.2967369670569612E-6</v>
      </c>
      <c r="IM85">
        <v>7.7859689150384122E-10</v>
      </c>
      <c r="IN85">
        <v>-0.1991551221448937</v>
      </c>
      <c r="IO85">
        <v>-4.1434251034592161E-3</v>
      </c>
      <c r="IP85">
        <v>8.3987709687394815E-4</v>
      </c>
      <c r="IQ85">
        <v>-7.4586254598011197E-6</v>
      </c>
      <c r="IR85">
        <v>2</v>
      </c>
      <c r="IS85">
        <v>1930</v>
      </c>
      <c r="IT85">
        <v>2</v>
      </c>
      <c r="IU85">
        <v>41</v>
      </c>
      <c r="IV85">
        <v>0.9</v>
      </c>
      <c r="IW85">
        <v>1.1000000000000001</v>
      </c>
      <c r="IX85">
        <v>2.4096700000000002</v>
      </c>
      <c r="IY85">
        <v>2.4865699999999999</v>
      </c>
      <c r="IZ85">
        <v>1.24512</v>
      </c>
      <c r="JA85">
        <v>2.2644000000000002</v>
      </c>
      <c r="JB85">
        <v>1.4501999999999999</v>
      </c>
      <c r="JC85">
        <v>2.3547400000000001</v>
      </c>
      <c r="JD85">
        <v>37.722799999999999</v>
      </c>
      <c r="JE85">
        <v>15.970800000000001</v>
      </c>
      <c r="JF85">
        <v>18</v>
      </c>
      <c r="JG85">
        <v>495.762</v>
      </c>
      <c r="JH85">
        <v>484.798</v>
      </c>
      <c r="JI85">
        <v>24.9375</v>
      </c>
      <c r="JJ85">
        <v>34.707299999999996</v>
      </c>
      <c r="JK85">
        <v>30.0001</v>
      </c>
      <c r="JL85">
        <v>34.568199999999997</v>
      </c>
      <c r="JM85">
        <v>34.519199999999998</v>
      </c>
      <c r="JN85">
        <v>48.323599999999999</v>
      </c>
      <c r="JO85">
        <v>29.513300000000001</v>
      </c>
      <c r="JP85">
        <v>78.9041</v>
      </c>
      <c r="JQ85">
        <v>24.9392</v>
      </c>
      <c r="JR85">
        <v>1200</v>
      </c>
      <c r="JS85">
        <v>22.430299999999999</v>
      </c>
      <c r="JT85">
        <v>99.087400000000002</v>
      </c>
      <c r="JU85">
        <v>98.649500000000003</v>
      </c>
    </row>
    <row r="86" spans="1:281" x14ac:dyDescent="0.25">
      <c r="A86">
        <v>70</v>
      </c>
      <c r="B86">
        <v>1693510968.0999999</v>
      </c>
      <c r="C86">
        <v>15318.5</v>
      </c>
      <c r="D86" t="s">
        <v>771</v>
      </c>
      <c r="E86" t="s">
        <v>772</v>
      </c>
      <c r="F86" t="s">
        <v>413</v>
      </c>
      <c r="G86" t="s">
        <v>414</v>
      </c>
      <c r="H86" t="s">
        <v>707</v>
      </c>
      <c r="I86" t="s">
        <v>416</v>
      </c>
      <c r="J86">
        <v>1693510968.0999999</v>
      </c>
      <c r="K86">
        <f t="shared" si="92"/>
        <v>4.2919837557407895E-3</v>
      </c>
      <c r="L86">
        <f t="shared" si="93"/>
        <v>4.2919837557407892</v>
      </c>
      <c r="M86">
        <f t="shared" si="94"/>
        <v>50.3024722245408</v>
      </c>
      <c r="N86">
        <f t="shared" si="95"/>
        <v>1432.17</v>
      </c>
      <c r="O86">
        <f t="shared" si="96"/>
        <v>1111.2703057833753</v>
      </c>
      <c r="P86">
        <f t="shared" si="97"/>
        <v>110.72239850178769</v>
      </c>
      <c r="Q86">
        <f t="shared" si="98"/>
        <v>142.69552298576102</v>
      </c>
      <c r="R86">
        <f t="shared" si="99"/>
        <v>0.29116247859357969</v>
      </c>
      <c r="S86">
        <f t="shared" si="100"/>
        <v>2.9196467809318216</v>
      </c>
      <c r="T86">
        <f t="shared" si="101"/>
        <v>0.27593950985107807</v>
      </c>
      <c r="U86">
        <f t="shared" si="102"/>
        <v>0.17376356371645102</v>
      </c>
      <c r="V86">
        <f t="shared" si="103"/>
        <v>344.37759864386425</v>
      </c>
      <c r="W86">
        <f t="shared" si="104"/>
        <v>30.97649848882002</v>
      </c>
      <c r="X86">
        <f t="shared" si="105"/>
        <v>30.046199999999999</v>
      </c>
      <c r="Y86">
        <f t="shared" si="106"/>
        <v>4.2717687679952965</v>
      </c>
      <c r="Z86">
        <f t="shared" si="107"/>
        <v>64.949661995829871</v>
      </c>
      <c r="AA86">
        <f t="shared" si="108"/>
        <v>2.7768421039826703</v>
      </c>
      <c r="AB86">
        <f t="shared" si="109"/>
        <v>4.2753757581693943</v>
      </c>
      <c r="AC86">
        <f t="shared" si="110"/>
        <v>1.4949266640126262</v>
      </c>
      <c r="AD86">
        <f t="shared" si="111"/>
        <v>-189.27648362816882</v>
      </c>
      <c r="AE86">
        <f t="shared" si="112"/>
        <v>2.3138387596280663</v>
      </c>
      <c r="AF86">
        <f t="shared" si="113"/>
        <v>0.17630803836132744</v>
      </c>
      <c r="AG86">
        <f t="shared" si="114"/>
        <v>157.59126181368484</v>
      </c>
      <c r="AH86">
        <v>0</v>
      </c>
      <c r="AI86">
        <v>0</v>
      </c>
      <c r="AJ86">
        <f t="shared" si="115"/>
        <v>1</v>
      </c>
      <c r="AK86">
        <f t="shared" si="116"/>
        <v>0</v>
      </c>
      <c r="AL86">
        <f t="shared" si="117"/>
        <v>52050.316790776247</v>
      </c>
      <c r="AM86" t="s">
        <v>417</v>
      </c>
      <c r="AN86">
        <v>10366.9</v>
      </c>
      <c r="AO86">
        <v>993.59653846153856</v>
      </c>
      <c r="AP86">
        <v>3431.87</v>
      </c>
      <c r="AQ86">
        <f t="shared" si="118"/>
        <v>0.71047955241266758</v>
      </c>
      <c r="AR86">
        <v>-3.9894345373445681</v>
      </c>
      <c r="AS86" t="s">
        <v>773</v>
      </c>
      <c r="AT86">
        <v>10436.799999999999</v>
      </c>
      <c r="AU86">
        <v>819.23951999999986</v>
      </c>
      <c r="AV86">
        <v>1240.9993259670821</v>
      </c>
      <c r="AW86">
        <f t="shared" si="119"/>
        <v>0.33985498391662261</v>
      </c>
      <c r="AX86">
        <v>0.5</v>
      </c>
      <c r="AY86">
        <f t="shared" si="120"/>
        <v>1513.2185993219321</v>
      </c>
      <c r="AZ86">
        <f t="shared" si="121"/>
        <v>50.3024722245408</v>
      </c>
      <c r="BA86">
        <f t="shared" si="122"/>
        <v>257.13744136744469</v>
      </c>
      <c r="BB86">
        <f t="shared" si="123"/>
        <v>3.5878429452435613E-2</v>
      </c>
      <c r="BC86">
        <f t="shared" si="124"/>
        <v>1.7654084318906644</v>
      </c>
      <c r="BD86">
        <f t="shared" si="125"/>
        <v>657.52245290307189</v>
      </c>
      <c r="BE86" t="s">
        <v>774</v>
      </c>
      <c r="BF86">
        <v>629.57000000000005</v>
      </c>
      <c r="BG86">
        <f t="shared" si="126"/>
        <v>629.57000000000005</v>
      </c>
      <c r="BH86">
        <f t="shared" si="127"/>
        <v>0.4926911023828392</v>
      </c>
      <c r="BI86">
        <f t="shared" si="128"/>
        <v>0.68979322393474596</v>
      </c>
      <c r="BJ86">
        <f t="shared" si="129"/>
        <v>0.78181160976088149</v>
      </c>
      <c r="BK86">
        <f t="shared" si="130"/>
        <v>1.7047496118354442</v>
      </c>
      <c r="BL86">
        <f t="shared" si="131"/>
        <v>0.89853361757485506</v>
      </c>
      <c r="BM86">
        <f t="shared" si="132"/>
        <v>0.53009298183344244</v>
      </c>
      <c r="BN86">
        <f t="shared" si="133"/>
        <v>0.46990701816655756</v>
      </c>
      <c r="BO86">
        <v>7882</v>
      </c>
      <c r="BP86">
        <v>290.00000000000011</v>
      </c>
      <c r="BQ86">
        <v>1125.1400000000001</v>
      </c>
      <c r="BR86">
        <v>135</v>
      </c>
      <c r="BS86">
        <v>10436.799999999999</v>
      </c>
      <c r="BT86">
        <v>1120.73</v>
      </c>
      <c r="BU86">
        <v>4.41</v>
      </c>
      <c r="BV86">
        <v>300.00000000000011</v>
      </c>
      <c r="BW86">
        <v>38.200000000000003</v>
      </c>
      <c r="BX86">
        <v>1240.9993259670821</v>
      </c>
      <c r="BY86">
        <v>1.5217491148882429</v>
      </c>
      <c r="BZ86">
        <v>-125.5189959782698</v>
      </c>
      <c r="CA86">
        <v>1.2991026020402821</v>
      </c>
      <c r="CB86">
        <v>0.99700962691583594</v>
      </c>
      <c r="CC86">
        <v>-1.132604204671857E-2</v>
      </c>
      <c r="CD86">
        <v>289.99999999999989</v>
      </c>
      <c r="CE86">
        <v>1108.99</v>
      </c>
      <c r="CF86">
        <v>685</v>
      </c>
      <c r="CG86">
        <v>10404</v>
      </c>
      <c r="CH86">
        <v>1120.3499999999999</v>
      </c>
      <c r="CI86">
        <v>-11.36</v>
      </c>
      <c r="CW86">
        <f t="shared" si="134"/>
        <v>1800.04</v>
      </c>
      <c r="CX86">
        <f t="shared" si="135"/>
        <v>1513.2185993219321</v>
      </c>
      <c r="CY86">
        <f t="shared" si="136"/>
        <v>0.84065831832733273</v>
      </c>
      <c r="CZ86">
        <f t="shared" si="137"/>
        <v>0.19131663665466558</v>
      </c>
      <c r="DA86">
        <v>6</v>
      </c>
      <c r="DB86">
        <v>0.5</v>
      </c>
      <c r="DC86" t="s">
        <v>420</v>
      </c>
      <c r="DD86">
        <v>2</v>
      </c>
      <c r="DE86">
        <v>1693510968.0999999</v>
      </c>
      <c r="DF86">
        <v>1432.17</v>
      </c>
      <c r="DG86">
        <v>1499.91</v>
      </c>
      <c r="DH86">
        <v>27.869900000000001</v>
      </c>
      <c r="DI86">
        <v>22.863</v>
      </c>
      <c r="DJ86">
        <v>1433.79</v>
      </c>
      <c r="DK86">
        <v>27.695699999999999</v>
      </c>
      <c r="DL86">
        <v>499.99400000000003</v>
      </c>
      <c r="DM86">
        <v>99.536100000000005</v>
      </c>
      <c r="DN86">
        <v>9.9783300000000005E-2</v>
      </c>
      <c r="DO86">
        <v>30.0609</v>
      </c>
      <c r="DP86">
        <v>30.046199999999999</v>
      </c>
      <c r="DQ86">
        <v>999.9</v>
      </c>
      <c r="DR86">
        <v>0</v>
      </c>
      <c r="DS86">
        <v>0</v>
      </c>
      <c r="DT86">
        <v>9990</v>
      </c>
      <c r="DU86">
        <v>0</v>
      </c>
      <c r="DV86">
        <v>1398.11</v>
      </c>
      <c r="DW86">
        <v>-67.731399999999994</v>
      </c>
      <c r="DX86">
        <v>1473.23</v>
      </c>
      <c r="DY86">
        <v>1535</v>
      </c>
      <c r="DZ86">
        <v>5.0068999999999999</v>
      </c>
      <c r="EA86">
        <v>1499.91</v>
      </c>
      <c r="EB86">
        <v>22.863</v>
      </c>
      <c r="EC86">
        <v>2.77406</v>
      </c>
      <c r="ED86">
        <v>2.2757000000000001</v>
      </c>
      <c r="EE86">
        <v>22.730599999999999</v>
      </c>
      <c r="EF86">
        <v>19.505400000000002</v>
      </c>
      <c r="EG86">
        <v>1800.04</v>
      </c>
      <c r="EH86">
        <v>0.977993</v>
      </c>
      <c r="EI86">
        <v>2.2006999999999999E-2</v>
      </c>
      <c r="EJ86">
        <v>0</v>
      </c>
      <c r="EK86">
        <v>819.56299999999999</v>
      </c>
      <c r="EL86">
        <v>5.0010300000000001</v>
      </c>
      <c r="EM86">
        <v>15955.3</v>
      </c>
      <c r="EN86">
        <v>14701.4</v>
      </c>
      <c r="EO86">
        <v>50.125</v>
      </c>
      <c r="EP86">
        <v>51.686999999999998</v>
      </c>
      <c r="EQ86">
        <v>51.75</v>
      </c>
      <c r="ER86">
        <v>50.561999999999998</v>
      </c>
      <c r="ES86">
        <v>51.5</v>
      </c>
      <c r="ET86">
        <v>1755.54</v>
      </c>
      <c r="EU86">
        <v>39.5</v>
      </c>
      <c r="EV86">
        <v>0</v>
      </c>
      <c r="EW86">
        <v>106.7999999523163</v>
      </c>
      <c r="EX86">
        <v>0</v>
      </c>
      <c r="EY86">
        <v>819.23951999999986</v>
      </c>
      <c r="EZ86">
        <v>-0.180769241414762</v>
      </c>
      <c r="FA86">
        <v>55.83076926690714</v>
      </c>
      <c r="FB86">
        <v>15952.928</v>
      </c>
      <c r="FC86">
        <v>15</v>
      </c>
      <c r="FD86">
        <v>1693510931.0999999</v>
      </c>
      <c r="FE86" t="s">
        <v>775</v>
      </c>
      <c r="FF86">
        <v>1693510931.0999999</v>
      </c>
      <c r="FG86">
        <v>1693510926.5999999</v>
      </c>
      <c r="FH86">
        <v>77</v>
      </c>
      <c r="FI86">
        <v>-0.128</v>
      </c>
      <c r="FJ86">
        <v>2E-3</v>
      </c>
      <c r="FK86">
        <v>-1.5820000000000001</v>
      </c>
      <c r="FL86">
        <v>4.5999999999999999E-2</v>
      </c>
      <c r="FM86">
        <v>1500</v>
      </c>
      <c r="FN86">
        <v>22</v>
      </c>
      <c r="FO86">
        <v>0.14000000000000001</v>
      </c>
      <c r="FP86">
        <v>0.04</v>
      </c>
      <c r="FQ86">
        <v>50.422375161119732</v>
      </c>
      <c r="FR86">
        <v>-0.35889650341899609</v>
      </c>
      <c r="FS86">
        <v>0.1969542332612115</v>
      </c>
      <c r="FT86">
        <v>1</v>
      </c>
      <c r="FU86">
        <v>0.29552180084502239</v>
      </c>
      <c r="FV86">
        <v>-2.0470827959886029E-2</v>
      </c>
      <c r="FW86">
        <v>1.9597015609001292E-3</v>
      </c>
      <c r="FX86">
        <v>1</v>
      </c>
      <c r="FY86">
        <v>2</v>
      </c>
      <c r="FZ86">
        <v>2</v>
      </c>
      <c r="GA86" t="s">
        <v>422</v>
      </c>
      <c r="GB86">
        <v>2.8967700000000001</v>
      </c>
      <c r="GC86">
        <v>2.8176999999999999</v>
      </c>
      <c r="GD86">
        <v>0.214305</v>
      </c>
      <c r="GE86">
        <v>0.22001699999999999</v>
      </c>
      <c r="GF86">
        <v>0.132104</v>
      </c>
      <c r="GG86">
        <v>0.114897</v>
      </c>
      <c r="GH86">
        <v>21734.799999999999</v>
      </c>
      <c r="GI86">
        <v>21615.7</v>
      </c>
      <c r="GJ86">
        <v>24552</v>
      </c>
      <c r="GK86">
        <v>24760.1</v>
      </c>
      <c r="GL86">
        <v>28307.3</v>
      </c>
      <c r="GM86">
        <v>28634.799999999999</v>
      </c>
      <c r="GN86">
        <v>33196.300000000003</v>
      </c>
      <c r="GO86">
        <v>33039</v>
      </c>
      <c r="GP86">
        <v>1.9390000000000001</v>
      </c>
      <c r="GQ86">
        <v>1.8505</v>
      </c>
      <c r="GR86">
        <v>5.5536599999999998E-2</v>
      </c>
      <c r="GS86">
        <v>0</v>
      </c>
      <c r="GT86">
        <v>29.1418</v>
      </c>
      <c r="GU86">
        <v>999.9</v>
      </c>
      <c r="GV86">
        <v>56.7</v>
      </c>
      <c r="GW86">
        <v>33.299999999999997</v>
      </c>
      <c r="GX86">
        <v>29.267499999999998</v>
      </c>
      <c r="GY86">
        <v>61.996299999999998</v>
      </c>
      <c r="GZ86">
        <v>24.663499999999999</v>
      </c>
      <c r="HA86">
        <v>1</v>
      </c>
      <c r="HB86">
        <v>0.60541699999999998</v>
      </c>
      <c r="HC86">
        <v>3.6838000000000002</v>
      </c>
      <c r="HD86">
        <v>20.173500000000001</v>
      </c>
      <c r="HE86">
        <v>5.2340600000000004</v>
      </c>
      <c r="HF86">
        <v>11.9201</v>
      </c>
      <c r="HG86">
        <v>4.96</v>
      </c>
      <c r="HH86">
        <v>3.2888999999999999</v>
      </c>
      <c r="HI86">
        <v>9999</v>
      </c>
      <c r="HJ86">
        <v>9999</v>
      </c>
      <c r="HK86">
        <v>9999</v>
      </c>
      <c r="HL86">
        <v>895.7</v>
      </c>
      <c r="HM86">
        <v>1.8805400000000001</v>
      </c>
      <c r="HN86">
        <v>1.8775900000000001</v>
      </c>
      <c r="HO86">
        <v>1.88557</v>
      </c>
      <c r="HP86">
        <v>1.8833899999999999</v>
      </c>
      <c r="HQ86">
        <v>1.88087</v>
      </c>
      <c r="HR86">
        <v>1.87998</v>
      </c>
      <c r="HS86">
        <v>1.88106</v>
      </c>
      <c r="HT86">
        <v>1.88049</v>
      </c>
      <c r="HU86">
        <v>5</v>
      </c>
      <c r="HV86">
        <v>0</v>
      </c>
      <c r="HW86">
        <v>0</v>
      </c>
      <c r="HX86">
        <v>0</v>
      </c>
      <c r="HY86" t="s">
        <v>423</v>
      </c>
      <c r="HZ86" t="s">
        <v>424</v>
      </c>
      <c r="IA86" t="s">
        <v>425</v>
      </c>
      <c r="IB86" t="s">
        <v>425</v>
      </c>
      <c r="IC86" t="s">
        <v>425</v>
      </c>
      <c r="ID86" t="s">
        <v>425</v>
      </c>
      <c r="IE86">
        <v>0</v>
      </c>
      <c r="IF86">
        <v>100</v>
      </c>
      <c r="IG86">
        <v>100</v>
      </c>
      <c r="IH86">
        <v>-1.62</v>
      </c>
      <c r="II86">
        <v>0.17419999999999999</v>
      </c>
      <c r="IJ86">
        <v>-2.3664860619074002</v>
      </c>
      <c r="IK86">
        <v>2.2153513873161218E-3</v>
      </c>
      <c r="IL86">
        <v>-2.2967369670569612E-6</v>
      </c>
      <c r="IM86">
        <v>7.7859689150384122E-10</v>
      </c>
      <c r="IN86">
        <v>-0.19679376031753329</v>
      </c>
      <c r="IO86">
        <v>-4.1434251034592161E-3</v>
      </c>
      <c r="IP86">
        <v>8.3987709687394815E-4</v>
      </c>
      <c r="IQ86">
        <v>-7.4586254598011197E-6</v>
      </c>
      <c r="IR86">
        <v>2</v>
      </c>
      <c r="IS86">
        <v>1930</v>
      </c>
      <c r="IT86">
        <v>2</v>
      </c>
      <c r="IU86">
        <v>41</v>
      </c>
      <c r="IV86">
        <v>0.6</v>
      </c>
      <c r="IW86">
        <v>0.7</v>
      </c>
      <c r="IX86">
        <v>2.8808600000000002</v>
      </c>
      <c r="IY86">
        <v>2.4731399999999999</v>
      </c>
      <c r="IZ86">
        <v>1.24512</v>
      </c>
      <c r="JA86">
        <v>2.2644000000000002</v>
      </c>
      <c r="JB86">
        <v>1.4501999999999999</v>
      </c>
      <c r="JC86">
        <v>2.3742700000000001</v>
      </c>
      <c r="JD86">
        <v>37.722799999999999</v>
      </c>
      <c r="JE86">
        <v>15.9533</v>
      </c>
      <c r="JF86">
        <v>18</v>
      </c>
      <c r="JG86">
        <v>495.75900000000001</v>
      </c>
      <c r="JH86">
        <v>485.90300000000002</v>
      </c>
      <c r="JI86">
        <v>24.638300000000001</v>
      </c>
      <c r="JJ86">
        <v>34.688400000000001</v>
      </c>
      <c r="JK86">
        <v>30.000299999999999</v>
      </c>
      <c r="JL86">
        <v>34.559699999999999</v>
      </c>
      <c r="JM86">
        <v>34.512900000000002</v>
      </c>
      <c r="JN86">
        <v>57.778500000000001</v>
      </c>
      <c r="JO86">
        <v>27.262799999999999</v>
      </c>
      <c r="JP86">
        <v>77.847700000000003</v>
      </c>
      <c r="JQ86">
        <v>24.615500000000001</v>
      </c>
      <c r="JR86">
        <v>1500</v>
      </c>
      <c r="JS86">
        <v>22.8687</v>
      </c>
      <c r="JT86">
        <v>99.085899999999995</v>
      </c>
      <c r="JU86">
        <v>98.646500000000003</v>
      </c>
    </row>
    <row r="87" spans="1:281" x14ac:dyDescent="0.25">
      <c r="A87">
        <v>71</v>
      </c>
      <c r="B87">
        <v>1693512196.5</v>
      </c>
      <c r="C87">
        <v>16546.900000095371</v>
      </c>
      <c r="D87" t="s">
        <v>776</v>
      </c>
      <c r="E87" t="s">
        <v>777</v>
      </c>
      <c r="F87" t="s">
        <v>413</v>
      </c>
      <c r="G87" t="s">
        <v>778</v>
      </c>
      <c r="H87" t="s">
        <v>779</v>
      </c>
      <c r="I87" t="s">
        <v>31</v>
      </c>
      <c r="J87">
        <v>1693512196.5</v>
      </c>
      <c r="K87">
        <f t="shared" si="92"/>
        <v>3.8188583081955533E-3</v>
      </c>
      <c r="L87">
        <f t="shared" si="93"/>
        <v>3.8188583081955532</v>
      </c>
      <c r="M87">
        <f t="shared" si="94"/>
        <v>37.908652467054125</v>
      </c>
      <c r="N87">
        <f t="shared" si="95"/>
        <v>352.88600000000002</v>
      </c>
      <c r="O87">
        <f t="shared" si="96"/>
        <v>121.42499157735075</v>
      </c>
      <c r="P87">
        <f t="shared" si="97"/>
        <v>12.094832308048987</v>
      </c>
      <c r="Q87">
        <f t="shared" si="98"/>
        <v>35.1500703307794</v>
      </c>
      <c r="R87">
        <f t="shared" si="99"/>
        <v>0.28048487607441158</v>
      </c>
      <c r="S87">
        <f t="shared" si="100"/>
        <v>2.929653950741645</v>
      </c>
      <c r="T87">
        <f t="shared" si="101"/>
        <v>0.26637454615351802</v>
      </c>
      <c r="U87">
        <f t="shared" si="102"/>
        <v>0.16769267518097802</v>
      </c>
      <c r="V87">
        <f t="shared" si="103"/>
        <v>344.35609864412476</v>
      </c>
      <c r="W87">
        <f t="shared" si="104"/>
        <v>31.70989925617749</v>
      </c>
      <c r="X87">
        <f t="shared" si="105"/>
        <v>30.000599999999999</v>
      </c>
      <c r="Y87">
        <f t="shared" si="106"/>
        <v>4.2605966046728723</v>
      </c>
      <c r="Z87">
        <f t="shared" si="107"/>
        <v>65.119717040696685</v>
      </c>
      <c r="AA87">
        <f t="shared" si="108"/>
        <v>2.8837946991056396</v>
      </c>
      <c r="AB87">
        <f t="shared" si="109"/>
        <v>4.4284509057424293</v>
      </c>
      <c r="AC87">
        <f t="shared" si="110"/>
        <v>1.3768019055672327</v>
      </c>
      <c r="AD87">
        <f t="shared" si="111"/>
        <v>-168.4116513914239</v>
      </c>
      <c r="AE87">
        <f t="shared" si="112"/>
        <v>106.51709895758383</v>
      </c>
      <c r="AF87">
        <f t="shared" si="113"/>
        <v>8.111372526093799</v>
      </c>
      <c r="AG87">
        <f t="shared" si="114"/>
        <v>290.57291873637848</v>
      </c>
      <c r="AH87">
        <v>0</v>
      </c>
      <c r="AI87">
        <v>0</v>
      </c>
      <c r="AJ87">
        <f t="shared" si="115"/>
        <v>1</v>
      </c>
      <c r="AK87">
        <f t="shared" si="116"/>
        <v>0</v>
      </c>
      <c r="AL87">
        <f t="shared" si="117"/>
        <v>52229.564148231817</v>
      </c>
      <c r="AM87" t="s">
        <v>417</v>
      </c>
      <c r="AN87">
        <v>10366.9</v>
      </c>
      <c r="AO87">
        <v>993.59653846153856</v>
      </c>
      <c r="AP87">
        <v>3431.87</v>
      </c>
      <c r="AQ87">
        <f t="shared" si="118"/>
        <v>0.71047955241266758</v>
      </c>
      <c r="AR87">
        <v>-3.9894345373445681</v>
      </c>
      <c r="AS87" t="s">
        <v>780</v>
      </c>
      <c r="AT87">
        <v>10437.799999999999</v>
      </c>
      <c r="AU87">
        <v>749.40351999999996</v>
      </c>
      <c r="AV87">
        <v>1028.332731139318</v>
      </c>
      <c r="AW87">
        <f t="shared" si="119"/>
        <v>0.27124412429261557</v>
      </c>
      <c r="AX87">
        <v>0.5</v>
      </c>
      <c r="AY87">
        <f t="shared" si="120"/>
        <v>1513.1258993220622</v>
      </c>
      <c r="AZ87">
        <f t="shared" si="121"/>
        <v>37.908652467054125</v>
      </c>
      <c r="BA87">
        <f t="shared" si="122"/>
        <v>205.21325475304457</v>
      </c>
      <c r="BB87">
        <f t="shared" si="123"/>
        <v>2.7689756036276044E-2</v>
      </c>
      <c r="BC87">
        <f t="shared" si="124"/>
        <v>2.3373147582278526</v>
      </c>
      <c r="BD87">
        <f t="shared" si="125"/>
        <v>592.59038144177885</v>
      </c>
      <c r="BE87" t="s">
        <v>781</v>
      </c>
      <c r="BF87">
        <v>605.89</v>
      </c>
      <c r="BG87">
        <f t="shared" si="126"/>
        <v>605.89</v>
      </c>
      <c r="BH87">
        <f t="shared" si="127"/>
        <v>0.41080354475470415</v>
      </c>
      <c r="BI87">
        <f t="shared" si="128"/>
        <v>0.66027698094615705</v>
      </c>
      <c r="BJ87">
        <f t="shared" si="129"/>
        <v>0.85051460691890324</v>
      </c>
      <c r="BK87">
        <f t="shared" si="130"/>
        <v>8.0299304453636307</v>
      </c>
      <c r="BL87">
        <f t="shared" si="131"/>
        <v>0.98575377486335669</v>
      </c>
      <c r="BM87">
        <f t="shared" si="132"/>
        <v>0.53383151974715448</v>
      </c>
      <c r="BN87">
        <f t="shared" si="133"/>
        <v>0.46616848025284552</v>
      </c>
      <c r="BO87">
        <v>7884</v>
      </c>
      <c r="BP87">
        <v>290.00000000000011</v>
      </c>
      <c r="BQ87">
        <v>950.28</v>
      </c>
      <c r="BR87">
        <v>165</v>
      </c>
      <c r="BS87">
        <v>10437.799999999999</v>
      </c>
      <c r="BT87">
        <v>948.04</v>
      </c>
      <c r="BU87">
        <v>2.2400000000000002</v>
      </c>
      <c r="BV87">
        <v>300.00000000000011</v>
      </c>
      <c r="BW87">
        <v>38.200000000000003</v>
      </c>
      <c r="BX87">
        <v>1028.332731139318</v>
      </c>
      <c r="BY87">
        <v>1.1328452884094089</v>
      </c>
      <c r="BZ87">
        <v>-83.804668746521031</v>
      </c>
      <c r="CA87">
        <v>0.96779580322758607</v>
      </c>
      <c r="CB87">
        <v>0.99627976493082904</v>
      </c>
      <c r="CC87">
        <v>-1.1332666295884331E-2</v>
      </c>
      <c r="CD87">
        <v>289.99999999999989</v>
      </c>
      <c r="CE87">
        <v>940.14</v>
      </c>
      <c r="CF87">
        <v>675</v>
      </c>
      <c r="CG87">
        <v>10412.5</v>
      </c>
      <c r="CH87">
        <v>947.85</v>
      </c>
      <c r="CI87">
        <v>-7.71</v>
      </c>
      <c r="CW87">
        <f t="shared" si="134"/>
        <v>1799.93</v>
      </c>
      <c r="CX87">
        <f t="shared" si="135"/>
        <v>1513.1258993220622</v>
      </c>
      <c r="CY87">
        <f t="shared" si="136"/>
        <v>0.84065819188638569</v>
      </c>
      <c r="CZ87">
        <f t="shared" si="137"/>
        <v>0.19131638377277158</v>
      </c>
      <c r="DA87">
        <v>6</v>
      </c>
      <c r="DB87">
        <v>0.5</v>
      </c>
      <c r="DC87" t="s">
        <v>420</v>
      </c>
      <c r="DD87">
        <v>2</v>
      </c>
      <c r="DE87">
        <v>1693512196.5</v>
      </c>
      <c r="DF87">
        <v>352.88600000000002</v>
      </c>
      <c r="DG87">
        <v>399.99400000000003</v>
      </c>
      <c r="DH87">
        <v>28.951599999999999</v>
      </c>
      <c r="DI87">
        <v>24.5016</v>
      </c>
      <c r="DJ87">
        <v>353.71499999999997</v>
      </c>
      <c r="DK87">
        <v>28.723700000000001</v>
      </c>
      <c r="DL87">
        <v>499.995</v>
      </c>
      <c r="DM87">
        <v>99.508399999999995</v>
      </c>
      <c r="DN87">
        <v>9.9037899999999998E-2</v>
      </c>
      <c r="DO87">
        <v>30.675000000000001</v>
      </c>
      <c r="DP87">
        <v>30.000599999999999</v>
      </c>
      <c r="DQ87">
        <v>999.9</v>
      </c>
      <c r="DR87">
        <v>0</v>
      </c>
      <c r="DS87">
        <v>0</v>
      </c>
      <c r="DT87">
        <v>10050</v>
      </c>
      <c r="DU87">
        <v>0</v>
      </c>
      <c r="DV87">
        <v>1844.52</v>
      </c>
      <c r="DW87">
        <v>-47.108699999999999</v>
      </c>
      <c r="DX87">
        <v>363.40699999999998</v>
      </c>
      <c r="DY87">
        <v>410.041</v>
      </c>
      <c r="DZ87">
        <v>4.4500099999999998</v>
      </c>
      <c r="EA87">
        <v>399.99400000000003</v>
      </c>
      <c r="EB87">
        <v>24.5016</v>
      </c>
      <c r="EC87">
        <v>2.8809300000000002</v>
      </c>
      <c r="ED87">
        <v>2.43811</v>
      </c>
      <c r="EE87">
        <v>23.3553</v>
      </c>
      <c r="EF87">
        <v>20.619199999999999</v>
      </c>
      <c r="EG87">
        <v>1799.93</v>
      </c>
      <c r="EH87">
        <v>0.97799700000000001</v>
      </c>
      <c r="EI87">
        <v>2.2002600000000001E-2</v>
      </c>
      <c r="EJ87">
        <v>0</v>
      </c>
      <c r="EK87">
        <v>749.56200000000001</v>
      </c>
      <c r="EL87">
        <v>5.0010300000000001</v>
      </c>
      <c r="EM87">
        <v>14169.7</v>
      </c>
      <c r="EN87">
        <v>14700.5</v>
      </c>
      <c r="EO87">
        <v>48.311999999999998</v>
      </c>
      <c r="EP87">
        <v>50.5</v>
      </c>
      <c r="EQ87">
        <v>49.75</v>
      </c>
      <c r="ER87">
        <v>49</v>
      </c>
      <c r="ES87">
        <v>49.811999999999998</v>
      </c>
      <c r="ET87">
        <v>1755.44</v>
      </c>
      <c r="EU87">
        <v>39.49</v>
      </c>
      <c r="EV87">
        <v>0</v>
      </c>
      <c r="EW87">
        <v>1226.400000095367</v>
      </c>
      <c r="EX87">
        <v>0</v>
      </c>
      <c r="EY87">
        <v>749.40351999999996</v>
      </c>
      <c r="EZ87">
        <v>1.568538467877256</v>
      </c>
      <c r="FA87">
        <v>-11.46153840753885</v>
      </c>
      <c r="FB87">
        <v>14170.683999999999</v>
      </c>
      <c r="FC87">
        <v>15</v>
      </c>
      <c r="FD87">
        <v>1693512167.5</v>
      </c>
      <c r="FE87" t="s">
        <v>782</v>
      </c>
      <c r="FF87">
        <v>1693512167.5</v>
      </c>
      <c r="FG87">
        <v>1693512161.5</v>
      </c>
      <c r="FH87">
        <v>79</v>
      </c>
      <c r="FI87">
        <v>0.20200000000000001</v>
      </c>
      <c r="FJ87">
        <v>3.6999999999999998E-2</v>
      </c>
      <c r="FK87">
        <v>-0.79100000000000004</v>
      </c>
      <c r="FL87">
        <v>0.128</v>
      </c>
      <c r="FM87">
        <v>400</v>
      </c>
      <c r="FN87">
        <v>25</v>
      </c>
      <c r="FO87">
        <v>0.15</v>
      </c>
      <c r="FP87">
        <v>0.08</v>
      </c>
      <c r="FQ87">
        <v>37.878340179967303</v>
      </c>
      <c r="FR87">
        <v>3.110141428680244E-2</v>
      </c>
      <c r="FS87">
        <v>9.0581132594564656E-2</v>
      </c>
      <c r="FT87">
        <v>1</v>
      </c>
      <c r="FU87">
        <v>0.2873511710419745</v>
      </c>
      <c r="FV87">
        <v>-1.722064465641512E-2</v>
      </c>
      <c r="FW87">
        <v>2.1746829953093812E-3</v>
      </c>
      <c r="FX87">
        <v>1</v>
      </c>
      <c r="FY87">
        <v>2</v>
      </c>
      <c r="FZ87">
        <v>2</v>
      </c>
      <c r="GA87" t="s">
        <v>422</v>
      </c>
      <c r="GB87">
        <v>2.9023699999999999</v>
      </c>
      <c r="GC87">
        <v>2.8174800000000002</v>
      </c>
      <c r="GD87">
        <v>8.2725099999999996E-2</v>
      </c>
      <c r="GE87">
        <v>9.1016700000000006E-2</v>
      </c>
      <c r="GF87">
        <v>0.13614899999999999</v>
      </c>
      <c r="GG87">
        <v>0.12112299999999999</v>
      </c>
      <c r="GH87">
        <v>25498.7</v>
      </c>
      <c r="GI87">
        <v>25278.7</v>
      </c>
      <c r="GJ87">
        <v>24661.599999999999</v>
      </c>
      <c r="GK87">
        <v>24831.8</v>
      </c>
      <c r="GL87">
        <v>28283.8</v>
      </c>
      <c r="GM87">
        <v>28503.1</v>
      </c>
      <c r="GN87">
        <v>33340.199999999997</v>
      </c>
      <c r="GO87">
        <v>33130.400000000001</v>
      </c>
      <c r="GP87">
        <v>1.9715</v>
      </c>
      <c r="GQ87">
        <v>1.8482000000000001</v>
      </c>
      <c r="GR87">
        <v>8.0734500000000001E-2</v>
      </c>
      <c r="GS87">
        <v>0</v>
      </c>
      <c r="GT87">
        <v>28.685400000000001</v>
      </c>
      <c r="GU87">
        <v>999.9</v>
      </c>
      <c r="GV87">
        <v>51.1</v>
      </c>
      <c r="GW87">
        <v>37.799999999999997</v>
      </c>
      <c r="GX87">
        <v>33.820300000000003</v>
      </c>
      <c r="GY87">
        <v>61.296599999999998</v>
      </c>
      <c r="GZ87">
        <v>26.286100000000001</v>
      </c>
      <c r="HA87">
        <v>1</v>
      </c>
      <c r="HB87">
        <v>0.36733700000000002</v>
      </c>
      <c r="HC87">
        <v>0.37807200000000002</v>
      </c>
      <c r="HD87">
        <v>20.1663</v>
      </c>
      <c r="HE87">
        <v>5.2340600000000004</v>
      </c>
      <c r="HF87">
        <v>11.9201</v>
      </c>
      <c r="HG87">
        <v>4.96</v>
      </c>
      <c r="HH87">
        <v>3.2890000000000001</v>
      </c>
      <c r="HI87">
        <v>9999</v>
      </c>
      <c r="HJ87">
        <v>9999</v>
      </c>
      <c r="HK87">
        <v>9999</v>
      </c>
      <c r="HL87">
        <v>896</v>
      </c>
      <c r="HM87">
        <v>1.8812599999999999</v>
      </c>
      <c r="HN87">
        <v>1.87836</v>
      </c>
      <c r="HO87">
        <v>1.8863099999999999</v>
      </c>
      <c r="HP87">
        <v>1.88408</v>
      </c>
      <c r="HQ87">
        <v>1.8815599999999999</v>
      </c>
      <c r="HR87">
        <v>1.8806499999999999</v>
      </c>
      <c r="HS87">
        <v>1.88174</v>
      </c>
      <c r="HT87">
        <v>1.8812599999999999</v>
      </c>
      <c r="HU87">
        <v>5</v>
      </c>
      <c r="HV87">
        <v>0</v>
      </c>
      <c r="HW87">
        <v>0</v>
      </c>
      <c r="HX87">
        <v>0</v>
      </c>
      <c r="HY87" t="s">
        <v>423</v>
      </c>
      <c r="HZ87" t="s">
        <v>424</v>
      </c>
      <c r="IA87" t="s">
        <v>425</v>
      </c>
      <c r="IB87" t="s">
        <v>425</v>
      </c>
      <c r="IC87" t="s">
        <v>425</v>
      </c>
      <c r="ID87" t="s">
        <v>425</v>
      </c>
      <c r="IE87">
        <v>0</v>
      </c>
      <c r="IF87">
        <v>100</v>
      </c>
      <c r="IG87">
        <v>100</v>
      </c>
      <c r="IH87">
        <v>-0.82899999999999996</v>
      </c>
      <c r="II87">
        <v>0.22789999999999999</v>
      </c>
      <c r="IJ87">
        <v>-1.360246566173829</v>
      </c>
      <c r="IK87">
        <v>2.2153513873161218E-3</v>
      </c>
      <c r="IL87">
        <v>-2.2967369670569612E-6</v>
      </c>
      <c r="IM87">
        <v>7.7859689150384122E-10</v>
      </c>
      <c r="IN87">
        <v>-0.16931178842403391</v>
      </c>
      <c r="IO87">
        <v>-4.1434251034592161E-3</v>
      </c>
      <c r="IP87">
        <v>8.3987709687394815E-4</v>
      </c>
      <c r="IQ87">
        <v>-7.4586254598011197E-6</v>
      </c>
      <c r="IR87">
        <v>2</v>
      </c>
      <c r="IS87">
        <v>1930</v>
      </c>
      <c r="IT87">
        <v>2</v>
      </c>
      <c r="IU87">
        <v>41</v>
      </c>
      <c r="IV87">
        <v>0.5</v>
      </c>
      <c r="IW87">
        <v>0.6</v>
      </c>
      <c r="IX87">
        <v>0.98754900000000001</v>
      </c>
      <c r="IY87">
        <v>2.5122100000000001</v>
      </c>
      <c r="IZ87">
        <v>1.24512</v>
      </c>
      <c r="JA87">
        <v>2.2607400000000002</v>
      </c>
      <c r="JB87">
        <v>1.4501999999999999</v>
      </c>
      <c r="JC87">
        <v>2.4499499999999999</v>
      </c>
      <c r="JD87">
        <v>45.375799999999998</v>
      </c>
      <c r="JE87">
        <v>23.833600000000001</v>
      </c>
      <c r="JF87">
        <v>18</v>
      </c>
      <c r="JG87">
        <v>497.75200000000001</v>
      </c>
      <c r="JH87">
        <v>464.255</v>
      </c>
      <c r="JI87">
        <v>28.309000000000001</v>
      </c>
      <c r="JJ87">
        <v>32.032499999999999</v>
      </c>
      <c r="JK87">
        <v>29.999500000000001</v>
      </c>
      <c r="JL87">
        <v>32.090200000000003</v>
      </c>
      <c r="JM87">
        <v>32.091900000000003</v>
      </c>
      <c r="JN87">
        <v>19.861899999999999</v>
      </c>
      <c r="JO87">
        <v>31.8323</v>
      </c>
      <c r="JP87">
        <v>65.172399999999996</v>
      </c>
      <c r="JQ87">
        <v>28.299399999999999</v>
      </c>
      <c r="JR87">
        <v>400</v>
      </c>
      <c r="JS87">
        <v>24.4452</v>
      </c>
      <c r="JT87">
        <v>99.521000000000001</v>
      </c>
      <c r="JU87">
        <v>98.924899999999994</v>
      </c>
    </row>
    <row r="88" spans="1:281" x14ac:dyDescent="0.25">
      <c r="A88">
        <v>72</v>
      </c>
      <c r="B88">
        <v>1693512349</v>
      </c>
      <c r="C88">
        <v>16699.400000095371</v>
      </c>
      <c r="D88" t="s">
        <v>783</v>
      </c>
      <c r="E88" t="s">
        <v>784</v>
      </c>
      <c r="F88" t="s">
        <v>413</v>
      </c>
      <c r="G88" t="s">
        <v>778</v>
      </c>
      <c r="H88" t="s">
        <v>779</v>
      </c>
      <c r="I88" t="s">
        <v>31</v>
      </c>
      <c r="J88">
        <v>1693512349</v>
      </c>
      <c r="K88">
        <f t="shared" si="92"/>
        <v>4.0074308686984961E-3</v>
      </c>
      <c r="L88">
        <f t="shared" si="93"/>
        <v>4.0074308686984965</v>
      </c>
      <c r="M88">
        <f t="shared" si="94"/>
        <v>31.22188666872502</v>
      </c>
      <c r="N88">
        <f t="shared" si="95"/>
        <v>261.32</v>
      </c>
      <c r="O88">
        <f t="shared" si="96"/>
        <v>82.954946349626354</v>
      </c>
      <c r="P88">
        <f t="shared" si="97"/>
        <v>8.2625119142039161</v>
      </c>
      <c r="Q88">
        <f t="shared" si="98"/>
        <v>26.028099690640001</v>
      </c>
      <c r="R88">
        <f t="shared" si="99"/>
        <v>0.30018560141816641</v>
      </c>
      <c r="S88">
        <f t="shared" si="100"/>
        <v>2.9243028173849428</v>
      </c>
      <c r="T88">
        <f t="shared" si="101"/>
        <v>0.28405683427754091</v>
      </c>
      <c r="U88">
        <f t="shared" si="102"/>
        <v>0.17891237683216807</v>
      </c>
      <c r="V88">
        <f t="shared" si="103"/>
        <v>344.32059864363816</v>
      </c>
      <c r="W88">
        <f t="shared" si="104"/>
        <v>31.632372195803658</v>
      </c>
      <c r="X88">
        <f t="shared" si="105"/>
        <v>29.946899999999999</v>
      </c>
      <c r="Y88">
        <f t="shared" si="106"/>
        <v>4.2474725707410101</v>
      </c>
      <c r="Z88">
        <f t="shared" si="107"/>
        <v>65.432454224455952</v>
      </c>
      <c r="AA88">
        <f t="shared" si="108"/>
        <v>2.8926629191241999</v>
      </c>
      <c r="AB88">
        <f t="shared" si="109"/>
        <v>4.420838181006272</v>
      </c>
      <c r="AC88">
        <f t="shared" si="110"/>
        <v>1.3548096516168102</v>
      </c>
      <c r="AD88">
        <f t="shared" si="111"/>
        <v>-176.72770130960367</v>
      </c>
      <c r="AE88">
        <f t="shared" si="112"/>
        <v>110.04319941661828</v>
      </c>
      <c r="AF88">
        <f t="shared" si="113"/>
        <v>8.3917447843476154</v>
      </c>
      <c r="AG88">
        <f t="shared" si="114"/>
        <v>286.02784153500039</v>
      </c>
      <c r="AH88">
        <v>0</v>
      </c>
      <c r="AI88">
        <v>0</v>
      </c>
      <c r="AJ88">
        <f t="shared" si="115"/>
        <v>1</v>
      </c>
      <c r="AK88">
        <f t="shared" si="116"/>
        <v>0</v>
      </c>
      <c r="AL88">
        <f t="shared" si="117"/>
        <v>52082.066593165684</v>
      </c>
      <c r="AM88" t="s">
        <v>417</v>
      </c>
      <c r="AN88">
        <v>10366.9</v>
      </c>
      <c r="AO88">
        <v>993.59653846153856</v>
      </c>
      <c r="AP88">
        <v>3431.87</v>
      </c>
      <c r="AQ88">
        <f t="shared" si="118"/>
        <v>0.71047955241266758</v>
      </c>
      <c r="AR88">
        <v>-3.9894345373445681</v>
      </c>
      <c r="AS88" t="s">
        <v>785</v>
      </c>
      <c r="AT88">
        <v>10444.9</v>
      </c>
      <c r="AU88">
        <v>736.24768000000006</v>
      </c>
      <c r="AV88">
        <v>966.54737926494988</v>
      </c>
      <c r="AW88">
        <f t="shared" si="119"/>
        <v>0.23827047096241738</v>
      </c>
      <c r="AX88">
        <v>0.5</v>
      </c>
      <c r="AY88">
        <f t="shared" si="120"/>
        <v>1512.9665993218191</v>
      </c>
      <c r="AZ88">
        <f t="shared" si="121"/>
        <v>31.22188666872502</v>
      </c>
      <c r="BA88">
        <f t="shared" si="122"/>
        <v>180.24763208540844</v>
      </c>
      <c r="BB88">
        <f t="shared" si="123"/>
        <v>2.3273032743652708E-2</v>
      </c>
      <c r="BC88">
        <f t="shared" si="124"/>
        <v>2.5506484975520851</v>
      </c>
      <c r="BD88">
        <f t="shared" si="125"/>
        <v>571.53672847792109</v>
      </c>
      <c r="BE88" t="s">
        <v>786</v>
      </c>
      <c r="BF88">
        <v>590.65</v>
      </c>
      <c r="BG88">
        <f t="shared" si="126"/>
        <v>590.65</v>
      </c>
      <c r="BH88">
        <f t="shared" si="127"/>
        <v>0.38890734932292326</v>
      </c>
      <c r="BI88">
        <f t="shared" si="128"/>
        <v>0.61266641367729224</v>
      </c>
      <c r="BJ88">
        <f t="shared" si="129"/>
        <v>0.86769860156378253</v>
      </c>
      <c r="BK88">
        <f t="shared" si="130"/>
        <v>-8.5141167454104902</v>
      </c>
      <c r="BL88">
        <f t="shared" si="131"/>
        <v>1.0110935707677027</v>
      </c>
      <c r="BM88">
        <f t="shared" si="132"/>
        <v>0.4915077182158219</v>
      </c>
      <c r="BN88">
        <f t="shared" si="133"/>
        <v>0.50849228178417816</v>
      </c>
      <c r="BO88">
        <v>7886</v>
      </c>
      <c r="BP88">
        <v>290.00000000000011</v>
      </c>
      <c r="BQ88">
        <v>900.78</v>
      </c>
      <c r="BR88">
        <v>125</v>
      </c>
      <c r="BS88">
        <v>10444.9</v>
      </c>
      <c r="BT88">
        <v>900.03</v>
      </c>
      <c r="BU88">
        <v>0.75</v>
      </c>
      <c r="BV88">
        <v>300.00000000000011</v>
      </c>
      <c r="BW88">
        <v>38.200000000000003</v>
      </c>
      <c r="BX88">
        <v>966.54737926494988</v>
      </c>
      <c r="BY88">
        <v>1.3648142912899299</v>
      </c>
      <c r="BZ88">
        <v>-69.472425707675313</v>
      </c>
      <c r="CA88">
        <v>1.1660282605011869</v>
      </c>
      <c r="CB88">
        <v>0.99217401329178945</v>
      </c>
      <c r="CC88">
        <v>-1.1332936596218019E-2</v>
      </c>
      <c r="CD88">
        <v>289.99999999999989</v>
      </c>
      <c r="CE88">
        <v>894.91</v>
      </c>
      <c r="CF88">
        <v>735</v>
      </c>
      <c r="CG88">
        <v>10408.799999999999</v>
      </c>
      <c r="CH88">
        <v>899.8</v>
      </c>
      <c r="CI88">
        <v>-4.8899999999999997</v>
      </c>
      <c r="CW88">
        <f t="shared" si="134"/>
        <v>1799.74</v>
      </c>
      <c r="CX88">
        <f t="shared" si="135"/>
        <v>1512.9665993218191</v>
      </c>
      <c r="CY88">
        <f t="shared" si="136"/>
        <v>0.84065842806284186</v>
      </c>
      <c r="CZ88">
        <f t="shared" si="137"/>
        <v>0.1913168561256838</v>
      </c>
      <c r="DA88">
        <v>6</v>
      </c>
      <c r="DB88">
        <v>0.5</v>
      </c>
      <c r="DC88" t="s">
        <v>420</v>
      </c>
      <c r="DD88">
        <v>2</v>
      </c>
      <c r="DE88">
        <v>1693512349</v>
      </c>
      <c r="DF88">
        <v>261.32</v>
      </c>
      <c r="DG88">
        <v>300.00099999999998</v>
      </c>
      <c r="DH88">
        <v>29.042100000000001</v>
      </c>
      <c r="DI88">
        <v>24.3779</v>
      </c>
      <c r="DJ88">
        <v>262.11599999999999</v>
      </c>
      <c r="DK88">
        <v>28.808499999999999</v>
      </c>
      <c r="DL88">
        <v>500.54199999999997</v>
      </c>
      <c r="DM88">
        <v>99.502200000000002</v>
      </c>
      <c r="DN88">
        <v>0.100202</v>
      </c>
      <c r="DO88">
        <v>30.6449</v>
      </c>
      <c r="DP88">
        <v>29.946899999999999</v>
      </c>
      <c r="DQ88">
        <v>999.9</v>
      </c>
      <c r="DR88">
        <v>0</v>
      </c>
      <c r="DS88">
        <v>0</v>
      </c>
      <c r="DT88">
        <v>10020</v>
      </c>
      <c r="DU88">
        <v>0</v>
      </c>
      <c r="DV88">
        <v>1845.16</v>
      </c>
      <c r="DW88">
        <v>-38.681600000000003</v>
      </c>
      <c r="DX88">
        <v>269.13600000000002</v>
      </c>
      <c r="DY88">
        <v>307.49799999999999</v>
      </c>
      <c r="DZ88">
        <v>4.6641899999999996</v>
      </c>
      <c r="EA88">
        <v>300.00099999999998</v>
      </c>
      <c r="EB88">
        <v>24.3779</v>
      </c>
      <c r="EC88">
        <v>2.8897499999999998</v>
      </c>
      <c r="ED88">
        <v>2.4256500000000001</v>
      </c>
      <c r="EE88">
        <v>23.405899999999999</v>
      </c>
      <c r="EF88">
        <v>20.536100000000001</v>
      </c>
      <c r="EG88">
        <v>1799.74</v>
      </c>
      <c r="EH88">
        <v>0.97799400000000003</v>
      </c>
      <c r="EI88">
        <v>2.20062E-2</v>
      </c>
      <c r="EJ88">
        <v>0</v>
      </c>
      <c r="EK88">
        <v>736.48900000000003</v>
      </c>
      <c r="EL88">
        <v>5.0010300000000001</v>
      </c>
      <c r="EM88">
        <v>13922.6</v>
      </c>
      <c r="EN88">
        <v>14698.9</v>
      </c>
      <c r="EO88">
        <v>48.125</v>
      </c>
      <c r="EP88">
        <v>50.311999999999998</v>
      </c>
      <c r="EQ88">
        <v>49.561999999999998</v>
      </c>
      <c r="ER88">
        <v>48.75</v>
      </c>
      <c r="ES88">
        <v>49.625</v>
      </c>
      <c r="ET88">
        <v>1755.24</v>
      </c>
      <c r="EU88">
        <v>39.5</v>
      </c>
      <c r="EV88">
        <v>0</v>
      </c>
      <c r="EW88">
        <v>150.79999995231631</v>
      </c>
      <c r="EX88">
        <v>0</v>
      </c>
      <c r="EY88">
        <v>736.24768000000006</v>
      </c>
      <c r="EZ88">
        <v>0.3769999837880374</v>
      </c>
      <c r="FA88">
        <v>-11.192307732060939</v>
      </c>
      <c r="FB88">
        <v>13923.144</v>
      </c>
      <c r="FC88">
        <v>15</v>
      </c>
      <c r="FD88">
        <v>1693512278</v>
      </c>
      <c r="FE88" t="s">
        <v>787</v>
      </c>
      <c r="FF88">
        <v>1693512272.5</v>
      </c>
      <c r="FG88">
        <v>1693512278</v>
      </c>
      <c r="FH88">
        <v>80</v>
      </c>
      <c r="FI88">
        <v>0.128</v>
      </c>
      <c r="FJ88">
        <v>4.0000000000000001E-3</v>
      </c>
      <c r="FK88">
        <v>-0.753</v>
      </c>
      <c r="FL88">
        <v>0.127</v>
      </c>
      <c r="FM88">
        <v>300</v>
      </c>
      <c r="FN88">
        <v>25</v>
      </c>
      <c r="FO88">
        <v>0.16</v>
      </c>
      <c r="FP88">
        <v>0.06</v>
      </c>
      <c r="FQ88">
        <v>31.02224861469411</v>
      </c>
      <c r="FR88">
        <v>0.65559561413345446</v>
      </c>
      <c r="FS88">
        <v>7.5236074080390791E-2</v>
      </c>
      <c r="FT88">
        <v>1</v>
      </c>
      <c r="FU88">
        <v>0.29800755275437318</v>
      </c>
      <c r="FV88">
        <v>6.2738304732132414E-3</v>
      </c>
      <c r="FW88">
        <v>9.3428599384443847E-4</v>
      </c>
      <c r="FX88">
        <v>1</v>
      </c>
      <c r="FY88">
        <v>2</v>
      </c>
      <c r="FZ88">
        <v>2</v>
      </c>
      <c r="GA88" t="s">
        <v>422</v>
      </c>
      <c r="GB88">
        <v>2.9042699999999999</v>
      </c>
      <c r="GC88">
        <v>2.8183799999999999</v>
      </c>
      <c r="GD88">
        <v>6.4854800000000004E-2</v>
      </c>
      <c r="GE88">
        <v>7.2531300000000007E-2</v>
      </c>
      <c r="GF88">
        <v>0.136489</v>
      </c>
      <c r="GG88">
        <v>0.120763</v>
      </c>
      <c r="GH88">
        <v>26004.7</v>
      </c>
      <c r="GI88">
        <v>25798.9</v>
      </c>
      <c r="GJ88">
        <v>24670.1</v>
      </c>
      <c r="GK88">
        <v>24837.200000000001</v>
      </c>
      <c r="GL88">
        <v>28282.3</v>
      </c>
      <c r="GM88">
        <v>28519.7</v>
      </c>
      <c r="GN88">
        <v>33352.9</v>
      </c>
      <c r="GO88">
        <v>33136.800000000003</v>
      </c>
      <c r="GP88">
        <v>1.9754</v>
      </c>
      <c r="GQ88">
        <v>1.8458000000000001</v>
      </c>
      <c r="GR88">
        <v>7.5325400000000001E-2</v>
      </c>
      <c r="GS88">
        <v>0</v>
      </c>
      <c r="GT88">
        <v>28.719799999999999</v>
      </c>
      <c r="GU88">
        <v>999.9</v>
      </c>
      <c r="GV88">
        <v>49.8</v>
      </c>
      <c r="GW88">
        <v>38.299999999999997</v>
      </c>
      <c r="GX88">
        <v>33.866100000000003</v>
      </c>
      <c r="GY88">
        <v>61.746600000000001</v>
      </c>
      <c r="GZ88">
        <v>26.25</v>
      </c>
      <c r="HA88">
        <v>1</v>
      </c>
      <c r="HB88">
        <v>0.34997</v>
      </c>
      <c r="HC88">
        <v>0.375861</v>
      </c>
      <c r="HD88">
        <v>20.1663</v>
      </c>
      <c r="HE88">
        <v>5.2340600000000004</v>
      </c>
      <c r="HF88">
        <v>11.9201</v>
      </c>
      <c r="HG88">
        <v>4.9614000000000003</v>
      </c>
      <c r="HH88">
        <v>3.2890000000000001</v>
      </c>
      <c r="HI88">
        <v>9999</v>
      </c>
      <c r="HJ88">
        <v>9999</v>
      </c>
      <c r="HK88">
        <v>9999</v>
      </c>
      <c r="HL88">
        <v>896.1</v>
      </c>
      <c r="HM88">
        <v>1.8811800000000001</v>
      </c>
      <c r="HN88">
        <v>1.87836</v>
      </c>
      <c r="HO88">
        <v>1.88629</v>
      </c>
      <c r="HP88">
        <v>1.8840300000000001</v>
      </c>
      <c r="HQ88">
        <v>1.8815599999999999</v>
      </c>
      <c r="HR88">
        <v>1.88062</v>
      </c>
      <c r="HS88">
        <v>1.8817299999999999</v>
      </c>
      <c r="HT88">
        <v>1.8812599999999999</v>
      </c>
      <c r="HU88">
        <v>5</v>
      </c>
      <c r="HV88">
        <v>0</v>
      </c>
      <c r="HW88">
        <v>0</v>
      </c>
      <c r="HX88">
        <v>0</v>
      </c>
      <c r="HY88" t="s">
        <v>423</v>
      </c>
      <c r="HZ88" t="s">
        <v>424</v>
      </c>
      <c r="IA88" t="s">
        <v>425</v>
      </c>
      <c r="IB88" t="s">
        <v>425</v>
      </c>
      <c r="IC88" t="s">
        <v>425</v>
      </c>
      <c r="ID88" t="s">
        <v>425</v>
      </c>
      <c r="IE88">
        <v>0</v>
      </c>
      <c r="IF88">
        <v>100</v>
      </c>
      <c r="IG88">
        <v>100</v>
      </c>
      <c r="IH88">
        <v>-0.79600000000000004</v>
      </c>
      <c r="II88">
        <v>0.2336</v>
      </c>
      <c r="IJ88">
        <v>-1.23282905407891</v>
      </c>
      <c r="IK88">
        <v>2.2153513873161218E-3</v>
      </c>
      <c r="IL88">
        <v>-2.2967369670569612E-6</v>
      </c>
      <c r="IM88">
        <v>7.7859689150384122E-10</v>
      </c>
      <c r="IN88">
        <v>-0.1657206764953689</v>
      </c>
      <c r="IO88">
        <v>-4.1434251034592161E-3</v>
      </c>
      <c r="IP88">
        <v>8.3987709687394815E-4</v>
      </c>
      <c r="IQ88">
        <v>-7.4586254598011197E-6</v>
      </c>
      <c r="IR88">
        <v>2</v>
      </c>
      <c r="IS88">
        <v>1930</v>
      </c>
      <c r="IT88">
        <v>2</v>
      </c>
      <c r="IU88">
        <v>41</v>
      </c>
      <c r="IV88">
        <v>1.3</v>
      </c>
      <c r="IW88">
        <v>1.2</v>
      </c>
      <c r="IX88">
        <v>0.787354</v>
      </c>
      <c r="IY88">
        <v>2.5134300000000001</v>
      </c>
      <c r="IZ88">
        <v>1.24512</v>
      </c>
      <c r="JA88">
        <v>2.2595200000000002</v>
      </c>
      <c r="JB88">
        <v>1.4501999999999999</v>
      </c>
      <c r="JC88">
        <v>2.3925800000000002</v>
      </c>
      <c r="JD88">
        <v>45.633099999999999</v>
      </c>
      <c r="JE88">
        <v>23.8598</v>
      </c>
      <c r="JF88">
        <v>18</v>
      </c>
      <c r="JG88">
        <v>498.36399999999998</v>
      </c>
      <c r="JH88">
        <v>460.58499999999998</v>
      </c>
      <c r="JI88">
        <v>28.251899999999999</v>
      </c>
      <c r="JJ88">
        <v>31.813300000000002</v>
      </c>
      <c r="JK88">
        <v>29.9999</v>
      </c>
      <c r="JL88">
        <v>31.8477</v>
      </c>
      <c r="JM88">
        <v>31.846900000000002</v>
      </c>
      <c r="JN88">
        <v>15.8514</v>
      </c>
      <c r="JO88">
        <v>31.653700000000001</v>
      </c>
      <c r="JP88">
        <v>60.646900000000002</v>
      </c>
      <c r="JQ88">
        <v>28.273599999999998</v>
      </c>
      <c r="JR88">
        <v>300</v>
      </c>
      <c r="JS88">
        <v>24.364100000000001</v>
      </c>
      <c r="JT88">
        <v>99.557400000000001</v>
      </c>
      <c r="JU88">
        <v>98.944900000000004</v>
      </c>
    </row>
    <row r="89" spans="1:281" x14ac:dyDescent="0.25">
      <c r="A89">
        <v>73</v>
      </c>
      <c r="B89">
        <v>1693512501</v>
      </c>
      <c r="C89">
        <v>16851.400000095371</v>
      </c>
      <c r="D89" t="s">
        <v>788</v>
      </c>
      <c r="E89" t="s">
        <v>789</v>
      </c>
      <c r="F89" t="s">
        <v>413</v>
      </c>
      <c r="G89" t="s">
        <v>778</v>
      </c>
      <c r="H89" t="s">
        <v>779</v>
      </c>
      <c r="I89" t="s">
        <v>31</v>
      </c>
      <c r="J89">
        <v>1693512501</v>
      </c>
      <c r="K89">
        <f t="shared" si="92"/>
        <v>4.655011900805783E-3</v>
      </c>
      <c r="L89">
        <f t="shared" si="93"/>
        <v>4.6550119008057829</v>
      </c>
      <c r="M89">
        <f t="shared" si="94"/>
        <v>23.129252791820395</v>
      </c>
      <c r="N89">
        <f t="shared" si="95"/>
        <v>171.26400000000001</v>
      </c>
      <c r="O89">
        <f t="shared" si="96"/>
        <v>55.796692663054806</v>
      </c>
      <c r="P89">
        <f t="shared" si="97"/>
        <v>5.5573317745954922</v>
      </c>
      <c r="Q89">
        <f t="shared" si="98"/>
        <v>17.057836649779198</v>
      </c>
      <c r="R89">
        <f t="shared" si="99"/>
        <v>0.34624170693796902</v>
      </c>
      <c r="S89">
        <f t="shared" si="100"/>
        <v>2.9181563025861705</v>
      </c>
      <c r="T89">
        <f t="shared" si="101"/>
        <v>0.32493050848391625</v>
      </c>
      <c r="U89">
        <f t="shared" si="102"/>
        <v>0.20488689353481335</v>
      </c>
      <c r="V89">
        <f t="shared" si="103"/>
        <v>344.39279864392449</v>
      </c>
      <c r="W89">
        <f t="shared" si="104"/>
        <v>31.509008069091781</v>
      </c>
      <c r="X89">
        <f t="shared" si="105"/>
        <v>29.987100000000002</v>
      </c>
      <c r="Y89">
        <f t="shared" si="106"/>
        <v>4.2572939455202681</v>
      </c>
      <c r="Z89">
        <f t="shared" si="107"/>
        <v>65.021394514764481</v>
      </c>
      <c r="AA89">
        <f t="shared" si="108"/>
        <v>2.8815477243656398</v>
      </c>
      <c r="AB89">
        <f t="shared" si="109"/>
        <v>4.4316916699030866</v>
      </c>
      <c r="AC89">
        <f t="shared" si="110"/>
        <v>1.3757462211546283</v>
      </c>
      <c r="AD89">
        <f t="shared" si="111"/>
        <v>-205.28602482553504</v>
      </c>
      <c r="AE89">
        <f t="shared" si="112"/>
        <v>110.23667635932709</v>
      </c>
      <c r="AF89">
        <f t="shared" si="113"/>
        <v>8.4276684663429915</v>
      </c>
      <c r="AG89">
        <f t="shared" si="114"/>
        <v>257.77111864405953</v>
      </c>
      <c r="AH89">
        <v>0</v>
      </c>
      <c r="AI89">
        <v>0</v>
      </c>
      <c r="AJ89">
        <f t="shared" si="115"/>
        <v>1</v>
      </c>
      <c r="AK89">
        <f t="shared" si="116"/>
        <v>0</v>
      </c>
      <c r="AL89">
        <f t="shared" si="117"/>
        <v>51899.723054458998</v>
      </c>
      <c r="AM89" t="s">
        <v>417</v>
      </c>
      <c r="AN89">
        <v>10366.9</v>
      </c>
      <c r="AO89">
        <v>993.59653846153856</v>
      </c>
      <c r="AP89">
        <v>3431.87</v>
      </c>
      <c r="AQ89">
        <f t="shared" si="118"/>
        <v>0.71047955241266758</v>
      </c>
      <c r="AR89">
        <v>-3.9894345373445681</v>
      </c>
      <c r="AS89" t="s">
        <v>790</v>
      </c>
      <c r="AT89">
        <v>10441.700000000001</v>
      </c>
      <c r="AU89">
        <v>738.95212000000015</v>
      </c>
      <c r="AV89">
        <v>914.01433948691522</v>
      </c>
      <c r="AW89">
        <f t="shared" si="119"/>
        <v>0.19153115210991856</v>
      </c>
      <c r="AX89">
        <v>0.5</v>
      </c>
      <c r="AY89">
        <f t="shared" si="120"/>
        <v>1513.285799321962</v>
      </c>
      <c r="AZ89">
        <f t="shared" si="121"/>
        <v>23.129252791820395</v>
      </c>
      <c r="BA89">
        <f t="shared" si="122"/>
        <v>144.92068630785721</v>
      </c>
      <c r="BB89">
        <f t="shared" si="123"/>
        <v>1.7920400324456673E-2</v>
      </c>
      <c r="BC89">
        <f t="shared" si="124"/>
        <v>2.7547222748458093</v>
      </c>
      <c r="BD89">
        <f t="shared" si="125"/>
        <v>552.75091568847438</v>
      </c>
      <c r="BE89" t="s">
        <v>791</v>
      </c>
      <c r="BF89">
        <v>589.95000000000005</v>
      </c>
      <c r="BG89">
        <f t="shared" si="126"/>
        <v>589.95000000000005</v>
      </c>
      <c r="BH89">
        <f t="shared" si="127"/>
        <v>0.35455060767299307</v>
      </c>
      <c r="BI89">
        <f t="shared" si="128"/>
        <v>0.540208218417638</v>
      </c>
      <c r="BJ89">
        <f t="shared" si="129"/>
        <v>0.88596992896108429</v>
      </c>
      <c r="BK89">
        <f t="shared" si="130"/>
        <v>-2.1997660499773044</v>
      </c>
      <c r="BL89">
        <f t="shared" si="131"/>
        <v>1.0326387504231826</v>
      </c>
      <c r="BM89">
        <f t="shared" si="132"/>
        <v>0.43128076884803512</v>
      </c>
      <c r="BN89">
        <f t="shared" si="133"/>
        <v>0.56871923115196488</v>
      </c>
      <c r="BO89">
        <v>7888</v>
      </c>
      <c r="BP89">
        <v>290.00000000000011</v>
      </c>
      <c r="BQ89">
        <v>865.07</v>
      </c>
      <c r="BR89">
        <v>145</v>
      </c>
      <c r="BS89">
        <v>10441.700000000001</v>
      </c>
      <c r="BT89">
        <v>864.08</v>
      </c>
      <c r="BU89">
        <v>0.99</v>
      </c>
      <c r="BV89">
        <v>300.00000000000011</v>
      </c>
      <c r="BW89">
        <v>38.200000000000003</v>
      </c>
      <c r="BX89">
        <v>914.01433948691522</v>
      </c>
      <c r="BY89">
        <v>1.194384990729195</v>
      </c>
      <c r="BZ89">
        <v>-52.143228707609239</v>
      </c>
      <c r="CA89">
        <v>1.020453883337602</v>
      </c>
      <c r="CB89">
        <v>0.98938997362708336</v>
      </c>
      <c r="CC89">
        <v>-1.1333243159065641E-2</v>
      </c>
      <c r="CD89">
        <v>289.99999999999989</v>
      </c>
      <c r="CE89">
        <v>860.96</v>
      </c>
      <c r="CF89">
        <v>755</v>
      </c>
      <c r="CG89">
        <v>10407.799999999999</v>
      </c>
      <c r="CH89">
        <v>863.91</v>
      </c>
      <c r="CI89">
        <v>-2.95</v>
      </c>
      <c r="CW89">
        <f t="shared" si="134"/>
        <v>1800.12</v>
      </c>
      <c r="CX89">
        <f t="shared" si="135"/>
        <v>1513.285799321962</v>
      </c>
      <c r="CY89">
        <f t="shared" si="136"/>
        <v>0.84065828907070761</v>
      </c>
      <c r="CZ89">
        <f t="shared" si="137"/>
        <v>0.19131657814141531</v>
      </c>
      <c r="DA89">
        <v>6</v>
      </c>
      <c r="DB89">
        <v>0.5</v>
      </c>
      <c r="DC89" t="s">
        <v>420</v>
      </c>
      <c r="DD89">
        <v>2</v>
      </c>
      <c r="DE89">
        <v>1693512501</v>
      </c>
      <c r="DF89">
        <v>171.26400000000001</v>
      </c>
      <c r="DG89">
        <v>199.989</v>
      </c>
      <c r="DH89">
        <v>28.9313</v>
      </c>
      <c r="DI89">
        <v>23.5044</v>
      </c>
      <c r="DJ89">
        <v>172.11</v>
      </c>
      <c r="DK89">
        <v>28.700700000000001</v>
      </c>
      <c r="DL89">
        <v>499.77</v>
      </c>
      <c r="DM89">
        <v>99.501199999999997</v>
      </c>
      <c r="DN89">
        <v>9.8462800000000003E-2</v>
      </c>
      <c r="DO89">
        <v>30.687799999999999</v>
      </c>
      <c r="DP89">
        <v>29.987100000000002</v>
      </c>
      <c r="DQ89">
        <v>999.9</v>
      </c>
      <c r="DR89">
        <v>0</v>
      </c>
      <c r="DS89">
        <v>0</v>
      </c>
      <c r="DT89">
        <v>9985</v>
      </c>
      <c r="DU89">
        <v>0</v>
      </c>
      <c r="DV89">
        <v>1839.33</v>
      </c>
      <c r="DW89">
        <v>-28.7257</v>
      </c>
      <c r="DX89">
        <v>176.36600000000001</v>
      </c>
      <c r="DY89">
        <v>204.803</v>
      </c>
      <c r="DZ89">
        <v>5.4269499999999997</v>
      </c>
      <c r="EA89">
        <v>199.989</v>
      </c>
      <c r="EB89">
        <v>23.5044</v>
      </c>
      <c r="EC89">
        <v>2.8786999999999998</v>
      </c>
      <c r="ED89">
        <v>2.3387199999999999</v>
      </c>
      <c r="EE89">
        <v>23.342500000000001</v>
      </c>
      <c r="EF89">
        <v>19.945599999999999</v>
      </c>
      <c r="EG89">
        <v>1800.12</v>
      </c>
      <c r="EH89">
        <v>0.97799700000000001</v>
      </c>
      <c r="EI89">
        <v>2.2002600000000001E-2</v>
      </c>
      <c r="EJ89">
        <v>0</v>
      </c>
      <c r="EK89">
        <v>738.89800000000002</v>
      </c>
      <c r="EL89">
        <v>5.0010300000000001</v>
      </c>
      <c r="EM89">
        <v>13955.7</v>
      </c>
      <c r="EN89">
        <v>14702.1</v>
      </c>
      <c r="EO89">
        <v>48.061999999999998</v>
      </c>
      <c r="EP89">
        <v>50.311999999999998</v>
      </c>
      <c r="EQ89">
        <v>49.5</v>
      </c>
      <c r="ER89">
        <v>48.811999999999998</v>
      </c>
      <c r="ES89">
        <v>49.625</v>
      </c>
      <c r="ET89">
        <v>1755.62</v>
      </c>
      <c r="EU89">
        <v>39.5</v>
      </c>
      <c r="EV89">
        <v>0</v>
      </c>
      <c r="EW89">
        <v>150</v>
      </c>
      <c r="EX89">
        <v>0</v>
      </c>
      <c r="EY89">
        <v>738.95212000000015</v>
      </c>
      <c r="EZ89">
        <v>-0.33661537459621721</v>
      </c>
      <c r="FA89">
        <v>36.192307504078521</v>
      </c>
      <c r="FB89">
        <v>13948.572</v>
      </c>
      <c r="FC89">
        <v>15</v>
      </c>
      <c r="FD89">
        <v>1693512422.5</v>
      </c>
      <c r="FE89" t="s">
        <v>792</v>
      </c>
      <c r="FF89">
        <v>1693512422.5</v>
      </c>
      <c r="FG89">
        <v>1693512420.5</v>
      </c>
      <c r="FH89">
        <v>81</v>
      </c>
      <c r="FI89">
        <v>6.9000000000000006E-2</v>
      </c>
      <c r="FJ89">
        <v>0</v>
      </c>
      <c r="FK89">
        <v>-0.80500000000000005</v>
      </c>
      <c r="FL89">
        <v>0.11799999999999999</v>
      </c>
      <c r="FM89">
        <v>200</v>
      </c>
      <c r="FN89">
        <v>24</v>
      </c>
      <c r="FO89">
        <v>0.26</v>
      </c>
      <c r="FP89">
        <v>0.05</v>
      </c>
      <c r="FQ89">
        <v>23.07985086151454</v>
      </c>
      <c r="FR89">
        <v>0.50100938135143402</v>
      </c>
      <c r="FS89">
        <v>7.4190904368904409E-2</v>
      </c>
      <c r="FT89">
        <v>1</v>
      </c>
      <c r="FU89">
        <v>0.34767221070833348</v>
      </c>
      <c r="FV89">
        <v>-1.225834922346652E-2</v>
      </c>
      <c r="FW89">
        <v>1.244654667218587E-3</v>
      </c>
      <c r="FX89">
        <v>1</v>
      </c>
      <c r="FY89">
        <v>2</v>
      </c>
      <c r="FZ89">
        <v>2</v>
      </c>
      <c r="GA89" t="s">
        <v>422</v>
      </c>
      <c r="GB89">
        <v>2.90265</v>
      </c>
      <c r="GC89">
        <v>2.8163399999999998</v>
      </c>
      <c r="GD89">
        <v>4.4948000000000002E-2</v>
      </c>
      <c r="GE89">
        <v>5.1419899999999998E-2</v>
      </c>
      <c r="GF89">
        <v>0.13619800000000001</v>
      </c>
      <c r="GG89">
        <v>0.117827</v>
      </c>
      <c r="GH89">
        <v>26566</v>
      </c>
      <c r="GI89">
        <v>26392.5</v>
      </c>
      <c r="GJ89">
        <v>24677.4</v>
      </c>
      <c r="GK89">
        <v>24843</v>
      </c>
      <c r="GL89">
        <v>28297.3</v>
      </c>
      <c r="GM89">
        <v>28620.9</v>
      </c>
      <c r="GN89">
        <v>33360.300000000003</v>
      </c>
      <c r="GO89">
        <v>33143.199999999997</v>
      </c>
      <c r="GP89">
        <v>1.9773000000000001</v>
      </c>
      <c r="GQ89">
        <v>1.8427</v>
      </c>
      <c r="GR89">
        <v>7.0989099999999999E-2</v>
      </c>
      <c r="GS89">
        <v>0</v>
      </c>
      <c r="GT89">
        <v>28.8308</v>
      </c>
      <c r="GU89">
        <v>999.9</v>
      </c>
      <c r="GV89">
        <v>48.7</v>
      </c>
      <c r="GW89">
        <v>38.9</v>
      </c>
      <c r="GX89">
        <v>34.208100000000002</v>
      </c>
      <c r="GY89">
        <v>61.756599999999999</v>
      </c>
      <c r="GZ89">
        <v>25.8614</v>
      </c>
      <c r="HA89">
        <v>1</v>
      </c>
      <c r="HB89">
        <v>0.33631100000000003</v>
      </c>
      <c r="HC89">
        <v>0.46513100000000002</v>
      </c>
      <c r="HD89">
        <v>20.165700000000001</v>
      </c>
      <c r="HE89">
        <v>5.2346599999999999</v>
      </c>
      <c r="HF89">
        <v>11.9201</v>
      </c>
      <c r="HG89">
        <v>4.9615999999999998</v>
      </c>
      <c r="HH89">
        <v>3.2890000000000001</v>
      </c>
      <c r="HI89">
        <v>9999</v>
      </c>
      <c r="HJ89">
        <v>9999</v>
      </c>
      <c r="HK89">
        <v>9999</v>
      </c>
      <c r="HL89">
        <v>896.1</v>
      </c>
      <c r="HM89">
        <v>1.8811599999999999</v>
      </c>
      <c r="HN89">
        <v>1.87836</v>
      </c>
      <c r="HO89">
        <v>1.88629</v>
      </c>
      <c r="HP89">
        <v>1.88402</v>
      </c>
      <c r="HQ89">
        <v>1.8815599999999999</v>
      </c>
      <c r="HR89">
        <v>1.8805700000000001</v>
      </c>
      <c r="HS89">
        <v>1.8817299999999999</v>
      </c>
      <c r="HT89">
        <v>1.8812599999999999</v>
      </c>
      <c r="HU89">
        <v>5</v>
      </c>
      <c r="HV89">
        <v>0</v>
      </c>
      <c r="HW89">
        <v>0</v>
      </c>
      <c r="HX89">
        <v>0</v>
      </c>
      <c r="HY89" t="s">
        <v>423</v>
      </c>
      <c r="HZ89" t="s">
        <v>424</v>
      </c>
      <c r="IA89" t="s">
        <v>425</v>
      </c>
      <c r="IB89" t="s">
        <v>425</v>
      </c>
      <c r="IC89" t="s">
        <v>425</v>
      </c>
      <c r="ID89" t="s">
        <v>425</v>
      </c>
      <c r="IE89">
        <v>0</v>
      </c>
      <c r="IF89">
        <v>100</v>
      </c>
      <c r="IG89">
        <v>100</v>
      </c>
      <c r="IH89">
        <v>-0.84599999999999997</v>
      </c>
      <c r="II89">
        <v>0.2306</v>
      </c>
      <c r="IJ89">
        <v>-1.163585524667714</v>
      </c>
      <c r="IK89">
        <v>2.2153513873161218E-3</v>
      </c>
      <c r="IL89">
        <v>-2.2967369670569612E-6</v>
      </c>
      <c r="IM89">
        <v>7.7859689150384122E-10</v>
      </c>
      <c r="IN89">
        <v>-0.16593863825714261</v>
      </c>
      <c r="IO89">
        <v>-4.1434251034592161E-3</v>
      </c>
      <c r="IP89">
        <v>8.3987709687394815E-4</v>
      </c>
      <c r="IQ89">
        <v>-7.4586254598011197E-6</v>
      </c>
      <c r="IR89">
        <v>2</v>
      </c>
      <c r="IS89">
        <v>1930</v>
      </c>
      <c r="IT89">
        <v>2</v>
      </c>
      <c r="IU89">
        <v>41</v>
      </c>
      <c r="IV89">
        <v>1.3</v>
      </c>
      <c r="IW89">
        <v>1.3</v>
      </c>
      <c r="IX89">
        <v>0.57861300000000004</v>
      </c>
      <c r="IY89">
        <v>2.5293000000000001</v>
      </c>
      <c r="IZ89">
        <v>1.24512</v>
      </c>
      <c r="JA89">
        <v>2.2595200000000002</v>
      </c>
      <c r="JB89">
        <v>1.4501999999999999</v>
      </c>
      <c r="JC89">
        <v>2.4609399999999999</v>
      </c>
      <c r="JD89">
        <v>46.036700000000003</v>
      </c>
      <c r="JE89">
        <v>23.886099999999999</v>
      </c>
      <c r="JF89">
        <v>18</v>
      </c>
      <c r="JG89">
        <v>497.99799999999999</v>
      </c>
      <c r="JH89">
        <v>456.81</v>
      </c>
      <c r="JI89">
        <v>28.158799999999999</v>
      </c>
      <c r="JJ89">
        <v>31.640499999999999</v>
      </c>
      <c r="JK89">
        <v>29.999700000000001</v>
      </c>
      <c r="JL89">
        <v>31.652100000000001</v>
      </c>
      <c r="JM89">
        <v>31.645099999999999</v>
      </c>
      <c r="JN89">
        <v>11.6693</v>
      </c>
      <c r="JO89">
        <v>34.238599999999998</v>
      </c>
      <c r="JP89">
        <v>55.563000000000002</v>
      </c>
      <c r="JQ89">
        <v>28.174299999999999</v>
      </c>
      <c r="JR89">
        <v>200</v>
      </c>
      <c r="JS89">
        <v>23.552299999999999</v>
      </c>
      <c r="JT89">
        <v>99.582599999999999</v>
      </c>
      <c r="JU89">
        <v>98.965699999999998</v>
      </c>
    </row>
    <row r="90" spans="1:281" x14ac:dyDescent="0.25">
      <c r="A90">
        <v>74</v>
      </c>
      <c r="B90">
        <v>1693512609</v>
      </c>
      <c r="C90">
        <v>16959.400000095371</v>
      </c>
      <c r="D90" t="s">
        <v>793</v>
      </c>
      <c r="E90" t="s">
        <v>794</v>
      </c>
      <c r="F90" t="s">
        <v>413</v>
      </c>
      <c r="G90" t="s">
        <v>778</v>
      </c>
      <c r="H90" t="s">
        <v>779</v>
      </c>
      <c r="I90" t="s">
        <v>31</v>
      </c>
      <c r="J90">
        <v>1693512609</v>
      </c>
      <c r="K90">
        <f t="shared" si="92"/>
        <v>5.0335628166679851E-3</v>
      </c>
      <c r="L90">
        <f t="shared" si="93"/>
        <v>5.0335628166679847</v>
      </c>
      <c r="M90">
        <f t="shared" si="94"/>
        <v>15.150492520125441</v>
      </c>
      <c r="N90">
        <f t="shared" si="95"/>
        <v>101.31399999999999</v>
      </c>
      <c r="O90">
        <f t="shared" si="96"/>
        <v>33.094640691558979</v>
      </c>
      <c r="P90">
        <f t="shared" si="97"/>
        <v>3.2962190313422441</v>
      </c>
      <c r="Q90">
        <f t="shared" si="98"/>
        <v>10.090852414862001</v>
      </c>
      <c r="R90">
        <f t="shared" si="99"/>
        <v>0.38608480324320271</v>
      </c>
      <c r="S90">
        <f t="shared" si="100"/>
        <v>2.9102268891563701</v>
      </c>
      <c r="T90">
        <f t="shared" si="101"/>
        <v>0.3597200831406922</v>
      </c>
      <c r="U90">
        <f t="shared" si="102"/>
        <v>0.22704361115600397</v>
      </c>
      <c r="V90">
        <f t="shared" si="103"/>
        <v>344.3832986438868</v>
      </c>
      <c r="W90">
        <f t="shared" si="104"/>
        <v>31.481991971911299</v>
      </c>
      <c r="X90">
        <f t="shared" si="105"/>
        <v>29.992100000000001</v>
      </c>
      <c r="Y90">
        <f t="shared" si="106"/>
        <v>4.2585168923730068</v>
      </c>
      <c r="Z90">
        <f t="shared" si="107"/>
        <v>65.514598514622563</v>
      </c>
      <c r="AA90">
        <f t="shared" si="108"/>
        <v>2.9150067690176003</v>
      </c>
      <c r="AB90">
        <f t="shared" si="109"/>
        <v>4.4494003399364246</v>
      </c>
      <c r="AC90">
        <f t="shared" si="110"/>
        <v>1.3435101233554065</v>
      </c>
      <c r="AD90">
        <f t="shared" si="111"/>
        <v>-221.98012021505815</v>
      </c>
      <c r="AE90">
        <f t="shared" si="112"/>
        <v>120.10400439289566</v>
      </c>
      <c r="AF90">
        <f t="shared" si="113"/>
        <v>9.2104587384137595</v>
      </c>
      <c r="AG90">
        <f t="shared" si="114"/>
        <v>251.71764156013808</v>
      </c>
      <c r="AH90">
        <v>0</v>
      </c>
      <c r="AI90">
        <v>0</v>
      </c>
      <c r="AJ90">
        <f t="shared" si="115"/>
        <v>1</v>
      </c>
      <c r="AK90">
        <f t="shared" si="116"/>
        <v>0</v>
      </c>
      <c r="AL90">
        <f t="shared" si="117"/>
        <v>51662.446366934724</v>
      </c>
      <c r="AM90" t="s">
        <v>417</v>
      </c>
      <c r="AN90">
        <v>10366.9</v>
      </c>
      <c r="AO90">
        <v>993.59653846153856</v>
      </c>
      <c r="AP90">
        <v>3431.87</v>
      </c>
      <c r="AQ90">
        <f t="shared" si="118"/>
        <v>0.71047955241266758</v>
      </c>
      <c r="AR90">
        <v>-3.9894345373445681</v>
      </c>
      <c r="AS90" t="s">
        <v>795</v>
      </c>
      <c r="AT90">
        <v>10422.799999999999</v>
      </c>
      <c r="AU90">
        <v>748.61907692307693</v>
      </c>
      <c r="AV90">
        <v>876.15841518772572</v>
      </c>
      <c r="AW90">
        <f t="shared" si="119"/>
        <v>0.14556652775779388</v>
      </c>
      <c r="AX90">
        <v>0.5</v>
      </c>
      <c r="AY90">
        <f t="shared" si="120"/>
        <v>1513.2437993219432</v>
      </c>
      <c r="AZ90">
        <f t="shared" si="121"/>
        <v>15.150492520125441</v>
      </c>
      <c r="BA90">
        <f t="shared" si="122"/>
        <v>110.13882275915357</v>
      </c>
      <c r="BB90">
        <f t="shared" si="123"/>
        <v>1.2648277208237206E-2</v>
      </c>
      <c r="BC90">
        <f t="shared" si="124"/>
        <v>2.9169514787627615</v>
      </c>
      <c r="BD90">
        <f t="shared" si="125"/>
        <v>538.67569982879627</v>
      </c>
      <c r="BE90" t="s">
        <v>796</v>
      </c>
      <c r="BF90">
        <v>592.37</v>
      </c>
      <c r="BG90">
        <f t="shared" si="126"/>
        <v>592.37</v>
      </c>
      <c r="BH90">
        <f t="shared" si="127"/>
        <v>0.32390080408794708</v>
      </c>
      <c r="BI90">
        <f t="shared" si="128"/>
        <v>0.44941700026860387</v>
      </c>
      <c r="BJ90">
        <f t="shared" si="129"/>
        <v>0.90005690607933575</v>
      </c>
      <c r="BK90">
        <f t="shared" si="130"/>
        <v>-1.0860130825429191</v>
      </c>
      <c r="BL90">
        <f t="shared" si="131"/>
        <v>1.048164459453089</v>
      </c>
      <c r="BM90">
        <f t="shared" si="132"/>
        <v>0.35561630294450536</v>
      </c>
      <c r="BN90">
        <f t="shared" si="133"/>
        <v>0.64438369705549459</v>
      </c>
      <c r="BO90">
        <v>7890</v>
      </c>
      <c r="BP90">
        <v>290.00000000000011</v>
      </c>
      <c r="BQ90">
        <v>841.77</v>
      </c>
      <c r="BR90">
        <v>295</v>
      </c>
      <c r="BS90">
        <v>10422.799999999999</v>
      </c>
      <c r="BT90">
        <v>841.14</v>
      </c>
      <c r="BU90">
        <v>0.63</v>
      </c>
      <c r="BV90">
        <v>300.00000000000011</v>
      </c>
      <c r="BW90">
        <v>38.200000000000003</v>
      </c>
      <c r="BX90">
        <v>876.15841518772572</v>
      </c>
      <c r="BY90">
        <v>1.1953515435451709</v>
      </c>
      <c r="BZ90">
        <v>-36.497569982967143</v>
      </c>
      <c r="CA90">
        <v>1.0212356806472971</v>
      </c>
      <c r="CB90">
        <v>0.97854817222402013</v>
      </c>
      <c r="CC90">
        <v>-1.1332601334816471E-2</v>
      </c>
      <c r="CD90">
        <v>289.99999999999989</v>
      </c>
      <c r="CE90">
        <v>839.36</v>
      </c>
      <c r="CF90">
        <v>655</v>
      </c>
      <c r="CG90">
        <v>10414.6</v>
      </c>
      <c r="CH90">
        <v>841.11</v>
      </c>
      <c r="CI90">
        <v>-1.75</v>
      </c>
      <c r="CW90">
        <f t="shared" si="134"/>
        <v>1800.07</v>
      </c>
      <c r="CX90">
        <f t="shared" si="135"/>
        <v>1513.2437993219432</v>
      </c>
      <c r="CY90">
        <f t="shared" si="136"/>
        <v>0.84065830735579361</v>
      </c>
      <c r="CZ90">
        <f t="shared" si="137"/>
        <v>0.19131661471158723</v>
      </c>
      <c r="DA90">
        <v>6</v>
      </c>
      <c r="DB90">
        <v>0.5</v>
      </c>
      <c r="DC90" t="s">
        <v>420</v>
      </c>
      <c r="DD90">
        <v>2</v>
      </c>
      <c r="DE90">
        <v>1693512609</v>
      </c>
      <c r="DF90">
        <v>101.31399999999999</v>
      </c>
      <c r="DG90">
        <v>120.096</v>
      </c>
      <c r="DH90">
        <v>29.267199999999999</v>
      </c>
      <c r="DI90">
        <v>23.407</v>
      </c>
      <c r="DJ90">
        <v>102.203</v>
      </c>
      <c r="DK90">
        <v>29.031700000000001</v>
      </c>
      <c r="DL90">
        <v>500.28100000000001</v>
      </c>
      <c r="DM90">
        <v>99.499600000000001</v>
      </c>
      <c r="DN90">
        <v>0.10018299999999999</v>
      </c>
      <c r="DO90">
        <v>30.7576</v>
      </c>
      <c r="DP90">
        <v>29.992100000000001</v>
      </c>
      <c r="DQ90">
        <v>999.9</v>
      </c>
      <c r="DR90">
        <v>0</v>
      </c>
      <c r="DS90">
        <v>0</v>
      </c>
      <c r="DT90">
        <v>9940</v>
      </c>
      <c r="DU90">
        <v>0</v>
      </c>
      <c r="DV90">
        <v>1841.78</v>
      </c>
      <c r="DW90">
        <v>-18.7819</v>
      </c>
      <c r="DX90">
        <v>104.369</v>
      </c>
      <c r="DY90">
        <v>122.97499999999999</v>
      </c>
      <c r="DZ90">
        <v>5.8601200000000002</v>
      </c>
      <c r="EA90">
        <v>120.096</v>
      </c>
      <c r="EB90">
        <v>23.407</v>
      </c>
      <c r="EC90">
        <v>2.9120699999999999</v>
      </c>
      <c r="ED90">
        <v>2.3289900000000001</v>
      </c>
      <c r="EE90">
        <v>23.5335</v>
      </c>
      <c r="EF90">
        <v>19.878299999999999</v>
      </c>
      <c r="EG90">
        <v>1800.07</v>
      </c>
      <c r="EH90">
        <v>0.97799700000000001</v>
      </c>
      <c r="EI90">
        <v>2.2002600000000001E-2</v>
      </c>
      <c r="EJ90">
        <v>0</v>
      </c>
      <c r="EK90">
        <v>748.30899999999997</v>
      </c>
      <c r="EL90">
        <v>5.0010300000000001</v>
      </c>
      <c r="EM90">
        <v>14112.6</v>
      </c>
      <c r="EN90">
        <v>14701.7</v>
      </c>
      <c r="EO90">
        <v>48.061999999999998</v>
      </c>
      <c r="EP90">
        <v>50.375</v>
      </c>
      <c r="EQ90">
        <v>49.561999999999998</v>
      </c>
      <c r="ER90">
        <v>48.811999999999998</v>
      </c>
      <c r="ES90">
        <v>49.561999999999998</v>
      </c>
      <c r="ET90">
        <v>1755.57</v>
      </c>
      <c r="EU90">
        <v>39.5</v>
      </c>
      <c r="EV90">
        <v>0</v>
      </c>
      <c r="EW90">
        <v>105.7999999523163</v>
      </c>
      <c r="EX90">
        <v>0</v>
      </c>
      <c r="EY90">
        <v>748.61907692307693</v>
      </c>
      <c r="EZ90">
        <v>-2.8606495731329962</v>
      </c>
      <c r="FA90">
        <v>-26.77264954001571</v>
      </c>
      <c r="FB90">
        <v>14113.803846153851</v>
      </c>
      <c r="FC90">
        <v>15</v>
      </c>
      <c r="FD90">
        <v>1693512572.5</v>
      </c>
      <c r="FE90" t="s">
        <v>797</v>
      </c>
      <c r="FF90">
        <v>1693512567.5</v>
      </c>
      <c r="FG90">
        <v>1693512572.5</v>
      </c>
      <c r="FH90">
        <v>82</v>
      </c>
      <c r="FI90">
        <v>7.1999999999999995E-2</v>
      </c>
      <c r="FJ90">
        <v>-4.0000000000000001E-3</v>
      </c>
      <c r="FK90">
        <v>-0.85699999999999998</v>
      </c>
      <c r="FL90">
        <v>9.8000000000000004E-2</v>
      </c>
      <c r="FM90">
        <v>120</v>
      </c>
      <c r="FN90">
        <v>24</v>
      </c>
      <c r="FO90">
        <v>0.25</v>
      </c>
      <c r="FP90">
        <v>0.06</v>
      </c>
      <c r="FQ90">
        <v>14.92218838022483</v>
      </c>
      <c r="FR90">
        <v>0.53985712012130249</v>
      </c>
      <c r="FS90">
        <v>7.6396351473281887E-2</v>
      </c>
      <c r="FT90">
        <v>1</v>
      </c>
      <c r="FU90">
        <v>0.38611374766093831</v>
      </c>
      <c r="FV90">
        <v>-6.2308455351993784E-3</v>
      </c>
      <c r="FW90">
        <v>9.0935947366934083E-4</v>
      </c>
      <c r="FX90">
        <v>1</v>
      </c>
      <c r="FY90">
        <v>2</v>
      </c>
      <c r="FZ90">
        <v>2</v>
      </c>
      <c r="GA90" t="s">
        <v>422</v>
      </c>
      <c r="GB90">
        <v>2.9041199999999998</v>
      </c>
      <c r="GC90">
        <v>2.8176700000000001</v>
      </c>
      <c r="GD90">
        <v>2.76536E-2</v>
      </c>
      <c r="GE90">
        <v>3.2271399999999999E-2</v>
      </c>
      <c r="GF90">
        <v>0.137297</v>
      </c>
      <c r="GG90">
        <v>0.117519</v>
      </c>
      <c r="GH90">
        <v>27051.8</v>
      </c>
      <c r="GI90">
        <v>26928.2</v>
      </c>
      <c r="GJ90">
        <v>24681.9</v>
      </c>
      <c r="GK90">
        <v>24845.8</v>
      </c>
      <c r="GL90">
        <v>28265.3</v>
      </c>
      <c r="GM90">
        <v>28633.5</v>
      </c>
      <c r="GN90">
        <v>33366.1</v>
      </c>
      <c r="GO90">
        <v>33146.5</v>
      </c>
      <c r="GP90">
        <v>1.9792000000000001</v>
      </c>
      <c r="GQ90">
        <v>1.839</v>
      </c>
      <c r="GR90">
        <v>6.8604899999999996E-2</v>
      </c>
      <c r="GS90">
        <v>0</v>
      </c>
      <c r="GT90">
        <v>28.874600000000001</v>
      </c>
      <c r="GU90">
        <v>999.9</v>
      </c>
      <c r="GV90">
        <v>47.9</v>
      </c>
      <c r="GW90">
        <v>39.299999999999997</v>
      </c>
      <c r="GX90">
        <v>34.375100000000003</v>
      </c>
      <c r="GY90">
        <v>62.206600000000002</v>
      </c>
      <c r="GZ90">
        <v>26.526399999999999</v>
      </c>
      <c r="HA90">
        <v>1</v>
      </c>
      <c r="HB90">
        <v>0.32979700000000001</v>
      </c>
      <c r="HC90">
        <v>1.0874200000000001</v>
      </c>
      <c r="HD90">
        <v>20.162099999999999</v>
      </c>
      <c r="HE90">
        <v>5.2352600000000002</v>
      </c>
      <c r="HF90">
        <v>11.9201</v>
      </c>
      <c r="HG90">
        <v>4.9614000000000003</v>
      </c>
      <c r="HH90">
        <v>3.2890000000000001</v>
      </c>
      <c r="HI90">
        <v>9999</v>
      </c>
      <c r="HJ90">
        <v>9999</v>
      </c>
      <c r="HK90">
        <v>9999</v>
      </c>
      <c r="HL90">
        <v>896.2</v>
      </c>
      <c r="HM90">
        <v>1.8812</v>
      </c>
      <c r="HN90">
        <v>1.8783399999999999</v>
      </c>
      <c r="HO90">
        <v>1.88629</v>
      </c>
      <c r="HP90">
        <v>1.8839999999999999</v>
      </c>
      <c r="HQ90">
        <v>1.8815599999999999</v>
      </c>
      <c r="HR90">
        <v>1.8805499999999999</v>
      </c>
      <c r="HS90">
        <v>1.88171</v>
      </c>
      <c r="HT90">
        <v>1.8812599999999999</v>
      </c>
      <c r="HU90">
        <v>5</v>
      </c>
      <c r="HV90">
        <v>0</v>
      </c>
      <c r="HW90">
        <v>0</v>
      </c>
      <c r="HX90">
        <v>0</v>
      </c>
      <c r="HY90" t="s">
        <v>423</v>
      </c>
      <c r="HZ90" t="s">
        <v>424</v>
      </c>
      <c r="IA90" t="s">
        <v>425</v>
      </c>
      <c r="IB90" t="s">
        <v>425</v>
      </c>
      <c r="IC90" t="s">
        <v>425</v>
      </c>
      <c r="ID90" t="s">
        <v>425</v>
      </c>
      <c r="IE90">
        <v>0</v>
      </c>
      <c r="IF90">
        <v>100</v>
      </c>
      <c r="IG90">
        <v>100</v>
      </c>
      <c r="IH90">
        <v>-0.88900000000000001</v>
      </c>
      <c r="II90">
        <v>0.23549999999999999</v>
      </c>
      <c r="IJ90">
        <v>-1.092132072789473</v>
      </c>
      <c r="IK90">
        <v>2.2153513873161218E-3</v>
      </c>
      <c r="IL90">
        <v>-2.2967369670569612E-6</v>
      </c>
      <c r="IM90">
        <v>7.7859689150384122E-10</v>
      </c>
      <c r="IN90">
        <v>-0.16963599267113491</v>
      </c>
      <c r="IO90">
        <v>-4.1434251034592161E-3</v>
      </c>
      <c r="IP90">
        <v>8.3987709687394815E-4</v>
      </c>
      <c r="IQ90">
        <v>-7.4586254598011197E-6</v>
      </c>
      <c r="IR90">
        <v>2</v>
      </c>
      <c r="IS90">
        <v>1930</v>
      </c>
      <c r="IT90">
        <v>2</v>
      </c>
      <c r="IU90">
        <v>41</v>
      </c>
      <c r="IV90">
        <v>0.7</v>
      </c>
      <c r="IW90">
        <v>0.6</v>
      </c>
      <c r="IX90">
        <v>0.40649400000000002</v>
      </c>
      <c r="IY90">
        <v>2.5488300000000002</v>
      </c>
      <c r="IZ90">
        <v>1.24512</v>
      </c>
      <c r="JA90">
        <v>2.2583000000000002</v>
      </c>
      <c r="JB90">
        <v>1.4501999999999999</v>
      </c>
      <c r="JC90">
        <v>2.4706999999999999</v>
      </c>
      <c r="JD90">
        <v>46.269100000000002</v>
      </c>
      <c r="JE90">
        <v>23.912400000000002</v>
      </c>
      <c r="JF90">
        <v>18</v>
      </c>
      <c r="JG90">
        <v>498.40899999999999</v>
      </c>
      <c r="JH90">
        <v>453.36799999999999</v>
      </c>
      <c r="JI90">
        <v>27.5974</v>
      </c>
      <c r="JJ90">
        <v>31.554600000000001</v>
      </c>
      <c r="JK90">
        <v>29.9998</v>
      </c>
      <c r="JL90">
        <v>31.547999999999998</v>
      </c>
      <c r="JM90">
        <v>31.531300000000002</v>
      </c>
      <c r="JN90">
        <v>8.22865</v>
      </c>
      <c r="JO90">
        <v>34.164999999999999</v>
      </c>
      <c r="JP90">
        <v>51.5137</v>
      </c>
      <c r="JQ90">
        <v>27.5931</v>
      </c>
      <c r="JR90">
        <v>120</v>
      </c>
      <c r="JS90">
        <v>23.323399999999999</v>
      </c>
      <c r="JT90">
        <v>99.600200000000001</v>
      </c>
      <c r="JU90">
        <v>98.976200000000006</v>
      </c>
    </row>
    <row r="91" spans="1:281" x14ac:dyDescent="0.25">
      <c r="A91">
        <v>75</v>
      </c>
      <c r="B91">
        <v>1693512708.5</v>
      </c>
      <c r="C91">
        <v>17058.900000095371</v>
      </c>
      <c r="D91" t="s">
        <v>798</v>
      </c>
      <c r="E91" t="s">
        <v>799</v>
      </c>
      <c r="F91" t="s">
        <v>413</v>
      </c>
      <c r="G91" t="s">
        <v>778</v>
      </c>
      <c r="H91" t="s">
        <v>779</v>
      </c>
      <c r="I91" t="s">
        <v>31</v>
      </c>
      <c r="J91">
        <v>1693512708.5</v>
      </c>
      <c r="K91">
        <f t="shared" si="92"/>
        <v>5.3288846532667114E-3</v>
      </c>
      <c r="L91">
        <f t="shared" si="93"/>
        <v>5.3288846532667113</v>
      </c>
      <c r="M91">
        <f t="shared" si="94"/>
        <v>9.4374046668863798</v>
      </c>
      <c r="N91">
        <f t="shared" si="95"/>
        <v>58.366799999999998</v>
      </c>
      <c r="O91">
        <f t="shared" si="96"/>
        <v>17.758345653928256</v>
      </c>
      <c r="P91">
        <f t="shared" si="97"/>
        <v>1.768833302102073</v>
      </c>
      <c r="Q91">
        <f t="shared" si="98"/>
        <v>5.8136687723664</v>
      </c>
      <c r="R91">
        <f t="shared" si="99"/>
        <v>0.40465680006873189</v>
      </c>
      <c r="S91">
        <f t="shared" si="100"/>
        <v>2.930494833372312</v>
      </c>
      <c r="T91">
        <f t="shared" si="101"/>
        <v>0.37598067795687212</v>
      </c>
      <c r="U91">
        <f t="shared" si="102"/>
        <v>0.23739479579626951</v>
      </c>
      <c r="V91">
        <f t="shared" si="103"/>
        <v>344.38519864389434</v>
      </c>
      <c r="W91">
        <f t="shared" si="104"/>
        <v>31.340595977249478</v>
      </c>
      <c r="X91">
        <f t="shared" si="105"/>
        <v>29.930800000000001</v>
      </c>
      <c r="Y91">
        <f t="shared" si="106"/>
        <v>4.2435446759694218</v>
      </c>
      <c r="Z91">
        <f t="shared" si="107"/>
        <v>65.002732248904621</v>
      </c>
      <c r="AA91">
        <f t="shared" si="108"/>
        <v>2.8823014904508004</v>
      </c>
      <c r="AB91">
        <f t="shared" si="109"/>
        <v>4.4341235987036081</v>
      </c>
      <c r="AC91">
        <f t="shared" si="110"/>
        <v>1.3612431855186213</v>
      </c>
      <c r="AD91">
        <f t="shared" si="111"/>
        <v>-235.00381320906197</v>
      </c>
      <c r="AE91">
        <f t="shared" si="112"/>
        <v>121.11424279435792</v>
      </c>
      <c r="AF91">
        <f t="shared" si="113"/>
        <v>9.2181539825907084</v>
      </c>
      <c r="AG91">
        <f t="shared" si="114"/>
        <v>239.71378221178099</v>
      </c>
      <c r="AH91">
        <v>0</v>
      </c>
      <c r="AI91">
        <v>0</v>
      </c>
      <c r="AJ91">
        <f t="shared" si="115"/>
        <v>1</v>
      </c>
      <c r="AK91">
        <f t="shared" si="116"/>
        <v>0</v>
      </c>
      <c r="AL91">
        <f t="shared" si="117"/>
        <v>52249.654609066805</v>
      </c>
      <c r="AM91" t="s">
        <v>417</v>
      </c>
      <c r="AN91">
        <v>10366.9</v>
      </c>
      <c r="AO91">
        <v>993.59653846153856</v>
      </c>
      <c r="AP91">
        <v>3431.87</v>
      </c>
      <c r="AQ91">
        <f t="shared" si="118"/>
        <v>0.71047955241266758</v>
      </c>
      <c r="AR91">
        <v>-3.9894345373445681</v>
      </c>
      <c r="AS91" t="s">
        <v>800</v>
      </c>
      <c r="AT91">
        <v>10429.4</v>
      </c>
      <c r="AU91">
        <v>757.21544000000006</v>
      </c>
      <c r="AV91">
        <v>848.14451543059238</v>
      </c>
      <c r="AW91">
        <f t="shared" si="119"/>
        <v>0.10720941275488738</v>
      </c>
      <c r="AX91">
        <v>0.5</v>
      </c>
      <c r="AY91">
        <f t="shared" si="120"/>
        <v>1513.252199321947</v>
      </c>
      <c r="AZ91">
        <f t="shared" si="121"/>
        <v>9.4374046668863798</v>
      </c>
      <c r="BA91">
        <f t="shared" si="122"/>
        <v>81.117439819673862</v>
      </c>
      <c r="BB91">
        <f t="shared" si="123"/>
        <v>8.8728364050930843E-3</v>
      </c>
      <c r="BC91">
        <f t="shared" si="124"/>
        <v>3.0463269378776592</v>
      </c>
      <c r="BD91">
        <f t="shared" si="125"/>
        <v>527.95446212511388</v>
      </c>
      <c r="BE91" t="s">
        <v>801</v>
      </c>
      <c r="BF91">
        <v>603.19000000000005</v>
      </c>
      <c r="BG91">
        <f t="shared" si="126"/>
        <v>603.19000000000005</v>
      </c>
      <c r="BH91">
        <f t="shared" si="127"/>
        <v>0.28881223774256437</v>
      </c>
      <c r="BI91">
        <f t="shared" si="128"/>
        <v>0.37120799863906573</v>
      </c>
      <c r="BJ91">
        <f t="shared" si="129"/>
        <v>0.91340324270310091</v>
      </c>
      <c r="BK91">
        <f t="shared" si="130"/>
        <v>-0.62514823469486136</v>
      </c>
      <c r="BL91">
        <f t="shared" si="131"/>
        <v>1.0596536956683977</v>
      </c>
      <c r="BM91">
        <f t="shared" si="132"/>
        <v>0.29570045837826292</v>
      </c>
      <c r="BN91">
        <f t="shared" si="133"/>
        <v>0.70429954162173702</v>
      </c>
      <c r="BO91">
        <v>7892</v>
      </c>
      <c r="BP91">
        <v>290.00000000000011</v>
      </c>
      <c r="BQ91">
        <v>824.81</v>
      </c>
      <c r="BR91">
        <v>225</v>
      </c>
      <c r="BS91">
        <v>10429.4</v>
      </c>
      <c r="BT91">
        <v>824.47</v>
      </c>
      <c r="BU91">
        <v>0.34</v>
      </c>
      <c r="BV91">
        <v>300.00000000000011</v>
      </c>
      <c r="BW91">
        <v>38.200000000000003</v>
      </c>
      <c r="BX91">
        <v>848.14451543059238</v>
      </c>
      <c r="BY91">
        <v>1.1988060120793891</v>
      </c>
      <c r="BZ91">
        <v>-24.695751616725271</v>
      </c>
      <c r="CA91">
        <v>1.0241718943015969</v>
      </c>
      <c r="CB91">
        <v>0.95405556545363146</v>
      </c>
      <c r="CC91">
        <v>-1.133246562847611E-2</v>
      </c>
      <c r="CD91">
        <v>289.99999999999989</v>
      </c>
      <c r="CE91">
        <v>822.47</v>
      </c>
      <c r="CF91">
        <v>655</v>
      </c>
      <c r="CG91">
        <v>10414.4</v>
      </c>
      <c r="CH91">
        <v>824.43</v>
      </c>
      <c r="CI91">
        <v>-1.96</v>
      </c>
      <c r="CW91">
        <f t="shared" si="134"/>
        <v>1800.08</v>
      </c>
      <c r="CX91">
        <f t="shared" si="135"/>
        <v>1513.252199321947</v>
      </c>
      <c r="CY91">
        <f t="shared" si="136"/>
        <v>0.8406583036986951</v>
      </c>
      <c r="CZ91">
        <f t="shared" si="137"/>
        <v>0.19131660739739031</v>
      </c>
      <c r="DA91">
        <v>6</v>
      </c>
      <c r="DB91">
        <v>0.5</v>
      </c>
      <c r="DC91" t="s">
        <v>420</v>
      </c>
      <c r="DD91">
        <v>2</v>
      </c>
      <c r="DE91">
        <v>1693512708.5</v>
      </c>
      <c r="DF91">
        <v>58.366799999999998</v>
      </c>
      <c r="DG91">
        <v>70.059799999999996</v>
      </c>
      <c r="DH91">
        <v>28.937100000000001</v>
      </c>
      <c r="DI91">
        <v>22.7302</v>
      </c>
      <c r="DJ91">
        <v>59.214799999999997</v>
      </c>
      <c r="DK91">
        <v>28.853100000000001</v>
      </c>
      <c r="DL91">
        <v>500.21899999999999</v>
      </c>
      <c r="DM91">
        <v>99.506600000000006</v>
      </c>
      <c r="DN91">
        <v>9.9148E-2</v>
      </c>
      <c r="DO91">
        <v>30.697399999999998</v>
      </c>
      <c r="DP91">
        <v>29.930800000000001</v>
      </c>
      <c r="DQ91">
        <v>999.9</v>
      </c>
      <c r="DR91">
        <v>0</v>
      </c>
      <c r="DS91">
        <v>0</v>
      </c>
      <c r="DT91">
        <v>10055</v>
      </c>
      <c r="DU91">
        <v>0</v>
      </c>
      <c r="DV91">
        <v>1839.35</v>
      </c>
      <c r="DW91">
        <v>-11.813800000000001</v>
      </c>
      <c r="DX91">
        <v>59.990699999999997</v>
      </c>
      <c r="DY91">
        <v>71.689300000000003</v>
      </c>
      <c r="DZ91">
        <v>6.3537699999999999</v>
      </c>
      <c r="EA91">
        <v>70.059799999999996</v>
      </c>
      <c r="EB91">
        <v>22.7302</v>
      </c>
      <c r="EC91">
        <v>2.8940399999999999</v>
      </c>
      <c r="ED91">
        <v>2.2618</v>
      </c>
      <c r="EE91">
        <v>23.430499999999999</v>
      </c>
      <c r="EF91">
        <v>19.4069</v>
      </c>
      <c r="EG91">
        <v>1800.08</v>
      </c>
      <c r="EH91">
        <v>0.97799700000000001</v>
      </c>
      <c r="EI91">
        <v>2.20027E-2</v>
      </c>
      <c r="EJ91">
        <v>0</v>
      </c>
      <c r="EK91">
        <v>757.02300000000002</v>
      </c>
      <c r="EL91">
        <v>5.0010300000000001</v>
      </c>
      <c r="EM91">
        <v>14258.6</v>
      </c>
      <c r="EN91">
        <v>14701.7</v>
      </c>
      <c r="EO91">
        <v>48.125</v>
      </c>
      <c r="EP91">
        <v>50.5</v>
      </c>
      <c r="EQ91">
        <v>49.561999999999998</v>
      </c>
      <c r="ER91">
        <v>48.936999999999998</v>
      </c>
      <c r="ES91">
        <v>49.625</v>
      </c>
      <c r="ET91">
        <v>1755.58</v>
      </c>
      <c r="EU91">
        <v>39.5</v>
      </c>
      <c r="EV91">
        <v>0</v>
      </c>
      <c r="EW91">
        <v>97.799999952316284</v>
      </c>
      <c r="EX91">
        <v>0</v>
      </c>
      <c r="EY91">
        <v>757.21544000000006</v>
      </c>
      <c r="EZ91">
        <v>-1.8433846176278721</v>
      </c>
      <c r="FA91">
        <v>-70.54615377154694</v>
      </c>
      <c r="FB91">
        <v>14264.727999999999</v>
      </c>
      <c r="FC91">
        <v>15</v>
      </c>
      <c r="FD91">
        <v>1693512737.5</v>
      </c>
      <c r="FE91" t="s">
        <v>802</v>
      </c>
      <c r="FF91">
        <v>1693512727</v>
      </c>
      <c r="FG91">
        <v>1693512737.5</v>
      </c>
      <c r="FH91">
        <v>83</v>
      </c>
      <c r="FI91">
        <v>9.9000000000000005E-2</v>
      </c>
      <c r="FJ91">
        <v>2E-3</v>
      </c>
      <c r="FK91">
        <v>-0.84799999999999998</v>
      </c>
      <c r="FL91">
        <v>8.4000000000000005E-2</v>
      </c>
      <c r="FM91">
        <v>70</v>
      </c>
      <c r="FN91">
        <v>23</v>
      </c>
      <c r="FO91">
        <v>0.33</v>
      </c>
      <c r="FP91">
        <v>0.08</v>
      </c>
      <c r="FQ91">
        <v>9.4958064734925536</v>
      </c>
      <c r="FR91">
        <v>0.55830119817767265</v>
      </c>
      <c r="FS91">
        <v>5.8376149224051592E-2</v>
      </c>
      <c r="FT91">
        <v>1</v>
      </c>
      <c r="FU91">
        <v>0.41623799126808853</v>
      </c>
      <c r="FV91">
        <v>2.599932926988148E-2</v>
      </c>
      <c r="FW91">
        <v>2.05883467794273E-3</v>
      </c>
      <c r="FX91">
        <v>1</v>
      </c>
      <c r="FY91">
        <v>2</v>
      </c>
      <c r="FZ91">
        <v>2</v>
      </c>
      <c r="GA91" t="s">
        <v>422</v>
      </c>
      <c r="GB91">
        <v>2.9040599999999999</v>
      </c>
      <c r="GC91">
        <v>2.8176399999999999</v>
      </c>
      <c r="GD91">
        <v>1.6274400000000001E-2</v>
      </c>
      <c r="GE91">
        <v>1.9228100000000001E-2</v>
      </c>
      <c r="GF91">
        <v>0.13675000000000001</v>
      </c>
      <c r="GG91">
        <v>0.115192</v>
      </c>
      <c r="GH91">
        <v>27369.9</v>
      </c>
      <c r="GI91">
        <v>27291.7</v>
      </c>
      <c r="GJ91">
        <v>24683.5</v>
      </c>
      <c r="GK91">
        <v>24846.6</v>
      </c>
      <c r="GL91">
        <v>28285</v>
      </c>
      <c r="GM91">
        <v>28710.2</v>
      </c>
      <c r="GN91">
        <v>33368.199999999997</v>
      </c>
      <c r="GO91">
        <v>33147.199999999997</v>
      </c>
      <c r="GP91">
        <v>1.9804999999999999</v>
      </c>
      <c r="GQ91">
        <v>1.8357000000000001</v>
      </c>
      <c r="GR91">
        <v>6.4521999999999996E-2</v>
      </c>
      <c r="GS91">
        <v>0</v>
      </c>
      <c r="GT91">
        <v>28.879799999999999</v>
      </c>
      <c r="GU91">
        <v>999.9</v>
      </c>
      <c r="GV91">
        <v>46.6</v>
      </c>
      <c r="GW91">
        <v>39.6</v>
      </c>
      <c r="GX91">
        <v>33.982900000000001</v>
      </c>
      <c r="GY91">
        <v>61.6066</v>
      </c>
      <c r="GZ91">
        <v>26.522400000000001</v>
      </c>
      <c r="HA91">
        <v>1</v>
      </c>
      <c r="HB91">
        <v>0.32600600000000002</v>
      </c>
      <c r="HC91">
        <v>0.41672100000000001</v>
      </c>
      <c r="HD91">
        <v>20.165500000000002</v>
      </c>
      <c r="HE91">
        <v>5.2346599999999999</v>
      </c>
      <c r="HF91">
        <v>11.9201</v>
      </c>
      <c r="HG91">
        <v>4.9615999999999998</v>
      </c>
      <c r="HH91">
        <v>3.2890000000000001</v>
      </c>
      <c r="HI91">
        <v>9999</v>
      </c>
      <c r="HJ91">
        <v>9999</v>
      </c>
      <c r="HK91">
        <v>9999</v>
      </c>
      <c r="HL91">
        <v>896.2</v>
      </c>
      <c r="HM91">
        <v>1.8811</v>
      </c>
      <c r="HN91">
        <v>1.87836</v>
      </c>
      <c r="HO91">
        <v>1.88629</v>
      </c>
      <c r="HP91">
        <v>1.8839999999999999</v>
      </c>
      <c r="HQ91">
        <v>1.8815599999999999</v>
      </c>
      <c r="HR91">
        <v>1.8805700000000001</v>
      </c>
      <c r="HS91">
        <v>1.88171</v>
      </c>
      <c r="HT91">
        <v>1.8812599999999999</v>
      </c>
      <c r="HU91">
        <v>5</v>
      </c>
      <c r="HV91">
        <v>0</v>
      </c>
      <c r="HW91">
        <v>0</v>
      </c>
      <c r="HX91">
        <v>0</v>
      </c>
      <c r="HY91" t="s">
        <v>423</v>
      </c>
      <c r="HZ91" t="s">
        <v>424</v>
      </c>
      <c r="IA91" t="s">
        <v>425</v>
      </c>
      <c r="IB91" t="s">
        <v>425</v>
      </c>
      <c r="IC91" t="s">
        <v>425</v>
      </c>
      <c r="ID91" t="s">
        <v>425</v>
      </c>
      <c r="IE91">
        <v>0</v>
      </c>
      <c r="IF91">
        <v>100</v>
      </c>
      <c r="IG91">
        <v>100</v>
      </c>
      <c r="IH91">
        <v>-0.84799999999999998</v>
      </c>
      <c r="II91">
        <v>8.4000000000000005E-2</v>
      </c>
      <c r="IJ91">
        <v>-1.092132072789473</v>
      </c>
      <c r="IK91">
        <v>2.2153513873161218E-3</v>
      </c>
      <c r="IL91">
        <v>-2.2967369670569612E-6</v>
      </c>
      <c r="IM91">
        <v>7.7859689150384122E-10</v>
      </c>
      <c r="IN91">
        <v>-0.16963599267113491</v>
      </c>
      <c r="IO91">
        <v>-4.1434251034592161E-3</v>
      </c>
      <c r="IP91">
        <v>8.3987709687394815E-4</v>
      </c>
      <c r="IQ91">
        <v>-7.4586254598011197E-6</v>
      </c>
      <c r="IR91">
        <v>2</v>
      </c>
      <c r="IS91">
        <v>1930</v>
      </c>
      <c r="IT91">
        <v>2</v>
      </c>
      <c r="IU91">
        <v>41</v>
      </c>
      <c r="IV91">
        <v>2.4</v>
      </c>
      <c r="IW91">
        <v>2.2999999999999998</v>
      </c>
      <c r="IX91">
        <v>0.299072</v>
      </c>
      <c r="IY91">
        <v>2.5683600000000002</v>
      </c>
      <c r="IZ91">
        <v>1.24512</v>
      </c>
      <c r="JA91">
        <v>2.2570800000000002</v>
      </c>
      <c r="JB91">
        <v>1.4501999999999999</v>
      </c>
      <c r="JC91">
        <v>2.5061</v>
      </c>
      <c r="JD91">
        <v>46.5321</v>
      </c>
      <c r="JE91">
        <v>23.912400000000002</v>
      </c>
      <c r="JF91">
        <v>18</v>
      </c>
      <c r="JG91">
        <v>498.73099999999999</v>
      </c>
      <c r="JH91">
        <v>450.57799999999997</v>
      </c>
      <c r="JI91">
        <v>28.014900000000001</v>
      </c>
      <c r="JJ91">
        <v>31.513100000000001</v>
      </c>
      <c r="JK91">
        <v>30.0002</v>
      </c>
      <c r="JL91">
        <v>31.482099999999999</v>
      </c>
      <c r="JM91">
        <v>31.462</v>
      </c>
      <c r="JN91">
        <v>6.0515100000000004</v>
      </c>
      <c r="JO91">
        <v>34.791600000000003</v>
      </c>
      <c r="JP91">
        <v>46.551200000000001</v>
      </c>
      <c r="JQ91">
        <v>28.0334</v>
      </c>
      <c r="JR91">
        <v>70</v>
      </c>
      <c r="JS91">
        <v>22.8108</v>
      </c>
      <c r="JT91">
        <v>99.6066</v>
      </c>
      <c r="JU91">
        <v>98.978800000000007</v>
      </c>
    </row>
    <row r="92" spans="1:281" x14ac:dyDescent="0.25">
      <c r="A92">
        <v>76</v>
      </c>
      <c r="B92">
        <v>1693512880.5999999</v>
      </c>
      <c r="C92">
        <v>17231</v>
      </c>
      <c r="D92" t="s">
        <v>803</v>
      </c>
      <c r="E92" t="s">
        <v>804</v>
      </c>
      <c r="F92" t="s">
        <v>413</v>
      </c>
      <c r="G92" t="s">
        <v>778</v>
      </c>
      <c r="H92" t="s">
        <v>779</v>
      </c>
      <c r="I92" t="s">
        <v>31</v>
      </c>
      <c r="J92">
        <v>1693512880.5999999</v>
      </c>
      <c r="K92">
        <f t="shared" si="92"/>
        <v>5.9006789596144785E-3</v>
      </c>
      <c r="L92">
        <f t="shared" si="93"/>
        <v>5.9006789596144786</v>
      </c>
      <c r="M92">
        <f t="shared" si="94"/>
        <v>4.3574753297357054</v>
      </c>
      <c r="N92">
        <f t="shared" si="95"/>
        <v>24.604700000000001</v>
      </c>
      <c r="O92">
        <f t="shared" si="96"/>
        <v>8.169711551260205</v>
      </c>
      <c r="P92">
        <f t="shared" si="97"/>
        <v>0.81376511358801717</v>
      </c>
      <c r="Q92">
        <f t="shared" si="98"/>
        <v>2.4508143726580602</v>
      </c>
      <c r="R92">
        <f t="shared" si="99"/>
        <v>0.46642759793676514</v>
      </c>
      <c r="S92">
        <f t="shared" si="100"/>
        <v>2.9165168431680062</v>
      </c>
      <c r="T92">
        <f t="shared" si="101"/>
        <v>0.42860008002201166</v>
      </c>
      <c r="U92">
        <f t="shared" si="102"/>
        <v>0.27101759054807095</v>
      </c>
      <c r="V92">
        <f t="shared" si="103"/>
        <v>344.37569864385671</v>
      </c>
      <c r="W92">
        <f t="shared" si="104"/>
        <v>31.317321168606725</v>
      </c>
      <c r="X92">
        <f t="shared" si="105"/>
        <v>29.926100000000002</v>
      </c>
      <c r="Y92">
        <f t="shared" si="106"/>
        <v>4.2423986205952726</v>
      </c>
      <c r="Z92">
        <f t="shared" si="107"/>
        <v>65.400645666973148</v>
      </c>
      <c r="AA92">
        <f t="shared" si="108"/>
        <v>2.9203744174522397</v>
      </c>
      <c r="AB92">
        <f t="shared" si="109"/>
        <v>4.4653602233884486</v>
      </c>
      <c r="AC92">
        <f t="shared" si="110"/>
        <v>1.3220242031430329</v>
      </c>
      <c r="AD92">
        <f t="shared" si="111"/>
        <v>-260.21994211899852</v>
      </c>
      <c r="AE92">
        <f t="shared" si="112"/>
        <v>140.59976595890242</v>
      </c>
      <c r="AF92">
        <f t="shared" si="113"/>
        <v>10.758801569217304</v>
      </c>
      <c r="AG92">
        <f t="shared" si="114"/>
        <v>235.51432405297794</v>
      </c>
      <c r="AH92">
        <v>0</v>
      </c>
      <c r="AI92">
        <v>0</v>
      </c>
      <c r="AJ92">
        <f t="shared" si="115"/>
        <v>1</v>
      </c>
      <c r="AK92">
        <f t="shared" si="116"/>
        <v>0</v>
      </c>
      <c r="AL92">
        <f t="shared" si="117"/>
        <v>51830.617026515705</v>
      </c>
      <c r="AM92" t="s">
        <v>417</v>
      </c>
      <c r="AN92">
        <v>10366.9</v>
      </c>
      <c r="AO92">
        <v>993.59653846153856</v>
      </c>
      <c r="AP92">
        <v>3431.87</v>
      </c>
      <c r="AQ92">
        <f t="shared" si="118"/>
        <v>0.71047955241266758</v>
      </c>
      <c r="AR92">
        <v>-3.9894345373445681</v>
      </c>
      <c r="AS92" t="s">
        <v>805</v>
      </c>
      <c r="AT92">
        <v>10426</v>
      </c>
      <c r="AU92">
        <v>763.28703846153849</v>
      </c>
      <c r="AV92">
        <v>821.09783966576208</v>
      </c>
      <c r="AW92">
        <f t="shared" si="119"/>
        <v>7.0406714536913384E-2</v>
      </c>
      <c r="AX92">
        <v>0.5</v>
      </c>
      <c r="AY92">
        <f t="shared" si="120"/>
        <v>1513.2101993219283</v>
      </c>
      <c r="AZ92">
        <f t="shared" si="121"/>
        <v>4.3574753297357054</v>
      </c>
      <c r="BA92">
        <f t="shared" si="122"/>
        <v>53.270079269002402</v>
      </c>
      <c r="BB92">
        <f t="shared" si="123"/>
        <v>5.5160280249370091E-3</v>
      </c>
      <c r="BC92">
        <f t="shared" si="124"/>
        <v>3.17961153252697</v>
      </c>
      <c r="BD92">
        <f t="shared" si="125"/>
        <v>517.3466161598019</v>
      </c>
      <c r="BE92" t="s">
        <v>806</v>
      </c>
      <c r="BF92">
        <v>616.53</v>
      </c>
      <c r="BG92">
        <f t="shared" si="126"/>
        <v>616.53</v>
      </c>
      <c r="BH92">
        <f t="shared" si="127"/>
        <v>0.24913942015610946</v>
      </c>
      <c r="BI92">
        <f t="shared" si="128"/>
        <v>0.28259965642047696</v>
      </c>
      <c r="BJ92">
        <f t="shared" si="129"/>
        <v>0.92733814044990581</v>
      </c>
      <c r="BK92">
        <f t="shared" si="130"/>
        <v>-0.33513760745909499</v>
      </c>
      <c r="BL92">
        <f t="shared" si="131"/>
        <v>1.0707462479154968</v>
      </c>
      <c r="BM92">
        <f t="shared" si="132"/>
        <v>0.2282642798757496</v>
      </c>
      <c r="BN92">
        <f t="shared" si="133"/>
        <v>0.7717357201242504</v>
      </c>
      <c r="BO92">
        <v>7894</v>
      </c>
      <c r="BP92">
        <v>290.00000000000011</v>
      </c>
      <c r="BQ92">
        <v>805.54</v>
      </c>
      <c r="BR92">
        <v>265</v>
      </c>
      <c r="BS92">
        <v>10426</v>
      </c>
      <c r="BT92">
        <v>804.76</v>
      </c>
      <c r="BU92">
        <v>0.78</v>
      </c>
      <c r="BV92">
        <v>300.00000000000011</v>
      </c>
      <c r="BW92">
        <v>38.200000000000003</v>
      </c>
      <c r="BX92">
        <v>821.09783966576208</v>
      </c>
      <c r="BY92">
        <v>1.002967782579322</v>
      </c>
      <c r="BZ92">
        <v>-17.035137942168731</v>
      </c>
      <c r="CA92">
        <v>0.85697351509774589</v>
      </c>
      <c r="CB92">
        <v>0.93382883191834365</v>
      </c>
      <c r="CC92">
        <v>-1.133367274749723E-2</v>
      </c>
      <c r="CD92">
        <v>289.99999999999989</v>
      </c>
      <c r="CE92">
        <v>803.09</v>
      </c>
      <c r="CF92">
        <v>635</v>
      </c>
      <c r="CG92">
        <v>10417.5</v>
      </c>
      <c r="CH92">
        <v>804.75</v>
      </c>
      <c r="CI92">
        <v>-1.66</v>
      </c>
      <c r="CW92">
        <f t="shared" si="134"/>
        <v>1800.03</v>
      </c>
      <c r="CX92">
        <f t="shared" si="135"/>
        <v>1513.2101993219283</v>
      </c>
      <c r="CY92">
        <f t="shared" si="136"/>
        <v>0.84065832198459378</v>
      </c>
      <c r="CZ92">
        <f t="shared" si="137"/>
        <v>0.19131664396918757</v>
      </c>
      <c r="DA92">
        <v>6</v>
      </c>
      <c r="DB92">
        <v>0.5</v>
      </c>
      <c r="DC92" t="s">
        <v>420</v>
      </c>
      <c r="DD92">
        <v>2</v>
      </c>
      <c r="DE92">
        <v>1693512880.5999999</v>
      </c>
      <c r="DF92">
        <v>24.604700000000001</v>
      </c>
      <c r="DG92">
        <v>30.003399999999999</v>
      </c>
      <c r="DH92">
        <v>29.3188</v>
      </c>
      <c r="DI92">
        <v>22.4513</v>
      </c>
      <c r="DJ92">
        <v>25.440799999999999</v>
      </c>
      <c r="DK92">
        <v>29.077500000000001</v>
      </c>
      <c r="DL92">
        <v>500.416</v>
      </c>
      <c r="DM92">
        <v>99.5077</v>
      </c>
      <c r="DN92">
        <v>9.9869799999999995E-2</v>
      </c>
      <c r="DO92">
        <v>30.8203</v>
      </c>
      <c r="DP92">
        <v>29.926100000000002</v>
      </c>
      <c r="DQ92">
        <v>999.9</v>
      </c>
      <c r="DR92">
        <v>0</v>
      </c>
      <c r="DS92">
        <v>0</v>
      </c>
      <c r="DT92">
        <v>9975</v>
      </c>
      <c r="DU92">
        <v>0</v>
      </c>
      <c r="DV92">
        <v>1833.97</v>
      </c>
      <c r="DW92">
        <v>-5.39872</v>
      </c>
      <c r="DX92">
        <v>25.347899999999999</v>
      </c>
      <c r="DY92">
        <v>30.692499999999999</v>
      </c>
      <c r="DZ92">
        <v>6.8674900000000001</v>
      </c>
      <c r="EA92">
        <v>30.003399999999999</v>
      </c>
      <c r="EB92">
        <v>22.4513</v>
      </c>
      <c r="EC92">
        <v>2.9174500000000001</v>
      </c>
      <c r="ED92">
        <v>2.2340800000000001</v>
      </c>
      <c r="EE92">
        <v>23.5641</v>
      </c>
      <c r="EF92">
        <v>19.2088</v>
      </c>
      <c r="EG92">
        <v>1800.03</v>
      </c>
      <c r="EH92">
        <v>0.97799400000000003</v>
      </c>
      <c r="EI92">
        <v>2.20062E-2</v>
      </c>
      <c r="EJ92">
        <v>0</v>
      </c>
      <c r="EK92">
        <v>763.20799999999997</v>
      </c>
      <c r="EL92">
        <v>5.0010300000000001</v>
      </c>
      <c r="EM92">
        <v>14355.2</v>
      </c>
      <c r="EN92">
        <v>14701.3</v>
      </c>
      <c r="EO92">
        <v>47.936999999999998</v>
      </c>
      <c r="EP92">
        <v>50.25</v>
      </c>
      <c r="EQ92">
        <v>49.436999999999998</v>
      </c>
      <c r="ER92">
        <v>48.811999999999998</v>
      </c>
      <c r="ES92">
        <v>49.5</v>
      </c>
      <c r="ET92">
        <v>1755.53</v>
      </c>
      <c r="EU92">
        <v>39.5</v>
      </c>
      <c r="EV92">
        <v>0</v>
      </c>
      <c r="EW92">
        <v>170.39999985694891</v>
      </c>
      <c r="EX92">
        <v>0</v>
      </c>
      <c r="EY92">
        <v>763.28703846153849</v>
      </c>
      <c r="EZ92">
        <v>-0.65186324496728298</v>
      </c>
      <c r="FA92">
        <v>-13.059828988337131</v>
      </c>
      <c r="FB92">
        <v>14357.323076923079</v>
      </c>
      <c r="FC92">
        <v>15</v>
      </c>
      <c r="FD92">
        <v>1693512850.5999999</v>
      </c>
      <c r="FE92" t="s">
        <v>807</v>
      </c>
      <c r="FF92">
        <v>1693512837.5999999</v>
      </c>
      <c r="FG92">
        <v>1693512850.5999999</v>
      </c>
      <c r="FH92">
        <v>84</v>
      </c>
      <c r="FI92">
        <v>0.10299999999999999</v>
      </c>
      <c r="FJ92">
        <v>3.0000000000000001E-3</v>
      </c>
      <c r="FK92">
        <v>-0.82499999999999996</v>
      </c>
      <c r="FL92">
        <v>7.5999999999999998E-2</v>
      </c>
      <c r="FM92">
        <v>30</v>
      </c>
      <c r="FN92">
        <v>22</v>
      </c>
      <c r="FO92">
        <v>0.56999999999999995</v>
      </c>
      <c r="FP92">
        <v>0.04</v>
      </c>
      <c r="FQ92">
        <v>4.3288235632224197</v>
      </c>
      <c r="FR92">
        <v>-0.30690482111625211</v>
      </c>
      <c r="FS92">
        <v>7.4602979713969023E-2</v>
      </c>
      <c r="FT92">
        <v>1</v>
      </c>
      <c r="FU92">
        <v>0.46459747746221702</v>
      </c>
      <c r="FV92">
        <v>3.3669319219473352E-2</v>
      </c>
      <c r="FW92">
        <v>3.635007512708786E-3</v>
      </c>
      <c r="FX92">
        <v>1</v>
      </c>
      <c r="FY92">
        <v>2</v>
      </c>
      <c r="FZ92">
        <v>2</v>
      </c>
      <c r="GA92" t="s">
        <v>422</v>
      </c>
      <c r="GB92">
        <v>2.9048500000000002</v>
      </c>
      <c r="GC92">
        <v>2.8176600000000001</v>
      </c>
      <c r="GD92">
        <v>7.0440800000000003E-3</v>
      </c>
      <c r="GE92">
        <v>8.3243799999999993E-3</v>
      </c>
      <c r="GF92">
        <v>0.137516</v>
      </c>
      <c r="GG92">
        <v>0.11425100000000001</v>
      </c>
      <c r="GH92">
        <v>27631.9</v>
      </c>
      <c r="GI92">
        <v>27599.4</v>
      </c>
      <c r="GJ92">
        <v>24688.1</v>
      </c>
      <c r="GK92">
        <v>24850.3</v>
      </c>
      <c r="GL92">
        <v>28264.2</v>
      </c>
      <c r="GM92">
        <v>28744.6</v>
      </c>
      <c r="GN92">
        <v>33374.400000000001</v>
      </c>
      <c r="GO92">
        <v>33151.800000000003</v>
      </c>
      <c r="GP92">
        <v>1.9822</v>
      </c>
      <c r="GQ92">
        <v>1.8320000000000001</v>
      </c>
      <c r="GR92">
        <v>7.5548900000000002E-2</v>
      </c>
      <c r="GS92">
        <v>0</v>
      </c>
      <c r="GT92">
        <v>28.6952</v>
      </c>
      <c r="GU92">
        <v>999.9</v>
      </c>
      <c r="GV92">
        <v>44.8</v>
      </c>
      <c r="GW92">
        <v>40.200000000000003</v>
      </c>
      <c r="GX92">
        <v>33.737000000000002</v>
      </c>
      <c r="GY92">
        <v>62.027500000000003</v>
      </c>
      <c r="GZ92">
        <v>25.645</v>
      </c>
      <c r="HA92">
        <v>1</v>
      </c>
      <c r="HB92">
        <v>0.314299</v>
      </c>
      <c r="HC92">
        <v>9.2058799999999996E-2</v>
      </c>
      <c r="HD92">
        <v>20.1663</v>
      </c>
      <c r="HE92">
        <v>5.2340600000000004</v>
      </c>
      <c r="HF92">
        <v>11.9201</v>
      </c>
      <c r="HG92">
        <v>4.9614000000000003</v>
      </c>
      <c r="HH92">
        <v>3.2890000000000001</v>
      </c>
      <c r="HI92">
        <v>9999</v>
      </c>
      <c r="HJ92">
        <v>9999</v>
      </c>
      <c r="HK92">
        <v>9999</v>
      </c>
      <c r="HL92">
        <v>896.2</v>
      </c>
      <c r="HM92">
        <v>1.88113</v>
      </c>
      <c r="HN92">
        <v>1.87836</v>
      </c>
      <c r="HO92">
        <v>1.88629</v>
      </c>
      <c r="HP92">
        <v>1.8839999999999999</v>
      </c>
      <c r="HQ92">
        <v>1.8815599999999999</v>
      </c>
      <c r="HR92">
        <v>1.88059</v>
      </c>
      <c r="HS92">
        <v>1.88171</v>
      </c>
      <c r="HT92">
        <v>1.8812599999999999</v>
      </c>
      <c r="HU92">
        <v>5</v>
      </c>
      <c r="HV92">
        <v>0</v>
      </c>
      <c r="HW92">
        <v>0</v>
      </c>
      <c r="HX92">
        <v>0</v>
      </c>
      <c r="HY92" t="s">
        <v>423</v>
      </c>
      <c r="HZ92" t="s">
        <v>424</v>
      </c>
      <c r="IA92" t="s">
        <v>425</v>
      </c>
      <c r="IB92" t="s">
        <v>425</v>
      </c>
      <c r="IC92" t="s">
        <v>425</v>
      </c>
      <c r="ID92" t="s">
        <v>425</v>
      </c>
      <c r="IE92">
        <v>0</v>
      </c>
      <c r="IF92">
        <v>100</v>
      </c>
      <c r="IG92">
        <v>100</v>
      </c>
      <c r="IH92">
        <v>-0.83599999999999997</v>
      </c>
      <c r="II92">
        <v>0.24129999999999999</v>
      </c>
      <c r="IJ92">
        <v>-0.89097493008057915</v>
      </c>
      <c r="IK92">
        <v>2.2153513873161218E-3</v>
      </c>
      <c r="IL92">
        <v>-2.2967369670569612E-6</v>
      </c>
      <c r="IM92">
        <v>7.7859689150384122E-10</v>
      </c>
      <c r="IN92">
        <v>-0.16496371286165451</v>
      </c>
      <c r="IO92">
        <v>-4.1434251034592161E-3</v>
      </c>
      <c r="IP92">
        <v>8.3987709687394815E-4</v>
      </c>
      <c r="IQ92">
        <v>-7.4586254598011197E-6</v>
      </c>
      <c r="IR92">
        <v>2</v>
      </c>
      <c r="IS92">
        <v>1930</v>
      </c>
      <c r="IT92">
        <v>2</v>
      </c>
      <c r="IU92">
        <v>41</v>
      </c>
      <c r="IV92">
        <v>0.7</v>
      </c>
      <c r="IW92">
        <v>0.5</v>
      </c>
      <c r="IX92">
        <v>0.21362300000000001</v>
      </c>
      <c r="IY92">
        <v>2.6025399999999999</v>
      </c>
      <c r="IZ92">
        <v>1.24512</v>
      </c>
      <c r="JA92">
        <v>2.2570800000000002</v>
      </c>
      <c r="JB92">
        <v>1.4501999999999999</v>
      </c>
      <c r="JC92">
        <v>2.36816</v>
      </c>
      <c r="JD92">
        <v>46.944800000000001</v>
      </c>
      <c r="JE92">
        <v>23.921099999999999</v>
      </c>
      <c r="JF92">
        <v>18</v>
      </c>
      <c r="JG92">
        <v>498.73099999999999</v>
      </c>
      <c r="JH92">
        <v>446.93700000000001</v>
      </c>
      <c r="JI92">
        <v>28.706099999999999</v>
      </c>
      <c r="JJ92">
        <v>31.375399999999999</v>
      </c>
      <c r="JK92">
        <v>29.999600000000001</v>
      </c>
      <c r="JL92">
        <v>31.346599999999999</v>
      </c>
      <c r="JM92">
        <v>31.3184</v>
      </c>
      <c r="JN92">
        <v>4.3431100000000002</v>
      </c>
      <c r="JO92">
        <v>34.643599999999999</v>
      </c>
      <c r="JP92">
        <v>40.601199999999999</v>
      </c>
      <c r="JQ92">
        <v>28.707100000000001</v>
      </c>
      <c r="JR92">
        <v>30</v>
      </c>
      <c r="JS92">
        <v>22.474699999999999</v>
      </c>
      <c r="JT92">
        <v>99.625100000000003</v>
      </c>
      <c r="JU92">
        <v>98.992800000000003</v>
      </c>
    </row>
    <row r="93" spans="1:281" x14ac:dyDescent="0.25">
      <c r="A93">
        <v>77</v>
      </c>
      <c r="B93">
        <v>1693512985.5999999</v>
      </c>
      <c r="C93">
        <v>17336</v>
      </c>
      <c r="D93" t="s">
        <v>808</v>
      </c>
      <c r="E93" t="s">
        <v>809</v>
      </c>
      <c r="F93" t="s">
        <v>413</v>
      </c>
      <c r="G93" t="s">
        <v>778</v>
      </c>
      <c r="H93" t="s">
        <v>779</v>
      </c>
      <c r="I93" t="s">
        <v>31</v>
      </c>
      <c r="J93">
        <v>1693512985.5999999</v>
      </c>
      <c r="K93">
        <f t="shared" si="92"/>
        <v>5.9911801176177953E-3</v>
      </c>
      <c r="L93">
        <f t="shared" si="93"/>
        <v>5.9911801176177955</v>
      </c>
      <c r="M93">
        <f t="shared" si="94"/>
        <v>1.398563633920084</v>
      </c>
      <c r="N93">
        <f t="shared" si="95"/>
        <v>8.1805800000000009</v>
      </c>
      <c r="O93">
        <f t="shared" si="96"/>
        <v>2.8929778862987177</v>
      </c>
      <c r="P93">
        <f t="shared" si="97"/>
        <v>0.28815599332506758</v>
      </c>
      <c r="Q93">
        <f t="shared" si="98"/>
        <v>0.81482930341064408</v>
      </c>
      <c r="R93">
        <f t="shared" si="99"/>
        <v>0.46591087539521314</v>
      </c>
      <c r="S93">
        <f t="shared" si="100"/>
        <v>2.9217430472173338</v>
      </c>
      <c r="T93">
        <f t="shared" si="101"/>
        <v>0.42822516520575205</v>
      </c>
      <c r="U93">
        <f t="shared" si="102"/>
        <v>0.27077216535071713</v>
      </c>
      <c r="V93">
        <f t="shared" si="103"/>
        <v>344.33199864368339</v>
      </c>
      <c r="W93">
        <f t="shared" si="104"/>
        <v>31.409666763770076</v>
      </c>
      <c r="X93">
        <f t="shared" si="105"/>
        <v>30.083400000000001</v>
      </c>
      <c r="Y93">
        <f t="shared" si="106"/>
        <v>4.2809018018955536</v>
      </c>
      <c r="Z93">
        <f t="shared" si="107"/>
        <v>65.354152190599507</v>
      </c>
      <c r="AA93">
        <f t="shared" si="108"/>
        <v>2.9378490059588205</v>
      </c>
      <c r="AB93">
        <f t="shared" si="109"/>
        <v>4.4952752158590439</v>
      </c>
      <c r="AC93">
        <f t="shared" si="110"/>
        <v>1.3430527959367331</v>
      </c>
      <c r="AD93">
        <f t="shared" si="111"/>
        <v>-264.21104318694478</v>
      </c>
      <c r="AE93">
        <f t="shared" si="112"/>
        <v>134.50377583087385</v>
      </c>
      <c r="AF93">
        <f t="shared" si="113"/>
        <v>10.287859883707233</v>
      </c>
      <c r="AG93">
        <f t="shared" si="114"/>
        <v>224.91259117131972</v>
      </c>
      <c r="AH93">
        <v>0</v>
      </c>
      <c r="AI93">
        <v>0</v>
      </c>
      <c r="AJ93">
        <f t="shared" si="115"/>
        <v>1</v>
      </c>
      <c r="AK93">
        <f t="shared" si="116"/>
        <v>0</v>
      </c>
      <c r="AL93">
        <f t="shared" si="117"/>
        <v>51959.206194665196</v>
      </c>
      <c r="AM93" t="s">
        <v>417</v>
      </c>
      <c r="AN93">
        <v>10366.9</v>
      </c>
      <c r="AO93">
        <v>993.59653846153856</v>
      </c>
      <c r="AP93">
        <v>3431.87</v>
      </c>
      <c r="AQ93">
        <f t="shared" si="118"/>
        <v>0.71047955241266758</v>
      </c>
      <c r="AR93">
        <v>-3.9894345373445681</v>
      </c>
      <c r="AS93" t="s">
        <v>810</v>
      </c>
      <c r="AT93">
        <v>10439.5</v>
      </c>
      <c r="AU93">
        <v>766.21896153846149</v>
      </c>
      <c r="AV93">
        <v>814.74714749604379</v>
      </c>
      <c r="AW93">
        <f t="shared" si="119"/>
        <v>5.956226555284494E-2</v>
      </c>
      <c r="AX93">
        <v>0.5</v>
      </c>
      <c r="AY93">
        <f t="shared" si="120"/>
        <v>1513.0169993218417</v>
      </c>
      <c r="AZ93">
        <f t="shared" si="121"/>
        <v>1.398563633920084</v>
      </c>
      <c r="BA93">
        <f t="shared" si="122"/>
        <v>45.059360149788077</v>
      </c>
      <c r="BB93">
        <f t="shared" si="123"/>
        <v>3.5610955948807174E-3</v>
      </c>
      <c r="BC93">
        <f t="shared" si="124"/>
        <v>3.2121902611713828</v>
      </c>
      <c r="BD93">
        <f t="shared" si="125"/>
        <v>514.8182564778956</v>
      </c>
      <c r="BE93" t="s">
        <v>811</v>
      </c>
      <c r="BF93">
        <v>627.66999999999996</v>
      </c>
      <c r="BG93">
        <f t="shared" si="126"/>
        <v>627.66999999999996</v>
      </c>
      <c r="BH93">
        <f t="shared" si="127"/>
        <v>0.22961374957983782</v>
      </c>
      <c r="BI93">
        <f t="shared" si="128"/>
        <v>0.25940199862523855</v>
      </c>
      <c r="BJ93">
        <f t="shared" si="129"/>
        <v>0.9332868028328779</v>
      </c>
      <c r="BK93">
        <f t="shared" si="130"/>
        <v>-0.27133548342328323</v>
      </c>
      <c r="BL93">
        <f t="shared" si="131"/>
        <v>1.0733508336069273</v>
      </c>
      <c r="BM93">
        <f t="shared" si="132"/>
        <v>0.21249650641663287</v>
      </c>
      <c r="BN93">
        <f t="shared" si="133"/>
        <v>0.78750349358336713</v>
      </c>
      <c r="BO93">
        <v>7896</v>
      </c>
      <c r="BP93">
        <v>290.00000000000011</v>
      </c>
      <c r="BQ93">
        <v>799.84</v>
      </c>
      <c r="BR93">
        <v>165</v>
      </c>
      <c r="BS93">
        <v>10439.5</v>
      </c>
      <c r="BT93">
        <v>798.67</v>
      </c>
      <c r="BU93">
        <v>1.17</v>
      </c>
      <c r="BV93">
        <v>300.00000000000011</v>
      </c>
      <c r="BW93">
        <v>38.200000000000003</v>
      </c>
      <c r="BX93">
        <v>814.74714749604379</v>
      </c>
      <c r="BY93">
        <v>1.248531466763815</v>
      </c>
      <c r="BZ93">
        <v>-16.783188250244731</v>
      </c>
      <c r="CA93">
        <v>1.066835238036081</v>
      </c>
      <c r="CB93">
        <v>0.89836219621894409</v>
      </c>
      <c r="CC93">
        <v>-1.133421890989989E-2</v>
      </c>
      <c r="CD93">
        <v>289.99999999999989</v>
      </c>
      <c r="CE93">
        <v>795.5</v>
      </c>
      <c r="CF93">
        <v>645</v>
      </c>
      <c r="CG93">
        <v>10417</v>
      </c>
      <c r="CH93">
        <v>798.64</v>
      </c>
      <c r="CI93">
        <v>-3.14</v>
      </c>
      <c r="CW93">
        <f t="shared" si="134"/>
        <v>1799.8</v>
      </c>
      <c r="CX93">
        <f t="shared" si="135"/>
        <v>1513.0169993218417</v>
      </c>
      <c r="CY93">
        <f t="shared" si="136"/>
        <v>0.84065840611281351</v>
      </c>
      <c r="CZ93">
        <f t="shared" si="137"/>
        <v>0.19131681222562696</v>
      </c>
      <c r="DA93">
        <v>6</v>
      </c>
      <c r="DB93">
        <v>0.5</v>
      </c>
      <c r="DC93" t="s">
        <v>420</v>
      </c>
      <c r="DD93">
        <v>2</v>
      </c>
      <c r="DE93">
        <v>1693512985.5999999</v>
      </c>
      <c r="DF93">
        <v>8.1805800000000009</v>
      </c>
      <c r="DG93">
        <v>9.9161599999999996</v>
      </c>
      <c r="DH93">
        <v>29.494900000000001</v>
      </c>
      <c r="DI93">
        <v>22.523599999999998</v>
      </c>
      <c r="DJ93">
        <v>8.9417799999999996</v>
      </c>
      <c r="DK93">
        <v>29.2469</v>
      </c>
      <c r="DL93">
        <v>500.435</v>
      </c>
      <c r="DM93">
        <v>99.505899999999997</v>
      </c>
      <c r="DN93">
        <v>9.9421800000000005E-2</v>
      </c>
      <c r="DO93">
        <v>30.9373</v>
      </c>
      <c r="DP93">
        <v>30.083400000000001</v>
      </c>
      <c r="DQ93">
        <v>999.9</v>
      </c>
      <c r="DR93">
        <v>0</v>
      </c>
      <c r="DS93">
        <v>0</v>
      </c>
      <c r="DT93">
        <v>10005</v>
      </c>
      <c r="DU93">
        <v>0</v>
      </c>
      <c r="DV93">
        <v>1831.39</v>
      </c>
      <c r="DW93">
        <v>-1.7355799999999999</v>
      </c>
      <c r="DX93">
        <v>8.4291999999999998</v>
      </c>
      <c r="DY93">
        <v>10.1447</v>
      </c>
      <c r="DZ93">
        <v>6.9712899999999998</v>
      </c>
      <c r="EA93">
        <v>9.9161599999999996</v>
      </c>
      <c r="EB93">
        <v>22.523599999999998</v>
      </c>
      <c r="EC93">
        <v>2.93492</v>
      </c>
      <c r="ED93">
        <v>2.2412299999999998</v>
      </c>
      <c r="EE93">
        <v>23.6632</v>
      </c>
      <c r="EF93">
        <v>19.260100000000001</v>
      </c>
      <c r="EG93">
        <v>1799.8</v>
      </c>
      <c r="EH93">
        <v>0.97799000000000003</v>
      </c>
      <c r="EI93">
        <v>2.2009899999999999E-2</v>
      </c>
      <c r="EJ93">
        <v>0</v>
      </c>
      <c r="EK93">
        <v>766.33399999999995</v>
      </c>
      <c r="EL93">
        <v>5.0010300000000001</v>
      </c>
      <c r="EM93">
        <v>14398.8</v>
      </c>
      <c r="EN93">
        <v>14699.4</v>
      </c>
      <c r="EO93">
        <v>47.875</v>
      </c>
      <c r="EP93">
        <v>50.125</v>
      </c>
      <c r="EQ93">
        <v>49.375</v>
      </c>
      <c r="ER93">
        <v>48.625</v>
      </c>
      <c r="ES93">
        <v>49.5</v>
      </c>
      <c r="ET93">
        <v>1755.3</v>
      </c>
      <c r="EU93">
        <v>39.5</v>
      </c>
      <c r="EV93">
        <v>0</v>
      </c>
      <c r="EW93">
        <v>103.2000000476837</v>
      </c>
      <c r="EX93">
        <v>0</v>
      </c>
      <c r="EY93">
        <v>766.21896153846149</v>
      </c>
      <c r="EZ93">
        <v>-0.32071794771426199</v>
      </c>
      <c r="FA93">
        <v>11.169230477636191</v>
      </c>
      <c r="FB93">
        <v>14400.85</v>
      </c>
      <c r="FC93">
        <v>15</v>
      </c>
      <c r="FD93">
        <v>1693512956.5999999</v>
      </c>
      <c r="FE93" t="s">
        <v>812</v>
      </c>
      <c r="FF93">
        <v>1693512939.5999999</v>
      </c>
      <c r="FG93">
        <v>1693512956.5999999</v>
      </c>
      <c r="FH93">
        <v>85</v>
      </c>
      <c r="FI93">
        <v>0.11</v>
      </c>
      <c r="FJ93">
        <v>2E-3</v>
      </c>
      <c r="FK93">
        <v>-0.75700000000000001</v>
      </c>
      <c r="FL93">
        <v>0.08</v>
      </c>
      <c r="FM93">
        <v>10</v>
      </c>
      <c r="FN93">
        <v>22</v>
      </c>
      <c r="FO93">
        <v>1.07</v>
      </c>
      <c r="FP93">
        <v>0.06</v>
      </c>
      <c r="FQ93">
        <v>1.469426906272614</v>
      </c>
      <c r="FR93">
        <v>-1.0391144696766949E-2</v>
      </c>
      <c r="FS93">
        <v>7.1235156282365861E-2</v>
      </c>
      <c r="FT93">
        <v>1</v>
      </c>
      <c r="FU93">
        <v>0.46650307803747521</v>
      </c>
      <c r="FV93">
        <v>4.720713700261174E-2</v>
      </c>
      <c r="FW93">
        <v>4.7108501942627716E-3</v>
      </c>
      <c r="FX93">
        <v>1</v>
      </c>
      <c r="FY93">
        <v>2</v>
      </c>
      <c r="FZ93">
        <v>2</v>
      </c>
      <c r="GA93" t="s">
        <v>422</v>
      </c>
      <c r="GB93">
        <v>2.9050799999999999</v>
      </c>
      <c r="GC93">
        <v>2.8174700000000001</v>
      </c>
      <c r="GD93">
        <v>2.48007E-3</v>
      </c>
      <c r="GE93">
        <v>2.7588299999999999E-3</v>
      </c>
      <c r="GF93">
        <v>0.13808799999999999</v>
      </c>
      <c r="GG93">
        <v>0.114528</v>
      </c>
      <c r="GH93">
        <v>27763.3</v>
      </c>
      <c r="GI93">
        <v>27756.5</v>
      </c>
      <c r="GJ93">
        <v>24691.9</v>
      </c>
      <c r="GK93">
        <v>24852.1</v>
      </c>
      <c r="GL93">
        <v>28248.6</v>
      </c>
      <c r="GM93">
        <v>28738.1</v>
      </c>
      <c r="GN93">
        <v>33379</v>
      </c>
      <c r="GO93">
        <v>33155</v>
      </c>
      <c r="GP93">
        <v>1.9829000000000001</v>
      </c>
      <c r="GQ93">
        <v>1.83</v>
      </c>
      <c r="GR93">
        <v>8.0540799999999996E-2</v>
      </c>
      <c r="GS93">
        <v>0</v>
      </c>
      <c r="GT93">
        <v>28.7715</v>
      </c>
      <c r="GU93">
        <v>999.9</v>
      </c>
      <c r="GV93">
        <v>43.7</v>
      </c>
      <c r="GW93">
        <v>40.6</v>
      </c>
      <c r="GX93">
        <v>33.615900000000003</v>
      </c>
      <c r="GY93">
        <v>61.997500000000002</v>
      </c>
      <c r="GZ93">
        <v>26.0136</v>
      </c>
      <c r="HA93">
        <v>1</v>
      </c>
      <c r="HB93">
        <v>0.30890200000000001</v>
      </c>
      <c r="HC93">
        <v>1.00956</v>
      </c>
      <c r="HD93">
        <v>20.162299999999998</v>
      </c>
      <c r="HE93">
        <v>5.2340600000000004</v>
      </c>
      <c r="HF93">
        <v>11.9201</v>
      </c>
      <c r="HG93">
        <v>4.9615999999999998</v>
      </c>
      <c r="HH93">
        <v>3.2890000000000001</v>
      </c>
      <c r="HI93">
        <v>9999</v>
      </c>
      <c r="HJ93">
        <v>9999</v>
      </c>
      <c r="HK93">
        <v>9999</v>
      </c>
      <c r="HL93">
        <v>896.3</v>
      </c>
      <c r="HM93">
        <v>1.8811</v>
      </c>
      <c r="HN93">
        <v>1.8783099999999999</v>
      </c>
      <c r="HO93">
        <v>1.88629</v>
      </c>
      <c r="HP93">
        <v>1.8839999999999999</v>
      </c>
      <c r="HQ93">
        <v>1.8815599999999999</v>
      </c>
      <c r="HR93">
        <v>1.88049</v>
      </c>
      <c r="HS93">
        <v>1.88171</v>
      </c>
      <c r="HT93">
        <v>1.8812599999999999</v>
      </c>
      <c r="HU93">
        <v>5</v>
      </c>
      <c r="HV93">
        <v>0</v>
      </c>
      <c r="HW93">
        <v>0</v>
      </c>
      <c r="HX93">
        <v>0</v>
      </c>
      <c r="HY93" t="s">
        <v>423</v>
      </c>
      <c r="HZ93" t="s">
        <v>424</v>
      </c>
      <c r="IA93" t="s">
        <v>425</v>
      </c>
      <c r="IB93" t="s">
        <v>425</v>
      </c>
      <c r="IC93" t="s">
        <v>425</v>
      </c>
      <c r="ID93" t="s">
        <v>425</v>
      </c>
      <c r="IE93">
        <v>0</v>
      </c>
      <c r="IF93">
        <v>100</v>
      </c>
      <c r="IG93">
        <v>100</v>
      </c>
      <c r="IH93">
        <v>-0.76100000000000001</v>
      </c>
      <c r="II93">
        <v>0.248</v>
      </c>
      <c r="IJ93">
        <v>-0.78082190234885118</v>
      </c>
      <c r="IK93">
        <v>2.2153513873161218E-3</v>
      </c>
      <c r="IL93">
        <v>-2.2967369670569612E-6</v>
      </c>
      <c r="IM93">
        <v>7.7859689150384122E-10</v>
      </c>
      <c r="IN93">
        <v>-0.16259076971226799</v>
      </c>
      <c r="IO93">
        <v>-4.1434251034592161E-3</v>
      </c>
      <c r="IP93">
        <v>8.3987709687394815E-4</v>
      </c>
      <c r="IQ93">
        <v>-7.4586254598011197E-6</v>
      </c>
      <c r="IR93">
        <v>2</v>
      </c>
      <c r="IS93">
        <v>1930</v>
      </c>
      <c r="IT93">
        <v>2</v>
      </c>
      <c r="IU93">
        <v>41</v>
      </c>
      <c r="IV93">
        <v>0.8</v>
      </c>
      <c r="IW93">
        <v>0.5</v>
      </c>
      <c r="IX93">
        <v>0.17211899999999999</v>
      </c>
      <c r="IY93">
        <v>2.6269499999999999</v>
      </c>
      <c r="IZ93">
        <v>1.24512</v>
      </c>
      <c r="JA93">
        <v>2.2558600000000002</v>
      </c>
      <c r="JB93">
        <v>1.4501999999999999</v>
      </c>
      <c r="JC93">
        <v>2.2778299999999998</v>
      </c>
      <c r="JD93">
        <v>47.122900000000001</v>
      </c>
      <c r="JE93">
        <v>23.947399999999998</v>
      </c>
      <c r="JF93">
        <v>18</v>
      </c>
      <c r="JG93">
        <v>498.459</v>
      </c>
      <c r="JH93">
        <v>444.89600000000002</v>
      </c>
      <c r="JI93">
        <v>28.3658</v>
      </c>
      <c r="JJ93">
        <v>31.290400000000002</v>
      </c>
      <c r="JK93">
        <v>30.0002</v>
      </c>
      <c r="JL93">
        <v>31.258700000000001</v>
      </c>
      <c r="JM93">
        <v>31.230499999999999</v>
      </c>
      <c r="JN93">
        <v>3.50454</v>
      </c>
      <c r="JO93">
        <v>33.486199999999997</v>
      </c>
      <c r="JP93">
        <v>37.043399999999998</v>
      </c>
      <c r="JQ93">
        <v>28.344200000000001</v>
      </c>
      <c r="JR93">
        <v>10</v>
      </c>
      <c r="JS93">
        <v>22.516400000000001</v>
      </c>
      <c r="JT93">
        <v>99.639399999999995</v>
      </c>
      <c r="JU93">
        <v>99.001400000000004</v>
      </c>
    </row>
    <row r="94" spans="1:281" x14ac:dyDescent="0.25">
      <c r="A94">
        <v>78</v>
      </c>
      <c r="B94">
        <v>1693513175.0999999</v>
      </c>
      <c r="C94">
        <v>17525.5</v>
      </c>
      <c r="D94" t="s">
        <v>813</v>
      </c>
      <c r="E94" t="s">
        <v>814</v>
      </c>
      <c r="F94" t="s">
        <v>413</v>
      </c>
      <c r="G94" t="s">
        <v>778</v>
      </c>
      <c r="H94" t="s">
        <v>779</v>
      </c>
      <c r="I94" t="s">
        <v>31</v>
      </c>
      <c r="J94">
        <v>1693513175.0999999</v>
      </c>
      <c r="K94">
        <f t="shared" si="92"/>
        <v>5.7873180263299162E-3</v>
      </c>
      <c r="L94">
        <f t="shared" si="93"/>
        <v>5.787318026329916</v>
      </c>
      <c r="M94">
        <f t="shared" si="94"/>
        <v>39.102719120234184</v>
      </c>
      <c r="N94">
        <f t="shared" si="95"/>
        <v>350.74799999999999</v>
      </c>
      <c r="O94">
        <f t="shared" si="96"/>
        <v>195.18313672205957</v>
      </c>
      <c r="P94">
        <f t="shared" si="97"/>
        <v>19.441376071079834</v>
      </c>
      <c r="Q94">
        <f t="shared" si="98"/>
        <v>34.936541592163195</v>
      </c>
      <c r="R94">
        <f t="shared" si="99"/>
        <v>0.44874322708503833</v>
      </c>
      <c r="S94">
        <f t="shared" si="100"/>
        <v>2.9296239807365376</v>
      </c>
      <c r="T94">
        <f t="shared" si="101"/>
        <v>0.41375813027056862</v>
      </c>
      <c r="U94">
        <f t="shared" si="102"/>
        <v>0.26151443724083073</v>
      </c>
      <c r="V94">
        <f t="shared" si="103"/>
        <v>344.38519864389434</v>
      </c>
      <c r="W94">
        <f t="shared" si="104"/>
        <v>31.325321068920886</v>
      </c>
      <c r="X94">
        <f t="shared" si="105"/>
        <v>29.950900000000001</v>
      </c>
      <c r="Y94">
        <f t="shared" si="106"/>
        <v>4.2484489364882005</v>
      </c>
      <c r="Z94">
        <f t="shared" si="107"/>
        <v>65.134555508736767</v>
      </c>
      <c r="AA94">
        <f t="shared" si="108"/>
        <v>2.9052726293456801</v>
      </c>
      <c r="AB94">
        <f t="shared" si="109"/>
        <v>4.4604167582842935</v>
      </c>
      <c r="AC94">
        <f t="shared" si="110"/>
        <v>1.3431763071425205</v>
      </c>
      <c r="AD94">
        <f t="shared" si="111"/>
        <v>-255.2207249611493</v>
      </c>
      <c r="AE94">
        <f t="shared" si="112"/>
        <v>134.25060484204766</v>
      </c>
      <c r="AF94">
        <f t="shared" si="113"/>
        <v>10.22726860838857</v>
      </c>
      <c r="AG94">
        <f t="shared" si="114"/>
        <v>233.64234713318126</v>
      </c>
      <c r="AH94">
        <v>0</v>
      </c>
      <c r="AI94">
        <v>0</v>
      </c>
      <c r="AJ94">
        <f t="shared" si="115"/>
        <v>1</v>
      </c>
      <c r="AK94">
        <f t="shared" si="116"/>
        <v>0</v>
      </c>
      <c r="AL94">
        <f t="shared" si="117"/>
        <v>52207.027453923998</v>
      </c>
      <c r="AM94" t="s">
        <v>417</v>
      </c>
      <c r="AN94">
        <v>10366.9</v>
      </c>
      <c r="AO94">
        <v>993.59653846153856</v>
      </c>
      <c r="AP94">
        <v>3431.87</v>
      </c>
      <c r="AQ94">
        <f t="shared" si="118"/>
        <v>0.71047955241266758</v>
      </c>
      <c r="AR94">
        <v>-3.9894345373445681</v>
      </c>
      <c r="AS94" t="s">
        <v>815</v>
      </c>
      <c r="AT94">
        <v>10439</v>
      </c>
      <c r="AU94">
        <v>740.72528000000011</v>
      </c>
      <c r="AV94">
        <v>1026.738724440615</v>
      </c>
      <c r="AW94">
        <f t="shared" si="119"/>
        <v>0.2785649724046787</v>
      </c>
      <c r="AX94">
        <v>0.5</v>
      </c>
      <c r="AY94">
        <f t="shared" si="120"/>
        <v>1513.252199321947</v>
      </c>
      <c r="AZ94">
        <f t="shared" si="121"/>
        <v>39.102719120234184</v>
      </c>
      <c r="BA94">
        <f t="shared" si="122"/>
        <v>210.76952857271877</v>
      </c>
      <c r="BB94">
        <f t="shared" si="123"/>
        <v>2.8476518109068229E-2</v>
      </c>
      <c r="BC94">
        <f t="shared" si="124"/>
        <v>2.3424959225821955</v>
      </c>
      <c r="BD94">
        <f t="shared" si="125"/>
        <v>592.06069681233146</v>
      </c>
      <c r="BE94" t="s">
        <v>816</v>
      </c>
      <c r="BF94">
        <v>600.41</v>
      </c>
      <c r="BG94">
        <f t="shared" si="126"/>
        <v>600.41</v>
      </c>
      <c r="BH94">
        <f t="shared" si="127"/>
        <v>0.41522610795934112</v>
      </c>
      <c r="BI94">
        <f t="shared" si="128"/>
        <v>0.67087537865503311</v>
      </c>
      <c r="BJ94">
        <f t="shared" si="129"/>
        <v>0.84943148607410479</v>
      </c>
      <c r="BK94">
        <f t="shared" si="130"/>
        <v>8.6298907567890364</v>
      </c>
      <c r="BL94">
        <f t="shared" si="131"/>
        <v>0.98640751888503719</v>
      </c>
      <c r="BM94">
        <f t="shared" si="132"/>
        <v>0.54379173625378141</v>
      </c>
      <c r="BN94">
        <f t="shared" si="133"/>
        <v>0.45620826374621859</v>
      </c>
      <c r="BO94">
        <v>7898</v>
      </c>
      <c r="BP94">
        <v>290.00000000000011</v>
      </c>
      <c r="BQ94">
        <v>935.41</v>
      </c>
      <c r="BR94">
        <v>175</v>
      </c>
      <c r="BS94">
        <v>10439</v>
      </c>
      <c r="BT94">
        <v>932.71</v>
      </c>
      <c r="BU94">
        <v>2.7</v>
      </c>
      <c r="BV94">
        <v>300.00000000000011</v>
      </c>
      <c r="BW94">
        <v>38.200000000000003</v>
      </c>
      <c r="BX94">
        <v>1026.738724440615</v>
      </c>
      <c r="BY94">
        <v>1.23953354582124</v>
      </c>
      <c r="BZ94">
        <v>-98.156022082353843</v>
      </c>
      <c r="CA94">
        <v>1.059236956870768</v>
      </c>
      <c r="CB94">
        <v>0.99674990105183692</v>
      </c>
      <c r="CC94">
        <v>-1.133579243604005E-2</v>
      </c>
      <c r="CD94">
        <v>289.99999999999989</v>
      </c>
      <c r="CE94">
        <v>915.48</v>
      </c>
      <c r="CF94">
        <v>645</v>
      </c>
      <c r="CG94">
        <v>10418</v>
      </c>
      <c r="CH94">
        <v>932.52</v>
      </c>
      <c r="CI94">
        <v>-17.04</v>
      </c>
      <c r="CW94">
        <f t="shared" si="134"/>
        <v>1800.08</v>
      </c>
      <c r="CX94">
        <f t="shared" si="135"/>
        <v>1513.252199321947</v>
      </c>
      <c r="CY94">
        <f t="shared" si="136"/>
        <v>0.8406583036986951</v>
      </c>
      <c r="CZ94">
        <f t="shared" si="137"/>
        <v>0.19131660739739031</v>
      </c>
      <c r="DA94">
        <v>6</v>
      </c>
      <c r="DB94">
        <v>0.5</v>
      </c>
      <c r="DC94" t="s">
        <v>420</v>
      </c>
      <c r="DD94">
        <v>2</v>
      </c>
      <c r="DE94">
        <v>1693513175.0999999</v>
      </c>
      <c r="DF94">
        <v>350.74799999999999</v>
      </c>
      <c r="DG94">
        <v>400.06599999999997</v>
      </c>
      <c r="DH94">
        <v>29.1677</v>
      </c>
      <c r="DI94">
        <v>22.431100000000001</v>
      </c>
      <c r="DJ94">
        <v>351.53699999999998</v>
      </c>
      <c r="DK94">
        <v>28.924399999999999</v>
      </c>
      <c r="DL94">
        <v>500.41699999999997</v>
      </c>
      <c r="DM94">
        <v>99.506699999999995</v>
      </c>
      <c r="DN94">
        <v>9.9118399999999995E-2</v>
      </c>
      <c r="DO94">
        <v>30.800899999999999</v>
      </c>
      <c r="DP94">
        <v>29.950900000000001</v>
      </c>
      <c r="DQ94">
        <v>999.9</v>
      </c>
      <c r="DR94">
        <v>0</v>
      </c>
      <c r="DS94">
        <v>0</v>
      </c>
      <c r="DT94">
        <v>10050</v>
      </c>
      <c r="DU94">
        <v>0</v>
      </c>
      <c r="DV94">
        <v>1829.28</v>
      </c>
      <c r="DW94">
        <v>-49.318199999999997</v>
      </c>
      <c r="DX94">
        <v>361.286</v>
      </c>
      <c r="DY94">
        <v>409.24599999999998</v>
      </c>
      <c r="DZ94">
        <v>6.7366099999999998</v>
      </c>
      <c r="EA94">
        <v>400.06599999999997</v>
      </c>
      <c r="EB94">
        <v>22.431100000000001</v>
      </c>
      <c r="EC94">
        <v>2.90239</v>
      </c>
      <c r="ED94">
        <v>2.2320500000000001</v>
      </c>
      <c r="EE94">
        <v>23.478300000000001</v>
      </c>
      <c r="EF94">
        <v>19.194199999999999</v>
      </c>
      <c r="EG94">
        <v>1800.08</v>
      </c>
      <c r="EH94">
        <v>0.97799400000000003</v>
      </c>
      <c r="EI94">
        <v>2.20062E-2</v>
      </c>
      <c r="EJ94">
        <v>0</v>
      </c>
      <c r="EK94">
        <v>739.553</v>
      </c>
      <c r="EL94">
        <v>5.0010300000000001</v>
      </c>
      <c r="EM94">
        <v>13949.5</v>
      </c>
      <c r="EN94">
        <v>14701.7</v>
      </c>
      <c r="EO94">
        <v>48</v>
      </c>
      <c r="EP94">
        <v>50.311999999999998</v>
      </c>
      <c r="EQ94">
        <v>49.5</v>
      </c>
      <c r="ER94">
        <v>48.811999999999998</v>
      </c>
      <c r="ES94">
        <v>49.561999999999998</v>
      </c>
      <c r="ET94">
        <v>1755.58</v>
      </c>
      <c r="EU94">
        <v>39.5</v>
      </c>
      <c r="EV94">
        <v>0</v>
      </c>
      <c r="EW94">
        <v>187.79999995231631</v>
      </c>
      <c r="EX94">
        <v>0</v>
      </c>
      <c r="EY94">
        <v>740.72528000000011</v>
      </c>
      <c r="EZ94">
        <v>-7.3542307818602994</v>
      </c>
      <c r="FA94">
        <v>-117.42307707111731</v>
      </c>
      <c r="FB94">
        <v>13958.48</v>
      </c>
      <c r="FC94">
        <v>15</v>
      </c>
      <c r="FD94">
        <v>1693513071.5999999</v>
      </c>
      <c r="FE94" t="s">
        <v>817</v>
      </c>
      <c r="FF94">
        <v>1693513055.0999999</v>
      </c>
      <c r="FG94">
        <v>1693513071.5999999</v>
      </c>
      <c r="FH94">
        <v>86</v>
      </c>
      <c r="FI94">
        <v>-0.53700000000000003</v>
      </c>
      <c r="FJ94">
        <v>4.0000000000000001E-3</v>
      </c>
      <c r="FK94">
        <v>-0.749</v>
      </c>
      <c r="FL94">
        <v>8.4000000000000005E-2</v>
      </c>
      <c r="FM94">
        <v>400</v>
      </c>
      <c r="FN94">
        <v>22</v>
      </c>
      <c r="FO94">
        <v>0.31</v>
      </c>
      <c r="FP94">
        <v>0.03</v>
      </c>
      <c r="FQ94">
        <v>38.842375804537816</v>
      </c>
      <c r="FR94">
        <v>1.202483193779976</v>
      </c>
      <c r="FS94">
        <v>0.1037716617073752</v>
      </c>
      <c r="FT94">
        <v>0</v>
      </c>
      <c r="FU94">
        <v>0.44808346687272871</v>
      </c>
      <c r="FV94">
        <v>-1.7518258407811359E-3</v>
      </c>
      <c r="FW94">
        <v>7.40408038579127E-4</v>
      </c>
      <c r="FX94">
        <v>1</v>
      </c>
      <c r="FY94">
        <v>1</v>
      </c>
      <c r="FZ94">
        <v>2</v>
      </c>
      <c r="GA94" t="s">
        <v>461</v>
      </c>
      <c r="GB94">
        <v>2.9051</v>
      </c>
      <c r="GC94">
        <v>2.8175699999999999</v>
      </c>
      <c r="GD94">
        <v>8.2517800000000002E-2</v>
      </c>
      <c r="GE94">
        <v>9.1226399999999999E-2</v>
      </c>
      <c r="GF94">
        <v>0.137074</v>
      </c>
      <c r="GG94">
        <v>0.11422599999999999</v>
      </c>
      <c r="GH94">
        <v>25538.799999999999</v>
      </c>
      <c r="GI94">
        <v>25297.1</v>
      </c>
      <c r="GJ94">
        <v>24693.1</v>
      </c>
      <c r="GK94">
        <v>24852.799999999999</v>
      </c>
      <c r="GL94">
        <v>28283.599999999999</v>
      </c>
      <c r="GM94">
        <v>28748.3</v>
      </c>
      <c r="GN94">
        <v>33380.800000000003</v>
      </c>
      <c r="GO94">
        <v>33155.4</v>
      </c>
      <c r="GP94">
        <v>1.9841</v>
      </c>
      <c r="GQ94">
        <v>1.8282</v>
      </c>
      <c r="GR94">
        <v>6.6027000000000002E-2</v>
      </c>
      <c r="GS94">
        <v>0</v>
      </c>
      <c r="GT94">
        <v>28.875299999999999</v>
      </c>
      <c r="GU94">
        <v>999.9</v>
      </c>
      <c r="GV94">
        <v>41.7</v>
      </c>
      <c r="GW94">
        <v>41.2</v>
      </c>
      <c r="GX94">
        <v>33.115600000000001</v>
      </c>
      <c r="GY94">
        <v>61.747500000000002</v>
      </c>
      <c r="GZ94">
        <v>27.063300000000002</v>
      </c>
      <c r="HA94">
        <v>1</v>
      </c>
      <c r="HB94">
        <v>0.30375000000000002</v>
      </c>
      <c r="HC94">
        <v>0.117691</v>
      </c>
      <c r="HD94">
        <v>20.165900000000001</v>
      </c>
      <c r="HE94">
        <v>5.2340600000000004</v>
      </c>
      <c r="HF94">
        <v>11.9201</v>
      </c>
      <c r="HG94">
        <v>4.9614000000000003</v>
      </c>
      <c r="HH94">
        <v>3.2890000000000001</v>
      </c>
      <c r="HI94">
        <v>9999</v>
      </c>
      <c r="HJ94">
        <v>9999</v>
      </c>
      <c r="HK94">
        <v>9999</v>
      </c>
      <c r="HL94">
        <v>896.3</v>
      </c>
      <c r="HM94">
        <v>1.8811</v>
      </c>
      <c r="HN94">
        <v>1.8783099999999999</v>
      </c>
      <c r="HO94">
        <v>1.88629</v>
      </c>
      <c r="HP94">
        <v>1.88392</v>
      </c>
      <c r="HQ94">
        <v>1.8815599999999999</v>
      </c>
      <c r="HR94">
        <v>1.88049</v>
      </c>
      <c r="HS94">
        <v>1.8815999999999999</v>
      </c>
      <c r="HT94">
        <v>1.88124</v>
      </c>
      <c r="HU94">
        <v>5</v>
      </c>
      <c r="HV94">
        <v>0</v>
      </c>
      <c r="HW94">
        <v>0</v>
      </c>
      <c r="HX94">
        <v>0</v>
      </c>
      <c r="HY94" t="s">
        <v>423</v>
      </c>
      <c r="HZ94" t="s">
        <v>424</v>
      </c>
      <c r="IA94" t="s">
        <v>425</v>
      </c>
      <c r="IB94" t="s">
        <v>425</v>
      </c>
      <c r="IC94" t="s">
        <v>425</v>
      </c>
      <c r="ID94" t="s">
        <v>425</v>
      </c>
      <c r="IE94">
        <v>0</v>
      </c>
      <c r="IF94">
        <v>100</v>
      </c>
      <c r="IG94">
        <v>100</v>
      </c>
      <c r="IH94">
        <v>-0.78900000000000003</v>
      </c>
      <c r="II94">
        <v>0.24329999999999999</v>
      </c>
      <c r="IJ94">
        <v>-1.3179111097046721</v>
      </c>
      <c r="IK94">
        <v>2.2153513873161218E-3</v>
      </c>
      <c r="IL94">
        <v>-2.2967369670569612E-6</v>
      </c>
      <c r="IM94">
        <v>7.7859689150384122E-10</v>
      </c>
      <c r="IN94">
        <v>-0.15900159569578909</v>
      </c>
      <c r="IO94">
        <v>-4.1434251034592161E-3</v>
      </c>
      <c r="IP94">
        <v>8.3987709687394815E-4</v>
      </c>
      <c r="IQ94">
        <v>-7.4586254598011197E-6</v>
      </c>
      <c r="IR94">
        <v>2</v>
      </c>
      <c r="IS94">
        <v>1930</v>
      </c>
      <c r="IT94">
        <v>2</v>
      </c>
      <c r="IU94">
        <v>41</v>
      </c>
      <c r="IV94">
        <v>2</v>
      </c>
      <c r="IW94">
        <v>1.7</v>
      </c>
      <c r="IX94">
        <v>0.98632799999999998</v>
      </c>
      <c r="IY94">
        <v>2.5512700000000001</v>
      </c>
      <c r="IZ94">
        <v>1.24512</v>
      </c>
      <c r="JA94">
        <v>2.2558600000000002</v>
      </c>
      <c r="JB94">
        <v>1.4501999999999999</v>
      </c>
      <c r="JC94">
        <v>2.4145500000000002</v>
      </c>
      <c r="JD94">
        <v>47.301900000000003</v>
      </c>
      <c r="JE94">
        <v>23.982399999999998</v>
      </c>
      <c r="JF94">
        <v>18</v>
      </c>
      <c r="JG94">
        <v>498.58300000000003</v>
      </c>
      <c r="JH94">
        <v>443.01900000000001</v>
      </c>
      <c r="JI94">
        <v>28.4862</v>
      </c>
      <c r="JJ94">
        <v>31.249700000000001</v>
      </c>
      <c r="JK94">
        <v>30</v>
      </c>
      <c r="JL94">
        <v>31.178000000000001</v>
      </c>
      <c r="JM94">
        <v>31.145600000000002</v>
      </c>
      <c r="JN94">
        <v>19.8569</v>
      </c>
      <c r="JO94">
        <v>30.6251</v>
      </c>
      <c r="JP94">
        <v>29.809100000000001</v>
      </c>
      <c r="JQ94">
        <v>28.4969</v>
      </c>
      <c r="JR94">
        <v>400</v>
      </c>
      <c r="JS94">
        <v>22.414200000000001</v>
      </c>
      <c r="JT94">
        <v>99.644599999999997</v>
      </c>
      <c r="JU94">
        <v>99.003200000000007</v>
      </c>
    </row>
    <row r="95" spans="1:281" x14ac:dyDescent="0.25">
      <c r="A95">
        <v>79</v>
      </c>
      <c r="B95">
        <v>1693513331.5999999</v>
      </c>
      <c r="C95">
        <v>17682</v>
      </c>
      <c r="D95" t="s">
        <v>818</v>
      </c>
      <c r="E95" t="s">
        <v>819</v>
      </c>
      <c r="F95" t="s">
        <v>413</v>
      </c>
      <c r="G95" t="s">
        <v>778</v>
      </c>
      <c r="H95" t="s">
        <v>779</v>
      </c>
      <c r="I95" t="s">
        <v>31</v>
      </c>
      <c r="J95">
        <v>1693513331.5999999</v>
      </c>
      <c r="K95">
        <f t="shared" si="92"/>
        <v>5.5150144805065689E-3</v>
      </c>
      <c r="L95">
        <f t="shared" si="93"/>
        <v>5.5150144805065686</v>
      </c>
      <c r="M95">
        <f t="shared" si="94"/>
        <v>44.864594190401334</v>
      </c>
      <c r="N95">
        <f t="shared" si="95"/>
        <v>343.99799999999999</v>
      </c>
      <c r="O95">
        <f t="shared" si="96"/>
        <v>159.50405105985882</v>
      </c>
      <c r="P95">
        <f t="shared" si="97"/>
        <v>15.887500711799555</v>
      </c>
      <c r="Q95">
        <f t="shared" si="98"/>
        <v>34.2641358231498</v>
      </c>
      <c r="R95">
        <f t="shared" si="99"/>
        <v>0.42907167761740217</v>
      </c>
      <c r="S95">
        <f t="shared" si="100"/>
        <v>2.913850506597611</v>
      </c>
      <c r="T95">
        <f t="shared" si="101"/>
        <v>0.39680932436294519</v>
      </c>
      <c r="U95">
        <f t="shared" si="102"/>
        <v>0.25070201492997479</v>
      </c>
      <c r="V95">
        <f t="shared" si="103"/>
        <v>344.38139864387927</v>
      </c>
      <c r="W95">
        <f t="shared" si="104"/>
        <v>31.393920351812817</v>
      </c>
      <c r="X95">
        <f t="shared" si="105"/>
        <v>29.915500000000002</v>
      </c>
      <c r="Y95">
        <f t="shared" si="106"/>
        <v>4.2398148901536876</v>
      </c>
      <c r="Z95">
        <f t="shared" si="107"/>
        <v>65.149454369799955</v>
      </c>
      <c r="AA95">
        <f t="shared" si="108"/>
        <v>2.9051076222291097</v>
      </c>
      <c r="AB95">
        <f t="shared" si="109"/>
        <v>4.4591434423060541</v>
      </c>
      <c r="AC95">
        <f t="shared" si="110"/>
        <v>1.3347072679245779</v>
      </c>
      <c r="AD95">
        <f t="shared" si="111"/>
        <v>-243.21213859033969</v>
      </c>
      <c r="AE95">
        <f t="shared" si="112"/>
        <v>138.30336409369195</v>
      </c>
      <c r="AF95">
        <f t="shared" si="113"/>
        <v>10.590929535629913</v>
      </c>
      <c r="AG95">
        <f t="shared" si="114"/>
        <v>250.06355368286145</v>
      </c>
      <c r="AH95">
        <v>0</v>
      </c>
      <c r="AI95">
        <v>0</v>
      </c>
      <c r="AJ95">
        <f t="shared" si="115"/>
        <v>1</v>
      </c>
      <c r="AK95">
        <f t="shared" si="116"/>
        <v>0</v>
      </c>
      <c r="AL95">
        <f t="shared" si="117"/>
        <v>51758.967096521148</v>
      </c>
      <c r="AM95" t="s">
        <v>417</v>
      </c>
      <c r="AN95">
        <v>10366.9</v>
      </c>
      <c r="AO95">
        <v>993.59653846153856</v>
      </c>
      <c r="AP95">
        <v>3431.87</v>
      </c>
      <c r="AQ95">
        <f t="shared" si="118"/>
        <v>0.71047955241266758</v>
      </c>
      <c r="AR95">
        <v>-3.9894345373445681</v>
      </c>
      <c r="AS95" t="s">
        <v>820</v>
      </c>
      <c r="AT95">
        <v>10440.799999999999</v>
      </c>
      <c r="AU95">
        <v>768.43328000000008</v>
      </c>
      <c r="AV95">
        <v>1104.5048841434921</v>
      </c>
      <c r="AW95">
        <f t="shared" si="119"/>
        <v>0.30427353375092103</v>
      </c>
      <c r="AX95">
        <v>0.5</v>
      </c>
      <c r="AY95">
        <f t="shared" si="120"/>
        <v>1513.2353993219394</v>
      </c>
      <c r="AZ95">
        <f t="shared" si="121"/>
        <v>44.864594190401334</v>
      </c>
      <c r="BA95">
        <f t="shared" si="122"/>
        <v>230.21874117433632</v>
      </c>
      <c r="BB95">
        <f t="shared" si="123"/>
        <v>3.2284487099387665E-2</v>
      </c>
      <c r="BC95">
        <f t="shared" si="124"/>
        <v>2.1071569254863953</v>
      </c>
      <c r="BD95">
        <f t="shared" si="125"/>
        <v>617.11578629562212</v>
      </c>
      <c r="BE95" t="s">
        <v>821</v>
      </c>
      <c r="BF95">
        <v>613.54</v>
      </c>
      <c r="BG95">
        <f t="shared" si="126"/>
        <v>613.54</v>
      </c>
      <c r="BH95">
        <f t="shared" si="127"/>
        <v>0.44451128391724548</v>
      </c>
      <c r="BI95">
        <f t="shared" si="128"/>
        <v>0.68451250791547413</v>
      </c>
      <c r="BJ95">
        <f t="shared" si="129"/>
        <v>0.82579581378210076</v>
      </c>
      <c r="BK95">
        <f t="shared" si="130"/>
        <v>3.030174168382497</v>
      </c>
      <c r="BL95">
        <f t="shared" si="131"/>
        <v>0.95451357387453395</v>
      </c>
      <c r="BM95">
        <f t="shared" si="132"/>
        <v>0.54653515801197461</v>
      </c>
      <c r="BN95">
        <f t="shared" si="133"/>
        <v>0.45346484198802539</v>
      </c>
      <c r="BO95">
        <v>7900</v>
      </c>
      <c r="BP95">
        <v>290.00000000000011</v>
      </c>
      <c r="BQ95">
        <v>1005.94</v>
      </c>
      <c r="BR95">
        <v>165</v>
      </c>
      <c r="BS95">
        <v>10440.799999999999</v>
      </c>
      <c r="BT95">
        <v>1002</v>
      </c>
      <c r="BU95">
        <v>3.94</v>
      </c>
      <c r="BV95">
        <v>300.00000000000011</v>
      </c>
      <c r="BW95">
        <v>38.200000000000003</v>
      </c>
      <c r="BX95">
        <v>1104.5048841434921</v>
      </c>
      <c r="BY95">
        <v>1.436031630987739</v>
      </c>
      <c r="BZ95">
        <v>-107.0243503657354</v>
      </c>
      <c r="CA95">
        <v>1.227198201031281</v>
      </c>
      <c r="CB95">
        <v>0.99633202522205189</v>
      </c>
      <c r="CC95">
        <v>-1.133730834260289E-2</v>
      </c>
      <c r="CD95">
        <v>289.99999999999989</v>
      </c>
      <c r="CE95">
        <v>986.8</v>
      </c>
      <c r="CF95">
        <v>645</v>
      </c>
      <c r="CG95">
        <v>10418.299999999999</v>
      </c>
      <c r="CH95">
        <v>1001.78</v>
      </c>
      <c r="CI95">
        <v>-14.98</v>
      </c>
      <c r="CW95">
        <f t="shared" si="134"/>
        <v>1800.06</v>
      </c>
      <c r="CX95">
        <f t="shared" si="135"/>
        <v>1513.2353993219394</v>
      </c>
      <c r="CY95">
        <f t="shared" si="136"/>
        <v>0.84065831101293265</v>
      </c>
      <c r="CZ95">
        <f t="shared" si="137"/>
        <v>0.19131662202586541</v>
      </c>
      <c r="DA95">
        <v>6</v>
      </c>
      <c r="DB95">
        <v>0.5</v>
      </c>
      <c r="DC95" t="s">
        <v>420</v>
      </c>
      <c r="DD95">
        <v>2</v>
      </c>
      <c r="DE95">
        <v>1693513331.5999999</v>
      </c>
      <c r="DF95">
        <v>343.99799999999999</v>
      </c>
      <c r="DG95">
        <v>400.05099999999999</v>
      </c>
      <c r="DH95">
        <v>29.1661</v>
      </c>
      <c r="DI95">
        <v>22.748100000000001</v>
      </c>
      <c r="DJ95">
        <v>344.87900000000002</v>
      </c>
      <c r="DK95">
        <v>28.924499999999998</v>
      </c>
      <c r="DL95">
        <v>500.54500000000002</v>
      </c>
      <c r="DM95">
        <v>99.505799999999994</v>
      </c>
      <c r="DN95">
        <v>9.98251E-2</v>
      </c>
      <c r="DO95">
        <v>30.7959</v>
      </c>
      <c r="DP95">
        <v>29.915500000000002</v>
      </c>
      <c r="DQ95">
        <v>999.9</v>
      </c>
      <c r="DR95">
        <v>0</v>
      </c>
      <c r="DS95">
        <v>0</v>
      </c>
      <c r="DT95">
        <v>9960</v>
      </c>
      <c r="DU95">
        <v>0</v>
      </c>
      <c r="DV95">
        <v>1825.45</v>
      </c>
      <c r="DW95">
        <v>-56.052799999999998</v>
      </c>
      <c r="DX95">
        <v>354.33300000000003</v>
      </c>
      <c r="DY95">
        <v>409.363</v>
      </c>
      <c r="DZ95">
        <v>6.4180200000000003</v>
      </c>
      <c r="EA95">
        <v>400.05099999999999</v>
      </c>
      <c r="EB95">
        <v>22.748100000000001</v>
      </c>
      <c r="EC95">
        <v>2.9022000000000001</v>
      </c>
      <c r="ED95">
        <v>2.2635700000000001</v>
      </c>
      <c r="EE95">
        <v>23.4772</v>
      </c>
      <c r="EF95">
        <v>19.4194</v>
      </c>
      <c r="EG95">
        <v>1800.06</v>
      </c>
      <c r="EH95">
        <v>0.97799400000000003</v>
      </c>
      <c r="EI95">
        <v>2.20062E-2</v>
      </c>
      <c r="EJ95">
        <v>0</v>
      </c>
      <c r="EK95">
        <v>769.57</v>
      </c>
      <c r="EL95">
        <v>5.0010300000000001</v>
      </c>
      <c r="EM95">
        <v>14479.4</v>
      </c>
      <c r="EN95">
        <v>14701.5</v>
      </c>
      <c r="EO95">
        <v>47.936999999999998</v>
      </c>
      <c r="EP95">
        <v>50.186999999999998</v>
      </c>
      <c r="EQ95">
        <v>49.375</v>
      </c>
      <c r="ER95">
        <v>48.811999999999998</v>
      </c>
      <c r="ES95">
        <v>49.561999999999998</v>
      </c>
      <c r="ET95">
        <v>1755.56</v>
      </c>
      <c r="EU95">
        <v>39.5</v>
      </c>
      <c r="EV95">
        <v>0</v>
      </c>
      <c r="EW95">
        <v>154.79999995231631</v>
      </c>
      <c r="EX95">
        <v>0</v>
      </c>
      <c r="EY95">
        <v>768.43328000000008</v>
      </c>
      <c r="EZ95">
        <v>9.8919230906603079</v>
      </c>
      <c r="FA95">
        <v>186.56923102895149</v>
      </c>
      <c r="FB95">
        <v>14462</v>
      </c>
      <c r="FC95">
        <v>15</v>
      </c>
      <c r="FD95">
        <v>1693513248.5999999</v>
      </c>
      <c r="FE95" t="s">
        <v>822</v>
      </c>
      <c r="FF95">
        <v>1693513239.5999999</v>
      </c>
      <c r="FG95">
        <v>1693513248.5999999</v>
      </c>
      <c r="FH95">
        <v>87</v>
      </c>
      <c r="FI95">
        <v>-8.5999999999999993E-2</v>
      </c>
      <c r="FJ95">
        <v>-2E-3</v>
      </c>
      <c r="FK95">
        <v>-0.83499999999999996</v>
      </c>
      <c r="FL95">
        <v>8.3000000000000004E-2</v>
      </c>
      <c r="FM95">
        <v>400</v>
      </c>
      <c r="FN95">
        <v>22</v>
      </c>
      <c r="FO95">
        <v>0.13</v>
      </c>
      <c r="FP95">
        <v>0.04</v>
      </c>
      <c r="FQ95">
        <v>44.650264272816372</v>
      </c>
      <c r="FR95">
        <v>0.61722306208636302</v>
      </c>
      <c r="FS95">
        <v>8.322722571907161E-2</v>
      </c>
      <c r="FT95">
        <v>1</v>
      </c>
      <c r="FU95">
        <v>0.43576370671784009</v>
      </c>
      <c r="FV95">
        <v>-1.111827959106643E-3</v>
      </c>
      <c r="FW95">
        <v>9.9097319654919752E-4</v>
      </c>
      <c r="FX95">
        <v>1</v>
      </c>
      <c r="FY95">
        <v>2</v>
      </c>
      <c r="FZ95">
        <v>2</v>
      </c>
      <c r="GA95" t="s">
        <v>422</v>
      </c>
      <c r="GB95">
        <v>2.9055200000000001</v>
      </c>
      <c r="GC95">
        <v>2.8174899999999998</v>
      </c>
      <c r="GD95">
        <v>8.1292600000000007E-2</v>
      </c>
      <c r="GE95">
        <v>9.1240699999999994E-2</v>
      </c>
      <c r="GF95">
        <v>0.13709299999999999</v>
      </c>
      <c r="GG95">
        <v>0.115354</v>
      </c>
      <c r="GH95">
        <v>25575.4</v>
      </c>
      <c r="GI95">
        <v>25296.3</v>
      </c>
      <c r="GJ95">
        <v>24695.4</v>
      </c>
      <c r="GK95">
        <v>24852.2</v>
      </c>
      <c r="GL95">
        <v>28284.799999999999</v>
      </c>
      <c r="GM95">
        <v>28710.5</v>
      </c>
      <c r="GN95">
        <v>33383.300000000003</v>
      </c>
      <c r="GO95">
        <v>33154.699999999997</v>
      </c>
      <c r="GP95">
        <v>1.9849000000000001</v>
      </c>
      <c r="GQ95">
        <v>1.8259000000000001</v>
      </c>
      <c r="GR95">
        <v>6.9796999999999998E-2</v>
      </c>
      <c r="GS95">
        <v>0</v>
      </c>
      <c r="GT95">
        <v>28.778400000000001</v>
      </c>
      <c r="GU95">
        <v>999.9</v>
      </c>
      <c r="GV95">
        <v>40.4</v>
      </c>
      <c r="GW95">
        <v>41.6</v>
      </c>
      <c r="GX95">
        <v>32.769399999999997</v>
      </c>
      <c r="GY95">
        <v>62.047600000000003</v>
      </c>
      <c r="GZ95">
        <v>26.855</v>
      </c>
      <c r="HA95">
        <v>1</v>
      </c>
      <c r="HB95">
        <v>0.29874000000000001</v>
      </c>
      <c r="HC95">
        <v>-7.1024E-3</v>
      </c>
      <c r="HD95">
        <v>20.166</v>
      </c>
      <c r="HE95">
        <v>5.2328599999999996</v>
      </c>
      <c r="HF95">
        <v>11.9201</v>
      </c>
      <c r="HG95">
        <v>4.9615999999999998</v>
      </c>
      <c r="HH95">
        <v>3.2890000000000001</v>
      </c>
      <c r="HI95">
        <v>9999</v>
      </c>
      <c r="HJ95">
        <v>9999</v>
      </c>
      <c r="HK95">
        <v>9999</v>
      </c>
      <c r="HL95">
        <v>896.4</v>
      </c>
      <c r="HM95">
        <v>1.8811</v>
      </c>
      <c r="HN95">
        <v>1.8782300000000001</v>
      </c>
      <c r="HO95">
        <v>1.88619</v>
      </c>
      <c r="HP95">
        <v>1.8838600000000001</v>
      </c>
      <c r="HQ95">
        <v>1.8814599999999999</v>
      </c>
      <c r="HR95">
        <v>1.88049</v>
      </c>
      <c r="HS95">
        <v>1.8815599999999999</v>
      </c>
      <c r="HT95">
        <v>1.88121</v>
      </c>
      <c r="HU95">
        <v>5</v>
      </c>
      <c r="HV95">
        <v>0</v>
      </c>
      <c r="HW95">
        <v>0</v>
      </c>
      <c r="HX95">
        <v>0</v>
      </c>
      <c r="HY95" t="s">
        <v>423</v>
      </c>
      <c r="HZ95" t="s">
        <v>424</v>
      </c>
      <c r="IA95" t="s">
        <v>425</v>
      </c>
      <c r="IB95" t="s">
        <v>425</v>
      </c>
      <c r="IC95" t="s">
        <v>425</v>
      </c>
      <c r="ID95" t="s">
        <v>425</v>
      </c>
      <c r="IE95">
        <v>0</v>
      </c>
      <c r="IF95">
        <v>100</v>
      </c>
      <c r="IG95">
        <v>100</v>
      </c>
      <c r="IH95">
        <v>-0.88100000000000001</v>
      </c>
      <c r="II95">
        <v>0.24160000000000001</v>
      </c>
      <c r="IJ95">
        <v>-1.4037534425805109</v>
      </c>
      <c r="IK95">
        <v>2.2153513873161218E-3</v>
      </c>
      <c r="IL95">
        <v>-2.2967369670569612E-6</v>
      </c>
      <c r="IM95">
        <v>7.7859689150384122E-10</v>
      </c>
      <c r="IN95">
        <v>-0.1607354509773874</v>
      </c>
      <c r="IO95">
        <v>-4.1434251034592161E-3</v>
      </c>
      <c r="IP95">
        <v>8.3987709687394815E-4</v>
      </c>
      <c r="IQ95">
        <v>-7.4586254598011197E-6</v>
      </c>
      <c r="IR95">
        <v>2</v>
      </c>
      <c r="IS95">
        <v>1930</v>
      </c>
      <c r="IT95">
        <v>2</v>
      </c>
      <c r="IU95">
        <v>41</v>
      </c>
      <c r="IV95">
        <v>1.5</v>
      </c>
      <c r="IW95">
        <v>1.4</v>
      </c>
      <c r="IX95">
        <v>0.98754900000000001</v>
      </c>
      <c r="IY95">
        <v>2.5488300000000002</v>
      </c>
      <c r="IZ95">
        <v>1.24512</v>
      </c>
      <c r="JA95">
        <v>2.2546400000000002</v>
      </c>
      <c r="JB95">
        <v>1.4501999999999999</v>
      </c>
      <c r="JC95">
        <v>2.4633799999999999</v>
      </c>
      <c r="JD95">
        <v>47.4816</v>
      </c>
      <c r="JE95">
        <v>23.991199999999999</v>
      </c>
      <c r="JF95">
        <v>18</v>
      </c>
      <c r="JG95">
        <v>498.59300000000002</v>
      </c>
      <c r="JH95">
        <v>440.97300000000001</v>
      </c>
      <c r="JI95">
        <v>28.7818</v>
      </c>
      <c r="JJ95">
        <v>31.1937</v>
      </c>
      <c r="JK95">
        <v>29.9999</v>
      </c>
      <c r="JL95">
        <v>31.1159</v>
      </c>
      <c r="JM95">
        <v>31.080100000000002</v>
      </c>
      <c r="JN95">
        <v>19.870699999999999</v>
      </c>
      <c r="JO95">
        <v>27.836200000000002</v>
      </c>
      <c r="JP95">
        <v>24.6539</v>
      </c>
      <c r="JQ95">
        <v>28.775300000000001</v>
      </c>
      <c r="JR95">
        <v>400</v>
      </c>
      <c r="JS95">
        <v>22.790600000000001</v>
      </c>
      <c r="JT95">
        <v>99.652799999999999</v>
      </c>
      <c r="JU95">
        <v>99.001000000000005</v>
      </c>
    </row>
    <row r="96" spans="1:281" x14ac:dyDescent="0.25">
      <c r="A96">
        <v>80</v>
      </c>
      <c r="B96">
        <v>1693513437.5999999</v>
      </c>
      <c r="C96">
        <v>17788</v>
      </c>
      <c r="D96" t="s">
        <v>823</v>
      </c>
      <c r="E96" t="s">
        <v>824</v>
      </c>
      <c r="F96" t="s">
        <v>413</v>
      </c>
      <c r="G96" t="s">
        <v>778</v>
      </c>
      <c r="H96" t="s">
        <v>779</v>
      </c>
      <c r="I96" t="s">
        <v>31</v>
      </c>
      <c r="J96">
        <v>1693513437.5999999</v>
      </c>
      <c r="K96">
        <f t="shared" si="92"/>
        <v>5.4971750449916935E-3</v>
      </c>
      <c r="L96">
        <f t="shared" si="93"/>
        <v>5.4971750449916934</v>
      </c>
      <c r="M96">
        <f t="shared" si="94"/>
        <v>47.71647093432842</v>
      </c>
      <c r="N96">
        <f t="shared" si="95"/>
        <v>440.005</v>
      </c>
      <c r="O96">
        <f t="shared" si="96"/>
        <v>240.47175654522141</v>
      </c>
      <c r="P96">
        <f t="shared" si="97"/>
        <v>23.951498868179389</v>
      </c>
      <c r="Q96">
        <f t="shared" si="98"/>
        <v>43.825434682644001</v>
      </c>
      <c r="R96">
        <f t="shared" si="99"/>
        <v>0.42483603640482792</v>
      </c>
      <c r="S96">
        <f t="shared" si="100"/>
        <v>2.937408617269369</v>
      </c>
      <c r="T96">
        <f t="shared" si="101"/>
        <v>0.39341607826965813</v>
      </c>
      <c r="U96">
        <f t="shared" si="102"/>
        <v>0.24851408215571463</v>
      </c>
      <c r="V96">
        <f t="shared" si="103"/>
        <v>344.36109864345309</v>
      </c>
      <c r="W96">
        <f t="shared" si="104"/>
        <v>31.487921439708312</v>
      </c>
      <c r="X96">
        <f t="shared" si="105"/>
        <v>30.028500000000001</v>
      </c>
      <c r="Y96">
        <f t="shared" si="106"/>
        <v>4.2674291766662593</v>
      </c>
      <c r="Z96">
        <f t="shared" si="107"/>
        <v>65.265758923357382</v>
      </c>
      <c r="AA96">
        <f t="shared" si="108"/>
        <v>2.9259519764803197</v>
      </c>
      <c r="AB96">
        <f t="shared" si="109"/>
        <v>4.4831348393823349</v>
      </c>
      <c r="AC96">
        <f t="shared" si="110"/>
        <v>1.3414772001859396</v>
      </c>
      <c r="AD96">
        <f t="shared" si="111"/>
        <v>-242.42541948413367</v>
      </c>
      <c r="AE96">
        <f t="shared" si="112"/>
        <v>136.41265930455842</v>
      </c>
      <c r="AF96">
        <f t="shared" si="113"/>
        <v>10.372974712493587</v>
      </c>
      <c r="AG96">
        <f t="shared" si="114"/>
        <v>248.72131317637144</v>
      </c>
      <c r="AH96">
        <v>0</v>
      </c>
      <c r="AI96">
        <v>0</v>
      </c>
      <c r="AJ96">
        <f t="shared" si="115"/>
        <v>1</v>
      </c>
      <c r="AK96">
        <f t="shared" si="116"/>
        <v>0</v>
      </c>
      <c r="AL96">
        <f t="shared" si="117"/>
        <v>52413.714640509213</v>
      </c>
      <c r="AM96" t="s">
        <v>417</v>
      </c>
      <c r="AN96">
        <v>10366.9</v>
      </c>
      <c r="AO96">
        <v>993.59653846153856</v>
      </c>
      <c r="AP96">
        <v>3431.87</v>
      </c>
      <c r="AQ96">
        <f t="shared" si="118"/>
        <v>0.71047955241266758</v>
      </c>
      <c r="AR96">
        <v>-3.9894345373445681</v>
      </c>
      <c r="AS96" t="s">
        <v>825</v>
      </c>
      <c r="AT96">
        <v>10432.6</v>
      </c>
      <c r="AU96">
        <v>786.82011999999986</v>
      </c>
      <c r="AV96">
        <v>1155.740697833241</v>
      </c>
      <c r="AW96">
        <f t="shared" si="119"/>
        <v>0.31920704923248433</v>
      </c>
      <c r="AX96">
        <v>0.5</v>
      </c>
      <c r="AY96">
        <f t="shared" si="120"/>
        <v>1513.1432993217265</v>
      </c>
      <c r="AZ96">
        <f t="shared" si="121"/>
        <v>47.71647093432842</v>
      </c>
      <c r="BA96">
        <f t="shared" si="122"/>
        <v>241.50300382119707</v>
      </c>
      <c r="BB96">
        <f t="shared" si="123"/>
        <v>3.4171188872098503E-2</v>
      </c>
      <c r="BC96">
        <f t="shared" si="124"/>
        <v>1.9694117429921776</v>
      </c>
      <c r="BD96">
        <f t="shared" si="125"/>
        <v>632.78948523822532</v>
      </c>
      <c r="BE96" t="s">
        <v>826</v>
      </c>
      <c r="BF96">
        <v>621.27</v>
      </c>
      <c r="BG96">
        <f t="shared" si="126"/>
        <v>621.27</v>
      </c>
      <c r="BH96">
        <f t="shared" si="127"/>
        <v>0.46244862609342718</v>
      </c>
      <c r="BI96">
        <f t="shared" si="128"/>
        <v>0.69025407628305047</v>
      </c>
      <c r="BJ96">
        <f t="shared" si="129"/>
        <v>0.80983750877633209</v>
      </c>
      <c r="BK96">
        <f t="shared" si="130"/>
        <v>2.2752628232973864</v>
      </c>
      <c r="BL96">
        <f t="shared" si="131"/>
        <v>0.93350042071597839</v>
      </c>
      <c r="BM96">
        <f t="shared" si="132"/>
        <v>0.54502184053500158</v>
      </c>
      <c r="BN96">
        <f t="shared" si="133"/>
        <v>0.45497815946499842</v>
      </c>
      <c r="BO96">
        <v>7902</v>
      </c>
      <c r="BP96">
        <v>290.00000000000011</v>
      </c>
      <c r="BQ96">
        <v>1049.57</v>
      </c>
      <c r="BR96">
        <v>235</v>
      </c>
      <c r="BS96">
        <v>10432.6</v>
      </c>
      <c r="BT96">
        <v>1045.47</v>
      </c>
      <c r="BU96">
        <v>4.0999999999999996</v>
      </c>
      <c r="BV96">
        <v>300.00000000000011</v>
      </c>
      <c r="BW96">
        <v>38.200000000000003</v>
      </c>
      <c r="BX96">
        <v>1155.740697833241</v>
      </c>
      <c r="BY96">
        <v>1.613432415138045</v>
      </c>
      <c r="BZ96">
        <v>-115.042812747017</v>
      </c>
      <c r="CA96">
        <v>1.3789727279923101</v>
      </c>
      <c r="CB96">
        <v>0.995993116277618</v>
      </c>
      <c r="CC96">
        <v>-1.1337967964404901E-2</v>
      </c>
      <c r="CD96">
        <v>289.99999999999989</v>
      </c>
      <c r="CE96">
        <v>1029.6099999999999</v>
      </c>
      <c r="CF96">
        <v>645</v>
      </c>
      <c r="CG96">
        <v>10419.6</v>
      </c>
      <c r="CH96">
        <v>1045.33</v>
      </c>
      <c r="CI96">
        <v>-15.72</v>
      </c>
      <c r="CW96">
        <f t="shared" si="134"/>
        <v>1799.95</v>
      </c>
      <c r="CX96">
        <f t="shared" si="135"/>
        <v>1513.1432993217265</v>
      </c>
      <c r="CY96">
        <f t="shared" si="136"/>
        <v>0.84065851791534574</v>
      </c>
      <c r="CZ96">
        <f t="shared" si="137"/>
        <v>0.19131703583069146</v>
      </c>
      <c r="DA96">
        <v>6</v>
      </c>
      <c r="DB96">
        <v>0.5</v>
      </c>
      <c r="DC96" t="s">
        <v>420</v>
      </c>
      <c r="DD96">
        <v>2</v>
      </c>
      <c r="DE96">
        <v>1693513437.5999999</v>
      </c>
      <c r="DF96">
        <v>440.005</v>
      </c>
      <c r="DG96">
        <v>500.137</v>
      </c>
      <c r="DH96">
        <v>29.3764</v>
      </c>
      <c r="DI96">
        <v>22.976800000000001</v>
      </c>
      <c r="DJ96">
        <v>440.97300000000001</v>
      </c>
      <c r="DK96">
        <v>29.124600000000001</v>
      </c>
      <c r="DL96">
        <v>500.25200000000001</v>
      </c>
      <c r="DM96">
        <v>99.503399999999999</v>
      </c>
      <c r="DN96">
        <v>9.8728800000000005E-2</v>
      </c>
      <c r="DO96">
        <v>30.889900000000001</v>
      </c>
      <c r="DP96">
        <v>30.028500000000001</v>
      </c>
      <c r="DQ96">
        <v>999.9</v>
      </c>
      <c r="DR96">
        <v>0</v>
      </c>
      <c r="DS96">
        <v>0</v>
      </c>
      <c r="DT96">
        <v>10095</v>
      </c>
      <c r="DU96">
        <v>0</v>
      </c>
      <c r="DV96">
        <v>1823.69</v>
      </c>
      <c r="DW96">
        <v>-60.131399999999999</v>
      </c>
      <c r="DX96">
        <v>453.322</v>
      </c>
      <c r="DY96">
        <v>511.89800000000002</v>
      </c>
      <c r="DZ96">
        <v>6.3995600000000001</v>
      </c>
      <c r="EA96">
        <v>500.137</v>
      </c>
      <c r="EB96">
        <v>22.976800000000001</v>
      </c>
      <c r="EC96">
        <v>2.9230499999999999</v>
      </c>
      <c r="ED96">
        <v>2.28627</v>
      </c>
      <c r="EE96">
        <v>23.5959</v>
      </c>
      <c r="EF96">
        <v>19.579999999999998</v>
      </c>
      <c r="EG96">
        <v>1799.95</v>
      </c>
      <c r="EH96">
        <v>0.97799000000000003</v>
      </c>
      <c r="EI96">
        <v>2.2009899999999999E-2</v>
      </c>
      <c r="EJ96">
        <v>0</v>
      </c>
      <c r="EK96">
        <v>787.54700000000003</v>
      </c>
      <c r="EL96">
        <v>5.0010300000000001</v>
      </c>
      <c r="EM96">
        <v>14786.6</v>
      </c>
      <c r="EN96">
        <v>14700.6</v>
      </c>
      <c r="EO96">
        <v>47.811999999999998</v>
      </c>
      <c r="EP96">
        <v>49.936999999999998</v>
      </c>
      <c r="EQ96">
        <v>49.311999999999998</v>
      </c>
      <c r="ER96">
        <v>48.561999999999998</v>
      </c>
      <c r="ES96">
        <v>49.436999999999998</v>
      </c>
      <c r="ET96">
        <v>1755.44</v>
      </c>
      <c r="EU96">
        <v>39.51</v>
      </c>
      <c r="EV96">
        <v>0</v>
      </c>
      <c r="EW96">
        <v>103.7999999523163</v>
      </c>
      <c r="EX96">
        <v>0</v>
      </c>
      <c r="EY96">
        <v>786.82011999999986</v>
      </c>
      <c r="EZ96">
        <v>5.0883846310045584</v>
      </c>
      <c r="FA96">
        <v>40.099999651835113</v>
      </c>
      <c r="FB96">
        <v>14783.987999999999</v>
      </c>
      <c r="FC96">
        <v>15</v>
      </c>
      <c r="FD96">
        <v>1693513407.0999999</v>
      </c>
      <c r="FE96" t="s">
        <v>827</v>
      </c>
      <c r="FF96">
        <v>1693513404.5999999</v>
      </c>
      <c r="FG96">
        <v>1693513407.0999999</v>
      </c>
      <c r="FH96">
        <v>88</v>
      </c>
      <c r="FI96">
        <v>-0.161</v>
      </c>
      <c r="FJ96">
        <v>5.0000000000000001E-3</v>
      </c>
      <c r="FK96">
        <v>-0.93300000000000005</v>
      </c>
      <c r="FL96">
        <v>9.2999999999999999E-2</v>
      </c>
      <c r="FM96">
        <v>500</v>
      </c>
      <c r="FN96">
        <v>23</v>
      </c>
      <c r="FO96">
        <v>0.08</v>
      </c>
      <c r="FP96">
        <v>0.06</v>
      </c>
      <c r="FQ96">
        <v>47.671341164514658</v>
      </c>
      <c r="FR96">
        <v>-0.64950504790947938</v>
      </c>
      <c r="FS96">
        <v>0.1053486569371445</v>
      </c>
      <c r="FT96">
        <v>1</v>
      </c>
      <c r="FU96">
        <v>0.42831514464046289</v>
      </c>
      <c r="FV96">
        <v>2.5577277667863951E-2</v>
      </c>
      <c r="FW96">
        <v>2.824299708774063E-3</v>
      </c>
      <c r="FX96">
        <v>1</v>
      </c>
      <c r="FY96">
        <v>2</v>
      </c>
      <c r="FZ96">
        <v>2</v>
      </c>
      <c r="GA96" t="s">
        <v>422</v>
      </c>
      <c r="GB96">
        <v>2.9049</v>
      </c>
      <c r="GC96">
        <v>2.81758</v>
      </c>
      <c r="GD96">
        <v>9.82624E-2</v>
      </c>
      <c r="GE96">
        <v>0.107823</v>
      </c>
      <c r="GF96">
        <v>0.13775399999999999</v>
      </c>
      <c r="GG96">
        <v>0.11616700000000001</v>
      </c>
      <c r="GH96">
        <v>25105.5</v>
      </c>
      <c r="GI96">
        <v>24837</v>
      </c>
      <c r="GJ96">
        <v>24697.5</v>
      </c>
      <c r="GK96">
        <v>24854.1</v>
      </c>
      <c r="GL96">
        <v>28264.6</v>
      </c>
      <c r="GM96">
        <v>28685.8</v>
      </c>
      <c r="GN96">
        <v>33385.800000000003</v>
      </c>
      <c r="GO96">
        <v>33157.199999999997</v>
      </c>
      <c r="GP96">
        <v>1.9846999999999999</v>
      </c>
      <c r="GQ96">
        <v>1.8249</v>
      </c>
      <c r="GR96">
        <v>8.10921E-2</v>
      </c>
      <c r="GS96">
        <v>0</v>
      </c>
      <c r="GT96">
        <v>28.7075</v>
      </c>
      <c r="GU96">
        <v>999.9</v>
      </c>
      <c r="GV96">
        <v>39.5</v>
      </c>
      <c r="GW96">
        <v>41.9</v>
      </c>
      <c r="GX96">
        <v>32.552700000000002</v>
      </c>
      <c r="GY96">
        <v>61.4375</v>
      </c>
      <c r="GZ96">
        <v>25.953499999999998</v>
      </c>
      <c r="HA96">
        <v>1</v>
      </c>
      <c r="HB96">
        <v>0.29442099999999999</v>
      </c>
      <c r="HC96">
        <v>0.31697199999999998</v>
      </c>
      <c r="HD96">
        <v>20.166</v>
      </c>
      <c r="HE96">
        <v>5.2340600000000004</v>
      </c>
      <c r="HF96">
        <v>11.9201</v>
      </c>
      <c r="HG96">
        <v>4.9610000000000003</v>
      </c>
      <c r="HH96">
        <v>3.2890000000000001</v>
      </c>
      <c r="HI96">
        <v>9999</v>
      </c>
      <c r="HJ96">
        <v>9999</v>
      </c>
      <c r="HK96">
        <v>9999</v>
      </c>
      <c r="HL96">
        <v>896.4</v>
      </c>
      <c r="HM96">
        <v>1.8811</v>
      </c>
      <c r="HN96">
        <v>1.87822</v>
      </c>
      <c r="HO96">
        <v>1.88619</v>
      </c>
      <c r="HP96">
        <v>1.88391</v>
      </c>
      <c r="HQ96">
        <v>1.8815299999999999</v>
      </c>
      <c r="HR96">
        <v>1.88049</v>
      </c>
      <c r="HS96">
        <v>1.8815900000000001</v>
      </c>
      <c r="HT96">
        <v>1.88121</v>
      </c>
      <c r="HU96">
        <v>5</v>
      </c>
      <c r="HV96">
        <v>0</v>
      </c>
      <c r="HW96">
        <v>0</v>
      </c>
      <c r="HX96">
        <v>0</v>
      </c>
      <c r="HY96" t="s">
        <v>423</v>
      </c>
      <c r="HZ96" t="s">
        <v>424</v>
      </c>
      <c r="IA96" t="s">
        <v>425</v>
      </c>
      <c r="IB96" t="s">
        <v>425</v>
      </c>
      <c r="IC96" t="s">
        <v>425</v>
      </c>
      <c r="ID96" t="s">
        <v>425</v>
      </c>
      <c r="IE96">
        <v>0</v>
      </c>
      <c r="IF96">
        <v>100</v>
      </c>
      <c r="IG96">
        <v>100</v>
      </c>
      <c r="IH96">
        <v>-0.96799999999999997</v>
      </c>
      <c r="II96">
        <v>0.25180000000000002</v>
      </c>
      <c r="IJ96">
        <v>-1.5646983589766099</v>
      </c>
      <c r="IK96">
        <v>2.2153513873161218E-3</v>
      </c>
      <c r="IL96">
        <v>-2.2967369670569612E-6</v>
      </c>
      <c r="IM96">
        <v>7.7859689150384122E-10</v>
      </c>
      <c r="IN96">
        <v>-0.15570328815639251</v>
      </c>
      <c r="IO96">
        <v>-4.1434251034592161E-3</v>
      </c>
      <c r="IP96">
        <v>8.3987709687394815E-4</v>
      </c>
      <c r="IQ96">
        <v>-7.4586254598011197E-6</v>
      </c>
      <c r="IR96">
        <v>2</v>
      </c>
      <c r="IS96">
        <v>1930</v>
      </c>
      <c r="IT96">
        <v>2</v>
      </c>
      <c r="IU96">
        <v>41</v>
      </c>
      <c r="IV96">
        <v>0.6</v>
      </c>
      <c r="IW96">
        <v>0.5</v>
      </c>
      <c r="IX96">
        <v>1.18042</v>
      </c>
      <c r="IY96">
        <v>2.5476100000000002</v>
      </c>
      <c r="IZ96">
        <v>1.24512</v>
      </c>
      <c r="JA96">
        <v>2.2546400000000002</v>
      </c>
      <c r="JB96">
        <v>1.4501999999999999</v>
      </c>
      <c r="JC96">
        <v>2.33521</v>
      </c>
      <c r="JD96">
        <v>47.541699999999999</v>
      </c>
      <c r="JE96">
        <v>23.991199999999999</v>
      </c>
      <c r="JF96">
        <v>18</v>
      </c>
      <c r="JG96">
        <v>497.92700000000002</v>
      </c>
      <c r="JH96">
        <v>439.803</v>
      </c>
      <c r="JI96">
        <v>28.800699999999999</v>
      </c>
      <c r="JJ96">
        <v>31.1159</v>
      </c>
      <c r="JK96">
        <v>29.9998</v>
      </c>
      <c r="JL96">
        <v>31.053599999999999</v>
      </c>
      <c r="JM96">
        <v>31.015899999999998</v>
      </c>
      <c r="JN96">
        <v>23.737400000000001</v>
      </c>
      <c r="JO96">
        <v>26.152000000000001</v>
      </c>
      <c r="JP96">
        <v>21.665099999999999</v>
      </c>
      <c r="JQ96">
        <v>28.811900000000001</v>
      </c>
      <c r="JR96">
        <v>500</v>
      </c>
      <c r="JS96">
        <v>22.944299999999998</v>
      </c>
      <c r="JT96">
        <v>99.660799999999995</v>
      </c>
      <c r="JU96">
        <v>99.008399999999995</v>
      </c>
    </row>
    <row r="97" spans="1:281" x14ac:dyDescent="0.25">
      <c r="A97">
        <v>81</v>
      </c>
      <c r="B97">
        <v>1693513540.0999999</v>
      </c>
      <c r="C97">
        <v>17890.5</v>
      </c>
      <c r="D97" t="s">
        <v>828</v>
      </c>
      <c r="E97" t="s">
        <v>829</v>
      </c>
      <c r="F97" t="s">
        <v>413</v>
      </c>
      <c r="G97" t="s">
        <v>778</v>
      </c>
      <c r="H97" t="s">
        <v>779</v>
      </c>
      <c r="I97" t="s">
        <v>31</v>
      </c>
      <c r="J97">
        <v>1693513540.0999999</v>
      </c>
      <c r="K97">
        <f t="shared" si="92"/>
        <v>5.4218889714545224E-3</v>
      </c>
      <c r="L97">
        <f t="shared" si="93"/>
        <v>5.4218889714545222</v>
      </c>
      <c r="M97">
        <f t="shared" si="94"/>
        <v>48.548874327365688</v>
      </c>
      <c r="N97">
        <f t="shared" si="95"/>
        <v>637.48500000000001</v>
      </c>
      <c r="O97">
        <f t="shared" si="96"/>
        <v>427.6506414741732</v>
      </c>
      <c r="P97">
        <f t="shared" si="97"/>
        <v>42.59937732113778</v>
      </c>
      <c r="Q97">
        <f t="shared" si="98"/>
        <v>63.501515999025003</v>
      </c>
      <c r="R97">
        <f t="shared" si="99"/>
        <v>0.41891196002870124</v>
      </c>
      <c r="S97">
        <f t="shared" si="100"/>
        <v>2.9113308802338738</v>
      </c>
      <c r="T97">
        <f t="shared" si="101"/>
        <v>0.38807601994888358</v>
      </c>
      <c r="U97">
        <f t="shared" si="102"/>
        <v>0.24512857800092247</v>
      </c>
      <c r="V97">
        <f t="shared" si="103"/>
        <v>344.36629864485656</v>
      </c>
      <c r="W97">
        <f t="shared" si="104"/>
        <v>31.500770821887301</v>
      </c>
      <c r="X97">
        <f t="shared" si="105"/>
        <v>30.008800000000001</v>
      </c>
      <c r="Y97">
        <f t="shared" si="106"/>
        <v>4.2626037541442869</v>
      </c>
      <c r="Z97">
        <f t="shared" si="107"/>
        <v>65.200946853448002</v>
      </c>
      <c r="AA97">
        <f t="shared" si="108"/>
        <v>2.9210787010860004</v>
      </c>
      <c r="AB97">
        <f t="shared" si="109"/>
        <v>4.4801169953125086</v>
      </c>
      <c r="AC97">
        <f t="shared" si="110"/>
        <v>1.3415250530582865</v>
      </c>
      <c r="AD97">
        <f t="shared" si="111"/>
        <v>-239.10530364114445</v>
      </c>
      <c r="AE97">
        <f t="shared" si="112"/>
        <v>136.44156429190593</v>
      </c>
      <c r="AF97">
        <f t="shared" si="113"/>
        <v>10.466477017766909</v>
      </c>
      <c r="AG97">
        <f t="shared" si="114"/>
        <v>252.16903631338496</v>
      </c>
      <c r="AH97">
        <v>0</v>
      </c>
      <c r="AI97">
        <v>0</v>
      </c>
      <c r="AJ97">
        <f t="shared" si="115"/>
        <v>1</v>
      </c>
      <c r="AK97">
        <f t="shared" si="116"/>
        <v>0</v>
      </c>
      <c r="AL97">
        <f t="shared" si="117"/>
        <v>51673.557674871219</v>
      </c>
      <c r="AM97" t="s">
        <v>417</v>
      </c>
      <c r="AN97">
        <v>10366.9</v>
      </c>
      <c r="AO97">
        <v>993.59653846153856</v>
      </c>
      <c r="AP97">
        <v>3431.87</v>
      </c>
      <c r="AQ97">
        <f t="shared" si="118"/>
        <v>0.71047955241266758</v>
      </c>
      <c r="AR97">
        <v>-3.9894345373445681</v>
      </c>
      <c r="AS97" t="s">
        <v>830</v>
      </c>
      <c r="AT97">
        <v>10449.4</v>
      </c>
      <c r="AU97">
        <v>790.98720000000003</v>
      </c>
      <c r="AV97">
        <v>1175.0219655586329</v>
      </c>
      <c r="AW97">
        <f t="shared" si="119"/>
        <v>0.32683198852036255</v>
      </c>
      <c r="AX97">
        <v>0.5</v>
      </c>
      <c r="AY97">
        <f t="shared" si="120"/>
        <v>1513.175699322428</v>
      </c>
      <c r="AZ97">
        <f t="shared" si="121"/>
        <v>48.548874327365688</v>
      </c>
      <c r="BA97">
        <f t="shared" si="122"/>
        <v>247.27711139511968</v>
      </c>
      <c r="BB97">
        <f t="shared" si="123"/>
        <v>3.4720560796896179E-2</v>
      </c>
      <c r="BC97">
        <f t="shared" si="124"/>
        <v>1.9206858259610564</v>
      </c>
      <c r="BD97">
        <f t="shared" si="125"/>
        <v>638.52625214922659</v>
      </c>
      <c r="BE97" t="s">
        <v>831</v>
      </c>
      <c r="BF97">
        <v>622.51</v>
      </c>
      <c r="BG97">
        <f t="shared" si="126"/>
        <v>622.51</v>
      </c>
      <c r="BH97">
        <f t="shared" si="127"/>
        <v>0.47021415918463771</v>
      </c>
      <c r="BI97">
        <f t="shared" si="128"/>
        <v>0.69507049529749754</v>
      </c>
      <c r="BJ97">
        <f t="shared" si="129"/>
        <v>0.80333173193943364</v>
      </c>
      <c r="BK97">
        <f t="shared" si="130"/>
        <v>2.1167637398097847</v>
      </c>
      <c r="BL97">
        <f t="shared" si="131"/>
        <v>0.92559266630305614</v>
      </c>
      <c r="BM97">
        <f t="shared" si="132"/>
        <v>0.54702318068818956</v>
      </c>
      <c r="BN97">
        <f t="shared" si="133"/>
        <v>0.45297681931181044</v>
      </c>
      <c r="BO97">
        <v>7904</v>
      </c>
      <c r="BP97">
        <v>290.00000000000011</v>
      </c>
      <c r="BQ97">
        <v>1064.0999999999999</v>
      </c>
      <c r="BR97">
        <v>125</v>
      </c>
      <c r="BS97">
        <v>10449.4</v>
      </c>
      <c r="BT97">
        <v>1060.24</v>
      </c>
      <c r="BU97">
        <v>3.86</v>
      </c>
      <c r="BV97">
        <v>300.00000000000011</v>
      </c>
      <c r="BW97">
        <v>38.200000000000003</v>
      </c>
      <c r="BX97">
        <v>1175.0219655586329</v>
      </c>
      <c r="BY97">
        <v>1.407769131346718</v>
      </c>
      <c r="BZ97">
        <v>-119.9390464015318</v>
      </c>
      <c r="CA97">
        <v>1.203264527357415</v>
      </c>
      <c r="CB97">
        <v>0.99718980210479824</v>
      </c>
      <c r="CC97">
        <v>-1.1338537263626261E-2</v>
      </c>
      <c r="CD97">
        <v>289.99999999999989</v>
      </c>
      <c r="CE97">
        <v>1044.04</v>
      </c>
      <c r="CF97">
        <v>645</v>
      </c>
      <c r="CG97">
        <v>10420.299999999999</v>
      </c>
      <c r="CH97">
        <v>1059.92</v>
      </c>
      <c r="CI97">
        <v>-15.88</v>
      </c>
      <c r="CW97">
        <f t="shared" si="134"/>
        <v>1799.99</v>
      </c>
      <c r="CX97">
        <f t="shared" si="135"/>
        <v>1513.175699322428</v>
      </c>
      <c r="CY97">
        <f t="shared" si="136"/>
        <v>0.84065783661155236</v>
      </c>
      <c r="CZ97">
        <f t="shared" si="137"/>
        <v>0.19131567322310489</v>
      </c>
      <c r="DA97">
        <v>6</v>
      </c>
      <c r="DB97">
        <v>0.5</v>
      </c>
      <c r="DC97" t="s">
        <v>420</v>
      </c>
      <c r="DD97">
        <v>2</v>
      </c>
      <c r="DE97">
        <v>1693513540.0999999</v>
      </c>
      <c r="DF97">
        <v>637.48500000000001</v>
      </c>
      <c r="DG97">
        <v>699.85400000000004</v>
      </c>
      <c r="DH97">
        <v>29.324400000000001</v>
      </c>
      <c r="DI97">
        <v>23.012699999999999</v>
      </c>
      <c r="DJ97">
        <v>638.68100000000004</v>
      </c>
      <c r="DK97">
        <v>29.0746</v>
      </c>
      <c r="DL97">
        <v>500.29899999999998</v>
      </c>
      <c r="DM97">
        <v>99.5124</v>
      </c>
      <c r="DN97">
        <v>0.100165</v>
      </c>
      <c r="DO97">
        <v>30.8781</v>
      </c>
      <c r="DP97">
        <v>30.008800000000001</v>
      </c>
      <c r="DQ97">
        <v>999.9</v>
      </c>
      <c r="DR97">
        <v>0</v>
      </c>
      <c r="DS97">
        <v>0</v>
      </c>
      <c r="DT97">
        <v>9945</v>
      </c>
      <c r="DU97">
        <v>0</v>
      </c>
      <c r="DV97">
        <v>1821.06</v>
      </c>
      <c r="DW97">
        <v>-62.368699999999997</v>
      </c>
      <c r="DX97">
        <v>656.74400000000003</v>
      </c>
      <c r="DY97">
        <v>716.33900000000006</v>
      </c>
      <c r="DZ97">
        <v>6.3117299999999998</v>
      </c>
      <c r="EA97">
        <v>699.85400000000004</v>
      </c>
      <c r="EB97">
        <v>23.012699999999999</v>
      </c>
      <c r="EC97">
        <v>2.9181400000000002</v>
      </c>
      <c r="ED97">
        <v>2.2900399999999999</v>
      </c>
      <c r="EE97">
        <v>23.568100000000001</v>
      </c>
      <c r="EF97">
        <v>19.6065</v>
      </c>
      <c r="EG97">
        <v>1799.99</v>
      </c>
      <c r="EH97">
        <v>0.97800900000000002</v>
      </c>
      <c r="EI97">
        <v>2.1990800000000001E-2</v>
      </c>
      <c r="EJ97">
        <v>0</v>
      </c>
      <c r="EK97">
        <v>791.25</v>
      </c>
      <c r="EL97">
        <v>5.0010300000000001</v>
      </c>
      <c r="EM97">
        <v>14849.3</v>
      </c>
      <c r="EN97">
        <v>14701</v>
      </c>
      <c r="EO97">
        <v>47.75</v>
      </c>
      <c r="EP97">
        <v>49.75</v>
      </c>
      <c r="EQ97">
        <v>49.125</v>
      </c>
      <c r="ER97">
        <v>48.436999999999998</v>
      </c>
      <c r="ES97">
        <v>49.311999999999998</v>
      </c>
      <c r="ET97">
        <v>1755.52</v>
      </c>
      <c r="EU97">
        <v>39.47</v>
      </c>
      <c r="EV97">
        <v>0</v>
      </c>
      <c r="EW97">
        <v>100.7999999523163</v>
      </c>
      <c r="EX97">
        <v>0</v>
      </c>
      <c r="EY97">
        <v>790.98720000000003</v>
      </c>
      <c r="EZ97">
        <v>0.37876922270843533</v>
      </c>
      <c r="FA97">
        <v>-5.43076906824398</v>
      </c>
      <c r="FB97">
        <v>14851.907999999999</v>
      </c>
      <c r="FC97">
        <v>15</v>
      </c>
      <c r="FD97">
        <v>1693513510.5999999</v>
      </c>
      <c r="FE97" t="s">
        <v>832</v>
      </c>
      <c r="FF97">
        <v>1693513506.0999999</v>
      </c>
      <c r="FG97">
        <v>1693513510.5999999</v>
      </c>
      <c r="FH97">
        <v>89</v>
      </c>
      <c r="FI97">
        <v>-0.312</v>
      </c>
      <c r="FJ97">
        <v>-1E-3</v>
      </c>
      <c r="FK97">
        <v>-1.1839999999999999</v>
      </c>
      <c r="FL97">
        <v>9.7000000000000003E-2</v>
      </c>
      <c r="FM97">
        <v>700</v>
      </c>
      <c r="FN97">
        <v>23</v>
      </c>
      <c r="FO97">
        <v>0.14000000000000001</v>
      </c>
      <c r="FP97">
        <v>0.04</v>
      </c>
      <c r="FQ97">
        <v>48.695334893974113</v>
      </c>
      <c r="FR97">
        <v>-0.59401995532196517</v>
      </c>
      <c r="FS97">
        <v>0.10184189244770001</v>
      </c>
      <c r="FT97">
        <v>1</v>
      </c>
      <c r="FU97">
        <v>0.42202726465852092</v>
      </c>
      <c r="FV97">
        <v>1.0000985081304091E-2</v>
      </c>
      <c r="FW97">
        <v>2.2437641994143042E-3</v>
      </c>
      <c r="FX97">
        <v>1</v>
      </c>
      <c r="FY97">
        <v>2</v>
      </c>
      <c r="FZ97">
        <v>2</v>
      </c>
      <c r="GA97" t="s">
        <v>422</v>
      </c>
      <c r="GB97">
        <v>2.9051900000000002</v>
      </c>
      <c r="GC97">
        <v>2.8176999999999999</v>
      </c>
      <c r="GD97">
        <v>0.12834499999999999</v>
      </c>
      <c r="GE97">
        <v>0.13661000000000001</v>
      </c>
      <c r="GF97">
        <v>0.137627</v>
      </c>
      <c r="GG97">
        <v>0.11632000000000001</v>
      </c>
      <c r="GH97">
        <v>24271.200000000001</v>
      </c>
      <c r="GI97">
        <v>24035.8</v>
      </c>
      <c r="GJ97">
        <v>24700.7</v>
      </c>
      <c r="GK97">
        <v>24854</v>
      </c>
      <c r="GL97">
        <v>28272.5</v>
      </c>
      <c r="GM97">
        <v>28680.799999999999</v>
      </c>
      <c r="GN97">
        <v>33390.6</v>
      </c>
      <c r="GO97">
        <v>33157.4</v>
      </c>
      <c r="GP97">
        <v>1.9863</v>
      </c>
      <c r="GQ97">
        <v>1.8250999999999999</v>
      </c>
      <c r="GR97">
        <v>8.3044199999999999E-2</v>
      </c>
      <c r="GS97">
        <v>0</v>
      </c>
      <c r="GT97">
        <v>28.655899999999999</v>
      </c>
      <c r="GU97">
        <v>999.9</v>
      </c>
      <c r="GV97">
        <v>38.799999999999997</v>
      </c>
      <c r="GW97">
        <v>42.1</v>
      </c>
      <c r="GX97">
        <v>32.312399999999997</v>
      </c>
      <c r="GY97">
        <v>62.057600000000001</v>
      </c>
      <c r="GZ97">
        <v>26.558499999999999</v>
      </c>
      <c r="HA97">
        <v>1</v>
      </c>
      <c r="HB97">
        <v>0.28688999999999998</v>
      </c>
      <c r="HC97">
        <v>0.15884499999999999</v>
      </c>
      <c r="HD97">
        <v>20.213799999999999</v>
      </c>
      <c r="HE97">
        <v>5.2340600000000004</v>
      </c>
      <c r="HF97">
        <v>11.9201</v>
      </c>
      <c r="HG97">
        <v>4.9614000000000003</v>
      </c>
      <c r="HH97">
        <v>3.2890000000000001</v>
      </c>
      <c r="HI97">
        <v>9999</v>
      </c>
      <c r="HJ97">
        <v>9999</v>
      </c>
      <c r="HK97">
        <v>9999</v>
      </c>
      <c r="HL97">
        <v>896.4</v>
      </c>
      <c r="HM97">
        <v>1.88096</v>
      </c>
      <c r="HN97">
        <v>1.8782000000000001</v>
      </c>
      <c r="HO97">
        <v>1.8861399999999999</v>
      </c>
      <c r="HP97">
        <v>1.88385</v>
      </c>
      <c r="HQ97">
        <v>1.8814299999999999</v>
      </c>
      <c r="HR97">
        <v>1.88039</v>
      </c>
      <c r="HS97">
        <v>1.8815599999999999</v>
      </c>
      <c r="HT97">
        <v>1.8811</v>
      </c>
      <c r="HU97">
        <v>5</v>
      </c>
      <c r="HV97">
        <v>0</v>
      </c>
      <c r="HW97">
        <v>0</v>
      </c>
      <c r="HX97">
        <v>0</v>
      </c>
      <c r="HY97" t="s">
        <v>423</v>
      </c>
      <c r="HZ97" t="s">
        <v>424</v>
      </c>
      <c r="IA97" t="s">
        <v>425</v>
      </c>
      <c r="IB97" t="s">
        <v>425</v>
      </c>
      <c r="IC97" t="s">
        <v>425</v>
      </c>
      <c r="ID97" t="s">
        <v>425</v>
      </c>
      <c r="IE97">
        <v>0</v>
      </c>
      <c r="IF97">
        <v>100</v>
      </c>
      <c r="IG97">
        <v>100</v>
      </c>
      <c r="IH97">
        <v>-1.196</v>
      </c>
      <c r="II97">
        <v>0.24979999999999999</v>
      </c>
      <c r="IJ97">
        <v>-1.877033101457777</v>
      </c>
      <c r="IK97">
        <v>2.2153513873161218E-3</v>
      </c>
      <c r="IL97">
        <v>-2.2967369670569612E-6</v>
      </c>
      <c r="IM97">
        <v>7.7859689150384122E-10</v>
      </c>
      <c r="IN97">
        <v>-0.15636148364007799</v>
      </c>
      <c r="IO97">
        <v>-4.1434251034592161E-3</v>
      </c>
      <c r="IP97">
        <v>8.3987709687394815E-4</v>
      </c>
      <c r="IQ97">
        <v>-7.4586254598011197E-6</v>
      </c>
      <c r="IR97">
        <v>2</v>
      </c>
      <c r="IS97">
        <v>1930</v>
      </c>
      <c r="IT97">
        <v>2</v>
      </c>
      <c r="IU97">
        <v>41</v>
      </c>
      <c r="IV97">
        <v>0.6</v>
      </c>
      <c r="IW97">
        <v>0.5</v>
      </c>
      <c r="IX97">
        <v>1.5502899999999999</v>
      </c>
      <c r="IY97">
        <v>2.5402800000000001</v>
      </c>
      <c r="IZ97">
        <v>1.24512</v>
      </c>
      <c r="JA97">
        <v>2.2534200000000002</v>
      </c>
      <c r="JB97">
        <v>1.4501999999999999</v>
      </c>
      <c r="JC97">
        <v>2.2265600000000001</v>
      </c>
      <c r="JD97">
        <v>47.601900000000001</v>
      </c>
      <c r="JE97">
        <v>16.426100000000002</v>
      </c>
      <c r="JF97">
        <v>18</v>
      </c>
      <c r="JG97">
        <v>498.39699999999999</v>
      </c>
      <c r="JH97">
        <v>439.38400000000001</v>
      </c>
      <c r="JI97">
        <v>28.920300000000001</v>
      </c>
      <c r="JJ97">
        <v>31.037500000000001</v>
      </c>
      <c r="JK97">
        <v>29.999700000000001</v>
      </c>
      <c r="JL97">
        <v>30.982299999999999</v>
      </c>
      <c r="JM97">
        <v>30.946999999999999</v>
      </c>
      <c r="JN97">
        <v>31.128299999999999</v>
      </c>
      <c r="JO97">
        <v>25.131699999999999</v>
      </c>
      <c r="JP97">
        <v>18.9513</v>
      </c>
      <c r="JQ97">
        <v>28.904</v>
      </c>
      <c r="JR97">
        <v>700</v>
      </c>
      <c r="JS97">
        <v>23.0124</v>
      </c>
      <c r="JT97">
        <v>99.674400000000006</v>
      </c>
      <c r="JU97">
        <v>99.008700000000005</v>
      </c>
    </row>
    <row r="98" spans="1:281" x14ac:dyDescent="0.25">
      <c r="A98">
        <v>82</v>
      </c>
      <c r="B98">
        <v>1693513661.0999999</v>
      </c>
      <c r="C98">
        <v>18011.5</v>
      </c>
      <c r="D98" t="s">
        <v>833</v>
      </c>
      <c r="E98" t="s">
        <v>834</v>
      </c>
      <c r="F98" t="s">
        <v>413</v>
      </c>
      <c r="G98" t="s">
        <v>778</v>
      </c>
      <c r="H98" t="s">
        <v>779</v>
      </c>
      <c r="I98" t="s">
        <v>31</v>
      </c>
      <c r="J98">
        <v>1693513661.0999999</v>
      </c>
      <c r="K98">
        <f t="shared" si="92"/>
        <v>5.0564402521327866E-3</v>
      </c>
      <c r="L98">
        <f t="shared" si="93"/>
        <v>5.0564402521327869</v>
      </c>
      <c r="M98">
        <f t="shared" si="94"/>
        <v>48.35299465481404</v>
      </c>
      <c r="N98">
        <f t="shared" si="95"/>
        <v>836.80499999999995</v>
      </c>
      <c r="O98">
        <f t="shared" si="96"/>
        <v>610.40206523037966</v>
      </c>
      <c r="P98">
        <f t="shared" si="97"/>
        <v>60.801376948583545</v>
      </c>
      <c r="Q98">
        <f t="shared" si="98"/>
        <v>83.353086654869998</v>
      </c>
      <c r="R98">
        <f t="shared" si="99"/>
        <v>0.39091336492185225</v>
      </c>
      <c r="S98">
        <f t="shared" si="100"/>
        <v>2.9138944519939716</v>
      </c>
      <c r="T98">
        <f t="shared" si="101"/>
        <v>0.36394125994092358</v>
      </c>
      <c r="U98">
        <f t="shared" si="102"/>
        <v>0.22973135368868092</v>
      </c>
      <c r="V98">
        <f t="shared" si="103"/>
        <v>344.40669864363394</v>
      </c>
      <c r="W98">
        <f t="shared" si="104"/>
        <v>31.520497011794337</v>
      </c>
      <c r="X98">
        <f t="shared" si="105"/>
        <v>29.976500000000001</v>
      </c>
      <c r="Y98">
        <f t="shared" si="106"/>
        <v>4.2547023104008677</v>
      </c>
      <c r="Z98">
        <f t="shared" si="107"/>
        <v>65.471703700975695</v>
      </c>
      <c r="AA98">
        <f t="shared" si="108"/>
        <v>2.9206276896140007</v>
      </c>
      <c r="AB98">
        <f t="shared" si="109"/>
        <v>4.4609007013979323</v>
      </c>
      <c r="AC98">
        <f t="shared" si="110"/>
        <v>1.334074620786867</v>
      </c>
      <c r="AD98">
        <f t="shared" si="111"/>
        <v>-222.98901511905589</v>
      </c>
      <c r="AE98">
        <f t="shared" si="112"/>
        <v>129.80667114012132</v>
      </c>
      <c r="AF98">
        <f t="shared" si="113"/>
        <v>9.9434591097597433</v>
      </c>
      <c r="AG98">
        <f t="shared" si="114"/>
        <v>261.16781377445909</v>
      </c>
      <c r="AH98">
        <v>0</v>
      </c>
      <c r="AI98">
        <v>0</v>
      </c>
      <c r="AJ98">
        <f t="shared" si="115"/>
        <v>1</v>
      </c>
      <c r="AK98">
        <f t="shared" si="116"/>
        <v>0</v>
      </c>
      <c r="AL98">
        <f t="shared" si="117"/>
        <v>51759.091912835102</v>
      </c>
      <c r="AM98" t="s">
        <v>417</v>
      </c>
      <c r="AN98">
        <v>10366.9</v>
      </c>
      <c r="AO98">
        <v>993.59653846153856</v>
      </c>
      <c r="AP98">
        <v>3431.87</v>
      </c>
      <c r="AQ98">
        <f t="shared" si="118"/>
        <v>0.71047955241266758</v>
      </c>
      <c r="AR98">
        <v>-3.9894345373445681</v>
      </c>
      <c r="AS98" t="s">
        <v>835</v>
      </c>
      <c r="AT98">
        <v>10445.5</v>
      </c>
      <c r="AU98">
        <v>788.05203846153847</v>
      </c>
      <c r="AV98">
        <v>1175.7654773656191</v>
      </c>
      <c r="AW98">
        <f t="shared" si="119"/>
        <v>0.32975405926424917</v>
      </c>
      <c r="AX98">
        <v>0.5</v>
      </c>
      <c r="AY98">
        <f t="shared" si="120"/>
        <v>1513.3448993218169</v>
      </c>
      <c r="AZ98">
        <f t="shared" si="121"/>
        <v>48.35299465481404</v>
      </c>
      <c r="BA98">
        <f t="shared" si="122"/>
        <v>249.51581180910779</v>
      </c>
      <c r="BB98">
        <f t="shared" si="123"/>
        <v>3.4587243936008961E-2</v>
      </c>
      <c r="BC98">
        <f t="shared" si="124"/>
        <v>1.9188388892735084</v>
      </c>
      <c r="BD98">
        <f t="shared" si="125"/>
        <v>638.74574883139917</v>
      </c>
      <c r="BE98" t="s">
        <v>836</v>
      </c>
      <c r="BF98">
        <v>624.45000000000005</v>
      </c>
      <c r="BG98">
        <f t="shared" si="126"/>
        <v>624.45000000000005</v>
      </c>
      <c r="BH98">
        <f t="shared" si="127"/>
        <v>0.46889918778775352</v>
      </c>
      <c r="BI98">
        <f t="shared" si="128"/>
        <v>0.70325150448652918</v>
      </c>
      <c r="BJ98">
        <f t="shared" si="129"/>
        <v>0.80362201688182777</v>
      </c>
      <c r="BK98">
        <f t="shared" si="130"/>
        <v>2.1283180394887613</v>
      </c>
      <c r="BL98">
        <f t="shared" si="131"/>
        <v>0.92528773257896235</v>
      </c>
      <c r="BM98">
        <f t="shared" si="132"/>
        <v>0.55725431893295718</v>
      </c>
      <c r="BN98">
        <f t="shared" si="133"/>
        <v>0.44274568106704282</v>
      </c>
      <c r="BO98">
        <v>7906</v>
      </c>
      <c r="BP98">
        <v>290.00000000000011</v>
      </c>
      <c r="BQ98">
        <v>1064.52</v>
      </c>
      <c r="BR98">
        <v>145</v>
      </c>
      <c r="BS98">
        <v>10445.5</v>
      </c>
      <c r="BT98">
        <v>1060.52</v>
      </c>
      <c r="BU98">
        <v>4</v>
      </c>
      <c r="BV98">
        <v>300.00000000000011</v>
      </c>
      <c r="BW98">
        <v>38.200000000000003</v>
      </c>
      <c r="BX98">
        <v>1175.7654773656191</v>
      </c>
      <c r="BY98">
        <v>1.4120906694044819</v>
      </c>
      <c r="BZ98">
        <v>-120.3770255305257</v>
      </c>
      <c r="CA98">
        <v>1.2069059503394231</v>
      </c>
      <c r="CB98">
        <v>0.99719329336355389</v>
      </c>
      <c r="CC98">
        <v>-1.133808965517241E-2</v>
      </c>
      <c r="CD98">
        <v>289.99999999999989</v>
      </c>
      <c r="CE98">
        <v>1044.43</v>
      </c>
      <c r="CF98">
        <v>655</v>
      </c>
      <c r="CG98">
        <v>10419</v>
      </c>
      <c r="CH98">
        <v>1060.23</v>
      </c>
      <c r="CI98">
        <v>-15.8</v>
      </c>
      <c r="CW98">
        <f t="shared" si="134"/>
        <v>1800.19</v>
      </c>
      <c r="CX98">
        <f t="shared" si="135"/>
        <v>1513.3448993218169</v>
      </c>
      <c r="CY98">
        <f t="shared" si="136"/>
        <v>0.84065843012227426</v>
      </c>
      <c r="CZ98">
        <f t="shared" si="137"/>
        <v>0.19131686024454861</v>
      </c>
      <c r="DA98">
        <v>6</v>
      </c>
      <c r="DB98">
        <v>0.5</v>
      </c>
      <c r="DC98" t="s">
        <v>420</v>
      </c>
      <c r="DD98">
        <v>2</v>
      </c>
      <c r="DE98">
        <v>1693513661.0999999</v>
      </c>
      <c r="DF98">
        <v>836.80499999999995</v>
      </c>
      <c r="DG98">
        <v>899.81700000000001</v>
      </c>
      <c r="DH98">
        <v>29.321000000000002</v>
      </c>
      <c r="DI98">
        <v>23.439499999999999</v>
      </c>
      <c r="DJ98">
        <v>837.95899999999995</v>
      </c>
      <c r="DK98">
        <v>29.068200000000001</v>
      </c>
      <c r="DL98">
        <v>500.70699999999999</v>
      </c>
      <c r="DM98">
        <v>99.508300000000006</v>
      </c>
      <c r="DN98">
        <v>0.100434</v>
      </c>
      <c r="DO98">
        <v>30.802800000000001</v>
      </c>
      <c r="DP98">
        <v>29.976500000000001</v>
      </c>
      <c r="DQ98">
        <v>999.9</v>
      </c>
      <c r="DR98">
        <v>0</v>
      </c>
      <c r="DS98">
        <v>0</v>
      </c>
      <c r="DT98">
        <v>9960</v>
      </c>
      <c r="DU98">
        <v>0</v>
      </c>
      <c r="DV98">
        <v>1822.18</v>
      </c>
      <c r="DW98">
        <v>-63.011699999999998</v>
      </c>
      <c r="DX98">
        <v>862.08199999999999</v>
      </c>
      <c r="DY98">
        <v>921.41399999999999</v>
      </c>
      <c r="DZ98">
        <v>5.8815099999999996</v>
      </c>
      <c r="EA98">
        <v>899.81700000000001</v>
      </c>
      <c r="EB98">
        <v>23.439499999999999</v>
      </c>
      <c r="EC98">
        <v>2.9176799999999998</v>
      </c>
      <c r="ED98">
        <v>2.3324199999999999</v>
      </c>
      <c r="EE98">
        <v>23.5654</v>
      </c>
      <c r="EF98">
        <v>19.902100000000001</v>
      </c>
      <c r="EG98">
        <v>1800.19</v>
      </c>
      <c r="EH98">
        <v>0.977993</v>
      </c>
      <c r="EI98">
        <v>2.2006600000000001E-2</v>
      </c>
      <c r="EJ98">
        <v>0</v>
      </c>
      <c r="EK98">
        <v>787.94799999999998</v>
      </c>
      <c r="EL98">
        <v>5.0010300000000001</v>
      </c>
      <c r="EM98">
        <v>14798.2</v>
      </c>
      <c r="EN98">
        <v>14702.6</v>
      </c>
      <c r="EO98">
        <v>47.686999999999998</v>
      </c>
      <c r="EP98">
        <v>49.811999999999998</v>
      </c>
      <c r="EQ98">
        <v>49.061999999999998</v>
      </c>
      <c r="ER98">
        <v>48.375</v>
      </c>
      <c r="ES98">
        <v>49.311999999999998</v>
      </c>
      <c r="ET98">
        <v>1755.68</v>
      </c>
      <c r="EU98">
        <v>39.51</v>
      </c>
      <c r="EV98">
        <v>0</v>
      </c>
      <c r="EW98">
        <v>118.7999999523163</v>
      </c>
      <c r="EX98">
        <v>0</v>
      </c>
      <c r="EY98">
        <v>788.05203846153847</v>
      </c>
      <c r="EZ98">
        <v>-1.363384625567108</v>
      </c>
      <c r="FA98">
        <v>-49.610256547454817</v>
      </c>
      <c r="FB98">
        <v>14801.957692307689</v>
      </c>
      <c r="FC98">
        <v>15</v>
      </c>
      <c r="FD98">
        <v>1693513630.5999999</v>
      </c>
      <c r="FE98" t="s">
        <v>837</v>
      </c>
      <c r="FF98">
        <v>1693513620.0999999</v>
      </c>
      <c r="FG98">
        <v>1693513630.5999999</v>
      </c>
      <c r="FH98">
        <v>90</v>
      </c>
      <c r="FI98">
        <v>2.1000000000000001E-2</v>
      </c>
      <c r="FJ98">
        <v>3.0000000000000001E-3</v>
      </c>
      <c r="FK98">
        <v>-1.155</v>
      </c>
      <c r="FL98">
        <v>0.106</v>
      </c>
      <c r="FM98">
        <v>900</v>
      </c>
      <c r="FN98">
        <v>23</v>
      </c>
      <c r="FO98">
        <v>0.16</v>
      </c>
      <c r="FP98">
        <v>0.04</v>
      </c>
      <c r="FQ98">
        <v>48.508617567616398</v>
      </c>
      <c r="FR98">
        <v>-0.52200478618027268</v>
      </c>
      <c r="FS98">
        <v>0.17316412911754811</v>
      </c>
      <c r="FT98">
        <v>1</v>
      </c>
      <c r="FU98">
        <v>0.39435586650638221</v>
      </c>
      <c r="FV98">
        <v>-9.9699884355994531E-3</v>
      </c>
      <c r="FW98">
        <v>3.4749806827569819E-3</v>
      </c>
      <c r="FX98">
        <v>1</v>
      </c>
      <c r="FY98">
        <v>2</v>
      </c>
      <c r="FZ98">
        <v>2</v>
      </c>
      <c r="GA98" t="s">
        <v>422</v>
      </c>
      <c r="GB98">
        <v>2.90632</v>
      </c>
      <c r="GC98">
        <v>2.8180999999999998</v>
      </c>
      <c r="GD98">
        <v>0.15415000000000001</v>
      </c>
      <c r="GE98">
        <v>0.16142300000000001</v>
      </c>
      <c r="GF98">
        <v>0.13762099999999999</v>
      </c>
      <c r="GG98">
        <v>0.117814</v>
      </c>
      <c r="GH98">
        <v>23555.8</v>
      </c>
      <c r="GI98">
        <v>23345.9</v>
      </c>
      <c r="GJ98">
        <v>24704</v>
      </c>
      <c r="GK98">
        <v>24854.799999999999</v>
      </c>
      <c r="GL98">
        <v>28276.2</v>
      </c>
      <c r="GM98">
        <v>28632.1</v>
      </c>
      <c r="GN98">
        <v>33395</v>
      </c>
      <c r="GO98">
        <v>33158</v>
      </c>
      <c r="GP98">
        <v>1.9873000000000001</v>
      </c>
      <c r="GQ98">
        <v>1.8248</v>
      </c>
      <c r="GR98">
        <v>7.3969400000000005E-2</v>
      </c>
      <c r="GS98">
        <v>0</v>
      </c>
      <c r="GT98">
        <v>28.7715</v>
      </c>
      <c r="GU98">
        <v>999.9</v>
      </c>
      <c r="GV98">
        <v>38.1</v>
      </c>
      <c r="GW98">
        <v>42.4</v>
      </c>
      <c r="GX98">
        <v>32.232599999999998</v>
      </c>
      <c r="GY98">
        <v>62.137599999999999</v>
      </c>
      <c r="GZ98">
        <v>27.107399999999998</v>
      </c>
      <c r="HA98">
        <v>1</v>
      </c>
      <c r="HB98">
        <v>0.28248000000000001</v>
      </c>
      <c r="HC98">
        <v>0.84675400000000001</v>
      </c>
      <c r="HD98">
        <v>20.211300000000001</v>
      </c>
      <c r="HE98">
        <v>5.2340600000000004</v>
      </c>
      <c r="HF98">
        <v>11.9201</v>
      </c>
      <c r="HG98">
        <v>4.9611999999999998</v>
      </c>
      <c r="HH98">
        <v>3.2890000000000001</v>
      </c>
      <c r="HI98">
        <v>9999</v>
      </c>
      <c r="HJ98">
        <v>9999</v>
      </c>
      <c r="HK98">
        <v>9999</v>
      </c>
      <c r="HL98">
        <v>896.4</v>
      </c>
      <c r="HM98">
        <v>1.88093</v>
      </c>
      <c r="HN98">
        <v>1.8781099999999999</v>
      </c>
      <c r="HO98">
        <v>1.88602</v>
      </c>
      <c r="HP98">
        <v>1.8837299999999999</v>
      </c>
      <c r="HQ98">
        <v>1.88127</v>
      </c>
      <c r="HR98">
        <v>1.8803399999999999</v>
      </c>
      <c r="HS98">
        <v>1.88141</v>
      </c>
      <c r="HT98">
        <v>1.88106</v>
      </c>
      <c r="HU98">
        <v>5</v>
      </c>
      <c r="HV98">
        <v>0</v>
      </c>
      <c r="HW98">
        <v>0</v>
      </c>
      <c r="HX98">
        <v>0</v>
      </c>
      <c r="HY98" t="s">
        <v>423</v>
      </c>
      <c r="HZ98" t="s">
        <v>424</v>
      </c>
      <c r="IA98" t="s">
        <v>425</v>
      </c>
      <c r="IB98" t="s">
        <v>425</v>
      </c>
      <c r="IC98" t="s">
        <v>425</v>
      </c>
      <c r="ID98" t="s">
        <v>425</v>
      </c>
      <c r="IE98">
        <v>0</v>
      </c>
      <c r="IF98">
        <v>100</v>
      </c>
      <c r="IG98">
        <v>100</v>
      </c>
      <c r="IH98">
        <v>-1.1539999999999999</v>
      </c>
      <c r="II98">
        <v>0.25280000000000002</v>
      </c>
      <c r="IJ98">
        <v>-1.8556907957091391</v>
      </c>
      <c r="IK98">
        <v>2.2153513873161218E-3</v>
      </c>
      <c r="IL98">
        <v>-2.2967369670569612E-6</v>
      </c>
      <c r="IM98">
        <v>7.7859689150384122E-10</v>
      </c>
      <c r="IN98">
        <v>-0.1532711503549461</v>
      </c>
      <c r="IO98">
        <v>-4.1434251034592161E-3</v>
      </c>
      <c r="IP98">
        <v>8.3987709687394815E-4</v>
      </c>
      <c r="IQ98">
        <v>-7.4586254598011197E-6</v>
      </c>
      <c r="IR98">
        <v>2</v>
      </c>
      <c r="IS98">
        <v>1930</v>
      </c>
      <c r="IT98">
        <v>2</v>
      </c>
      <c r="IU98">
        <v>41</v>
      </c>
      <c r="IV98">
        <v>0.7</v>
      </c>
      <c r="IW98">
        <v>0.5</v>
      </c>
      <c r="IX98">
        <v>1.9018600000000001</v>
      </c>
      <c r="IY98">
        <v>2.5305200000000001</v>
      </c>
      <c r="IZ98">
        <v>1.24512</v>
      </c>
      <c r="JA98">
        <v>2.2534200000000002</v>
      </c>
      <c r="JB98">
        <v>1.4501999999999999</v>
      </c>
      <c r="JC98">
        <v>2.47681</v>
      </c>
      <c r="JD98">
        <v>47.632100000000001</v>
      </c>
      <c r="JE98">
        <v>16.347300000000001</v>
      </c>
      <c r="JF98">
        <v>18</v>
      </c>
      <c r="JG98">
        <v>498.51299999999998</v>
      </c>
      <c r="JH98">
        <v>438.66899999999998</v>
      </c>
      <c r="JI98">
        <v>27.793199999999999</v>
      </c>
      <c r="JJ98">
        <v>30.980699999999999</v>
      </c>
      <c r="JK98">
        <v>30.0001</v>
      </c>
      <c r="JL98">
        <v>30.9163</v>
      </c>
      <c r="JM98">
        <v>30.882100000000001</v>
      </c>
      <c r="JN98">
        <v>38.173000000000002</v>
      </c>
      <c r="JO98">
        <v>23.026499999999999</v>
      </c>
      <c r="JP98">
        <v>15.916</v>
      </c>
      <c r="JQ98">
        <v>27.806699999999999</v>
      </c>
      <c r="JR98">
        <v>900</v>
      </c>
      <c r="JS98">
        <v>23.435300000000002</v>
      </c>
      <c r="JT98">
        <v>99.687799999999996</v>
      </c>
      <c r="JU98">
        <v>99.011200000000002</v>
      </c>
    </row>
    <row r="99" spans="1:281" x14ac:dyDescent="0.25">
      <c r="A99">
        <v>83</v>
      </c>
      <c r="B99">
        <v>1693513765.0999999</v>
      </c>
      <c r="C99">
        <v>18115.5</v>
      </c>
      <c r="D99" t="s">
        <v>838</v>
      </c>
      <c r="E99" t="s">
        <v>839</v>
      </c>
      <c r="F99" t="s">
        <v>413</v>
      </c>
      <c r="G99" t="s">
        <v>778</v>
      </c>
      <c r="H99" t="s">
        <v>779</v>
      </c>
      <c r="I99" t="s">
        <v>31</v>
      </c>
      <c r="J99">
        <v>1693513765.0999999</v>
      </c>
      <c r="K99">
        <f t="shared" si="92"/>
        <v>4.9216225173304481E-3</v>
      </c>
      <c r="L99">
        <f t="shared" si="93"/>
        <v>4.921622517330448</v>
      </c>
      <c r="M99">
        <f t="shared" si="94"/>
        <v>47.732379220312737</v>
      </c>
      <c r="N99">
        <f t="shared" si="95"/>
        <v>1136</v>
      </c>
      <c r="O99">
        <f t="shared" si="96"/>
        <v>897.74133414690425</v>
      </c>
      <c r="P99">
        <f t="shared" si="97"/>
        <v>89.426143736817735</v>
      </c>
      <c r="Q99">
        <f t="shared" si="98"/>
        <v>113.159654592</v>
      </c>
      <c r="R99">
        <f t="shared" si="99"/>
        <v>0.37583177170683219</v>
      </c>
      <c r="S99">
        <f t="shared" si="100"/>
        <v>2.9064814276136772</v>
      </c>
      <c r="T99">
        <f t="shared" si="101"/>
        <v>0.35077013939710933</v>
      </c>
      <c r="U99">
        <f t="shared" si="102"/>
        <v>0.22134360823253585</v>
      </c>
      <c r="V99">
        <f t="shared" si="103"/>
        <v>344.34531181141188</v>
      </c>
      <c r="W99">
        <f t="shared" si="104"/>
        <v>31.428827836890381</v>
      </c>
      <c r="X99">
        <f t="shared" si="105"/>
        <v>29.927499999999998</v>
      </c>
      <c r="Y99">
        <f t="shared" si="106"/>
        <v>4.2427399705796738</v>
      </c>
      <c r="Z99">
        <f t="shared" si="107"/>
        <v>65.378315390397773</v>
      </c>
      <c r="AA99">
        <f t="shared" si="108"/>
        <v>2.8951638635195995</v>
      </c>
      <c r="AB99">
        <f t="shared" si="109"/>
        <v>4.4283243553027019</v>
      </c>
      <c r="AC99">
        <f t="shared" si="110"/>
        <v>1.3475761070600742</v>
      </c>
      <c r="AD99">
        <f t="shared" si="111"/>
        <v>-217.04355301427276</v>
      </c>
      <c r="AE99">
        <f t="shared" si="112"/>
        <v>117.05058736395489</v>
      </c>
      <c r="AF99">
        <f t="shared" si="113"/>
        <v>8.9813048586937789</v>
      </c>
      <c r="AG99">
        <f t="shared" si="114"/>
        <v>253.33365101978777</v>
      </c>
      <c r="AH99">
        <v>0</v>
      </c>
      <c r="AI99">
        <v>0</v>
      </c>
      <c r="AJ99">
        <f t="shared" si="115"/>
        <v>1</v>
      </c>
      <c r="AK99">
        <f t="shared" si="116"/>
        <v>0</v>
      </c>
      <c r="AL99">
        <f t="shared" si="117"/>
        <v>51570.506512758671</v>
      </c>
      <c r="AM99" t="s">
        <v>417</v>
      </c>
      <c r="AN99">
        <v>10366.9</v>
      </c>
      <c r="AO99">
        <v>993.59653846153856</v>
      </c>
      <c r="AP99">
        <v>3431.87</v>
      </c>
      <c r="AQ99">
        <f t="shared" si="118"/>
        <v>0.71047955241266758</v>
      </c>
      <c r="AR99">
        <v>-3.9894345373445681</v>
      </c>
      <c r="AS99" t="s">
        <v>840</v>
      </c>
      <c r="AT99">
        <v>10446.799999999999</v>
      </c>
      <c r="AU99">
        <v>785.07900000000006</v>
      </c>
      <c r="AV99">
        <v>1169.727355570255</v>
      </c>
      <c r="AW99">
        <f t="shared" si="119"/>
        <v>0.32883590670813589</v>
      </c>
      <c r="AX99">
        <v>0.5</v>
      </c>
      <c r="AY99">
        <f t="shared" si="120"/>
        <v>1513.0758059057057</v>
      </c>
      <c r="AZ99">
        <f t="shared" si="121"/>
        <v>47.732379220312737</v>
      </c>
      <c r="BA99">
        <f t="shared" si="122"/>
        <v>248.77682727657307</v>
      </c>
      <c r="BB99">
        <f t="shared" si="123"/>
        <v>3.4183227010689897E-2</v>
      </c>
      <c r="BC99">
        <f t="shared" si="124"/>
        <v>1.933905908635372</v>
      </c>
      <c r="BD99">
        <f t="shared" si="125"/>
        <v>636.95952295831989</v>
      </c>
      <c r="BE99" t="s">
        <v>841</v>
      </c>
      <c r="BF99">
        <v>619.75</v>
      </c>
      <c r="BG99">
        <f t="shared" si="126"/>
        <v>619.75</v>
      </c>
      <c r="BH99">
        <f t="shared" si="127"/>
        <v>0.47017568064152437</v>
      </c>
      <c r="BI99">
        <f t="shared" si="128"/>
        <v>0.69938944153696037</v>
      </c>
      <c r="BJ99">
        <f t="shared" si="129"/>
        <v>0.80442607158647039</v>
      </c>
      <c r="BK99">
        <f t="shared" si="130"/>
        <v>2.1838787889846181</v>
      </c>
      <c r="BL99">
        <f t="shared" si="131"/>
        <v>0.92776412494864935</v>
      </c>
      <c r="BM99">
        <f t="shared" si="132"/>
        <v>0.55210571979702827</v>
      </c>
      <c r="BN99">
        <f t="shared" si="133"/>
        <v>0.44789428020297173</v>
      </c>
      <c r="BO99">
        <v>7908</v>
      </c>
      <c r="BP99">
        <v>290.00000000000011</v>
      </c>
      <c r="BQ99">
        <v>1061.72</v>
      </c>
      <c r="BR99">
        <v>135</v>
      </c>
      <c r="BS99">
        <v>10446.799999999999</v>
      </c>
      <c r="BT99">
        <v>1056.75</v>
      </c>
      <c r="BU99">
        <v>4.97</v>
      </c>
      <c r="BV99">
        <v>300.00000000000011</v>
      </c>
      <c r="BW99">
        <v>38.200000000000003</v>
      </c>
      <c r="BX99">
        <v>1169.727355570255</v>
      </c>
      <c r="BY99">
        <v>1.2767698255003861</v>
      </c>
      <c r="BZ99">
        <v>-118.0280159445326</v>
      </c>
      <c r="CA99">
        <v>1.0912147438985871</v>
      </c>
      <c r="CB99">
        <v>0.99761235317807107</v>
      </c>
      <c r="CC99">
        <v>-1.133755884315908E-2</v>
      </c>
      <c r="CD99">
        <v>289.99999999999989</v>
      </c>
      <c r="CE99">
        <v>1041.3800000000001</v>
      </c>
      <c r="CF99">
        <v>665</v>
      </c>
      <c r="CG99">
        <v>10417.9</v>
      </c>
      <c r="CH99">
        <v>1056.43</v>
      </c>
      <c r="CI99">
        <v>-15.05</v>
      </c>
      <c r="CW99">
        <f t="shared" si="134"/>
        <v>1799.87</v>
      </c>
      <c r="CX99">
        <f t="shared" si="135"/>
        <v>1513.0758059057057</v>
      </c>
      <c r="CY99">
        <f t="shared" si="136"/>
        <v>0.84065838416424843</v>
      </c>
      <c r="CZ99">
        <f t="shared" si="137"/>
        <v>0.19131676832849701</v>
      </c>
      <c r="DA99">
        <v>6</v>
      </c>
      <c r="DB99">
        <v>0.5</v>
      </c>
      <c r="DC99" t="s">
        <v>420</v>
      </c>
      <c r="DD99">
        <v>2</v>
      </c>
      <c r="DE99">
        <v>1693513765.0999999</v>
      </c>
      <c r="DF99">
        <v>1136</v>
      </c>
      <c r="DG99">
        <v>1199.92</v>
      </c>
      <c r="DH99">
        <v>29.064299999999999</v>
      </c>
      <c r="DI99">
        <v>23.336099999999998</v>
      </c>
      <c r="DJ99">
        <v>1137.43</v>
      </c>
      <c r="DK99">
        <v>28.819600000000001</v>
      </c>
      <c r="DL99">
        <v>500.53199999999998</v>
      </c>
      <c r="DM99">
        <v>99.511799999999994</v>
      </c>
      <c r="DN99">
        <v>0.10057199999999999</v>
      </c>
      <c r="DO99">
        <v>30.674499999999998</v>
      </c>
      <c r="DP99">
        <v>29.927499999999998</v>
      </c>
      <c r="DQ99">
        <v>999.9</v>
      </c>
      <c r="DR99">
        <v>0</v>
      </c>
      <c r="DS99">
        <v>0</v>
      </c>
      <c r="DT99">
        <v>9917.5</v>
      </c>
      <c r="DU99">
        <v>0</v>
      </c>
      <c r="DV99">
        <v>1814.91</v>
      </c>
      <c r="DW99">
        <v>-63.916400000000003</v>
      </c>
      <c r="DX99">
        <v>1170.01</v>
      </c>
      <c r="DY99">
        <v>1228.5899999999999</v>
      </c>
      <c r="DZ99">
        <v>5.7282099999999998</v>
      </c>
      <c r="EA99">
        <v>1199.92</v>
      </c>
      <c r="EB99">
        <v>23.336099999999998</v>
      </c>
      <c r="EC99">
        <v>2.8922500000000002</v>
      </c>
      <c r="ED99">
        <v>2.3222200000000002</v>
      </c>
      <c r="EE99">
        <v>23.420200000000001</v>
      </c>
      <c r="EF99">
        <v>19.831399999999999</v>
      </c>
      <c r="EG99">
        <v>1799.87</v>
      </c>
      <c r="EH99">
        <v>0.97799000000000003</v>
      </c>
      <c r="EI99">
        <v>2.2009899999999999E-2</v>
      </c>
      <c r="EJ99">
        <v>0</v>
      </c>
      <c r="EK99">
        <v>784.87400000000002</v>
      </c>
      <c r="EL99">
        <v>5.0010300000000001</v>
      </c>
      <c r="EM99">
        <v>14736.7</v>
      </c>
      <c r="EN99">
        <v>14700</v>
      </c>
      <c r="EO99">
        <v>47.75</v>
      </c>
      <c r="EP99">
        <v>49.875</v>
      </c>
      <c r="EQ99">
        <v>49.125</v>
      </c>
      <c r="ER99">
        <v>48.5</v>
      </c>
      <c r="ES99">
        <v>49.375</v>
      </c>
      <c r="ET99">
        <v>1755.36</v>
      </c>
      <c r="EU99">
        <v>39.5</v>
      </c>
      <c r="EV99">
        <v>0</v>
      </c>
      <c r="EW99">
        <v>102</v>
      </c>
      <c r="EX99">
        <v>0</v>
      </c>
      <c r="EY99">
        <v>785.07900000000006</v>
      </c>
      <c r="EZ99">
        <v>-1.150307680522811</v>
      </c>
      <c r="FA99">
        <v>-58.707692252449412</v>
      </c>
      <c r="FB99">
        <v>14744.907999999999</v>
      </c>
      <c r="FC99">
        <v>15</v>
      </c>
      <c r="FD99">
        <v>1693513734.5999999</v>
      </c>
      <c r="FE99" t="s">
        <v>842</v>
      </c>
      <c r="FF99">
        <v>1693513734.5999999</v>
      </c>
      <c r="FG99">
        <v>1693513732.0999999</v>
      </c>
      <c r="FH99">
        <v>91</v>
      </c>
      <c r="FI99">
        <v>-0.27200000000000002</v>
      </c>
      <c r="FJ99">
        <v>-2E-3</v>
      </c>
      <c r="FK99">
        <v>-1.429</v>
      </c>
      <c r="FL99">
        <v>0.108</v>
      </c>
      <c r="FM99">
        <v>1200</v>
      </c>
      <c r="FN99">
        <v>23</v>
      </c>
      <c r="FO99">
        <v>0.19</v>
      </c>
      <c r="FP99">
        <v>0.06</v>
      </c>
      <c r="FQ99">
        <v>47.671715593944768</v>
      </c>
      <c r="FR99">
        <v>-0.6772326195648064</v>
      </c>
      <c r="FS99">
        <v>0.13727299163933451</v>
      </c>
      <c r="FT99">
        <v>1</v>
      </c>
      <c r="FU99">
        <v>0.38492785914112471</v>
      </c>
      <c r="FV99">
        <v>-3.7795429146338481E-2</v>
      </c>
      <c r="FW99">
        <v>4.7758233302171403E-3</v>
      </c>
      <c r="FX99">
        <v>1</v>
      </c>
      <c r="FY99">
        <v>2</v>
      </c>
      <c r="FZ99">
        <v>2</v>
      </c>
      <c r="GA99" t="s">
        <v>422</v>
      </c>
      <c r="GB99">
        <v>2.9059300000000001</v>
      </c>
      <c r="GC99">
        <v>2.8178700000000001</v>
      </c>
      <c r="GD99">
        <v>0.187418</v>
      </c>
      <c r="GE99">
        <v>0.19363</v>
      </c>
      <c r="GF99">
        <v>0.13683400000000001</v>
      </c>
      <c r="GG99">
        <v>0.11747100000000001</v>
      </c>
      <c r="GH99">
        <v>22629.4</v>
      </c>
      <c r="GI99">
        <v>22447.3</v>
      </c>
      <c r="GJ99">
        <v>24704.799999999999</v>
      </c>
      <c r="GK99">
        <v>24853.4</v>
      </c>
      <c r="GL99">
        <v>28302.9</v>
      </c>
      <c r="GM99">
        <v>28641.5</v>
      </c>
      <c r="GN99">
        <v>33395.800000000003</v>
      </c>
      <c r="GO99">
        <v>33155.9</v>
      </c>
      <c r="GP99">
        <v>1.9869000000000001</v>
      </c>
      <c r="GQ99">
        <v>1.8243</v>
      </c>
      <c r="GR99">
        <v>7.5891600000000004E-2</v>
      </c>
      <c r="GS99">
        <v>0</v>
      </c>
      <c r="GT99">
        <v>28.690999999999999</v>
      </c>
      <c r="GU99">
        <v>999.9</v>
      </c>
      <c r="GV99">
        <v>37.4</v>
      </c>
      <c r="GW99">
        <v>42.7</v>
      </c>
      <c r="GX99">
        <v>32.144500000000001</v>
      </c>
      <c r="GY99">
        <v>62.087600000000002</v>
      </c>
      <c r="GZ99">
        <v>27.2196</v>
      </c>
      <c r="HA99">
        <v>1</v>
      </c>
      <c r="HB99">
        <v>0.27926800000000002</v>
      </c>
      <c r="HC99">
        <v>4.9673199999999999E-3</v>
      </c>
      <c r="HD99">
        <v>20.214400000000001</v>
      </c>
      <c r="HE99">
        <v>5.2346599999999999</v>
      </c>
      <c r="HF99">
        <v>11.9201</v>
      </c>
      <c r="HG99">
        <v>4.9618000000000002</v>
      </c>
      <c r="HH99">
        <v>3.2890000000000001</v>
      </c>
      <c r="HI99">
        <v>9999</v>
      </c>
      <c r="HJ99">
        <v>9999</v>
      </c>
      <c r="HK99">
        <v>9999</v>
      </c>
      <c r="HL99">
        <v>896.5</v>
      </c>
      <c r="HM99">
        <v>1.88089</v>
      </c>
      <c r="HN99">
        <v>1.87805</v>
      </c>
      <c r="HO99">
        <v>1.8859900000000001</v>
      </c>
      <c r="HP99">
        <v>1.8836999999999999</v>
      </c>
      <c r="HQ99">
        <v>1.8812899999999999</v>
      </c>
      <c r="HR99">
        <v>1.88032</v>
      </c>
      <c r="HS99">
        <v>1.88141</v>
      </c>
      <c r="HT99">
        <v>1.8809499999999999</v>
      </c>
      <c r="HU99">
        <v>5</v>
      </c>
      <c r="HV99">
        <v>0</v>
      </c>
      <c r="HW99">
        <v>0</v>
      </c>
      <c r="HX99">
        <v>0</v>
      </c>
      <c r="HY99" t="s">
        <v>423</v>
      </c>
      <c r="HZ99" t="s">
        <v>424</v>
      </c>
      <c r="IA99" t="s">
        <v>425</v>
      </c>
      <c r="IB99" t="s">
        <v>425</v>
      </c>
      <c r="IC99" t="s">
        <v>425</v>
      </c>
      <c r="ID99" t="s">
        <v>425</v>
      </c>
      <c r="IE99">
        <v>0</v>
      </c>
      <c r="IF99">
        <v>100</v>
      </c>
      <c r="IG99">
        <v>100</v>
      </c>
      <c r="IH99">
        <v>-1.43</v>
      </c>
      <c r="II99">
        <v>0.2447</v>
      </c>
      <c r="IJ99">
        <v>-2.1261364017963018</v>
      </c>
      <c r="IK99">
        <v>2.2153513873161218E-3</v>
      </c>
      <c r="IL99">
        <v>-2.2967369670569612E-6</v>
      </c>
      <c r="IM99">
        <v>7.7859689150384122E-10</v>
      </c>
      <c r="IN99">
        <v>-0.15486401634739019</v>
      </c>
      <c r="IO99">
        <v>-4.1434251034592161E-3</v>
      </c>
      <c r="IP99">
        <v>8.3987709687394815E-4</v>
      </c>
      <c r="IQ99">
        <v>-7.4586254598011197E-6</v>
      </c>
      <c r="IR99">
        <v>2</v>
      </c>
      <c r="IS99">
        <v>1930</v>
      </c>
      <c r="IT99">
        <v>2</v>
      </c>
      <c r="IU99">
        <v>41</v>
      </c>
      <c r="IV99">
        <v>0.5</v>
      </c>
      <c r="IW99">
        <v>0.6</v>
      </c>
      <c r="IX99">
        <v>2.4035600000000001</v>
      </c>
      <c r="IY99">
        <v>2.51709</v>
      </c>
      <c r="IZ99">
        <v>1.24512</v>
      </c>
      <c r="JA99">
        <v>2.2534200000000002</v>
      </c>
      <c r="JB99">
        <v>1.4501999999999999</v>
      </c>
      <c r="JC99">
        <v>2.47559</v>
      </c>
      <c r="JD99">
        <v>47.601900000000001</v>
      </c>
      <c r="JE99">
        <v>16.294699999999999</v>
      </c>
      <c r="JF99">
        <v>18</v>
      </c>
      <c r="JG99">
        <v>497.92</v>
      </c>
      <c r="JH99">
        <v>438.01799999999997</v>
      </c>
      <c r="JI99">
        <v>28.357600000000001</v>
      </c>
      <c r="JJ99">
        <v>30.961500000000001</v>
      </c>
      <c r="JK99">
        <v>29.9999</v>
      </c>
      <c r="JL99">
        <v>30.879200000000001</v>
      </c>
      <c r="JM99">
        <v>30.8415</v>
      </c>
      <c r="JN99">
        <v>48.198599999999999</v>
      </c>
      <c r="JO99">
        <v>22.707100000000001</v>
      </c>
      <c r="JP99">
        <v>13.490600000000001</v>
      </c>
      <c r="JQ99">
        <v>28.387599999999999</v>
      </c>
      <c r="JR99">
        <v>1200</v>
      </c>
      <c r="JS99">
        <v>23.3049</v>
      </c>
      <c r="JT99">
        <v>99.6905</v>
      </c>
      <c r="JU99">
        <v>99.005200000000002</v>
      </c>
    </row>
    <row r="100" spans="1:281" x14ac:dyDescent="0.25">
      <c r="A100">
        <v>84</v>
      </c>
      <c r="B100">
        <v>1693513887.0999999</v>
      </c>
      <c r="C100">
        <v>18237.5</v>
      </c>
      <c r="D100" t="s">
        <v>843</v>
      </c>
      <c r="E100" t="s">
        <v>844</v>
      </c>
      <c r="F100" t="s">
        <v>413</v>
      </c>
      <c r="G100" t="s">
        <v>778</v>
      </c>
      <c r="H100" t="s">
        <v>779</v>
      </c>
      <c r="I100" t="s">
        <v>31</v>
      </c>
      <c r="J100">
        <v>1693513887.0999999</v>
      </c>
      <c r="K100">
        <f t="shared" si="92"/>
        <v>4.7111476084108093E-3</v>
      </c>
      <c r="L100">
        <f t="shared" si="93"/>
        <v>4.7111476084108093</v>
      </c>
      <c r="M100">
        <f t="shared" si="94"/>
        <v>46.962321304557584</v>
      </c>
      <c r="N100">
        <f t="shared" si="95"/>
        <v>1435.75</v>
      </c>
      <c r="O100">
        <f t="shared" si="96"/>
        <v>1179.5527772261444</v>
      </c>
      <c r="P100">
        <f t="shared" si="97"/>
        <v>117.49588437978483</v>
      </c>
      <c r="Q100">
        <f t="shared" si="98"/>
        <v>143.015827062</v>
      </c>
      <c r="R100">
        <f t="shared" si="99"/>
        <v>0.35070745507029738</v>
      </c>
      <c r="S100">
        <f t="shared" si="100"/>
        <v>2.9086539455698235</v>
      </c>
      <c r="T100">
        <f t="shared" si="101"/>
        <v>0.32879499866646339</v>
      </c>
      <c r="U100">
        <f t="shared" si="102"/>
        <v>0.20735142809705021</v>
      </c>
      <c r="V100">
        <f t="shared" si="103"/>
        <v>344.39851180957476</v>
      </c>
      <c r="W100">
        <f t="shared" si="104"/>
        <v>31.57462975592383</v>
      </c>
      <c r="X100">
        <f t="shared" si="105"/>
        <v>30.044799999999999</v>
      </c>
      <c r="Y100">
        <f t="shared" si="106"/>
        <v>4.2714253834749982</v>
      </c>
      <c r="Z100">
        <f t="shared" si="107"/>
        <v>65.046433019991426</v>
      </c>
      <c r="AA100">
        <f t="shared" si="108"/>
        <v>2.8954989825552002</v>
      </c>
      <c r="AB100">
        <f t="shared" si="109"/>
        <v>4.4514339190056669</v>
      </c>
      <c r="AC100">
        <f t="shared" si="110"/>
        <v>1.375926400919798</v>
      </c>
      <c r="AD100">
        <f t="shared" si="111"/>
        <v>-207.7616095309167</v>
      </c>
      <c r="AE100">
        <f t="shared" si="112"/>
        <v>113.02962217097438</v>
      </c>
      <c r="AF100">
        <f t="shared" si="113"/>
        <v>8.675232069069363</v>
      </c>
      <c r="AG100">
        <f t="shared" si="114"/>
        <v>258.3417565187018</v>
      </c>
      <c r="AH100">
        <v>0</v>
      </c>
      <c r="AI100">
        <v>0</v>
      </c>
      <c r="AJ100">
        <f t="shared" si="115"/>
        <v>1</v>
      </c>
      <c r="AK100">
        <f t="shared" si="116"/>
        <v>0</v>
      </c>
      <c r="AL100">
        <f t="shared" si="117"/>
        <v>51616.652773163172</v>
      </c>
      <c r="AM100" t="s">
        <v>417</v>
      </c>
      <c r="AN100">
        <v>10366.9</v>
      </c>
      <c r="AO100">
        <v>993.59653846153856</v>
      </c>
      <c r="AP100">
        <v>3431.87</v>
      </c>
      <c r="AQ100">
        <f t="shared" si="118"/>
        <v>0.71047955241266758</v>
      </c>
      <c r="AR100">
        <v>-3.9894345373445681</v>
      </c>
      <c r="AS100" t="s">
        <v>845</v>
      </c>
      <c r="AT100">
        <v>10439</v>
      </c>
      <c r="AU100">
        <v>781.67092307692303</v>
      </c>
      <c r="AV100">
        <v>1167.639947610264</v>
      </c>
      <c r="AW100">
        <f t="shared" si="119"/>
        <v>0.33055483012831122</v>
      </c>
      <c r="AX100">
        <v>0.5</v>
      </c>
      <c r="AY100">
        <f t="shared" si="120"/>
        <v>1513.3110059047872</v>
      </c>
      <c r="AZ100">
        <f t="shared" si="121"/>
        <v>46.962321304557584</v>
      </c>
      <c r="BA100">
        <f t="shared" si="122"/>
        <v>250.11613124408035</v>
      </c>
      <c r="BB100">
        <f t="shared" si="123"/>
        <v>3.3669057875805791E-2</v>
      </c>
      <c r="BC100">
        <f t="shared" si="124"/>
        <v>1.9391508975209304</v>
      </c>
      <c r="BD100">
        <f t="shared" si="125"/>
        <v>636.34006071071713</v>
      </c>
      <c r="BE100" t="s">
        <v>846</v>
      </c>
      <c r="BF100">
        <v>622.87</v>
      </c>
      <c r="BG100">
        <f t="shared" si="126"/>
        <v>622.87</v>
      </c>
      <c r="BH100">
        <f t="shared" si="127"/>
        <v>0.46655644895090365</v>
      </c>
      <c r="BI100">
        <f t="shared" si="128"/>
        <v>0.70849911274743915</v>
      </c>
      <c r="BJ100">
        <f t="shared" si="129"/>
        <v>0.80606267440004831</v>
      </c>
      <c r="BK100">
        <f t="shared" si="130"/>
        <v>2.2176595277073581</v>
      </c>
      <c r="BL100">
        <f t="shared" si="131"/>
        <v>0.92862022578923087</v>
      </c>
      <c r="BM100">
        <f t="shared" si="132"/>
        <v>0.56456346184642392</v>
      </c>
      <c r="BN100">
        <f t="shared" si="133"/>
        <v>0.43543653815357608</v>
      </c>
      <c r="BO100">
        <v>7910</v>
      </c>
      <c r="BP100">
        <v>290.00000000000011</v>
      </c>
      <c r="BQ100">
        <v>1056.81</v>
      </c>
      <c r="BR100">
        <v>185</v>
      </c>
      <c r="BS100">
        <v>10439</v>
      </c>
      <c r="BT100">
        <v>1053.51</v>
      </c>
      <c r="BU100">
        <v>3.3</v>
      </c>
      <c r="BV100">
        <v>300.00000000000011</v>
      </c>
      <c r="BW100">
        <v>38.200000000000003</v>
      </c>
      <c r="BX100">
        <v>1167.639947610264</v>
      </c>
      <c r="BY100">
        <v>1.249197503730622</v>
      </c>
      <c r="BZ100">
        <v>-119.1438383328597</v>
      </c>
      <c r="CA100">
        <v>1.0676497054947589</v>
      </c>
      <c r="CB100">
        <v>0.99775664989122759</v>
      </c>
      <c r="CC100">
        <v>-1.133762580645162E-2</v>
      </c>
      <c r="CD100">
        <v>289.99999999999989</v>
      </c>
      <c r="CE100">
        <v>1037.6500000000001</v>
      </c>
      <c r="CF100">
        <v>635</v>
      </c>
      <c r="CG100">
        <v>10420.5</v>
      </c>
      <c r="CH100">
        <v>1053.3</v>
      </c>
      <c r="CI100">
        <v>-15.65</v>
      </c>
      <c r="CW100">
        <f t="shared" si="134"/>
        <v>1800.15</v>
      </c>
      <c r="CX100">
        <f t="shared" si="135"/>
        <v>1513.3110059047872</v>
      </c>
      <c r="CY100">
        <f t="shared" si="136"/>
        <v>0.84065828175695756</v>
      </c>
      <c r="CZ100">
        <f t="shared" si="137"/>
        <v>0.19131656351391535</v>
      </c>
      <c r="DA100">
        <v>6</v>
      </c>
      <c r="DB100">
        <v>0.5</v>
      </c>
      <c r="DC100" t="s">
        <v>420</v>
      </c>
      <c r="DD100">
        <v>2</v>
      </c>
      <c r="DE100">
        <v>1693513887.0999999</v>
      </c>
      <c r="DF100">
        <v>1435.75</v>
      </c>
      <c r="DG100">
        <v>1500.18</v>
      </c>
      <c r="DH100">
        <v>29.068200000000001</v>
      </c>
      <c r="DI100">
        <v>23.582699999999999</v>
      </c>
      <c r="DJ100">
        <v>1437.14</v>
      </c>
      <c r="DK100">
        <v>28.817799999999998</v>
      </c>
      <c r="DL100">
        <v>500.32299999999998</v>
      </c>
      <c r="DM100">
        <v>99.510199999999998</v>
      </c>
      <c r="DN100">
        <v>0.10033599999999999</v>
      </c>
      <c r="DO100">
        <v>30.765599999999999</v>
      </c>
      <c r="DP100">
        <v>30.044799999999999</v>
      </c>
      <c r="DQ100">
        <v>999.9</v>
      </c>
      <c r="DR100">
        <v>0</v>
      </c>
      <c r="DS100">
        <v>0</v>
      </c>
      <c r="DT100">
        <v>9930</v>
      </c>
      <c r="DU100">
        <v>0</v>
      </c>
      <c r="DV100">
        <v>1813.27</v>
      </c>
      <c r="DW100">
        <v>-64.432699999999997</v>
      </c>
      <c r="DX100">
        <v>1478.73</v>
      </c>
      <c r="DY100">
        <v>1536.41</v>
      </c>
      <c r="DZ100">
        <v>5.4855799999999997</v>
      </c>
      <c r="EA100">
        <v>1500.18</v>
      </c>
      <c r="EB100">
        <v>23.582699999999999</v>
      </c>
      <c r="EC100">
        <v>2.8925900000000002</v>
      </c>
      <c r="ED100">
        <v>2.3467199999999999</v>
      </c>
      <c r="EE100">
        <v>23.4222</v>
      </c>
      <c r="EF100">
        <v>20.000699999999998</v>
      </c>
      <c r="EG100">
        <v>1800.15</v>
      </c>
      <c r="EH100">
        <v>0.97799400000000003</v>
      </c>
      <c r="EI100">
        <v>2.20062E-2</v>
      </c>
      <c r="EJ100">
        <v>0</v>
      </c>
      <c r="EK100">
        <v>781.56200000000001</v>
      </c>
      <c r="EL100">
        <v>5.0010300000000001</v>
      </c>
      <c r="EM100">
        <v>14668</v>
      </c>
      <c r="EN100">
        <v>14702.3</v>
      </c>
      <c r="EO100">
        <v>47.686999999999998</v>
      </c>
      <c r="EP100">
        <v>49.811999999999998</v>
      </c>
      <c r="EQ100">
        <v>49.061999999999998</v>
      </c>
      <c r="ER100">
        <v>48.375</v>
      </c>
      <c r="ES100">
        <v>49.311999999999998</v>
      </c>
      <c r="ET100">
        <v>1755.64</v>
      </c>
      <c r="EU100">
        <v>39.5</v>
      </c>
      <c r="EV100">
        <v>0</v>
      </c>
      <c r="EW100">
        <v>120.2000000476837</v>
      </c>
      <c r="EX100">
        <v>0</v>
      </c>
      <c r="EY100">
        <v>781.67092307692303</v>
      </c>
      <c r="EZ100">
        <v>-1.8105299190223321</v>
      </c>
      <c r="FA100">
        <v>-14.10940172611091</v>
      </c>
      <c r="FB100">
        <v>14670.45</v>
      </c>
      <c r="FC100">
        <v>15</v>
      </c>
      <c r="FD100">
        <v>1693513848.5999999</v>
      </c>
      <c r="FE100" t="s">
        <v>847</v>
      </c>
      <c r="FF100">
        <v>1693513836.5999999</v>
      </c>
      <c r="FG100">
        <v>1693513848.5999999</v>
      </c>
      <c r="FH100">
        <v>92</v>
      </c>
      <c r="FI100">
        <v>-1.2E-2</v>
      </c>
      <c r="FJ100">
        <v>6.0000000000000001E-3</v>
      </c>
      <c r="FK100">
        <v>-1.355</v>
      </c>
      <c r="FL100">
        <v>0.113</v>
      </c>
      <c r="FM100">
        <v>1500</v>
      </c>
      <c r="FN100">
        <v>23</v>
      </c>
      <c r="FO100">
        <v>0.14000000000000001</v>
      </c>
      <c r="FP100">
        <v>0.05</v>
      </c>
      <c r="FQ100">
        <v>46.806833364919477</v>
      </c>
      <c r="FR100">
        <v>-0.30575201258128343</v>
      </c>
      <c r="FS100">
        <v>0.18653921912051671</v>
      </c>
      <c r="FT100">
        <v>1</v>
      </c>
      <c r="FU100">
        <v>0.35678116752239708</v>
      </c>
      <c r="FV100">
        <v>-4.4836311018304632E-2</v>
      </c>
      <c r="FW100">
        <v>3.5203091916884729E-3</v>
      </c>
      <c r="FX100">
        <v>1</v>
      </c>
      <c r="FY100">
        <v>2</v>
      </c>
      <c r="FZ100">
        <v>2</v>
      </c>
      <c r="GA100" t="s">
        <v>422</v>
      </c>
      <c r="GB100">
        <v>2.9055</v>
      </c>
      <c r="GC100">
        <v>2.8177400000000001</v>
      </c>
      <c r="GD100">
        <v>0.21615999999999999</v>
      </c>
      <c r="GE100">
        <v>0.22160299999999999</v>
      </c>
      <c r="GF100">
        <v>0.13684299999999999</v>
      </c>
      <c r="GG100">
        <v>0.118336</v>
      </c>
      <c r="GH100">
        <v>21829.3</v>
      </c>
      <c r="GI100">
        <v>21667.8</v>
      </c>
      <c r="GJ100">
        <v>24706</v>
      </c>
      <c r="GK100">
        <v>24853.1</v>
      </c>
      <c r="GL100">
        <v>28303.4</v>
      </c>
      <c r="GM100">
        <v>28612.799999999999</v>
      </c>
      <c r="GN100">
        <v>33397.1</v>
      </c>
      <c r="GO100">
        <v>33155.599999999999</v>
      </c>
      <c r="GP100">
        <v>1.9883</v>
      </c>
      <c r="GQ100">
        <v>1.8244</v>
      </c>
      <c r="GR100">
        <v>8.6307499999999995E-2</v>
      </c>
      <c r="GS100">
        <v>0</v>
      </c>
      <c r="GT100">
        <v>28.6387</v>
      </c>
      <c r="GU100">
        <v>999.9</v>
      </c>
      <c r="GV100">
        <v>36.700000000000003</v>
      </c>
      <c r="GW100">
        <v>43</v>
      </c>
      <c r="GX100">
        <v>32.040300000000002</v>
      </c>
      <c r="GY100">
        <v>62.067599999999999</v>
      </c>
      <c r="GZ100">
        <v>26.586500000000001</v>
      </c>
      <c r="HA100">
        <v>1</v>
      </c>
      <c r="HB100">
        <v>0.275671</v>
      </c>
      <c r="HC100">
        <v>0.53093699999999999</v>
      </c>
      <c r="HD100">
        <v>20.2133</v>
      </c>
      <c r="HE100">
        <v>5.2340600000000004</v>
      </c>
      <c r="HF100">
        <v>11.9201</v>
      </c>
      <c r="HG100">
        <v>4.9618000000000002</v>
      </c>
      <c r="HH100">
        <v>3.2890000000000001</v>
      </c>
      <c r="HI100">
        <v>9999</v>
      </c>
      <c r="HJ100">
        <v>9999</v>
      </c>
      <c r="HK100">
        <v>9999</v>
      </c>
      <c r="HL100">
        <v>896.5</v>
      </c>
      <c r="HM100">
        <v>1.8808499999999999</v>
      </c>
      <c r="HN100">
        <v>1.87805</v>
      </c>
      <c r="HO100">
        <v>1.8859900000000001</v>
      </c>
      <c r="HP100">
        <v>1.8836999999999999</v>
      </c>
      <c r="HQ100">
        <v>1.8812599999999999</v>
      </c>
      <c r="HR100">
        <v>1.88022</v>
      </c>
      <c r="HS100">
        <v>1.88141</v>
      </c>
      <c r="HT100">
        <v>1.88096</v>
      </c>
      <c r="HU100">
        <v>5</v>
      </c>
      <c r="HV100">
        <v>0</v>
      </c>
      <c r="HW100">
        <v>0</v>
      </c>
      <c r="HX100">
        <v>0</v>
      </c>
      <c r="HY100" t="s">
        <v>423</v>
      </c>
      <c r="HZ100" t="s">
        <v>424</v>
      </c>
      <c r="IA100" t="s">
        <v>425</v>
      </c>
      <c r="IB100" t="s">
        <v>425</v>
      </c>
      <c r="IC100" t="s">
        <v>425</v>
      </c>
      <c r="ID100" t="s">
        <v>425</v>
      </c>
      <c r="IE100">
        <v>0</v>
      </c>
      <c r="IF100">
        <v>100</v>
      </c>
      <c r="IG100">
        <v>100</v>
      </c>
      <c r="IH100">
        <v>-1.39</v>
      </c>
      <c r="II100">
        <v>0.25040000000000001</v>
      </c>
      <c r="IJ100">
        <v>-2.139491069226171</v>
      </c>
      <c r="IK100">
        <v>2.2153513873161218E-3</v>
      </c>
      <c r="IL100">
        <v>-2.2967369670569612E-6</v>
      </c>
      <c r="IM100">
        <v>7.7859689150384122E-10</v>
      </c>
      <c r="IN100">
        <v>-0.14913965669521381</v>
      </c>
      <c r="IO100">
        <v>-4.1434251034592161E-3</v>
      </c>
      <c r="IP100">
        <v>8.3987709687394815E-4</v>
      </c>
      <c r="IQ100">
        <v>-7.4586254598011197E-6</v>
      </c>
      <c r="IR100">
        <v>2</v>
      </c>
      <c r="IS100">
        <v>1930</v>
      </c>
      <c r="IT100">
        <v>2</v>
      </c>
      <c r="IU100">
        <v>41</v>
      </c>
      <c r="IV100">
        <v>0.8</v>
      </c>
      <c r="IW100">
        <v>0.6</v>
      </c>
      <c r="IX100">
        <v>2.8759800000000002</v>
      </c>
      <c r="IY100">
        <v>2.5109900000000001</v>
      </c>
      <c r="IZ100">
        <v>1.24512</v>
      </c>
      <c r="JA100">
        <v>2.2534200000000002</v>
      </c>
      <c r="JB100">
        <v>1.4501999999999999</v>
      </c>
      <c r="JC100">
        <v>2.2790499999999998</v>
      </c>
      <c r="JD100">
        <v>47.541699999999999</v>
      </c>
      <c r="JE100">
        <v>16.233499999999999</v>
      </c>
      <c r="JF100">
        <v>18</v>
      </c>
      <c r="JG100">
        <v>498.40300000000002</v>
      </c>
      <c r="JH100">
        <v>437.65600000000001</v>
      </c>
      <c r="JI100">
        <v>28.286100000000001</v>
      </c>
      <c r="JJ100">
        <v>30.904900000000001</v>
      </c>
      <c r="JK100">
        <v>30</v>
      </c>
      <c r="JL100">
        <v>30.825199999999999</v>
      </c>
      <c r="JM100">
        <v>30.787700000000001</v>
      </c>
      <c r="JN100">
        <v>57.683199999999999</v>
      </c>
      <c r="JO100">
        <v>21.472799999999999</v>
      </c>
      <c r="JP100">
        <v>11.055899999999999</v>
      </c>
      <c r="JQ100">
        <v>28.265599999999999</v>
      </c>
      <c r="JR100">
        <v>1500</v>
      </c>
      <c r="JS100">
        <v>23.630700000000001</v>
      </c>
      <c r="JT100">
        <v>99.694699999999997</v>
      </c>
      <c r="JU100">
        <v>99.004199999999997</v>
      </c>
    </row>
    <row r="101" spans="1:281" x14ac:dyDescent="0.25">
      <c r="A101">
        <v>85</v>
      </c>
      <c r="B101">
        <v>1693516050.5</v>
      </c>
      <c r="C101">
        <v>20400.900000095371</v>
      </c>
      <c r="D101" t="s">
        <v>848</v>
      </c>
      <c r="E101" t="s">
        <v>849</v>
      </c>
      <c r="F101" t="s">
        <v>413</v>
      </c>
      <c r="G101" t="s">
        <v>565</v>
      </c>
      <c r="H101" t="s">
        <v>415</v>
      </c>
      <c r="I101" t="s">
        <v>415</v>
      </c>
      <c r="J101">
        <v>1693516050.5</v>
      </c>
      <c r="K101">
        <f t="shared" si="92"/>
        <v>4.343976560795759E-3</v>
      </c>
      <c r="L101">
        <f t="shared" si="93"/>
        <v>4.3439765607957588</v>
      </c>
      <c r="M101">
        <f t="shared" si="94"/>
        <v>40.596241256684323</v>
      </c>
      <c r="N101">
        <f t="shared" si="95"/>
        <v>349.58600000000001</v>
      </c>
      <c r="O101">
        <f t="shared" si="96"/>
        <v>126.61795826102885</v>
      </c>
      <c r="P101">
        <f t="shared" si="97"/>
        <v>12.610714596437555</v>
      </c>
      <c r="Q101">
        <f t="shared" si="98"/>
        <v>34.817567219192</v>
      </c>
      <c r="R101">
        <f t="shared" si="99"/>
        <v>0.31395758545932112</v>
      </c>
      <c r="S101">
        <f t="shared" si="100"/>
        <v>2.9198226590188483</v>
      </c>
      <c r="T101">
        <f t="shared" si="101"/>
        <v>0.29633614950632181</v>
      </c>
      <c r="U101">
        <f t="shared" si="102"/>
        <v>0.18671084137628691</v>
      </c>
      <c r="V101">
        <f t="shared" si="103"/>
        <v>344.35729864343801</v>
      </c>
      <c r="W101">
        <f t="shared" si="104"/>
        <v>31.313070983399911</v>
      </c>
      <c r="X101">
        <f t="shared" si="105"/>
        <v>29.9909</v>
      </c>
      <c r="Y101">
        <f t="shared" si="106"/>
        <v>4.2582233572098458</v>
      </c>
      <c r="Z101">
        <f t="shared" si="107"/>
        <v>65.342364994303296</v>
      </c>
      <c r="AA101">
        <f t="shared" si="108"/>
        <v>2.8503443344108006</v>
      </c>
      <c r="AB101">
        <f t="shared" si="109"/>
        <v>4.3621689154644168</v>
      </c>
      <c r="AC101">
        <f t="shared" si="110"/>
        <v>1.4078790227990452</v>
      </c>
      <c r="AD101">
        <f t="shared" si="111"/>
        <v>-191.56936633109297</v>
      </c>
      <c r="AE101">
        <f t="shared" si="112"/>
        <v>66.192368000666747</v>
      </c>
      <c r="AF101">
        <f t="shared" si="113"/>
        <v>5.0507444197356426</v>
      </c>
      <c r="AG101">
        <f t="shared" si="114"/>
        <v>224.03104473274743</v>
      </c>
      <c r="AH101">
        <v>0</v>
      </c>
      <c r="AI101">
        <v>0</v>
      </c>
      <c r="AJ101">
        <f t="shared" si="115"/>
        <v>1</v>
      </c>
      <c r="AK101">
        <f t="shared" si="116"/>
        <v>0</v>
      </c>
      <c r="AL101">
        <f t="shared" si="117"/>
        <v>51994.351905141797</v>
      </c>
      <c r="AM101" t="s">
        <v>417</v>
      </c>
      <c r="AN101">
        <v>10366.9</v>
      </c>
      <c r="AO101">
        <v>993.59653846153856</v>
      </c>
      <c r="AP101">
        <v>3431.87</v>
      </c>
      <c r="AQ101">
        <f t="shared" si="118"/>
        <v>0.71047955241266758</v>
      </c>
      <c r="AR101">
        <v>-3.9894345373445681</v>
      </c>
      <c r="AS101" t="s">
        <v>850</v>
      </c>
      <c r="AT101">
        <v>10432.9</v>
      </c>
      <c r="AU101">
        <v>766.39876923076929</v>
      </c>
      <c r="AV101">
        <v>1084.6547102146189</v>
      </c>
      <c r="AW101">
        <f t="shared" si="119"/>
        <v>0.29341682471546804</v>
      </c>
      <c r="AX101">
        <v>0.5</v>
      </c>
      <c r="AY101">
        <f t="shared" si="120"/>
        <v>1513.1264993217192</v>
      </c>
      <c r="AZ101">
        <f t="shared" si="121"/>
        <v>40.596241256684323</v>
      </c>
      <c r="BA101">
        <f t="shared" si="122"/>
        <v>221.98838641190531</v>
      </c>
      <c r="BB101">
        <f t="shared" si="123"/>
        <v>2.9465927544071867E-2</v>
      </c>
      <c r="BC101">
        <f t="shared" si="124"/>
        <v>2.1640207410531054</v>
      </c>
      <c r="BD101">
        <f t="shared" si="125"/>
        <v>610.86952304720376</v>
      </c>
      <c r="BE101" t="s">
        <v>851</v>
      </c>
      <c r="BF101">
        <v>607.30999999999995</v>
      </c>
      <c r="BG101">
        <f t="shared" si="126"/>
        <v>607.30999999999995</v>
      </c>
      <c r="BH101">
        <f t="shared" si="127"/>
        <v>0.44008909537687579</v>
      </c>
      <c r="BI101">
        <f t="shared" si="128"/>
        <v>0.66672141572650623</v>
      </c>
      <c r="BJ101">
        <f t="shared" si="129"/>
        <v>0.83100209936605396</v>
      </c>
      <c r="BK101">
        <f t="shared" si="130"/>
        <v>3.4950838003518716</v>
      </c>
      <c r="BL101">
        <f t="shared" si="131"/>
        <v>0.96265465166666497</v>
      </c>
      <c r="BM101">
        <f t="shared" si="132"/>
        <v>0.52832363417189099</v>
      </c>
      <c r="BN101">
        <f t="shared" si="133"/>
        <v>0.47167636582810901</v>
      </c>
      <c r="BO101">
        <v>7912</v>
      </c>
      <c r="BP101">
        <v>290.00000000000011</v>
      </c>
      <c r="BQ101">
        <v>996.79</v>
      </c>
      <c r="BR101">
        <v>215</v>
      </c>
      <c r="BS101">
        <v>10432.9</v>
      </c>
      <c r="BT101">
        <v>996.49</v>
      </c>
      <c r="BU101">
        <v>0.3</v>
      </c>
      <c r="BV101">
        <v>300.00000000000011</v>
      </c>
      <c r="BW101">
        <v>38.200000000000003</v>
      </c>
      <c r="BX101">
        <v>1084.6547102146189</v>
      </c>
      <c r="BY101">
        <v>1.211648285286522</v>
      </c>
      <c r="BZ101">
        <v>-91.9845429626982</v>
      </c>
      <c r="CA101">
        <v>1.0353064246812571</v>
      </c>
      <c r="CB101">
        <v>0.99646549658755135</v>
      </c>
      <c r="CC101">
        <v>-1.1335172191323699E-2</v>
      </c>
      <c r="CD101">
        <v>289.99999999999989</v>
      </c>
      <c r="CE101">
        <v>988.8</v>
      </c>
      <c r="CF101">
        <v>635</v>
      </c>
      <c r="CG101">
        <v>10417.799999999999</v>
      </c>
      <c r="CH101">
        <v>996.36</v>
      </c>
      <c r="CI101">
        <v>-7.56</v>
      </c>
      <c r="CW101">
        <f t="shared" si="134"/>
        <v>1799.93</v>
      </c>
      <c r="CX101">
        <f t="shared" si="135"/>
        <v>1513.1264993217192</v>
      </c>
      <c r="CY101">
        <f t="shared" si="136"/>
        <v>0.84065852523249185</v>
      </c>
      <c r="CZ101">
        <f t="shared" si="137"/>
        <v>0.19131705046498365</v>
      </c>
      <c r="DA101">
        <v>6</v>
      </c>
      <c r="DB101">
        <v>0.5</v>
      </c>
      <c r="DC101" t="s">
        <v>420</v>
      </c>
      <c r="DD101">
        <v>2</v>
      </c>
      <c r="DE101">
        <v>1693516050.5</v>
      </c>
      <c r="DF101">
        <v>349.58600000000001</v>
      </c>
      <c r="DG101">
        <v>400.08300000000003</v>
      </c>
      <c r="DH101">
        <v>28.6189</v>
      </c>
      <c r="DI101">
        <v>23.5594</v>
      </c>
      <c r="DJ101">
        <v>351.75400000000002</v>
      </c>
      <c r="DK101">
        <v>28.4544</v>
      </c>
      <c r="DL101">
        <v>500.404</v>
      </c>
      <c r="DM101">
        <v>99.496300000000005</v>
      </c>
      <c r="DN101">
        <v>0.100272</v>
      </c>
      <c r="DO101">
        <v>30.4114</v>
      </c>
      <c r="DP101">
        <v>29.9909</v>
      </c>
      <c r="DQ101">
        <v>999.9</v>
      </c>
      <c r="DR101">
        <v>0</v>
      </c>
      <c r="DS101">
        <v>0</v>
      </c>
      <c r="DT101">
        <v>9995</v>
      </c>
      <c r="DU101">
        <v>0</v>
      </c>
      <c r="DV101">
        <v>1123.24</v>
      </c>
      <c r="DW101">
        <v>-50.496600000000001</v>
      </c>
      <c r="DX101">
        <v>359.88600000000002</v>
      </c>
      <c r="DY101">
        <v>409.73599999999999</v>
      </c>
      <c r="DZ101">
        <v>5.05952</v>
      </c>
      <c r="EA101">
        <v>400.08300000000003</v>
      </c>
      <c r="EB101">
        <v>23.5594</v>
      </c>
      <c r="EC101">
        <v>2.8474699999999999</v>
      </c>
      <c r="ED101">
        <v>2.3440699999999999</v>
      </c>
      <c r="EE101">
        <v>23.161899999999999</v>
      </c>
      <c r="EF101">
        <v>19.982500000000002</v>
      </c>
      <c r="EG101">
        <v>1799.93</v>
      </c>
      <c r="EH101">
        <v>0.97799000000000003</v>
      </c>
      <c r="EI101">
        <v>2.2009899999999999E-2</v>
      </c>
      <c r="EJ101">
        <v>0</v>
      </c>
      <c r="EK101">
        <v>766.48299999999995</v>
      </c>
      <c r="EL101">
        <v>5.0010300000000001</v>
      </c>
      <c r="EM101">
        <v>14669.6</v>
      </c>
      <c r="EN101">
        <v>14700.5</v>
      </c>
      <c r="EO101">
        <v>49.311999999999998</v>
      </c>
      <c r="EP101">
        <v>50.311999999999998</v>
      </c>
      <c r="EQ101">
        <v>50.436999999999998</v>
      </c>
      <c r="ER101">
        <v>50.061999999999998</v>
      </c>
      <c r="ES101">
        <v>50.811999999999998</v>
      </c>
      <c r="ET101">
        <v>1755.42</v>
      </c>
      <c r="EU101">
        <v>39.51</v>
      </c>
      <c r="EV101">
        <v>0</v>
      </c>
      <c r="EW101">
        <v>2161.7999999523158</v>
      </c>
      <c r="EX101">
        <v>0</v>
      </c>
      <c r="EY101">
        <v>766.39876923076929</v>
      </c>
      <c r="EZ101">
        <v>0.88444443980586618</v>
      </c>
      <c r="FA101">
        <v>1.8905982419241529</v>
      </c>
      <c r="FB101">
        <v>14667.365384615379</v>
      </c>
      <c r="FC101">
        <v>15</v>
      </c>
      <c r="FD101">
        <v>1693516022</v>
      </c>
      <c r="FE101" t="s">
        <v>852</v>
      </c>
      <c r="FF101">
        <v>1693516022</v>
      </c>
      <c r="FG101">
        <v>1693516016.5</v>
      </c>
      <c r="FH101">
        <v>94</v>
      </c>
      <c r="FI101">
        <v>-0.252</v>
      </c>
      <c r="FJ101">
        <v>-8.1000000000000003E-2</v>
      </c>
      <c r="FK101">
        <v>-2.1269999999999998</v>
      </c>
      <c r="FL101">
        <v>4.4999999999999998E-2</v>
      </c>
      <c r="FM101">
        <v>400</v>
      </c>
      <c r="FN101">
        <v>24</v>
      </c>
      <c r="FO101">
        <v>0.1</v>
      </c>
      <c r="FP101">
        <v>0.05</v>
      </c>
      <c r="FQ101">
        <v>40.559241722495763</v>
      </c>
      <c r="FR101">
        <v>-0.48332719466882179</v>
      </c>
      <c r="FS101">
        <v>9.9434841000325819E-2</v>
      </c>
      <c r="FT101">
        <v>1</v>
      </c>
      <c r="FU101">
        <v>0.3144260618933829</v>
      </c>
      <c r="FV101">
        <v>3.6875014820889049E-2</v>
      </c>
      <c r="FW101">
        <v>4.9623958406477472E-3</v>
      </c>
      <c r="FX101">
        <v>1</v>
      </c>
      <c r="FY101">
        <v>2</v>
      </c>
      <c r="FZ101">
        <v>2</v>
      </c>
      <c r="GA101" t="s">
        <v>422</v>
      </c>
      <c r="GB101">
        <v>2.8963000000000001</v>
      </c>
      <c r="GC101">
        <v>2.8182399999999999</v>
      </c>
      <c r="GD101">
        <v>8.1698900000000005E-2</v>
      </c>
      <c r="GE101">
        <v>9.0332899999999994E-2</v>
      </c>
      <c r="GF101">
        <v>0.13433200000000001</v>
      </c>
      <c r="GG101">
        <v>0.117101</v>
      </c>
      <c r="GH101">
        <v>25360.9</v>
      </c>
      <c r="GI101">
        <v>25278.2</v>
      </c>
      <c r="GJ101">
        <v>24508.3</v>
      </c>
      <c r="GK101">
        <v>24825.3</v>
      </c>
      <c r="GL101">
        <v>28185.4</v>
      </c>
      <c r="GM101">
        <v>28615.5</v>
      </c>
      <c r="GN101">
        <v>33135.1</v>
      </c>
      <c r="GO101">
        <v>33097.4</v>
      </c>
      <c r="GP101">
        <v>1.9331</v>
      </c>
      <c r="GQ101">
        <v>1.7931999999999999</v>
      </c>
      <c r="GR101">
        <v>6.1482200000000001E-2</v>
      </c>
      <c r="GS101">
        <v>0</v>
      </c>
      <c r="GT101">
        <v>28.9895</v>
      </c>
      <c r="GU101">
        <v>999.9</v>
      </c>
      <c r="GV101">
        <v>38.299999999999997</v>
      </c>
      <c r="GW101">
        <v>39.6</v>
      </c>
      <c r="GX101">
        <v>27.9331</v>
      </c>
      <c r="GY101">
        <v>62.877699999999997</v>
      </c>
      <c r="GZ101">
        <v>25.745200000000001</v>
      </c>
      <c r="HA101">
        <v>1</v>
      </c>
      <c r="HB101">
        <v>0.673709</v>
      </c>
      <c r="HC101">
        <v>2.47329</v>
      </c>
      <c r="HD101">
        <v>20.1495</v>
      </c>
      <c r="HE101">
        <v>5.2340600000000004</v>
      </c>
      <c r="HF101">
        <v>11.9255</v>
      </c>
      <c r="HG101">
        <v>4.9593999999999996</v>
      </c>
      <c r="HH101">
        <v>3.2890000000000001</v>
      </c>
      <c r="HI101">
        <v>9999</v>
      </c>
      <c r="HJ101">
        <v>9999</v>
      </c>
      <c r="HK101">
        <v>9999</v>
      </c>
      <c r="HL101">
        <v>897.1</v>
      </c>
      <c r="HM101">
        <v>1.88083</v>
      </c>
      <c r="HN101">
        <v>1.8779300000000001</v>
      </c>
      <c r="HO101">
        <v>1.8858900000000001</v>
      </c>
      <c r="HP101">
        <v>1.8836999999999999</v>
      </c>
      <c r="HQ101">
        <v>1.8811500000000001</v>
      </c>
      <c r="HR101">
        <v>1.8802300000000001</v>
      </c>
      <c r="HS101">
        <v>1.8813899999999999</v>
      </c>
      <c r="HT101">
        <v>1.8808100000000001</v>
      </c>
      <c r="HU101">
        <v>5</v>
      </c>
      <c r="HV101">
        <v>0</v>
      </c>
      <c r="HW101">
        <v>0</v>
      </c>
      <c r="HX101">
        <v>0</v>
      </c>
      <c r="HY101" t="s">
        <v>423</v>
      </c>
      <c r="HZ101" t="s">
        <v>424</v>
      </c>
      <c r="IA101" t="s">
        <v>425</v>
      </c>
      <c r="IB101" t="s">
        <v>425</v>
      </c>
      <c r="IC101" t="s">
        <v>425</v>
      </c>
      <c r="ID101" t="s">
        <v>425</v>
      </c>
      <c r="IE101">
        <v>0</v>
      </c>
      <c r="IF101">
        <v>100</v>
      </c>
      <c r="IG101">
        <v>100</v>
      </c>
      <c r="IH101">
        <v>-2.1680000000000001</v>
      </c>
      <c r="II101">
        <v>0.16450000000000001</v>
      </c>
      <c r="IJ101">
        <v>-2.6966167397084679</v>
      </c>
      <c r="IK101">
        <v>2.2153513873161218E-3</v>
      </c>
      <c r="IL101">
        <v>-2.2967369670569612E-6</v>
      </c>
      <c r="IM101">
        <v>7.7859689150384122E-10</v>
      </c>
      <c r="IN101">
        <v>-0.22582991617483231</v>
      </c>
      <c r="IO101">
        <v>-4.1434251034592161E-3</v>
      </c>
      <c r="IP101">
        <v>8.3987709687394815E-4</v>
      </c>
      <c r="IQ101">
        <v>-7.4586254598011197E-6</v>
      </c>
      <c r="IR101">
        <v>2</v>
      </c>
      <c r="IS101">
        <v>1930</v>
      </c>
      <c r="IT101">
        <v>2</v>
      </c>
      <c r="IU101">
        <v>41</v>
      </c>
      <c r="IV101">
        <v>0.5</v>
      </c>
      <c r="IW101">
        <v>0.6</v>
      </c>
      <c r="IX101">
        <v>1.0083</v>
      </c>
      <c r="IY101">
        <v>2.5109900000000001</v>
      </c>
      <c r="IZ101">
        <v>1.24512</v>
      </c>
      <c r="JA101">
        <v>2.2522000000000002</v>
      </c>
      <c r="JB101">
        <v>1.4501999999999999</v>
      </c>
      <c r="JC101">
        <v>2.47681</v>
      </c>
      <c r="JD101">
        <v>40.604199999999999</v>
      </c>
      <c r="JE101">
        <v>24.043700000000001</v>
      </c>
      <c r="JF101">
        <v>18</v>
      </c>
      <c r="JG101">
        <v>496.63900000000001</v>
      </c>
      <c r="JH101">
        <v>450.17</v>
      </c>
      <c r="JI101">
        <v>26.1449</v>
      </c>
      <c r="JJ101">
        <v>35.334699999999998</v>
      </c>
      <c r="JK101">
        <v>30.000499999999999</v>
      </c>
      <c r="JL101">
        <v>35.180599999999998</v>
      </c>
      <c r="JM101">
        <v>35.091299999999997</v>
      </c>
      <c r="JN101">
        <v>20.276599999999998</v>
      </c>
      <c r="JO101">
        <v>15.513299999999999</v>
      </c>
      <c r="JP101">
        <v>37.652099999999997</v>
      </c>
      <c r="JQ101">
        <v>26.146000000000001</v>
      </c>
      <c r="JR101">
        <v>400</v>
      </c>
      <c r="JS101">
        <v>23.567599999999999</v>
      </c>
      <c r="JT101">
        <v>98.905900000000003</v>
      </c>
      <c r="JU101">
        <v>98.857399999999998</v>
      </c>
    </row>
    <row r="102" spans="1:281" x14ac:dyDescent="0.25">
      <c r="A102">
        <v>86</v>
      </c>
      <c r="B102">
        <v>1693516178</v>
      </c>
      <c r="C102">
        <v>20528.400000095371</v>
      </c>
      <c r="D102" t="s">
        <v>853</v>
      </c>
      <c r="E102" t="s">
        <v>854</v>
      </c>
      <c r="F102" t="s">
        <v>413</v>
      </c>
      <c r="G102" t="s">
        <v>565</v>
      </c>
      <c r="H102" t="s">
        <v>415</v>
      </c>
      <c r="I102" t="s">
        <v>415</v>
      </c>
      <c r="J102">
        <v>1693516178</v>
      </c>
      <c r="K102">
        <f t="shared" si="92"/>
        <v>4.5105751986856167E-3</v>
      </c>
      <c r="L102">
        <f t="shared" si="93"/>
        <v>4.5105751986856166</v>
      </c>
      <c r="M102">
        <f t="shared" si="94"/>
        <v>32.685859784653623</v>
      </c>
      <c r="N102">
        <f t="shared" si="95"/>
        <v>259.31099999999998</v>
      </c>
      <c r="O102">
        <f t="shared" si="96"/>
        <v>87.463747781718268</v>
      </c>
      <c r="P102">
        <f t="shared" si="97"/>
        <v>8.7109015812015098</v>
      </c>
      <c r="Q102">
        <f t="shared" si="98"/>
        <v>25.825929681864</v>
      </c>
      <c r="R102">
        <f t="shared" si="99"/>
        <v>0.32818936074220628</v>
      </c>
      <c r="S102">
        <f t="shared" si="100"/>
        <v>2.9215405910666599</v>
      </c>
      <c r="T102">
        <f t="shared" si="101"/>
        <v>0.30899717314383862</v>
      </c>
      <c r="U102">
        <f t="shared" si="102"/>
        <v>0.19475398146360662</v>
      </c>
      <c r="V102">
        <f t="shared" si="103"/>
        <v>344.38269864423017</v>
      </c>
      <c r="W102">
        <f t="shared" si="104"/>
        <v>31.178648610800938</v>
      </c>
      <c r="X102">
        <f t="shared" si="105"/>
        <v>29.980599999999999</v>
      </c>
      <c r="Y102">
        <f t="shared" si="106"/>
        <v>4.2557045722008198</v>
      </c>
      <c r="Z102">
        <f t="shared" si="107"/>
        <v>65.762033373420849</v>
      </c>
      <c r="AA102">
        <f t="shared" si="108"/>
        <v>2.8537686658535999</v>
      </c>
      <c r="AB102">
        <f t="shared" si="109"/>
        <v>4.3395383619737835</v>
      </c>
      <c r="AC102">
        <f t="shared" si="110"/>
        <v>1.4019359063472199</v>
      </c>
      <c r="AD102">
        <f t="shared" si="111"/>
        <v>-198.91636626203569</v>
      </c>
      <c r="AE102">
        <f t="shared" si="112"/>
        <v>53.55207275749914</v>
      </c>
      <c r="AF102">
        <f t="shared" si="113"/>
        <v>4.0817932314997458</v>
      </c>
      <c r="AG102">
        <f t="shared" si="114"/>
        <v>203.10019837119339</v>
      </c>
      <c r="AH102">
        <v>0</v>
      </c>
      <c r="AI102">
        <v>0</v>
      </c>
      <c r="AJ102">
        <f t="shared" si="115"/>
        <v>1</v>
      </c>
      <c r="AK102">
        <f t="shared" si="116"/>
        <v>0</v>
      </c>
      <c r="AL102">
        <f t="shared" si="117"/>
        <v>52058.830503929508</v>
      </c>
      <c r="AM102" t="s">
        <v>417</v>
      </c>
      <c r="AN102">
        <v>10366.9</v>
      </c>
      <c r="AO102">
        <v>993.59653846153856</v>
      </c>
      <c r="AP102">
        <v>3431.87</v>
      </c>
      <c r="AQ102">
        <f t="shared" si="118"/>
        <v>0.71047955241266758</v>
      </c>
      <c r="AR102">
        <v>-3.9894345373445681</v>
      </c>
      <c r="AS102" t="s">
        <v>855</v>
      </c>
      <c r="AT102">
        <v>10429.4</v>
      </c>
      <c r="AU102">
        <v>755.41892307692319</v>
      </c>
      <c r="AV102">
        <v>1015.098969110736</v>
      </c>
      <c r="AW102">
        <f t="shared" si="119"/>
        <v>0.25581746601644373</v>
      </c>
      <c r="AX102">
        <v>0.5</v>
      </c>
      <c r="AY102">
        <f t="shared" si="120"/>
        <v>1513.2434993221148</v>
      </c>
      <c r="AZ102">
        <f t="shared" si="121"/>
        <v>32.685859784653623</v>
      </c>
      <c r="BA102">
        <f t="shared" si="122"/>
        <v>193.55705873121974</v>
      </c>
      <c r="BB102">
        <f t="shared" si="123"/>
        <v>2.423621468615432E-2</v>
      </c>
      <c r="BC102">
        <f t="shared" si="124"/>
        <v>2.3808230570921021</v>
      </c>
      <c r="BD102">
        <f t="shared" si="125"/>
        <v>588.17162623562183</v>
      </c>
      <c r="BE102" t="s">
        <v>856</v>
      </c>
      <c r="BF102">
        <v>593.99</v>
      </c>
      <c r="BG102">
        <f t="shared" si="126"/>
        <v>593.99</v>
      </c>
      <c r="BH102">
        <f t="shared" si="127"/>
        <v>0.41484523374074833</v>
      </c>
      <c r="BI102">
        <f t="shared" si="128"/>
        <v>0.61665759953340393</v>
      </c>
      <c r="BJ102">
        <f t="shared" si="129"/>
        <v>0.85161142503885423</v>
      </c>
      <c r="BK102">
        <f t="shared" si="130"/>
        <v>12.076776354746908</v>
      </c>
      <c r="BL102">
        <f t="shared" si="131"/>
        <v>0.99118128832209385</v>
      </c>
      <c r="BM102">
        <f t="shared" si="132"/>
        <v>0.48488121803317336</v>
      </c>
      <c r="BN102">
        <f t="shared" si="133"/>
        <v>0.51511878196682659</v>
      </c>
      <c r="BO102">
        <v>7914</v>
      </c>
      <c r="BP102">
        <v>290.00000000000011</v>
      </c>
      <c r="BQ102">
        <v>944.51</v>
      </c>
      <c r="BR102">
        <v>295</v>
      </c>
      <c r="BS102">
        <v>10429.4</v>
      </c>
      <c r="BT102">
        <v>943.79</v>
      </c>
      <c r="BU102">
        <v>0.72</v>
      </c>
      <c r="BV102">
        <v>300.00000000000011</v>
      </c>
      <c r="BW102">
        <v>38.200000000000003</v>
      </c>
      <c r="BX102">
        <v>1015.098969110736</v>
      </c>
      <c r="BY102">
        <v>0.98283915688799894</v>
      </c>
      <c r="BZ102">
        <v>-74.368982997936044</v>
      </c>
      <c r="CA102">
        <v>0.84019544492560094</v>
      </c>
      <c r="CB102">
        <v>0.99643888777694956</v>
      </c>
      <c r="CC102">
        <v>-1.133984849833148E-2</v>
      </c>
      <c r="CD102">
        <v>289.99999999999989</v>
      </c>
      <c r="CE102">
        <v>939.71</v>
      </c>
      <c r="CF102">
        <v>655</v>
      </c>
      <c r="CG102">
        <v>10420.9</v>
      </c>
      <c r="CH102">
        <v>943.73</v>
      </c>
      <c r="CI102">
        <v>-4.0199999999999996</v>
      </c>
      <c r="CW102">
        <f t="shared" si="134"/>
        <v>1800.07</v>
      </c>
      <c r="CX102">
        <f t="shared" si="135"/>
        <v>1513.2434993221148</v>
      </c>
      <c r="CY102">
        <f t="shared" si="136"/>
        <v>0.84065814069570344</v>
      </c>
      <c r="CZ102">
        <f t="shared" si="137"/>
        <v>0.19131628139140711</v>
      </c>
      <c r="DA102">
        <v>6</v>
      </c>
      <c r="DB102">
        <v>0.5</v>
      </c>
      <c r="DC102" t="s">
        <v>420</v>
      </c>
      <c r="DD102">
        <v>2</v>
      </c>
      <c r="DE102">
        <v>1693516178</v>
      </c>
      <c r="DF102">
        <v>259.31099999999998</v>
      </c>
      <c r="DG102">
        <v>299.916</v>
      </c>
      <c r="DH102">
        <v>28.6539</v>
      </c>
      <c r="DI102">
        <v>23.399100000000001</v>
      </c>
      <c r="DJ102">
        <v>261.315</v>
      </c>
      <c r="DK102">
        <v>28.489899999999999</v>
      </c>
      <c r="DL102">
        <v>500.26600000000002</v>
      </c>
      <c r="DM102">
        <v>99.494399999999999</v>
      </c>
      <c r="DN102">
        <v>0.100024</v>
      </c>
      <c r="DO102">
        <v>30.320599999999999</v>
      </c>
      <c r="DP102">
        <v>29.980599999999999</v>
      </c>
      <c r="DQ102">
        <v>999.9</v>
      </c>
      <c r="DR102">
        <v>0</v>
      </c>
      <c r="DS102">
        <v>0</v>
      </c>
      <c r="DT102">
        <v>10005</v>
      </c>
      <c r="DU102">
        <v>0</v>
      </c>
      <c r="DV102">
        <v>1111.8499999999999</v>
      </c>
      <c r="DW102">
        <v>-40.6051</v>
      </c>
      <c r="DX102">
        <v>266.96100000000001</v>
      </c>
      <c r="DY102">
        <v>307.10199999999998</v>
      </c>
      <c r="DZ102">
        <v>5.2547899999999998</v>
      </c>
      <c r="EA102">
        <v>299.916</v>
      </c>
      <c r="EB102">
        <v>23.399100000000001</v>
      </c>
      <c r="EC102">
        <v>2.8509000000000002</v>
      </c>
      <c r="ED102">
        <v>2.3280799999999999</v>
      </c>
      <c r="EE102">
        <v>23.181799999999999</v>
      </c>
      <c r="EF102">
        <v>19.872</v>
      </c>
      <c r="EG102">
        <v>1800.07</v>
      </c>
      <c r="EH102">
        <v>0.97800200000000004</v>
      </c>
      <c r="EI102">
        <v>2.19981E-2</v>
      </c>
      <c r="EJ102">
        <v>0</v>
      </c>
      <c r="EK102">
        <v>755.32399999999996</v>
      </c>
      <c r="EL102">
        <v>5.0010300000000001</v>
      </c>
      <c r="EM102">
        <v>14445.2</v>
      </c>
      <c r="EN102">
        <v>14701.6</v>
      </c>
      <c r="EO102">
        <v>48.625</v>
      </c>
      <c r="EP102">
        <v>49.686999999999998</v>
      </c>
      <c r="EQ102">
        <v>49.75</v>
      </c>
      <c r="ER102">
        <v>49.561999999999998</v>
      </c>
      <c r="ES102">
        <v>50.186999999999998</v>
      </c>
      <c r="ET102">
        <v>1755.58</v>
      </c>
      <c r="EU102">
        <v>39.49</v>
      </c>
      <c r="EV102">
        <v>0</v>
      </c>
      <c r="EW102">
        <v>125.4000000953674</v>
      </c>
      <c r="EX102">
        <v>0</v>
      </c>
      <c r="EY102">
        <v>755.41892307692319</v>
      </c>
      <c r="EZ102">
        <v>1.024547000332404</v>
      </c>
      <c r="FA102">
        <v>24.76923082272549</v>
      </c>
      <c r="FB102">
        <v>14443.126923076919</v>
      </c>
      <c r="FC102">
        <v>15</v>
      </c>
      <c r="FD102">
        <v>1693516149</v>
      </c>
      <c r="FE102" t="s">
        <v>857</v>
      </c>
      <c r="FF102">
        <v>1693516149</v>
      </c>
      <c r="FG102">
        <v>1693516148.5</v>
      </c>
      <c r="FH102">
        <v>95</v>
      </c>
      <c r="FI102">
        <v>0.25700000000000001</v>
      </c>
      <c r="FJ102">
        <v>-1E-3</v>
      </c>
      <c r="FK102">
        <v>-1.9590000000000001</v>
      </c>
      <c r="FL102">
        <v>3.9E-2</v>
      </c>
      <c r="FM102">
        <v>300</v>
      </c>
      <c r="FN102">
        <v>23</v>
      </c>
      <c r="FO102">
        <v>0.17</v>
      </c>
      <c r="FP102">
        <v>0.04</v>
      </c>
      <c r="FQ102">
        <v>32.778852901267243</v>
      </c>
      <c r="FR102">
        <v>0.122247067069673</v>
      </c>
      <c r="FS102">
        <v>6.5622056409226012E-2</v>
      </c>
      <c r="FT102">
        <v>1</v>
      </c>
      <c r="FU102">
        <v>0.33143309852578817</v>
      </c>
      <c r="FV102">
        <v>3.3088674066035627E-2</v>
      </c>
      <c r="FW102">
        <v>4.8160517295492084E-3</v>
      </c>
      <c r="FX102">
        <v>1</v>
      </c>
      <c r="FY102">
        <v>2</v>
      </c>
      <c r="FZ102">
        <v>2</v>
      </c>
      <c r="GA102" t="s">
        <v>422</v>
      </c>
      <c r="GB102">
        <v>2.8957700000000002</v>
      </c>
      <c r="GC102">
        <v>2.8180800000000001</v>
      </c>
      <c r="GD102">
        <v>6.4072500000000004E-2</v>
      </c>
      <c r="GE102">
        <v>7.1855299999999997E-2</v>
      </c>
      <c r="GF102">
        <v>0.134408</v>
      </c>
      <c r="GG102">
        <v>0.11651599999999999</v>
      </c>
      <c r="GH102">
        <v>25842.3</v>
      </c>
      <c r="GI102">
        <v>25788.5</v>
      </c>
      <c r="GJ102">
        <v>24503.8</v>
      </c>
      <c r="GK102">
        <v>24823.200000000001</v>
      </c>
      <c r="GL102">
        <v>28178.6</v>
      </c>
      <c r="GM102">
        <v>28632</v>
      </c>
      <c r="GN102">
        <v>33129.5</v>
      </c>
      <c r="GO102">
        <v>33094.199999999997</v>
      </c>
      <c r="GP102">
        <v>1.9320999999999999</v>
      </c>
      <c r="GQ102">
        <v>1.7943</v>
      </c>
      <c r="GR102">
        <v>5.9172500000000003E-2</v>
      </c>
      <c r="GS102">
        <v>0</v>
      </c>
      <c r="GT102">
        <v>29.0169</v>
      </c>
      <c r="GU102">
        <v>999.9</v>
      </c>
      <c r="GV102">
        <v>38.700000000000003</v>
      </c>
      <c r="GW102">
        <v>39.299999999999997</v>
      </c>
      <c r="GX102">
        <v>27.777799999999999</v>
      </c>
      <c r="GY102">
        <v>62.917700000000004</v>
      </c>
      <c r="GZ102">
        <v>24.415099999999999</v>
      </c>
      <c r="HA102">
        <v>1</v>
      </c>
      <c r="HB102">
        <v>0.681728</v>
      </c>
      <c r="HC102">
        <v>2.44489</v>
      </c>
      <c r="HD102">
        <v>20.1494</v>
      </c>
      <c r="HE102">
        <v>5.23346</v>
      </c>
      <c r="HF102">
        <v>11.9255</v>
      </c>
      <c r="HG102">
        <v>4.9593999999999996</v>
      </c>
      <c r="HH102">
        <v>3.2890000000000001</v>
      </c>
      <c r="HI102">
        <v>9999</v>
      </c>
      <c r="HJ102">
        <v>9999</v>
      </c>
      <c r="HK102">
        <v>9999</v>
      </c>
      <c r="HL102">
        <v>897.1</v>
      </c>
      <c r="HM102">
        <v>1.88086</v>
      </c>
      <c r="HN102">
        <v>1.8779399999999999</v>
      </c>
      <c r="HO102">
        <v>1.8858900000000001</v>
      </c>
      <c r="HP102">
        <v>1.8836999999999999</v>
      </c>
      <c r="HQ102">
        <v>1.8812</v>
      </c>
      <c r="HR102">
        <v>1.8803000000000001</v>
      </c>
      <c r="HS102">
        <v>1.8813500000000001</v>
      </c>
      <c r="HT102">
        <v>1.8808</v>
      </c>
      <c r="HU102">
        <v>5</v>
      </c>
      <c r="HV102">
        <v>0</v>
      </c>
      <c r="HW102">
        <v>0</v>
      </c>
      <c r="HX102">
        <v>0</v>
      </c>
      <c r="HY102" t="s">
        <v>423</v>
      </c>
      <c r="HZ102" t="s">
        <v>424</v>
      </c>
      <c r="IA102" t="s">
        <v>425</v>
      </c>
      <c r="IB102" t="s">
        <v>425</v>
      </c>
      <c r="IC102" t="s">
        <v>425</v>
      </c>
      <c r="ID102" t="s">
        <v>425</v>
      </c>
      <c r="IE102">
        <v>0</v>
      </c>
      <c r="IF102">
        <v>100</v>
      </c>
      <c r="IG102">
        <v>100</v>
      </c>
      <c r="IH102">
        <v>-2.004</v>
      </c>
      <c r="II102">
        <v>0.16400000000000001</v>
      </c>
      <c r="IJ102">
        <v>-2.4399026022283392</v>
      </c>
      <c r="IK102">
        <v>2.2153513873161218E-3</v>
      </c>
      <c r="IL102">
        <v>-2.2967369670569612E-6</v>
      </c>
      <c r="IM102">
        <v>7.7859689150384122E-10</v>
      </c>
      <c r="IN102">
        <v>-0.22714260601745731</v>
      </c>
      <c r="IO102">
        <v>-4.1434251034592161E-3</v>
      </c>
      <c r="IP102">
        <v>8.3987709687394815E-4</v>
      </c>
      <c r="IQ102">
        <v>-7.4586254598011197E-6</v>
      </c>
      <c r="IR102">
        <v>2</v>
      </c>
      <c r="IS102">
        <v>1930</v>
      </c>
      <c r="IT102">
        <v>2</v>
      </c>
      <c r="IU102">
        <v>41</v>
      </c>
      <c r="IV102">
        <v>0.5</v>
      </c>
      <c r="IW102">
        <v>0.5</v>
      </c>
      <c r="IX102">
        <v>0.80444300000000002</v>
      </c>
      <c r="IY102">
        <v>2.5146500000000001</v>
      </c>
      <c r="IZ102">
        <v>1.24512</v>
      </c>
      <c r="JA102">
        <v>2.2522000000000002</v>
      </c>
      <c r="JB102">
        <v>1.4501999999999999</v>
      </c>
      <c r="JC102">
        <v>2.33521</v>
      </c>
      <c r="JD102">
        <v>40.451000000000001</v>
      </c>
      <c r="JE102">
        <v>24.035</v>
      </c>
      <c r="JF102">
        <v>18</v>
      </c>
      <c r="JG102">
        <v>496.90100000000001</v>
      </c>
      <c r="JH102">
        <v>451.89499999999998</v>
      </c>
      <c r="JI102">
        <v>26.229500000000002</v>
      </c>
      <c r="JJ102">
        <v>35.435499999999998</v>
      </c>
      <c r="JK102">
        <v>30.000599999999999</v>
      </c>
      <c r="JL102">
        <v>35.300800000000002</v>
      </c>
      <c r="JM102">
        <v>35.219000000000001</v>
      </c>
      <c r="JN102">
        <v>16.183499999999999</v>
      </c>
      <c r="JO102">
        <v>16.2624</v>
      </c>
      <c r="JP102">
        <v>38.5837</v>
      </c>
      <c r="JQ102">
        <v>26.238499999999998</v>
      </c>
      <c r="JR102">
        <v>300</v>
      </c>
      <c r="JS102">
        <v>23.308199999999999</v>
      </c>
      <c r="JT102">
        <v>98.888800000000003</v>
      </c>
      <c r="JU102">
        <v>98.848200000000006</v>
      </c>
    </row>
    <row r="103" spans="1:281" x14ac:dyDescent="0.25">
      <c r="A103">
        <v>87</v>
      </c>
      <c r="B103">
        <v>1693516279.5999999</v>
      </c>
      <c r="C103">
        <v>20630</v>
      </c>
      <c r="D103" t="s">
        <v>858</v>
      </c>
      <c r="E103" t="s">
        <v>859</v>
      </c>
      <c r="F103" t="s">
        <v>413</v>
      </c>
      <c r="G103" t="s">
        <v>565</v>
      </c>
      <c r="H103" t="s">
        <v>415</v>
      </c>
      <c r="I103" t="s">
        <v>415</v>
      </c>
      <c r="J103">
        <v>1693516279.5999999</v>
      </c>
      <c r="K103">
        <f t="shared" si="92"/>
        <v>4.8111476256425889E-3</v>
      </c>
      <c r="L103">
        <f t="shared" si="93"/>
        <v>4.8111476256425894</v>
      </c>
      <c r="M103">
        <f t="shared" si="94"/>
        <v>23.349998853714713</v>
      </c>
      <c r="N103">
        <f t="shared" si="95"/>
        <v>171.06299999999999</v>
      </c>
      <c r="O103">
        <f t="shared" si="96"/>
        <v>55.654536204937919</v>
      </c>
      <c r="P103">
        <f t="shared" si="97"/>
        <v>5.5426028196206136</v>
      </c>
      <c r="Q103">
        <f t="shared" si="98"/>
        <v>17.0360644573773</v>
      </c>
      <c r="R103">
        <f t="shared" si="99"/>
        <v>0.35000594080313191</v>
      </c>
      <c r="S103">
        <f t="shared" si="100"/>
        <v>2.9328198182464575</v>
      </c>
      <c r="T103">
        <f t="shared" si="101"/>
        <v>0.3283460480987388</v>
      </c>
      <c r="U103">
        <f t="shared" si="102"/>
        <v>0.20705053889417668</v>
      </c>
      <c r="V103">
        <f t="shared" si="103"/>
        <v>344.37759864386425</v>
      </c>
      <c r="W103">
        <f t="shared" si="104"/>
        <v>31.185995886871876</v>
      </c>
      <c r="X103">
        <f t="shared" si="105"/>
        <v>30.018599999999999</v>
      </c>
      <c r="Y103">
        <f t="shared" si="106"/>
        <v>4.2650036234208688</v>
      </c>
      <c r="Z103">
        <f t="shared" si="107"/>
        <v>65.52543679223588</v>
      </c>
      <c r="AA103">
        <f t="shared" si="108"/>
        <v>2.8579374204021195</v>
      </c>
      <c r="AB103">
        <f t="shared" si="109"/>
        <v>4.3615694306073776</v>
      </c>
      <c r="AC103">
        <f t="shared" si="110"/>
        <v>1.4070662030187493</v>
      </c>
      <c r="AD103">
        <f t="shared" si="111"/>
        <v>-212.17161029083817</v>
      </c>
      <c r="AE103">
        <f t="shared" si="112"/>
        <v>61.727776668924655</v>
      </c>
      <c r="AF103">
        <f t="shared" si="113"/>
        <v>4.6897914419842186</v>
      </c>
      <c r="AG103">
        <f t="shared" si="114"/>
        <v>198.62355646393493</v>
      </c>
      <c r="AH103">
        <v>0</v>
      </c>
      <c r="AI103">
        <v>0</v>
      </c>
      <c r="AJ103">
        <f t="shared" si="115"/>
        <v>1</v>
      </c>
      <c r="AK103">
        <f t="shared" si="116"/>
        <v>0</v>
      </c>
      <c r="AL103">
        <f t="shared" si="117"/>
        <v>52365.34668483182</v>
      </c>
      <c r="AM103" t="s">
        <v>417</v>
      </c>
      <c r="AN103">
        <v>10366.9</v>
      </c>
      <c r="AO103">
        <v>993.59653846153856</v>
      </c>
      <c r="AP103">
        <v>3431.87</v>
      </c>
      <c r="AQ103">
        <f t="shared" si="118"/>
        <v>0.71047955241266758</v>
      </c>
      <c r="AR103">
        <v>-3.9894345373445681</v>
      </c>
      <c r="AS103" t="s">
        <v>860</v>
      </c>
      <c r="AT103">
        <v>10440.799999999999</v>
      </c>
      <c r="AU103">
        <v>762.71964000000003</v>
      </c>
      <c r="AV103">
        <v>958.55026649672322</v>
      </c>
      <c r="AW103">
        <f t="shared" si="119"/>
        <v>0.20429875546583309</v>
      </c>
      <c r="AX103">
        <v>0.5</v>
      </c>
      <c r="AY103">
        <f t="shared" si="120"/>
        <v>1513.2185993219321</v>
      </c>
      <c r="AZ103">
        <f t="shared" si="121"/>
        <v>23.349998853714713</v>
      </c>
      <c r="BA103">
        <f t="shared" si="122"/>
        <v>154.57433829461093</v>
      </c>
      <c r="BB103">
        <f t="shared" si="123"/>
        <v>1.806707464692146E-2</v>
      </c>
      <c r="BC103">
        <f t="shared" si="124"/>
        <v>2.5802712908762531</v>
      </c>
      <c r="BD103">
        <f t="shared" si="125"/>
        <v>568.73099623489384</v>
      </c>
      <c r="BE103" t="s">
        <v>861</v>
      </c>
      <c r="BF103">
        <v>588.84</v>
      </c>
      <c r="BG103">
        <f t="shared" si="126"/>
        <v>588.84</v>
      </c>
      <c r="BH103">
        <f t="shared" si="127"/>
        <v>0.38569731752089298</v>
      </c>
      <c r="BI103">
        <f t="shared" si="128"/>
        <v>0.52968674187049891</v>
      </c>
      <c r="BJ103">
        <f t="shared" si="129"/>
        <v>0.86995906955018998</v>
      </c>
      <c r="BK103">
        <f t="shared" si="130"/>
        <v>-5.5877734069212028</v>
      </c>
      <c r="BL103">
        <f t="shared" si="131"/>
        <v>1.0143733967980368</v>
      </c>
      <c r="BM103">
        <f t="shared" si="132"/>
        <v>0.40893235826866153</v>
      </c>
      <c r="BN103">
        <f t="shared" si="133"/>
        <v>0.59106764173133852</v>
      </c>
      <c r="BO103">
        <v>7916</v>
      </c>
      <c r="BP103">
        <v>290.00000000000011</v>
      </c>
      <c r="BQ103">
        <v>907.35</v>
      </c>
      <c r="BR103">
        <v>215</v>
      </c>
      <c r="BS103">
        <v>10440.799999999999</v>
      </c>
      <c r="BT103">
        <v>907.11</v>
      </c>
      <c r="BU103">
        <v>0.24</v>
      </c>
      <c r="BV103">
        <v>300.00000000000011</v>
      </c>
      <c r="BW103">
        <v>38.200000000000003</v>
      </c>
      <c r="BX103">
        <v>958.55026649672322</v>
      </c>
      <c r="BY103">
        <v>1.3899761955305061</v>
      </c>
      <c r="BZ103">
        <v>-53.706229919852589</v>
      </c>
      <c r="CA103">
        <v>1.188636469764845</v>
      </c>
      <c r="CB103">
        <v>0.98647021863525941</v>
      </c>
      <c r="CC103">
        <v>-1.134339510567297E-2</v>
      </c>
      <c r="CD103">
        <v>289.99999999999989</v>
      </c>
      <c r="CE103">
        <v>905.01</v>
      </c>
      <c r="CF103">
        <v>645</v>
      </c>
      <c r="CG103">
        <v>10425.299999999999</v>
      </c>
      <c r="CH103">
        <v>907.03</v>
      </c>
      <c r="CI103">
        <v>-2.02</v>
      </c>
      <c r="CW103">
        <f t="shared" si="134"/>
        <v>1800.04</v>
      </c>
      <c r="CX103">
        <f t="shared" si="135"/>
        <v>1513.2185993219321</v>
      </c>
      <c r="CY103">
        <f t="shared" si="136"/>
        <v>0.84065831832733273</v>
      </c>
      <c r="CZ103">
        <f t="shared" si="137"/>
        <v>0.19131663665466558</v>
      </c>
      <c r="DA103">
        <v>6</v>
      </c>
      <c r="DB103">
        <v>0.5</v>
      </c>
      <c r="DC103" t="s">
        <v>420</v>
      </c>
      <c r="DD103">
        <v>2</v>
      </c>
      <c r="DE103">
        <v>1693516279.5999999</v>
      </c>
      <c r="DF103">
        <v>171.06299999999999</v>
      </c>
      <c r="DG103">
        <v>200.03700000000001</v>
      </c>
      <c r="DH103">
        <v>28.697199999999999</v>
      </c>
      <c r="DI103">
        <v>23.096</v>
      </c>
      <c r="DJ103">
        <v>172.93600000000001</v>
      </c>
      <c r="DK103">
        <v>28.533000000000001</v>
      </c>
      <c r="DL103">
        <v>500.58</v>
      </c>
      <c r="DM103">
        <v>99.490099999999998</v>
      </c>
      <c r="DN103">
        <v>9.9317100000000005E-2</v>
      </c>
      <c r="DO103">
        <v>30.408999999999999</v>
      </c>
      <c r="DP103">
        <v>30.018599999999999</v>
      </c>
      <c r="DQ103">
        <v>999.9</v>
      </c>
      <c r="DR103">
        <v>0</v>
      </c>
      <c r="DS103">
        <v>0</v>
      </c>
      <c r="DT103">
        <v>10070</v>
      </c>
      <c r="DU103">
        <v>0</v>
      </c>
      <c r="DV103">
        <v>1102.28</v>
      </c>
      <c r="DW103">
        <v>-28.974699999999999</v>
      </c>
      <c r="DX103">
        <v>176.11699999999999</v>
      </c>
      <c r="DY103">
        <v>204.767</v>
      </c>
      <c r="DZ103">
        <v>5.6012399999999998</v>
      </c>
      <c r="EA103">
        <v>200.03700000000001</v>
      </c>
      <c r="EB103">
        <v>23.096</v>
      </c>
      <c r="EC103">
        <v>2.8550900000000001</v>
      </c>
      <c r="ED103">
        <v>2.2978200000000002</v>
      </c>
      <c r="EE103">
        <v>23.206099999999999</v>
      </c>
      <c r="EF103">
        <v>19.661100000000001</v>
      </c>
      <c r="EG103">
        <v>1800.04</v>
      </c>
      <c r="EH103">
        <v>0.97799499999999995</v>
      </c>
      <c r="EI103">
        <v>2.2005400000000001E-2</v>
      </c>
      <c r="EJ103">
        <v>0</v>
      </c>
      <c r="EK103">
        <v>762.39499999999998</v>
      </c>
      <c r="EL103">
        <v>5.0010300000000001</v>
      </c>
      <c r="EM103">
        <v>14549.3</v>
      </c>
      <c r="EN103">
        <v>14701.4</v>
      </c>
      <c r="EO103">
        <v>48.125</v>
      </c>
      <c r="EP103">
        <v>49.25</v>
      </c>
      <c r="EQ103">
        <v>49.25</v>
      </c>
      <c r="ER103">
        <v>49</v>
      </c>
      <c r="ES103">
        <v>49.75</v>
      </c>
      <c r="ET103">
        <v>1755.54</v>
      </c>
      <c r="EU103">
        <v>39.5</v>
      </c>
      <c r="EV103">
        <v>0</v>
      </c>
      <c r="EW103">
        <v>99.799999952316284</v>
      </c>
      <c r="EX103">
        <v>0</v>
      </c>
      <c r="EY103">
        <v>762.71964000000003</v>
      </c>
      <c r="EZ103">
        <v>-3.3465384627316181</v>
      </c>
      <c r="FA103">
        <v>-62.361538583711578</v>
      </c>
      <c r="FB103">
        <v>14555.884</v>
      </c>
      <c r="FC103">
        <v>15</v>
      </c>
      <c r="FD103">
        <v>1693516252.5999999</v>
      </c>
      <c r="FE103" t="s">
        <v>862</v>
      </c>
      <c r="FF103">
        <v>1693516243.5999999</v>
      </c>
      <c r="FG103">
        <v>1693516252.5999999</v>
      </c>
      <c r="FH103">
        <v>96</v>
      </c>
      <c r="FI103">
        <v>0.248</v>
      </c>
      <c r="FJ103">
        <v>-1E-3</v>
      </c>
      <c r="FK103">
        <v>-1.8320000000000001</v>
      </c>
      <c r="FL103">
        <v>3.1E-2</v>
      </c>
      <c r="FM103">
        <v>200</v>
      </c>
      <c r="FN103">
        <v>23</v>
      </c>
      <c r="FO103">
        <v>0.19</v>
      </c>
      <c r="FP103">
        <v>0.04</v>
      </c>
      <c r="FQ103">
        <v>23.20376681010535</v>
      </c>
      <c r="FR103">
        <v>0.69526779390062143</v>
      </c>
      <c r="FS103">
        <v>7.9724447626862607E-2</v>
      </c>
      <c r="FT103">
        <v>1</v>
      </c>
      <c r="FU103">
        <v>0.34766625322468331</v>
      </c>
      <c r="FV103">
        <v>4.2453998895298981E-2</v>
      </c>
      <c r="FW103">
        <v>3.7490015451427708E-3</v>
      </c>
      <c r="FX103">
        <v>1</v>
      </c>
      <c r="FY103">
        <v>2</v>
      </c>
      <c r="FZ103">
        <v>2</v>
      </c>
      <c r="GA103" t="s">
        <v>422</v>
      </c>
      <c r="GB103">
        <v>2.8964400000000001</v>
      </c>
      <c r="GC103">
        <v>2.81793</v>
      </c>
      <c r="GD103">
        <v>4.4644099999999999E-2</v>
      </c>
      <c r="GE103">
        <v>5.0885699999999999E-2</v>
      </c>
      <c r="GF103">
        <v>0.134517</v>
      </c>
      <c r="GG103">
        <v>0.11544699999999999</v>
      </c>
      <c r="GH103">
        <v>26374.799999999999</v>
      </c>
      <c r="GI103">
        <v>26367.599999999999</v>
      </c>
      <c r="GJ103">
        <v>24501</v>
      </c>
      <c r="GK103">
        <v>24820.9</v>
      </c>
      <c r="GL103">
        <v>28172.5</v>
      </c>
      <c r="GM103">
        <v>28663.8</v>
      </c>
      <c r="GN103">
        <v>33126.1</v>
      </c>
      <c r="GO103">
        <v>33090.699999999997</v>
      </c>
      <c r="GP103">
        <v>1.9318</v>
      </c>
      <c r="GQ103">
        <v>1.7930999999999999</v>
      </c>
      <c r="GR103">
        <v>6.1809999999999997E-2</v>
      </c>
      <c r="GS103">
        <v>0</v>
      </c>
      <c r="GT103">
        <v>29.011900000000001</v>
      </c>
      <c r="GU103">
        <v>999.9</v>
      </c>
      <c r="GV103">
        <v>38.9</v>
      </c>
      <c r="GW103">
        <v>39.1</v>
      </c>
      <c r="GX103">
        <v>27.6218</v>
      </c>
      <c r="GY103">
        <v>63.121299999999998</v>
      </c>
      <c r="GZ103">
        <v>25.492799999999999</v>
      </c>
      <c r="HA103">
        <v>1</v>
      </c>
      <c r="HB103">
        <v>0.686921</v>
      </c>
      <c r="HC103">
        <v>2.2814100000000002</v>
      </c>
      <c r="HD103">
        <v>20.151900000000001</v>
      </c>
      <c r="HE103">
        <v>5.23346</v>
      </c>
      <c r="HF103">
        <v>11.9231</v>
      </c>
      <c r="HG103">
        <v>4.9593999999999996</v>
      </c>
      <c r="HH103">
        <v>3.2888999999999999</v>
      </c>
      <c r="HI103">
        <v>9999</v>
      </c>
      <c r="HJ103">
        <v>9999</v>
      </c>
      <c r="HK103">
        <v>9999</v>
      </c>
      <c r="HL103">
        <v>897.2</v>
      </c>
      <c r="HM103">
        <v>1.8808100000000001</v>
      </c>
      <c r="HN103">
        <v>1.8779600000000001</v>
      </c>
      <c r="HO103">
        <v>1.8859600000000001</v>
      </c>
      <c r="HP103">
        <v>1.8836999999999999</v>
      </c>
      <c r="HQ103">
        <v>1.8811800000000001</v>
      </c>
      <c r="HR103">
        <v>1.8803000000000001</v>
      </c>
      <c r="HS103">
        <v>1.8813899999999999</v>
      </c>
      <c r="HT103">
        <v>1.8808499999999999</v>
      </c>
      <c r="HU103">
        <v>5</v>
      </c>
      <c r="HV103">
        <v>0</v>
      </c>
      <c r="HW103">
        <v>0</v>
      </c>
      <c r="HX103">
        <v>0</v>
      </c>
      <c r="HY103" t="s">
        <v>423</v>
      </c>
      <c r="HZ103" t="s">
        <v>424</v>
      </c>
      <c r="IA103" t="s">
        <v>425</v>
      </c>
      <c r="IB103" t="s">
        <v>425</v>
      </c>
      <c r="IC103" t="s">
        <v>425</v>
      </c>
      <c r="ID103" t="s">
        <v>425</v>
      </c>
      <c r="IE103">
        <v>0</v>
      </c>
      <c r="IF103">
        <v>100</v>
      </c>
      <c r="IG103">
        <v>100</v>
      </c>
      <c r="IH103">
        <v>-1.873</v>
      </c>
      <c r="II103">
        <v>0.16420000000000001</v>
      </c>
      <c r="IJ103">
        <v>-2.1915585284020849</v>
      </c>
      <c r="IK103">
        <v>2.2153513873161218E-3</v>
      </c>
      <c r="IL103">
        <v>-2.2967369670569612E-6</v>
      </c>
      <c r="IM103">
        <v>7.7859689150384122E-10</v>
      </c>
      <c r="IN103">
        <v>-0.228041917880938</v>
      </c>
      <c r="IO103">
        <v>-4.1434251034592161E-3</v>
      </c>
      <c r="IP103">
        <v>8.3987709687394815E-4</v>
      </c>
      <c r="IQ103">
        <v>-7.4586254598011197E-6</v>
      </c>
      <c r="IR103">
        <v>2</v>
      </c>
      <c r="IS103">
        <v>1930</v>
      </c>
      <c r="IT103">
        <v>2</v>
      </c>
      <c r="IU103">
        <v>41</v>
      </c>
      <c r="IV103">
        <v>0.6</v>
      </c>
      <c r="IW103">
        <v>0.5</v>
      </c>
      <c r="IX103">
        <v>0.59204100000000004</v>
      </c>
      <c r="IY103">
        <v>2.5280800000000001</v>
      </c>
      <c r="IZ103">
        <v>1.24512</v>
      </c>
      <c r="JA103">
        <v>2.2522000000000002</v>
      </c>
      <c r="JB103">
        <v>1.4501999999999999</v>
      </c>
      <c r="JC103">
        <v>2.2460900000000001</v>
      </c>
      <c r="JD103">
        <v>40.3491</v>
      </c>
      <c r="JE103">
        <v>24.035</v>
      </c>
      <c r="JF103">
        <v>18</v>
      </c>
      <c r="JG103">
        <v>497.33800000000002</v>
      </c>
      <c r="JH103">
        <v>451.71199999999999</v>
      </c>
      <c r="JI103">
        <v>26.483000000000001</v>
      </c>
      <c r="JJ103">
        <v>35.500799999999998</v>
      </c>
      <c r="JK103">
        <v>30.000499999999999</v>
      </c>
      <c r="JL103">
        <v>35.382399999999997</v>
      </c>
      <c r="JM103">
        <v>35.3035</v>
      </c>
      <c r="JN103">
        <v>11.920299999999999</v>
      </c>
      <c r="JO103">
        <v>17.115400000000001</v>
      </c>
      <c r="JP103">
        <v>38.616100000000003</v>
      </c>
      <c r="JQ103">
        <v>26.4801</v>
      </c>
      <c r="JR103">
        <v>200</v>
      </c>
      <c r="JS103">
        <v>22.961200000000002</v>
      </c>
      <c r="JT103">
        <v>98.878200000000007</v>
      </c>
      <c r="JU103">
        <v>98.838399999999993</v>
      </c>
    </row>
    <row r="104" spans="1:281" x14ac:dyDescent="0.25">
      <c r="A104">
        <v>88</v>
      </c>
      <c r="B104">
        <v>1693516421.5999999</v>
      </c>
      <c r="C104">
        <v>20772</v>
      </c>
      <c r="D104" t="s">
        <v>863</v>
      </c>
      <c r="E104" t="s">
        <v>864</v>
      </c>
      <c r="F104" t="s">
        <v>413</v>
      </c>
      <c r="G104" t="s">
        <v>565</v>
      </c>
      <c r="H104" t="s">
        <v>415</v>
      </c>
      <c r="I104" t="s">
        <v>415</v>
      </c>
      <c r="J104">
        <v>1693516421.5999999</v>
      </c>
      <c r="K104">
        <f t="shared" si="92"/>
        <v>5.4889111247570207E-3</v>
      </c>
      <c r="L104">
        <f t="shared" si="93"/>
        <v>5.4889111247570206</v>
      </c>
      <c r="M104">
        <f t="shared" si="94"/>
        <v>15.463415576711522</v>
      </c>
      <c r="N104">
        <f t="shared" si="95"/>
        <v>100.93600000000001</v>
      </c>
      <c r="O104">
        <f t="shared" si="96"/>
        <v>33.96818513510128</v>
      </c>
      <c r="P104">
        <f t="shared" si="97"/>
        <v>3.3828309209974523</v>
      </c>
      <c r="Q104">
        <f t="shared" si="98"/>
        <v>10.052036059146401</v>
      </c>
      <c r="R104">
        <f t="shared" si="99"/>
        <v>0.40302643818387729</v>
      </c>
      <c r="S104">
        <f t="shared" si="100"/>
        <v>2.9183728585778557</v>
      </c>
      <c r="T104">
        <f t="shared" si="101"/>
        <v>0.37446300345572581</v>
      </c>
      <c r="U104">
        <f t="shared" si="102"/>
        <v>0.2364367741419755</v>
      </c>
      <c r="V104">
        <f t="shared" si="103"/>
        <v>344.34789864443798</v>
      </c>
      <c r="W104">
        <f t="shared" si="104"/>
        <v>31.040409477959727</v>
      </c>
      <c r="X104">
        <f t="shared" si="105"/>
        <v>30.049199999999999</v>
      </c>
      <c r="Y104">
        <f t="shared" si="106"/>
        <v>4.2725046729773659</v>
      </c>
      <c r="Z104">
        <f t="shared" si="107"/>
        <v>65.585003776903292</v>
      </c>
      <c r="AA104">
        <f t="shared" si="108"/>
        <v>2.8650433956366101</v>
      </c>
      <c r="AB104">
        <f t="shared" si="109"/>
        <v>4.3684428308984504</v>
      </c>
      <c r="AC104">
        <f t="shared" si="110"/>
        <v>1.4074612773407558</v>
      </c>
      <c r="AD104">
        <f t="shared" si="111"/>
        <v>-242.06098060178462</v>
      </c>
      <c r="AE104">
        <f t="shared" si="112"/>
        <v>60.935968487753769</v>
      </c>
      <c r="AF104">
        <f t="shared" si="113"/>
        <v>4.6538891452034283</v>
      </c>
      <c r="AG104">
        <f t="shared" si="114"/>
        <v>167.87677567561056</v>
      </c>
      <c r="AH104">
        <v>0</v>
      </c>
      <c r="AI104">
        <v>0</v>
      </c>
      <c r="AJ104">
        <f t="shared" si="115"/>
        <v>1</v>
      </c>
      <c r="AK104">
        <f t="shared" si="116"/>
        <v>0</v>
      </c>
      <c r="AL104">
        <f t="shared" si="117"/>
        <v>51948.604063005689</v>
      </c>
      <c r="AM104" t="s">
        <v>417</v>
      </c>
      <c r="AN104">
        <v>10366.9</v>
      </c>
      <c r="AO104">
        <v>993.59653846153856</v>
      </c>
      <c r="AP104">
        <v>3431.87</v>
      </c>
      <c r="AQ104">
        <f t="shared" si="118"/>
        <v>0.71047955241266758</v>
      </c>
      <c r="AR104">
        <v>-3.9894345373445681</v>
      </c>
      <c r="AS104" t="s">
        <v>865</v>
      </c>
      <c r="AT104">
        <v>10452.5</v>
      </c>
      <c r="AU104">
        <v>771.74969230769238</v>
      </c>
      <c r="AV104">
        <v>900.14691507332009</v>
      </c>
      <c r="AW104">
        <f t="shared" si="119"/>
        <v>0.14264029639558262</v>
      </c>
      <c r="AX104">
        <v>0.5</v>
      </c>
      <c r="AY104">
        <f t="shared" si="120"/>
        <v>1513.0919993222192</v>
      </c>
      <c r="AZ104">
        <f t="shared" si="121"/>
        <v>15.463415576711522</v>
      </c>
      <c r="BA104">
        <f t="shared" si="122"/>
        <v>107.91394562855302</v>
      </c>
      <c r="BB104">
        <f t="shared" si="123"/>
        <v>1.2856356469249644E-2</v>
      </c>
      <c r="BC104">
        <f t="shared" si="124"/>
        <v>2.8125665294542084</v>
      </c>
      <c r="BD104">
        <f t="shared" si="125"/>
        <v>547.6486753384346</v>
      </c>
      <c r="BE104" t="s">
        <v>866</v>
      </c>
      <c r="BF104">
        <v>596.09</v>
      </c>
      <c r="BG104">
        <f t="shared" si="126"/>
        <v>596.09</v>
      </c>
      <c r="BH104">
        <f t="shared" si="127"/>
        <v>0.33778587692938278</v>
      </c>
      <c r="BI104">
        <f t="shared" si="128"/>
        <v>0.42228022584083014</v>
      </c>
      <c r="BJ104">
        <f t="shared" si="129"/>
        <v>0.89277838369925733</v>
      </c>
      <c r="BK104">
        <f t="shared" si="130"/>
        <v>-1.3739726080246055</v>
      </c>
      <c r="BL104">
        <f t="shared" si="131"/>
        <v>1.0383261454723192</v>
      </c>
      <c r="BM104">
        <f t="shared" si="132"/>
        <v>0.32616406890785288</v>
      </c>
      <c r="BN104">
        <f t="shared" si="133"/>
        <v>0.67383593109214712</v>
      </c>
      <c r="BO104">
        <v>7918</v>
      </c>
      <c r="BP104">
        <v>290.00000000000011</v>
      </c>
      <c r="BQ104">
        <v>868.42</v>
      </c>
      <c r="BR104">
        <v>155</v>
      </c>
      <c r="BS104">
        <v>10452.5</v>
      </c>
      <c r="BT104">
        <v>868.15</v>
      </c>
      <c r="BU104">
        <v>0.27</v>
      </c>
      <c r="BV104">
        <v>300.00000000000011</v>
      </c>
      <c r="BW104">
        <v>38.200000000000003</v>
      </c>
      <c r="BX104">
        <v>900.14691507332009</v>
      </c>
      <c r="BY104">
        <v>0.95132639314985989</v>
      </c>
      <c r="BZ104">
        <v>-33.447137191583899</v>
      </c>
      <c r="CA104">
        <v>0.81377604170519857</v>
      </c>
      <c r="CB104">
        <v>0.98369538451150274</v>
      </c>
      <c r="CC104">
        <v>-1.1346537931034481E-2</v>
      </c>
      <c r="CD104">
        <v>289.99999999999989</v>
      </c>
      <c r="CE104">
        <v>865.05</v>
      </c>
      <c r="CF104">
        <v>675</v>
      </c>
      <c r="CG104">
        <v>10426</v>
      </c>
      <c r="CH104">
        <v>868.07</v>
      </c>
      <c r="CI104">
        <v>-3.02</v>
      </c>
      <c r="CW104">
        <f t="shared" si="134"/>
        <v>1799.89</v>
      </c>
      <c r="CX104">
        <f t="shared" si="135"/>
        <v>1513.0919993222192</v>
      </c>
      <c r="CY104">
        <f t="shared" si="136"/>
        <v>0.8406580398370006</v>
      </c>
      <c r="CZ104">
        <f t="shared" si="137"/>
        <v>0.19131607967400116</v>
      </c>
      <c r="DA104">
        <v>6</v>
      </c>
      <c r="DB104">
        <v>0.5</v>
      </c>
      <c r="DC104" t="s">
        <v>420</v>
      </c>
      <c r="DD104">
        <v>2</v>
      </c>
      <c r="DE104">
        <v>1693516421.5999999</v>
      </c>
      <c r="DF104">
        <v>100.93600000000001</v>
      </c>
      <c r="DG104">
        <v>120.13800000000001</v>
      </c>
      <c r="DH104">
        <v>28.768899999999999</v>
      </c>
      <c r="DI104">
        <v>22.378</v>
      </c>
      <c r="DJ104">
        <v>102.76</v>
      </c>
      <c r="DK104">
        <v>28.601700000000001</v>
      </c>
      <c r="DL104">
        <v>500.49299999999999</v>
      </c>
      <c r="DM104">
        <v>99.488600000000005</v>
      </c>
      <c r="DN104">
        <v>9.9614900000000006E-2</v>
      </c>
      <c r="DO104">
        <v>30.436499999999999</v>
      </c>
      <c r="DP104">
        <v>30.049199999999999</v>
      </c>
      <c r="DQ104">
        <v>999.9</v>
      </c>
      <c r="DR104">
        <v>0</v>
      </c>
      <c r="DS104">
        <v>0</v>
      </c>
      <c r="DT104">
        <v>9987.5</v>
      </c>
      <c r="DU104">
        <v>0</v>
      </c>
      <c r="DV104">
        <v>1091.3699999999999</v>
      </c>
      <c r="DW104">
        <v>-19.201599999999999</v>
      </c>
      <c r="DX104">
        <v>103.926</v>
      </c>
      <c r="DY104">
        <v>122.88800000000001</v>
      </c>
      <c r="DZ104">
        <v>6.3908899999999997</v>
      </c>
      <c r="EA104">
        <v>120.13800000000001</v>
      </c>
      <c r="EB104">
        <v>22.378</v>
      </c>
      <c r="EC104">
        <v>2.8621699999999999</v>
      </c>
      <c r="ED104">
        <v>2.2263500000000001</v>
      </c>
      <c r="EE104">
        <v>23.2471</v>
      </c>
      <c r="EF104">
        <v>19.153199999999998</v>
      </c>
      <c r="EG104">
        <v>1799.89</v>
      </c>
      <c r="EH104">
        <v>0.97800600000000004</v>
      </c>
      <c r="EI104">
        <v>2.1993599999999999E-2</v>
      </c>
      <c r="EJ104">
        <v>0</v>
      </c>
      <c r="EK104">
        <v>771.84299999999996</v>
      </c>
      <c r="EL104">
        <v>5.0010300000000001</v>
      </c>
      <c r="EM104">
        <v>14692.8</v>
      </c>
      <c r="EN104">
        <v>14700.2</v>
      </c>
      <c r="EO104">
        <v>47.561999999999998</v>
      </c>
      <c r="EP104">
        <v>48.936999999999998</v>
      </c>
      <c r="EQ104">
        <v>48.625</v>
      </c>
      <c r="ER104">
        <v>48.75</v>
      </c>
      <c r="ES104">
        <v>49.25</v>
      </c>
      <c r="ET104">
        <v>1755.41</v>
      </c>
      <c r="EU104">
        <v>39.479999999999997</v>
      </c>
      <c r="EV104">
        <v>0</v>
      </c>
      <c r="EW104">
        <v>139.80000019073489</v>
      </c>
      <c r="EX104">
        <v>0</v>
      </c>
      <c r="EY104">
        <v>771.74969230769238</v>
      </c>
      <c r="EZ104">
        <v>-1.1770256354122921</v>
      </c>
      <c r="FA104">
        <v>-20.482051136676109</v>
      </c>
      <c r="FB104">
        <v>14695.573076923079</v>
      </c>
      <c r="FC104">
        <v>15</v>
      </c>
      <c r="FD104">
        <v>1693516394.0999999</v>
      </c>
      <c r="FE104" t="s">
        <v>867</v>
      </c>
      <c r="FF104">
        <v>1693516379.0999999</v>
      </c>
      <c r="FG104">
        <v>1693516394.0999999</v>
      </c>
      <c r="FH104">
        <v>97</v>
      </c>
      <c r="FI104">
        <v>0.16400000000000001</v>
      </c>
      <c r="FJ104">
        <v>1E-3</v>
      </c>
      <c r="FK104">
        <v>-1.7909999999999999</v>
      </c>
      <c r="FL104">
        <v>2.1000000000000001E-2</v>
      </c>
      <c r="FM104">
        <v>120</v>
      </c>
      <c r="FN104">
        <v>23</v>
      </c>
      <c r="FO104">
        <v>0.21</v>
      </c>
      <c r="FP104">
        <v>0.04</v>
      </c>
      <c r="FQ104">
        <v>15.38884572437091</v>
      </c>
      <c r="FR104">
        <v>0.20276660818929609</v>
      </c>
      <c r="FS104">
        <v>7.0404557725199907E-2</v>
      </c>
      <c r="FT104">
        <v>1</v>
      </c>
      <c r="FU104">
        <v>0.40705985308378673</v>
      </c>
      <c r="FV104">
        <v>3.2212113819123381E-2</v>
      </c>
      <c r="FW104">
        <v>4.2632573742585446E-3</v>
      </c>
      <c r="FX104">
        <v>1</v>
      </c>
      <c r="FY104">
        <v>2</v>
      </c>
      <c r="FZ104">
        <v>2</v>
      </c>
      <c r="GA104" t="s">
        <v>422</v>
      </c>
      <c r="GB104">
        <v>2.8959299999999999</v>
      </c>
      <c r="GC104">
        <v>2.81752</v>
      </c>
      <c r="GD104">
        <v>2.7452799999999999E-2</v>
      </c>
      <c r="GE104">
        <v>3.1892299999999998E-2</v>
      </c>
      <c r="GF104">
        <v>0.13469700000000001</v>
      </c>
      <c r="GG104">
        <v>0.11291900000000001</v>
      </c>
      <c r="GH104">
        <v>26842.2</v>
      </c>
      <c r="GI104">
        <v>26890.400000000001</v>
      </c>
      <c r="GJ104">
        <v>24495.7</v>
      </c>
      <c r="GK104">
        <v>24818</v>
      </c>
      <c r="GL104">
        <v>28160.3</v>
      </c>
      <c r="GM104">
        <v>28742.400000000001</v>
      </c>
      <c r="GN104">
        <v>33118</v>
      </c>
      <c r="GO104">
        <v>33086.400000000001</v>
      </c>
      <c r="GP104">
        <v>1.9301999999999999</v>
      </c>
      <c r="GQ104">
        <v>1.7922</v>
      </c>
      <c r="GR104">
        <v>5.0932199999999997E-2</v>
      </c>
      <c r="GS104">
        <v>0</v>
      </c>
      <c r="GT104">
        <v>29.219799999999999</v>
      </c>
      <c r="GU104">
        <v>999.9</v>
      </c>
      <c r="GV104">
        <v>39.200000000000003</v>
      </c>
      <c r="GW104">
        <v>38.9</v>
      </c>
      <c r="GX104">
        <v>27.536999999999999</v>
      </c>
      <c r="GY104">
        <v>63.081299999999999</v>
      </c>
      <c r="GZ104">
        <v>24.070499999999999</v>
      </c>
      <c r="HA104">
        <v>1</v>
      </c>
      <c r="HB104">
        <v>0.70092500000000002</v>
      </c>
      <c r="HC104">
        <v>2.8510800000000001</v>
      </c>
      <c r="HD104">
        <v>20.143000000000001</v>
      </c>
      <c r="HE104">
        <v>5.2292699999999996</v>
      </c>
      <c r="HF104">
        <v>11.9261</v>
      </c>
      <c r="HG104">
        <v>4.9596</v>
      </c>
      <c r="HH104">
        <v>3.2890000000000001</v>
      </c>
      <c r="HI104">
        <v>9999</v>
      </c>
      <c r="HJ104">
        <v>9999</v>
      </c>
      <c r="HK104">
        <v>9999</v>
      </c>
      <c r="HL104">
        <v>897.2</v>
      </c>
      <c r="HM104">
        <v>1.88083</v>
      </c>
      <c r="HN104">
        <v>1.8779600000000001</v>
      </c>
      <c r="HO104">
        <v>1.8858900000000001</v>
      </c>
      <c r="HP104">
        <v>1.8836999999999999</v>
      </c>
      <c r="HQ104">
        <v>1.8812</v>
      </c>
      <c r="HR104">
        <v>1.8803099999999999</v>
      </c>
      <c r="HS104">
        <v>1.88141</v>
      </c>
      <c r="HT104">
        <v>1.8808100000000001</v>
      </c>
      <c r="HU104">
        <v>5</v>
      </c>
      <c r="HV104">
        <v>0</v>
      </c>
      <c r="HW104">
        <v>0</v>
      </c>
      <c r="HX104">
        <v>0</v>
      </c>
      <c r="HY104" t="s">
        <v>423</v>
      </c>
      <c r="HZ104" t="s">
        <v>424</v>
      </c>
      <c r="IA104" t="s">
        <v>425</v>
      </c>
      <c r="IB104" t="s">
        <v>425</v>
      </c>
      <c r="IC104" t="s">
        <v>425</v>
      </c>
      <c r="ID104" t="s">
        <v>425</v>
      </c>
      <c r="IE104">
        <v>0</v>
      </c>
      <c r="IF104">
        <v>100</v>
      </c>
      <c r="IG104">
        <v>100</v>
      </c>
      <c r="IH104">
        <v>-1.8240000000000001</v>
      </c>
      <c r="II104">
        <v>0.16719999999999999</v>
      </c>
      <c r="IJ104">
        <v>-2.0277707887118321</v>
      </c>
      <c r="IK104">
        <v>2.2153513873161218E-3</v>
      </c>
      <c r="IL104">
        <v>-2.2967369670569612E-6</v>
      </c>
      <c r="IM104">
        <v>7.7859689150384122E-10</v>
      </c>
      <c r="IN104">
        <v>-0.2268880071353713</v>
      </c>
      <c r="IO104">
        <v>-4.1434251034592161E-3</v>
      </c>
      <c r="IP104">
        <v>8.3987709687394815E-4</v>
      </c>
      <c r="IQ104">
        <v>-7.4586254598011197E-6</v>
      </c>
      <c r="IR104">
        <v>2</v>
      </c>
      <c r="IS104">
        <v>1930</v>
      </c>
      <c r="IT104">
        <v>2</v>
      </c>
      <c r="IU104">
        <v>41</v>
      </c>
      <c r="IV104">
        <v>0.7</v>
      </c>
      <c r="IW104">
        <v>0.5</v>
      </c>
      <c r="IX104">
        <v>0.41626000000000002</v>
      </c>
      <c r="IY104">
        <v>2.5378400000000001</v>
      </c>
      <c r="IZ104">
        <v>1.24512</v>
      </c>
      <c r="JA104">
        <v>2.2522000000000002</v>
      </c>
      <c r="JB104">
        <v>1.4501999999999999</v>
      </c>
      <c r="JC104">
        <v>2.4560499999999998</v>
      </c>
      <c r="JD104">
        <v>40.222000000000001</v>
      </c>
      <c r="JE104">
        <v>24.035</v>
      </c>
      <c r="JF104">
        <v>18</v>
      </c>
      <c r="JG104">
        <v>497.26799999999997</v>
      </c>
      <c r="JH104">
        <v>452.12099999999998</v>
      </c>
      <c r="JI104">
        <v>26.143599999999999</v>
      </c>
      <c r="JJ104">
        <v>35.632800000000003</v>
      </c>
      <c r="JK104">
        <v>30.001300000000001</v>
      </c>
      <c r="JL104">
        <v>35.5137</v>
      </c>
      <c r="JM104">
        <v>35.439300000000003</v>
      </c>
      <c r="JN104">
        <v>8.4101199999999992</v>
      </c>
      <c r="JO104">
        <v>19.814299999999999</v>
      </c>
      <c r="JP104">
        <v>38.761699999999998</v>
      </c>
      <c r="JQ104">
        <v>26.145099999999999</v>
      </c>
      <c r="JR104">
        <v>120</v>
      </c>
      <c r="JS104">
        <v>22.238199999999999</v>
      </c>
      <c r="JT104">
        <v>98.854900000000001</v>
      </c>
      <c r="JU104">
        <v>98.826099999999997</v>
      </c>
    </row>
    <row r="105" spans="1:281" x14ac:dyDescent="0.25">
      <c r="A105">
        <v>89</v>
      </c>
      <c r="B105">
        <v>1693516521.5999999</v>
      </c>
      <c r="C105">
        <v>20872</v>
      </c>
      <c r="D105" t="s">
        <v>868</v>
      </c>
      <c r="E105" t="s">
        <v>869</v>
      </c>
      <c r="F105" t="s">
        <v>413</v>
      </c>
      <c r="G105" t="s">
        <v>565</v>
      </c>
      <c r="H105" t="s">
        <v>415</v>
      </c>
      <c r="I105" t="s">
        <v>415</v>
      </c>
      <c r="J105">
        <v>1693516521.5999999</v>
      </c>
      <c r="K105">
        <f t="shared" si="92"/>
        <v>5.7751170061362241E-3</v>
      </c>
      <c r="L105">
        <f t="shared" si="93"/>
        <v>5.7751170061362238</v>
      </c>
      <c r="M105">
        <f t="shared" si="94"/>
        <v>9.4172368859793902</v>
      </c>
      <c r="N105">
        <f t="shared" si="95"/>
        <v>58.269199999999998</v>
      </c>
      <c r="O105">
        <f t="shared" si="96"/>
        <v>20.128035920877835</v>
      </c>
      <c r="P105">
        <f t="shared" si="97"/>
        <v>2.004395509655359</v>
      </c>
      <c r="Q105">
        <f t="shared" si="98"/>
        <v>5.8025792129109197</v>
      </c>
      <c r="R105">
        <f t="shared" si="99"/>
        <v>0.43288211680295158</v>
      </c>
      <c r="S105">
        <f t="shared" si="100"/>
        <v>2.9239575763071004</v>
      </c>
      <c r="T105">
        <f t="shared" si="101"/>
        <v>0.40017191720513895</v>
      </c>
      <c r="U105">
        <f t="shared" si="102"/>
        <v>0.25284004104265162</v>
      </c>
      <c r="V105">
        <f t="shared" si="103"/>
        <v>344.34979864444546</v>
      </c>
      <c r="W105">
        <f t="shared" si="104"/>
        <v>30.88699088048411</v>
      </c>
      <c r="X105">
        <f t="shared" si="105"/>
        <v>29.946200000000001</v>
      </c>
      <c r="Y105">
        <f t="shared" si="106"/>
        <v>4.2473017268425561</v>
      </c>
      <c r="Z105">
        <f t="shared" si="107"/>
        <v>65.796393234835733</v>
      </c>
      <c r="AA105">
        <f t="shared" si="108"/>
        <v>2.8614666566424702</v>
      </c>
      <c r="AB105">
        <f t="shared" si="109"/>
        <v>4.3489719055412808</v>
      </c>
      <c r="AC105">
        <f t="shared" si="110"/>
        <v>1.3858350702000859</v>
      </c>
      <c r="AD105">
        <f t="shared" si="111"/>
        <v>-254.68265997060749</v>
      </c>
      <c r="AE105">
        <f t="shared" si="112"/>
        <v>64.993488072049686</v>
      </c>
      <c r="AF105">
        <f t="shared" si="113"/>
        <v>4.9498610105813299</v>
      </c>
      <c r="AG105">
        <f t="shared" si="114"/>
        <v>159.61048775646901</v>
      </c>
      <c r="AH105">
        <v>0</v>
      </c>
      <c r="AI105">
        <v>0</v>
      </c>
      <c r="AJ105">
        <f t="shared" si="115"/>
        <v>1</v>
      </c>
      <c r="AK105">
        <f t="shared" si="116"/>
        <v>0</v>
      </c>
      <c r="AL105">
        <f t="shared" si="117"/>
        <v>52120.968301012399</v>
      </c>
      <c r="AM105" t="s">
        <v>417</v>
      </c>
      <c r="AN105">
        <v>10366.9</v>
      </c>
      <c r="AO105">
        <v>993.59653846153856</v>
      </c>
      <c r="AP105">
        <v>3431.87</v>
      </c>
      <c r="AQ105">
        <f t="shared" si="118"/>
        <v>0.71047955241266758</v>
      </c>
      <c r="AR105">
        <v>-3.9894345373445681</v>
      </c>
      <c r="AS105" t="s">
        <v>870</v>
      </c>
      <c r="AT105">
        <v>10448.1</v>
      </c>
      <c r="AU105">
        <v>779.46156000000019</v>
      </c>
      <c r="AV105">
        <v>863.20647673434632</v>
      </c>
      <c r="AW105">
        <f t="shared" si="119"/>
        <v>9.7016089419494467E-2</v>
      </c>
      <c r="AX105">
        <v>0.5</v>
      </c>
      <c r="AY105">
        <f t="shared" si="120"/>
        <v>1513.1003993222228</v>
      </c>
      <c r="AZ105">
        <f t="shared" si="121"/>
        <v>9.4172368859793902</v>
      </c>
      <c r="BA105">
        <f t="shared" si="122"/>
        <v>73.397541820658773</v>
      </c>
      <c r="BB105">
        <f t="shared" si="123"/>
        <v>8.8603977828102705E-3</v>
      </c>
      <c r="BC105">
        <f t="shared" si="124"/>
        <v>2.9757231815304896</v>
      </c>
      <c r="BD105">
        <f t="shared" si="125"/>
        <v>533.75185647020419</v>
      </c>
      <c r="BE105" t="s">
        <v>871</v>
      </c>
      <c r="BF105">
        <v>609.33000000000004</v>
      </c>
      <c r="BG105">
        <f t="shared" si="126"/>
        <v>609.33000000000004</v>
      </c>
      <c r="BH105">
        <f t="shared" si="127"/>
        <v>0.2941086328439092</v>
      </c>
      <c r="BI105">
        <f t="shared" si="128"/>
        <v>0.3298648138321848</v>
      </c>
      <c r="BJ105">
        <f t="shared" si="129"/>
        <v>0.91005389587593222</v>
      </c>
      <c r="BK105">
        <f t="shared" si="130"/>
        <v>-0.64226456851873337</v>
      </c>
      <c r="BL105">
        <f t="shared" si="131"/>
        <v>1.0534763896601329</v>
      </c>
      <c r="BM105">
        <f t="shared" si="132"/>
        <v>0.25786586193213312</v>
      </c>
      <c r="BN105">
        <f t="shared" si="133"/>
        <v>0.74213413806786688</v>
      </c>
      <c r="BO105">
        <v>7920</v>
      </c>
      <c r="BP105">
        <v>290.00000000000011</v>
      </c>
      <c r="BQ105">
        <v>843.63</v>
      </c>
      <c r="BR105">
        <v>195</v>
      </c>
      <c r="BS105">
        <v>10448.1</v>
      </c>
      <c r="BT105">
        <v>841.97</v>
      </c>
      <c r="BU105">
        <v>1.66</v>
      </c>
      <c r="BV105">
        <v>300.00000000000011</v>
      </c>
      <c r="BW105">
        <v>38.200000000000003</v>
      </c>
      <c r="BX105">
        <v>863.20647673434632</v>
      </c>
      <c r="BY105">
        <v>0.94970856390845526</v>
      </c>
      <c r="BZ105">
        <v>-22.184285121749021</v>
      </c>
      <c r="CA105">
        <v>0.81253000294431155</v>
      </c>
      <c r="CB105">
        <v>0.96379804625878485</v>
      </c>
      <c r="CC105">
        <v>-1.1348369744160191E-2</v>
      </c>
      <c r="CD105">
        <v>289.99999999999989</v>
      </c>
      <c r="CE105">
        <v>840.23</v>
      </c>
      <c r="CF105">
        <v>675</v>
      </c>
      <c r="CG105">
        <v>10427.799999999999</v>
      </c>
      <c r="CH105">
        <v>841.93</v>
      </c>
      <c r="CI105">
        <v>-1.7</v>
      </c>
      <c r="CW105">
        <f t="shared" si="134"/>
        <v>1799.9</v>
      </c>
      <c r="CX105">
        <f t="shared" si="135"/>
        <v>1513.1003993222228</v>
      </c>
      <c r="CY105">
        <f t="shared" si="136"/>
        <v>0.84065803618102264</v>
      </c>
      <c r="CZ105">
        <f t="shared" si="137"/>
        <v>0.19131607236204537</v>
      </c>
      <c r="DA105">
        <v>6</v>
      </c>
      <c r="DB105">
        <v>0.5</v>
      </c>
      <c r="DC105" t="s">
        <v>420</v>
      </c>
      <c r="DD105">
        <v>2</v>
      </c>
      <c r="DE105">
        <v>1693516521.5999999</v>
      </c>
      <c r="DF105">
        <v>58.269199999999998</v>
      </c>
      <c r="DG105">
        <v>69.960300000000004</v>
      </c>
      <c r="DH105">
        <v>28.7347</v>
      </c>
      <c r="DI105">
        <v>22.011399999999998</v>
      </c>
      <c r="DJ105">
        <v>60.003799999999998</v>
      </c>
      <c r="DK105">
        <v>28.5732</v>
      </c>
      <c r="DL105">
        <v>500.57299999999998</v>
      </c>
      <c r="DM105">
        <v>99.482600000000005</v>
      </c>
      <c r="DN105">
        <v>9.9670099999999998E-2</v>
      </c>
      <c r="DO105">
        <v>30.358499999999999</v>
      </c>
      <c r="DP105">
        <v>29.946200000000001</v>
      </c>
      <c r="DQ105">
        <v>999.9</v>
      </c>
      <c r="DR105">
        <v>0</v>
      </c>
      <c r="DS105">
        <v>0</v>
      </c>
      <c r="DT105">
        <v>10020</v>
      </c>
      <c r="DU105">
        <v>0</v>
      </c>
      <c r="DV105">
        <v>1084.42</v>
      </c>
      <c r="DW105">
        <v>-11.6911</v>
      </c>
      <c r="DX105">
        <v>59.993099999999998</v>
      </c>
      <c r="DY105">
        <v>71.534899999999993</v>
      </c>
      <c r="DZ105">
        <v>6.7232900000000004</v>
      </c>
      <c r="EA105">
        <v>69.960300000000004</v>
      </c>
      <c r="EB105">
        <v>22.011399999999998</v>
      </c>
      <c r="EC105">
        <v>2.8586</v>
      </c>
      <c r="ED105">
        <v>2.1897500000000001</v>
      </c>
      <c r="EE105">
        <v>23.226400000000002</v>
      </c>
      <c r="EF105">
        <v>18.887499999999999</v>
      </c>
      <c r="EG105">
        <v>1799.9</v>
      </c>
      <c r="EH105">
        <v>0.97800299999999996</v>
      </c>
      <c r="EI105">
        <v>2.1997300000000001E-2</v>
      </c>
      <c r="EJ105">
        <v>0</v>
      </c>
      <c r="EK105">
        <v>779.11400000000003</v>
      </c>
      <c r="EL105">
        <v>5.0010300000000001</v>
      </c>
      <c r="EM105">
        <v>14813.2</v>
      </c>
      <c r="EN105">
        <v>14700.3</v>
      </c>
      <c r="EO105">
        <v>47.375</v>
      </c>
      <c r="EP105">
        <v>48.625</v>
      </c>
      <c r="EQ105">
        <v>48.375</v>
      </c>
      <c r="ER105">
        <v>48.561999999999998</v>
      </c>
      <c r="ES105">
        <v>49.061999999999998</v>
      </c>
      <c r="ET105">
        <v>1755.42</v>
      </c>
      <c r="EU105">
        <v>39.479999999999997</v>
      </c>
      <c r="EV105">
        <v>0</v>
      </c>
      <c r="EW105">
        <v>97.799999952316284</v>
      </c>
      <c r="EX105">
        <v>0</v>
      </c>
      <c r="EY105">
        <v>779.46156000000019</v>
      </c>
      <c r="EZ105">
        <v>-2.8614615485842352</v>
      </c>
      <c r="FA105">
        <v>-55.06923081960965</v>
      </c>
      <c r="FB105">
        <v>14826.5</v>
      </c>
      <c r="FC105">
        <v>15</v>
      </c>
      <c r="FD105">
        <v>1693516493.0999999</v>
      </c>
      <c r="FE105" t="s">
        <v>872</v>
      </c>
      <c r="FF105">
        <v>1693516482.0999999</v>
      </c>
      <c r="FG105">
        <v>1693516493.0999999</v>
      </c>
      <c r="FH105">
        <v>98</v>
      </c>
      <c r="FI105">
        <v>0.16800000000000001</v>
      </c>
      <c r="FJ105">
        <v>-5.0000000000000001E-3</v>
      </c>
      <c r="FK105">
        <v>-1.712</v>
      </c>
      <c r="FL105">
        <v>6.0000000000000001E-3</v>
      </c>
      <c r="FM105">
        <v>70</v>
      </c>
      <c r="FN105">
        <v>22</v>
      </c>
      <c r="FO105">
        <v>0.25</v>
      </c>
      <c r="FP105">
        <v>0.04</v>
      </c>
      <c r="FQ105">
        <v>9.4870515523829599</v>
      </c>
      <c r="FR105">
        <v>7.6009507718760805E-2</v>
      </c>
      <c r="FS105">
        <v>6.146103483308956E-2</v>
      </c>
      <c r="FT105">
        <v>1</v>
      </c>
      <c r="FU105">
        <v>0.4319072249169561</v>
      </c>
      <c r="FV105">
        <v>3.9668329927621017E-2</v>
      </c>
      <c r="FW105">
        <v>3.459016213993504E-3</v>
      </c>
      <c r="FX105">
        <v>1</v>
      </c>
      <c r="FY105">
        <v>2</v>
      </c>
      <c r="FZ105">
        <v>2</v>
      </c>
      <c r="GA105" t="s">
        <v>422</v>
      </c>
      <c r="GB105">
        <v>2.8959600000000001</v>
      </c>
      <c r="GC105">
        <v>2.81786</v>
      </c>
      <c r="GD105">
        <v>1.6267199999999999E-2</v>
      </c>
      <c r="GE105">
        <v>1.8949799999999999E-2</v>
      </c>
      <c r="GF105">
        <v>0.13457</v>
      </c>
      <c r="GG105">
        <v>0.111605</v>
      </c>
      <c r="GH105">
        <v>27146.400000000001</v>
      </c>
      <c r="GI105">
        <v>27246.1</v>
      </c>
      <c r="GJ105">
        <v>24492.400000000001</v>
      </c>
      <c r="GK105">
        <v>24815.7</v>
      </c>
      <c r="GL105">
        <v>28162.2</v>
      </c>
      <c r="GM105">
        <v>28781.9</v>
      </c>
      <c r="GN105">
        <v>33114.800000000003</v>
      </c>
      <c r="GO105">
        <v>33082.699999999997</v>
      </c>
      <c r="GP105">
        <v>1.9292</v>
      </c>
      <c r="GQ105">
        <v>1.7921</v>
      </c>
      <c r="GR105">
        <v>5.0634100000000001E-2</v>
      </c>
      <c r="GS105">
        <v>0</v>
      </c>
      <c r="GT105">
        <v>29.121500000000001</v>
      </c>
      <c r="GU105">
        <v>999.9</v>
      </c>
      <c r="GV105">
        <v>39.299999999999997</v>
      </c>
      <c r="GW105">
        <v>38.700000000000003</v>
      </c>
      <c r="GX105">
        <v>27.313099999999999</v>
      </c>
      <c r="GY105">
        <v>63.191400000000002</v>
      </c>
      <c r="GZ105">
        <v>23.962299999999999</v>
      </c>
      <c r="HA105">
        <v>1</v>
      </c>
      <c r="HB105">
        <v>0.70388200000000001</v>
      </c>
      <c r="HC105">
        <v>2.0488200000000001</v>
      </c>
      <c r="HD105">
        <v>20.154399999999999</v>
      </c>
      <c r="HE105">
        <v>5.2304700000000004</v>
      </c>
      <c r="HF105">
        <v>11.924899999999999</v>
      </c>
      <c r="HG105">
        <v>4.9596</v>
      </c>
      <c r="HH105">
        <v>3.2888000000000002</v>
      </c>
      <c r="HI105">
        <v>9999</v>
      </c>
      <c r="HJ105">
        <v>9999</v>
      </c>
      <c r="HK105">
        <v>9999</v>
      </c>
      <c r="HL105">
        <v>897.2</v>
      </c>
      <c r="HM105">
        <v>1.88086</v>
      </c>
      <c r="HN105">
        <v>1.8779600000000001</v>
      </c>
      <c r="HO105">
        <v>1.88588</v>
      </c>
      <c r="HP105">
        <v>1.8836999999999999</v>
      </c>
      <c r="HQ105">
        <v>1.8811800000000001</v>
      </c>
      <c r="HR105">
        <v>1.88026</v>
      </c>
      <c r="HS105">
        <v>1.88141</v>
      </c>
      <c r="HT105">
        <v>1.8808</v>
      </c>
      <c r="HU105">
        <v>5</v>
      </c>
      <c r="HV105">
        <v>0</v>
      </c>
      <c r="HW105">
        <v>0</v>
      </c>
      <c r="HX105">
        <v>0</v>
      </c>
      <c r="HY105" t="s">
        <v>423</v>
      </c>
      <c r="HZ105" t="s">
        <v>424</v>
      </c>
      <c r="IA105" t="s">
        <v>425</v>
      </c>
      <c r="IB105" t="s">
        <v>425</v>
      </c>
      <c r="IC105" t="s">
        <v>425</v>
      </c>
      <c r="ID105" t="s">
        <v>425</v>
      </c>
      <c r="IE105">
        <v>0</v>
      </c>
      <c r="IF105">
        <v>100</v>
      </c>
      <c r="IG105">
        <v>100</v>
      </c>
      <c r="IH105">
        <v>-1.7350000000000001</v>
      </c>
      <c r="II105">
        <v>0.1615</v>
      </c>
      <c r="IJ105">
        <v>-1.8594869456752801</v>
      </c>
      <c r="IK105">
        <v>2.2153513873161218E-3</v>
      </c>
      <c r="IL105">
        <v>-2.2967369670569612E-6</v>
      </c>
      <c r="IM105">
        <v>7.7859689150384122E-10</v>
      </c>
      <c r="IN105">
        <v>-0.23183454158760641</v>
      </c>
      <c r="IO105">
        <v>-4.1434251034592161E-3</v>
      </c>
      <c r="IP105">
        <v>8.3987709687394815E-4</v>
      </c>
      <c r="IQ105">
        <v>-7.4586254598011197E-6</v>
      </c>
      <c r="IR105">
        <v>2</v>
      </c>
      <c r="IS105">
        <v>1930</v>
      </c>
      <c r="IT105">
        <v>2</v>
      </c>
      <c r="IU105">
        <v>41</v>
      </c>
      <c r="IV105">
        <v>0.7</v>
      </c>
      <c r="IW105">
        <v>0.5</v>
      </c>
      <c r="IX105">
        <v>0.306396</v>
      </c>
      <c r="IY105">
        <v>2.5610400000000002</v>
      </c>
      <c r="IZ105">
        <v>1.24512</v>
      </c>
      <c r="JA105">
        <v>2.2534200000000002</v>
      </c>
      <c r="JB105">
        <v>1.4501999999999999</v>
      </c>
      <c r="JC105">
        <v>2.3706100000000001</v>
      </c>
      <c r="JD105">
        <v>40.146000000000001</v>
      </c>
      <c r="JE105">
        <v>24.043700000000001</v>
      </c>
      <c r="JF105">
        <v>18</v>
      </c>
      <c r="JG105">
        <v>497.30099999999999</v>
      </c>
      <c r="JH105">
        <v>452.733</v>
      </c>
      <c r="JI105">
        <v>26.64</v>
      </c>
      <c r="JJ105">
        <v>35.721699999999998</v>
      </c>
      <c r="JK105">
        <v>30.0002</v>
      </c>
      <c r="JL105">
        <v>35.605899999999998</v>
      </c>
      <c r="JM105">
        <v>35.529200000000003</v>
      </c>
      <c r="JN105">
        <v>6.1988700000000003</v>
      </c>
      <c r="JO105">
        <v>20.461500000000001</v>
      </c>
      <c r="JP105">
        <v>38.723300000000002</v>
      </c>
      <c r="JQ105">
        <v>26.648900000000001</v>
      </c>
      <c r="JR105">
        <v>70</v>
      </c>
      <c r="JS105">
        <v>21.897099999999998</v>
      </c>
      <c r="JT105">
        <v>98.843999999999994</v>
      </c>
      <c r="JU105">
        <v>98.815899999999999</v>
      </c>
    </row>
    <row r="106" spans="1:281" x14ac:dyDescent="0.25">
      <c r="A106">
        <v>90</v>
      </c>
      <c r="B106">
        <v>1693516624.5999999</v>
      </c>
      <c r="C106">
        <v>20975</v>
      </c>
      <c r="D106" t="s">
        <v>873</v>
      </c>
      <c r="E106" t="s">
        <v>874</v>
      </c>
      <c r="F106" t="s">
        <v>413</v>
      </c>
      <c r="G106" t="s">
        <v>565</v>
      </c>
      <c r="H106" t="s">
        <v>415</v>
      </c>
      <c r="I106" t="s">
        <v>415</v>
      </c>
      <c r="J106">
        <v>1693516624.5999999</v>
      </c>
      <c r="K106">
        <f t="shared" si="92"/>
        <v>6.0177443989312424E-3</v>
      </c>
      <c r="L106">
        <f t="shared" si="93"/>
        <v>6.0177443989312422</v>
      </c>
      <c r="M106">
        <f t="shared" si="94"/>
        <v>4.412290801601471</v>
      </c>
      <c r="N106">
        <f t="shared" si="95"/>
        <v>24.616099999999999</v>
      </c>
      <c r="O106">
        <f t="shared" si="96"/>
        <v>7.3497047969286129</v>
      </c>
      <c r="P106">
        <f t="shared" si="97"/>
        <v>0.73191420711395516</v>
      </c>
      <c r="Q106">
        <f t="shared" si="98"/>
        <v>2.4513737369787894</v>
      </c>
      <c r="R106">
        <f t="shared" si="99"/>
        <v>0.44805639261883717</v>
      </c>
      <c r="S106">
        <f t="shared" si="100"/>
        <v>2.9248636110862121</v>
      </c>
      <c r="T106">
        <f t="shared" si="101"/>
        <v>0.41312181807197773</v>
      </c>
      <c r="U106">
        <f t="shared" si="102"/>
        <v>0.26111251190326723</v>
      </c>
      <c r="V106">
        <f t="shared" si="103"/>
        <v>344.36369864415485</v>
      </c>
      <c r="W106">
        <f t="shared" si="104"/>
        <v>30.954731951148403</v>
      </c>
      <c r="X106">
        <f t="shared" si="105"/>
        <v>30.027100000000001</v>
      </c>
      <c r="Y106">
        <f t="shared" si="106"/>
        <v>4.2670860961725143</v>
      </c>
      <c r="Z106">
        <f t="shared" si="107"/>
        <v>65.464723471767797</v>
      </c>
      <c r="AA106">
        <f t="shared" si="108"/>
        <v>2.86846209064116</v>
      </c>
      <c r="AB106">
        <f t="shared" si="109"/>
        <v>4.3816912965014021</v>
      </c>
      <c r="AC106">
        <f t="shared" si="110"/>
        <v>1.3986240055313544</v>
      </c>
      <c r="AD106">
        <f t="shared" si="111"/>
        <v>-265.38252799286778</v>
      </c>
      <c r="AE106">
        <f t="shared" si="112"/>
        <v>72.897889688506623</v>
      </c>
      <c r="AF106">
        <f t="shared" si="113"/>
        <v>5.5559543708259902</v>
      </c>
      <c r="AG106">
        <f t="shared" si="114"/>
        <v>157.43501471061967</v>
      </c>
      <c r="AH106">
        <v>0</v>
      </c>
      <c r="AI106">
        <v>0</v>
      </c>
      <c r="AJ106">
        <f t="shared" si="115"/>
        <v>1</v>
      </c>
      <c r="AK106">
        <f t="shared" si="116"/>
        <v>0</v>
      </c>
      <c r="AL106">
        <f t="shared" si="117"/>
        <v>52124.351114900142</v>
      </c>
      <c r="AM106" t="s">
        <v>417</v>
      </c>
      <c r="AN106">
        <v>10366.9</v>
      </c>
      <c r="AO106">
        <v>993.59653846153856</v>
      </c>
      <c r="AP106">
        <v>3431.87</v>
      </c>
      <c r="AQ106">
        <f t="shared" si="118"/>
        <v>0.71047955241266758</v>
      </c>
      <c r="AR106">
        <v>-3.9894345373445681</v>
      </c>
      <c r="AS106" t="s">
        <v>875</v>
      </c>
      <c r="AT106">
        <v>10468.9</v>
      </c>
      <c r="AU106">
        <v>788.25531999999987</v>
      </c>
      <c r="AV106">
        <v>846.26955492020238</v>
      </c>
      <c r="AW106">
        <f t="shared" si="119"/>
        <v>6.8552903248035313E-2</v>
      </c>
      <c r="AX106">
        <v>0.5</v>
      </c>
      <c r="AY106">
        <f t="shared" si="120"/>
        <v>1513.1594993220774</v>
      </c>
      <c r="AZ106">
        <f t="shared" si="121"/>
        <v>4.412290801601471</v>
      </c>
      <c r="BA106">
        <f t="shared" si="122"/>
        <v>51.865738377935962</v>
      </c>
      <c r="BB106">
        <f t="shared" si="123"/>
        <v>5.5524386838995913E-3</v>
      </c>
      <c r="BC106">
        <f t="shared" si="124"/>
        <v>3.0552918157661981</v>
      </c>
      <c r="BD106">
        <f t="shared" si="125"/>
        <v>527.22733903336405</v>
      </c>
      <c r="BE106" t="s">
        <v>876</v>
      </c>
      <c r="BF106">
        <v>625.38</v>
      </c>
      <c r="BG106">
        <f t="shared" si="126"/>
        <v>625.38</v>
      </c>
      <c r="BH106">
        <f t="shared" si="127"/>
        <v>0.26101559915035677</v>
      </c>
      <c r="BI106">
        <f t="shared" si="128"/>
        <v>0.26263910460211887</v>
      </c>
      <c r="BJ106">
        <f t="shared" si="129"/>
        <v>0.92129330412002086</v>
      </c>
      <c r="BK106">
        <f t="shared" si="130"/>
        <v>-0.39377874660635542</v>
      </c>
      <c r="BL106">
        <f t="shared" si="131"/>
        <v>1.0604226662289051</v>
      </c>
      <c r="BM106">
        <f t="shared" si="132"/>
        <v>0.20837061174046134</v>
      </c>
      <c r="BN106">
        <f t="shared" si="133"/>
        <v>0.79162938825953866</v>
      </c>
      <c r="BO106">
        <v>7922</v>
      </c>
      <c r="BP106">
        <v>290.00000000000011</v>
      </c>
      <c r="BQ106">
        <v>831.45</v>
      </c>
      <c r="BR106">
        <v>85</v>
      </c>
      <c r="BS106">
        <v>10468.9</v>
      </c>
      <c r="BT106">
        <v>830.08</v>
      </c>
      <c r="BU106">
        <v>1.37</v>
      </c>
      <c r="BV106">
        <v>300.00000000000011</v>
      </c>
      <c r="BW106">
        <v>38.200000000000003</v>
      </c>
      <c r="BX106">
        <v>846.26955492020238</v>
      </c>
      <c r="BY106">
        <v>1.3613443129867719</v>
      </c>
      <c r="BZ106">
        <v>-16.94781143165023</v>
      </c>
      <c r="CA106">
        <v>1.164956151043915</v>
      </c>
      <c r="CB106">
        <v>0.88316052626868824</v>
      </c>
      <c r="CC106">
        <v>-1.135054193548387E-2</v>
      </c>
      <c r="CD106">
        <v>289.99999999999989</v>
      </c>
      <c r="CE106">
        <v>828.01</v>
      </c>
      <c r="CF106">
        <v>615</v>
      </c>
      <c r="CG106">
        <v>10435.5</v>
      </c>
      <c r="CH106">
        <v>830.03</v>
      </c>
      <c r="CI106">
        <v>-2.02</v>
      </c>
      <c r="CW106">
        <f t="shared" si="134"/>
        <v>1799.97</v>
      </c>
      <c r="CX106">
        <f t="shared" si="135"/>
        <v>1513.1594993220774</v>
      </c>
      <c r="CY106">
        <f t="shared" si="136"/>
        <v>0.84065817725966396</v>
      </c>
      <c r="CZ106">
        <f t="shared" si="137"/>
        <v>0.19131635451932802</v>
      </c>
      <c r="DA106">
        <v>6</v>
      </c>
      <c r="DB106">
        <v>0.5</v>
      </c>
      <c r="DC106" t="s">
        <v>420</v>
      </c>
      <c r="DD106">
        <v>2</v>
      </c>
      <c r="DE106">
        <v>1693516624.5999999</v>
      </c>
      <c r="DF106">
        <v>24.616099999999999</v>
      </c>
      <c r="DG106">
        <v>30.082999999999998</v>
      </c>
      <c r="DH106">
        <v>28.804400000000001</v>
      </c>
      <c r="DI106">
        <v>21.798300000000001</v>
      </c>
      <c r="DJ106">
        <v>26.296500000000002</v>
      </c>
      <c r="DK106">
        <v>28.639199999999999</v>
      </c>
      <c r="DL106">
        <v>500.51299999999998</v>
      </c>
      <c r="DM106">
        <v>99.484399999999994</v>
      </c>
      <c r="DN106">
        <v>9.9763900000000003E-2</v>
      </c>
      <c r="DO106">
        <v>30.4894</v>
      </c>
      <c r="DP106">
        <v>30.027100000000001</v>
      </c>
      <c r="DQ106">
        <v>999.9</v>
      </c>
      <c r="DR106">
        <v>0</v>
      </c>
      <c r="DS106">
        <v>0</v>
      </c>
      <c r="DT106">
        <v>10025</v>
      </c>
      <c r="DU106">
        <v>0</v>
      </c>
      <c r="DV106">
        <v>1072.17</v>
      </c>
      <c r="DW106">
        <v>-5.4669299999999996</v>
      </c>
      <c r="DX106">
        <v>25.3462</v>
      </c>
      <c r="DY106">
        <v>30.753399999999999</v>
      </c>
      <c r="DZ106">
        <v>7.00603</v>
      </c>
      <c r="EA106">
        <v>30.082999999999998</v>
      </c>
      <c r="EB106">
        <v>21.798300000000001</v>
      </c>
      <c r="EC106">
        <v>2.86558</v>
      </c>
      <c r="ED106">
        <v>2.16859</v>
      </c>
      <c r="EE106">
        <v>23.2668</v>
      </c>
      <c r="EF106">
        <v>18.732199999999999</v>
      </c>
      <c r="EG106">
        <v>1799.97</v>
      </c>
      <c r="EH106">
        <v>0.97799899999999995</v>
      </c>
      <c r="EI106">
        <v>2.2001E-2</v>
      </c>
      <c r="EJ106">
        <v>0</v>
      </c>
      <c r="EK106">
        <v>787.98400000000004</v>
      </c>
      <c r="EL106">
        <v>5.0010300000000001</v>
      </c>
      <c r="EM106">
        <v>14978.5</v>
      </c>
      <c r="EN106">
        <v>14700.8</v>
      </c>
      <c r="EO106">
        <v>47.125</v>
      </c>
      <c r="EP106">
        <v>48.311999999999998</v>
      </c>
      <c r="EQ106">
        <v>48.061999999999998</v>
      </c>
      <c r="ER106">
        <v>48.186999999999998</v>
      </c>
      <c r="ES106">
        <v>48.75</v>
      </c>
      <c r="ET106">
        <v>1755.48</v>
      </c>
      <c r="EU106">
        <v>39.49</v>
      </c>
      <c r="EV106">
        <v>0</v>
      </c>
      <c r="EW106">
        <v>100.80000019073491</v>
      </c>
      <c r="EX106">
        <v>0</v>
      </c>
      <c r="EY106">
        <v>788.25531999999987</v>
      </c>
      <c r="EZ106">
        <v>-2.0499230860868498</v>
      </c>
      <c r="FA106">
        <v>-14.323076796138601</v>
      </c>
      <c r="FB106">
        <v>14979.487999999999</v>
      </c>
      <c r="FC106">
        <v>15</v>
      </c>
      <c r="FD106">
        <v>1693516594.5999999</v>
      </c>
      <c r="FE106" t="s">
        <v>877</v>
      </c>
      <c r="FF106">
        <v>1693516587.0999999</v>
      </c>
      <c r="FG106">
        <v>1693516594.5999999</v>
      </c>
      <c r="FH106">
        <v>99</v>
      </c>
      <c r="FI106">
        <v>0.122</v>
      </c>
      <c r="FJ106">
        <v>2E-3</v>
      </c>
      <c r="FK106">
        <v>-1.669</v>
      </c>
      <c r="FL106">
        <v>-1E-3</v>
      </c>
      <c r="FM106">
        <v>30</v>
      </c>
      <c r="FN106">
        <v>22</v>
      </c>
      <c r="FO106">
        <v>0.94</v>
      </c>
      <c r="FP106">
        <v>0.04</v>
      </c>
      <c r="FQ106">
        <v>4.3353891408768108</v>
      </c>
      <c r="FR106">
        <v>-0.18216989036626019</v>
      </c>
      <c r="FS106">
        <v>6.8492324415182007E-2</v>
      </c>
      <c r="FT106">
        <v>1</v>
      </c>
      <c r="FU106">
        <v>0.44838424865830362</v>
      </c>
      <c r="FV106">
        <v>2.7592213426624459E-2</v>
      </c>
      <c r="FW106">
        <v>3.1166912422287249E-3</v>
      </c>
      <c r="FX106">
        <v>1</v>
      </c>
      <c r="FY106">
        <v>2</v>
      </c>
      <c r="FZ106">
        <v>2</v>
      </c>
      <c r="GA106" t="s">
        <v>422</v>
      </c>
      <c r="GB106">
        <v>2.8957199999999998</v>
      </c>
      <c r="GC106">
        <v>2.81799</v>
      </c>
      <c r="GD106">
        <v>7.1772800000000003E-3</v>
      </c>
      <c r="GE106">
        <v>8.2297499999999992E-3</v>
      </c>
      <c r="GF106">
        <v>0.134768</v>
      </c>
      <c r="GG106">
        <v>0.110841</v>
      </c>
      <c r="GH106">
        <v>27394.3</v>
      </c>
      <c r="GI106">
        <v>27541.4</v>
      </c>
      <c r="GJ106">
        <v>24490.6</v>
      </c>
      <c r="GK106">
        <v>24814.6</v>
      </c>
      <c r="GL106">
        <v>28153.5</v>
      </c>
      <c r="GM106">
        <v>28805.9</v>
      </c>
      <c r="GN106">
        <v>33111.9</v>
      </c>
      <c r="GO106">
        <v>33081.699999999997</v>
      </c>
      <c r="GP106">
        <v>1.929</v>
      </c>
      <c r="GQ106">
        <v>1.7927</v>
      </c>
      <c r="GR106">
        <v>5.8814900000000003E-2</v>
      </c>
      <c r="GS106">
        <v>0</v>
      </c>
      <c r="GT106">
        <v>29.069299999999998</v>
      </c>
      <c r="GU106">
        <v>999.9</v>
      </c>
      <c r="GV106">
        <v>39.299999999999997</v>
      </c>
      <c r="GW106">
        <v>38.5</v>
      </c>
      <c r="GX106">
        <v>27.018799999999999</v>
      </c>
      <c r="GY106">
        <v>62.911299999999997</v>
      </c>
      <c r="GZ106">
        <v>23.898199999999999</v>
      </c>
      <c r="HA106">
        <v>1</v>
      </c>
      <c r="HB106">
        <v>0.70850599999999997</v>
      </c>
      <c r="HC106">
        <v>2.4372799999999999</v>
      </c>
      <c r="HD106">
        <v>20.1494</v>
      </c>
      <c r="HE106">
        <v>5.2316700000000003</v>
      </c>
      <c r="HF106">
        <v>11.924899999999999</v>
      </c>
      <c r="HG106">
        <v>4.9598000000000004</v>
      </c>
      <c r="HH106">
        <v>3.2888999999999999</v>
      </c>
      <c r="HI106">
        <v>9999</v>
      </c>
      <c r="HJ106">
        <v>9999</v>
      </c>
      <c r="HK106">
        <v>9999</v>
      </c>
      <c r="HL106">
        <v>897.3</v>
      </c>
      <c r="HM106">
        <v>1.8808499999999999</v>
      </c>
      <c r="HN106">
        <v>1.8779399999999999</v>
      </c>
      <c r="HO106">
        <v>1.8858900000000001</v>
      </c>
      <c r="HP106">
        <v>1.8836999999999999</v>
      </c>
      <c r="HQ106">
        <v>1.8811800000000001</v>
      </c>
      <c r="HR106">
        <v>1.8802000000000001</v>
      </c>
      <c r="HS106">
        <v>1.88141</v>
      </c>
      <c r="HT106">
        <v>1.8808</v>
      </c>
      <c r="HU106">
        <v>5</v>
      </c>
      <c r="HV106">
        <v>0</v>
      </c>
      <c r="HW106">
        <v>0</v>
      </c>
      <c r="HX106">
        <v>0</v>
      </c>
      <c r="HY106" t="s">
        <v>423</v>
      </c>
      <c r="HZ106" t="s">
        <v>424</v>
      </c>
      <c r="IA106" t="s">
        <v>425</v>
      </c>
      <c r="IB106" t="s">
        <v>425</v>
      </c>
      <c r="IC106" t="s">
        <v>425</v>
      </c>
      <c r="ID106" t="s">
        <v>425</v>
      </c>
      <c r="IE106">
        <v>0</v>
      </c>
      <c r="IF106">
        <v>100</v>
      </c>
      <c r="IG106">
        <v>100</v>
      </c>
      <c r="IH106">
        <v>-1.68</v>
      </c>
      <c r="II106">
        <v>0.16520000000000001</v>
      </c>
      <c r="IJ106">
        <v>-1.7370491475520939</v>
      </c>
      <c r="IK106">
        <v>2.2153513873161218E-3</v>
      </c>
      <c r="IL106">
        <v>-2.2967369670569612E-6</v>
      </c>
      <c r="IM106">
        <v>7.7859689150384122E-10</v>
      </c>
      <c r="IN106">
        <v>-0.22984753897797361</v>
      </c>
      <c r="IO106">
        <v>-4.1434251034592161E-3</v>
      </c>
      <c r="IP106">
        <v>8.3987709687394815E-4</v>
      </c>
      <c r="IQ106">
        <v>-7.4586254598011197E-6</v>
      </c>
      <c r="IR106">
        <v>2</v>
      </c>
      <c r="IS106">
        <v>1930</v>
      </c>
      <c r="IT106">
        <v>2</v>
      </c>
      <c r="IU106">
        <v>41</v>
      </c>
      <c r="IV106">
        <v>0.6</v>
      </c>
      <c r="IW106">
        <v>0.5</v>
      </c>
      <c r="IX106">
        <v>0.21972700000000001</v>
      </c>
      <c r="IY106">
        <v>2.5830099999999998</v>
      </c>
      <c r="IZ106">
        <v>1.24512</v>
      </c>
      <c r="JA106">
        <v>2.2534200000000002</v>
      </c>
      <c r="JB106">
        <v>1.4501999999999999</v>
      </c>
      <c r="JC106">
        <v>2.3791500000000001</v>
      </c>
      <c r="JD106">
        <v>40.019399999999997</v>
      </c>
      <c r="JE106">
        <v>24.035</v>
      </c>
      <c r="JF106">
        <v>18</v>
      </c>
      <c r="JG106">
        <v>497.60700000000003</v>
      </c>
      <c r="JH106">
        <v>453.59399999999999</v>
      </c>
      <c r="JI106">
        <v>26.783100000000001</v>
      </c>
      <c r="JJ106">
        <v>35.758000000000003</v>
      </c>
      <c r="JK106">
        <v>30.000299999999999</v>
      </c>
      <c r="JL106">
        <v>35.662100000000002</v>
      </c>
      <c r="JM106">
        <v>35.5884</v>
      </c>
      <c r="JN106">
        <v>4.4607200000000002</v>
      </c>
      <c r="JO106">
        <v>20.561599999999999</v>
      </c>
      <c r="JP106">
        <v>38.558700000000002</v>
      </c>
      <c r="JQ106">
        <v>26.764600000000002</v>
      </c>
      <c r="JR106">
        <v>30</v>
      </c>
      <c r="JS106">
        <v>21.673300000000001</v>
      </c>
      <c r="JT106">
        <v>98.835899999999995</v>
      </c>
      <c r="JU106">
        <v>98.812200000000004</v>
      </c>
    </row>
    <row r="107" spans="1:281" x14ac:dyDescent="0.25">
      <c r="A107">
        <v>91</v>
      </c>
      <c r="B107">
        <v>1693516724.0999999</v>
      </c>
      <c r="C107">
        <v>21074.5</v>
      </c>
      <c r="D107" t="s">
        <v>878</v>
      </c>
      <c r="E107" t="s">
        <v>879</v>
      </c>
      <c r="F107" t="s">
        <v>413</v>
      </c>
      <c r="G107" t="s">
        <v>565</v>
      </c>
      <c r="H107" t="s">
        <v>415</v>
      </c>
      <c r="I107" t="s">
        <v>415</v>
      </c>
      <c r="J107">
        <v>1693516724.0999999</v>
      </c>
      <c r="K107">
        <f t="shared" si="92"/>
        <v>6.2047078392130752E-3</v>
      </c>
      <c r="L107">
        <f t="shared" si="93"/>
        <v>6.204707839213075</v>
      </c>
      <c r="M107">
        <f t="shared" si="94"/>
        <v>1.6494203006874617</v>
      </c>
      <c r="N107">
        <f t="shared" si="95"/>
        <v>8.0074199999999998</v>
      </c>
      <c r="O107">
        <f t="shared" si="96"/>
        <v>1.8149838850014821</v>
      </c>
      <c r="P107">
        <f t="shared" si="97"/>
        <v>0.18074696157696707</v>
      </c>
      <c r="Q107">
        <f t="shared" si="98"/>
        <v>0.79742682402353993</v>
      </c>
      <c r="R107">
        <f t="shared" si="99"/>
        <v>0.46687828994507713</v>
      </c>
      <c r="S107">
        <f t="shared" si="100"/>
        <v>2.9196360962703598</v>
      </c>
      <c r="T107">
        <f t="shared" si="101"/>
        <v>0.42901778687808279</v>
      </c>
      <c r="U107">
        <f t="shared" si="102"/>
        <v>0.27128142183190807</v>
      </c>
      <c r="V107">
        <f t="shared" si="103"/>
        <v>344.36619864381913</v>
      </c>
      <c r="W107">
        <f t="shared" si="104"/>
        <v>30.903363437397672</v>
      </c>
      <c r="X107">
        <f t="shared" si="105"/>
        <v>30.003799999999998</v>
      </c>
      <c r="Y107">
        <f t="shared" si="106"/>
        <v>4.261379784496393</v>
      </c>
      <c r="Z107">
        <f t="shared" si="107"/>
        <v>65.5745127703847</v>
      </c>
      <c r="AA107">
        <f t="shared" si="108"/>
        <v>2.8726972153967996</v>
      </c>
      <c r="AB107">
        <f t="shared" si="109"/>
        <v>4.3808136637718036</v>
      </c>
      <c r="AC107">
        <f t="shared" si="110"/>
        <v>1.3886825690995934</v>
      </c>
      <c r="AD107">
        <f t="shared" si="111"/>
        <v>-273.62761570929661</v>
      </c>
      <c r="AE107">
        <f t="shared" si="112"/>
        <v>75.884189371188143</v>
      </c>
      <c r="AF107">
        <f t="shared" si="113"/>
        <v>5.7931444690318257</v>
      </c>
      <c r="AG107">
        <f t="shared" si="114"/>
        <v>152.41591677474247</v>
      </c>
      <c r="AH107">
        <v>0</v>
      </c>
      <c r="AI107">
        <v>0</v>
      </c>
      <c r="AJ107">
        <f t="shared" si="115"/>
        <v>1</v>
      </c>
      <c r="AK107">
        <f t="shared" si="116"/>
        <v>0</v>
      </c>
      <c r="AL107">
        <f t="shared" si="117"/>
        <v>51976.050340471396</v>
      </c>
      <c r="AM107" t="s">
        <v>417</v>
      </c>
      <c r="AN107">
        <v>10366.9</v>
      </c>
      <c r="AO107">
        <v>993.59653846153856</v>
      </c>
      <c r="AP107">
        <v>3431.87</v>
      </c>
      <c r="AQ107">
        <f t="shared" si="118"/>
        <v>0.71047955241266758</v>
      </c>
      <c r="AR107">
        <v>-3.9894345373445681</v>
      </c>
      <c r="AS107" t="s">
        <v>880</v>
      </c>
      <c r="AT107">
        <v>10470.6</v>
      </c>
      <c r="AU107">
        <v>793.45857692307698</v>
      </c>
      <c r="AV107">
        <v>841.41464213902179</v>
      </c>
      <c r="AW107">
        <f t="shared" si="119"/>
        <v>5.6994569400447115E-2</v>
      </c>
      <c r="AX107">
        <v>0.5</v>
      </c>
      <c r="AY107">
        <f t="shared" si="120"/>
        <v>1513.1681993219095</v>
      </c>
      <c r="AZ107">
        <f t="shared" si="121"/>
        <v>1.6494203006874617</v>
      </c>
      <c r="BA107">
        <f t="shared" si="122"/>
        <v>43.121184975401079</v>
      </c>
      <c r="BB107">
        <f t="shared" si="123"/>
        <v>3.7265221675679872E-3</v>
      </c>
      <c r="BC107">
        <f t="shared" si="124"/>
        <v>3.0786906099893767</v>
      </c>
      <c r="BD107">
        <f t="shared" si="125"/>
        <v>525.33891228822631</v>
      </c>
      <c r="BE107" t="s">
        <v>881</v>
      </c>
      <c r="BF107">
        <v>637.83000000000004</v>
      </c>
      <c r="BG107">
        <f t="shared" si="126"/>
        <v>637.83000000000004</v>
      </c>
      <c r="BH107">
        <f t="shared" si="127"/>
        <v>0.24195519300861501</v>
      </c>
      <c r="BI107">
        <f t="shared" si="128"/>
        <v>0.23555836389268048</v>
      </c>
      <c r="BJ107">
        <f t="shared" si="129"/>
        <v>0.92713610322721862</v>
      </c>
      <c r="BK107">
        <f t="shared" si="130"/>
        <v>-0.31512332527590708</v>
      </c>
      <c r="BL107">
        <f t="shared" si="131"/>
        <v>1.0624137934989848</v>
      </c>
      <c r="BM107">
        <f t="shared" si="132"/>
        <v>0.18935606169171734</v>
      </c>
      <c r="BN107">
        <f t="shared" si="133"/>
        <v>0.81064393830828263</v>
      </c>
      <c r="BO107">
        <v>7924</v>
      </c>
      <c r="BP107">
        <v>290.00000000000011</v>
      </c>
      <c r="BQ107">
        <v>829.92</v>
      </c>
      <c r="BR107">
        <v>85</v>
      </c>
      <c r="BS107">
        <v>10470.6</v>
      </c>
      <c r="BT107">
        <v>827.04</v>
      </c>
      <c r="BU107">
        <v>2.88</v>
      </c>
      <c r="BV107">
        <v>300.00000000000011</v>
      </c>
      <c r="BW107">
        <v>38.200000000000003</v>
      </c>
      <c r="BX107">
        <v>841.41464213902179</v>
      </c>
      <c r="BY107">
        <v>1.2105323484952579</v>
      </c>
      <c r="BZ107">
        <v>-15.05192786321386</v>
      </c>
      <c r="CA107">
        <v>1.036089521398051</v>
      </c>
      <c r="CB107">
        <v>0.88287072527617827</v>
      </c>
      <c r="CC107">
        <v>-1.1352382647386E-2</v>
      </c>
      <c r="CD107">
        <v>289.99999999999989</v>
      </c>
      <c r="CE107">
        <v>824.49</v>
      </c>
      <c r="CF107">
        <v>735</v>
      </c>
      <c r="CG107">
        <v>10427.700000000001</v>
      </c>
      <c r="CH107">
        <v>826.98</v>
      </c>
      <c r="CI107">
        <v>-2.4900000000000002</v>
      </c>
      <c r="CW107">
        <f t="shared" si="134"/>
        <v>1799.98</v>
      </c>
      <c r="CX107">
        <f t="shared" si="135"/>
        <v>1513.1681993219095</v>
      </c>
      <c r="CY107">
        <f t="shared" si="136"/>
        <v>0.84065834027150832</v>
      </c>
      <c r="CZ107">
        <f t="shared" si="137"/>
        <v>0.19131668054301665</v>
      </c>
      <c r="DA107">
        <v>6</v>
      </c>
      <c r="DB107">
        <v>0.5</v>
      </c>
      <c r="DC107" t="s">
        <v>420</v>
      </c>
      <c r="DD107">
        <v>2</v>
      </c>
      <c r="DE107">
        <v>1693516724.0999999</v>
      </c>
      <c r="DF107">
        <v>8.0074199999999998</v>
      </c>
      <c r="DG107">
        <v>10.045</v>
      </c>
      <c r="DH107">
        <v>28.846399999999999</v>
      </c>
      <c r="DI107">
        <v>21.6203</v>
      </c>
      <c r="DJ107">
        <v>9.6709300000000002</v>
      </c>
      <c r="DK107">
        <v>28.681100000000001</v>
      </c>
      <c r="DL107">
        <v>500.33</v>
      </c>
      <c r="DM107">
        <v>99.485699999999994</v>
      </c>
      <c r="DN107">
        <v>0.100287</v>
      </c>
      <c r="DO107">
        <v>30.485900000000001</v>
      </c>
      <c r="DP107">
        <v>30.003799999999998</v>
      </c>
      <c r="DQ107">
        <v>999.9</v>
      </c>
      <c r="DR107">
        <v>0</v>
      </c>
      <c r="DS107">
        <v>0</v>
      </c>
      <c r="DT107">
        <v>9995</v>
      </c>
      <c r="DU107">
        <v>0</v>
      </c>
      <c r="DV107">
        <v>1065.1400000000001</v>
      </c>
      <c r="DW107">
        <v>-2.0375999999999999</v>
      </c>
      <c r="DX107">
        <v>8.2452699999999997</v>
      </c>
      <c r="DY107">
        <v>10.266999999999999</v>
      </c>
      <c r="DZ107">
        <v>7.2260900000000001</v>
      </c>
      <c r="EA107">
        <v>10.045</v>
      </c>
      <c r="EB107">
        <v>21.6203</v>
      </c>
      <c r="EC107">
        <v>2.8698100000000002</v>
      </c>
      <c r="ED107">
        <v>2.1509100000000001</v>
      </c>
      <c r="EE107">
        <v>23.2912</v>
      </c>
      <c r="EF107">
        <v>18.601299999999998</v>
      </c>
      <c r="EG107">
        <v>1799.98</v>
      </c>
      <c r="EH107">
        <v>0.97799499999999995</v>
      </c>
      <c r="EI107">
        <v>2.2004699999999999E-2</v>
      </c>
      <c r="EJ107">
        <v>0</v>
      </c>
      <c r="EK107">
        <v>793.27200000000005</v>
      </c>
      <c r="EL107">
        <v>5.0010300000000001</v>
      </c>
      <c r="EM107">
        <v>15066.2</v>
      </c>
      <c r="EN107">
        <v>14700.9</v>
      </c>
      <c r="EO107">
        <v>47</v>
      </c>
      <c r="EP107">
        <v>48.186999999999998</v>
      </c>
      <c r="EQ107">
        <v>48</v>
      </c>
      <c r="ER107">
        <v>48.125</v>
      </c>
      <c r="ES107">
        <v>48.75</v>
      </c>
      <c r="ET107">
        <v>1755.48</v>
      </c>
      <c r="EU107">
        <v>39.5</v>
      </c>
      <c r="EV107">
        <v>0</v>
      </c>
      <c r="EW107">
        <v>97.800000190734863</v>
      </c>
      <c r="EX107">
        <v>0</v>
      </c>
      <c r="EY107">
        <v>793.45857692307698</v>
      </c>
      <c r="EZ107">
        <v>-0.7436239247485158</v>
      </c>
      <c r="FA107">
        <v>-55.825641087188863</v>
      </c>
      <c r="FB107">
        <v>15070.56538461538</v>
      </c>
      <c r="FC107">
        <v>15</v>
      </c>
      <c r="FD107">
        <v>1693516693.0999999</v>
      </c>
      <c r="FE107" t="s">
        <v>882</v>
      </c>
      <c r="FF107">
        <v>1693516683.0999999</v>
      </c>
      <c r="FG107">
        <v>1693516693.0999999</v>
      </c>
      <c r="FH107">
        <v>100</v>
      </c>
      <c r="FI107">
        <v>5.1999999999999998E-2</v>
      </c>
      <c r="FJ107">
        <v>-1E-3</v>
      </c>
      <c r="FK107">
        <v>-1.659</v>
      </c>
      <c r="FL107">
        <v>-3.0000000000000001E-3</v>
      </c>
      <c r="FM107">
        <v>10</v>
      </c>
      <c r="FN107">
        <v>22</v>
      </c>
      <c r="FO107">
        <v>0.76</v>
      </c>
      <c r="FP107">
        <v>0.04</v>
      </c>
      <c r="FQ107">
        <v>1.6080425312378841</v>
      </c>
      <c r="FR107">
        <v>-0.2689743547564924</v>
      </c>
      <c r="FS107">
        <v>6.8467699498544393E-2</v>
      </c>
      <c r="FT107">
        <v>1</v>
      </c>
      <c r="FU107">
        <v>0.46891371090606182</v>
      </c>
      <c r="FV107">
        <v>-3.214302654962677E-3</v>
      </c>
      <c r="FW107">
        <v>2.4082530146067758E-3</v>
      </c>
      <c r="FX107">
        <v>1</v>
      </c>
      <c r="FY107">
        <v>2</v>
      </c>
      <c r="FZ107">
        <v>2</v>
      </c>
      <c r="GA107" t="s">
        <v>422</v>
      </c>
      <c r="GB107">
        <v>2.8951600000000002</v>
      </c>
      <c r="GC107">
        <v>2.8182499999999999</v>
      </c>
      <c r="GD107">
        <v>2.64313E-3</v>
      </c>
      <c r="GE107">
        <v>2.75428E-3</v>
      </c>
      <c r="GF107">
        <v>0.13489300000000001</v>
      </c>
      <c r="GG107">
        <v>0.11020199999999999</v>
      </c>
      <c r="GH107">
        <v>27517.8</v>
      </c>
      <c r="GI107">
        <v>27692.1</v>
      </c>
      <c r="GJ107">
        <v>24489.5</v>
      </c>
      <c r="GK107">
        <v>24813.9</v>
      </c>
      <c r="GL107">
        <v>28148.7</v>
      </c>
      <c r="GM107">
        <v>28825.599999999999</v>
      </c>
      <c r="GN107">
        <v>33110.9</v>
      </c>
      <c r="GO107">
        <v>33080.5</v>
      </c>
      <c r="GP107">
        <v>1.9285000000000001</v>
      </c>
      <c r="GQ107">
        <v>1.7936000000000001</v>
      </c>
      <c r="GR107">
        <v>5.4836299999999998E-2</v>
      </c>
      <c r="GS107">
        <v>0</v>
      </c>
      <c r="GT107">
        <v>29.110800000000001</v>
      </c>
      <c r="GU107">
        <v>999.9</v>
      </c>
      <c r="GV107">
        <v>39.299999999999997</v>
      </c>
      <c r="GW107">
        <v>38.4</v>
      </c>
      <c r="GX107">
        <v>26.874300000000002</v>
      </c>
      <c r="GY107">
        <v>63.051299999999998</v>
      </c>
      <c r="GZ107">
        <v>25.256399999999999</v>
      </c>
      <c r="HA107">
        <v>1</v>
      </c>
      <c r="HB107">
        <v>0.71118899999999996</v>
      </c>
      <c r="HC107">
        <v>2.6112099999999998</v>
      </c>
      <c r="HD107">
        <v>20.147500000000001</v>
      </c>
      <c r="HE107">
        <v>5.2328599999999996</v>
      </c>
      <c r="HF107">
        <v>11.924300000000001</v>
      </c>
      <c r="HG107">
        <v>4.9598000000000004</v>
      </c>
      <c r="HH107">
        <v>3.2888999999999999</v>
      </c>
      <c r="HI107">
        <v>9999</v>
      </c>
      <c r="HJ107">
        <v>9999</v>
      </c>
      <c r="HK107">
        <v>9999</v>
      </c>
      <c r="HL107">
        <v>897.3</v>
      </c>
      <c r="HM107">
        <v>1.8808</v>
      </c>
      <c r="HN107">
        <v>1.8779300000000001</v>
      </c>
      <c r="HO107">
        <v>1.8858600000000001</v>
      </c>
      <c r="HP107">
        <v>1.8836999999999999</v>
      </c>
      <c r="HQ107">
        <v>1.8811599999999999</v>
      </c>
      <c r="HR107">
        <v>1.88028</v>
      </c>
      <c r="HS107">
        <v>1.88141</v>
      </c>
      <c r="HT107">
        <v>1.8808100000000001</v>
      </c>
      <c r="HU107">
        <v>5</v>
      </c>
      <c r="HV107">
        <v>0</v>
      </c>
      <c r="HW107">
        <v>0</v>
      </c>
      <c r="HX107">
        <v>0</v>
      </c>
      <c r="HY107" t="s">
        <v>423</v>
      </c>
      <c r="HZ107" t="s">
        <v>424</v>
      </c>
      <c r="IA107" t="s">
        <v>425</v>
      </c>
      <c r="IB107" t="s">
        <v>425</v>
      </c>
      <c r="IC107" t="s">
        <v>425</v>
      </c>
      <c r="ID107" t="s">
        <v>425</v>
      </c>
      <c r="IE107">
        <v>0</v>
      </c>
      <c r="IF107">
        <v>100</v>
      </c>
      <c r="IG107">
        <v>100</v>
      </c>
      <c r="IH107">
        <v>-1.6639999999999999</v>
      </c>
      <c r="II107">
        <v>0.1653</v>
      </c>
      <c r="IJ107">
        <v>-1.6847182029781169</v>
      </c>
      <c r="IK107">
        <v>2.2153513873161218E-3</v>
      </c>
      <c r="IL107">
        <v>-2.2967369670569612E-6</v>
      </c>
      <c r="IM107">
        <v>7.7859689150384122E-10</v>
      </c>
      <c r="IN107">
        <v>-0.2307540083459701</v>
      </c>
      <c r="IO107">
        <v>-4.1434251034592161E-3</v>
      </c>
      <c r="IP107">
        <v>8.3987709687394815E-4</v>
      </c>
      <c r="IQ107">
        <v>-7.4586254598011197E-6</v>
      </c>
      <c r="IR107">
        <v>2</v>
      </c>
      <c r="IS107">
        <v>1930</v>
      </c>
      <c r="IT107">
        <v>2</v>
      </c>
      <c r="IU107">
        <v>41</v>
      </c>
      <c r="IV107">
        <v>0.7</v>
      </c>
      <c r="IW107">
        <v>0.5</v>
      </c>
      <c r="IX107">
        <v>0.17700199999999999</v>
      </c>
      <c r="IY107">
        <v>2.6074199999999998</v>
      </c>
      <c r="IZ107">
        <v>1.24512</v>
      </c>
      <c r="JA107">
        <v>2.2534200000000002</v>
      </c>
      <c r="JB107">
        <v>1.4501999999999999</v>
      </c>
      <c r="JC107">
        <v>2.36816</v>
      </c>
      <c r="JD107">
        <v>39.868000000000002</v>
      </c>
      <c r="JE107">
        <v>24.035</v>
      </c>
      <c r="JF107">
        <v>18</v>
      </c>
      <c r="JG107">
        <v>497.57100000000003</v>
      </c>
      <c r="JH107">
        <v>454.56599999999997</v>
      </c>
      <c r="JI107">
        <v>26.4924</v>
      </c>
      <c r="JJ107">
        <v>35.79</v>
      </c>
      <c r="JK107">
        <v>30.000499999999999</v>
      </c>
      <c r="JL107">
        <v>35.701799999999999</v>
      </c>
      <c r="JM107">
        <v>35.634900000000002</v>
      </c>
      <c r="JN107">
        <v>3.6105700000000001</v>
      </c>
      <c r="JO107">
        <v>20.586300000000001</v>
      </c>
      <c r="JP107">
        <v>38.430300000000003</v>
      </c>
      <c r="JQ107">
        <v>26.4922</v>
      </c>
      <c r="JR107">
        <v>10</v>
      </c>
      <c r="JS107">
        <v>21.533000000000001</v>
      </c>
      <c r="JT107">
        <v>98.8322</v>
      </c>
      <c r="JU107">
        <v>98.809100000000001</v>
      </c>
    </row>
    <row r="108" spans="1:281" x14ac:dyDescent="0.25">
      <c r="A108">
        <v>92</v>
      </c>
      <c r="B108">
        <v>1693516913.5999999</v>
      </c>
      <c r="C108">
        <v>21264</v>
      </c>
      <c r="D108" t="s">
        <v>883</v>
      </c>
      <c r="E108" t="s">
        <v>884</v>
      </c>
      <c r="F108" t="s">
        <v>413</v>
      </c>
      <c r="G108" t="s">
        <v>565</v>
      </c>
      <c r="H108" t="s">
        <v>415</v>
      </c>
      <c r="I108" t="s">
        <v>415</v>
      </c>
      <c r="J108">
        <v>1693516913.5999999</v>
      </c>
      <c r="K108">
        <f t="shared" si="92"/>
        <v>6.0333773850479184E-3</v>
      </c>
      <c r="L108">
        <f t="shared" si="93"/>
        <v>6.0333773850479187</v>
      </c>
      <c r="M108">
        <f t="shared" si="94"/>
        <v>37.027351757850532</v>
      </c>
      <c r="N108">
        <f t="shared" si="95"/>
        <v>353.04300000000001</v>
      </c>
      <c r="O108">
        <f t="shared" si="96"/>
        <v>203.20509741244675</v>
      </c>
      <c r="P108">
        <f t="shared" si="97"/>
        <v>20.235621787185092</v>
      </c>
      <c r="Q108">
        <f t="shared" si="98"/>
        <v>35.156817981356397</v>
      </c>
      <c r="R108">
        <f t="shared" si="99"/>
        <v>0.44299017787440215</v>
      </c>
      <c r="S108">
        <f t="shared" si="100"/>
        <v>2.9178237678850762</v>
      </c>
      <c r="T108">
        <f t="shared" si="101"/>
        <v>0.40873323924823107</v>
      </c>
      <c r="U108">
        <f t="shared" si="102"/>
        <v>0.25831500865367696</v>
      </c>
      <c r="V108">
        <f t="shared" si="103"/>
        <v>344.36429864381148</v>
      </c>
      <c r="W108">
        <f t="shared" si="104"/>
        <v>30.917618514469797</v>
      </c>
      <c r="X108">
        <f t="shared" si="105"/>
        <v>30.016100000000002</v>
      </c>
      <c r="Y108">
        <f t="shared" si="106"/>
        <v>4.2643913000202351</v>
      </c>
      <c r="Z108">
        <f t="shared" si="107"/>
        <v>65.100192130836078</v>
      </c>
      <c r="AA108">
        <f t="shared" si="108"/>
        <v>2.8469272078007597</v>
      </c>
      <c r="AB108">
        <f t="shared" si="109"/>
        <v>4.3731471668764135</v>
      </c>
      <c r="AC108">
        <f t="shared" si="110"/>
        <v>1.4174640922194754</v>
      </c>
      <c r="AD108">
        <f t="shared" si="111"/>
        <v>-266.07194268061318</v>
      </c>
      <c r="AE108">
        <f t="shared" si="112"/>
        <v>69.088670016677469</v>
      </c>
      <c r="AF108">
        <f t="shared" si="113"/>
        <v>5.2771592359820998</v>
      </c>
      <c r="AG108">
        <f t="shared" si="114"/>
        <v>152.65818521585786</v>
      </c>
      <c r="AH108">
        <v>0</v>
      </c>
      <c r="AI108">
        <v>0</v>
      </c>
      <c r="AJ108">
        <f t="shared" si="115"/>
        <v>1</v>
      </c>
      <c r="AK108">
        <f t="shared" si="116"/>
        <v>0</v>
      </c>
      <c r="AL108">
        <f t="shared" si="117"/>
        <v>51929.621574361117</v>
      </c>
      <c r="AM108" t="s">
        <v>417</v>
      </c>
      <c r="AN108">
        <v>10366.9</v>
      </c>
      <c r="AO108">
        <v>993.59653846153856</v>
      </c>
      <c r="AP108">
        <v>3431.87</v>
      </c>
      <c r="AQ108">
        <f t="shared" si="118"/>
        <v>0.71047955241266758</v>
      </c>
      <c r="AR108">
        <v>-3.9894345373445681</v>
      </c>
      <c r="AS108" t="s">
        <v>885</v>
      </c>
      <c r="AT108">
        <v>10459.5</v>
      </c>
      <c r="AU108">
        <v>758.76047999999992</v>
      </c>
      <c r="AV108">
        <v>1028.030286616583</v>
      </c>
      <c r="AW108">
        <f t="shared" si="119"/>
        <v>0.26192789271101569</v>
      </c>
      <c r="AX108">
        <v>0.5</v>
      </c>
      <c r="AY108">
        <f t="shared" si="120"/>
        <v>1513.1597993219059</v>
      </c>
      <c r="AZ108">
        <f t="shared" si="121"/>
        <v>37.027351757850532</v>
      </c>
      <c r="BA108">
        <f t="shared" si="122"/>
        <v>198.16937878570511</v>
      </c>
      <c r="BB108">
        <f t="shared" si="123"/>
        <v>2.710671160678205E-2</v>
      </c>
      <c r="BC108">
        <f t="shared" si="124"/>
        <v>2.3382965897773782</v>
      </c>
      <c r="BD108">
        <f t="shared" si="125"/>
        <v>592.48993334119496</v>
      </c>
      <c r="BE108" t="s">
        <v>886</v>
      </c>
      <c r="BF108">
        <v>602.59</v>
      </c>
      <c r="BG108">
        <f t="shared" si="126"/>
        <v>602.59</v>
      </c>
      <c r="BH108">
        <f t="shared" si="127"/>
        <v>0.41384022645556195</v>
      </c>
      <c r="BI108">
        <f t="shared" si="128"/>
        <v>0.63292033003742199</v>
      </c>
      <c r="BJ108">
        <f t="shared" si="129"/>
        <v>0.84962948643591907</v>
      </c>
      <c r="BK108">
        <f t="shared" si="130"/>
        <v>7.8199388984360638</v>
      </c>
      <c r="BL108">
        <f t="shared" si="131"/>
        <v>0.98587781530734531</v>
      </c>
      <c r="BM108">
        <f t="shared" si="132"/>
        <v>0.50265066741121012</v>
      </c>
      <c r="BN108">
        <f t="shared" si="133"/>
        <v>0.49734933258878988</v>
      </c>
      <c r="BO108">
        <v>7926</v>
      </c>
      <c r="BP108">
        <v>290.00000000000011</v>
      </c>
      <c r="BQ108">
        <v>946.16</v>
      </c>
      <c r="BR108">
        <v>165</v>
      </c>
      <c r="BS108">
        <v>10459.5</v>
      </c>
      <c r="BT108">
        <v>944.57</v>
      </c>
      <c r="BU108">
        <v>1.59</v>
      </c>
      <c r="BV108">
        <v>300.00000000000011</v>
      </c>
      <c r="BW108">
        <v>38.200000000000003</v>
      </c>
      <c r="BX108">
        <v>1028.030286616583</v>
      </c>
      <c r="BY108">
        <v>1.550074111687165</v>
      </c>
      <c r="BZ108">
        <v>-87.291995848869774</v>
      </c>
      <c r="CA108">
        <v>1.327088772751472</v>
      </c>
      <c r="CB108">
        <v>0.99357004954914618</v>
      </c>
      <c r="CC108">
        <v>-1.1356337708565071E-2</v>
      </c>
      <c r="CD108">
        <v>289.99999999999989</v>
      </c>
      <c r="CE108">
        <v>930.54</v>
      </c>
      <c r="CF108">
        <v>645</v>
      </c>
      <c r="CG108">
        <v>10437.5</v>
      </c>
      <c r="CH108">
        <v>944.4</v>
      </c>
      <c r="CI108">
        <v>-13.86</v>
      </c>
      <c r="CW108">
        <f t="shared" si="134"/>
        <v>1799.97</v>
      </c>
      <c r="CX108">
        <f t="shared" si="135"/>
        <v>1513.1597993219059</v>
      </c>
      <c r="CY108">
        <f t="shared" si="136"/>
        <v>0.84065834392901317</v>
      </c>
      <c r="CZ108">
        <f t="shared" si="137"/>
        <v>0.19131668785802625</v>
      </c>
      <c r="DA108">
        <v>6</v>
      </c>
      <c r="DB108">
        <v>0.5</v>
      </c>
      <c r="DC108" t="s">
        <v>420</v>
      </c>
      <c r="DD108">
        <v>2</v>
      </c>
      <c r="DE108">
        <v>1693516913.5999999</v>
      </c>
      <c r="DF108">
        <v>353.04300000000001</v>
      </c>
      <c r="DG108">
        <v>399.99599999999998</v>
      </c>
      <c r="DH108">
        <v>28.588699999999999</v>
      </c>
      <c r="DI108">
        <v>21.561</v>
      </c>
      <c r="DJ108">
        <v>355.09699999999998</v>
      </c>
      <c r="DK108">
        <v>28.427700000000002</v>
      </c>
      <c r="DL108">
        <v>500.38200000000001</v>
      </c>
      <c r="DM108">
        <v>99.482299999999995</v>
      </c>
      <c r="DN108">
        <v>9.9954799999999996E-2</v>
      </c>
      <c r="DO108">
        <v>30.455300000000001</v>
      </c>
      <c r="DP108">
        <v>30.016100000000002</v>
      </c>
      <c r="DQ108">
        <v>999.9</v>
      </c>
      <c r="DR108">
        <v>0</v>
      </c>
      <c r="DS108">
        <v>0</v>
      </c>
      <c r="DT108">
        <v>9985</v>
      </c>
      <c r="DU108">
        <v>0</v>
      </c>
      <c r="DV108">
        <v>1045.67</v>
      </c>
      <c r="DW108">
        <v>-46.952500000000001</v>
      </c>
      <c r="DX108">
        <v>363.43299999999999</v>
      </c>
      <c r="DY108">
        <v>408.81</v>
      </c>
      <c r="DZ108">
        <v>7.0277099999999999</v>
      </c>
      <c r="EA108">
        <v>399.99599999999998</v>
      </c>
      <c r="EB108">
        <v>21.561</v>
      </c>
      <c r="EC108">
        <v>2.8440699999999999</v>
      </c>
      <c r="ED108">
        <v>2.14493</v>
      </c>
      <c r="EE108">
        <v>23.142099999999999</v>
      </c>
      <c r="EF108">
        <v>18.556899999999999</v>
      </c>
      <c r="EG108">
        <v>1799.97</v>
      </c>
      <c r="EH108">
        <v>0.97799199999999997</v>
      </c>
      <c r="EI108">
        <v>2.2008300000000001E-2</v>
      </c>
      <c r="EJ108">
        <v>0</v>
      </c>
      <c r="EK108">
        <v>757.66</v>
      </c>
      <c r="EL108">
        <v>5.0010300000000001</v>
      </c>
      <c r="EM108">
        <v>14478</v>
      </c>
      <c r="EN108">
        <v>14700.8</v>
      </c>
      <c r="EO108">
        <v>46.811999999999998</v>
      </c>
      <c r="EP108">
        <v>48.186999999999998</v>
      </c>
      <c r="EQ108">
        <v>47.875</v>
      </c>
      <c r="ER108">
        <v>48.125</v>
      </c>
      <c r="ES108">
        <v>48.5</v>
      </c>
      <c r="ET108">
        <v>1755.47</v>
      </c>
      <c r="EU108">
        <v>39.5</v>
      </c>
      <c r="EV108">
        <v>0</v>
      </c>
      <c r="EW108">
        <v>187.79999995231631</v>
      </c>
      <c r="EX108">
        <v>0</v>
      </c>
      <c r="EY108">
        <v>758.76047999999992</v>
      </c>
      <c r="EZ108">
        <v>-8.3999231012910833</v>
      </c>
      <c r="FA108">
        <v>-147.96923096840769</v>
      </c>
      <c r="FB108">
        <v>14495.816000000001</v>
      </c>
      <c r="FC108">
        <v>15</v>
      </c>
      <c r="FD108">
        <v>1693516795.5999999</v>
      </c>
      <c r="FE108" t="s">
        <v>887</v>
      </c>
      <c r="FF108">
        <v>1693516786.5999999</v>
      </c>
      <c r="FG108">
        <v>1693516795.5999999</v>
      </c>
      <c r="FH108">
        <v>101</v>
      </c>
      <c r="FI108">
        <v>-0.90100000000000002</v>
      </c>
      <c r="FJ108">
        <v>2E-3</v>
      </c>
      <c r="FK108">
        <v>-2.016</v>
      </c>
      <c r="FL108">
        <v>-8.0000000000000002E-3</v>
      </c>
      <c r="FM108">
        <v>401</v>
      </c>
      <c r="FN108">
        <v>21</v>
      </c>
      <c r="FO108">
        <v>0.27</v>
      </c>
      <c r="FP108">
        <v>0.03</v>
      </c>
      <c r="FQ108">
        <v>36.542941096135607</v>
      </c>
      <c r="FR108">
        <v>3.9897735222954762</v>
      </c>
      <c r="FS108">
        <v>0.30560728585613001</v>
      </c>
      <c r="FT108">
        <v>0</v>
      </c>
      <c r="FU108">
        <v>0.44463110997931038</v>
      </c>
      <c r="FV108">
        <v>-8.2787494639884884E-3</v>
      </c>
      <c r="FW108">
        <v>1.105735419442782E-3</v>
      </c>
      <c r="FX108">
        <v>1</v>
      </c>
      <c r="FY108">
        <v>1</v>
      </c>
      <c r="FZ108">
        <v>2</v>
      </c>
      <c r="GA108" t="s">
        <v>461</v>
      </c>
      <c r="GB108">
        <v>2.89507</v>
      </c>
      <c r="GC108">
        <v>2.8178399999999999</v>
      </c>
      <c r="GD108">
        <v>8.21659E-2</v>
      </c>
      <c r="GE108">
        <v>9.0138599999999999E-2</v>
      </c>
      <c r="GF108">
        <v>0.13403799999999999</v>
      </c>
      <c r="GG108">
        <v>0.109958</v>
      </c>
      <c r="GH108">
        <v>25323.3</v>
      </c>
      <c r="GI108">
        <v>25266.2</v>
      </c>
      <c r="GJ108">
        <v>24485.7</v>
      </c>
      <c r="GK108">
        <v>24810.6</v>
      </c>
      <c r="GL108">
        <v>28172.2</v>
      </c>
      <c r="GM108">
        <v>28829.9</v>
      </c>
      <c r="GN108">
        <v>33105.1</v>
      </c>
      <c r="GO108">
        <v>33075.9</v>
      </c>
      <c r="GP108">
        <v>1.9275</v>
      </c>
      <c r="GQ108">
        <v>1.7954000000000001</v>
      </c>
      <c r="GR108">
        <v>3.9011200000000003E-2</v>
      </c>
      <c r="GS108">
        <v>0</v>
      </c>
      <c r="GT108">
        <v>29.3809</v>
      </c>
      <c r="GU108">
        <v>999.9</v>
      </c>
      <c r="GV108">
        <v>39.4</v>
      </c>
      <c r="GW108">
        <v>38.1</v>
      </c>
      <c r="GX108">
        <v>26.509599999999999</v>
      </c>
      <c r="GY108">
        <v>62.901299999999999</v>
      </c>
      <c r="GZ108">
        <v>23.6538</v>
      </c>
      <c r="HA108">
        <v>1</v>
      </c>
      <c r="HB108">
        <v>0.72143299999999999</v>
      </c>
      <c r="HC108">
        <v>2.6993800000000001</v>
      </c>
      <c r="HD108">
        <v>20.146000000000001</v>
      </c>
      <c r="HE108">
        <v>5.2346599999999999</v>
      </c>
      <c r="HF108">
        <v>11.9261</v>
      </c>
      <c r="HG108">
        <v>4.9596</v>
      </c>
      <c r="HH108">
        <v>3.2890000000000001</v>
      </c>
      <c r="HI108">
        <v>9999</v>
      </c>
      <c r="HJ108">
        <v>9999</v>
      </c>
      <c r="HK108">
        <v>9999</v>
      </c>
      <c r="HL108">
        <v>897.3</v>
      </c>
      <c r="HM108">
        <v>1.88083</v>
      </c>
      <c r="HN108">
        <v>1.8779600000000001</v>
      </c>
      <c r="HO108">
        <v>1.8858600000000001</v>
      </c>
      <c r="HP108">
        <v>1.8836999999999999</v>
      </c>
      <c r="HQ108">
        <v>1.8811800000000001</v>
      </c>
      <c r="HR108">
        <v>1.8803399999999999</v>
      </c>
      <c r="HS108">
        <v>1.88141</v>
      </c>
      <c r="HT108">
        <v>1.8808</v>
      </c>
      <c r="HU108">
        <v>5</v>
      </c>
      <c r="HV108">
        <v>0</v>
      </c>
      <c r="HW108">
        <v>0</v>
      </c>
      <c r="HX108">
        <v>0</v>
      </c>
      <c r="HY108" t="s">
        <v>423</v>
      </c>
      <c r="HZ108" t="s">
        <v>424</v>
      </c>
      <c r="IA108" t="s">
        <v>425</v>
      </c>
      <c r="IB108" t="s">
        <v>425</v>
      </c>
      <c r="IC108" t="s">
        <v>425</v>
      </c>
      <c r="ID108" t="s">
        <v>425</v>
      </c>
      <c r="IE108">
        <v>0</v>
      </c>
      <c r="IF108">
        <v>100</v>
      </c>
      <c r="IG108">
        <v>100</v>
      </c>
      <c r="IH108">
        <v>-2.0539999999999998</v>
      </c>
      <c r="II108">
        <v>0.161</v>
      </c>
      <c r="IJ108">
        <v>-2.585850866924849</v>
      </c>
      <c r="IK108">
        <v>2.2153513873161218E-3</v>
      </c>
      <c r="IL108">
        <v>-2.2967369670569612E-6</v>
      </c>
      <c r="IM108">
        <v>7.7859689150384122E-10</v>
      </c>
      <c r="IN108">
        <v>-0.22867132288329001</v>
      </c>
      <c r="IO108">
        <v>-4.1434251034592161E-3</v>
      </c>
      <c r="IP108">
        <v>8.3987709687394815E-4</v>
      </c>
      <c r="IQ108">
        <v>-7.4586254598011197E-6</v>
      </c>
      <c r="IR108">
        <v>2</v>
      </c>
      <c r="IS108">
        <v>1930</v>
      </c>
      <c r="IT108">
        <v>2</v>
      </c>
      <c r="IU108">
        <v>41</v>
      </c>
      <c r="IV108">
        <v>2.1</v>
      </c>
      <c r="IW108">
        <v>2</v>
      </c>
      <c r="IX108">
        <v>1.00586</v>
      </c>
      <c r="IY108">
        <v>2.52563</v>
      </c>
      <c r="IZ108">
        <v>1.24512</v>
      </c>
      <c r="JA108">
        <v>2.2534200000000002</v>
      </c>
      <c r="JB108">
        <v>1.4501999999999999</v>
      </c>
      <c r="JC108">
        <v>2.4328599999999998</v>
      </c>
      <c r="JD108">
        <v>39.641800000000003</v>
      </c>
      <c r="JE108">
        <v>24.035</v>
      </c>
      <c r="JF108">
        <v>18</v>
      </c>
      <c r="JG108">
        <v>497.79399999999998</v>
      </c>
      <c r="JH108">
        <v>456.74200000000002</v>
      </c>
      <c r="JI108">
        <v>26.2484</v>
      </c>
      <c r="JJ108">
        <v>35.9193</v>
      </c>
      <c r="JK108">
        <v>30.000499999999999</v>
      </c>
      <c r="JL108">
        <v>35.818100000000001</v>
      </c>
      <c r="JM108">
        <v>35.756999999999998</v>
      </c>
      <c r="JN108">
        <v>20.2285</v>
      </c>
      <c r="JO108">
        <v>18.758099999999999</v>
      </c>
      <c r="JP108">
        <v>37.871699999999997</v>
      </c>
      <c r="JQ108">
        <v>26.249500000000001</v>
      </c>
      <c r="JR108">
        <v>400</v>
      </c>
      <c r="JS108">
        <v>21.623699999999999</v>
      </c>
      <c r="JT108">
        <v>98.815600000000003</v>
      </c>
      <c r="JU108">
        <v>98.795599999999993</v>
      </c>
    </row>
    <row r="109" spans="1:281" x14ac:dyDescent="0.25">
      <c r="A109">
        <v>93</v>
      </c>
      <c r="B109">
        <v>1693517096.0999999</v>
      </c>
      <c r="C109">
        <v>21446.5</v>
      </c>
      <c r="D109" t="s">
        <v>888</v>
      </c>
      <c r="E109" t="s">
        <v>889</v>
      </c>
      <c r="F109" t="s">
        <v>413</v>
      </c>
      <c r="G109" t="s">
        <v>565</v>
      </c>
      <c r="H109" t="s">
        <v>415</v>
      </c>
      <c r="I109" t="s">
        <v>415</v>
      </c>
      <c r="J109">
        <v>1693517096.0999999</v>
      </c>
      <c r="K109">
        <f t="shared" si="92"/>
        <v>5.6854264002698671E-3</v>
      </c>
      <c r="L109">
        <f t="shared" si="93"/>
        <v>5.6854264002698667</v>
      </c>
      <c r="M109">
        <f t="shared" si="94"/>
        <v>43.627665508714287</v>
      </c>
      <c r="N109">
        <f t="shared" si="95"/>
        <v>345.32799999999997</v>
      </c>
      <c r="O109">
        <f t="shared" si="96"/>
        <v>159.9079166607705</v>
      </c>
      <c r="P109">
        <f t="shared" si="97"/>
        <v>15.924352645139084</v>
      </c>
      <c r="Q109">
        <f t="shared" si="98"/>
        <v>34.389322086576001</v>
      </c>
      <c r="R109">
        <f t="shared" si="99"/>
        <v>0.41506008650173953</v>
      </c>
      <c r="S109">
        <f t="shared" si="100"/>
        <v>2.9152262389639976</v>
      </c>
      <c r="T109">
        <f t="shared" si="101"/>
        <v>0.384803954441792</v>
      </c>
      <c r="U109">
        <f t="shared" si="102"/>
        <v>0.24303681406367877</v>
      </c>
      <c r="V109">
        <f t="shared" si="103"/>
        <v>344.41941180885311</v>
      </c>
      <c r="W109">
        <f t="shared" si="104"/>
        <v>30.881462042566607</v>
      </c>
      <c r="X109">
        <f t="shared" si="105"/>
        <v>29.930700000000002</v>
      </c>
      <c r="Y109">
        <f t="shared" si="106"/>
        <v>4.2435202890033965</v>
      </c>
      <c r="Z109">
        <f t="shared" si="107"/>
        <v>65.058471865662995</v>
      </c>
      <c r="AA109">
        <f t="shared" si="108"/>
        <v>2.8243861957989003</v>
      </c>
      <c r="AB109">
        <f t="shared" si="109"/>
        <v>4.3413042372573374</v>
      </c>
      <c r="AC109">
        <f t="shared" si="110"/>
        <v>1.4191340932044962</v>
      </c>
      <c r="AD109">
        <f t="shared" si="111"/>
        <v>-250.72730425190113</v>
      </c>
      <c r="AE109">
        <f t="shared" si="112"/>
        <v>62.394773767025491</v>
      </c>
      <c r="AF109">
        <f t="shared" si="113"/>
        <v>4.7650851336156199</v>
      </c>
      <c r="AG109">
        <f t="shared" si="114"/>
        <v>160.85196645759311</v>
      </c>
      <c r="AH109">
        <v>0</v>
      </c>
      <c r="AI109">
        <v>0</v>
      </c>
      <c r="AJ109">
        <f t="shared" si="115"/>
        <v>1</v>
      </c>
      <c r="AK109">
        <f t="shared" si="116"/>
        <v>0</v>
      </c>
      <c r="AL109">
        <f t="shared" si="117"/>
        <v>51877.558445032315</v>
      </c>
      <c r="AM109" t="s">
        <v>417</v>
      </c>
      <c r="AN109">
        <v>10366.9</v>
      </c>
      <c r="AO109">
        <v>993.59653846153856</v>
      </c>
      <c r="AP109">
        <v>3431.87</v>
      </c>
      <c r="AQ109">
        <f t="shared" si="118"/>
        <v>0.71047955241266758</v>
      </c>
      <c r="AR109">
        <v>-3.9894345373445681</v>
      </c>
      <c r="AS109" t="s">
        <v>890</v>
      </c>
      <c r="AT109">
        <v>10451.5</v>
      </c>
      <c r="AU109">
        <v>761.78511538461544</v>
      </c>
      <c r="AV109">
        <v>1089.814819649238</v>
      </c>
      <c r="AW109">
        <f t="shared" si="119"/>
        <v>0.30099581906052664</v>
      </c>
      <c r="AX109">
        <v>0.5</v>
      </c>
      <c r="AY109">
        <f t="shared" si="120"/>
        <v>1513.4034059044266</v>
      </c>
      <c r="AZ109">
        <f t="shared" si="121"/>
        <v>43.627665508714287</v>
      </c>
      <c r="BA109">
        <f t="shared" si="122"/>
        <v>227.76404886459676</v>
      </c>
      <c r="BB109">
        <f t="shared" si="123"/>
        <v>3.1463587210313136E-2</v>
      </c>
      <c r="BC109">
        <f t="shared" si="124"/>
        <v>2.1490395782143645</v>
      </c>
      <c r="BD109">
        <f t="shared" si="125"/>
        <v>612.50284298471524</v>
      </c>
      <c r="BE109" t="s">
        <v>891</v>
      </c>
      <c r="BF109">
        <v>608.76</v>
      </c>
      <c r="BG109">
        <f t="shared" si="126"/>
        <v>608.76</v>
      </c>
      <c r="BH109">
        <f t="shared" si="127"/>
        <v>0.44140968811937031</v>
      </c>
      <c r="BI109">
        <f t="shared" si="128"/>
        <v>0.68189672125893264</v>
      </c>
      <c r="BJ109">
        <f t="shared" si="129"/>
        <v>0.82960110670528675</v>
      </c>
      <c r="BK109">
        <f t="shared" si="130"/>
        <v>3.4092243201134838</v>
      </c>
      <c r="BL109">
        <f t="shared" si="131"/>
        <v>0.96053835523149667</v>
      </c>
      <c r="BM109">
        <f t="shared" si="132"/>
        <v>0.54491934753018034</v>
      </c>
      <c r="BN109">
        <f t="shared" si="133"/>
        <v>0.45508065246981966</v>
      </c>
      <c r="BO109">
        <v>7928</v>
      </c>
      <c r="BP109">
        <v>290.00000000000011</v>
      </c>
      <c r="BQ109">
        <v>996.05</v>
      </c>
      <c r="BR109">
        <v>225</v>
      </c>
      <c r="BS109">
        <v>10451.5</v>
      </c>
      <c r="BT109">
        <v>994.28</v>
      </c>
      <c r="BU109">
        <v>1.77</v>
      </c>
      <c r="BV109">
        <v>300.00000000000011</v>
      </c>
      <c r="BW109">
        <v>38.200000000000003</v>
      </c>
      <c r="BX109">
        <v>1089.814819649238</v>
      </c>
      <c r="BY109">
        <v>1.192456222982607</v>
      </c>
      <c r="BZ109">
        <v>-99.849412062875146</v>
      </c>
      <c r="CA109">
        <v>1.0209487457282751</v>
      </c>
      <c r="CB109">
        <v>0.99708119278056118</v>
      </c>
      <c r="CC109">
        <v>-1.135675595105674E-2</v>
      </c>
      <c r="CD109">
        <v>289.99999999999989</v>
      </c>
      <c r="CE109">
        <v>983.02</v>
      </c>
      <c r="CF109">
        <v>675</v>
      </c>
      <c r="CG109">
        <v>10435.4</v>
      </c>
      <c r="CH109">
        <v>994.13</v>
      </c>
      <c r="CI109">
        <v>-11.11</v>
      </c>
      <c r="CW109">
        <f t="shared" si="134"/>
        <v>1800.26</v>
      </c>
      <c r="CX109">
        <f t="shared" si="135"/>
        <v>1513.4034059044266</v>
      </c>
      <c r="CY109">
        <f t="shared" si="136"/>
        <v>0.84065824153423763</v>
      </c>
      <c r="CZ109">
        <f t="shared" si="137"/>
        <v>0.19131648306847518</v>
      </c>
      <c r="DA109">
        <v>6</v>
      </c>
      <c r="DB109">
        <v>0.5</v>
      </c>
      <c r="DC109" t="s">
        <v>420</v>
      </c>
      <c r="DD109">
        <v>2</v>
      </c>
      <c r="DE109">
        <v>1693517096.0999999</v>
      </c>
      <c r="DF109">
        <v>345.32799999999997</v>
      </c>
      <c r="DG109">
        <v>399.995</v>
      </c>
      <c r="DH109">
        <v>28.361699999999999</v>
      </c>
      <c r="DI109">
        <v>21.7378</v>
      </c>
      <c r="DJ109">
        <v>347.45600000000002</v>
      </c>
      <c r="DK109">
        <v>28.209800000000001</v>
      </c>
      <c r="DL109">
        <v>500.38600000000002</v>
      </c>
      <c r="DM109">
        <v>99.484200000000001</v>
      </c>
      <c r="DN109">
        <v>0.100317</v>
      </c>
      <c r="DO109">
        <v>30.3277</v>
      </c>
      <c r="DP109">
        <v>29.930700000000002</v>
      </c>
      <c r="DQ109">
        <v>999.9</v>
      </c>
      <c r="DR109">
        <v>0</v>
      </c>
      <c r="DS109">
        <v>0</v>
      </c>
      <c r="DT109">
        <v>9970</v>
      </c>
      <c r="DU109">
        <v>0</v>
      </c>
      <c r="DV109">
        <v>1027.71</v>
      </c>
      <c r="DW109">
        <v>-54.666800000000002</v>
      </c>
      <c r="DX109">
        <v>355.40800000000002</v>
      </c>
      <c r="DY109">
        <v>408.88400000000001</v>
      </c>
      <c r="DZ109">
        <v>6.62385</v>
      </c>
      <c r="EA109">
        <v>399.995</v>
      </c>
      <c r="EB109">
        <v>21.7378</v>
      </c>
      <c r="EC109">
        <v>2.8215400000000002</v>
      </c>
      <c r="ED109">
        <v>2.1625700000000001</v>
      </c>
      <c r="EE109">
        <v>23.0106</v>
      </c>
      <c r="EF109">
        <v>18.6877</v>
      </c>
      <c r="EG109">
        <v>1800.26</v>
      </c>
      <c r="EH109">
        <v>0.97799499999999995</v>
      </c>
      <c r="EI109">
        <v>2.2004800000000001E-2</v>
      </c>
      <c r="EJ109">
        <v>0</v>
      </c>
      <c r="EK109">
        <v>762.56399999999996</v>
      </c>
      <c r="EL109">
        <v>5.0010300000000001</v>
      </c>
      <c r="EM109">
        <v>14627.9</v>
      </c>
      <c r="EN109">
        <v>14703.2</v>
      </c>
      <c r="EO109">
        <v>46.811999999999998</v>
      </c>
      <c r="EP109">
        <v>48.186999999999998</v>
      </c>
      <c r="EQ109">
        <v>47.811999999999998</v>
      </c>
      <c r="ER109">
        <v>48.186999999999998</v>
      </c>
      <c r="ES109">
        <v>48.561999999999998</v>
      </c>
      <c r="ET109">
        <v>1755.75</v>
      </c>
      <c r="EU109">
        <v>39.5</v>
      </c>
      <c r="EV109">
        <v>0</v>
      </c>
      <c r="EW109">
        <v>180.60000014305109</v>
      </c>
      <c r="EX109">
        <v>0</v>
      </c>
      <c r="EY109">
        <v>761.78511538461544</v>
      </c>
      <c r="EZ109">
        <v>5.1106666724183709</v>
      </c>
      <c r="FA109">
        <v>107.446154136434</v>
      </c>
      <c r="FB109">
        <v>14610.25384615385</v>
      </c>
      <c r="FC109">
        <v>15</v>
      </c>
      <c r="FD109">
        <v>1693516979.0999999</v>
      </c>
      <c r="FE109" t="s">
        <v>892</v>
      </c>
      <c r="FF109">
        <v>1693516974.5999999</v>
      </c>
      <c r="FG109">
        <v>1693516979.0999999</v>
      </c>
      <c r="FH109">
        <v>102</v>
      </c>
      <c r="FI109">
        <v>-6.7000000000000004E-2</v>
      </c>
      <c r="FJ109">
        <v>-3.0000000000000001E-3</v>
      </c>
      <c r="FK109">
        <v>-2.0819999999999999</v>
      </c>
      <c r="FL109">
        <v>-5.0000000000000001E-3</v>
      </c>
      <c r="FM109">
        <v>400</v>
      </c>
      <c r="FN109">
        <v>22</v>
      </c>
      <c r="FO109">
        <v>0.13</v>
      </c>
      <c r="FP109">
        <v>0.05</v>
      </c>
      <c r="FQ109">
        <v>43.528907788607391</v>
      </c>
      <c r="FR109">
        <v>0.6864680475687569</v>
      </c>
      <c r="FS109">
        <v>7.7799695493980831E-2</v>
      </c>
      <c r="FT109">
        <v>1</v>
      </c>
      <c r="FU109">
        <v>0.4182071871898439</v>
      </c>
      <c r="FV109">
        <v>5.2620541966224479E-3</v>
      </c>
      <c r="FW109">
        <v>7.9811595969411309E-4</v>
      </c>
      <c r="FX109">
        <v>1</v>
      </c>
      <c r="FY109">
        <v>2</v>
      </c>
      <c r="FZ109">
        <v>2</v>
      </c>
      <c r="GA109" t="s">
        <v>422</v>
      </c>
      <c r="GB109">
        <v>2.8947699999999998</v>
      </c>
      <c r="GC109">
        <v>2.8180700000000001</v>
      </c>
      <c r="GD109">
        <v>8.0733799999999994E-2</v>
      </c>
      <c r="GE109">
        <v>9.0110700000000002E-2</v>
      </c>
      <c r="GF109">
        <v>0.133294</v>
      </c>
      <c r="GG109">
        <v>0.110551</v>
      </c>
      <c r="GH109">
        <v>25355.8</v>
      </c>
      <c r="GI109">
        <v>25262</v>
      </c>
      <c r="GJ109">
        <v>24479.200000000001</v>
      </c>
      <c r="GK109">
        <v>24806.3</v>
      </c>
      <c r="GL109">
        <v>28189.7</v>
      </c>
      <c r="GM109">
        <v>28807</v>
      </c>
      <c r="GN109">
        <v>33096.400000000001</v>
      </c>
      <c r="GO109">
        <v>33071.300000000003</v>
      </c>
      <c r="GP109">
        <v>1.9253</v>
      </c>
      <c r="GQ109">
        <v>1.7962</v>
      </c>
      <c r="GR109">
        <v>3.8370500000000002E-2</v>
      </c>
      <c r="GS109">
        <v>0</v>
      </c>
      <c r="GT109">
        <v>29.305900000000001</v>
      </c>
      <c r="GU109">
        <v>999.9</v>
      </c>
      <c r="GV109">
        <v>39.700000000000003</v>
      </c>
      <c r="GW109">
        <v>37.799999999999997</v>
      </c>
      <c r="GX109">
        <v>26.279</v>
      </c>
      <c r="GY109">
        <v>63.141300000000001</v>
      </c>
      <c r="GZ109">
        <v>25.168299999999999</v>
      </c>
      <c r="HA109">
        <v>1</v>
      </c>
      <c r="HB109">
        <v>0.73253100000000004</v>
      </c>
      <c r="HC109">
        <v>2.4854500000000002</v>
      </c>
      <c r="HD109">
        <v>20.148700000000002</v>
      </c>
      <c r="HE109">
        <v>5.2292699999999996</v>
      </c>
      <c r="HF109">
        <v>11.9261</v>
      </c>
      <c r="HG109">
        <v>4.9596</v>
      </c>
      <c r="HH109">
        <v>3.2890000000000001</v>
      </c>
      <c r="HI109">
        <v>9999</v>
      </c>
      <c r="HJ109">
        <v>9999</v>
      </c>
      <c r="HK109">
        <v>9999</v>
      </c>
      <c r="HL109">
        <v>897.4</v>
      </c>
      <c r="HM109">
        <v>1.8808100000000001</v>
      </c>
      <c r="HN109">
        <v>1.8779300000000001</v>
      </c>
      <c r="HO109">
        <v>1.8858299999999999</v>
      </c>
      <c r="HP109">
        <v>1.8836999999999999</v>
      </c>
      <c r="HQ109">
        <v>1.8811599999999999</v>
      </c>
      <c r="HR109">
        <v>1.88025</v>
      </c>
      <c r="HS109">
        <v>1.8813500000000001</v>
      </c>
      <c r="HT109">
        <v>1.8808</v>
      </c>
      <c r="HU109">
        <v>5</v>
      </c>
      <c r="HV109">
        <v>0</v>
      </c>
      <c r="HW109">
        <v>0</v>
      </c>
      <c r="HX109">
        <v>0</v>
      </c>
      <c r="HY109" t="s">
        <v>423</v>
      </c>
      <c r="HZ109" t="s">
        <v>424</v>
      </c>
      <c r="IA109" t="s">
        <v>425</v>
      </c>
      <c r="IB109" t="s">
        <v>425</v>
      </c>
      <c r="IC109" t="s">
        <v>425</v>
      </c>
      <c r="ID109" t="s">
        <v>425</v>
      </c>
      <c r="IE109">
        <v>0</v>
      </c>
      <c r="IF109">
        <v>100</v>
      </c>
      <c r="IG109">
        <v>100</v>
      </c>
      <c r="IH109">
        <v>-2.1280000000000001</v>
      </c>
      <c r="II109">
        <v>0.15190000000000001</v>
      </c>
      <c r="IJ109">
        <v>-2.652529711219179</v>
      </c>
      <c r="IK109">
        <v>2.2153513873161218E-3</v>
      </c>
      <c r="IL109">
        <v>-2.2967369670569612E-6</v>
      </c>
      <c r="IM109">
        <v>7.7859689150384122E-10</v>
      </c>
      <c r="IN109">
        <v>-0.23212509350950189</v>
      </c>
      <c r="IO109">
        <v>-4.1434251034592161E-3</v>
      </c>
      <c r="IP109">
        <v>8.3987709687394815E-4</v>
      </c>
      <c r="IQ109">
        <v>-7.4586254598011197E-6</v>
      </c>
      <c r="IR109">
        <v>2</v>
      </c>
      <c r="IS109">
        <v>1930</v>
      </c>
      <c r="IT109">
        <v>2</v>
      </c>
      <c r="IU109">
        <v>41</v>
      </c>
      <c r="IV109">
        <v>2</v>
      </c>
      <c r="IW109">
        <v>1.9</v>
      </c>
      <c r="IX109">
        <v>1.00464</v>
      </c>
      <c r="IY109">
        <v>2.5305200000000001</v>
      </c>
      <c r="IZ109">
        <v>1.24512</v>
      </c>
      <c r="JA109">
        <v>2.2546400000000002</v>
      </c>
      <c r="JB109">
        <v>1.4501999999999999</v>
      </c>
      <c r="JC109">
        <v>2.2692899999999998</v>
      </c>
      <c r="JD109">
        <v>39.4666</v>
      </c>
      <c r="JE109">
        <v>24.035</v>
      </c>
      <c r="JF109">
        <v>18</v>
      </c>
      <c r="JG109">
        <v>497.4</v>
      </c>
      <c r="JH109">
        <v>458.36099999999999</v>
      </c>
      <c r="JI109">
        <v>26.361699999999999</v>
      </c>
      <c r="JJ109">
        <v>36.072800000000001</v>
      </c>
      <c r="JK109">
        <v>30.0001</v>
      </c>
      <c r="JL109">
        <v>35.962800000000001</v>
      </c>
      <c r="JM109">
        <v>35.896700000000003</v>
      </c>
      <c r="JN109">
        <v>20.226700000000001</v>
      </c>
      <c r="JO109">
        <v>17.437899999999999</v>
      </c>
      <c r="JP109">
        <v>38.011200000000002</v>
      </c>
      <c r="JQ109">
        <v>26.409099999999999</v>
      </c>
      <c r="JR109">
        <v>400</v>
      </c>
      <c r="JS109">
        <v>21.7895</v>
      </c>
      <c r="JT109">
        <v>98.789699999999996</v>
      </c>
      <c r="JU109">
        <v>98.780299999999997</v>
      </c>
    </row>
    <row r="110" spans="1:281" x14ac:dyDescent="0.25">
      <c r="A110">
        <v>94</v>
      </c>
      <c r="B110">
        <v>1693517195.5999999</v>
      </c>
      <c r="C110">
        <v>21546</v>
      </c>
      <c r="D110" t="s">
        <v>893</v>
      </c>
      <c r="E110" t="s">
        <v>894</v>
      </c>
      <c r="F110" t="s">
        <v>413</v>
      </c>
      <c r="G110" t="s">
        <v>565</v>
      </c>
      <c r="H110" t="s">
        <v>415</v>
      </c>
      <c r="I110" t="s">
        <v>415</v>
      </c>
      <c r="J110">
        <v>1693517195.5999999</v>
      </c>
      <c r="K110">
        <f t="shared" si="92"/>
        <v>5.6061749639130052E-3</v>
      </c>
      <c r="L110">
        <f t="shared" si="93"/>
        <v>5.6061749639130056</v>
      </c>
      <c r="M110">
        <f t="shared" si="94"/>
        <v>46.450681988699699</v>
      </c>
      <c r="N110">
        <f t="shared" si="95"/>
        <v>441.28699999999998</v>
      </c>
      <c r="O110">
        <f t="shared" si="96"/>
        <v>239.01020579019254</v>
      </c>
      <c r="P110">
        <f t="shared" si="97"/>
        <v>23.801036013255537</v>
      </c>
      <c r="Q110">
        <f t="shared" si="98"/>
        <v>43.9440974683788</v>
      </c>
      <c r="R110">
        <f t="shared" si="99"/>
        <v>0.40772092179933539</v>
      </c>
      <c r="S110">
        <f t="shared" si="100"/>
        <v>2.9274460398929811</v>
      </c>
      <c r="T110">
        <f t="shared" si="101"/>
        <v>0.37859762798423147</v>
      </c>
      <c r="U110">
        <f t="shared" si="102"/>
        <v>0.23906654621044784</v>
      </c>
      <c r="V110">
        <f t="shared" si="103"/>
        <v>344.37009864487163</v>
      </c>
      <c r="W110">
        <f t="shared" si="104"/>
        <v>31.010256321771205</v>
      </c>
      <c r="X110">
        <f t="shared" si="105"/>
        <v>30.037600000000001</v>
      </c>
      <c r="Y110">
        <f t="shared" si="106"/>
        <v>4.2696597858906467</v>
      </c>
      <c r="Z110">
        <f t="shared" si="107"/>
        <v>65.182657891275767</v>
      </c>
      <c r="AA110">
        <f t="shared" si="108"/>
        <v>2.8477769182917601</v>
      </c>
      <c r="AB110">
        <f t="shared" si="109"/>
        <v>4.3689180687320741</v>
      </c>
      <c r="AC110">
        <f t="shared" si="110"/>
        <v>1.4218828675988866</v>
      </c>
      <c r="AD110">
        <f t="shared" si="111"/>
        <v>-247.23231590856352</v>
      </c>
      <c r="AE110">
        <f t="shared" si="112"/>
        <v>63.256047937806372</v>
      </c>
      <c r="AF110">
        <f t="shared" si="113"/>
        <v>4.8158774237548281</v>
      </c>
      <c r="AG110">
        <f t="shared" si="114"/>
        <v>165.20970809786934</v>
      </c>
      <c r="AH110">
        <v>0</v>
      </c>
      <c r="AI110">
        <v>0</v>
      </c>
      <c r="AJ110">
        <f t="shared" si="115"/>
        <v>1</v>
      </c>
      <c r="AK110">
        <f t="shared" si="116"/>
        <v>0</v>
      </c>
      <c r="AL110">
        <f t="shared" si="117"/>
        <v>52206.710469484911</v>
      </c>
      <c r="AM110" t="s">
        <v>417</v>
      </c>
      <c r="AN110">
        <v>10366.9</v>
      </c>
      <c r="AO110">
        <v>993.59653846153856</v>
      </c>
      <c r="AP110">
        <v>3431.87</v>
      </c>
      <c r="AQ110">
        <f t="shared" si="118"/>
        <v>0.71047955241266758</v>
      </c>
      <c r="AR110">
        <v>-3.9894345373445681</v>
      </c>
      <c r="AS110" t="s">
        <v>895</v>
      </c>
      <c r="AT110">
        <v>10458.9</v>
      </c>
      <c r="AU110">
        <v>774.29511999999988</v>
      </c>
      <c r="AV110">
        <v>1137.478989200423</v>
      </c>
      <c r="AW110">
        <f t="shared" si="119"/>
        <v>0.3192884199608107</v>
      </c>
      <c r="AX110">
        <v>0.5</v>
      </c>
      <c r="AY110">
        <f t="shared" si="120"/>
        <v>1513.1924993224357</v>
      </c>
      <c r="AZ110">
        <f t="shared" si="121"/>
        <v>46.450681988699699</v>
      </c>
      <c r="BA110">
        <f t="shared" si="122"/>
        <v>241.57242110260529</v>
      </c>
      <c r="BB110">
        <f t="shared" si="123"/>
        <v>3.3333575568627198E-2</v>
      </c>
      <c r="BC110">
        <f t="shared" si="124"/>
        <v>2.0170843000910206</v>
      </c>
      <c r="BD110">
        <f t="shared" si="125"/>
        <v>627.27563089644229</v>
      </c>
      <c r="BE110" t="s">
        <v>896</v>
      </c>
      <c r="BF110">
        <v>612.35</v>
      </c>
      <c r="BG110">
        <f t="shared" si="126"/>
        <v>612.35</v>
      </c>
      <c r="BH110">
        <f t="shared" si="127"/>
        <v>0.46166038598177184</v>
      </c>
      <c r="BI110">
        <f t="shared" si="128"/>
        <v>0.69160887452322461</v>
      </c>
      <c r="BJ110">
        <f t="shared" si="129"/>
        <v>0.81375234465425927</v>
      </c>
      <c r="BK110">
        <f t="shared" si="130"/>
        <v>2.5241707194682368</v>
      </c>
      <c r="BL110">
        <f t="shared" si="131"/>
        <v>0.94099002716122748</v>
      </c>
      <c r="BM110">
        <f t="shared" si="132"/>
        <v>0.54695772112614716</v>
      </c>
      <c r="BN110">
        <f t="shared" si="133"/>
        <v>0.45304227887385284</v>
      </c>
      <c r="BO110">
        <v>7930</v>
      </c>
      <c r="BP110">
        <v>290.00000000000011</v>
      </c>
      <c r="BQ110">
        <v>1032.1500000000001</v>
      </c>
      <c r="BR110">
        <v>175</v>
      </c>
      <c r="BS110">
        <v>10458.9</v>
      </c>
      <c r="BT110">
        <v>1030.8499999999999</v>
      </c>
      <c r="BU110">
        <v>1.3</v>
      </c>
      <c r="BV110">
        <v>300.00000000000011</v>
      </c>
      <c r="BW110">
        <v>38.200000000000003</v>
      </c>
      <c r="BX110">
        <v>1137.478989200423</v>
      </c>
      <c r="BY110">
        <v>1.3524815668137029</v>
      </c>
      <c r="BZ110">
        <v>-111.52322900892609</v>
      </c>
      <c r="CA110">
        <v>1.1580262681626341</v>
      </c>
      <c r="CB110">
        <v>0.99699007953904817</v>
      </c>
      <c r="CC110">
        <v>-1.135767497219132E-2</v>
      </c>
      <c r="CD110">
        <v>289.99999999999989</v>
      </c>
      <c r="CE110">
        <v>1018.23</v>
      </c>
      <c r="CF110">
        <v>655</v>
      </c>
      <c r="CG110">
        <v>10437.700000000001</v>
      </c>
      <c r="CH110">
        <v>1030.6300000000001</v>
      </c>
      <c r="CI110">
        <v>-12.4</v>
      </c>
      <c r="CW110">
        <f t="shared" si="134"/>
        <v>1800.01</v>
      </c>
      <c r="CX110">
        <f t="shared" si="135"/>
        <v>1513.1924993224357</v>
      </c>
      <c r="CY110">
        <f t="shared" si="136"/>
        <v>0.84065782930230148</v>
      </c>
      <c r="CZ110">
        <f t="shared" si="137"/>
        <v>0.19131565860460312</v>
      </c>
      <c r="DA110">
        <v>6</v>
      </c>
      <c r="DB110">
        <v>0.5</v>
      </c>
      <c r="DC110" t="s">
        <v>420</v>
      </c>
      <c r="DD110">
        <v>2</v>
      </c>
      <c r="DE110">
        <v>1693517195.5999999</v>
      </c>
      <c r="DF110">
        <v>441.28699999999998</v>
      </c>
      <c r="DG110">
        <v>499.95499999999998</v>
      </c>
      <c r="DH110">
        <v>28.5974</v>
      </c>
      <c r="DI110">
        <v>22.067</v>
      </c>
      <c r="DJ110">
        <v>443.61</v>
      </c>
      <c r="DK110">
        <v>28.439499999999999</v>
      </c>
      <c r="DL110">
        <v>500.35399999999998</v>
      </c>
      <c r="DM110">
        <v>99.482200000000006</v>
      </c>
      <c r="DN110">
        <v>9.9472400000000002E-2</v>
      </c>
      <c r="DO110">
        <v>30.438400000000001</v>
      </c>
      <c r="DP110">
        <v>30.037600000000001</v>
      </c>
      <c r="DQ110">
        <v>999.9</v>
      </c>
      <c r="DR110">
        <v>0</v>
      </c>
      <c r="DS110">
        <v>0</v>
      </c>
      <c r="DT110">
        <v>10040</v>
      </c>
      <c r="DU110">
        <v>0</v>
      </c>
      <c r="DV110">
        <v>1019.2</v>
      </c>
      <c r="DW110">
        <v>-58.6678</v>
      </c>
      <c r="DX110">
        <v>454.279</v>
      </c>
      <c r="DY110">
        <v>511.23700000000002</v>
      </c>
      <c r="DZ110">
        <v>6.5303800000000001</v>
      </c>
      <c r="EA110">
        <v>499.95499999999998</v>
      </c>
      <c r="EB110">
        <v>22.067</v>
      </c>
      <c r="EC110">
        <v>2.8449300000000002</v>
      </c>
      <c r="ED110">
        <v>2.1952799999999999</v>
      </c>
      <c r="EE110">
        <v>23.147099999999998</v>
      </c>
      <c r="EF110">
        <v>18.927900000000001</v>
      </c>
      <c r="EG110">
        <v>1800.01</v>
      </c>
      <c r="EH110">
        <v>0.97801099999999996</v>
      </c>
      <c r="EI110">
        <v>2.19892E-2</v>
      </c>
      <c r="EJ110">
        <v>0</v>
      </c>
      <c r="EK110">
        <v>774.45799999999997</v>
      </c>
      <c r="EL110">
        <v>5.0010300000000001</v>
      </c>
      <c r="EM110">
        <v>14870.7</v>
      </c>
      <c r="EN110">
        <v>14701.2</v>
      </c>
      <c r="EO110">
        <v>46.75</v>
      </c>
      <c r="EP110">
        <v>48.061999999999998</v>
      </c>
      <c r="EQ110">
        <v>47.811999999999998</v>
      </c>
      <c r="ER110">
        <v>48.061999999999998</v>
      </c>
      <c r="ES110">
        <v>48.436999999999998</v>
      </c>
      <c r="ET110">
        <v>1755.54</v>
      </c>
      <c r="EU110">
        <v>39.47</v>
      </c>
      <c r="EV110">
        <v>0</v>
      </c>
      <c r="EW110">
        <v>97.400000095367432</v>
      </c>
      <c r="EX110">
        <v>0</v>
      </c>
      <c r="EY110">
        <v>774.29511999999988</v>
      </c>
      <c r="EZ110">
        <v>1.546461536842805</v>
      </c>
      <c r="FA110">
        <v>47.246153792145527</v>
      </c>
      <c r="FB110">
        <v>14865.572</v>
      </c>
      <c r="FC110">
        <v>15</v>
      </c>
      <c r="FD110">
        <v>1693517164.5999999</v>
      </c>
      <c r="FE110" t="s">
        <v>897</v>
      </c>
      <c r="FF110">
        <v>1693517157.5999999</v>
      </c>
      <c r="FG110">
        <v>1693517164.5999999</v>
      </c>
      <c r="FH110">
        <v>103</v>
      </c>
      <c r="FI110">
        <v>-0.26900000000000002</v>
      </c>
      <c r="FJ110">
        <v>0</v>
      </c>
      <c r="FK110">
        <v>-2.2890000000000001</v>
      </c>
      <c r="FL110">
        <v>-3.0000000000000001E-3</v>
      </c>
      <c r="FM110">
        <v>500</v>
      </c>
      <c r="FN110">
        <v>22</v>
      </c>
      <c r="FO110">
        <v>0.11</v>
      </c>
      <c r="FP110">
        <v>0.03</v>
      </c>
      <c r="FQ110">
        <v>46.481827177221248</v>
      </c>
      <c r="FR110">
        <v>-7.7333004113829984E-2</v>
      </c>
      <c r="FS110">
        <v>8.1647097570037061E-2</v>
      </c>
      <c r="FT110">
        <v>1</v>
      </c>
      <c r="FU110">
        <v>0.4127199198022799</v>
      </c>
      <c r="FV110">
        <v>-1.6487768408055391E-2</v>
      </c>
      <c r="FW110">
        <v>2.1696245233834319E-3</v>
      </c>
      <c r="FX110">
        <v>1</v>
      </c>
      <c r="FY110">
        <v>2</v>
      </c>
      <c r="FZ110">
        <v>2</v>
      </c>
      <c r="GA110" t="s">
        <v>422</v>
      </c>
      <c r="GB110">
        <v>2.8946200000000002</v>
      </c>
      <c r="GC110">
        <v>2.8178299999999998</v>
      </c>
      <c r="GD110">
        <v>9.7485000000000002E-2</v>
      </c>
      <c r="GE110">
        <v>0.106503</v>
      </c>
      <c r="GF110">
        <v>0.134018</v>
      </c>
      <c r="GG110">
        <v>0.111695</v>
      </c>
      <c r="GH110">
        <v>24892.400000000001</v>
      </c>
      <c r="GI110">
        <v>24804.1</v>
      </c>
      <c r="GJ110">
        <v>24477.7</v>
      </c>
      <c r="GK110">
        <v>24803.5</v>
      </c>
      <c r="GL110">
        <v>28165.599999999999</v>
      </c>
      <c r="GM110">
        <v>28765.9</v>
      </c>
      <c r="GN110">
        <v>33095.5</v>
      </c>
      <c r="GO110">
        <v>33066.400000000001</v>
      </c>
      <c r="GP110">
        <v>1.9240999999999999</v>
      </c>
      <c r="GQ110">
        <v>1.7975000000000001</v>
      </c>
      <c r="GR110">
        <v>4.6223399999999998E-2</v>
      </c>
      <c r="GS110">
        <v>0</v>
      </c>
      <c r="GT110">
        <v>29.285</v>
      </c>
      <c r="GU110">
        <v>999.9</v>
      </c>
      <c r="GV110">
        <v>40</v>
      </c>
      <c r="GW110">
        <v>37.6</v>
      </c>
      <c r="GX110">
        <v>26.193000000000001</v>
      </c>
      <c r="GY110">
        <v>63.051299999999998</v>
      </c>
      <c r="GZ110">
        <v>24.447099999999999</v>
      </c>
      <c r="HA110">
        <v>1</v>
      </c>
      <c r="HB110">
        <v>0.739228</v>
      </c>
      <c r="HC110">
        <v>3.15435</v>
      </c>
      <c r="HD110">
        <v>20.138300000000001</v>
      </c>
      <c r="HE110">
        <v>5.2346599999999999</v>
      </c>
      <c r="HF110">
        <v>11.9255</v>
      </c>
      <c r="HG110">
        <v>4.9596</v>
      </c>
      <c r="HH110">
        <v>3.2890000000000001</v>
      </c>
      <c r="HI110">
        <v>9999</v>
      </c>
      <c r="HJ110">
        <v>9999</v>
      </c>
      <c r="HK110">
        <v>9999</v>
      </c>
      <c r="HL110">
        <v>897.4</v>
      </c>
      <c r="HM110">
        <v>1.8808</v>
      </c>
      <c r="HN110">
        <v>1.8778999999999999</v>
      </c>
      <c r="HO110">
        <v>1.8858299999999999</v>
      </c>
      <c r="HP110">
        <v>1.8836999999999999</v>
      </c>
      <c r="HQ110">
        <v>1.8811199999999999</v>
      </c>
      <c r="HR110">
        <v>1.8802300000000001</v>
      </c>
      <c r="HS110">
        <v>1.8813899999999999</v>
      </c>
      <c r="HT110">
        <v>1.8808</v>
      </c>
      <c r="HU110">
        <v>5</v>
      </c>
      <c r="HV110">
        <v>0</v>
      </c>
      <c r="HW110">
        <v>0</v>
      </c>
      <c r="HX110">
        <v>0</v>
      </c>
      <c r="HY110" t="s">
        <v>423</v>
      </c>
      <c r="HZ110" t="s">
        <v>424</v>
      </c>
      <c r="IA110" t="s">
        <v>425</v>
      </c>
      <c r="IB110" t="s">
        <v>425</v>
      </c>
      <c r="IC110" t="s">
        <v>425</v>
      </c>
      <c r="ID110" t="s">
        <v>425</v>
      </c>
      <c r="IE110">
        <v>0</v>
      </c>
      <c r="IF110">
        <v>100</v>
      </c>
      <c r="IG110">
        <v>100</v>
      </c>
      <c r="IH110">
        <v>-2.323</v>
      </c>
      <c r="II110">
        <v>0.15790000000000001</v>
      </c>
      <c r="IJ110">
        <v>-2.9210360031207339</v>
      </c>
      <c r="IK110">
        <v>2.2153513873161218E-3</v>
      </c>
      <c r="IL110">
        <v>-2.2967369670569612E-6</v>
      </c>
      <c r="IM110">
        <v>7.7859689150384122E-10</v>
      </c>
      <c r="IN110">
        <v>-0.23201260373095239</v>
      </c>
      <c r="IO110">
        <v>-4.1434251034592161E-3</v>
      </c>
      <c r="IP110">
        <v>8.3987709687394815E-4</v>
      </c>
      <c r="IQ110">
        <v>-7.4586254598011197E-6</v>
      </c>
      <c r="IR110">
        <v>2</v>
      </c>
      <c r="IS110">
        <v>1930</v>
      </c>
      <c r="IT110">
        <v>2</v>
      </c>
      <c r="IU110">
        <v>41</v>
      </c>
      <c r="IV110">
        <v>0.6</v>
      </c>
      <c r="IW110">
        <v>0.5</v>
      </c>
      <c r="IX110">
        <v>1.1999500000000001</v>
      </c>
      <c r="IY110">
        <v>2.51709</v>
      </c>
      <c r="IZ110">
        <v>1.24512</v>
      </c>
      <c r="JA110">
        <v>2.2546400000000002</v>
      </c>
      <c r="JB110">
        <v>1.4501999999999999</v>
      </c>
      <c r="JC110">
        <v>2.4206500000000002</v>
      </c>
      <c r="JD110">
        <v>39.341799999999999</v>
      </c>
      <c r="JE110">
        <v>24.035</v>
      </c>
      <c r="JF110">
        <v>18</v>
      </c>
      <c r="JG110">
        <v>496.97300000000001</v>
      </c>
      <c r="JH110">
        <v>459.65</v>
      </c>
      <c r="JI110">
        <v>26.147500000000001</v>
      </c>
      <c r="JJ110">
        <v>36.1096</v>
      </c>
      <c r="JK110">
        <v>30.000900000000001</v>
      </c>
      <c r="JL110">
        <v>36.014400000000002</v>
      </c>
      <c r="JM110">
        <v>35.946800000000003</v>
      </c>
      <c r="JN110">
        <v>24.1401</v>
      </c>
      <c r="JO110">
        <v>16.7498</v>
      </c>
      <c r="JP110">
        <v>38.783200000000001</v>
      </c>
      <c r="JQ110">
        <v>26.1341</v>
      </c>
      <c r="JR110">
        <v>500</v>
      </c>
      <c r="JS110">
        <v>22.056699999999999</v>
      </c>
      <c r="JT110">
        <v>98.785600000000002</v>
      </c>
      <c r="JU110">
        <v>98.767200000000003</v>
      </c>
    </row>
    <row r="111" spans="1:281" x14ac:dyDescent="0.25">
      <c r="A111">
        <v>95</v>
      </c>
      <c r="B111">
        <v>1693517315.0999999</v>
      </c>
      <c r="C111">
        <v>21665.5</v>
      </c>
      <c r="D111" t="s">
        <v>898</v>
      </c>
      <c r="E111" t="s">
        <v>899</v>
      </c>
      <c r="F111" t="s">
        <v>413</v>
      </c>
      <c r="G111" t="s">
        <v>565</v>
      </c>
      <c r="H111" t="s">
        <v>415</v>
      </c>
      <c r="I111" t="s">
        <v>415</v>
      </c>
      <c r="J111">
        <v>1693517315.0999999</v>
      </c>
      <c r="K111">
        <f t="shared" si="92"/>
        <v>5.4003374441558708E-3</v>
      </c>
      <c r="L111">
        <f t="shared" si="93"/>
        <v>5.4003374441558707</v>
      </c>
      <c r="M111">
        <f t="shared" si="94"/>
        <v>47.777390663158691</v>
      </c>
      <c r="N111">
        <f t="shared" si="95"/>
        <v>638.76300000000003</v>
      </c>
      <c r="O111">
        <f t="shared" si="96"/>
        <v>419.25794722258399</v>
      </c>
      <c r="P111">
        <f t="shared" si="97"/>
        <v>41.750492996185493</v>
      </c>
      <c r="Q111">
        <f t="shared" si="98"/>
        <v>63.609217987140603</v>
      </c>
      <c r="R111">
        <f t="shared" si="99"/>
        <v>0.39244579768366922</v>
      </c>
      <c r="S111">
        <f t="shared" si="100"/>
        <v>2.9344352263214439</v>
      </c>
      <c r="T111">
        <f t="shared" si="101"/>
        <v>0.36544588937089434</v>
      </c>
      <c r="U111">
        <f t="shared" si="102"/>
        <v>0.23067453387278886</v>
      </c>
      <c r="V111">
        <f t="shared" si="103"/>
        <v>344.36629864485656</v>
      </c>
      <c r="W111">
        <f t="shared" si="104"/>
        <v>30.959534274856054</v>
      </c>
      <c r="X111">
        <f t="shared" si="105"/>
        <v>29.996300000000002</v>
      </c>
      <c r="Y111">
        <f t="shared" si="106"/>
        <v>4.2595444043198469</v>
      </c>
      <c r="Z111">
        <f t="shared" si="107"/>
        <v>65.398735968128491</v>
      </c>
      <c r="AA111">
        <f t="shared" si="108"/>
        <v>2.8404435621659401</v>
      </c>
      <c r="AB111">
        <f t="shared" si="109"/>
        <v>4.3432698203069329</v>
      </c>
      <c r="AC111">
        <f t="shared" si="110"/>
        <v>1.4191008421539069</v>
      </c>
      <c r="AD111">
        <f t="shared" si="111"/>
        <v>-238.15488128727389</v>
      </c>
      <c r="AE111">
        <f t="shared" si="112"/>
        <v>53.677691562944844</v>
      </c>
      <c r="AF111">
        <f t="shared" si="113"/>
        <v>4.0740083324876792</v>
      </c>
      <c r="AG111">
        <f t="shared" si="114"/>
        <v>163.96311725301518</v>
      </c>
      <c r="AH111">
        <v>0</v>
      </c>
      <c r="AI111">
        <v>0</v>
      </c>
      <c r="AJ111">
        <f t="shared" si="115"/>
        <v>1</v>
      </c>
      <c r="AK111">
        <f t="shared" si="116"/>
        <v>0</v>
      </c>
      <c r="AL111">
        <f t="shared" si="117"/>
        <v>52424.017118154858</v>
      </c>
      <c r="AM111" t="s">
        <v>417</v>
      </c>
      <c r="AN111">
        <v>10366.9</v>
      </c>
      <c r="AO111">
        <v>993.59653846153856</v>
      </c>
      <c r="AP111">
        <v>3431.87</v>
      </c>
      <c r="AQ111">
        <f t="shared" si="118"/>
        <v>0.71047955241266758</v>
      </c>
      <c r="AR111">
        <v>-3.9894345373445681</v>
      </c>
      <c r="AS111" t="s">
        <v>900</v>
      </c>
      <c r="AT111">
        <v>10454.799999999999</v>
      </c>
      <c r="AU111">
        <v>778.7715384615384</v>
      </c>
      <c r="AV111">
        <v>1159.9192229391069</v>
      </c>
      <c r="AW111">
        <f t="shared" si="119"/>
        <v>0.32859847215203697</v>
      </c>
      <c r="AX111">
        <v>0.5</v>
      </c>
      <c r="AY111">
        <f t="shared" si="120"/>
        <v>1513.175699322428</v>
      </c>
      <c r="AZ111">
        <f t="shared" si="121"/>
        <v>47.777390663158691</v>
      </c>
      <c r="BA111">
        <f t="shared" si="122"/>
        <v>248.61361144746996</v>
      </c>
      <c r="BB111">
        <f t="shared" si="123"/>
        <v>3.4210716722244142E-2</v>
      </c>
      <c r="BC111">
        <f t="shared" si="124"/>
        <v>1.9587146519600056</v>
      </c>
      <c r="BD111">
        <f t="shared" si="125"/>
        <v>634.04006333541679</v>
      </c>
      <c r="BE111" t="s">
        <v>901</v>
      </c>
      <c r="BF111">
        <v>615.67999999999995</v>
      </c>
      <c r="BG111">
        <f t="shared" si="126"/>
        <v>615.67999999999995</v>
      </c>
      <c r="BH111">
        <f t="shared" si="127"/>
        <v>0.46920441714903649</v>
      </c>
      <c r="BI111">
        <f t="shared" si="128"/>
        <v>0.70033115661752632</v>
      </c>
      <c r="BJ111">
        <f t="shared" si="129"/>
        <v>0.80674626962701124</v>
      </c>
      <c r="BK111">
        <f t="shared" si="130"/>
        <v>2.2916157568931808</v>
      </c>
      <c r="BL111">
        <f t="shared" si="131"/>
        <v>0.93178669780024381</v>
      </c>
      <c r="BM111">
        <f t="shared" si="132"/>
        <v>0.55366672407940531</v>
      </c>
      <c r="BN111">
        <f t="shared" si="133"/>
        <v>0.44633327592059469</v>
      </c>
      <c r="BO111">
        <v>7932</v>
      </c>
      <c r="BP111">
        <v>290.00000000000011</v>
      </c>
      <c r="BQ111">
        <v>1048.74</v>
      </c>
      <c r="BR111">
        <v>205</v>
      </c>
      <c r="BS111">
        <v>10454.799999999999</v>
      </c>
      <c r="BT111">
        <v>1047.9000000000001</v>
      </c>
      <c r="BU111">
        <v>0.84</v>
      </c>
      <c r="BV111">
        <v>300.00000000000011</v>
      </c>
      <c r="BW111">
        <v>38.200000000000003</v>
      </c>
      <c r="BX111">
        <v>1159.9192229391069</v>
      </c>
      <c r="BY111">
        <v>1.2968202097184041</v>
      </c>
      <c r="BZ111">
        <v>-117.11543530613341</v>
      </c>
      <c r="CA111">
        <v>1.1103769525919409</v>
      </c>
      <c r="CB111">
        <v>0.99748939192807062</v>
      </c>
      <c r="CC111">
        <v>-1.135770678531702E-2</v>
      </c>
      <c r="CD111">
        <v>289.99999999999989</v>
      </c>
      <c r="CE111">
        <v>1034.3</v>
      </c>
      <c r="CF111">
        <v>655</v>
      </c>
      <c r="CG111">
        <v>10437.799999999999</v>
      </c>
      <c r="CH111">
        <v>1047.72</v>
      </c>
      <c r="CI111">
        <v>-13.42</v>
      </c>
      <c r="CW111">
        <f t="shared" si="134"/>
        <v>1799.99</v>
      </c>
      <c r="CX111">
        <f t="shared" si="135"/>
        <v>1513.175699322428</v>
      </c>
      <c r="CY111">
        <f t="shared" si="136"/>
        <v>0.84065783661155236</v>
      </c>
      <c r="CZ111">
        <f t="shared" si="137"/>
        <v>0.19131567322310489</v>
      </c>
      <c r="DA111">
        <v>6</v>
      </c>
      <c r="DB111">
        <v>0.5</v>
      </c>
      <c r="DC111" t="s">
        <v>420</v>
      </c>
      <c r="DD111">
        <v>2</v>
      </c>
      <c r="DE111">
        <v>1693517315.0999999</v>
      </c>
      <c r="DF111">
        <v>638.76300000000003</v>
      </c>
      <c r="DG111">
        <v>700.18200000000002</v>
      </c>
      <c r="DH111">
        <v>28.523700000000002</v>
      </c>
      <c r="DI111">
        <v>22.233599999999999</v>
      </c>
      <c r="DJ111">
        <v>641.40800000000002</v>
      </c>
      <c r="DK111">
        <v>28.363900000000001</v>
      </c>
      <c r="DL111">
        <v>500.43400000000003</v>
      </c>
      <c r="DM111">
        <v>99.482900000000001</v>
      </c>
      <c r="DN111">
        <v>9.89762E-2</v>
      </c>
      <c r="DO111">
        <v>30.335599999999999</v>
      </c>
      <c r="DP111">
        <v>29.996300000000002</v>
      </c>
      <c r="DQ111">
        <v>999.9</v>
      </c>
      <c r="DR111">
        <v>0</v>
      </c>
      <c r="DS111">
        <v>0</v>
      </c>
      <c r="DT111">
        <v>10080</v>
      </c>
      <c r="DU111">
        <v>0</v>
      </c>
      <c r="DV111">
        <v>1010.61</v>
      </c>
      <c r="DW111">
        <v>-61.419600000000003</v>
      </c>
      <c r="DX111">
        <v>657.51800000000003</v>
      </c>
      <c r="DY111">
        <v>716.10400000000004</v>
      </c>
      <c r="DZ111">
        <v>6.2900799999999997</v>
      </c>
      <c r="EA111">
        <v>700.18200000000002</v>
      </c>
      <c r="EB111">
        <v>22.233599999999999</v>
      </c>
      <c r="EC111">
        <v>2.8376199999999998</v>
      </c>
      <c r="ED111">
        <v>2.2118699999999998</v>
      </c>
      <c r="EE111">
        <v>23.104600000000001</v>
      </c>
      <c r="EF111">
        <v>19.048500000000001</v>
      </c>
      <c r="EG111">
        <v>1799.99</v>
      </c>
      <c r="EH111">
        <v>0.97801099999999996</v>
      </c>
      <c r="EI111">
        <v>2.19892E-2</v>
      </c>
      <c r="EJ111">
        <v>0</v>
      </c>
      <c r="EK111">
        <v>779.04899999999998</v>
      </c>
      <c r="EL111">
        <v>5.0010300000000001</v>
      </c>
      <c r="EM111">
        <v>14989.4</v>
      </c>
      <c r="EN111">
        <v>14701.1</v>
      </c>
      <c r="EO111">
        <v>46.561999999999998</v>
      </c>
      <c r="EP111">
        <v>48</v>
      </c>
      <c r="EQ111">
        <v>47.561999999999998</v>
      </c>
      <c r="ER111">
        <v>47.936999999999998</v>
      </c>
      <c r="ES111">
        <v>48.311999999999998</v>
      </c>
      <c r="ET111">
        <v>1755.52</v>
      </c>
      <c r="EU111">
        <v>39.47</v>
      </c>
      <c r="EV111">
        <v>0</v>
      </c>
      <c r="EW111">
        <v>117.7999999523163</v>
      </c>
      <c r="EX111">
        <v>0</v>
      </c>
      <c r="EY111">
        <v>778.7715384615384</v>
      </c>
      <c r="EZ111">
        <v>0.47165812872284157</v>
      </c>
      <c r="FA111">
        <v>22.078632497946899</v>
      </c>
      <c r="FB111">
        <v>14985.946153846149</v>
      </c>
      <c r="FC111">
        <v>15</v>
      </c>
      <c r="FD111">
        <v>1693517287.5999999</v>
      </c>
      <c r="FE111" t="s">
        <v>902</v>
      </c>
      <c r="FF111">
        <v>1693517287.5999999</v>
      </c>
      <c r="FG111">
        <v>1693517283.5999999</v>
      </c>
      <c r="FH111">
        <v>104</v>
      </c>
      <c r="FI111">
        <v>-0.40500000000000003</v>
      </c>
      <c r="FJ111">
        <v>4.0000000000000001E-3</v>
      </c>
      <c r="FK111">
        <v>-2.6339999999999999</v>
      </c>
      <c r="FL111">
        <v>8.9999999999999993E-3</v>
      </c>
      <c r="FM111">
        <v>700</v>
      </c>
      <c r="FN111">
        <v>22</v>
      </c>
      <c r="FO111">
        <v>0.14000000000000001</v>
      </c>
      <c r="FP111">
        <v>0.04</v>
      </c>
      <c r="FQ111">
        <v>47.706299545125567</v>
      </c>
      <c r="FR111">
        <v>-0.50991655719794282</v>
      </c>
      <c r="FS111">
        <v>7.655805382941426E-2</v>
      </c>
      <c r="FT111">
        <v>1</v>
      </c>
      <c r="FU111">
        <v>0.39391204859627532</v>
      </c>
      <c r="FV111">
        <v>2.9746550564896401E-2</v>
      </c>
      <c r="FW111">
        <v>3.993333341658991E-3</v>
      </c>
      <c r="FX111">
        <v>1</v>
      </c>
      <c r="FY111">
        <v>2</v>
      </c>
      <c r="FZ111">
        <v>2</v>
      </c>
      <c r="GA111" t="s">
        <v>422</v>
      </c>
      <c r="GB111">
        <v>2.8947500000000002</v>
      </c>
      <c r="GC111">
        <v>2.8176800000000002</v>
      </c>
      <c r="GD111">
        <v>0.12720799999999999</v>
      </c>
      <c r="GE111">
        <v>0.135078</v>
      </c>
      <c r="GF111">
        <v>0.13376199999999999</v>
      </c>
      <c r="GG111">
        <v>0.11226700000000001</v>
      </c>
      <c r="GH111">
        <v>24070.9</v>
      </c>
      <c r="GI111">
        <v>24010</v>
      </c>
      <c r="GJ111">
        <v>24476.2</v>
      </c>
      <c r="GK111">
        <v>24802.9</v>
      </c>
      <c r="GL111">
        <v>28171.599999999999</v>
      </c>
      <c r="GM111">
        <v>28747.200000000001</v>
      </c>
      <c r="GN111">
        <v>33092.6</v>
      </c>
      <c r="GO111">
        <v>33066.1</v>
      </c>
      <c r="GP111">
        <v>1.9239999999999999</v>
      </c>
      <c r="GQ111">
        <v>1.7983</v>
      </c>
      <c r="GR111">
        <v>4.2289500000000001E-2</v>
      </c>
      <c r="GS111">
        <v>0</v>
      </c>
      <c r="GT111">
        <v>29.307700000000001</v>
      </c>
      <c r="GU111">
        <v>999.9</v>
      </c>
      <c r="GV111">
        <v>40.299999999999997</v>
      </c>
      <c r="GW111">
        <v>37.5</v>
      </c>
      <c r="GX111">
        <v>26.243500000000001</v>
      </c>
      <c r="GY111">
        <v>62.781399999999998</v>
      </c>
      <c r="GZ111">
        <v>23.898199999999999</v>
      </c>
      <c r="HA111">
        <v>1</v>
      </c>
      <c r="HB111">
        <v>0.74070100000000005</v>
      </c>
      <c r="HC111">
        <v>3.1332200000000001</v>
      </c>
      <c r="HD111">
        <v>20.1388</v>
      </c>
      <c r="HE111">
        <v>5.2292699999999996</v>
      </c>
      <c r="HF111">
        <v>11.9261</v>
      </c>
      <c r="HG111">
        <v>4.9596</v>
      </c>
      <c r="HH111">
        <v>3.2890000000000001</v>
      </c>
      <c r="HI111">
        <v>9999</v>
      </c>
      <c r="HJ111">
        <v>9999</v>
      </c>
      <c r="HK111">
        <v>9999</v>
      </c>
      <c r="HL111">
        <v>897.5</v>
      </c>
      <c r="HM111">
        <v>1.8808</v>
      </c>
      <c r="HN111">
        <v>1.8778999999999999</v>
      </c>
      <c r="HO111">
        <v>1.8858299999999999</v>
      </c>
      <c r="HP111">
        <v>1.8836999999999999</v>
      </c>
      <c r="HQ111">
        <v>1.88113</v>
      </c>
      <c r="HR111">
        <v>1.8802300000000001</v>
      </c>
      <c r="HS111">
        <v>1.88134</v>
      </c>
      <c r="HT111">
        <v>1.8808</v>
      </c>
      <c r="HU111">
        <v>5</v>
      </c>
      <c r="HV111">
        <v>0</v>
      </c>
      <c r="HW111">
        <v>0</v>
      </c>
      <c r="HX111">
        <v>0</v>
      </c>
      <c r="HY111" t="s">
        <v>423</v>
      </c>
      <c r="HZ111" t="s">
        <v>424</v>
      </c>
      <c r="IA111" t="s">
        <v>425</v>
      </c>
      <c r="IB111" t="s">
        <v>425</v>
      </c>
      <c r="IC111" t="s">
        <v>425</v>
      </c>
      <c r="ID111" t="s">
        <v>425</v>
      </c>
      <c r="IE111">
        <v>0</v>
      </c>
      <c r="IF111">
        <v>100</v>
      </c>
      <c r="IG111">
        <v>100</v>
      </c>
      <c r="IH111">
        <v>-2.645</v>
      </c>
      <c r="II111">
        <v>0.1598</v>
      </c>
      <c r="IJ111">
        <v>-3.3264254935867852</v>
      </c>
      <c r="IK111">
        <v>2.2153513873161218E-3</v>
      </c>
      <c r="IL111">
        <v>-2.2967369670569612E-6</v>
      </c>
      <c r="IM111">
        <v>7.7859689150384122E-10</v>
      </c>
      <c r="IN111">
        <v>-0.2281677035873145</v>
      </c>
      <c r="IO111">
        <v>-4.1434251034592161E-3</v>
      </c>
      <c r="IP111">
        <v>8.3987709687394815E-4</v>
      </c>
      <c r="IQ111">
        <v>-7.4586254598011197E-6</v>
      </c>
      <c r="IR111">
        <v>2</v>
      </c>
      <c r="IS111">
        <v>1930</v>
      </c>
      <c r="IT111">
        <v>2</v>
      </c>
      <c r="IU111">
        <v>41</v>
      </c>
      <c r="IV111">
        <v>0.5</v>
      </c>
      <c r="IW111">
        <v>0.5</v>
      </c>
      <c r="IX111">
        <v>1.5722700000000001</v>
      </c>
      <c r="IY111">
        <v>2.5061</v>
      </c>
      <c r="IZ111">
        <v>1.24512</v>
      </c>
      <c r="JA111">
        <v>2.2546400000000002</v>
      </c>
      <c r="JB111">
        <v>1.4501999999999999</v>
      </c>
      <c r="JC111">
        <v>2.4621599999999999</v>
      </c>
      <c r="JD111">
        <v>39.242199999999997</v>
      </c>
      <c r="JE111">
        <v>24.035</v>
      </c>
      <c r="JF111">
        <v>18</v>
      </c>
      <c r="JG111">
        <v>497.25599999999997</v>
      </c>
      <c r="JH111">
        <v>460.59199999999998</v>
      </c>
      <c r="JI111">
        <v>25.726099999999999</v>
      </c>
      <c r="JJ111">
        <v>36.146500000000003</v>
      </c>
      <c r="JK111">
        <v>30.000299999999999</v>
      </c>
      <c r="JL111">
        <v>36.059100000000001</v>
      </c>
      <c r="JM111">
        <v>35.997</v>
      </c>
      <c r="JN111">
        <v>31.590499999999999</v>
      </c>
      <c r="JO111">
        <v>16.5732</v>
      </c>
      <c r="JP111">
        <v>39.573700000000002</v>
      </c>
      <c r="JQ111">
        <v>25.726400000000002</v>
      </c>
      <c r="JR111">
        <v>700</v>
      </c>
      <c r="JS111">
        <v>22.1844</v>
      </c>
      <c r="JT111">
        <v>98.778099999999995</v>
      </c>
      <c r="JU111">
        <v>98.765799999999999</v>
      </c>
    </row>
    <row r="112" spans="1:281" x14ac:dyDescent="0.25">
      <c r="A112">
        <v>96</v>
      </c>
      <c r="B112">
        <v>1693517414.5999999</v>
      </c>
      <c r="C112">
        <v>21765</v>
      </c>
      <c r="D112" t="s">
        <v>903</v>
      </c>
      <c r="E112" t="s">
        <v>904</v>
      </c>
      <c r="F112" t="s">
        <v>413</v>
      </c>
      <c r="G112" t="s">
        <v>565</v>
      </c>
      <c r="H112" t="s">
        <v>415</v>
      </c>
      <c r="I112" t="s">
        <v>415</v>
      </c>
      <c r="J112">
        <v>1693517414.5999999</v>
      </c>
      <c r="K112">
        <f t="shared" si="92"/>
        <v>5.2204731595364541E-3</v>
      </c>
      <c r="L112">
        <f t="shared" si="93"/>
        <v>5.2204731595364544</v>
      </c>
      <c r="M112">
        <f t="shared" si="94"/>
        <v>47.675286083380158</v>
      </c>
      <c r="N112">
        <f t="shared" si="95"/>
        <v>837.56799999999998</v>
      </c>
      <c r="O112">
        <f t="shared" si="96"/>
        <v>602.80242116011311</v>
      </c>
      <c r="P112">
        <f t="shared" si="97"/>
        <v>60.028645044269922</v>
      </c>
      <c r="Q112">
        <f t="shared" si="98"/>
        <v>83.40721670572799</v>
      </c>
      <c r="R112">
        <f t="shared" si="99"/>
        <v>0.37160902835095605</v>
      </c>
      <c r="S112">
        <f t="shared" si="100"/>
        <v>2.9283279932278479</v>
      </c>
      <c r="T112">
        <f t="shared" si="101"/>
        <v>0.34725778516569467</v>
      </c>
      <c r="U112">
        <f t="shared" si="102"/>
        <v>0.21909086459471039</v>
      </c>
      <c r="V112">
        <f t="shared" si="103"/>
        <v>344.36629864485656</v>
      </c>
      <c r="W112">
        <f t="shared" si="104"/>
        <v>30.95045679483075</v>
      </c>
      <c r="X112">
        <f t="shared" si="105"/>
        <v>29.996700000000001</v>
      </c>
      <c r="Y112">
        <f t="shared" si="106"/>
        <v>4.2596422738682334</v>
      </c>
      <c r="Z112">
        <f t="shared" si="107"/>
        <v>65.042503478123166</v>
      </c>
      <c r="AA112">
        <f t="shared" si="108"/>
        <v>2.8157583583475998</v>
      </c>
      <c r="AB112">
        <f t="shared" si="109"/>
        <v>4.3291051355282946</v>
      </c>
      <c r="AC112">
        <f t="shared" si="110"/>
        <v>1.4438839155206336</v>
      </c>
      <c r="AD112">
        <f t="shared" si="111"/>
        <v>-230.22286633555763</v>
      </c>
      <c r="AE112">
        <f t="shared" si="112"/>
        <v>44.504122091516685</v>
      </c>
      <c r="AF112">
        <f t="shared" si="113"/>
        <v>3.3838527755490881</v>
      </c>
      <c r="AG112">
        <f t="shared" si="114"/>
        <v>162.0314071763647</v>
      </c>
      <c r="AH112">
        <v>0</v>
      </c>
      <c r="AI112">
        <v>0</v>
      </c>
      <c r="AJ112">
        <f t="shared" si="115"/>
        <v>1</v>
      </c>
      <c r="AK112">
        <f t="shared" si="116"/>
        <v>0</v>
      </c>
      <c r="AL112">
        <f t="shared" si="117"/>
        <v>52259.404294416032</v>
      </c>
      <c r="AM112" t="s">
        <v>417</v>
      </c>
      <c r="AN112">
        <v>10366.9</v>
      </c>
      <c r="AO112">
        <v>993.59653846153856</v>
      </c>
      <c r="AP112">
        <v>3431.87</v>
      </c>
      <c r="AQ112">
        <f t="shared" si="118"/>
        <v>0.71047955241266758</v>
      </c>
      <c r="AR112">
        <v>-3.9894345373445681</v>
      </c>
      <c r="AS112" t="s">
        <v>905</v>
      </c>
      <c r="AT112">
        <v>10448.700000000001</v>
      </c>
      <c r="AU112">
        <v>779.28561538461554</v>
      </c>
      <c r="AV112">
        <v>1163.678846585025</v>
      </c>
      <c r="AW112">
        <f t="shared" si="119"/>
        <v>0.33032587326689322</v>
      </c>
      <c r="AX112">
        <v>0.5</v>
      </c>
      <c r="AY112">
        <f t="shared" si="120"/>
        <v>1513.175699322428</v>
      </c>
      <c r="AZ112">
        <f t="shared" si="121"/>
        <v>47.675286083380158</v>
      </c>
      <c r="BA112">
        <f t="shared" si="122"/>
        <v>249.92054214246144</v>
      </c>
      <c r="BB112">
        <f t="shared" si="123"/>
        <v>3.414323970696808E-2</v>
      </c>
      <c r="BC112">
        <f t="shared" si="124"/>
        <v>1.9491556111647923</v>
      </c>
      <c r="BD112">
        <f t="shared" si="125"/>
        <v>635.16178355150157</v>
      </c>
      <c r="BE112" t="s">
        <v>906</v>
      </c>
      <c r="BF112">
        <v>615.76</v>
      </c>
      <c r="BG112">
        <f t="shared" si="126"/>
        <v>615.76</v>
      </c>
      <c r="BH112">
        <f t="shared" si="127"/>
        <v>0.47085056860229768</v>
      </c>
      <c r="BI112">
        <f t="shared" si="128"/>
        <v>0.70155139505820963</v>
      </c>
      <c r="BJ112">
        <f t="shared" si="129"/>
        <v>0.80543414618568709</v>
      </c>
      <c r="BK112">
        <f t="shared" si="130"/>
        <v>2.2600424197049636</v>
      </c>
      <c r="BL112">
        <f t="shared" si="131"/>
        <v>0.93024477737777167</v>
      </c>
      <c r="BM112">
        <f t="shared" si="132"/>
        <v>0.55433756057185313</v>
      </c>
      <c r="BN112">
        <f t="shared" si="133"/>
        <v>0.44566243942814687</v>
      </c>
      <c r="BO112">
        <v>7934</v>
      </c>
      <c r="BP112">
        <v>290.00000000000011</v>
      </c>
      <c r="BQ112">
        <v>1052.24</v>
      </c>
      <c r="BR112">
        <v>255</v>
      </c>
      <c r="BS112">
        <v>10448.700000000001</v>
      </c>
      <c r="BT112">
        <v>1051.46</v>
      </c>
      <c r="BU112">
        <v>0.78</v>
      </c>
      <c r="BV112">
        <v>300.00000000000011</v>
      </c>
      <c r="BW112">
        <v>38.200000000000003</v>
      </c>
      <c r="BX112">
        <v>1163.678846585025</v>
      </c>
      <c r="BY112">
        <v>1.309674005508497</v>
      </c>
      <c r="BZ112">
        <v>-117.2586638066422</v>
      </c>
      <c r="CA112">
        <v>1.121378760347735</v>
      </c>
      <c r="CB112">
        <v>0.99744575772268829</v>
      </c>
      <c r="CC112">
        <v>-1.135763114571748E-2</v>
      </c>
      <c r="CD112">
        <v>289.99999999999989</v>
      </c>
      <c r="CE112">
        <v>1038.18</v>
      </c>
      <c r="CF112">
        <v>635</v>
      </c>
      <c r="CG112">
        <v>10439.5</v>
      </c>
      <c r="CH112">
        <v>1051.3599999999999</v>
      </c>
      <c r="CI112">
        <v>-13.18</v>
      </c>
      <c r="CW112">
        <f t="shared" si="134"/>
        <v>1799.99</v>
      </c>
      <c r="CX112">
        <f t="shared" si="135"/>
        <v>1513.175699322428</v>
      </c>
      <c r="CY112">
        <f t="shared" si="136"/>
        <v>0.84065783661155236</v>
      </c>
      <c r="CZ112">
        <f t="shared" si="137"/>
        <v>0.19131567322310489</v>
      </c>
      <c r="DA112">
        <v>6</v>
      </c>
      <c r="DB112">
        <v>0.5</v>
      </c>
      <c r="DC112" t="s">
        <v>420</v>
      </c>
      <c r="DD112">
        <v>2</v>
      </c>
      <c r="DE112">
        <v>1693517414.5999999</v>
      </c>
      <c r="DF112">
        <v>837.56799999999998</v>
      </c>
      <c r="DG112">
        <v>899.94600000000003</v>
      </c>
      <c r="DH112">
        <v>28.275600000000001</v>
      </c>
      <c r="DI112">
        <v>22.195900000000002</v>
      </c>
      <c r="DJ112">
        <v>840.52300000000002</v>
      </c>
      <c r="DK112">
        <v>28.123799999999999</v>
      </c>
      <c r="DL112">
        <v>500.63600000000002</v>
      </c>
      <c r="DM112">
        <v>99.482699999999994</v>
      </c>
      <c r="DN112">
        <v>9.9920999999999996E-2</v>
      </c>
      <c r="DO112">
        <v>30.278600000000001</v>
      </c>
      <c r="DP112">
        <v>29.996700000000001</v>
      </c>
      <c r="DQ112">
        <v>999.9</v>
      </c>
      <c r="DR112">
        <v>0</v>
      </c>
      <c r="DS112">
        <v>0</v>
      </c>
      <c r="DT112">
        <v>10045</v>
      </c>
      <c r="DU112">
        <v>0</v>
      </c>
      <c r="DV112">
        <v>999.63099999999997</v>
      </c>
      <c r="DW112">
        <v>-62.377099999999999</v>
      </c>
      <c r="DX112">
        <v>861.94</v>
      </c>
      <c r="DY112">
        <v>920.37400000000002</v>
      </c>
      <c r="DZ112">
        <v>6.0796799999999998</v>
      </c>
      <c r="EA112">
        <v>899.94600000000003</v>
      </c>
      <c r="EB112">
        <v>22.195900000000002</v>
      </c>
      <c r="EC112">
        <v>2.8129300000000002</v>
      </c>
      <c r="ED112">
        <v>2.20811</v>
      </c>
      <c r="EE112">
        <v>22.9602</v>
      </c>
      <c r="EF112">
        <v>19.0213</v>
      </c>
      <c r="EG112">
        <v>1799.99</v>
      </c>
      <c r="EH112">
        <v>0.97801099999999996</v>
      </c>
      <c r="EI112">
        <v>2.19892E-2</v>
      </c>
      <c r="EJ112">
        <v>0</v>
      </c>
      <c r="EK112">
        <v>779.57799999999997</v>
      </c>
      <c r="EL112">
        <v>5.0010300000000001</v>
      </c>
      <c r="EM112">
        <v>15030.9</v>
      </c>
      <c r="EN112">
        <v>14701.1</v>
      </c>
      <c r="EO112">
        <v>46.561999999999998</v>
      </c>
      <c r="EP112">
        <v>48</v>
      </c>
      <c r="EQ112">
        <v>47.561999999999998</v>
      </c>
      <c r="ER112">
        <v>47.936999999999998</v>
      </c>
      <c r="ES112">
        <v>48.311999999999998</v>
      </c>
      <c r="ET112">
        <v>1755.52</v>
      </c>
      <c r="EU112">
        <v>39.47</v>
      </c>
      <c r="EV112">
        <v>0</v>
      </c>
      <c r="EW112">
        <v>97.800000190734863</v>
      </c>
      <c r="EX112">
        <v>0</v>
      </c>
      <c r="EY112">
        <v>779.28561538461554</v>
      </c>
      <c r="EZ112">
        <v>0.24266665048998309</v>
      </c>
      <c r="FA112">
        <v>18.068376111212071</v>
      </c>
      <c r="FB112">
        <v>15028.65769230769</v>
      </c>
      <c r="FC112">
        <v>15</v>
      </c>
      <c r="FD112">
        <v>1693517380.5999999</v>
      </c>
      <c r="FE112" t="s">
        <v>907</v>
      </c>
      <c r="FF112">
        <v>1693517380.5999999</v>
      </c>
      <c r="FG112">
        <v>1693517380.5999999</v>
      </c>
      <c r="FH112">
        <v>105</v>
      </c>
      <c r="FI112">
        <v>-0.33</v>
      </c>
      <c r="FJ112">
        <v>-2E-3</v>
      </c>
      <c r="FK112">
        <v>-2.9550000000000001</v>
      </c>
      <c r="FL112">
        <v>6.0000000000000001E-3</v>
      </c>
      <c r="FM112">
        <v>900</v>
      </c>
      <c r="FN112">
        <v>22</v>
      </c>
      <c r="FO112">
        <v>0.15</v>
      </c>
      <c r="FP112">
        <v>0.04</v>
      </c>
      <c r="FQ112">
        <v>47.632417778337832</v>
      </c>
      <c r="FR112">
        <v>0.1688051484244901</v>
      </c>
      <c r="FS112">
        <v>0.121563454839948</v>
      </c>
      <c r="FT112">
        <v>1</v>
      </c>
      <c r="FU112">
        <v>0.37809130154184978</v>
      </c>
      <c r="FV112">
        <v>-4.4266282336409161E-2</v>
      </c>
      <c r="FW112">
        <v>3.405885024350359E-3</v>
      </c>
      <c r="FX112">
        <v>1</v>
      </c>
      <c r="FY112">
        <v>2</v>
      </c>
      <c r="FZ112">
        <v>2</v>
      </c>
      <c r="GA112" t="s">
        <v>422</v>
      </c>
      <c r="GB112">
        <v>2.8951500000000001</v>
      </c>
      <c r="GC112">
        <v>2.8183199999999999</v>
      </c>
      <c r="GD112">
        <v>0.152693</v>
      </c>
      <c r="GE112">
        <v>0.15961600000000001</v>
      </c>
      <c r="GF112">
        <v>0.13297300000000001</v>
      </c>
      <c r="GG112">
        <v>0.112123</v>
      </c>
      <c r="GH112">
        <v>23365.200000000001</v>
      </c>
      <c r="GI112">
        <v>23325.200000000001</v>
      </c>
      <c r="GJ112">
        <v>24474.1</v>
      </c>
      <c r="GK112">
        <v>24800.1</v>
      </c>
      <c r="GL112">
        <v>28195.4</v>
      </c>
      <c r="GM112">
        <v>28748.799999999999</v>
      </c>
      <c r="GN112">
        <v>33090.199999999997</v>
      </c>
      <c r="GO112">
        <v>33062.5</v>
      </c>
      <c r="GP112">
        <v>1.9234</v>
      </c>
      <c r="GQ112">
        <v>1.7998000000000001</v>
      </c>
      <c r="GR112">
        <v>4.3094199999999999E-2</v>
      </c>
      <c r="GS112">
        <v>0</v>
      </c>
      <c r="GT112">
        <v>29.295000000000002</v>
      </c>
      <c r="GU112">
        <v>999.9</v>
      </c>
      <c r="GV112">
        <v>40.6</v>
      </c>
      <c r="GW112">
        <v>37.299999999999997</v>
      </c>
      <c r="GX112">
        <v>26.153199999999998</v>
      </c>
      <c r="GY112">
        <v>62.961399999999998</v>
      </c>
      <c r="GZ112">
        <v>23.4255</v>
      </c>
      <c r="HA112">
        <v>1</v>
      </c>
      <c r="HB112">
        <v>0.743811</v>
      </c>
      <c r="HC112">
        <v>3.00712</v>
      </c>
      <c r="HD112">
        <v>20.140599999999999</v>
      </c>
      <c r="HE112">
        <v>5.2322600000000001</v>
      </c>
      <c r="HF112">
        <v>11.9261</v>
      </c>
      <c r="HG112">
        <v>4.9592000000000001</v>
      </c>
      <c r="HH112">
        <v>3.2888999999999999</v>
      </c>
      <c r="HI112">
        <v>9999</v>
      </c>
      <c r="HJ112">
        <v>9999</v>
      </c>
      <c r="HK112">
        <v>9999</v>
      </c>
      <c r="HL112">
        <v>897.5</v>
      </c>
      <c r="HM112">
        <v>1.8808</v>
      </c>
      <c r="HN112">
        <v>1.8778999999999999</v>
      </c>
      <c r="HO112">
        <v>1.8858299999999999</v>
      </c>
      <c r="HP112">
        <v>1.8836999999999999</v>
      </c>
      <c r="HQ112">
        <v>1.8811199999999999</v>
      </c>
      <c r="HR112">
        <v>1.8802300000000001</v>
      </c>
      <c r="HS112">
        <v>1.8813200000000001</v>
      </c>
      <c r="HT112">
        <v>1.8808</v>
      </c>
      <c r="HU112">
        <v>5</v>
      </c>
      <c r="HV112">
        <v>0</v>
      </c>
      <c r="HW112">
        <v>0</v>
      </c>
      <c r="HX112">
        <v>0</v>
      </c>
      <c r="HY112" t="s">
        <v>423</v>
      </c>
      <c r="HZ112" t="s">
        <v>424</v>
      </c>
      <c r="IA112" t="s">
        <v>425</v>
      </c>
      <c r="IB112" t="s">
        <v>425</v>
      </c>
      <c r="IC112" t="s">
        <v>425</v>
      </c>
      <c r="ID112" t="s">
        <v>425</v>
      </c>
      <c r="IE112">
        <v>0</v>
      </c>
      <c r="IF112">
        <v>100</v>
      </c>
      <c r="IG112">
        <v>100</v>
      </c>
      <c r="IH112">
        <v>-2.9550000000000001</v>
      </c>
      <c r="II112">
        <v>0.15179999999999999</v>
      </c>
      <c r="IJ112">
        <v>-3.6559168914684319</v>
      </c>
      <c r="IK112">
        <v>2.2153513873161218E-3</v>
      </c>
      <c r="IL112">
        <v>-2.2967369670569612E-6</v>
      </c>
      <c r="IM112">
        <v>7.7859689150384122E-10</v>
      </c>
      <c r="IN112">
        <v>-0.23010830572235549</v>
      </c>
      <c r="IO112">
        <v>-4.1434251034592161E-3</v>
      </c>
      <c r="IP112">
        <v>8.3987709687394815E-4</v>
      </c>
      <c r="IQ112">
        <v>-7.4586254598011197E-6</v>
      </c>
      <c r="IR112">
        <v>2</v>
      </c>
      <c r="IS112">
        <v>1930</v>
      </c>
      <c r="IT112">
        <v>2</v>
      </c>
      <c r="IU112">
        <v>41</v>
      </c>
      <c r="IV112">
        <v>0.6</v>
      </c>
      <c r="IW112">
        <v>0.6</v>
      </c>
      <c r="IX112">
        <v>1.9274899999999999</v>
      </c>
      <c r="IY112">
        <v>2.50366</v>
      </c>
      <c r="IZ112">
        <v>1.24512</v>
      </c>
      <c r="JA112">
        <v>2.2546400000000002</v>
      </c>
      <c r="JB112">
        <v>1.4501999999999999</v>
      </c>
      <c r="JC112">
        <v>2.4621599999999999</v>
      </c>
      <c r="JD112">
        <v>39.1676</v>
      </c>
      <c r="JE112">
        <v>24.035</v>
      </c>
      <c r="JF112">
        <v>18</v>
      </c>
      <c r="JG112">
        <v>497.18200000000002</v>
      </c>
      <c r="JH112">
        <v>461.98599999999999</v>
      </c>
      <c r="JI112">
        <v>25.878599999999999</v>
      </c>
      <c r="JJ112">
        <v>36.186799999999998</v>
      </c>
      <c r="JK112">
        <v>30.000299999999999</v>
      </c>
      <c r="JL112">
        <v>36.102899999999998</v>
      </c>
      <c r="JM112">
        <v>36.042299999999997</v>
      </c>
      <c r="JN112">
        <v>38.671599999999998</v>
      </c>
      <c r="JO112">
        <v>16.9922</v>
      </c>
      <c r="JP112">
        <v>40.348300000000002</v>
      </c>
      <c r="JQ112">
        <v>25.880800000000001</v>
      </c>
      <c r="JR112">
        <v>900</v>
      </c>
      <c r="JS112">
        <v>22.171800000000001</v>
      </c>
      <c r="JT112">
        <v>98.770300000000006</v>
      </c>
      <c r="JU112">
        <v>98.7547</v>
      </c>
    </row>
    <row r="113" spans="1:281" x14ac:dyDescent="0.25">
      <c r="A113">
        <v>97</v>
      </c>
      <c r="B113">
        <v>1693517520.5999999</v>
      </c>
      <c r="C113">
        <v>21871</v>
      </c>
      <c r="D113" t="s">
        <v>908</v>
      </c>
      <c r="E113" t="s">
        <v>909</v>
      </c>
      <c r="F113" t="s">
        <v>413</v>
      </c>
      <c r="G113" t="s">
        <v>565</v>
      </c>
      <c r="H113" t="s">
        <v>415</v>
      </c>
      <c r="I113" t="s">
        <v>415</v>
      </c>
      <c r="J113">
        <v>1693517520.5999999</v>
      </c>
      <c r="K113">
        <f t="shared" ref="K113:K128" si="138">(L113)/1000</f>
        <v>4.9445168625835978E-3</v>
      </c>
      <c r="L113">
        <f t="shared" ref="L113:L128" si="139">1000*DL113*AJ113*(DH113-DI113)/(100*DA113*(1000-AJ113*DH113))</f>
        <v>4.9445168625835976</v>
      </c>
      <c r="M113">
        <f t="shared" ref="M113:M128" si="140">DL113*AJ113*(DG113-DF113*(1000-AJ113*DI113)/(1000-AJ113*DH113))/(100*DA113)</f>
        <v>46.989459335446575</v>
      </c>
      <c r="N113">
        <f t="shared" ref="N113:N128" si="141">DF113 - IF(AJ113&gt;1, M113*DA113*100/(AL113*DT113), 0)</f>
        <v>1136.81</v>
      </c>
      <c r="O113">
        <f t="shared" ref="O113:O128" si="142">((U113-K113/2)*N113-M113)/(U113+K113/2)</f>
        <v>885.79144746010843</v>
      </c>
      <c r="P113">
        <f t="shared" ref="P113:P128" si="143">O113*(DM113+DN113)/1000</f>
        <v>88.212153377205084</v>
      </c>
      <c r="Q113">
        <f t="shared" ref="Q113:Q128" si="144">(DF113 - IF(AJ113&gt;1, M113*DA113*100/(AL113*DT113), 0))*(DM113+DN113)/1000</f>
        <v>113.21000938570998</v>
      </c>
      <c r="R113">
        <f t="shared" ref="R113:R128" si="145">2/((1/T113-1/S113)+SIGN(T113)*SQRT((1/T113-1/S113)*(1/T113-1/S113) + 4*DB113/((DB113+1)*(DB113+1))*(2*1/T113*1/S113-1/S113*1/S113)))</f>
        <v>0.350205178799949</v>
      </c>
      <c r="S113">
        <f t="shared" ref="S113:S128" si="146">IF(LEFT(DC113,1)&lt;&gt;"0",IF(LEFT(DC113,1)="1",3,DD113),$D$5+$E$5*(DT113*DM113/($K$5*1000))+$F$5*(DT113*DM113/($K$5*1000))*MAX(MIN(DA113,$J$5),$I$5)*MAX(MIN(DA113,$J$5),$I$5)+$G$5*MAX(MIN(DA113,$J$5),$I$5)*(DT113*DM113/($K$5*1000))+$H$5*(DT113*DM113/($K$5*1000))*(DT113*DM113/($K$5*1000)))</f>
        <v>2.9205083842193158</v>
      </c>
      <c r="T113">
        <f t="shared" ref="T113:T128" si="147">K113*(1000-(1000*0.61365*EXP(17.502*X113/(240.97+X113))/(DM113+DN113)+DH113)/2)/(1000*0.61365*EXP(17.502*X113/(240.97+X113))/(DM113+DN113)-DH113)</f>
        <v>0.32843612711712167</v>
      </c>
      <c r="U113">
        <f t="shared" ref="U113:U128" si="148">1/((DB113+1)/(R113/1.6)+1/(S113/1.37)) + DB113/((DB113+1)/(R113/1.6) + DB113/(S113/1.37))</f>
        <v>0.20711557887264387</v>
      </c>
      <c r="V113">
        <f t="shared" ref="V113:V128" si="149">(CW113*CZ113)</f>
        <v>344.37629864351339</v>
      </c>
      <c r="W113">
        <f t="shared" ref="W113:W128" si="150">(DO113+(V113+2*0.95*0.0000000567*(((DO113+$B$7)+273)^4-(DO113+273)^4)-44100*K113)/(1.84*29.3*S113+8*0.95*0.0000000567*(DO113+273)^3))</f>
        <v>30.987316078461888</v>
      </c>
      <c r="X113">
        <f t="shared" ref="X113:X128" si="151">($C$7*DP113+$D$7*DQ113+$E$7*W113)</f>
        <v>29.989699999999999</v>
      </c>
      <c r="Y113">
        <f t="shared" ref="Y113:Y128" si="152">0.61365*EXP(17.502*X113/(240.97+X113))</f>
        <v>4.2579298396800676</v>
      </c>
      <c r="Z113">
        <f t="shared" ref="Z113:Z128" si="153">(AA113/AB113*100)</f>
        <v>65.090448481802454</v>
      </c>
      <c r="AA113">
        <f t="shared" ref="AA113:AA128" si="154">DH113*(DM113+DN113)/1000</f>
        <v>2.8119115296451</v>
      </c>
      <c r="AB113">
        <f t="shared" ref="AB113:AB128" si="155">0.61365*EXP(17.502*DO113/(240.97+DO113))</f>
        <v>4.32000638378031</v>
      </c>
      <c r="AC113">
        <f t="shared" ref="AC113:AC128" si="156">(Y113-DH113*(DM113+DN113)/1000)</f>
        <v>1.4460183100349675</v>
      </c>
      <c r="AD113">
        <f t="shared" ref="AD113:AD128" si="157">(-K113*44100)</f>
        <v>-218.05319363993667</v>
      </c>
      <c r="AE113">
        <f t="shared" ref="AE113:AE128" si="158">2*29.3*S113*0.92*(DO113-X113)</f>
        <v>39.709002988130315</v>
      </c>
      <c r="AF113">
        <f t="shared" ref="AF113:AF128" si="159">2*0.95*0.0000000567*(((DO113+$B$7)+273)^4-(X113+273)^4)</f>
        <v>3.0266871478770012</v>
      </c>
      <c r="AG113">
        <f t="shared" ref="AG113:AG128" si="160">V113+AF113+AD113+AE113</f>
        <v>169.05879513958405</v>
      </c>
      <c r="AH113">
        <v>0</v>
      </c>
      <c r="AI113">
        <v>0</v>
      </c>
      <c r="AJ113">
        <f t="shared" ref="AJ113:AJ128" si="161">IF(AH113*$H$13&gt;=AL113,1,(AL113/(AL113-AH113*$H$13)))</f>
        <v>1</v>
      </c>
      <c r="AK113">
        <f t="shared" ref="AK113:AK128" si="162">(AJ113-1)*100</f>
        <v>0</v>
      </c>
      <c r="AL113">
        <f t="shared" ref="AL113:AL128" si="163">MAX(0,($B$13+$C$13*DT113)/(1+$D$13*DT113)*DM113/(DO113+273)*$E$13)</f>
        <v>52042.727300933628</v>
      </c>
      <c r="AM113" t="s">
        <v>417</v>
      </c>
      <c r="AN113">
        <v>10366.9</v>
      </c>
      <c r="AO113">
        <v>993.59653846153856</v>
      </c>
      <c r="AP113">
        <v>3431.87</v>
      </c>
      <c r="AQ113">
        <f t="shared" ref="AQ113:AQ128" si="164">1-AO113/AP113</f>
        <v>0.71047955241266758</v>
      </c>
      <c r="AR113">
        <v>-3.9894345373445681</v>
      </c>
      <c r="AS113" t="s">
        <v>910</v>
      </c>
      <c r="AT113">
        <v>10456.1</v>
      </c>
      <c r="AU113">
        <v>779.51339999999993</v>
      </c>
      <c r="AV113">
        <v>1162.709830892871</v>
      </c>
      <c r="AW113">
        <f t="shared" ref="AW113:AW128" si="165">1-AU113/AV113</f>
        <v>0.32957185078465012</v>
      </c>
      <c r="AX113">
        <v>0.5</v>
      </c>
      <c r="AY113">
        <f t="shared" ref="AY113:AY128" si="166">CX113</f>
        <v>1513.2104993217567</v>
      </c>
      <c r="AZ113">
        <f t="shared" ref="AZ113:AZ128" si="167">M113</f>
        <v>46.989459335446575</v>
      </c>
      <c r="BA113">
        <f t="shared" ref="BA113:BA128" si="168">AW113*AX113*AY113</f>
        <v>249.35579244411795</v>
      </c>
      <c r="BB113">
        <f t="shared" ref="BB113:BB128" si="169">(AZ113-AR113)/AY113</f>
        <v>3.3689228230732365E-2</v>
      </c>
      <c r="BC113">
        <f t="shared" ref="BC113:BC128" si="170">(AP113-AV113)/AV113</f>
        <v>1.9516134712343407</v>
      </c>
      <c r="BD113">
        <f t="shared" ref="BD113:BD128" si="171">AO113/(AQ113+AO113/AV113)</f>
        <v>634.8729833235999</v>
      </c>
      <c r="BE113" t="s">
        <v>911</v>
      </c>
      <c r="BF113">
        <v>615.26</v>
      </c>
      <c r="BG113">
        <f t="shared" ref="BG113:BG128" si="172">IF(BF113&lt;&gt;0, BF113, BD113)</f>
        <v>615.26</v>
      </c>
      <c r="BH113">
        <f t="shared" ref="BH113:BH128" si="173">1-BG113/AV113</f>
        <v>0.47083959931126751</v>
      </c>
      <c r="BI113">
        <f t="shared" ref="BI113:BI128" si="174">(AV113-AU113)/(AV113-BG113)</f>
        <v>0.6999662969443089</v>
      </c>
      <c r="BJ113">
        <f t="shared" ref="BJ113:BJ128" si="175">(AP113-AV113)/(AP113-BG113)</f>
        <v>0.80563520299478075</v>
      </c>
      <c r="BK113">
        <f t="shared" ref="BK113:BK128" si="176">(AV113-AU113)/(AV113-AO113)</f>
        <v>2.265915501872604</v>
      </c>
      <c r="BL113">
        <f t="shared" ref="BL113:BL128" si="177">(AP113-AV113)/(AP113-AO113)</f>
        <v>0.93064219616915811</v>
      </c>
      <c r="BM113">
        <f t="shared" ref="BM113:BM128" si="178">(BI113*BG113/AU113)</f>
        <v>0.55247448454119652</v>
      </c>
      <c r="BN113">
        <f t="shared" ref="BN113:BN128" si="179">(1-BM113)</f>
        <v>0.44752551545880348</v>
      </c>
      <c r="BO113">
        <v>7936</v>
      </c>
      <c r="BP113">
        <v>290.00000000000011</v>
      </c>
      <c r="BQ113">
        <v>1055.1500000000001</v>
      </c>
      <c r="BR113">
        <v>195</v>
      </c>
      <c r="BS113">
        <v>10456.1</v>
      </c>
      <c r="BT113">
        <v>1053.1099999999999</v>
      </c>
      <c r="BU113">
        <v>2.04</v>
      </c>
      <c r="BV113">
        <v>300.00000000000011</v>
      </c>
      <c r="BW113">
        <v>38.200000000000003</v>
      </c>
      <c r="BX113">
        <v>1162.709830892871</v>
      </c>
      <c r="BY113">
        <v>1.378076666540583</v>
      </c>
      <c r="BZ113">
        <v>-114.595084508898</v>
      </c>
      <c r="CA113">
        <v>1.179948962108488</v>
      </c>
      <c r="CB113">
        <v>0.99704018096440772</v>
      </c>
      <c r="CC113">
        <v>-1.1357602669632941E-2</v>
      </c>
      <c r="CD113">
        <v>289.99999999999989</v>
      </c>
      <c r="CE113">
        <v>1040.7</v>
      </c>
      <c r="CF113">
        <v>655</v>
      </c>
      <c r="CG113">
        <v>10437.799999999999</v>
      </c>
      <c r="CH113">
        <v>1052.92</v>
      </c>
      <c r="CI113">
        <v>-12.22</v>
      </c>
      <c r="CW113">
        <f t="shared" ref="CW113:CW128" si="180">$B$11*DU113+$C$11*DV113+$F$11*EG113*(1-EJ113)</f>
        <v>1800.03</v>
      </c>
      <c r="CX113">
        <f t="shared" ref="CX113:CX128" si="181">CW113*CY113</f>
        <v>1513.2104993217567</v>
      </c>
      <c r="CY113">
        <f t="shared" ref="CY113:CY128" si="182">($B$11*$D$9+$C$11*$D$9+$F$11*((ET113+EL113)/MAX(ET113+EL113+EU113, 0.1)*$I$9+EU113/MAX(ET113+EL113+EU113, 0.1)*$J$9))/($B$11+$C$11+$F$11)</f>
        <v>0.84065848864838744</v>
      </c>
      <c r="CZ113">
        <f t="shared" ref="CZ113:CZ128" si="183">($B$11*$K$9+$C$11*$K$9+$F$11*((ET113+EL113)/MAX(ET113+EL113+EU113, 0.1)*$P$9+EU113/MAX(ET113+EL113+EU113, 0.1)*$Q$9))/($B$11+$C$11+$F$11)</f>
        <v>0.19131697729677472</v>
      </c>
      <c r="DA113">
        <v>6</v>
      </c>
      <c r="DB113">
        <v>0.5</v>
      </c>
      <c r="DC113" t="s">
        <v>420</v>
      </c>
      <c r="DD113">
        <v>2</v>
      </c>
      <c r="DE113">
        <v>1693517520.5999999</v>
      </c>
      <c r="DF113">
        <v>1136.81</v>
      </c>
      <c r="DG113">
        <v>1199.9000000000001</v>
      </c>
      <c r="DH113">
        <v>28.2361</v>
      </c>
      <c r="DI113">
        <v>22.4741</v>
      </c>
      <c r="DJ113">
        <v>1140.1500000000001</v>
      </c>
      <c r="DK113">
        <v>28.083300000000001</v>
      </c>
      <c r="DL113">
        <v>500.33699999999999</v>
      </c>
      <c r="DM113">
        <v>99.485500000000002</v>
      </c>
      <c r="DN113">
        <v>0.100191</v>
      </c>
      <c r="DO113">
        <v>30.241900000000001</v>
      </c>
      <c r="DP113">
        <v>29.989699999999999</v>
      </c>
      <c r="DQ113">
        <v>999.9</v>
      </c>
      <c r="DR113">
        <v>0</v>
      </c>
      <c r="DS113">
        <v>0</v>
      </c>
      <c r="DT113">
        <v>10000</v>
      </c>
      <c r="DU113">
        <v>0</v>
      </c>
      <c r="DV113">
        <v>990.33900000000006</v>
      </c>
      <c r="DW113">
        <v>-63.0931</v>
      </c>
      <c r="DX113">
        <v>1169.8399999999999</v>
      </c>
      <c r="DY113">
        <v>1227.49</v>
      </c>
      <c r="DZ113">
        <v>5.7620100000000001</v>
      </c>
      <c r="EA113">
        <v>1199.9000000000001</v>
      </c>
      <c r="EB113">
        <v>22.4741</v>
      </c>
      <c r="EC113">
        <v>2.8090799999999998</v>
      </c>
      <c r="ED113">
        <v>2.23584</v>
      </c>
      <c r="EE113">
        <v>22.9375</v>
      </c>
      <c r="EF113">
        <v>19.221499999999999</v>
      </c>
      <c r="EG113">
        <v>1800.03</v>
      </c>
      <c r="EH113">
        <v>0.97799199999999997</v>
      </c>
      <c r="EI113">
        <v>2.2008300000000001E-2</v>
      </c>
      <c r="EJ113">
        <v>0</v>
      </c>
      <c r="EK113">
        <v>779.32100000000003</v>
      </c>
      <c r="EL113">
        <v>5.0010300000000001</v>
      </c>
      <c r="EM113">
        <v>15078.4</v>
      </c>
      <c r="EN113">
        <v>14701.3</v>
      </c>
      <c r="EO113">
        <v>46.5</v>
      </c>
      <c r="EP113">
        <v>47.875</v>
      </c>
      <c r="EQ113">
        <v>47.561999999999998</v>
      </c>
      <c r="ER113">
        <v>47.811999999999998</v>
      </c>
      <c r="ES113">
        <v>48.25</v>
      </c>
      <c r="ET113">
        <v>1755.52</v>
      </c>
      <c r="EU113">
        <v>39.51</v>
      </c>
      <c r="EV113">
        <v>0</v>
      </c>
      <c r="EW113">
        <v>103.7999999523163</v>
      </c>
      <c r="EX113">
        <v>0</v>
      </c>
      <c r="EY113">
        <v>779.51339999999993</v>
      </c>
      <c r="EZ113">
        <v>1.726769225619837</v>
      </c>
      <c r="FA113">
        <v>39.184615395584103</v>
      </c>
      <c r="FB113">
        <v>15074.72</v>
      </c>
      <c r="FC113">
        <v>15</v>
      </c>
      <c r="FD113">
        <v>1693517486.5999999</v>
      </c>
      <c r="FE113" t="s">
        <v>912</v>
      </c>
      <c r="FF113">
        <v>1693517486.5999999</v>
      </c>
      <c r="FG113">
        <v>1693517485.5999999</v>
      </c>
      <c r="FH113">
        <v>106</v>
      </c>
      <c r="FI113">
        <v>-0.371</v>
      </c>
      <c r="FJ113">
        <v>2E-3</v>
      </c>
      <c r="FK113">
        <v>-3.3319999999999999</v>
      </c>
      <c r="FL113">
        <v>0.01</v>
      </c>
      <c r="FM113">
        <v>1200</v>
      </c>
      <c r="FN113">
        <v>22</v>
      </c>
      <c r="FO113">
        <v>0.18</v>
      </c>
      <c r="FP113">
        <v>0.05</v>
      </c>
      <c r="FQ113">
        <v>47.029050099858352</v>
      </c>
      <c r="FR113">
        <v>0.1227752174129369</v>
      </c>
      <c r="FS113">
        <v>0.153867360292543</v>
      </c>
      <c r="FT113">
        <v>1</v>
      </c>
      <c r="FU113">
        <v>0.35633042576690521</v>
      </c>
      <c r="FV113">
        <v>-2.5136616013065521E-2</v>
      </c>
      <c r="FW113">
        <v>1.9580813474868739E-3</v>
      </c>
      <c r="FX113">
        <v>1</v>
      </c>
      <c r="FY113">
        <v>2</v>
      </c>
      <c r="FZ113">
        <v>2</v>
      </c>
      <c r="GA113" t="s">
        <v>422</v>
      </c>
      <c r="GB113">
        <v>2.8943099999999999</v>
      </c>
      <c r="GC113">
        <v>2.8182</v>
      </c>
      <c r="GD113">
        <v>0.18562799999999999</v>
      </c>
      <c r="GE113">
        <v>0.191521</v>
      </c>
      <c r="GF113">
        <v>0.132831</v>
      </c>
      <c r="GG113">
        <v>0.11308600000000001</v>
      </c>
      <c r="GH113">
        <v>22453</v>
      </c>
      <c r="GI113">
        <v>22436.1</v>
      </c>
      <c r="GJ113">
        <v>24471.8</v>
      </c>
      <c r="GK113">
        <v>24798.3</v>
      </c>
      <c r="GL113">
        <v>28197.8</v>
      </c>
      <c r="GM113">
        <v>28715.4</v>
      </c>
      <c r="GN113">
        <v>33087.4</v>
      </c>
      <c r="GO113">
        <v>33059.699999999997</v>
      </c>
      <c r="GP113">
        <v>1.9226000000000001</v>
      </c>
      <c r="GQ113">
        <v>1.8017000000000001</v>
      </c>
      <c r="GR113">
        <v>4.7907199999999997E-2</v>
      </c>
      <c r="GS113">
        <v>0</v>
      </c>
      <c r="GT113">
        <v>29.209499999999998</v>
      </c>
      <c r="GU113">
        <v>999.9</v>
      </c>
      <c r="GV113">
        <v>41</v>
      </c>
      <c r="GW113">
        <v>37.200000000000003</v>
      </c>
      <c r="GX113">
        <v>26.2681</v>
      </c>
      <c r="GY113">
        <v>62.921399999999998</v>
      </c>
      <c r="GZ113">
        <v>24.583300000000001</v>
      </c>
      <c r="HA113">
        <v>1</v>
      </c>
      <c r="HB113">
        <v>0.74648400000000004</v>
      </c>
      <c r="HC113">
        <v>2.62019</v>
      </c>
      <c r="HD113">
        <v>20.146599999999999</v>
      </c>
      <c r="HE113">
        <v>5.23346</v>
      </c>
      <c r="HF113">
        <v>11.9261</v>
      </c>
      <c r="HG113">
        <v>4.9593999999999996</v>
      </c>
      <c r="HH113">
        <v>3.2890000000000001</v>
      </c>
      <c r="HI113">
        <v>9999</v>
      </c>
      <c r="HJ113">
        <v>9999</v>
      </c>
      <c r="HK113">
        <v>9999</v>
      </c>
      <c r="HL113">
        <v>897.5</v>
      </c>
      <c r="HM113">
        <v>1.8808</v>
      </c>
      <c r="HN113">
        <v>1.8778999999999999</v>
      </c>
      <c r="HO113">
        <v>1.88585</v>
      </c>
      <c r="HP113">
        <v>1.88368</v>
      </c>
      <c r="HQ113">
        <v>1.8811</v>
      </c>
      <c r="HR113">
        <v>1.88022</v>
      </c>
      <c r="HS113">
        <v>1.8813</v>
      </c>
      <c r="HT113">
        <v>1.8808</v>
      </c>
      <c r="HU113">
        <v>5</v>
      </c>
      <c r="HV113">
        <v>0</v>
      </c>
      <c r="HW113">
        <v>0</v>
      </c>
      <c r="HX113">
        <v>0</v>
      </c>
      <c r="HY113" t="s">
        <v>423</v>
      </c>
      <c r="HZ113" t="s">
        <v>424</v>
      </c>
      <c r="IA113" t="s">
        <v>425</v>
      </c>
      <c r="IB113" t="s">
        <v>425</v>
      </c>
      <c r="IC113" t="s">
        <v>425</v>
      </c>
      <c r="ID113" t="s">
        <v>425</v>
      </c>
      <c r="IE113">
        <v>0</v>
      </c>
      <c r="IF113">
        <v>100</v>
      </c>
      <c r="IG113">
        <v>100</v>
      </c>
      <c r="IH113">
        <v>-3.34</v>
      </c>
      <c r="II113">
        <v>0.15279999999999999</v>
      </c>
      <c r="IJ113">
        <v>-4.0291721285263504</v>
      </c>
      <c r="IK113">
        <v>2.2153513873161218E-3</v>
      </c>
      <c r="IL113">
        <v>-2.2967369670569612E-6</v>
      </c>
      <c r="IM113">
        <v>7.7859689150384122E-10</v>
      </c>
      <c r="IN113">
        <v>-0.22802188009640811</v>
      </c>
      <c r="IO113">
        <v>-4.1434251034592161E-3</v>
      </c>
      <c r="IP113">
        <v>8.3987709687394815E-4</v>
      </c>
      <c r="IQ113">
        <v>-7.4586254598011197E-6</v>
      </c>
      <c r="IR113">
        <v>2</v>
      </c>
      <c r="IS113">
        <v>1930</v>
      </c>
      <c r="IT113">
        <v>2</v>
      </c>
      <c r="IU113">
        <v>41</v>
      </c>
      <c r="IV113">
        <v>0.6</v>
      </c>
      <c r="IW113">
        <v>0.6</v>
      </c>
      <c r="IX113">
        <v>2.4304199999999998</v>
      </c>
      <c r="IY113">
        <v>2.49756</v>
      </c>
      <c r="IZ113">
        <v>1.24512</v>
      </c>
      <c r="JA113">
        <v>2.2546400000000002</v>
      </c>
      <c r="JB113">
        <v>1.4501999999999999</v>
      </c>
      <c r="JC113">
        <v>2.34253</v>
      </c>
      <c r="JD113">
        <v>39.0931</v>
      </c>
      <c r="JE113">
        <v>24.035</v>
      </c>
      <c r="JF113">
        <v>18</v>
      </c>
      <c r="JG113">
        <v>496.99599999999998</v>
      </c>
      <c r="JH113">
        <v>463.67</v>
      </c>
      <c r="JI113">
        <v>26.138999999999999</v>
      </c>
      <c r="JJ113">
        <v>36.228200000000001</v>
      </c>
      <c r="JK113">
        <v>30.0001</v>
      </c>
      <c r="JL113">
        <v>36.150199999999998</v>
      </c>
      <c r="JM113">
        <v>36.087600000000002</v>
      </c>
      <c r="JN113">
        <v>48.760300000000001</v>
      </c>
      <c r="JO113">
        <v>16.656500000000001</v>
      </c>
      <c r="JP113">
        <v>42.076000000000001</v>
      </c>
      <c r="JQ113">
        <v>26.139900000000001</v>
      </c>
      <c r="JR113">
        <v>1200</v>
      </c>
      <c r="JS113">
        <v>22.443899999999999</v>
      </c>
      <c r="JT113">
        <v>98.761499999999998</v>
      </c>
      <c r="JU113">
        <v>98.747</v>
      </c>
    </row>
    <row r="114" spans="1:281" x14ac:dyDescent="0.25">
      <c r="A114">
        <v>98</v>
      </c>
      <c r="B114">
        <v>1693517628.5999999</v>
      </c>
      <c r="C114">
        <v>21979</v>
      </c>
      <c r="D114" t="s">
        <v>913</v>
      </c>
      <c r="E114" t="s">
        <v>914</v>
      </c>
      <c r="F114" t="s">
        <v>413</v>
      </c>
      <c r="G114" t="s">
        <v>565</v>
      </c>
      <c r="H114" t="s">
        <v>415</v>
      </c>
      <c r="I114" t="s">
        <v>415</v>
      </c>
      <c r="J114">
        <v>1693517628.5999999</v>
      </c>
      <c r="K114">
        <f t="shared" si="138"/>
        <v>4.5861308849644645E-3</v>
      </c>
      <c r="L114">
        <f t="shared" si="139"/>
        <v>4.5861308849644642</v>
      </c>
      <c r="M114">
        <f t="shared" si="140"/>
        <v>46.558699543258875</v>
      </c>
      <c r="N114">
        <f t="shared" si="141"/>
        <v>1436.3</v>
      </c>
      <c r="O114">
        <f t="shared" si="142"/>
        <v>1158.9194428641486</v>
      </c>
      <c r="P114">
        <f t="shared" si="143"/>
        <v>115.41098947265179</v>
      </c>
      <c r="Q114">
        <f t="shared" si="144"/>
        <v>143.03393147835999</v>
      </c>
      <c r="R114">
        <f t="shared" si="145"/>
        <v>0.31852201868701063</v>
      </c>
      <c r="S114">
        <f t="shared" si="146"/>
        <v>2.9239998532003977</v>
      </c>
      <c r="T114">
        <f t="shared" si="147"/>
        <v>0.300424667467177</v>
      </c>
      <c r="U114">
        <f t="shared" si="148"/>
        <v>0.18930565323520915</v>
      </c>
      <c r="V114">
        <f t="shared" si="149"/>
        <v>344.36629864485656</v>
      </c>
      <c r="W114">
        <f t="shared" si="150"/>
        <v>31.092980935664286</v>
      </c>
      <c r="X114">
        <f t="shared" si="151"/>
        <v>30.077500000000001</v>
      </c>
      <c r="Y114">
        <f t="shared" si="152"/>
        <v>4.2794521486711119</v>
      </c>
      <c r="Z114">
        <f t="shared" si="153"/>
        <v>65.074328389750477</v>
      </c>
      <c r="AA114">
        <f t="shared" si="154"/>
        <v>2.8133757558972001</v>
      </c>
      <c r="AB114">
        <f t="shared" si="155"/>
        <v>4.3233266105291381</v>
      </c>
      <c r="AC114">
        <f t="shared" si="156"/>
        <v>1.4660763927739118</v>
      </c>
      <c r="AD114">
        <f t="shared" si="157"/>
        <v>-202.24837202693288</v>
      </c>
      <c r="AE114">
        <f t="shared" si="158"/>
        <v>28.02815731924419</v>
      </c>
      <c r="AF114">
        <f t="shared" si="159"/>
        <v>2.1348710361068526</v>
      </c>
      <c r="AG114">
        <f t="shared" si="160"/>
        <v>172.28095497327473</v>
      </c>
      <c r="AH114">
        <v>0</v>
      </c>
      <c r="AI114">
        <v>0</v>
      </c>
      <c r="AJ114">
        <f t="shared" si="161"/>
        <v>1</v>
      </c>
      <c r="AK114">
        <f t="shared" si="162"/>
        <v>0</v>
      </c>
      <c r="AL114">
        <f t="shared" si="163"/>
        <v>52139.963285301776</v>
      </c>
      <c r="AM114" t="s">
        <v>417</v>
      </c>
      <c r="AN114">
        <v>10366.9</v>
      </c>
      <c r="AO114">
        <v>993.59653846153856</v>
      </c>
      <c r="AP114">
        <v>3431.87</v>
      </c>
      <c r="AQ114">
        <f t="shared" si="164"/>
        <v>0.71047955241266758</v>
      </c>
      <c r="AR114">
        <v>-3.9894345373445681</v>
      </c>
      <c r="AS114" t="s">
        <v>915</v>
      </c>
      <c r="AT114">
        <v>10456.1</v>
      </c>
      <c r="AU114">
        <v>780.00088461538485</v>
      </c>
      <c r="AV114">
        <v>1167.962946835811</v>
      </c>
      <c r="AW114">
        <f t="shared" si="165"/>
        <v>0.33216983746913742</v>
      </c>
      <c r="AX114">
        <v>0.5</v>
      </c>
      <c r="AY114">
        <f t="shared" si="166"/>
        <v>1513.175699322428</v>
      </c>
      <c r="AZ114">
        <f t="shared" si="167"/>
        <v>46.558699543258875</v>
      </c>
      <c r="BA114">
        <f t="shared" si="168"/>
        <v>251.31566305308965</v>
      </c>
      <c r="BB114">
        <f t="shared" si="169"/>
        <v>3.3405330328287693E-2</v>
      </c>
      <c r="BC114">
        <f t="shared" si="170"/>
        <v>1.9383380776740027</v>
      </c>
      <c r="BD114">
        <f t="shared" si="171"/>
        <v>636.43598033307615</v>
      </c>
      <c r="BE114" t="s">
        <v>916</v>
      </c>
      <c r="BF114">
        <v>618.87</v>
      </c>
      <c r="BG114">
        <f t="shared" si="172"/>
        <v>618.87</v>
      </c>
      <c r="BH114">
        <f t="shared" si="173"/>
        <v>0.47012873852153203</v>
      </c>
      <c r="BI114">
        <f t="shared" si="174"/>
        <v>0.70655080247540314</v>
      </c>
      <c r="BJ114">
        <f t="shared" si="175"/>
        <v>0.80480165416430471</v>
      </c>
      <c r="BK114">
        <f t="shared" si="176"/>
        <v>2.2249816684167567</v>
      </c>
      <c r="BL114">
        <f t="shared" si="177"/>
        <v>0.92848775532164729</v>
      </c>
      <c r="BM114">
        <f t="shared" si="178"/>
        <v>0.56059307592140151</v>
      </c>
      <c r="BN114">
        <f t="shared" si="179"/>
        <v>0.43940692407859849</v>
      </c>
      <c r="BO114">
        <v>7938</v>
      </c>
      <c r="BP114">
        <v>290.00000000000011</v>
      </c>
      <c r="BQ114">
        <v>1056.57</v>
      </c>
      <c r="BR114">
        <v>195</v>
      </c>
      <c r="BS114">
        <v>10456.1</v>
      </c>
      <c r="BT114">
        <v>1055.68</v>
      </c>
      <c r="BU114">
        <v>0.89</v>
      </c>
      <c r="BV114">
        <v>300.00000000000011</v>
      </c>
      <c r="BW114">
        <v>38.200000000000003</v>
      </c>
      <c r="BX114">
        <v>1167.962946835811</v>
      </c>
      <c r="BY114">
        <v>1.228304670037017</v>
      </c>
      <c r="BZ114">
        <v>-117.4047914666707</v>
      </c>
      <c r="CA114">
        <v>1.0517169160342981</v>
      </c>
      <c r="CB114">
        <v>0.99775813537363678</v>
      </c>
      <c r="CC114">
        <v>-1.135763047830924E-2</v>
      </c>
      <c r="CD114">
        <v>289.99999999999989</v>
      </c>
      <c r="CE114">
        <v>1042.76</v>
      </c>
      <c r="CF114">
        <v>655</v>
      </c>
      <c r="CG114">
        <v>10437.9</v>
      </c>
      <c r="CH114">
        <v>1055.48</v>
      </c>
      <c r="CI114">
        <v>-12.72</v>
      </c>
      <c r="CW114">
        <f t="shared" si="180"/>
        <v>1799.99</v>
      </c>
      <c r="CX114">
        <f t="shared" si="181"/>
        <v>1513.175699322428</v>
      </c>
      <c r="CY114">
        <f t="shared" si="182"/>
        <v>0.84065783661155236</v>
      </c>
      <c r="CZ114">
        <f t="shared" si="183"/>
        <v>0.19131567322310489</v>
      </c>
      <c r="DA114">
        <v>6</v>
      </c>
      <c r="DB114">
        <v>0.5</v>
      </c>
      <c r="DC114" t="s">
        <v>420</v>
      </c>
      <c r="DD114">
        <v>2</v>
      </c>
      <c r="DE114">
        <v>1693517628.5999999</v>
      </c>
      <c r="DF114">
        <v>1436.3</v>
      </c>
      <c r="DG114">
        <v>1500</v>
      </c>
      <c r="DH114">
        <v>28.251000000000001</v>
      </c>
      <c r="DI114">
        <v>22.909400000000002</v>
      </c>
      <c r="DJ114">
        <v>1439.96</v>
      </c>
      <c r="DK114">
        <v>28.0975</v>
      </c>
      <c r="DL114">
        <v>500.58800000000002</v>
      </c>
      <c r="DM114">
        <v>99.484999999999999</v>
      </c>
      <c r="DN114">
        <v>9.9997199999999994E-2</v>
      </c>
      <c r="DO114">
        <v>30.255299999999998</v>
      </c>
      <c r="DP114">
        <v>30.077500000000001</v>
      </c>
      <c r="DQ114">
        <v>999.9</v>
      </c>
      <c r="DR114">
        <v>0</v>
      </c>
      <c r="DS114">
        <v>0</v>
      </c>
      <c r="DT114">
        <v>10020</v>
      </c>
      <c r="DU114">
        <v>0</v>
      </c>
      <c r="DV114">
        <v>978.06100000000004</v>
      </c>
      <c r="DW114">
        <v>-63.699199999999998</v>
      </c>
      <c r="DX114">
        <v>1478.06</v>
      </c>
      <c r="DY114">
        <v>1535.17</v>
      </c>
      <c r="DZ114">
        <v>5.3415499999999998</v>
      </c>
      <c r="EA114">
        <v>1500</v>
      </c>
      <c r="EB114">
        <v>22.909400000000002</v>
      </c>
      <c r="EC114">
        <v>2.8105500000000001</v>
      </c>
      <c r="ED114">
        <v>2.2791399999999999</v>
      </c>
      <c r="EE114">
        <v>22.946200000000001</v>
      </c>
      <c r="EF114">
        <v>19.529699999999998</v>
      </c>
      <c r="EG114">
        <v>1799.99</v>
      </c>
      <c r="EH114">
        <v>0.97801099999999996</v>
      </c>
      <c r="EI114">
        <v>2.19892E-2</v>
      </c>
      <c r="EJ114">
        <v>0</v>
      </c>
      <c r="EK114">
        <v>780.13199999999995</v>
      </c>
      <c r="EL114">
        <v>5.0010300000000001</v>
      </c>
      <c r="EM114">
        <v>15110.4</v>
      </c>
      <c r="EN114">
        <v>14701.1</v>
      </c>
      <c r="EO114">
        <v>46.436999999999998</v>
      </c>
      <c r="EP114">
        <v>47.875</v>
      </c>
      <c r="EQ114">
        <v>47.436999999999998</v>
      </c>
      <c r="ER114">
        <v>47.75</v>
      </c>
      <c r="ES114">
        <v>48.186999999999998</v>
      </c>
      <c r="ET114">
        <v>1755.52</v>
      </c>
      <c r="EU114">
        <v>39.47</v>
      </c>
      <c r="EV114">
        <v>0</v>
      </c>
      <c r="EW114">
        <v>106.2000000476837</v>
      </c>
      <c r="EX114">
        <v>0</v>
      </c>
      <c r="EY114">
        <v>780.00088461538485</v>
      </c>
      <c r="EZ114">
        <v>0.92721367987842973</v>
      </c>
      <c r="FA114">
        <v>3.93504272340479</v>
      </c>
      <c r="FB114">
        <v>15110.780769230771</v>
      </c>
      <c r="FC114">
        <v>15</v>
      </c>
      <c r="FD114">
        <v>1693517590.5999999</v>
      </c>
      <c r="FE114" t="s">
        <v>917</v>
      </c>
      <c r="FF114">
        <v>1693517590.5999999</v>
      </c>
      <c r="FG114">
        <v>1693517585.0999999</v>
      </c>
      <c r="FH114">
        <v>107</v>
      </c>
      <c r="FI114">
        <v>-0.38400000000000001</v>
      </c>
      <c r="FJ114">
        <v>0</v>
      </c>
      <c r="FK114">
        <v>-3.629</v>
      </c>
      <c r="FL114">
        <v>1.7999999999999999E-2</v>
      </c>
      <c r="FM114">
        <v>1501</v>
      </c>
      <c r="FN114">
        <v>22</v>
      </c>
      <c r="FO114">
        <v>0.11</v>
      </c>
      <c r="FP114">
        <v>0.03</v>
      </c>
      <c r="FQ114">
        <v>46.560245785796077</v>
      </c>
      <c r="FR114">
        <v>0.58838475723814587</v>
      </c>
      <c r="FS114">
        <v>0.14310766975979161</v>
      </c>
      <c r="FT114">
        <v>1</v>
      </c>
      <c r="FU114">
        <v>0.32392733859042899</v>
      </c>
      <c r="FV114">
        <v>-4.1561424091371979E-2</v>
      </c>
      <c r="FW114">
        <v>3.10218756122081E-3</v>
      </c>
      <c r="FX114">
        <v>1</v>
      </c>
      <c r="FY114">
        <v>2</v>
      </c>
      <c r="FZ114">
        <v>2</v>
      </c>
      <c r="GA114" t="s">
        <v>422</v>
      </c>
      <c r="GB114">
        <v>2.8948999999999998</v>
      </c>
      <c r="GC114">
        <v>2.8181799999999999</v>
      </c>
      <c r="GD114">
        <v>0.214084</v>
      </c>
      <c r="GE114">
        <v>0.21923300000000001</v>
      </c>
      <c r="GF114">
        <v>0.13286500000000001</v>
      </c>
      <c r="GG114">
        <v>0.11458400000000001</v>
      </c>
      <c r="GH114">
        <v>21664.2</v>
      </c>
      <c r="GI114">
        <v>21662.400000000001</v>
      </c>
      <c r="GJ114">
        <v>24469.9</v>
      </c>
      <c r="GK114">
        <v>24795.8</v>
      </c>
      <c r="GL114">
        <v>28194.1</v>
      </c>
      <c r="GM114">
        <v>28664.6</v>
      </c>
      <c r="GN114">
        <v>33084.1</v>
      </c>
      <c r="GO114">
        <v>33056.9</v>
      </c>
      <c r="GP114">
        <v>1.9224000000000001</v>
      </c>
      <c r="GQ114">
        <v>1.8041</v>
      </c>
      <c r="GR114">
        <v>5.0991799999999997E-2</v>
      </c>
      <c r="GS114">
        <v>0</v>
      </c>
      <c r="GT114">
        <v>29.247299999999999</v>
      </c>
      <c r="GU114">
        <v>999.9</v>
      </c>
      <c r="GV114">
        <v>41.6</v>
      </c>
      <c r="GW114">
        <v>37.1</v>
      </c>
      <c r="GX114">
        <v>26.508299999999998</v>
      </c>
      <c r="GY114">
        <v>63.1614</v>
      </c>
      <c r="GZ114">
        <v>24.431100000000001</v>
      </c>
      <c r="HA114">
        <v>1</v>
      </c>
      <c r="HB114">
        <v>0.75442100000000001</v>
      </c>
      <c r="HC114">
        <v>3.6241699999999999</v>
      </c>
      <c r="HD114">
        <v>20.129200000000001</v>
      </c>
      <c r="HE114">
        <v>5.2316700000000003</v>
      </c>
      <c r="HF114">
        <v>11.9261</v>
      </c>
      <c r="HG114">
        <v>4.9596</v>
      </c>
      <c r="HH114">
        <v>3.2888000000000002</v>
      </c>
      <c r="HI114">
        <v>9999</v>
      </c>
      <c r="HJ114">
        <v>9999</v>
      </c>
      <c r="HK114">
        <v>9999</v>
      </c>
      <c r="HL114">
        <v>897.5</v>
      </c>
      <c r="HM114">
        <v>1.8808</v>
      </c>
      <c r="HN114">
        <v>1.8778999999999999</v>
      </c>
      <c r="HO114">
        <v>1.88585</v>
      </c>
      <c r="HP114">
        <v>1.88368</v>
      </c>
      <c r="HQ114">
        <v>1.8812</v>
      </c>
      <c r="HR114">
        <v>1.88019</v>
      </c>
      <c r="HS114">
        <v>1.8813</v>
      </c>
      <c r="HT114">
        <v>1.8808</v>
      </c>
      <c r="HU114">
        <v>5</v>
      </c>
      <c r="HV114">
        <v>0</v>
      </c>
      <c r="HW114">
        <v>0</v>
      </c>
      <c r="HX114">
        <v>0</v>
      </c>
      <c r="HY114" t="s">
        <v>423</v>
      </c>
      <c r="HZ114" t="s">
        <v>424</v>
      </c>
      <c r="IA114" t="s">
        <v>425</v>
      </c>
      <c r="IB114" t="s">
        <v>425</v>
      </c>
      <c r="IC114" t="s">
        <v>425</v>
      </c>
      <c r="ID114" t="s">
        <v>425</v>
      </c>
      <c r="IE114">
        <v>0</v>
      </c>
      <c r="IF114">
        <v>100</v>
      </c>
      <c r="IG114">
        <v>100</v>
      </c>
      <c r="IH114">
        <v>-3.66</v>
      </c>
      <c r="II114">
        <v>0.1535</v>
      </c>
      <c r="IJ114">
        <v>-4.4140643123324779</v>
      </c>
      <c r="IK114">
        <v>2.2153513873161218E-3</v>
      </c>
      <c r="IL114">
        <v>-2.2967369670569612E-6</v>
      </c>
      <c r="IM114">
        <v>7.7859689150384122E-10</v>
      </c>
      <c r="IN114">
        <v>-0.22771761908127511</v>
      </c>
      <c r="IO114">
        <v>-4.1434251034592161E-3</v>
      </c>
      <c r="IP114">
        <v>8.3987709687394815E-4</v>
      </c>
      <c r="IQ114">
        <v>-7.4586254598011197E-6</v>
      </c>
      <c r="IR114">
        <v>2</v>
      </c>
      <c r="IS114">
        <v>1930</v>
      </c>
      <c r="IT114">
        <v>2</v>
      </c>
      <c r="IU114">
        <v>41</v>
      </c>
      <c r="IV114">
        <v>0.6</v>
      </c>
      <c r="IW114">
        <v>0.7</v>
      </c>
      <c r="IX114">
        <v>2.9052699999999998</v>
      </c>
      <c r="IY114">
        <v>2.49146</v>
      </c>
      <c r="IZ114">
        <v>1.24512</v>
      </c>
      <c r="JA114">
        <v>2.2546400000000002</v>
      </c>
      <c r="JB114">
        <v>1.4501999999999999</v>
      </c>
      <c r="JC114">
        <v>2.2717299999999998</v>
      </c>
      <c r="JD114">
        <v>39.043599999999998</v>
      </c>
      <c r="JE114">
        <v>24.026199999999999</v>
      </c>
      <c r="JF114">
        <v>18</v>
      </c>
      <c r="JG114">
        <v>497.173</v>
      </c>
      <c r="JH114">
        <v>465.69600000000003</v>
      </c>
      <c r="JI114">
        <v>25.377199999999998</v>
      </c>
      <c r="JJ114">
        <v>36.261899999999997</v>
      </c>
      <c r="JK114">
        <v>30</v>
      </c>
      <c r="JL114">
        <v>36.1907</v>
      </c>
      <c r="JM114">
        <v>36.131399999999999</v>
      </c>
      <c r="JN114">
        <v>58.266599999999997</v>
      </c>
      <c r="JO114">
        <v>16.162299999999998</v>
      </c>
      <c r="JP114">
        <v>44.542099999999998</v>
      </c>
      <c r="JQ114">
        <v>25.337299999999999</v>
      </c>
      <c r="JR114">
        <v>1500</v>
      </c>
      <c r="JS114">
        <v>22.906300000000002</v>
      </c>
      <c r="JT114">
        <v>98.752600000000001</v>
      </c>
      <c r="JU114">
        <v>98.737899999999996</v>
      </c>
    </row>
    <row r="115" spans="1:281" x14ac:dyDescent="0.25">
      <c r="A115">
        <v>99</v>
      </c>
      <c r="B115">
        <v>1693519482.5</v>
      </c>
      <c r="C115">
        <v>23832.900000095371</v>
      </c>
      <c r="D115" t="s">
        <v>918</v>
      </c>
      <c r="E115" t="s">
        <v>919</v>
      </c>
      <c r="F115" t="s">
        <v>413</v>
      </c>
      <c r="G115" t="s">
        <v>778</v>
      </c>
      <c r="H115" t="s">
        <v>416</v>
      </c>
      <c r="I115" t="s">
        <v>415</v>
      </c>
      <c r="J115">
        <v>1693519482.5</v>
      </c>
      <c r="K115">
        <f t="shared" si="138"/>
        <v>3.46884110467287E-3</v>
      </c>
      <c r="L115">
        <f t="shared" si="139"/>
        <v>3.4688411046728702</v>
      </c>
      <c r="M115">
        <f t="shared" si="140"/>
        <v>36.712462674778706</v>
      </c>
      <c r="N115">
        <f t="shared" si="141"/>
        <v>354.62200000000001</v>
      </c>
      <c r="O115">
        <f t="shared" si="142"/>
        <v>103.32691868014692</v>
      </c>
      <c r="P115">
        <f t="shared" si="143"/>
        <v>10.28940429535667</v>
      </c>
      <c r="Q115">
        <f t="shared" si="144"/>
        <v>35.313635368564</v>
      </c>
      <c r="R115">
        <f t="shared" si="145"/>
        <v>0.24848175599056613</v>
      </c>
      <c r="S115">
        <f t="shared" si="146"/>
        <v>2.9081358668199271</v>
      </c>
      <c r="T115">
        <f t="shared" si="147"/>
        <v>0.23726051297681691</v>
      </c>
      <c r="U115">
        <f t="shared" si="148"/>
        <v>0.14925377167855713</v>
      </c>
      <c r="V115">
        <f t="shared" si="149"/>
        <v>344.37069864452832</v>
      </c>
      <c r="W115">
        <f t="shared" si="150"/>
        <v>31.642844974061351</v>
      </c>
      <c r="X115">
        <f t="shared" si="151"/>
        <v>29.992899999999999</v>
      </c>
      <c r="Y115">
        <f t="shared" si="152"/>
        <v>4.2587125922785471</v>
      </c>
      <c r="Z115">
        <f t="shared" si="153"/>
        <v>65.079136410595311</v>
      </c>
      <c r="AA115">
        <f t="shared" si="154"/>
        <v>2.8547998435222</v>
      </c>
      <c r="AB115">
        <f t="shared" si="155"/>
        <v>4.3866590753613925</v>
      </c>
      <c r="AC115">
        <f t="shared" si="156"/>
        <v>1.4039127487563472</v>
      </c>
      <c r="AD115">
        <f t="shared" si="157"/>
        <v>-152.97589271607356</v>
      </c>
      <c r="AE115">
        <f t="shared" si="158"/>
        <v>80.947280185885674</v>
      </c>
      <c r="AF115">
        <f t="shared" si="159"/>
        <v>6.2044891690791042</v>
      </c>
      <c r="AG115">
        <f t="shared" si="160"/>
        <v>278.54657528341954</v>
      </c>
      <c r="AH115">
        <v>0</v>
      </c>
      <c r="AI115">
        <v>0</v>
      </c>
      <c r="AJ115">
        <f t="shared" si="161"/>
        <v>1</v>
      </c>
      <c r="AK115">
        <f t="shared" si="162"/>
        <v>0</v>
      </c>
      <c r="AL115">
        <f t="shared" si="163"/>
        <v>51644.942955990708</v>
      </c>
      <c r="AM115" t="s">
        <v>417</v>
      </c>
      <c r="AN115">
        <v>10366.9</v>
      </c>
      <c r="AO115">
        <v>993.59653846153856</v>
      </c>
      <c r="AP115">
        <v>3431.87</v>
      </c>
      <c r="AQ115">
        <f t="shared" si="164"/>
        <v>0.71047955241266758</v>
      </c>
      <c r="AR115">
        <v>-3.9894345373445681</v>
      </c>
      <c r="AS115" t="s">
        <v>920</v>
      </c>
      <c r="AT115">
        <v>10460.799999999999</v>
      </c>
      <c r="AU115">
        <v>756.55607692307683</v>
      </c>
      <c r="AV115">
        <v>1026.1366846012249</v>
      </c>
      <c r="AW115">
        <f t="shared" si="165"/>
        <v>0.26271413128837895</v>
      </c>
      <c r="AX115">
        <v>0.5</v>
      </c>
      <c r="AY115">
        <f t="shared" si="166"/>
        <v>1513.1927993222644</v>
      </c>
      <c r="AZ115">
        <f t="shared" si="167"/>
        <v>36.712462674778706</v>
      </c>
      <c r="BA115">
        <f t="shared" si="168"/>
        <v>198.7685658728895</v>
      </c>
      <c r="BB115">
        <f t="shared" si="169"/>
        <v>2.6898024647191699E-2</v>
      </c>
      <c r="BC115">
        <f t="shared" si="170"/>
        <v>2.3444569826812942</v>
      </c>
      <c r="BD115">
        <f t="shared" si="171"/>
        <v>591.86045921118773</v>
      </c>
      <c r="BE115" t="s">
        <v>921</v>
      </c>
      <c r="BF115">
        <v>599.27</v>
      </c>
      <c r="BG115">
        <f t="shared" si="172"/>
        <v>599.27</v>
      </c>
      <c r="BH115">
        <f t="shared" si="173"/>
        <v>0.41599398112066621</v>
      </c>
      <c r="BI115">
        <f t="shared" si="174"/>
        <v>0.63153349137562209</v>
      </c>
      <c r="BJ115">
        <f t="shared" si="175"/>
        <v>0.84930216599547226</v>
      </c>
      <c r="BK115">
        <f t="shared" si="176"/>
        <v>8.2845543016589005</v>
      </c>
      <c r="BL115">
        <f t="shared" si="177"/>
        <v>0.98665443123875241</v>
      </c>
      <c r="BM115">
        <f t="shared" si="178"/>
        <v>0.50023929080824636</v>
      </c>
      <c r="BN115">
        <f t="shared" si="179"/>
        <v>0.49976070919175364</v>
      </c>
      <c r="BO115">
        <v>7940</v>
      </c>
      <c r="BP115">
        <v>290.00000000000011</v>
      </c>
      <c r="BQ115">
        <v>948.08</v>
      </c>
      <c r="BR115">
        <v>175</v>
      </c>
      <c r="BS115">
        <v>10460.799999999999</v>
      </c>
      <c r="BT115">
        <v>947.35</v>
      </c>
      <c r="BU115">
        <v>0.73</v>
      </c>
      <c r="BV115">
        <v>300.00000000000011</v>
      </c>
      <c r="BW115">
        <v>38.200000000000003</v>
      </c>
      <c r="BX115">
        <v>1026.1366846012249</v>
      </c>
      <c r="BY115">
        <v>1.22219673388599</v>
      </c>
      <c r="BZ115">
        <v>-82.417819613847016</v>
      </c>
      <c r="CA115">
        <v>1.0466509237056181</v>
      </c>
      <c r="CB115">
        <v>0.99550465727782511</v>
      </c>
      <c r="CC115">
        <v>-1.1359874304783101E-2</v>
      </c>
      <c r="CD115">
        <v>289.99999999999989</v>
      </c>
      <c r="CE115">
        <v>940.25</v>
      </c>
      <c r="CF115">
        <v>695</v>
      </c>
      <c r="CG115">
        <v>10436.299999999999</v>
      </c>
      <c r="CH115">
        <v>947.16</v>
      </c>
      <c r="CI115">
        <v>-6.91</v>
      </c>
      <c r="CW115">
        <f t="shared" si="180"/>
        <v>1800.01</v>
      </c>
      <c r="CX115">
        <f t="shared" si="181"/>
        <v>1513.1927993222644</v>
      </c>
      <c r="CY115">
        <f t="shared" si="182"/>
        <v>0.84065799596794699</v>
      </c>
      <c r="CZ115">
        <f t="shared" si="183"/>
        <v>0.19131599193589385</v>
      </c>
      <c r="DA115">
        <v>6</v>
      </c>
      <c r="DB115">
        <v>0.5</v>
      </c>
      <c r="DC115" t="s">
        <v>420</v>
      </c>
      <c r="DD115">
        <v>2</v>
      </c>
      <c r="DE115">
        <v>1693519482.5</v>
      </c>
      <c r="DF115">
        <v>354.62200000000001</v>
      </c>
      <c r="DG115">
        <v>400.14100000000002</v>
      </c>
      <c r="DH115">
        <v>28.668099999999999</v>
      </c>
      <c r="DI115">
        <v>24.625900000000001</v>
      </c>
      <c r="DJ115">
        <v>356.66199999999998</v>
      </c>
      <c r="DK115">
        <v>28.476900000000001</v>
      </c>
      <c r="DL115">
        <v>500.13299999999998</v>
      </c>
      <c r="DM115">
        <v>99.480699999999999</v>
      </c>
      <c r="DN115">
        <v>0.10036200000000001</v>
      </c>
      <c r="DO115">
        <v>30.5092</v>
      </c>
      <c r="DP115">
        <v>29.992899999999999</v>
      </c>
      <c r="DQ115">
        <v>999.9</v>
      </c>
      <c r="DR115">
        <v>0</v>
      </c>
      <c r="DS115">
        <v>0</v>
      </c>
      <c r="DT115">
        <v>9930</v>
      </c>
      <c r="DU115">
        <v>0</v>
      </c>
      <c r="DV115">
        <v>340.98099999999999</v>
      </c>
      <c r="DW115">
        <v>-45.519500000000001</v>
      </c>
      <c r="DX115">
        <v>365.08800000000002</v>
      </c>
      <c r="DY115">
        <v>410.24400000000003</v>
      </c>
      <c r="DZ115">
        <v>4.0422099999999999</v>
      </c>
      <c r="EA115">
        <v>400.14100000000002</v>
      </c>
      <c r="EB115">
        <v>24.625900000000001</v>
      </c>
      <c r="EC115">
        <v>2.8519299999999999</v>
      </c>
      <c r="ED115">
        <v>2.4498000000000002</v>
      </c>
      <c r="EE115">
        <v>23.187799999999999</v>
      </c>
      <c r="EF115">
        <v>20.6968</v>
      </c>
      <c r="EG115">
        <v>1800.01</v>
      </c>
      <c r="EH115">
        <v>0.97800699999999996</v>
      </c>
      <c r="EI115">
        <v>2.1992899999999999E-2</v>
      </c>
      <c r="EJ115">
        <v>0</v>
      </c>
      <c r="EK115">
        <v>756.93100000000004</v>
      </c>
      <c r="EL115">
        <v>5.0010300000000001</v>
      </c>
      <c r="EM115">
        <v>13875</v>
      </c>
      <c r="EN115">
        <v>14701.2</v>
      </c>
      <c r="EO115">
        <v>46.936999999999998</v>
      </c>
      <c r="EP115">
        <v>47.625</v>
      </c>
      <c r="EQ115">
        <v>48.125</v>
      </c>
      <c r="ER115">
        <v>47</v>
      </c>
      <c r="ES115">
        <v>48.5</v>
      </c>
      <c r="ET115">
        <v>1755.53</v>
      </c>
      <c r="EU115">
        <v>39.479999999999997</v>
      </c>
      <c r="EV115">
        <v>0</v>
      </c>
      <c r="EW115">
        <v>1852.2000000476839</v>
      </c>
      <c r="EX115">
        <v>0</v>
      </c>
      <c r="EY115">
        <v>756.55607692307683</v>
      </c>
      <c r="EZ115">
        <v>0.61353845781713645</v>
      </c>
      <c r="FA115">
        <v>-78.714529925701626</v>
      </c>
      <c r="FB115">
        <v>13879.130769230769</v>
      </c>
      <c r="FC115">
        <v>15</v>
      </c>
      <c r="FD115">
        <v>1693519451</v>
      </c>
      <c r="FE115" t="s">
        <v>922</v>
      </c>
      <c r="FF115">
        <v>1693519447</v>
      </c>
      <c r="FG115">
        <v>1693519451</v>
      </c>
      <c r="FH115">
        <v>109</v>
      </c>
      <c r="FI115">
        <v>0.26300000000000001</v>
      </c>
      <c r="FJ115">
        <v>3.5999999999999997E-2</v>
      </c>
      <c r="FK115">
        <v>-2.0030000000000001</v>
      </c>
      <c r="FL115">
        <v>9.1999999999999998E-2</v>
      </c>
      <c r="FM115">
        <v>400</v>
      </c>
      <c r="FN115">
        <v>25</v>
      </c>
      <c r="FO115">
        <v>0.13</v>
      </c>
      <c r="FP115">
        <v>0.06</v>
      </c>
      <c r="FQ115">
        <v>36.561391596946351</v>
      </c>
      <c r="FR115">
        <v>5.5635272121151942E-2</v>
      </c>
      <c r="FS115">
        <v>8.2593783109161295E-2</v>
      </c>
      <c r="FT115">
        <v>1</v>
      </c>
      <c r="FU115">
        <v>0.25276409500359759</v>
      </c>
      <c r="FV115">
        <v>-1.4267380659562691E-2</v>
      </c>
      <c r="FW115">
        <v>2.791255403801689E-3</v>
      </c>
      <c r="FX115">
        <v>1</v>
      </c>
      <c r="FY115">
        <v>2</v>
      </c>
      <c r="FZ115">
        <v>2</v>
      </c>
      <c r="GA115" t="s">
        <v>422</v>
      </c>
      <c r="GB115">
        <v>2.8990399999999998</v>
      </c>
      <c r="GC115">
        <v>2.8177599999999998</v>
      </c>
      <c r="GD115">
        <v>8.2867099999999999E-2</v>
      </c>
      <c r="GE115">
        <v>9.0626600000000002E-2</v>
      </c>
      <c r="GF115">
        <v>0.13478200000000001</v>
      </c>
      <c r="GG115">
        <v>0.121043</v>
      </c>
      <c r="GH115">
        <v>25394.799999999999</v>
      </c>
      <c r="GI115">
        <v>25313</v>
      </c>
      <c r="GJ115">
        <v>24568.799999999999</v>
      </c>
      <c r="GK115">
        <v>24861.4</v>
      </c>
      <c r="GL115">
        <v>28228.9</v>
      </c>
      <c r="GM115">
        <v>28519.7</v>
      </c>
      <c r="GN115">
        <v>33212.400000000001</v>
      </c>
      <c r="GO115">
        <v>33140.300000000003</v>
      </c>
      <c r="GP115">
        <v>1.9539</v>
      </c>
      <c r="GQ115">
        <v>1.8537999999999999</v>
      </c>
      <c r="GR115">
        <v>0.124156</v>
      </c>
      <c r="GS115">
        <v>0</v>
      </c>
      <c r="GT115">
        <v>27.969100000000001</v>
      </c>
      <c r="GU115">
        <v>999.9</v>
      </c>
      <c r="GV115">
        <v>52.1</v>
      </c>
      <c r="GW115">
        <v>34.700000000000003</v>
      </c>
      <c r="GX115">
        <v>29.091200000000001</v>
      </c>
      <c r="GY115">
        <v>62.981400000000001</v>
      </c>
      <c r="GZ115">
        <v>24.8718</v>
      </c>
      <c r="HA115">
        <v>1</v>
      </c>
      <c r="HB115">
        <v>0.53686</v>
      </c>
      <c r="HC115">
        <v>0.238867</v>
      </c>
      <c r="HD115">
        <v>20.215299999999999</v>
      </c>
      <c r="HE115">
        <v>5.2316700000000003</v>
      </c>
      <c r="HF115">
        <v>11.9201</v>
      </c>
      <c r="HG115">
        <v>4.9585999999999997</v>
      </c>
      <c r="HH115">
        <v>3.2881</v>
      </c>
      <c r="HI115">
        <v>9999</v>
      </c>
      <c r="HJ115">
        <v>9999</v>
      </c>
      <c r="HK115">
        <v>9999</v>
      </c>
      <c r="HL115">
        <v>898.1</v>
      </c>
      <c r="HM115">
        <v>1.8805099999999999</v>
      </c>
      <c r="HN115">
        <v>1.87761</v>
      </c>
      <c r="HO115">
        <v>1.8855299999999999</v>
      </c>
      <c r="HP115">
        <v>1.8833899999999999</v>
      </c>
      <c r="HQ115">
        <v>1.8808100000000001</v>
      </c>
      <c r="HR115">
        <v>1.88001</v>
      </c>
      <c r="HS115">
        <v>1.8811</v>
      </c>
      <c r="HT115">
        <v>1.88049</v>
      </c>
      <c r="HU115">
        <v>5</v>
      </c>
      <c r="HV115">
        <v>0</v>
      </c>
      <c r="HW115">
        <v>0</v>
      </c>
      <c r="HX115">
        <v>0</v>
      </c>
      <c r="HY115" t="s">
        <v>423</v>
      </c>
      <c r="HZ115" t="s">
        <v>424</v>
      </c>
      <c r="IA115" t="s">
        <v>425</v>
      </c>
      <c r="IB115" t="s">
        <v>425</v>
      </c>
      <c r="IC115" t="s">
        <v>425</v>
      </c>
      <c r="ID115" t="s">
        <v>425</v>
      </c>
      <c r="IE115">
        <v>0</v>
      </c>
      <c r="IF115">
        <v>100</v>
      </c>
      <c r="IG115">
        <v>100</v>
      </c>
      <c r="IH115">
        <v>-2.04</v>
      </c>
      <c r="II115">
        <v>0.19120000000000001</v>
      </c>
      <c r="IJ115">
        <v>-2.5733957133237388</v>
      </c>
      <c r="IK115">
        <v>2.2153513873161218E-3</v>
      </c>
      <c r="IL115">
        <v>-2.2967369670569612E-6</v>
      </c>
      <c r="IM115">
        <v>7.7859689150384122E-10</v>
      </c>
      <c r="IN115">
        <v>-0.19955817309219381</v>
      </c>
      <c r="IO115">
        <v>-4.1434251034592161E-3</v>
      </c>
      <c r="IP115">
        <v>8.3987709687394815E-4</v>
      </c>
      <c r="IQ115">
        <v>-7.4586254598011197E-6</v>
      </c>
      <c r="IR115">
        <v>2</v>
      </c>
      <c r="IS115">
        <v>1930</v>
      </c>
      <c r="IT115">
        <v>2</v>
      </c>
      <c r="IU115">
        <v>41</v>
      </c>
      <c r="IV115">
        <v>0.6</v>
      </c>
      <c r="IW115">
        <v>0.5</v>
      </c>
      <c r="IX115">
        <v>1.00464</v>
      </c>
      <c r="IY115">
        <v>2.49756</v>
      </c>
      <c r="IZ115">
        <v>1.24512</v>
      </c>
      <c r="JA115">
        <v>2.2595200000000002</v>
      </c>
      <c r="JB115">
        <v>1.4501999999999999</v>
      </c>
      <c r="JC115">
        <v>2.3278799999999999</v>
      </c>
      <c r="JD115">
        <v>37.819499999999998</v>
      </c>
      <c r="JE115">
        <v>15.962</v>
      </c>
      <c r="JF115">
        <v>18</v>
      </c>
      <c r="JG115">
        <v>500.26400000000001</v>
      </c>
      <c r="JH115">
        <v>482.48099999999999</v>
      </c>
      <c r="JI115">
        <v>28.836600000000001</v>
      </c>
      <c r="JJ115">
        <v>33.759599999999999</v>
      </c>
      <c r="JK115">
        <v>29.999600000000001</v>
      </c>
      <c r="JL115">
        <v>33.85</v>
      </c>
      <c r="JM115">
        <v>33.814900000000002</v>
      </c>
      <c r="JN115">
        <v>20.203199999999999</v>
      </c>
      <c r="JO115">
        <v>23.016100000000002</v>
      </c>
      <c r="JP115">
        <v>80.968900000000005</v>
      </c>
      <c r="JQ115">
        <v>28.837900000000001</v>
      </c>
      <c r="JR115">
        <v>400</v>
      </c>
      <c r="JS115">
        <v>24.652999999999999</v>
      </c>
      <c r="JT115">
        <v>99.142399999999995</v>
      </c>
      <c r="JU115">
        <v>98.9923</v>
      </c>
    </row>
    <row r="116" spans="1:281" x14ac:dyDescent="0.25">
      <c r="A116">
        <v>100</v>
      </c>
      <c r="B116">
        <v>1693519585.0999999</v>
      </c>
      <c r="C116">
        <v>23935.5</v>
      </c>
      <c r="D116" t="s">
        <v>923</v>
      </c>
      <c r="E116" t="s">
        <v>924</v>
      </c>
      <c r="F116" t="s">
        <v>413</v>
      </c>
      <c r="G116" t="s">
        <v>778</v>
      </c>
      <c r="H116" t="s">
        <v>416</v>
      </c>
      <c r="I116" t="s">
        <v>415</v>
      </c>
      <c r="J116">
        <v>1693519585.0999999</v>
      </c>
      <c r="K116">
        <f t="shared" si="138"/>
        <v>3.5566301168551973E-3</v>
      </c>
      <c r="L116">
        <f t="shared" si="139"/>
        <v>3.5566301168551973</v>
      </c>
      <c r="M116">
        <f t="shared" si="140"/>
        <v>28.797556444727743</v>
      </c>
      <c r="N116">
        <f t="shared" si="141"/>
        <v>264.33499999999998</v>
      </c>
      <c r="O116">
        <f t="shared" si="142"/>
        <v>73.923066453281976</v>
      </c>
      <c r="P116">
        <f t="shared" si="143"/>
        <v>7.3612582921102199</v>
      </c>
      <c r="Q116">
        <f t="shared" si="144"/>
        <v>26.322476920984993</v>
      </c>
      <c r="R116">
        <f t="shared" si="145"/>
        <v>0.25737716943240335</v>
      </c>
      <c r="S116">
        <f t="shared" si="146"/>
        <v>2.9151418215854248</v>
      </c>
      <c r="T116">
        <f t="shared" si="147"/>
        <v>0.24538644369328083</v>
      </c>
      <c r="U116">
        <f t="shared" si="148"/>
        <v>0.15439728650580131</v>
      </c>
      <c r="V116">
        <f t="shared" si="149"/>
        <v>344.32319864433998</v>
      </c>
      <c r="W116">
        <f t="shared" si="150"/>
        <v>31.633541013271802</v>
      </c>
      <c r="X116">
        <f t="shared" si="151"/>
        <v>29.991</v>
      </c>
      <c r="Y116">
        <f t="shared" si="152"/>
        <v>4.2582478177999326</v>
      </c>
      <c r="Z116">
        <f t="shared" si="153"/>
        <v>65.286144843447843</v>
      </c>
      <c r="AA116">
        <f t="shared" si="154"/>
        <v>2.8665693689205995</v>
      </c>
      <c r="AB116">
        <f t="shared" si="155"/>
        <v>4.3907775161092086</v>
      </c>
      <c r="AC116">
        <f t="shared" si="156"/>
        <v>1.391678448879333</v>
      </c>
      <c r="AD116">
        <f t="shared" si="157"/>
        <v>-156.8473881533142</v>
      </c>
      <c r="AE116">
        <f t="shared" si="158"/>
        <v>84.018337898288721</v>
      </c>
      <c r="AF116">
        <f t="shared" si="159"/>
        <v>6.4248653639464361</v>
      </c>
      <c r="AG116">
        <f t="shared" si="160"/>
        <v>277.91901375326091</v>
      </c>
      <c r="AH116">
        <v>0</v>
      </c>
      <c r="AI116">
        <v>0</v>
      </c>
      <c r="AJ116">
        <f t="shared" si="161"/>
        <v>1</v>
      </c>
      <c r="AK116">
        <f t="shared" si="162"/>
        <v>0</v>
      </c>
      <c r="AL116">
        <f t="shared" si="163"/>
        <v>51841.232651767234</v>
      </c>
      <c r="AM116" t="s">
        <v>417</v>
      </c>
      <c r="AN116">
        <v>10366.9</v>
      </c>
      <c r="AO116">
        <v>993.59653846153856</v>
      </c>
      <c r="AP116">
        <v>3431.87</v>
      </c>
      <c r="AQ116">
        <f t="shared" si="164"/>
        <v>0.71047955241266758</v>
      </c>
      <c r="AR116">
        <v>-3.9894345373445681</v>
      </c>
      <c r="AS116" t="s">
        <v>925</v>
      </c>
      <c r="AT116">
        <v>10447.4</v>
      </c>
      <c r="AU116">
        <v>746.67784615384619</v>
      </c>
      <c r="AV116">
        <v>962.17887763965041</v>
      </c>
      <c r="AW116">
        <f t="shared" si="165"/>
        <v>0.22397190012573986</v>
      </c>
      <c r="AX116">
        <v>0.5</v>
      </c>
      <c r="AY116">
        <f t="shared" si="166"/>
        <v>1512.9827993221702</v>
      </c>
      <c r="AZ116">
        <f t="shared" si="167"/>
        <v>28.797556444727743</v>
      </c>
      <c r="BA116">
        <f t="shared" si="168"/>
        <v>169.43281621087371</v>
      </c>
      <c r="BB116">
        <f t="shared" si="169"/>
        <v>2.167043207415258E-2</v>
      </c>
      <c r="BC116">
        <f t="shared" si="170"/>
        <v>2.5667692149081698</v>
      </c>
      <c r="BD116">
        <f t="shared" si="171"/>
        <v>570.00642547258735</v>
      </c>
      <c r="BE116" t="s">
        <v>926</v>
      </c>
      <c r="BF116">
        <v>593.51</v>
      </c>
      <c r="BG116">
        <f t="shared" si="172"/>
        <v>593.51</v>
      </c>
      <c r="BH116">
        <f t="shared" si="173"/>
        <v>0.38316043534861521</v>
      </c>
      <c r="BI116">
        <f t="shared" si="174"/>
        <v>0.58453817112395989</v>
      </c>
      <c r="BJ116">
        <f t="shared" si="175"/>
        <v>0.8701120091744351</v>
      </c>
      <c r="BK116">
        <f t="shared" si="176"/>
        <v>-6.8592322231599221</v>
      </c>
      <c r="BL116">
        <f t="shared" si="177"/>
        <v>1.0128852080447384</v>
      </c>
      <c r="BM116">
        <f t="shared" si="178"/>
        <v>0.46463043162566231</v>
      </c>
      <c r="BN116">
        <f t="shared" si="179"/>
        <v>0.53536956837433769</v>
      </c>
      <c r="BO116">
        <v>7942</v>
      </c>
      <c r="BP116">
        <v>290.00000000000011</v>
      </c>
      <c r="BQ116">
        <v>900.88</v>
      </c>
      <c r="BR116">
        <v>295</v>
      </c>
      <c r="BS116">
        <v>10447.4</v>
      </c>
      <c r="BT116">
        <v>900.84</v>
      </c>
      <c r="BU116">
        <v>0.04</v>
      </c>
      <c r="BV116">
        <v>300.00000000000011</v>
      </c>
      <c r="BW116">
        <v>38.200000000000003</v>
      </c>
      <c r="BX116">
        <v>962.17887763965041</v>
      </c>
      <c r="BY116">
        <v>1.120769945167027</v>
      </c>
      <c r="BZ116">
        <v>-64.080904698071038</v>
      </c>
      <c r="CA116">
        <v>0.95979166214693801</v>
      </c>
      <c r="CB116">
        <v>0.9937578345789233</v>
      </c>
      <c r="CC116">
        <v>-1.1359442714126811E-2</v>
      </c>
      <c r="CD116">
        <v>289.99999999999989</v>
      </c>
      <c r="CE116">
        <v>896.85</v>
      </c>
      <c r="CF116">
        <v>715</v>
      </c>
      <c r="CG116">
        <v>10435</v>
      </c>
      <c r="CH116">
        <v>900.77</v>
      </c>
      <c r="CI116">
        <v>-3.92</v>
      </c>
      <c r="CW116">
        <f t="shared" si="180"/>
        <v>1799.76</v>
      </c>
      <c r="CX116">
        <f t="shared" si="181"/>
        <v>1512.9827993221702</v>
      </c>
      <c r="CY116">
        <f t="shared" si="182"/>
        <v>0.8406580873684103</v>
      </c>
      <c r="CZ116">
        <f t="shared" si="183"/>
        <v>0.19131617473682047</v>
      </c>
      <c r="DA116">
        <v>6</v>
      </c>
      <c r="DB116">
        <v>0.5</v>
      </c>
      <c r="DC116" t="s">
        <v>420</v>
      </c>
      <c r="DD116">
        <v>2</v>
      </c>
      <c r="DE116">
        <v>1693519585.0999999</v>
      </c>
      <c r="DF116">
        <v>264.33499999999998</v>
      </c>
      <c r="DG116">
        <v>299.99099999999999</v>
      </c>
      <c r="DH116">
        <v>28.7866</v>
      </c>
      <c r="DI116">
        <v>24.6449</v>
      </c>
      <c r="DJ116">
        <v>266.12</v>
      </c>
      <c r="DK116">
        <v>28.594799999999999</v>
      </c>
      <c r="DL116">
        <v>500.41</v>
      </c>
      <c r="DM116">
        <v>99.479399999999998</v>
      </c>
      <c r="DN116">
        <v>0.100591</v>
      </c>
      <c r="DO116">
        <v>30.525600000000001</v>
      </c>
      <c r="DP116">
        <v>29.991</v>
      </c>
      <c r="DQ116">
        <v>999.9</v>
      </c>
      <c r="DR116">
        <v>0</v>
      </c>
      <c r="DS116">
        <v>0</v>
      </c>
      <c r="DT116">
        <v>9970</v>
      </c>
      <c r="DU116">
        <v>0</v>
      </c>
      <c r="DV116">
        <v>340.76600000000002</v>
      </c>
      <c r="DW116">
        <v>-35.655900000000003</v>
      </c>
      <c r="DX116">
        <v>272.17</v>
      </c>
      <c r="DY116">
        <v>307.57100000000003</v>
      </c>
      <c r="DZ116">
        <v>4.1416899999999996</v>
      </c>
      <c r="EA116">
        <v>299.99099999999999</v>
      </c>
      <c r="EB116">
        <v>24.6449</v>
      </c>
      <c r="EC116">
        <v>2.8636699999999999</v>
      </c>
      <c r="ED116">
        <v>2.45166</v>
      </c>
      <c r="EE116">
        <v>23.255800000000001</v>
      </c>
      <c r="EF116">
        <v>20.709099999999999</v>
      </c>
      <c r="EG116">
        <v>1799.76</v>
      </c>
      <c r="EH116">
        <v>0.97800299999999996</v>
      </c>
      <c r="EI116">
        <v>2.1996499999999999E-2</v>
      </c>
      <c r="EJ116">
        <v>0</v>
      </c>
      <c r="EK116">
        <v>746.31500000000005</v>
      </c>
      <c r="EL116">
        <v>5.0010300000000001</v>
      </c>
      <c r="EM116">
        <v>13682.4</v>
      </c>
      <c r="EN116">
        <v>14699.2</v>
      </c>
      <c r="EO116">
        <v>46.875</v>
      </c>
      <c r="EP116">
        <v>47.625</v>
      </c>
      <c r="EQ116">
        <v>48.125</v>
      </c>
      <c r="ER116">
        <v>47</v>
      </c>
      <c r="ES116">
        <v>48.436999999999998</v>
      </c>
      <c r="ET116">
        <v>1755.28</v>
      </c>
      <c r="EU116">
        <v>39.479999999999997</v>
      </c>
      <c r="EV116">
        <v>0</v>
      </c>
      <c r="EW116">
        <v>100.7999999523163</v>
      </c>
      <c r="EX116">
        <v>0</v>
      </c>
      <c r="EY116">
        <v>746.67784615384619</v>
      </c>
      <c r="EZ116">
        <v>-2.1977435945642299</v>
      </c>
      <c r="FA116">
        <v>-55.305982911642992</v>
      </c>
      <c r="FB116">
        <v>13689.396153846161</v>
      </c>
      <c r="FC116">
        <v>15</v>
      </c>
      <c r="FD116">
        <v>1693519547.5999999</v>
      </c>
      <c r="FE116" t="s">
        <v>927</v>
      </c>
      <c r="FF116">
        <v>1693519543.5999999</v>
      </c>
      <c r="FG116">
        <v>1693519547.5999999</v>
      </c>
      <c r="FH116">
        <v>110</v>
      </c>
      <c r="FI116">
        <v>0.34699999999999998</v>
      </c>
      <c r="FJ116">
        <v>-2E-3</v>
      </c>
      <c r="FK116">
        <v>-1.7450000000000001</v>
      </c>
      <c r="FL116">
        <v>0.09</v>
      </c>
      <c r="FM116">
        <v>300</v>
      </c>
      <c r="FN116">
        <v>25</v>
      </c>
      <c r="FO116">
        <v>0.19</v>
      </c>
      <c r="FP116">
        <v>0.04</v>
      </c>
      <c r="FQ116">
        <v>28.622434743925499</v>
      </c>
      <c r="FR116">
        <v>0.68261049405862317</v>
      </c>
      <c r="FS116">
        <v>7.9219460925287671E-2</v>
      </c>
      <c r="FT116">
        <v>1</v>
      </c>
      <c r="FU116">
        <v>0.2575821756922862</v>
      </c>
      <c r="FV116">
        <v>-2.3572143614334511E-2</v>
      </c>
      <c r="FW116">
        <v>1.944270005603706E-3</v>
      </c>
      <c r="FX116">
        <v>1</v>
      </c>
      <c r="FY116">
        <v>2</v>
      </c>
      <c r="FZ116">
        <v>2</v>
      </c>
      <c r="GA116" t="s">
        <v>422</v>
      </c>
      <c r="GB116">
        <v>2.9</v>
      </c>
      <c r="GC116">
        <v>2.8183400000000001</v>
      </c>
      <c r="GD116">
        <v>6.5332299999999996E-2</v>
      </c>
      <c r="GE116">
        <v>7.2158799999999995E-2</v>
      </c>
      <c r="GF116">
        <v>0.13519900000000001</v>
      </c>
      <c r="GG116">
        <v>0.121139</v>
      </c>
      <c r="GH116">
        <v>25885.5</v>
      </c>
      <c r="GI116">
        <v>25830.799999999999</v>
      </c>
      <c r="GJ116">
        <v>24573.8</v>
      </c>
      <c r="GK116">
        <v>24864.9</v>
      </c>
      <c r="GL116">
        <v>28220.400000000001</v>
      </c>
      <c r="GM116">
        <v>28520.1</v>
      </c>
      <c r="GN116">
        <v>33219.199999999997</v>
      </c>
      <c r="GO116">
        <v>33144.9</v>
      </c>
      <c r="GP116">
        <v>1.9557</v>
      </c>
      <c r="GQ116">
        <v>1.8559000000000001</v>
      </c>
      <c r="GR116">
        <v>0.122726</v>
      </c>
      <c r="GS116">
        <v>0</v>
      </c>
      <c r="GT116">
        <v>27.990500000000001</v>
      </c>
      <c r="GU116">
        <v>999.9</v>
      </c>
      <c r="GV116">
        <v>52.4</v>
      </c>
      <c r="GW116">
        <v>34.700000000000003</v>
      </c>
      <c r="GX116">
        <v>29.263400000000001</v>
      </c>
      <c r="GY116">
        <v>63.140500000000003</v>
      </c>
      <c r="GZ116">
        <v>23.573699999999999</v>
      </c>
      <c r="HA116">
        <v>1</v>
      </c>
      <c r="HB116">
        <v>0.52461400000000002</v>
      </c>
      <c r="HC116">
        <v>1.7636200000000001E-2</v>
      </c>
      <c r="HD116">
        <v>20.216200000000001</v>
      </c>
      <c r="HE116">
        <v>5.2346599999999999</v>
      </c>
      <c r="HF116">
        <v>11.9201</v>
      </c>
      <c r="HG116">
        <v>4.9603999999999999</v>
      </c>
      <c r="HH116">
        <v>3.2890000000000001</v>
      </c>
      <c r="HI116">
        <v>9999</v>
      </c>
      <c r="HJ116">
        <v>9999</v>
      </c>
      <c r="HK116">
        <v>9999</v>
      </c>
      <c r="HL116">
        <v>898.1</v>
      </c>
      <c r="HM116">
        <v>1.88049</v>
      </c>
      <c r="HN116">
        <v>1.8776200000000001</v>
      </c>
      <c r="HO116">
        <v>1.8855500000000001</v>
      </c>
      <c r="HP116">
        <v>1.8833899999999999</v>
      </c>
      <c r="HQ116">
        <v>1.88086</v>
      </c>
      <c r="HR116">
        <v>1.8800399999999999</v>
      </c>
      <c r="HS116">
        <v>1.8811</v>
      </c>
      <c r="HT116">
        <v>1.88049</v>
      </c>
      <c r="HU116">
        <v>5</v>
      </c>
      <c r="HV116">
        <v>0</v>
      </c>
      <c r="HW116">
        <v>0</v>
      </c>
      <c r="HX116">
        <v>0</v>
      </c>
      <c r="HY116" t="s">
        <v>423</v>
      </c>
      <c r="HZ116" t="s">
        <v>424</v>
      </c>
      <c r="IA116" t="s">
        <v>425</v>
      </c>
      <c r="IB116" t="s">
        <v>425</v>
      </c>
      <c r="IC116" t="s">
        <v>425</v>
      </c>
      <c r="ID116" t="s">
        <v>425</v>
      </c>
      <c r="IE116">
        <v>0</v>
      </c>
      <c r="IF116">
        <v>100</v>
      </c>
      <c r="IG116">
        <v>100</v>
      </c>
      <c r="IH116">
        <v>-1.7849999999999999</v>
      </c>
      <c r="II116">
        <v>0.1918</v>
      </c>
      <c r="IJ116">
        <v>-2.2261379670090289</v>
      </c>
      <c r="IK116">
        <v>2.2153513873161218E-3</v>
      </c>
      <c r="IL116">
        <v>-2.2967369670569612E-6</v>
      </c>
      <c r="IM116">
        <v>7.7859689150384122E-10</v>
      </c>
      <c r="IN116">
        <v>-0.20204012967723681</v>
      </c>
      <c r="IO116">
        <v>-4.1434251034592161E-3</v>
      </c>
      <c r="IP116">
        <v>8.3987709687394815E-4</v>
      </c>
      <c r="IQ116">
        <v>-7.4586254598011197E-6</v>
      </c>
      <c r="IR116">
        <v>2</v>
      </c>
      <c r="IS116">
        <v>1930</v>
      </c>
      <c r="IT116">
        <v>2</v>
      </c>
      <c r="IU116">
        <v>41</v>
      </c>
      <c r="IV116">
        <v>0.7</v>
      </c>
      <c r="IW116">
        <v>0.6</v>
      </c>
      <c r="IX116">
        <v>0.80200199999999999</v>
      </c>
      <c r="IY116">
        <v>2.50488</v>
      </c>
      <c r="IZ116">
        <v>1.24512</v>
      </c>
      <c r="JA116">
        <v>2.2595200000000002</v>
      </c>
      <c r="JB116">
        <v>1.4501999999999999</v>
      </c>
      <c r="JC116">
        <v>2.3132299999999999</v>
      </c>
      <c r="JD116">
        <v>37.698700000000002</v>
      </c>
      <c r="JE116">
        <v>15.962</v>
      </c>
      <c r="JF116">
        <v>18</v>
      </c>
      <c r="JG116">
        <v>500.48</v>
      </c>
      <c r="JH116">
        <v>482.94400000000002</v>
      </c>
      <c r="JI116">
        <v>28.859400000000001</v>
      </c>
      <c r="JJ116">
        <v>33.641500000000001</v>
      </c>
      <c r="JK116">
        <v>29.998999999999999</v>
      </c>
      <c r="JL116">
        <v>33.724600000000002</v>
      </c>
      <c r="JM116">
        <v>33.689799999999998</v>
      </c>
      <c r="JN116">
        <v>16.136399999999998</v>
      </c>
      <c r="JO116">
        <v>22.706900000000001</v>
      </c>
      <c r="JP116">
        <v>82.130099999999999</v>
      </c>
      <c r="JQ116">
        <v>28.8477</v>
      </c>
      <c r="JR116">
        <v>300</v>
      </c>
      <c r="JS116">
        <v>24.611899999999999</v>
      </c>
      <c r="JT116">
        <v>99.162800000000004</v>
      </c>
      <c r="JU116">
        <v>99.006100000000004</v>
      </c>
    </row>
    <row r="117" spans="1:281" x14ac:dyDescent="0.25">
      <c r="A117">
        <v>101</v>
      </c>
      <c r="B117">
        <v>1693519731.0999999</v>
      </c>
      <c r="C117">
        <v>24081.5</v>
      </c>
      <c r="D117" t="s">
        <v>928</v>
      </c>
      <c r="E117" t="s">
        <v>929</v>
      </c>
      <c r="F117" t="s">
        <v>413</v>
      </c>
      <c r="G117" t="s">
        <v>778</v>
      </c>
      <c r="H117" t="s">
        <v>416</v>
      </c>
      <c r="I117" t="s">
        <v>415</v>
      </c>
      <c r="J117">
        <v>1693519731.0999999</v>
      </c>
      <c r="K117">
        <f t="shared" si="138"/>
        <v>4.1552057531596418E-3</v>
      </c>
      <c r="L117">
        <f t="shared" si="139"/>
        <v>4.1552057531596418</v>
      </c>
      <c r="M117">
        <f t="shared" si="140"/>
        <v>21.830474394951072</v>
      </c>
      <c r="N117">
        <f t="shared" si="141"/>
        <v>173.096</v>
      </c>
      <c r="O117">
        <f t="shared" si="142"/>
        <v>50.811786955840134</v>
      </c>
      <c r="P117">
        <f t="shared" si="143"/>
        <v>5.0597293279527333</v>
      </c>
      <c r="Q117">
        <f t="shared" si="144"/>
        <v>17.2365303450648</v>
      </c>
      <c r="R117">
        <f t="shared" si="145"/>
        <v>0.30615439569267777</v>
      </c>
      <c r="S117">
        <f t="shared" si="146"/>
        <v>2.9326133907087359</v>
      </c>
      <c r="T117">
        <f t="shared" si="147"/>
        <v>0.28944178055824082</v>
      </c>
      <c r="U117">
        <f t="shared" si="148"/>
        <v>0.18232660866180353</v>
      </c>
      <c r="V117">
        <f t="shared" si="149"/>
        <v>344.33459864438521</v>
      </c>
      <c r="W117">
        <f t="shared" si="150"/>
        <v>31.508912449487898</v>
      </c>
      <c r="X117">
        <f t="shared" si="151"/>
        <v>29.9665</v>
      </c>
      <c r="Y117">
        <f t="shared" si="152"/>
        <v>4.2522586321312641</v>
      </c>
      <c r="Z117">
        <f t="shared" si="153"/>
        <v>65.315670346080182</v>
      </c>
      <c r="AA117">
        <f t="shared" si="154"/>
        <v>2.8738769681377798</v>
      </c>
      <c r="AB117">
        <f t="shared" si="155"/>
        <v>4.3999808206978788</v>
      </c>
      <c r="AC117">
        <f t="shared" si="156"/>
        <v>1.3783816639934843</v>
      </c>
      <c r="AD117">
        <f t="shared" si="157"/>
        <v>-183.24457371434019</v>
      </c>
      <c r="AE117">
        <f t="shared" si="158"/>
        <v>94.181988743518232</v>
      </c>
      <c r="AF117">
        <f t="shared" si="159"/>
        <v>7.1595998571251229</v>
      </c>
      <c r="AG117">
        <f t="shared" si="160"/>
        <v>262.43161353068837</v>
      </c>
      <c r="AH117">
        <v>0</v>
      </c>
      <c r="AI117">
        <v>0</v>
      </c>
      <c r="AJ117">
        <f t="shared" si="161"/>
        <v>1</v>
      </c>
      <c r="AK117">
        <f t="shared" si="162"/>
        <v>0</v>
      </c>
      <c r="AL117">
        <f t="shared" si="163"/>
        <v>52332.764209094887</v>
      </c>
      <c r="AM117" t="s">
        <v>417</v>
      </c>
      <c r="AN117">
        <v>10366.9</v>
      </c>
      <c r="AO117">
        <v>993.59653846153856</v>
      </c>
      <c r="AP117">
        <v>3431.87</v>
      </c>
      <c r="AQ117">
        <f t="shared" si="164"/>
        <v>0.71047955241266758</v>
      </c>
      <c r="AR117">
        <v>-3.9894345373445681</v>
      </c>
      <c r="AS117" t="s">
        <v>930</v>
      </c>
      <c r="AT117">
        <v>10455.4</v>
      </c>
      <c r="AU117">
        <v>750.71473076923075</v>
      </c>
      <c r="AV117">
        <v>916.56935376206513</v>
      </c>
      <c r="AW117">
        <f t="shared" si="165"/>
        <v>0.18095152572152118</v>
      </c>
      <c r="AX117">
        <v>0.5</v>
      </c>
      <c r="AY117">
        <f t="shared" si="166"/>
        <v>1513.0331993221926</v>
      </c>
      <c r="AZ117">
        <f t="shared" si="167"/>
        <v>21.830474394951072</v>
      </c>
      <c r="BA117">
        <f t="shared" si="168"/>
        <v>136.8928329423326</v>
      </c>
      <c r="BB117">
        <f t="shared" si="169"/>
        <v>1.7064998272253658E-2</v>
      </c>
      <c r="BC117">
        <f t="shared" si="170"/>
        <v>2.7442556702489194</v>
      </c>
      <c r="BD117">
        <f t="shared" si="171"/>
        <v>553.68431328818315</v>
      </c>
      <c r="BE117" t="s">
        <v>931</v>
      </c>
      <c r="BF117">
        <v>591.47</v>
      </c>
      <c r="BG117">
        <f t="shared" si="172"/>
        <v>591.47</v>
      </c>
      <c r="BH117">
        <f t="shared" si="173"/>
        <v>0.35469149435085578</v>
      </c>
      <c r="BI117">
        <f t="shared" si="174"/>
        <v>0.51016595718680102</v>
      </c>
      <c r="BJ117">
        <f t="shared" si="175"/>
        <v>0.88554451705320913</v>
      </c>
      <c r="BK117">
        <f t="shared" si="176"/>
        <v>-2.1531959611392653</v>
      </c>
      <c r="BL117">
        <f t="shared" si="177"/>
        <v>1.0315908719487403</v>
      </c>
      <c r="BM117">
        <f t="shared" si="178"/>
        <v>0.40194743266604993</v>
      </c>
      <c r="BN117">
        <f t="shared" si="179"/>
        <v>0.59805256733395007</v>
      </c>
      <c r="BO117">
        <v>7944</v>
      </c>
      <c r="BP117">
        <v>290.00000000000011</v>
      </c>
      <c r="BQ117">
        <v>869.42</v>
      </c>
      <c r="BR117">
        <v>215</v>
      </c>
      <c r="BS117">
        <v>10455.4</v>
      </c>
      <c r="BT117">
        <v>869.29</v>
      </c>
      <c r="BU117">
        <v>0.13</v>
      </c>
      <c r="BV117">
        <v>300.00000000000011</v>
      </c>
      <c r="BW117">
        <v>38.200000000000003</v>
      </c>
      <c r="BX117">
        <v>916.56935376206513</v>
      </c>
      <c r="BY117">
        <v>1.1700858860415939</v>
      </c>
      <c r="BZ117">
        <v>-49.430906190229813</v>
      </c>
      <c r="CA117">
        <v>1.0020387678011891</v>
      </c>
      <c r="CB117">
        <v>0.98862473798613171</v>
      </c>
      <c r="CC117">
        <v>-1.1359496996662961E-2</v>
      </c>
      <c r="CD117">
        <v>289.99999999999989</v>
      </c>
      <c r="CE117">
        <v>867.03</v>
      </c>
      <c r="CF117">
        <v>665</v>
      </c>
      <c r="CG117">
        <v>10438.799999999999</v>
      </c>
      <c r="CH117">
        <v>869.22</v>
      </c>
      <c r="CI117">
        <v>-2.19</v>
      </c>
      <c r="CW117">
        <f t="shared" si="180"/>
        <v>1799.82</v>
      </c>
      <c r="CX117">
        <f t="shared" si="181"/>
        <v>1513.0331993221926</v>
      </c>
      <c r="CY117">
        <f t="shared" si="182"/>
        <v>0.84065806542998334</v>
      </c>
      <c r="CZ117">
        <f t="shared" si="183"/>
        <v>0.19131613085996668</v>
      </c>
      <c r="DA117">
        <v>6</v>
      </c>
      <c r="DB117">
        <v>0.5</v>
      </c>
      <c r="DC117" t="s">
        <v>420</v>
      </c>
      <c r="DD117">
        <v>2</v>
      </c>
      <c r="DE117">
        <v>1693519731.0999999</v>
      </c>
      <c r="DF117">
        <v>173.096</v>
      </c>
      <c r="DG117">
        <v>200.11799999999999</v>
      </c>
      <c r="DH117">
        <v>28.860600000000002</v>
      </c>
      <c r="DI117">
        <v>24.024999999999999</v>
      </c>
      <c r="DJ117">
        <v>174.792</v>
      </c>
      <c r="DK117">
        <v>28.663900000000002</v>
      </c>
      <c r="DL117">
        <v>500.697</v>
      </c>
      <c r="DM117">
        <v>99.478399999999993</v>
      </c>
      <c r="DN117">
        <v>9.9466299999999994E-2</v>
      </c>
      <c r="DO117">
        <v>30.562200000000001</v>
      </c>
      <c r="DP117">
        <v>29.9665</v>
      </c>
      <c r="DQ117">
        <v>999.9</v>
      </c>
      <c r="DR117">
        <v>0</v>
      </c>
      <c r="DS117">
        <v>0</v>
      </c>
      <c r="DT117">
        <v>10070</v>
      </c>
      <c r="DU117">
        <v>0</v>
      </c>
      <c r="DV117">
        <v>338.55099999999999</v>
      </c>
      <c r="DW117">
        <v>-27.022300000000001</v>
      </c>
      <c r="DX117">
        <v>178.24</v>
      </c>
      <c r="DY117">
        <v>205.04400000000001</v>
      </c>
      <c r="DZ117">
        <v>4.8355699999999997</v>
      </c>
      <c r="EA117">
        <v>200.11799999999999</v>
      </c>
      <c r="EB117">
        <v>24.024999999999999</v>
      </c>
      <c r="EC117">
        <v>2.8710100000000001</v>
      </c>
      <c r="ED117">
        <v>2.3899699999999999</v>
      </c>
      <c r="EE117">
        <v>23.298100000000002</v>
      </c>
      <c r="EF117">
        <v>20.295999999999999</v>
      </c>
      <c r="EG117">
        <v>1799.82</v>
      </c>
      <c r="EH117">
        <v>0.97800299999999996</v>
      </c>
      <c r="EI117">
        <v>2.1996499999999999E-2</v>
      </c>
      <c r="EJ117">
        <v>0</v>
      </c>
      <c r="EK117">
        <v>750.84400000000005</v>
      </c>
      <c r="EL117">
        <v>5.0010300000000001</v>
      </c>
      <c r="EM117">
        <v>13743.3</v>
      </c>
      <c r="EN117">
        <v>14699.7</v>
      </c>
      <c r="EO117">
        <v>46.936999999999998</v>
      </c>
      <c r="EP117">
        <v>47.686999999999998</v>
      </c>
      <c r="EQ117">
        <v>48.186999999999998</v>
      </c>
      <c r="ER117">
        <v>47.061999999999998</v>
      </c>
      <c r="ES117">
        <v>48.5</v>
      </c>
      <c r="ET117">
        <v>1755.34</v>
      </c>
      <c r="EU117">
        <v>39.479999999999997</v>
      </c>
      <c r="EV117">
        <v>0</v>
      </c>
      <c r="EW117">
        <v>144</v>
      </c>
      <c r="EX117">
        <v>0</v>
      </c>
      <c r="EY117">
        <v>750.71473076923075</v>
      </c>
      <c r="EZ117">
        <v>0.66547008630185056</v>
      </c>
      <c r="FA117">
        <v>-16.46837618521063</v>
      </c>
      <c r="FB117">
        <v>13743.00384615385</v>
      </c>
      <c r="FC117">
        <v>15</v>
      </c>
      <c r="FD117">
        <v>1693519655.5999999</v>
      </c>
      <c r="FE117" t="s">
        <v>932</v>
      </c>
      <c r="FF117">
        <v>1693519646.5999999</v>
      </c>
      <c r="FG117">
        <v>1693519655.5999999</v>
      </c>
      <c r="FH117">
        <v>111</v>
      </c>
      <c r="FI117">
        <v>0.20899999999999999</v>
      </c>
      <c r="FJ117">
        <v>3.0000000000000001E-3</v>
      </c>
      <c r="FK117">
        <v>-1.6579999999999999</v>
      </c>
      <c r="FL117">
        <v>0.09</v>
      </c>
      <c r="FM117">
        <v>200</v>
      </c>
      <c r="FN117">
        <v>24</v>
      </c>
      <c r="FO117">
        <v>0.14000000000000001</v>
      </c>
      <c r="FP117">
        <v>0.06</v>
      </c>
      <c r="FQ117">
        <v>21.49382800484468</v>
      </c>
      <c r="FR117">
        <v>0.69810411851712828</v>
      </c>
      <c r="FS117">
        <v>8.5071138322541665E-2</v>
      </c>
      <c r="FT117">
        <v>1</v>
      </c>
      <c r="FU117">
        <v>0.30275762912786752</v>
      </c>
      <c r="FV117">
        <v>1.289445324630238E-2</v>
      </c>
      <c r="FW117">
        <v>1.1711200192793311E-3</v>
      </c>
      <c r="FX117">
        <v>1</v>
      </c>
      <c r="FY117">
        <v>2</v>
      </c>
      <c r="FZ117">
        <v>2</v>
      </c>
      <c r="GA117" t="s">
        <v>422</v>
      </c>
      <c r="GB117">
        <v>2.90103</v>
      </c>
      <c r="GC117">
        <v>2.8180999999999998</v>
      </c>
      <c r="GD117">
        <v>4.5311299999999999E-2</v>
      </c>
      <c r="GE117">
        <v>5.11589E-2</v>
      </c>
      <c r="GF117">
        <v>0.135465</v>
      </c>
      <c r="GG117">
        <v>0.11908000000000001</v>
      </c>
      <c r="GH117">
        <v>26445.5</v>
      </c>
      <c r="GI117">
        <v>26420.2</v>
      </c>
      <c r="GJ117">
        <v>24579.200000000001</v>
      </c>
      <c r="GK117">
        <v>24869.599999999999</v>
      </c>
      <c r="GL117">
        <v>28217.8</v>
      </c>
      <c r="GM117">
        <v>28591.1</v>
      </c>
      <c r="GN117">
        <v>33227.199999999997</v>
      </c>
      <c r="GO117">
        <v>33149.800000000003</v>
      </c>
      <c r="GP117">
        <v>1.9585999999999999</v>
      </c>
      <c r="GQ117">
        <v>1.8571</v>
      </c>
      <c r="GR117">
        <v>0.11330800000000001</v>
      </c>
      <c r="GS117">
        <v>0</v>
      </c>
      <c r="GT117">
        <v>28.119700000000002</v>
      </c>
      <c r="GU117">
        <v>999.9</v>
      </c>
      <c r="GV117">
        <v>52.6</v>
      </c>
      <c r="GW117">
        <v>34.5</v>
      </c>
      <c r="GX117">
        <v>29.048100000000002</v>
      </c>
      <c r="GY117">
        <v>62.7605</v>
      </c>
      <c r="GZ117">
        <v>23.842099999999999</v>
      </c>
      <c r="HA117">
        <v>1</v>
      </c>
      <c r="HB117">
        <v>0.51370899999999997</v>
      </c>
      <c r="HC117">
        <v>2.4705899999999999E-2</v>
      </c>
      <c r="HD117">
        <v>20.2164</v>
      </c>
      <c r="HE117">
        <v>5.2340600000000004</v>
      </c>
      <c r="HF117">
        <v>11.9207</v>
      </c>
      <c r="HG117">
        <v>4.9611999999999998</v>
      </c>
      <c r="HH117">
        <v>3.2890000000000001</v>
      </c>
      <c r="HI117">
        <v>9999</v>
      </c>
      <c r="HJ117">
        <v>9999</v>
      </c>
      <c r="HK117">
        <v>9999</v>
      </c>
      <c r="HL117">
        <v>898.1</v>
      </c>
      <c r="HM117">
        <v>1.88052</v>
      </c>
      <c r="HN117">
        <v>1.87764</v>
      </c>
      <c r="HO117">
        <v>1.8855299999999999</v>
      </c>
      <c r="HP117">
        <v>1.8833899999999999</v>
      </c>
      <c r="HQ117">
        <v>1.8808499999999999</v>
      </c>
      <c r="HR117">
        <v>1.87998</v>
      </c>
      <c r="HS117">
        <v>1.8810899999999999</v>
      </c>
      <c r="HT117">
        <v>1.88049</v>
      </c>
      <c r="HU117">
        <v>5</v>
      </c>
      <c r="HV117">
        <v>0</v>
      </c>
      <c r="HW117">
        <v>0</v>
      </c>
      <c r="HX117">
        <v>0</v>
      </c>
      <c r="HY117" t="s">
        <v>423</v>
      </c>
      <c r="HZ117" t="s">
        <v>424</v>
      </c>
      <c r="IA117" t="s">
        <v>425</v>
      </c>
      <c r="IB117" t="s">
        <v>425</v>
      </c>
      <c r="IC117" t="s">
        <v>425</v>
      </c>
      <c r="ID117" t="s">
        <v>425</v>
      </c>
      <c r="IE117">
        <v>0</v>
      </c>
      <c r="IF117">
        <v>100</v>
      </c>
      <c r="IG117">
        <v>100</v>
      </c>
      <c r="IH117">
        <v>-1.696</v>
      </c>
      <c r="II117">
        <v>0.19670000000000001</v>
      </c>
      <c r="IJ117">
        <v>-2.017349659110065</v>
      </c>
      <c r="IK117">
        <v>2.2153513873161218E-3</v>
      </c>
      <c r="IL117">
        <v>-2.2967369670569612E-6</v>
      </c>
      <c r="IM117">
        <v>7.7859689150384122E-10</v>
      </c>
      <c r="IN117">
        <v>-0.19895831422602761</v>
      </c>
      <c r="IO117">
        <v>-4.1434251034592161E-3</v>
      </c>
      <c r="IP117">
        <v>8.3987709687394815E-4</v>
      </c>
      <c r="IQ117">
        <v>-7.4586254598011197E-6</v>
      </c>
      <c r="IR117">
        <v>2</v>
      </c>
      <c r="IS117">
        <v>1930</v>
      </c>
      <c r="IT117">
        <v>2</v>
      </c>
      <c r="IU117">
        <v>41</v>
      </c>
      <c r="IV117">
        <v>1.4</v>
      </c>
      <c r="IW117">
        <v>1.3</v>
      </c>
      <c r="IX117">
        <v>0.59082000000000001</v>
      </c>
      <c r="IY117">
        <v>2.5109900000000001</v>
      </c>
      <c r="IZ117">
        <v>1.24512</v>
      </c>
      <c r="JA117">
        <v>2.2595200000000002</v>
      </c>
      <c r="JB117">
        <v>1.4501999999999999</v>
      </c>
      <c r="JC117">
        <v>2.34009</v>
      </c>
      <c r="JD117">
        <v>37.698700000000002</v>
      </c>
      <c r="JE117">
        <v>15.9445</v>
      </c>
      <c r="JF117">
        <v>18</v>
      </c>
      <c r="JG117">
        <v>501.27699999999999</v>
      </c>
      <c r="JH117">
        <v>482.53899999999999</v>
      </c>
      <c r="JI117">
        <v>28.5778</v>
      </c>
      <c r="JJ117">
        <v>33.520899999999997</v>
      </c>
      <c r="JK117">
        <v>29.998999999999999</v>
      </c>
      <c r="JL117">
        <v>33.578699999999998</v>
      </c>
      <c r="JM117">
        <v>33.538200000000003</v>
      </c>
      <c r="JN117">
        <v>11.893800000000001</v>
      </c>
      <c r="JO117">
        <v>25.801600000000001</v>
      </c>
      <c r="JP117">
        <v>82.654899999999998</v>
      </c>
      <c r="JQ117">
        <v>28.618400000000001</v>
      </c>
      <c r="JR117">
        <v>200</v>
      </c>
      <c r="JS117">
        <v>23.954000000000001</v>
      </c>
      <c r="JT117">
        <v>99.185699999999997</v>
      </c>
      <c r="JU117">
        <v>99.022400000000005</v>
      </c>
    </row>
    <row r="118" spans="1:281" x14ac:dyDescent="0.25">
      <c r="A118">
        <v>102</v>
      </c>
      <c r="B118">
        <v>1693519839.0999999</v>
      </c>
      <c r="C118">
        <v>24189.5</v>
      </c>
      <c r="D118" t="s">
        <v>933</v>
      </c>
      <c r="E118" t="s">
        <v>934</v>
      </c>
      <c r="F118" t="s">
        <v>413</v>
      </c>
      <c r="G118" t="s">
        <v>778</v>
      </c>
      <c r="H118" t="s">
        <v>416</v>
      </c>
      <c r="I118" t="s">
        <v>415</v>
      </c>
      <c r="J118">
        <v>1693519839.0999999</v>
      </c>
      <c r="K118">
        <f t="shared" si="138"/>
        <v>4.5931331076793872E-3</v>
      </c>
      <c r="L118">
        <f t="shared" si="139"/>
        <v>4.5931331076793871</v>
      </c>
      <c r="M118">
        <f t="shared" si="140"/>
        <v>14.149090849130662</v>
      </c>
      <c r="N118">
        <f t="shared" si="141"/>
        <v>102.505</v>
      </c>
      <c r="O118">
        <f t="shared" si="142"/>
        <v>31.344200756176694</v>
      </c>
      <c r="P118">
        <f t="shared" si="143"/>
        <v>3.1213147518395044</v>
      </c>
      <c r="Q118">
        <f t="shared" si="144"/>
        <v>10.207641634449999</v>
      </c>
      <c r="R118">
        <f t="shared" si="145"/>
        <v>0.34305371649806959</v>
      </c>
      <c r="S118">
        <f t="shared" si="146"/>
        <v>2.9326822017305458</v>
      </c>
      <c r="T118">
        <f t="shared" si="147"/>
        <v>0.32221735238913463</v>
      </c>
      <c r="U118">
        <f t="shared" si="148"/>
        <v>0.20315236198109851</v>
      </c>
      <c r="V118">
        <f t="shared" si="149"/>
        <v>344.33459864438521</v>
      </c>
      <c r="W118">
        <f t="shared" si="150"/>
        <v>31.430975021546569</v>
      </c>
      <c r="X118">
        <f t="shared" si="151"/>
        <v>29.965900000000001</v>
      </c>
      <c r="Y118">
        <f t="shared" si="152"/>
        <v>4.2521120503405978</v>
      </c>
      <c r="Z118">
        <f t="shared" si="153"/>
        <v>65.400019652182593</v>
      </c>
      <c r="AA118">
        <f t="shared" si="154"/>
        <v>2.883453374084</v>
      </c>
      <c r="AB118">
        <f t="shared" si="155"/>
        <v>4.4089487884240572</v>
      </c>
      <c r="AC118">
        <f t="shared" si="156"/>
        <v>1.3686586762565978</v>
      </c>
      <c r="AD118">
        <f t="shared" si="157"/>
        <v>-202.55717004866096</v>
      </c>
      <c r="AE118">
        <f t="shared" si="158"/>
        <v>99.907663451042367</v>
      </c>
      <c r="AF118">
        <f t="shared" si="159"/>
        <v>7.5959962149199445</v>
      </c>
      <c r="AG118">
        <f t="shared" si="160"/>
        <v>249.28108826168653</v>
      </c>
      <c r="AH118">
        <v>0</v>
      </c>
      <c r="AI118">
        <v>0</v>
      </c>
      <c r="AJ118">
        <f t="shared" si="161"/>
        <v>1</v>
      </c>
      <c r="AK118">
        <f t="shared" si="162"/>
        <v>0</v>
      </c>
      <c r="AL118">
        <f t="shared" si="163"/>
        <v>52328.679086921744</v>
      </c>
      <c r="AM118" t="s">
        <v>417</v>
      </c>
      <c r="AN118">
        <v>10366.9</v>
      </c>
      <c r="AO118">
        <v>993.59653846153856</v>
      </c>
      <c r="AP118">
        <v>3431.87</v>
      </c>
      <c r="AQ118">
        <f t="shared" si="164"/>
        <v>0.71047955241266758</v>
      </c>
      <c r="AR118">
        <v>-3.9894345373445681</v>
      </c>
      <c r="AS118" t="s">
        <v>935</v>
      </c>
      <c r="AT118">
        <v>10447.299999999999</v>
      </c>
      <c r="AU118">
        <v>759.49332000000004</v>
      </c>
      <c r="AV118">
        <v>880.96462141265738</v>
      </c>
      <c r="AW118">
        <f t="shared" si="165"/>
        <v>0.13788442629838404</v>
      </c>
      <c r="AX118">
        <v>0.5</v>
      </c>
      <c r="AY118">
        <f t="shared" si="166"/>
        <v>1513.0331993221926</v>
      </c>
      <c r="AZ118">
        <f t="shared" si="167"/>
        <v>14.149090849130662</v>
      </c>
      <c r="BA118">
        <f t="shared" si="168"/>
        <v>104.31185732947453</v>
      </c>
      <c r="BB118">
        <f t="shared" si="169"/>
        <v>1.1988187301244225E-2</v>
      </c>
      <c r="BC118">
        <f t="shared" si="170"/>
        <v>2.895582088752755</v>
      </c>
      <c r="BD118">
        <f t="shared" si="171"/>
        <v>540.48860557008186</v>
      </c>
      <c r="BE118" t="s">
        <v>936</v>
      </c>
      <c r="BF118">
        <v>599.27</v>
      </c>
      <c r="BG118">
        <f t="shared" si="172"/>
        <v>599.27</v>
      </c>
      <c r="BH118">
        <f t="shared" si="173"/>
        <v>0.31975701925572253</v>
      </c>
      <c r="BI118">
        <f t="shared" si="174"/>
        <v>0.4312162610826451</v>
      </c>
      <c r="BJ118">
        <f t="shared" si="175"/>
        <v>0.90055262959378046</v>
      </c>
      <c r="BK118">
        <f t="shared" si="176"/>
        <v>-1.0784802797944029</v>
      </c>
      <c r="BL118">
        <f t="shared" si="177"/>
        <v>1.046193308021248</v>
      </c>
      <c r="BM118">
        <f t="shared" si="178"/>
        <v>0.34024653275291045</v>
      </c>
      <c r="BN118">
        <f t="shared" si="179"/>
        <v>0.6597534672470895</v>
      </c>
      <c r="BO118">
        <v>7946</v>
      </c>
      <c r="BP118">
        <v>290.00000000000011</v>
      </c>
      <c r="BQ118">
        <v>848.86</v>
      </c>
      <c r="BR118">
        <v>285</v>
      </c>
      <c r="BS118">
        <v>10447.299999999999</v>
      </c>
      <c r="BT118">
        <v>848.93</v>
      </c>
      <c r="BU118">
        <v>-7.0000000000000007E-2</v>
      </c>
      <c r="BV118">
        <v>300.00000000000011</v>
      </c>
      <c r="BW118">
        <v>38.200000000000003</v>
      </c>
      <c r="BX118">
        <v>880.96462141265738</v>
      </c>
      <c r="BY118">
        <v>1.535077139833269</v>
      </c>
      <c r="BZ118">
        <v>-33.468979541072201</v>
      </c>
      <c r="CA118">
        <v>1.3145908045348109</v>
      </c>
      <c r="CB118">
        <v>0.95859165131667512</v>
      </c>
      <c r="CC118">
        <v>-1.1359285205784209E-2</v>
      </c>
      <c r="CD118">
        <v>289.99999999999989</v>
      </c>
      <c r="CE118">
        <v>846.57</v>
      </c>
      <c r="CF118">
        <v>715</v>
      </c>
      <c r="CG118">
        <v>10434.9</v>
      </c>
      <c r="CH118">
        <v>848.89</v>
      </c>
      <c r="CI118">
        <v>-2.3199999999999998</v>
      </c>
      <c r="CW118">
        <f t="shared" si="180"/>
        <v>1799.82</v>
      </c>
      <c r="CX118">
        <f t="shared" si="181"/>
        <v>1513.0331993221926</v>
      </c>
      <c r="CY118">
        <f t="shared" si="182"/>
        <v>0.84065806542998334</v>
      </c>
      <c r="CZ118">
        <f t="shared" si="183"/>
        <v>0.19131613085996668</v>
      </c>
      <c r="DA118">
        <v>6</v>
      </c>
      <c r="DB118">
        <v>0.5</v>
      </c>
      <c r="DC118" t="s">
        <v>420</v>
      </c>
      <c r="DD118">
        <v>2</v>
      </c>
      <c r="DE118">
        <v>1693519839.0999999</v>
      </c>
      <c r="DF118">
        <v>102.505</v>
      </c>
      <c r="DG118">
        <v>120.03</v>
      </c>
      <c r="DH118">
        <v>28.9556</v>
      </c>
      <c r="DI118">
        <v>23.609200000000001</v>
      </c>
      <c r="DJ118">
        <v>104.248</v>
      </c>
      <c r="DK118">
        <v>28.7544</v>
      </c>
      <c r="DL118">
        <v>500.53899999999999</v>
      </c>
      <c r="DM118">
        <v>99.482299999999995</v>
      </c>
      <c r="DN118">
        <v>9.9589999999999998E-2</v>
      </c>
      <c r="DO118">
        <v>30.597799999999999</v>
      </c>
      <c r="DP118">
        <v>29.965900000000001</v>
      </c>
      <c r="DQ118">
        <v>999.9</v>
      </c>
      <c r="DR118">
        <v>0</v>
      </c>
      <c r="DS118">
        <v>0</v>
      </c>
      <c r="DT118">
        <v>10070</v>
      </c>
      <c r="DU118">
        <v>0</v>
      </c>
      <c r="DV118">
        <v>335.93799999999999</v>
      </c>
      <c r="DW118">
        <v>-17.5245</v>
      </c>
      <c r="DX118">
        <v>105.562</v>
      </c>
      <c r="DY118">
        <v>122.932</v>
      </c>
      <c r="DZ118">
        <v>5.3464400000000003</v>
      </c>
      <c r="EA118">
        <v>120.03</v>
      </c>
      <c r="EB118">
        <v>23.609200000000001</v>
      </c>
      <c r="EC118">
        <v>2.8805700000000001</v>
      </c>
      <c r="ED118">
        <v>2.3486899999999999</v>
      </c>
      <c r="EE118">
        <v>23.353200000000001</v>
      </c>
      <c r="EF118">
        <v>20.014299999999999</v>
      </c>
      <c r="EG118">
        <v>1799.82</v>
      </c>
      <c r="EH118">
        <v>0.97800299999999996</v>
      </c>
      <c r="EI118">
        <v>2.1996499999999999E-2</v>
      </c>
      <c r="EJ118">
        <v>0</v>
      </c>
      <c r="EK118">
        <v>759.37599999999998</v>
      </c>
      <c r="EL118">
        <v>5.0010300000000001</v>
      </c>
      <c r="EM118">
        <v>13878.5</v>
      </c>
      <c r="EN118">
        <v>14699.6</v>
      </c>
      <c r="EO118">
        <v>46.936999999999998</v>
      </c>
      <c r="EP118">
        <v>47.75</v>
      </c>
      <c r="EQ118">
        <v>48.125</v>
      </c>
      <c r="ER118">
        <v>47.311999999999998</v>
      </c>
      <c r="ES118">
        <v>48.5</v>
      </c>
      <c r="ET118">
        <v>1755.34</v>
      </c>
      <c r="EU118">
        <v>39.479999999999997</v>
      </c>
      <c r="EV118">
        <v>0</v>
      </c>
      <c r="EW118">
        <v>105.7999999523163</v>
      </c>
      <c r="EX118">
        <v>0</v>
      </c>
      <c r="EY118">
        <v>759.49332000000004</v>
      </c>
      <c r="EZ118">
        <v>-2.6943846052806011</v>
      </c>
      <c r="FA118">
        <v>-66.069230880953853</v>
      </c>
      <c r="FB118">
        <v>13885.584000000001</v>
      </c>
      <c r="FC118">
        <v>15</v>
      </c>
      <c r="FD118">
        <v>1693519803.5999999</v>
      </c>
      <c r="FE118" t="s">
        <v>937</v>
      </c>
      <c r="FF118">
        <v>1693519800.5999999</v>
      </c>
      <c r="FG118">
        <v>1693519803.5999999</v>
      </c>
      <c r="FH118">
        <v>112</v>
      </c>
      <c r="FI118">
        <v>6.7000000000000004E-2</v>
      </c>
      <c r="FJ118">
        <v>2E-3</v>
      </c>
      <c r="FK118">
        <v>-1.7130000000000001</v>
      </c>
      <c r="FL118">
        <v>7.8E-2</v>
      </c>
      <c r="FM118">
        <v>120</v>
      </c>
      <c r="FN118">
        <v>24</v>
      </c>
      <c r="FO118">
        <v>0.25</v>
      </c>
      <c r="FP118">
        <v>7.0000000000000007E-2</v>
      </c>
      <c r="FQ118">
        <v>13.97334166035416</v>
      </c>
      <c r="FR118">
        <v>0.44770775696695059</v>
      </c>
      <c r="FS118">
        <v>6.1222372907658099E-2</v>
      </c>
      <c r="FT118">
        <v>1</v>
      </c>
      <c r="FU118">
        <v>0.34172447037740439</v>
      </c>
      <c r="FV118">
        <v>4.4305020532295437E-2</v>
      </c>
      <c r="FW118">
        <v>4.1915940250088126E-3</v>
      </c>
      <c r="FX118">
        <v>1</v>
      </c>
      <c r="FY118">
        <v>2</v>
      </c>
      <c r="FZ118">
        <v>2</v>
      </c>
      <c r="GA118" t="s">
        <v>422</v>
      </c>
      <c r="GB118">
        <v>2.9007499999999999</v>
      </c>
      <c r="GC118">
        <v>2.8182100000000001</v>
      </c>
      <c r="GD118">
        <v>2.8006400000000001E-2</v>
      </c>
      <c r="GE118">
        <v>3.2059299999999999E-2</v>
      </c>
      <c r="GF118">
        <v>0.13578699999999999</v>
      </c>
      <c r="GG118">
        <v>0.117687</v>
      </c>
      <c r="GH118">
        <v>26926.7</v>
      </c>
      <c r="GI118">
        <v>26954</v>
      </c>
      <c r="GJ118">
        <v>24581.4</v>
      </c>
      <c r="GK118">
        <v>24872</v>
      </c>
      <c r="GL118">
        <v>28208.400000000001</v>
      </c>
      <c r="GM118">
        <v>28639.200000000001</v>
      </c>
      <c r="GN118">
        <v>33228.9</v>
      </c>
      <c r="GO118">
        <v>33153.1</v>
      </c>
      <c r="GP118">
        <v>1.9589000000000001</v>
      </c>
      <c r="GQ118">
        <v>1.8586</v>
      </c>
      <c r="GR118">
        <v>0.112832</v>
      </c>
      <c r="GS118">
        <v>0</v>
      </c>
      <c r="GT118">
        <v>28.126899999999999</v>
      </c>
      <c r="GU118">
        <v>999.9</v>
      </c>
      <c r="GV118">
        <v>52.6</v>
      </c>
      <c r="GW118">
        <v>34.5</v>
      </c>
      <c r="GX118">
        <v>29.047999999999998</v>
      </c>
      <c r="GY118">
        <v>62.7605</v>
      </c>
      <c r="GZ118">
        <v>23.3734</v>
      </c>
      <c r="HA118">
        <v>1</v>
      </c>
      <c r="HB118">
        <v>0.50792700000000002</v>
      </c>
      <c r="HC118">
        <v>0.22935700000000001</v>
      </c>
      <c r="HD118">
        <v>20.216100000000001</v>
      </c>
      <c r="HE118">
        <v>5.2346599999999999</v>
      </c>
      <c r="HF118">
        <v>11.9201</v>
      </c>
      <c r="HG118">
        <v>4.9610000000000003</v>
      </c>
      <c r="HH118">
        <v>3.2890000000000001</v>
      </c>
      <c r="HI118">
        <v>9999</v>
      </c>
      <c r="HJ118">
        <v>9999</v>
      </c>
      <c r="HK118">
        <v>9999</v>
      </c>
      <c r="HL118">
        <v>898.2</v>
      </c>
      <c r="HM118">
        <v>1.8805400000000001</v>
      </c>
      <c r="HN118">
        <v>1.8776200000000001</v>
      </c>
      <c r="HO118">
        <v>1.8855500000000001</v>
      </c>
      <c r="HP118">
        <v>1.8833899999999999</v>
      </c>
      <c r="HQ118">
        <v>1.8808499999999999</v>
      </c>
      <c r="HR118">
        <v>1.8799600000000001</v>
      </c>
      <c r="HS118">
        <v>1.8811</v>
      </c>
      <c r="HT118">
        <v>1.8805099999999999</v>
      </c>
      <c r="HU118">
        <v>5</v>
      </c>
      <c r="HV118">
        <v>0</v>
      </c>
      <c r="HW118">
        <v>0</v>
      </c>
      <c r="HX118">
        <v>0</v>
      </c>
      <c r="HY118" t="s">
        <v>423</v>
      </c>
      <c r="HZ118" t="s">
        <v>424</v>
      </c>
      <c r="IA118" t="s">
        <v>425</v>
      </c>
      <c r="IB118" t="s">
        <v>425</v>
      </c>
      <c r="IC118" t="s">
        <v>425</v>
      </c>
      <c r="ID118" t="s">
        <v>425</v>
      </c>
      <c r="IE118">
        <v>0</v>
      </c>
      <c r="IF118">
        <v>100</v>
      </c>
      <c r="IG118">
        <v>100</v>
      </c>
      <c r="IH118">
        <v>-1.7430000000000001</v>
      </c>
      <c r="II118">
        <v>0.20119999999999999</v>
      </c>
      <c r="IJ118">
        <v>-1.950033487091692</v>
      </c>
      <c r="IK118">
        <v>2.2153513873161218E-3</v>
      </c>
      <c r="IL118">
        <v>-2.2967369670569612E-6</v>
      </c>
      <c r="IM118">
        <v>7.7859689150384122E-10</v>
      </c>
      <c r="IN118">
        <v>-0.196736770513916</v>
      </c>
      <c r="IO118">
        <v>-4.1434251034592161E-3</v>
      </c>
      <c r="IP118">
        <v>8.3987709687394815E-4</v>
      </c>
      <c r="IQ118">
        <v>-7.4586254598011197E-6</v>
      </c>
      <c r="IR118">
        <v>2</v>
      </c>
      <c r="IS118">
        <v>1930</v>
      </c>
      <c r="IT118">
        <v>2</v>
      </c>
      <c r="IU118">
        <v>41</v>
      </c>
      <c r="IV118">
        <v>0.6</v>
      </c>
      <c r="IW118">
        <v>0.6</v>
      </c>
      <c r="IX118">
        <v>0.41626000000000002</v>
      </c>
      <c r="IY118">
        <v>2.5329600000000001</v>
      </c>
      <c r="IZ118">
        <v>1.24512</v>
      </c>
      <c r="JA118">
        <v>2.2595200000000002</v>
      </c>
      <c r="JB118">
        <v>1.4501999999999999</v>
      </c>
      <c r="JC118">
        <v>2.2692899999999998</v>
      </c>
      <c r="JD118">
        <v>37.698700000000002</v>
      </c>
      <c r="JE118">
        <v>15.927</v>
      </c>
      <c r="JF118">
        <v>18</v>
      </c>
      <c r="JG118">
        <v>500.81</v>
      </c>
      <c r="JH118">
        <v>482.85599999999999</v>
      </c>
      <c r="JI118">
        <v>28.778300000000002</v>
      </c>
      <c r="JJ118">
        <v>33.451900000000002</v>
      </c>
      <c r="JK118">
        <v>29.9999</v>
      </c>
      <c r="JL118">
        <v>33.496400000000001</v>
      </c>
      <c r="JM118">
        <v>33.447800000000001</v>
      </c>
      <c r="JN118">
        <v>8.4036100000000005</v>
      </c>
      <c r="JO118">
        <v>26.598500000000001</v>
      </c>
      <c r="JP118">
        <v>82.611900000000006</v>
      </c>
      <c r="JQ118">
        <v>28.779900000000001</v>
      </c>
      <c r="JR118">
        <v>120</v>
      </c>
      <c r="JS118">
        <v>23.548200000000001</v>
      </c>
      <c r="JT118">
        <v>99.192400000000006</v>
      </c>
      <c r="JU118">
        <v>99.032200000000003</v>
      </c>
    </row>
    <row r="119" spans="1:281" x14ac:dyDescent="0.25">
      <c r="A119">
        <v>103</v>
      </c>
      <c r="B119">
        <v>1693519947.5999999</v>
      </c>
      <c r="C119">
        <v>24298</v>
      </c>
      <c r="D119" t="s">
        <v>938</v>
      </c>
      <c r="E119" t="s">
        <v>939</v>
      </c>
      <c r="F119" t="s">
        <v>413</v>
      </c>
      <c r="G119" t="s">
        <v>778</v>
      </c>
      <c r="H119" t="s">
        <v>416</v>
      </c>
      <c r="I119" t="s">
        <v>415</v>
      </c>
      <c r="J119">
        <v>1693519947.5999999</v>
      </c>
      <c r="K119">
        <f t="shared" si="138"/>
        <v>5.0395309167323554E-3</v>
      </c>
      <c r="L119">
        <f t="shared" si="139"/>
        <v>5.039530916732355</v>
      </c>
      <c r="M119">
        <f t="shared" si="140"/>
        <v>8.9647354333413514</v>
      </c>
      <c r="N119">
        <f t="shared" si="141"/>
        <v>58.879399999999997</v>
      </c>
      <c r="O119">
        <f t="shared" si="142"/>
        <v>17.970817152246457</v>
      </c>
      <c r="P119">
        <f t="shared" si="143"/>
        <v>1.7896053700772481</v>
      </c>
      <c r="Q119">
        <f t="shared" si="144"/>
        <v>5.8634445798561998</v>
      </c>
      <c r="R119">
        <f t="shared" si="145"/>
        <v>0.38028139476244366</v>
      </c>
      <c r="S119">
        <f t="shared" si="146"/>
        <v>2.9204731764242018</v>
      </c>
      <c r="T119">
        <f t="shared" si="147"/>
        <v>0.35475850817324217</v>
      </c>
      <c r="U119">
        <f t="shared" si="148"/>
        <v>0.22387429039215537</v>
      </c>
      <c r="V119">
        <f t="shared" si="149"/>
        <v>344.40299864465635</v>
      </c>
      <c r="W119">
        <f t="shared" si="150"/>
        <v>31.37414800269303</v>
      </c>
      <c r="X119">
        <f t="shared" si="151"/>
        <v>29.975899999999999</v>
      </c>
      <c r="Y119">
        <f t="shared" si="152"/>
        <v>4.2545556551987351</v>
      </c>
      <c r="Z119">
        <f t="shared" si="153"/>
        <v>65.355096593643097</v>
      </c>
      <c r="AA119">
        <f t="shared" si="154"/>
        <v>2.8906638178602</v>
      </c>
      <c r="AB119">
        <f t="shared" si="155"/>
        <v>4.423012080960441</v>
      </c>
      <c r="AC119">
        <f t="shared" si="156"/>
        <v>1.3638918373385351</v>
      </c>
      <c r="AD119">
        <f t="shared" si="157"/>
        <v>-222.24331342789688</v>
      </c>
      <c r="AE119">
        <f t="shared" si="158"/>
        <v>106.68713740369003</v>
      </c>
      <c r="AF119">
        <f t="shared" si="159"/>
        <v>8.1479989887841935</v>
      </c>
      <c r="AG119">
        <f t="shared" si="160"/>
        <v>236.9948216092337</v>
      </c>
      <c r="AH119">
        <v>0</v>
      </c>
      <c r="AI119">
        <v>0</v>
      </c>
      <c r="AJ119">
        <f t="shared" si="161"/>
        <v>1</v>
      </c>
      <c r="AK119">
        <f t="shared" si="162"/>
        <v>0</v>
      </c>
      <c r="AL119">
        <f t="shared" si="163"/>
        <v>51971.138962299287</v>
      </c>
      <c r="AM119" t="s">
        <v>417</v>
      </c>
      <c r="AN119">
        <v>10366.9</v>
      </c>
      <c r="AO119">
        <v>993.59653846153856</v>
      </c>
      <c r="AP119">
        <v>3431.87</v>
      </c>
      <c r="AQ119">
        <f t="shared" si="164"/>
        <v>0.71047955241266758</v>
      </c>
      <c r="AR119">
        <v>-3.9894345373445681</v>
      </c>
      <c r="AS119" t="s">
        <v>940</v>
      </c>
      <c r="AT119">
        <v>10452.700000000001</v>
      </c>
      <c r="AU119">
        <v>765.43928000000005</v>
      </c>
      <c r="AV119">
        <v>852.43508057601991</v>
      </c>
      <c r="AW119">
        <f t="shared" si="165"/>
        <v>0.10205563163500242</v>
      </c>
      <c r="AX119">
        <v>0.5</v>
      </c>
      <c r="AY119">
        <f t="shared" si="166"/>
        <v>1513.3355993223281</v>
      </c>
      <c r="AZ119">
        <f t="shared" si="167"/>
        <v>8.9647354333413514</v>
      </c>
      <c r="BA119">
        <f t="shared" si="168"/>
        <v>77.222210232287566</v>
      </c>
      <c r="BB119">
        <f t="shared" si="169"/>
        <v>8.5600113923750935E-3</v>
      </c>
      <c r="BC119">
        <f t="shared" si="170"/>
        <v>3.025960543154754</v>
      </c>
      <c r="BD119">
        <f t="shared" si="171"/>
        <v>529.61381632666712</v>
      </c>
      <c r="BE119" t="s">
        <v>941</v>
      </c>
      <c r="BF119">
        <v>609.51</v>
      </c>
      <c r="BG119">
        <f t="shared" si="172"/>
        <v>609.51</v>
      </c>
      <c r="BH119">
        <f t="shared" si="173"/>
        <v>0.28497780782539717</v>
      </c>
      <c r="BI119">
        <f t="shared" si="174"/>
        <v>0.35811782122182223</v>
      </c>
      <c r="BJ119">
        <f t="shared" si="175"/>
        <v>0.91392838596918191</v>
      </c>
      <c r="BK119">
        <f t="shared" si="176"/>
        <v>-0.61628578989721894</v>
      </c>
      <c r="BL119">
        <f t="shared" si="177"/>
        <v>1.057894022189148</v>
      </c>
      <c r="BM119">
        <f t="shared" si="178"/>
        <v>0.28516487057329076</v>
      </c>
      <c r="BN119">
        <f t="shared" si="179"/>
        <v>0.71483512942670924</v>
      </c>
      <c r="BO119">
        <v>7948</v>
      </c>
      <c r="BP119">
        <v>290.00000000000011</v>
      </c>
      <c r="BQ119">
        <v>829.2</v>
      </c>
      <c r="BR119">
        <v>235</v>
      </c>
      <c r="BS119">
        <v>10452.700000000001</v>
      </c>
      <c r="BT119">
        <v>829.14</v>
      </c>
      <c r="BU119">
        <v>0.06</v>
      </c>
      <c r="BV119">
        <v>300.00000000000011</v>
      </c>
      <c r="BW119">
        <v>38.200000000000003</v>
      </c>
      <c r="BX119">
        <v>852.43508057601991</v>
      </c>
      <c r="BY119">
        <v>1.2775295761107739</v>
      </c>
      <c r="BZ119">
        <v>-24.3525905501828</v>
      </c>
      <c r="CA119">
        <v>1.094038827141985</v>
      </c>
      <c r="CB119">
        <v>0.94651165805761028</v>
      </c>
      <c r="CC119">
        <v>-1.135886340378197E-2</v>
      </c>
      <c r="CD119">
        <v>289.99999999999989</v>
      </c>
      <c r="CE119">
        <v>826.03</v>
      </c>
      <c r="CF119">
        <v>705</v>
      </c>
      <c r="CG119">
        <v>10435.700000000001</v>
      </c>
      <c r="CH119">
        <v>829.1</v>
      </c>
      <c r="CI119">
        <v>-3.07</v>
      </c>
      <c r="CW119">
        <f t="shared" si="180"/>
        <v>1800.18</v>
      </c>
      <c r="CX119">
        <f t="shared" si="181"/>
        <v>1513.3355993223281</v>
      </c>
      <c r="CY119">
        <f t="shared" si="182"/>
        <v>0.84065793383013254</v>
      </c>
      <c r="CZ119">
        <f t="shared" si="183"/>
        <v>0.19131586766026526</v>
      </c>
      <c r="DA119">
        <v>6</v>
      </c>
      <c r="DB119">
        <v>0.5</v>
      </c>
      <c r="DC119" t="s">
        <v>420</v>
      </c>
      <c r="DD119">
        <v>2</v>
      </c>
      <c r="DE119">
        <v>1693519947.5999999</v>
      </c>
      <c r="DF119">
        <v>58.879399999999997</v>
      </c>
      <c r="DG119">
        <v>69.985399999999998</v>
      </c>
      <c r="DH119">
        <v>29.0274</v>
      </c>
      <c r="DI119">
        <v>23.159600000000001</v>
      </c>
      <c r="DJ119">
        <v>60.560299999999998</v>
      </c>
      <c r="DK119">
        <v>28.826499999999999</v>
      </c>
      <c r="DL119">
        <v>500.34899999999999</v>
      </c>
      <c r="DM119">
        <v>99.483500000000006</v>
      </c>
      <c r="DN119">
        <v>0.10047300000000001</v>
      </c>
      <c r="DO119">
        <v>30.653500000000001</v>
      </c>
      <c r="DP119">
        <v>29.975899999999999</v>
      </c>
      <c r="DQ119">
        <v>999.9</v>
      </c>
      <c r="DR119">
        <v>0</v>
      </c>
      <c r="DS119">
        <v>0</v>
      </c>
      <c r="DT119">
        <v>10000</v>
      </c>
      <c r="DU119">
        <v>0</v>
      </c>
      <c r="DV119">
        <v>331.03100000000001</v>
      </c>
      <c r="DW119">
        <v>-11.106</v>
      </c>
      <c r="DX119">
        <v>60.639600000000002</v>
      </c>
      <c r="DY119">
        <v>71.6447</v>
      </c>
      <c r="DZ119">
        <v>5.8678499999999998</v>
      </c>
      <c r="EA119">
        <v>69.985399999999998</v>
      </c>
      <c r="EB119">
        <v>23.159600000000001</v>
      </c>
      <c r="EC119">
        <v>2.88775</v>
      </c>
      <c r="ED119">
        <v>2.3039900000000002</v>
      </c>
      <c r="EE119">
        <v>23.394500000000001</v>
      </c>
      <c r="EF119">
        <v>19.7044</v>
      </c>
      <c r="EG119">
        <v>1800.18</v>
      </c>
      <c r="EH119">
        <v>0.97800699999999996</v>
      </c>
      <c r="EI119">
        <v>2.1992899999999999E-2</v>
      </c>
      <c r="EJ119">
        <v>0</v>
      </c>
      <c r="EK119">
        <v>765.43299999999999</v>
      </c>
      <c r="EL119">
        <v>5.0010300000000001</v>
      </c>
      <c r="EM119">
        <v>13975.1</v>
      </c>
      <c r="EN119">
        <v>14702.6</v>
      </c>
      <c r="EO119">
        <v>47</v>
      </c>
      <c r="EP119">
        <v>47.75</v>
      </c>
      <c r="EQ119">
        <v>48.125</v>
      </c>
      <c r="ER119">
        <v>47.125</v>
      </c>
      <c r="ES119">
        <v>48.561999999999998</v>
      </c>
      <c r="ET119">
        <v>1755.7</v>
      </c>
      <c r="EU119">
        <v>39.479999999999997</v>
      </c>
      <c r="EV119">
        <v>0</v>
      </c>
      <c r="EW119">
        <v>106.80000019073491</v>
      </c>
      <c r="EX119">
        <v>0</v>
      </c>
      <c r="EY119">
        <v>765.43928000000005</v>
      </c>
      <c r="EZ119">
        <v>-3.0554615275958672</v>
      </c>
      <c r="FA119">
        <v>-44.630769111421607</v>
      </c>
      <c r="FB119">
        <v>13978.052</v>
      </c>
      <c r="FC119">
        <v>15</v>
      </c>
      <c r="FD119">
        <v>1693519914.0999999</v>
      </c>
      <c r="FE119" t="s">
        <v>942</v>
      </c>
      <c r="FF119">
        <v>1693519903.5999999</v>
      </c>
      <c r="FG119">
        <v>1693519914.0999999</v>
      </c>
      <c r="FH119">
        <v>113</v>
      </c>
      <c r="FI119">
        <v>0.14299999999999999</v>
      </c>
      <c r="FJ119">
        <v>-2E-3</v>
      </c>
      <c r="FK119">
        <v>-1.66</v>
      </c>
      <c r="FL119">
        <v>6.7000000000000004E-2</v>
      </c>
      <c r="FM119">
        <v>70</v>
      </c>
      <c r="FN119">
        <v>23</v>
      </c>
      <c r="FO119">
        <v>0.39</v>
      </c>
      <c r="FP119">
        <v>0.03</v>
      </c>
      <c r="FQ119">
        <v>8.9343289218470261</v>
      </c>
      <c r="FR119">
        <v>0.1726456148127144</v>
      </c>
      <c r="FS119">
        <v>4.9921115184044178E-2</v>
      </c>
      <c r="FT119">
        <v>1</v>
      </c>
      <c r="FU119">
        <v>0.38239283581183547</v>
      </c>
      <c r="FV119">
        <v>2.5501811215908832E-2</v>
      </c>
      <c r="FW119">
        <v>3.686332709884747E-3</v>
      </c>
      <c r="FX119">
        <v>1</v>
      </c>
      <c r="FY119">
        <v>2</v>
      </c>
      <c r="FZ119">
        <v>2</v>
      </c>
      <c r="GA119" t="s">
        <v>422</v>
      </c>
      <c r="GB119">
        <v>2.90042</v>
      </c>
      <c r="GC119">
        <v>2.8184900000000002</v>
      </c>
      <c r="GD119">
        <v>1.6530900000000001E-2</v>
      </c>
      <c r="GE119">
        <v>1.90875E-2</v>
      </c>
      <c r="GF119">
        <v>0.136045</v>
      </c>
      <c r="GG119">
        <v>0.116162</v>
      </c>
      <c r="GH119">
        <v>27248.5</v>
      </c>
      <c r="GI119">
        <v>27317.9</v>
      </c>
      <c r="GJ119">
        <v>24585.200000000001</v>
      </c>
      <c r="GK119">
        <v>24874.799999999999</v>
      </c>
      <c r="GL119">
        <v>28203.599999999999</v>
      </c>
      <c r="GM119">
        <v>28691.4</v>
      </c>
      <c r="GN119">
        <v>33233.599999999999</v>
      </c>
      <c r="GO119">
        <v>33156.1</v>
      </c>
      <c r="GP119">
        <v>1.9612000000000001</v>
      </c>
      <c r="GQ119">
        <v>1.8593</v>
      </c>
      <c r="GR119">
        <v>0.113428</v>
      </c>
      <c r="GS119">
        <v>0</v>
      </c>
      <c r="GT119">
        <v>28.127099999999999</v>
      </c>
      <c r="GU119">
        <v>999.9</v>
      </c>
      <c r="GV119">
        <v>52.5</v>
      </c>
      <c r="GW119">
        <v>34.4</v>
      </c>
      <c r="GX119">
        <v>28.8323</v>
      </c>
      <c r="GY119">
        <v>62.640599999999999</v>
      </c>
      <c r="GZ119">
        <v>24.318899999999999</v>
      </c>
      <c r="HA119">
        <v>1</v>
      </c>
      <c r="HB119">
        <v>0.50173800000000002</v>
      </c>
      <c r="HC119">
        <v>6.0097999999999999E-2</v>
      </c>
      <c r="HD119">
        <v>20.2165</v>
      </c>
      <c r="HE119">
        <v>5.2346599999999999</v>
      </c>
      <c r="HF119">
        <v>11.9201</v>
      </c>
      <c r="HG119">
        <v>4.9614000000000003</v>
      </c>
      <c r="HH119">
        <v>3.2890000000000001</v>
      </c>
      <c r="HI119">
        <v>9999</v>
      </c>
      <c r="HJ119">
        <v>9999</v>
      </c>
      <c r="HK119">
        <v>9999</v>
      </c>
      <c r="HL119">
        <v>898.2</v>
      </c>
      <c r="HM119">
        <v>1.8805400000000001</v>
      </c>
      <c r="HN119">
        <v>1.8775900000000001</v>
      </c>
      <c r="HO119">
        <v>1.8855299999999999</v>
      </c>
      <c r="HP119">
        <v>1.8833899999999999</v>
      </c>
      <c r="HQ119">
        <v>1.8808100000000001</v>
      </c>
      <c r="HR119">
        <v>1.8799600000000001</v>
      </c>
      <c r="HS119">
        <v>1.8811</v>
      </c>
      <c r="HT119">
        <v>1.88049</v>
      </c>
      <c r="HU119">
        <v>5</v>
      </c>
      <c r="HV119">
        <v>0</v>
      </c>
      <c r="HW119">
        <v>0</v>
      </c>
      <c r="HX119">
        <v>0</v>
      </c>
      <c r="HY119" t="s">
        <v>423</v>
      </c>
      <c r="HZ119" t="s">
        <v>424</v>
      </c>
      <c r="IA119" t="s">
        <v>425</v>
      </c>
      <c r="IB119" t="s">
        <v>425</v>
      </c>
      <c r="IC119" t="s">
        <v>425</v>
      </c>
      <c r="ID119" t="s">
        <v>425</v>
      </c>
      <c r="IE119">
        <v>0</v>
      </c>
      <c r="IF119">
        <v>100</v>
      </c>
      <c r="IG119">
        <v>100</v>
      </c>
      <c r="IH119">
        <v>-1.681</v>
      </c>
      <c r="II119">
        <v>0.2009</v>
      </c>
      <c r="IJ119">
        <v>-1.8068325184769749</v>
      </c>
      <c r="IK119">
        <v>2.2153513873161218E-3</v>
      </c>
      <c r="IL119">
        <v>-2.2967369670569612E-6</v>
      </c>
      <c r="IM119">
        <v>7.7859689150384122E-10</v>
      </c>
      <c r="IN119">
        <v>-0.19889304543900749</v>
      </c>
      <c r="IO119">
        <v>-4.1434251034592161E-3</v>
      </c>
      <c r="IP119">
        <v>8.3987709687394815E-4</v>
      </c>
      <c r="IQ119">
        <v>-7.4586254598011197E-6</v>
      </c>
      <c r="IR119">
        <v>2</v>
      </c>
      <c r="IS119">
        <v>1930</v>
      </c>
      <c r="IT119">
        <v>2</v>
      </c>
      <c r="IU119">
        <v>41</v>
      </c>
      <c r="IV119">
        <v>0.7</v>
      </c>
      <c r="IW119">
        <v>0.6</v>
      </c>
      <c r="IX119">
        <v>0.305176</v>
      </c>
      <c r="IY119">
        <v>2.5512700000000001</v>
      </c>
      <c r="IZ119">
        <v>1.24512</v>
      </c>
      <c r="JA119">
        <v>2.2607400000000002</v>
      </c>
      <c r="JB119">
        <v>1.4501999999999999</v>
      </c>
      <c r="JC119">
        <v>2.3901400000000002</v>
      </c>
      <c r="JD119">
        <v>37.698700000000002</v>
      </c>
      <c r="JE119">
        <v>15.9358</v>
      </c>
      <c r="JF119">
        <v>18</v>
      </c>
      <c r="JG119">
        <v>501.74700000000001</v>
      </c>
      <c r="JH119">
        <v>482.67399999999998</v>
      </c>
      <c r="JI119">
        <v>28.994</v>
      </c>
      <c r="JJ119">
        <v>33.386000000000003</v>
      </c>
      <c r="JK119">
        <v>29.9998</v>
      </c>
      <c r="JL119">
        <v>33.418599999999998</v>
      </c>
      <c r="JM119">
        <v>33.366700000000002</v>
      </c>
      <c r="JN119">
        <v>6.19909</v>
      </c>
      <c r="JO119">
        <v>27.623200000000001</v>
      </c>
      <c r="JP119">
        <v>82.425799999999995</v>
      </c>
      <c r="JQ119">
        <v>29.0059</v>
      </c>
      <c r="JR119">
        <v>70</v>
      </c>
      <c r="JS119">
        <v>23.121400000000001</v>
      </c>
      <c r="JT119">
        <v>99.206999999999994</v>
      </c>
      <c r="JU119">
        <v>99.042100000000005</v>
      </c>
    </row>
    <row r="120" spans="1:281" x14ac:dyDescent="0.25">
      <c r="A120">
        <v>104</v>
      </c>
      <c r="B120">
        <v>1693520051.5999999</v>
      </c>
      <c r="C120">
        <v>24402</v>
      </c>
      <c r="D120" t="s">
        <v>943</v>
      </c>
      <c r="E120" t="s">
        <v>944</v>
      </c>
      <c r="F120" t="s">
        <v>413</v>
      </c>
      <c r="G120" t="s">
        <v>778</v>
      </c>
      <c r="H120" t="s">
        <v>416</v>
      </c>
      <c r="I120" t="s">
        <v>415</v>
      </c>
      <c r="J120">
        <v>1693520051.5999999</v>
      </c>
      <c r="K120">
        <f t="shared" si="138"/>
        <v>5.3458751891017758E-3</v>
      </c>
      <c r="L120">
        <f t="shared" si="139"/>
        <v>5.3458751891017755</v>
      </c>
      <c r="M120">
        <f t="shared" si="140"/>
        <v>4.133558068647516</v>
      </c>
      <c r="N120">
        <f t="shared" si="141"/>
        <v>24.889500000000002</v>
      </c>
      <c r="O120">
        <f t="shared" si="142"/>
        <v>7.365066314773828</v>
      </c>
      <c r="P120">
        <f t="shared" si="143"/>
        <v>0.73345194076306508</v>
      </c>
      <c r="Q120">
        <f t="shared" si="144"/>
        <v>2.4786269803170002</v>
      </c>
      <c r="R120">
        <f t="shared" si="145"/>
        <v>0.41099955193727022</v>
      </c>
      <c r="S120">
        <f t="shared" si="146"/>
        <v>2.9125996496028477</v>
      </c>
      <c r="T120">
        <f t="shared" si="147"/>
        <v>0.38128512615708893</v>
      </c>
      <c r="U120">
        <f t="shared" si="148"/>
        <v>0.24079365914709433</v>
      </c>
      <c r="V120">
        <f t="shared" si="149"/>
        <v>344.36119864449063</v>
      </c>
      <c r="W120">
        <f t="shared" si="150"/>
        <v>31.327498163583055</v>
      </c>
      <c r="X120">
        <f t="shared" si="151"/>
        <v>29.939699999999998</v>
      </c>
      <c r="Y120">
        <f t="shared" si="152"/>
        <v>4.2457156051939391</v>
      </c>
      <c r="Z120">
        <f t="shared" si="153"/>
        <v>65.437421759165602</v>
      </c>
      <c r="AA120">
        <f t="shared" si="154"/>
        <v>2.8995538981097999</v>
      </c>
      <c r="AB120">
        <f t="shared" si="155"/>
        <v>4.4310332225209788</v>
      </c>
      <c r="AC120">
        <f t="shared" si="156"/>
        <v>1.3461617070841392</v>
      </c>
      <c r="AD120">
        <f t="shared" si="157"/>
        <v>-235.75309583938832</v>
      </c>
      <c r="AE120">
        <f t="shared" si="158"/>
        <v>117.06144590664925</v>
      </c>
      <c r="AF120">
        <f t="shared" si="159"/>
        <v>8.9642852174146963</v>
      </c>
      <c r="AG120">
        <f t="shared" si="160"/>
        <v>234.63383392916623</v>
      </c>
      <c r="AH120">
        <v>0</v>
      </c>
      <c r="AI120">
        <v>0</v>
      </c>
      <c r="AJ120">
        <f t="shared" si="161"/>
        <v>1</v>
      </c>
      <c r="AK120">
        <f t="shared" si="162"/>
        <v>0</v>
      </c>
      <c r="AL120">
        <f t="shared" si="163"/>
        <v>51741.850882184968</v>
      </c>
      <c r="AM120" t="s">
        <v>417</v>
      </c>
      <c r="AN120">
        <v>10366.9</v>
      </c>
      <c r="AO120">
        <v>993.59653846153856</v>
      </c>
      <c r="AP120">
        <v>3431.87</v>
      </c>
      <c r="AQ120">
        <f t="shared" si="164"/>
        <v>0.71047955241266758</v>
      </c>
      <c r="AR120">
        <v>-3.9894345373445681</v>
      </c>
      <c r="AS120" t="s">
        <v>945</v>
      </c>
      <c r="AT120">
        <v>10459.6</v>
      </c>
      <c r="AU120">
        <v>771.5300400000001</v>
      </c>
      <c r="AV120">
        <v>831.52555785109814</v>
      </c>
      <c r="AW120">
        <f t="shared" si="165"/>
        <v>7.2151141097988369E-2</v>
      </c>
      <c r="AX120">
        <v>0.5</v>
      </c>
      <c r="AY120">
        <f t="shared" si="166"/>
        <v>1513.1507993222451</v>
      </c>
      <c r="AZ120">
        <f t="shared" si="167"/>
        <v>4.133558068647516</v>
      </c>
      <c r="BA120">
        <f t="shared" si="168"/>
        <v>54.587778412216593</v>
      </c>
      <c r="BB120">
        <f t="shared" si="169"/>
        <v>5.3682637643455312E-3</v>
      </c>
      <c r="BC120">
        <f t="shared" si="170"/>
        <v>3.12719725520998</v>
      </c>
      <c r="BD120">
        <f t="shared" si="171"/>
        <v>521.46689998651027</v>
      </c>
      <c r="BE120" t="s">
        <v>946</v>
      </c>
      <c r="BF120">
        <v>625.01</v>
      </c>
      <c r="BG120">
        <f t="shared" si="172"/>
        <v>625.01</v>
      </c>
      <c r="BH120">
        <f t="shared" si="173"/>
        <v>0.24835743880776662</v>
      </c>
      <c r="BI120">
        <f t="shared" si="174"/>
        <v>0.29051330793371033</v>
      </c>
      <c r="BJ120">
        <f t="shared" si="175"/>
        <v>0.92642470310200786</v>
      </c>
      <c r="BK120">
        <f t="shared" si="176"/>
        <v>-0.37018050748582443</v>
      </c>
      <c r="BL120">
        <f t="shared" si="177"/>
        <v>1.0664695667516224</v>
      </c>
      <c r="BM120">
        <f t="shared" si="178"/>
        <v>0.2353423887314203</v>
      </c>
      <c r="BN120">
        <f t="shared" si="179"/>
        <v>0.76465761126857967</v>
      </c>
      <c r="BO120">
        <v>7950</v>
      </c>
      <c r="BP120">
        <v>290.00000000000011</v>
      </c>
      <c r="BQ120">
        <v>814.56</v>
      </c>
      <c r="BR120">
        <v>185</v>
      </c>
      <c r="BS120">
        <v>10459.6</v>
      </c>
      <c r="BT120">
        <v>814.14</v>
      </c>
      <c r="BU120">
        <v>0.42</v>
      </c>
      <c r="BV120">
        <v>300.00000000000011</v>
      </c>
      <c r="BW120">
        <v>38.200000000000003</v>
      </c>
      <c r="BX120">
        <v>831.52555785109814</v>
      </c>
      <c r="BY120">
        <v>1.0726125238515769</v>
      </c>
      <c r="BZ120">
        <v>-18.186196418201579</v>
      </c>
      <c r="CA120">
        <v>0.91858872609050546</v>
      </c>
      <c r="CB120">
        <v>0.93332695252648779</v>
      </c>
      <c r="CC120">
        <v>-1.1359453392658521E-2</v>
      </c>
      <c r="CD120">
        <v>289.99999999999989</v>
      </c>
      <c r="CE120">
        <v>811.93</v>
      </c>
      <c r="CF120">
        <v>635</v>
      </c>
      <c r="CG120">
        <v>10441.5</v>
      </c>
      <c r="CH120">
        <v>814.11</v>
      </c>
      <c r="CI120">
        <v>-2.1800000000000002</v>
      </c>
      <c r="CW120">
        <f t="shared" si="180"/>
        <v>1799.96</v>
      </c>
      <c r="CX120">
        <f t="shared" si="181"/>
        <v>1513.1507993222451</v>
      </c>
      <c r="CY120">
        <f t="shared" si="182"/>
        <v>0.84065801424600828</v>
      </c>
      <c r="CZ120">
        <f t="shared" si="183"/>
        <v>0.19131602849201684</v>
      </c>
      <c r="DA120">
        <v>6</v>
      </c>
      <c r="DB120">
        <v>0.5</v>
      </c>
      <c r="DC120" t="s">
        <v>420</v>
      </c>
      <c r="DD120">
        <v>2</v>
      </c>
      <c r="DE120">
        <v>1693520051.5999999</v>
      </c>
      <c r="DF120">
        <v>24.889500000000002</v>
      </c>
      <c r="DG120">
        <v>30.005600000000001</v>
      </c>
      <c r="DH120">
        <v>29.116299999999999</v>
      </c>
      <c r="DI120">
        <v>22.892700000000001</v>
      </c>
      <c r="DJ120">
        <v>26.468599999999999</v>
      </c>
      <c r="DK120">
        <v>28.914999999999999</v>
      </c>
      <c r="DL120">
        <v>500.375</v>
      </c>
      <c r="DM120">
        <v>99.4846</v>
      </c>
      <c r="DN120">
        <v>0.100646</v>
      </c>
      <c r="DO120">
        <v>30.685199999999998</v>
      </c>
      <c r="DP120">
        <v>29.939699999999998</v>
      </c>
      <c r="DQ120">
        <v>999.9</v>
      </c>
      <c r="DR120">
        <v>0</v>
      </c>
      <c r="DS120">
        <v>0</v>
      </c>
      <c r="DT120">
        <v>9955</v>
      </c>
      <c r="DU120">
        <v>0</v>
      </c>
      <c r="DV120">
        <v>324.15899999999999</v>
      </c>
      <c r="DW120">
        <v>-5.1161300000000001</v>
      </c>
      <c r="DX120">
        <v>25.635899999999999</v>
      </c>
      <c r="DY120">
        <v>30.708600000000001</v>
      </c>
      <c r="DZ120">
        <v>6.2236200000000004</v>
      </c>
      <c r="EA120">
        <v>30.005600000000001</v>
      </c>
      <c r="EB120">
        <v>22.892700000000001</v>
      </c>
      <c r="EC120">
        <v>2.89662</v>
      </c>
      <c r="ED120">
        <v>2.2774700000000001</v>
      </c>
      <c r="EE120">
        <v>23.4453</v>
      </c>
      <c r="EF120">
        <v>19.517900000000001</v>
      </c>
      <c r="EG120">
        <v>1799.96</v>
      </c>
      <c r="EH120">
        <v>0.97800299999999996</v>
      </c>
      <c r="EI120">
        <v>2.1996499999999999E-2</v>
      </c>
      <c r="EJ120">
        <v>0</v>
      </c>
      <c r="EK120">
        <v>771.25599999999997</v>
      </c>
      <c r="EL120">
        <v>5.0010300000000001</v>
      </c>
      <c r="EM120">
        <v>14069.9</v>
      </c>
      <c r="EN120">
        <v>14700.8</v>
      </c>
      <c r="EO120">
        <v>46.811999999999998</v>
      </c>
      <c r="EP120">
        <v>47.686999999999998</v>
      </c>
      <c r="EQ120">
        <v>48</v>
      </c>
      <c r="ER120">
        <v>47.061999999999998</v>
      </c>
      <c r="ES120">
        <v>48.375</v>
      </c>
      <c r="ET120">
        <v>1755.48</v>
      </c>
      <c r="EU120">
        <v>39.479999999999997</v>
      </c>
      <c r="EV120">
        <v>0</v>
      </c>
      <c r="EW120">
        <v>102</v>
      </c>
      <c r="EX120">
        <v>0</v>
      </c>
      <c r="EY120">
        <v>771.5300400000001</v>
      </c>
      <c r="EZ120">
        <v>-1.951615371275782</v>
      </c>
      <c r="FA120">
        <v>-17.876923289051849</v>
      </c>
      <c r="FB120">
        <v>14073.647999999999</v>
      </c>
      <c r="FC120">
        <v>15</v>
      </c>
      <c r="FD120">
        <v>1693520018.0999999</v>
      </c>
      <c r="FE120" t="s">
        <v>947</v>
      </c>
      <c r="FF120">
        <v>1693520007.0999999</v>
      </c>
      <c r="FG120">
        <v>1693520018.0999999</v>
      </c>
      <c r="FH120">
        <v>114</v>
      </c>
      <c r="FI120">
        <v>0.17100000000000001</v>
      </c>
      <c r="FJ120">
        <v>-2E-3</v>
      </c>
      <c r="FK120">
        <v>-1.569</v>
      </c>
      <c r="FL120">
        <v>5.2999999999999999E-2</v>
      </c>
      <c r="FM120">
        <v>30</v>
      </c>
      <c r="FN120">
        <v>23</v>
      </c>
      <c r="FO120">
        <v>1.07</v>
      </c>
      <c r="FP120">
        <v>0.06</v>
      </c>
      <c r="FQ120">
        <v>4.1494581228494658</v>
      </c>
      <c r="FR120">
        <v>0.157779817530632</v>
      </c>
      <c r="FS120">
        <v>5.3760983375270271E-2</v>
      </c>
      <c r="FT120">
        <v>1</v>
      </c>
      <c r="FU120">
        <v>0.41110142863046312</v>
      </c>
      <c r="FV120">
        <v>3.2263481380648662E-2</v>
      </c>
      <c r="FW120">
        <v>3.6631081943838662E-3</v>
      </c>
      <c r="FX120">
        <v>1</v>
      </c>
      <c r="FY120">
        <v>2</v>
      </c>
      <c r="FZ120">
        <v>2</v>
      </c>
      <c r="GA120" t="s">
        <v>422</v>
      </c>
      <c r="GB120">
        <v>2.90063</v>
      </c>
      <c r="GC120">
        <v>2.81826</v>
      </c>
      <c r="GD120">
        <v>7.2783400000000003E-3</v>
      </c>
      <c r="GE120">
        <v>8.2697199999999995E-3</v>
      </c>
      <c r="GF120">
        <v>0.136349</v>
      </c>
      <c r="GG120">
        <v>0.115255</v>
      </c>
      <c r="GH120">
        <v>27507.8</v>
      </c>
      <c r="GI120">
        <v>27621.599999999999</v>
      </c>
      <c r="GJ120">
        <v>24588.1</v>
      </c>
      <c r="GK120">
        <v>24877.200000000001</v>
      </c>
      <c r="GL120">
        <v>28196.1</v>
      </c>
      <c r="GM120">
        <v>28723.200000000001</v>
      </c>
      <c r="GN120">
        <v>33237</v>
      </c>
      <c r="GO120">
        <v>33158.9</v>
      </c>
      <c r="GP120">
        <v>1.9612000000000001</v>
      </c>
      <c r="GQ120">
        <v>1.8603000000000001</v>
      </c>
      <c r="GR120">
        <v>0.11092399999999999</v>
      </c>
      <c r="GS120">
        <v>0</v>
      </c>
      <c r="GT120">
        <v>28.131699999999999</v>
      </c>
      <c r="GU120">
        <v>999.9</v>
      </c>
      <c r="GV120">
        <v>52.4</v>
      </c>
      <c r="GW120">
        <v>34.4</v>
      </c>
      <c r="GX120">
        <v>28.777699999999999</v>
      </c>
      <c r="GY120">
        <v>63.100499999999997</v>
      </c>
      <c r="GZ120">
        <v>24.523199999999999</v>
      </c>
      <c r="HA120">
        <v>1</v>
      </c>
      <c r="HB120">
        <v>0.49502000000000002</v>
      </c>
      <c r="HC120">
        <v>-0.231296</v>
      </c>
      <c r="HD120">
        <v>20.216200000000001</v>
      </c>
      <c r="HE120">
        <v>5.2340600000000004</v>
      </c>
      <c r="HF120">
        <v>11.9207</v>
      </c>
      <c r="HG120">
        <v>4.9606000000000003</v>
      </c>
      <c r="HH120">
        <v>3.2890000000000001</v>
      </c>
      <c r="HI120">
        <v>9999</v>
      </c>
      <c r="HJ120">
        <v>9999</v>
      </c>
      <c r="HK120">
        <v>9999</v>
      </c>
      <c r="HL120">
        <v>898.2</v>
      </c>
      <c r="HM120">
        <v>1.8805099999999999</v>
      </c>
      <c r="HN120">
        <v>1.87761</v>
      </c>
      <c r="HO120">
        <v>1.8855299999999999</v>
      </c>
      <c r="HP120">
        <v>1.8833899999999999</v>
      </c>
      <c r="HQ120">
        <v>1.8808100000000001</v>
      </c>
      <c r="HR120">
        <v>1.8798999999999999</v>
      </c>
      <c r="HS120">
        <v>1.8811</v>
      </c>
      <c r="HT120">
        <v>1.88049</v>
      </c>
      <c r="HU120">
        <v>5</v>
      </c>
      <c r="HV120">
        <v>0</v>
      </c>
      <c r="HW120">
        <v>0</v>
      </c>
      <c r="HX120">
        <v>0</v>
      </c>
      <c r="HY120" t="s">
        <v>423</v>
      </c>
      <c r="HZ120" t="s">
        <v>424</v>
      </c>
      <c r="IA120" t="s">
        <v>425</v>
      </c>
      <c r="IB120" t="s">
        <v>425</v>
      </c>
      <c r="IC120" t="s">
        <v>425</v>
      </c>
      <c r="ID120" t="s">
        <v>425</v>
      </c>
      <c r="IE120">
        <v>0</v>
      </c>
      <c r="IF120">
        <v>100</v>
      </c>
      <c r="IG120">
        <v>100</v>
      </c>
      <c r="IH120">
        <v>-1.579</v>
      </c>
      <c r="II120">
        <v>0.20130000000000001</v>
      </c>
      <c r="IJ120">
        <v>-1.63619511714888</v>
      </c>
      <c r="IK120">
        <v>2.2153513873161218E-3</v>
      </c>
      <c r="IL120">
        <v>-2.2967369670569612E-6</v>
      </c>
      <c r="IM120">
        <v>7.7859689150384122E-10</v>
      </c>
      <c r="IN120">
        <v>-0.20076965097133831</v>
      </c>
      <c r="IO120">
        <v>-4.1434251034592161E-3</v>
      </c>
      <c r="IP120">
        <v>8.3987709687394815E-4</v>
      </c>
      <c r="IQ120">
        <v>-7.4586254598011197E-6</v>
      </c>
      <c r="IR120">
        <v>2</v>
      </c>
      <c r="IS120">
        <v>1930</v>
      </c>
      <c r="IT120">
        <v>2</v>
      </c>
      <c r="IU120">
        <v>41</v>
      </c>
      <c r="IV120">
        <v>0.7</v>
      </c>
      <c r="IW120">
        <v>0.6</v>
      </c>
      <c r="IX120">
        <v>0.21972700000000001</v>
      </c>
      <c r="IY120">
        <v>2.5781200000000002</v>
      </c>
      <c r="IZ120">
        <v>1.24512</v>
      </c>
      <c r="JA120">
        <v>2.2595200000000002</v>
      </c>
      <c r="JB120">
        <v>1.4501999999999999</v>
      </c>
      <c r="JC120">
        <v>2.4047900000000002</v>
      </c>
      <c r="JD120">
        <v>37.650399999999998</v>
      </c>
      <c r="JE120">
        <v>15.918200000000001</v>
      </c>
      <c r="JF120">
        <v>18</v>
      </c>
      <c r="JG120">
        <v>501.12700000000001</v>
      </c>
      <c r="JH120">
        <v>482.73500000000001</v>
      </c>
      <c r="JI120">
        <v>29.267800000000001</v>
      </c>
      <c r="JJ120">
        <v>33.317399999999999</v>
      </c>
      <c r="JK120">
        <v>29.9998</v>
      </c>
      <c r="JL120">
        <v>33.343400000000003</v>
      </c>
      <c r="JM120">
        <v>33.288800000000002</v>
      </c>
      <c r="JN120">
        <v>4.4635100000000003</v>
      </c>
      <c r="JO120">
        <v>27.887</v>
      </c>
      <c r="JP120">
        <v>81.670100000000005</v>
      </c>
      <c r="JQ120">
        <v>29.295000000000002</v>
      </c>
      <c r="JR120">
        <v>30</v>
      </c>
      <c r="JS120">
        <v>22.868500000000001</v>
      </c>
      <c r="JT120">
        <v>99.217799999999997</v>
      </c>
      <c r="JU120">
        <v>99.050899999999999</v>
      </c>
    </row>
    <row r="121" spans="1:281" x14ac:dyDescent="0.25">
      <c r="A121">
        <v>105</v>
      </c>
      <c r="B121">
        <v>1693520169.0999999</v>
      </c>
      <c r="C121">
        <v>24519.5</v>
      </c>
      <c r="D121" t="s">
        <v>948</v>
      </c>
      <c r="E121" t="s">
        <v>949</v>
      </c>
      <c r="F121" t="s">
        <v>413</v>
      </c>
      <c r="G121" t="s">
        <v>778</v>
      </c>
      <c r="H121" t="s">
        <v>416</v>
      </c>
      <c r="I121" t="s">
        <v>415</v>
      </c>
      <c r="J121">
        <v>1693520169.0999999</v>
      </c>
      <c r="K121">
        <f t="shared" si="138"/>
        <v>5.6286804189011955E-3</v>
      </c>
      <c r="L121">
        <f t="shared" si="139"/>
        <v>5.6286804189011956</v>
      </c>
      <c r="M121">
        <f t="shared" si="140"/>
        <v>1.5619197119490669</v>
      </c>
      <c r="N121">
        <f t="shared" si="141"/>
        <v>8.0680899999999998</v>
      </c>
      <c r="O121">
        <f t="shared" si="142"/>
        <v>1.8501753065360313</v>
      </c>
      <c r="P121">
        <f t="shared" si="143"/>
        <v>0.18423736723209608</v>
      </c>
      <c r="Q121">
        <f t="shared" si="144"/>
        <v>0.80340692848969997</v>
      </c>
      <c r="R121">
        <f t="shared" si="145"/>
        <v>0.43815442452409081</v>
      </c>
      <c r="S121">
        <f t="shared" si="146"/>
        <v>2.9186227237631006</v>
      </c>
      <c r="T121">
        <f t="shared" si="147"/>
        <v>0.4046194113634009</v>
      </c>
      <c r="U121">
        <f t="shared" si="148"/>
        <v>0.25568589522149943</v>
      </c>
      <c r="V121">
        <f t="shared" si="149"/>
        <v>344.37831180425093</v>
      </c>
      <c r="W121">
        <f t="shared" si="150"/>
        <v>31.306131613093079</v>
      </c>
      <c r="X121">
        <f t="shared" si="151"/>
        <v>29.9421</v>
      </c>
      <c r="Y121">
        <f t="shared" si="152"/>
        <v>4.2463011899853056</v>
      </c>
      <c r="Z121">
        <f t="shared" si="153"/>
        <v>65.492080422464724</v>
      </c>
      <c r="AA121">
        <f t="shared" si="154"/>
        <v>2.9108438690609999</v>
      </c>
      <c r="AB121">
        <f t="shared" si="155"/>
        <v>4.4445738328729876</v>
      </c>
      <c r="AC121">
        <f t="shared" si="156"/>
        <v>1.3354573209243057</v>
      </c>
      <c r="AD121">
        <f t="shared" si="157"/>
        <v>-248.22480647354271</v>
      </c>
      <c r="AE121">
        <f t="shared" si="158"/>
        <v>125.32830986782101</v>
      </c>
      <c r="AF121">
        <f t="shared" si="159"/>
        <v>9.5801813554455091</v>
      </c>
      <c r="AG121">
        <f t="shared" si="160"/>
        <v>231.06199655397472</v>
      </c>
      <c r="AH121">
        <v>0</v>
      </c>
      <c r="AI121">
        <v>0</v>
      </c>
      <c r="AJ121">
        <f t="shared" si="161"/>
        <v>1</v>
      </c>
      <c r="AK121">
        <f t="shared" si="162"/>
        <v>0</v>
      </c>
      <c r="AL121">
        <f t="shared" si="163"/>
        <v>51903.815827377599</v>
      </c>
      <c r="AM121" t="s">
        <v>417</v>
      </c>
      <c r="AN121">
        <v>10366.9</v>
      </c>
      <c r="AO121">
        <v>993.59653846153856</v>
      </c>
      <c r="AP121">
        <v>3431.87</v>
      </c>
      <c r="AQ121">
        <f t="shared" si="164"/>
        <v>0.71047955241266758</v>
      </c>
      <c r="AR121">
        <v>-3.9894345373445681</v>
      </c>
      <c r="AS121" t="s">
        <v>950</v>
      </c>
      <c r="AT121">
        <v>10473.299999999999</v>
      </c>
      <c r="AU121">
        <v>773.64215384615386</v>
      </c>
      <c r="AV121">
        <v>822.23769843990533</v>
      </c>
      <c r="AW121">
        <f t="shared" si="165"/>
        <v>5.9101576935666533E-2</v>
      </c>
      <c r="AX121">
        <v>0.5</v>
      </c>
      <c r="AY121">
        <f t="shared" si="166"/>
        <v>1513.2264059021254</v>
      </c>
      <c r="AZ121">
        <f t="shared" si="167"/>
        <v>1.5619197119490669</v>
      </c>
      <c r="BA121">
        <f t="shared" si="168"/>
        <v>44.717033424753311</v>
      </c>
      <c r="BB121">
        <f t="shared" si="169"/>
        <v>3.6685549681404997E-3</v>
      </c>
      <c r="BC121">
        <f t="shared" si="170"/>
        <v>3.1738173845732813</v>
      </c>
      <c r="BD121">
        <f t="shared" si="171"/>
        <v>517.79889001222341</v>
      </c>
      <c r="BE121" t="s">
        <v>951</v>
      </c>
      <c r="BF121">
        <v>634.65</v>
      </c>
      <c r="BG121">
        <f t="shared" si="172"/>
        <v>634.65</v>
      </c>
      <c r="BH121">
        <f t="shared" si="173"/>
        <v>0.22814290660210534</v>
      </c>
      <c r="BI121">
        <f t="shared" si="174"/>
        <v>0.25905507129679556</v>
      </c>
      <c r="BJ121">
        <f t="shared" si="175"/>
        <v>0.93293781024020095</v>
      </c>
      <c r="BK121">
        <f t="shared" si="176"/>
        <v>-0.28358936479504948</v>
      </c>
      <c r="BL121">
        <f t="shared" si="177"/>
        <v>1.0702787618881402</v>
      </c>
      <c r="BM121">
        <f t="shared" si="178"/>
        <v>0.21251336962593387</v>
      </c>
      <c r="BN121">
        <f t="shared" si="179"/>
        <v>0.78748663037406619</v>
      </c>
      <c r="BO121">
        <v>7952</v>
      </c>
      <c r="BP121">
        <v>290.00000000000011</v>
      </c>
      <c r="BQ121">
        <v>807.44</v>
      </c>
      <c r="BR121">
        <v>105</v>
      </c>
      <c r="BS121">
        <v>10473.299999999999</v>
      </c>
      <c r="BT121">
        <v>806.54</v>
      </c>
      <c r="BU121">
        <v>0.9</v>
      </c>
      <c r="BV121">
        <v>300.00000000000011</v>
      </c>
      <c r="BW121">
        <v>38.200000000000003</v>
      </c>
      <c r="BX121">
        <v>822.23769843990533</v>
      </c>
      <c r="BY121">
        <v>1.053537577998386</v>
      </c>
      <c r="BZ121">
        <v>-16.445884409878541</v>
      </c>
      <c r="CA121">
        <v>0.90229509455800494</v>
      </c>
      <c r="CB121">
        <v>0.92226832105460299</v>
      </c>
      <c r="CC121">
        <v>-1.135996084538376E-2</v>
      </c>
      <c r="CD121">
        <v>289.99999999999989</v>
      </c>
      <c r="CE121">
        <v>803.85</v>
      </c>
      <c r="CF121">
        <v>625</v>
      </c>
      <c r="CG121">
        <v>10443</v>
      </c>
      <c r="CH121">
        <v>806.49</v>
      </c>
      <c r="CI121">
        <v>-2.64</v>
      </c>
      <c r="CW121">
        <f t="shared" si="180"/>
        <v>1800.05</v>
      </c>
      <c r="CX121">
        <f t="shared" si="181"/>
        <v>1513.2264059021254</v>
      </c>
      <c r="CY121">
        <f t="shared" si="182"/>
        <v>0.84065798500159739</v>
      </c>
      <c r="CZ121">
        <f t="shared" si="183"/>
        <v>0.19131597000319486</v>
      </c>
      <c r="DA121">
        <v>6</v>
      </c>
      <c r="DB121">
        <v>0.5</v>
      </c>
      <c r="DC121" t="s">
        <v>420</v>
      </c>
      <c r="DD121">
        <v>2</v>
      </c>
      <c r="DE121">
        <v>1693520169.0999999</v>
      </c>
      <c r="DF121">
        <v>8.0680899999999998</v>
      </c>
      <c r="DG121">
        <v>9.9952199999999998</v>
      </c>
      <c r="DH121">
        <v>29.2317</v>
      </c>
      <c r="DI121">
        <v>22.680399999999999</v>
      </c>
      <c r="DJ121">
        <v>9.6261100000000006</v>
      </c>
      <c r="DK121">
        <v>29.025300000000001</v>
      </c>
      <c r="DL121">
        <v>500.43299999999999</v>
      </c>
      <c r="DM121">
        <v>99.477900000000005</v>
      </c>
      <c r="DN121">
        <v>0.10043000000000001</v>
      </c>
      <c r="DO121">
        <v>30.738600000000002</v>
      </c>
      <c r="DP121">
        <v>29.9421</v>
      </c>
      <c r="DQ121">
        <v>999.9</v>
      </c>
      <c r="DR121">
        <v>0</v>
      </c>
      <c r="DS121">
        <v>0</v>
      </c>
      <c r="DT121">
        <v>9990</v>
      </c>
      <c r="DU121">
        <v>0</v>
      </c>
      <c r="DV121">
        <v>329.73599999999999</v>
      </c>
      <c r="DW121">
        <v>-1.92713</v>
      </c>
      <c r="DX121">
        <v>8.3110400000000002</v>
      </c>
      <c r="DY121">
        <v>10.2272</v>
      </c>
      <c r="DZ121">
        <v>6.55131</v>
      </c>
      <c r="EA121">
        <v>9.9952199999999998</v>
      </c>
      <c r="EB121">
        <v>22.680399999999999</v>
      </c>
      <c r="EC121">
        <v>2.9079100000000002</v>
      </c>
      <c r="ED121">
        <v>2.2562000000000002</v>
      </c>
      <c r="EE121">
        <v>23.509799999999998</v>
      </c>
      <c r="EF121">
        <v>19.367100000000001</v>
      </c>
      <c r="EG121">
        <v>1800.05</v>
      </c>
      <c r="EH121">
        <v>0.97800299999999996</v>
      </c>
      <c r="EI121">
        <v>2.1996499999999999E-2</v>
      </c>
      <c r="EJ121">
        <v>0</v>
      </c>
      <c r="EK121">
        <v>773.29200000000003</v>
      </c>
      <c r="EL121">
        <v>5.0010300000000001</v>
      </c>
      <c r="EM121">
        <v>14097</v>
      </c>
      <c r="EN121">
        <v>14701.5</v>
      </c>
      <c r="EO121">
        <v>46.936999999999998</v>
      </c>
      <c r="EP121">
        <v>47.625</v>
      </c>
      <c r="EQ121">
        <v>48.125</v>
      </c>
      <c r="ER121">
        <v>47.125</v>
      </c>
      <c r="ES121">
        <v>48.375</v>
      </c>
      <c r="ET121">
        <v>1755.56</v>
      </c>
      <c r="EU121">
        <v>39.479999999999997</v>
      </c>
      <c r="EV121">
        <v>0</v>
      </c>
      <c r="EW121">
        <v>115.4000000953674</v>
      </c>
      <c r="EX121">
        <v>0</v>
      </c>
      <c r="EY121">
        <v>773.64215384615386</v>
      </c>
      <c r="EZ121">
        <v>-8.3076924831935267E-2</v>
      </c>
      <c r="FA121">
        <v>28.550427340309859</v>
      </c>
      <c r="FB121">
        <v>14096.15769230769</v>
      </c>
      <c r="FC121">
        <v>15</v>
      </c>
      <c r="FD121">
        <v>1693520134.0999999</v>
      </c>
      <c r="FE121" t="s">
        <v>952</v>
      </c>
      <c r="FF121">
        <v>1693520118.0999999</v>
      </c>
      <c r="FG121">
        <v>1693520134.0999999</v>
      </c>
      <c r="FH121">
        <v>115</v>
      </c>
      <c r="FI121">
        <v>5.7000000000000002E-2</v>
      </c>
      <c r="FJ121">
        <v>2E-3</v>
      </c>
      <c r="FK121">
        <v>-1.554</v>
      </c>
      <c r="FL121">
        <v>4.9000000000000002E-2</v>
      </c>
      <c r="FM121">
        <v>10</v>
      </c>
      <c r="FN121">
        <v>23</v>
      </c>
      <c r="FO121">
        <v>0.9</v>
      </c>
      <c r="FP121">
        <v>0.04</v>
      </c>
      <c r="FQ121">
        <v>1.523481648045113</v>
      </c>
      <c r="FR121">
        <v>-0.24423618614781931</v>
      </c>
      <c r="FS121">
        <v>5.2593533030395913E-2</v>
      </c>
      <c r="FT121">
        <v>1</v>
      </c>
      <c r="FU121">
        <v>0.43753629476106032</v>
      </c>
      <c r="FV121">
        <v>3.7311298832351611E-2</v>
      </c>
      <c r="FW121">
        <v>3.2889242557473291E-3</v>
      </c>
      <c r="FX121">
        <v>1</v>
      </c>
      <c r="FY121">
        <v>2</v>
      </c>
      <c r="FZ121">
        <v>2</v>
      </c>
      <c r="GA121" t="s">
        <v>422</v>
      </c>
      <c r="GB121">
        <v>2.9009499999999999</v>
      </c>
      <c r="GC121">
        <v>2.8183500000000001</v>
      </c>
      <c r="GD121">
        <v>2.6516700000000001E-3</v>
      </c>
      <c r="GE121">
        <v>2.7621999999999998E-3</v>
      </c>
      <c r="GF121">
        <v>0.13672500000000001</v>
      </c>
      <c r="GG121">
        <v>0.114535</v>
      </c>
      <c r="GH121">
        <v>27640.799999999999</v>
      </c>
      <c r="GI121">
        <v>27777.9</v>
      </c>
      <c r="GJ121">
        <v>24592.3</v>
      </c>
      <c r="GK121">
        <v>24879.7</v>
      </c>
      <c r="GL121">
        <v>28188.5</v>
      </c>
      <c r="GM121">
        <v>28749</v>
      </c>
      <c r="GN121">
        <v>33243.1</v>
      </c>
      <c r="GO121">
        <v>33161.800000000003</v>
      </c>
      <c r="GP121">
        <v>1.9623999999999999</v>
      </c>
      <c r="GQ121">
        <v>1.8613</v>
      </c>
      <c r="GR121">
        <v>0.11312999999999999</v>
      </c>
      <c r="GS121">
        <v>0</v>
      </c>
      <c r="GT121">
        <v>28.098099999999999</v>
      </c>
      <c r="GU121">
        <v>999.9</v>
      </c>
      <c r="GV121">
        <v>52.2</v>
      </c>
      <c r="GW121">
        <v>34.299999999999997</v>
      </c>
      <c r="GX121">
        <v>28.51</v>
      </c>
      <c r="GY121">
        <v>62.970599999999997</v>
      </c>
      <c r="GZ121">
        <v>25.004000000000001</v>
      </c>
      <c r="HA121">
        <v>1</v>
      </c>
      <c r="HB121">
        <v>0.48767300000000002</v>
      </c>
      <c r="HC121">
        <v>-0.27435700000000002</v>
      </c>
      <c r="HD121">
        <v>20.215800000000002</v>
      </c>
      <c r="HE121">
        <v>5.2340600000000004</v>
      </c>
      <c r="HF121">
        <v>11.9201</v>
      </c>
      <c r="HG121">
        <v>4.9615999999999998</v>
      </c>
      <c r="HH121">
        <v>3.2890000000000001</v>
      </c>
      <c r="HI121">
        <v>9999</v>
      </c>
      <c r="HJ121">
        <v>9999</v>
      </c>
      <c r="HK121">
        <v>9999</v>
      </c>
      <c r="HL121">
        <v>898.3</v>
      </c>
      <c r="HM121">
        <v>1.88052</v>
      </c>
      <c r="HN121">
        <v>1.8775900000000001</v>
      </c>
      <c r="HO121">
        <v>1.8855299999999999</v>
      </c>
      <c r="HP121">
        <v>1.8833899999999999</v>
      </c>
      <c r="HQ121">
        <v>1.8808</v>
      </c>
      <c r="HR121">
        <v>1.87991</v>
      </c>
      <c r="HS121">
        <v>1.88104</v>
      </c>
      <c r="HT121">
        <v>1.88049</v>
      </c>
      <c r="HU121">
        <v>5</v>
      </c>
      <c r="HV121">
        <v>0</v>
      </c>
      <c r="HW121">
        <v>0</v>
      </c>
      <c r="HX121">
        <v>0</v>
      </c>
      <c r="HY121" t="s">
        <v>423</v>
      </c>
      <c r="HZ121" t="s">
        <v>424</v>
      </c>
      <c r="IA121" t="s">
        <v>425</v>
      </c>
      <c r="IB121" t="s">
        <v>425</v>
      </c>
      <c r="IC121" t="s">
        <v>425</v>
      </c>
      <c r="ID121" t="s">
        <v>425</v>
      </c>
      <c r="IE121">
        <v>0</v>
      </c>
      <c r="IF121">
        <v>100</v>
      </c>
      <c r="IG121">
        <v>100</v>
      </c>
      <c r="IH121">
        <v>-1.5580000000000001</v>
      </c>
      <c r="II121">
        <v>0.2064</v>
      </c>
      <c r="IJ121">
        <v>-1.5791260184813749</v>
      </c>
      <c r="IK121">
        <v>2.2153513873161218E-3</v>
      </c>
      <c r="IL121">
        <v>-2.2967369670569612E-6</v>
      </c>
      <c r="IM121">
        <v>7.7859689150384122E-10</v>
      </c>
      <c r="IN121">
        <v>-0.19848127289519349</v>
      </c>
      <c r="IO121">
        <v>-4.1434251034592161E-3</v>
      </c>
      <c r="IP121">
        <v>8.3987709687394815E-4</v>
      </c>
      <c r="IQ121">
        <v>-7.4586254598011197E-6</v>
      </c>
      <c r="IR121">
        <v>2</v>
      </c>
      <c r="IS121">
        <v>1930</v>
      </c>
      <c r="IT121">
        <v>2</v>
      </c>
      <c r="IU121">
        <v>41</v>
      </c>
      <c r="IV121">
        <v>0.8</v>
      </c>
      <c r="IW121">
        <v>0.6</v>
      </c>
      <c r="IX121">
        <v>0.17700199999999999</v>
      </c>
      <c r="IY121">
        <v>2.5854499999999998</v>
      </c>
      <c r="IZ121">
        <v>1.24512</v>
      </c>
      <c r="JA121">
        <v>2.2607400000000002</v>
      </c>
      <c r="JB121">
        <v>1.4501999999999999</v>
      </c>
      <c r="JC121">
        <v>2.4621599999999999</v>
      </c>
      <c r="JD121">
        <v>37.554000000000002</v>
      </c>
      <c r="JE121">
        <v>15.9095</v>
      </c>
      <c r="JF121">
        <v>18</v>
      </c>
      <c r="JG121">
        <v>501.23500000000001</v>
      </c>
      <c r="JH121">
        <v>482.697</v>
      </c>
      <c r="JI121">
        <v>29.4846</v>
      </c>
      <c r="JJ121">
        <v>33.236499999999999</v>
      </c>
      <c r="JK121">
        <v>29.9998</v>
      </c>
      <c r="JL121">
        <v>33.256500000000003</v>
      </c>
      <c r="JM121">
        <v>33.199199999999998</v>
      </c>
      <c r="JN121">
        <v>3.6179399999999999</v>
      </c>
      <c r="JO121">
        <v>27.9175</v>
      </c>
      <c r="JP121">
        <v>81.201400000000007</v>
      </c>
      <c r="JQ121">
        <v>29.5215</v>
      </c>
      <c r="JR121">
        <v>10</v>
      </c>
      <c r="JS121">
        <v>22.677499999999998</v>
      </c>
      <c r="JT121">
        <v>99.235500000000002</v>
      </c>
      <c r="JU121">
        <v>99.060199999999995</v>
      </c>
    </row>
    <row r="122" spans="1:281" x14ac:dyDescent="0.25">
      <c r="A122">
        <v>106</v>
      </c>
      <c r="B122">
        <v>1693520345.5999999</v>
      </c>
      <c r="C122">
        <v>24696</v>
      </c>
      <c r="D122" t="s">
        <v>953</v>
      </c>
      <c r="E122" t="s">
        <v>954</v>
      </c>
      <c r="F122" t="s">
        <v>413</v>
      </c>
      <c r="G122" t="s">
        <v>778</v>
      </c>
      <c r="H122" t="s">
        <v>416</v>
      </c>
      <c r="I122" t="s">
        <v>415</v>
      </c>
      <c r="J122">
        <v>1693520345.5999999</v>
      </c>
      <c r="K122">
        <f t="shared" si="138"/>
        <v>5.5296352250318323E-3</v>
      </c>
      <c r="L122">
        <f t="shared" si="139"/>
        <v>5.5296352250318321</v>
      </c>
      <c r="M122">
        <f t="shared" si="140"/>
        <v>39.423056203890376</v>
      </c>
      <c r="N122">
        <f t="shared" si="141"/>
        <v>350.51900000000001</v>
      </c>
      <c r="O122">
        <f t="shared" si="142"/>
        <v>184.41599482999172</v>
      </c>
      <c r="P122">
        <f t="shared" si="143"/>
        <v>18.364442597002224</v>
      </c>
      <c r="Q122">
        <f t="shared" si="144"/>
        <v>34.905248108184999</v>
      </c>
      <c r="R122">
        <f t="shared" si="145"/>
        <v>0.4209467327505102</v>
      </c>
      <c r="S122">
        <f t="shared" si="146"/>
        <v>2.9116561554689504</v>
      </c>
      <c r="T122">
        <f t="shared" si="147"/>
        <v>0.38982563320702163</v>
      </c>
      <c r="U122">
        <f t="shared" si="148"/>
        <v>0.24624511674116764</v>
      </c>
      <c r="V122">
        <f t="shared" si="149"/>
        <v>344.35799864413224</v>
      </c>
      <c r="W122">
        <f t="shared" si="150"/>
        <v>31.399482613778403</v>
      </c>
      <c r="X122">
        <f t="shared" si="151"/>
        <v>29.976800000000001</v>
      </c>
      <c r="Y122">
        <f t="shared" si="152"/>
        <v>4.2547756396540564</v>
      </c>
      <c r="Z122">
        <f t="shared" si="153"/>
        <v>64.842336381266847</v>
      </c>
      <c r="AA122">
        <f t="shared" si="154"/>
        <v>2.8929156228805</v>
      </c>
      <c r="AB122">
        <f t="shared" si="155"/>
        <v>4.461461113724261</v>
      </c>
      <c r="AC122">
        <f t="shared" si="156"/>
        <v>1.3618600167735564</v>
      </c>
      <c r="AD122">
        <f t="shared" si="157"/>
        <v>-243.85691342390382</v>
      </c>
      <c r="AE122">
        <f t="shared" si="158"/>
        <v>130.00520975054619</v>
      </c>
      <c r="AF122">
        <f t="shared" si="159"/>
        <v>9.9664464418080865</v>
      </c>
      <c r="AG122">
        <f t="shared" si="160"/>
        <v>240.47274141258271</v>
      </c>
      <c r="AH122">
        <v>0</v>
      </c>
      <c r="AI122">
        <v>0</v>
      </c>
      <c r="AJ122">
        <f t="shared" si="161"/>
        <v>1</v>
      </c>
      <c r="AK122">
        <f t="shared" si="162"/>
        <v>0</v>
      </c>
      <c r="AL122">
        <f t="shared" si="163"/>
        <v>51694.578847322162</v>
      </c>
      <c r="AM122" t="s">
        <v>417</v>
      </c>
      <c r="AN122">
        <v>10366.9</v>
      </c>
      <c r="AO122">
        <v>993.59653846153856</v>
      </c>
      <c r="AP122">
        <v>3431.87</v>
      </c>
      <c r="AQ122">
        <f t="shared" si="164"/>
        <v>0.71047955241266758</v>
      </c>
      <c r="AR122">
        <v>-3.9894345373445681</v>
      </c>
      <c r="AS122" t="s">
        <v>955</v>
      </c>
      <c r="AT122">
        <v>10453.700000000001</v>
      </c>
      <c r="AU122">
        <v>761.04944</v>
      </c>
      <c r="AV122">
        <v>1061.292282227625</v>
      </c>
      <c r="AW122">
        <f t="shared" si="165"/>
        <v>0.28290306756723327</v>
      </c>
      <c r="AX122">
        <v>0.5</v>
      </c>
      <c r="AY122">
        <f t="shared" si="166"/>
        <v>1513.1342993220662</v>
      </c>
      <c r="AZ122">
        <f t="shared" si="167"/>
        <v>39.423056203890376</v>
      </c>
      <c r="BA122">
        <f t="shared" si="168"/>
        <v>214.03516745970433</v>
      </c>
      <c r="BB122">
        <f t="shared" si="169"/>
        <v>2.8690441265316082E-2</v>
      </c>
      <c r="BC122">
        <f t="shared" si="170"/>
        <v>2.2336709288006822</v>
      </c>
      <c r="BD122">
        <f t="shared" si="171"/>
        <v>603.38890906836093</v>
      </c>
      <c r="BE122" t="s">
        <v>956</v>
      </c>
      <c r="BF122">
        <v>605.45000000000005</v>
      </c>
      <c r="BG122">
        <f t="shared" si="172"/>
        <v>605.45000000000005</v>
      </c>
      <c r="BH122">
        <f t="shared" si="173"/>
        <v>0.42951625095287027</v>
      </c>
      <c r="BI122">
        <f t="shared" si="174"/>
        <v>0.65865509614507123</v>
      </c>
      <c r="BJ122">
        <f t="shared" si="175"/>
        <v>0.83872096778694416</v>
      </c>
      <c r="BK122">
        <f t="shared" si="176"/>
        <v>4.4351804932533678</v>
      </c>
      <c r="BL122">
        <f t="shared" si="177"/>
        <v>0.97223619711491538</v>
      </c>
      <c r="BM122">
        <f t="shared" si="178"/>
        <v>0.5239905674998373</v>
      </c>
      <c r="BN122">
        <f t="shared" si="179"/>
        <v>0.4760094325001627</v>
      </c>
      <c r="BO122">
        <v>7954</v>
      </c>
      <c r="BP122">
        <v>290.00000000000011</v>
      </c>
      <c r="BQ122">
        <v>960.3</v>
      </c>
      <c r="BR122">
        <v>255</v>
      </c>
      <c r="BS122">
        <v>10453.700000000001</v>
      </c>
      <c r="BT122">
        <v>959.64</v>
      </c>
      <c r="BU122">
        <v>0.66</v>
      </c>
      <c r="BV122">
        <v>300.00000000000011</v>
      </c>
      <c r="BW122">
        <v>38.200000000000003</v>
      </c>
      <c r="BX122">
        <v>1061.292282227625</v>
      </c>
      <c r="BY122">
        <v>0.99869818997578641</v>
      </c>
      <c r="BZ122">
        <v>-106.26458873417801</v>
      </c>
      <c r="CA122">
        <v>0.85551128619729888</v>
      </c>
      <c r="CB122">
        <v>0.99818847247800768</v>
      </c>
      <c r="CC122">
        <v>-1.1363184872080091E-2</v>
      </c>
      <c r="CD122">
        <v>289.99999999999989</v>
      </c>
      <c r="CE122">
        <v>936.21</v>
      </c>
      <c r="CF122">
        <v>645</v>
      </c>
      <c r="CG122">
        <v>10443.4</v>
      </c>
      <c r="CH122">
        <v>959.54</v>
      </c>
      <c r="CI122">
        <v>-23.33</v>
      </c>
      <c r="CW122">
        <f t="shared" si="180"/>
        <v>1799.94</v>
      </c>
      <c r="CX122">
        <f t="shared" si="181"/>
        <v>1513.1342993220662</v>
      </c>
      <c r="CY122">
        <f t="shared" si="182"/>
        <v>0.84065818822964444</v>
      </c>
      <c r="CZ122">
        <f t="shared" si="183"/>
        <v>0.19131637645928878</v>
      </c>
      <c r="DA122">
        <v>6</v>
      </c>
      <c r="DB122">
        <v>0.5</v>
      </c>
      <c r="DC122" t="s">
        <v>420</v>
      </c>
      <c r="DD122">
        <v>2</v>
      </c>
      <c r="DE122">
        <v>1693520345.5999999</v>
      </c>
      <c r="DF122">
        <v>350.51900000000001</v>
      </c>
      <c r="DG122">
        <v>400.11099999999999</v>
      </c>
      <c r="DH122">
        <v>29.050699999999999</v>
      </c>
      <c r="DI122">
        <v>22.613299999999999</v>
      </c>
      <c r="DJ122">
        <v>352.49599999999998</v>
      </c>
      <c r="DK122">
        <v>28.8476</v>
      </c>
      <c r="DL122">
        <v>500.41899999999998</v>
      </c>
      <c r="DM122">
        <v>99.480900000000005</v>
      </c>
      <c r="DN122">
        <v>0.100715</v>
      </c>
      <c r="DO122">
        <v>30.805</v>
      </c>
      <c r="DP122">
        <v>29.976800000000001</v>
      </c>
      <c r="DQ122">
        <v>999.9</v>
      </c>
      <c r="DR122">
        <v>0</v>
      </c>
      <c r="DS122">
        <v>0</v>
      </c>
      <c r="DT122">
        <v>9950</v>
      </c>
      <c r="DU122">
        <v>0</v>
      </c>
      <c r="DV122">
        <v>327.51</v>
      </c>
      <c r="DW122">
        <v>-49.591700000000003</v>
      </c>
      <c r="DX122">
        <v>361.00700000000001</v>
      </c>
      <c r="DY122">
        <v>409.36799999999999</v>
      </c>
      <c r="DZ122">
        <v>6.4374399999999996</v>
      </c>
      <c r="EA122">
        <v>400.11099999999999</v>
      </c>
      <c r="EB122">
        <v>22.613299999999999</v>
      </c>
      <c r="EC122">
        <v>2.8899900000000001</v>
      </c>
      <c r="ED122">
        <v>2.24959</v>
      </c>
      <c r="EE122">
        <v>23.407299999999999</v>
      </c>
      <c r="EF122">
        <v>19.319900000000001</v>
      </c>
      <c r="EG122">
        <v>1799.94</v>
      </c>
      <c r="EH122">
        <v>0.97799999999999998</v>
      </c>
      <c r="EI122">
        <v>2.2000200000000001E-2</v>
      </c>
      <c r="EJ122">
        <v>0</v>
      </c>
      <c r="EK122">
        <v>759.10500000000002</v>
      </c>
      <c r="EL122">
        <v>5.0010300000000001</v>
      </c>
      <c r="EM122">
        <v>13828.9</v>
      </c>
      <c r="EN122">
        <v>14700.6</v>
      </c>
      <c r="EO122">
        <v>46.875</v>
      </c>
      <c r="EP122">
        <v>47.5</v>
      </c>
      <c r="EQ122">
        <v>48</v>
      </c>
      <c r="ER122">
        <v>47.061999999999998</v>
      </c>
      <c r="ES122">
        <v>48.5</v>
      </c>
      <c r="ET122">
        <v>1755.45</v>
      </c>
      <c r="EU122">
        <v>39.49</v>
      </c>
      <c r="EV122">
        <v>0</v>
      </c>
      <c r="EW122">
        <v>174.80000019073489</v>
      </c>
      <c r="EX122">
        <v>0</v>
      </c>
      <c r="EY122">
        <v>761.04944</v>
      </c>
      <c r="EZ122">
        <v>-17.451461508810631</v>
      </c>
      <c r="FA122">
        <v>-288.60769177882162</v>
      </c>
      <c r="FB122">
        <v>13866.456</v>
      </c>
      <c r="FC122">
        <v>15</v>
      </c>
      <c r="FD122">
        <v>1693520240.5999999</v>
      </c>
      <c r="FE122" t="s">
        <v>957</v>
      </c>
      <c r="FF122">
        <v>1693520231.0999999</v>
      </c>
      <c r="FG122">
        <v>1693520240.5999999</v>
      </c>
      <c r="FH122">
        <v>116</v>
      </c>
      <c r="FI122">
        <v>-0.92700000000000005</v>
      </c>
      <c r="FJ122">
        <v>1E-3</v>
      </c>
      <c r="FK122">
        <v>-1.9359999999999999</v>
      </c>
      <c r="FL122">
        <v>4.8000000000000001E-2</v>
      </c>
      <c r="FM122">
        <v>400</v>
      </c>
      <c r="FN122">
        <v>22</v>
      </c>
      <c r="FO122">
        <v>0.19</v>
      </c>
      <c r="FP122">
        <v>0.03</v>
      </c>
      <c r="FQ122">
        <v>39.329964820379438</v>
      </c>
      <c r="FR122">
        <v>0.5064825970503265</v>
      </c>
      <c r="FS122">
        <v>6.461156660137464E-2</v>
      </c>
      <c r="FT122">
        <v>1</v>
      </c>
      <c r="FU122">
        <v>0.42227469013798857</v>
      </c>
      <c r="FV122">
        <v>-2.7270984933176962E-4</v>
      </c>
      <c r="FW122">
        <v>1.064595598604493E-3</v>
      </c>
      <c r="FX122">
        <v>1</v>
      </c>
      <c r="FY122">
        <v>2</v>
      </c>
      <c r="FZ122">
        <v>2</v>
      </c>
      <c r="GA122" t="s">
        <v>422</v>
      </c>
      <c r="GB122">
        <v>2.9011800000000001</v>
      </c>
      <c r="GC122">
        <v>2.8182900000000002</v>
      </c>
      <c r="GD122">
        <v>8.2258999999999999E-2</v>
      </c>
      <c r="GE122">
        <v>9.0772900000000004E-2</v>
      </c>
      <c r="GF122">
        <v>0.13619800000000001</v>
      </c>
      <c r="GG122">
        <v>0.11433699999999999</v>
      </c>
      <c r="GH122">
        <v>25443.3</v>
      </c>
      <c r="GI122">
        <v>25334</v>
      </c>
      <c r="GJ122">
        <v>24598</v>
      </c>
      <c r="GK122">
        <v>24883.7</v>
      </c>
      <c r="GL122">
        <v>28211.1</v>
      </c>
      <c r="GM122">
        <v>28760.1</v>
      </c>
      <c r="GN122">
        <v>33249.9</v>
      </c>
      <c r="GO122">
        <v>33167.5</v>
      </c>
      <c r="GP122">
        <v>1.9642999999999999</v>
      </c>
      <c r="GQ122">
        <v>1.8654999999999999</v>
      </c>
      <c r="GR122">
        <v>0.116438</v>
      </c>
      <c r="GS122">
        <v>0</v>
      </c>
      <c r="GT122">
        <v>28.078900000000001</v>
      </c>
      <c r="GU122">
        <v>999.9</v>
      </c>
      <c r="GV122">
        <v>51.9</v>
      </c>
      <c r="GW122">
        <v>34.200000000000003</v>
      </c>
      <c r="GX122">
        <v>28.185500000000001</v>
      </c>
      <c r="GY122">
        <v>62.9206</v>
      </c>
      <c r="GZ122">
        <v>23.5457</v>
      </c>
      <c r="HA122">
        <v>1</v>
      </c>
      <c r="HB122">
        <v>0.47609800000000002</v>
      </c>
      <c r="HC122">
        <v>-0.37579499999999999</v>
      </c>
      <c r="HD122">
        <v>20.2163</v>
      </c>
      <c r="HE122">
        <v>5.23346</v>
      </c>
      <c r="HF122">
        <v>11.9201</v>
      </c>
      <c r="HG122">
        <v>4.9607999999999999</v>
      </c>
      <c r="HH122">
        <v>3.2890000000000001</v>
      </c>
      <c r="HI122">
        <v>9999</v>
      </c>
      <c r="HJ122">
        <v>9999</v>
      </c>
      <c r="HK122">
        <v>9999</v>
      </c>
      <c r="HL122">
        <v>898.3</v>
      </c>
      <c r="HM122">
        <v>1.88052</v>
      </c>
      <c r="HN122">
        <v>1.8775900000000001</v>
      </c>
      <c r="HO122">
        <v>1.8855299999999999</v>
      </c>
      <c r="HP122">
        <v>1.88337</v>
      </c>
      <c r="HQ122">
        <v>1.8808100000000001</v>
      </c>
      <c r="HR122">
        <v>1.87991</v>
      </c>
      <c r="HS122">
        <v>1.88104</v>
      </c>
      <c r="HT122">
        <v>1.8804700000000001</v>
      </c>
      <c r="HU122">
        <v>5</v>
      </c>
      <c r="HV122">
        <v>0</v>
      </c>
      <c r="HW122">
        <v>0</v>
      </c>
      <c r="HX122">
        <v>0</v>
      </c>
      <c r="HY122" t="s">
        <v>423</v>
      </c>
      <c r="HZ122" t="s">
        <v>424</v>
      </c>
      <c r="IA122" t="s">
        <v>425</v>
      </c>
      <c r="IB122" t="s">
        <v>425</v>
      </c>
      <c r="IC122" t="s">
        <v>425</v>
      </c>
      <c r="ID122" t="s">
        <v>425</v>
      </c>
      <c r="IE122">
        <v>0</v>
      </c>
      <c r="IF122">
        <v>100</v>
      </c>
      <c r="IG122">
        <v>100</v>
      </c>
      <c r="IH122">
        <v>-1.9770000000000001</v>
      </c>
      <c r="II122">
        <v>0.2031</v>
      </c>
      <c r="IJ122">
        <v>-2.5062017211802101</v>
      </c>
      <c r="IK122">
        <v>2.2153513873161218E-3</v>
      </c>
      <c r="IL122">
        <v>-2.2967369670569612E-6</v>
      </c>
      <c r="IM122">
        <v>7.7859689150384122E-10</v>
      </c>
      <c r="IN122">
        <v>-0.19727935399069799</v>
      </c>
      <c r="IO122">
        <v>-4.1434251034592161E-3</v>
      </c>
      <c r="IP122">
        <v>8.3987709687394815E-4</v>
      </c>
      <c r="IQ122">
        <v>-7.4586254598011197E-6</v>
      </c>
      <c r="IR122">
        <v>2</v>
      </c>
      <c r="IS122">
        <v>1930</v>
      </c>
      <c r="IT122">
        <v>2</v>
      </c>
      <c r="IU122">
        <v>41</v>
      </c>
      <c r="IV122">
        <v>1.9</v>
      </c>
      <c r="IW122">
        <v>1.8</v>
      </c>
      <c r="IX122">
        <v>1.0022</v>
      </c>
      <c r="IY122">
        <v>2.52319</v>
      </c>
      <c r="IZ122">
        <v>1.24512</v>
      </c>
      <c r="JA122">
        <v>2.2607400000000002</v>
      </c>
      <c r="JB122">
        <v>1.4501999999999999</v>
      </c>
      <c r="JC122">
        <v>2.2290000000000001</v>
      </c>
      <c r="JD122">
        <v>37.385800000000003</v>
      </c>
      <c r="JE122">
        <v>15.8832</v>
      </c>
      <c r="JF122">
        <v>18</v>
      </c>
      <c r="JG122">
        <v>501.45299999999997</v>
      </c>
      <c r="JH122">
        <v>484.62599999999998</v>
      </c>
      <c r="JI122">
        <v>29.576699999999999</v>
      </c>
      <c r="JJ122">
        <v>33.1126</v>
      </c>
      <c r="JK122">
        <v>29.9998</v>
      </c>
      <c r="JL122">
        <v>33.125300000000003</v>
      </c>
      <c r="JM122">
        <v>33.0715</v>
      </c>
      <c r="JN122">
        <v>20.172499999999999</v>
      </c>
      <c r="JO122">
        <v>26.154599999999999</v>
      </c>
      <c r="JP122">
        <v>80.365399999999994</v>
      </c>
      <c r="JQ122">
        <v>29.568999999999999</v>
      </c>
      <c r="JR122">
        <v>400</v>
      </c>
      <c r="JS122">
        <v>22.831700000000001</v>
      </c>
      <c r="JT122">
        <v>99.256900000000002</v>
      </c>
      <c r="JU122">
        <v>99.076800000000006</v>
      </c>
    </row>
    <row r="123" spans="1:281" x14ac:dyDescent="0.25">
      <c r="A123">
        <v>107</v>
      </c>
      <c r="B123">
        <v>1693520532.0999999</v>
      </c>
      <c r="C123">
        <v>24882.5</v>
      </c>
      <c r="D123" t="s">
        <v>958</v>
      </c>
      <c r="E123" t="s">
        <v>959</v>
      </c>
      <c r="F123" t="s">
        <v>413</v>
      </c>
      <c r="G123" t="s">
        <v>778</v>
      </c>
      <c r="H123" t="s">
        <v>416</v>
      </c>
      <c r="I123" t="s">
        <v>415</v>
      </c>
      <c r="J123">
        <v>1693520532.0999999</v>
      </c>
      <c r="K123">
        <f t="shared" si="138"/>
        <v>5.2530201527343449E-3</v>
      </c>
      <c r="L123">
        <f t="shared" si="139"/>
        <v>5.2530201527343445</v>
      </c>
      <c r="M123">
        <f t="shared" si="140"/>
        <v>45.356551708744959</v>
      </c>
      <c r="N123">
        <f t="shared" si="141"/>
        <v>343.44</v>
      </c>
      <c r="O123">
        <f t="shared" si="142"/>
        <v>146.01942363736831</v>
      </c>
      <c r="P123">
        <f t="shared" si="143"/>
        <v>14.540634356489596</v>
      </c>
      <c r="Q123">
        <f t="shared" si="144"/>
        <v>34.199802594719991</v>
      </c>
      <c r="R123">
        <f t="shared" si="145"/>
        <v>0.40264388121502315</v>
      </c>
      <c r="S123">
        <f t="shared" si="146"/>
        <v>2.9247878520040365</v>
      </c>
      <c r="T123">
        <f t="shared" si="147"/>
        <v>0.37419038805950383</v>
      </c>
      <c r="U123">
        <f t="shared" si="148"/>
        <v>0.23625765194417658</v>
      </c>
      <c r="V123">
        <f t="shared" si="149"/>
        <v>344.36369864415485</v>
      </c>
      <c r="W123">
        <f t="shared" si="150"/>
        <v>31.397127370062243</v>
      </c>
      <c r="X123">
        <f t="shared" si="151"/>
        <v>29.9649</v>
      </c>
      <c r="Y123">
        <f t="shared" si="152"/>
        <v>4.2518677571421035</v>
      </c>
      <c r="Z123">
        <f t="shared" si="153"/>
        <v>65.361749080987877</v>
      </c>
      <c r="AA123">
        <f t="shared" si="154"/>
        <v>2.904155144632</v>
      </c>
      <c r="AB123">
        <f t="shared" si="155"/>
        <v>4.4432029213807365</v>
      </c>
      <c r="AC123">
        <f t="shared" si="156"/>
        <v>1.3477126125101035</v>
      </c>
      <c r="AD123">
        <f t="shared" si="157"/>
        <v>-231.65818873558462</v>
      </c>
      <c r="AE123">
        <f t="shared" si="158"/>
        <v>121.14643728492473</v>
      </c>
      <c r="AF123">
        <f t="shared" si="159"/>
        <v>9.2417900542628928</v>
      </c>
      <c r="AG123">
        <f t="shared" si="160"/>
        <v>243.09373724775784</v>
      </c>
      <c r="AH123">
        <v>0</v>
      </c>
      <c r="AI123">
        <v>0</v>
      </c>
      <c r="AJ123">
        <f t="shared" si="161"/>
        <v>1</v>
      </c>
      <c r="AK123">
        <f t="shared" si="162"/>
        <v>0</v>
      </c>
      <c r="AL123">
        <f t="shared" si="163"/>
        <v>52080.260882731396</v>
      </c>
      <c r="AM123" t="s">
        <v>417</v>
      </c>
      <c r="AN123">
        <v>10366.9</v>
      </c>
      <c r="AO123">
        <v>993.59653846153856</v>
      </c>
      <c r="AP123">
        <v>3431.87</v>
      </c>
      <c r="AQ123">
        <f t="shared" si="164"/>
        <v>0.71047955241266758</v>
      </c>
      <c r="AR123">
        <v>-3.9894345373445681</v>
      </c>
      <c r="AS123" t="s">
        <v>960</v>
      </c>
      <c r="AT123">
        <v>10460.299999999999</v>
      </c>
      <c r="AU123">
        <v>776.71031999999991</v>
      </c>
      <c r="AV123">
        <v>1113.619377254859</v>
      </c>
      <c r="AW123">
        <f t="shared" si="165"/>
        <v>0.30253519661750217</v>
      </c>
      <c r="AX123">
        <v>0.5</v>
      </c>
      <c r="AY123">
        <f t="shared" si="166"/>
        <v>1513.1594993220774</v>
      </c>
      <c r="AZ123">
        <f t="shared" si="167"/>
        <v>45.356551708744959</v>
      </c>
      <c r="BA123">
        <f t="shared" si="168"/>
        <v>228.89200332052292</v>
      </c>
      <c r="BB123">
        <f t="shared" si="169"/>
        <v>3.2611225894029948E-2</v>
      </c>
      <c r="BC123">
        <f t="shared" si="170"/>
        <v>2.0817261894811607</v>
      </c>
      <c r="BD123">
        <f t="shared" si="171"/>
        <v>619.9507791428731</v>
      </c>
      <c r="BE123" t="s">
        <v>961</v>
      </c>
      <c r="BF123">
        <v>614.28</v>
      </c>
      <c r="BG123">
        <f t="shared" si="172"/>
        <v>614.28</v>
      </c>
      <c r="BH123">
        <f t="shared" si="173"/>
        <v>0.44839321895220763</v>
      </c>
      <c r="BI123">
        <f t="shared" si="174"/>
        <v>0.67470957148829713</v>
      </c>
      <c r="BJ123">
        <f t="shared" si="175"/>
        <v>0.82277784303079604</v>
      </c>
      <c r="BK123">
        <f t="shared" si="176"/>
        <v>2.8070412318360263</v>
      </c>
      <c r="BL123">
        <f t="shared" si="177"/>
        <v>0.95077548081190588</v>
      </c>
      <c r="BM123">
        <f t="shared" si="178"/>
        <v>0.53361025970896225</v>
      </c>
      <c r="BN123">
        <f t="shared" si="179"/>
        <v>0.46638974029103775</v>
      </c>
      <c r="BO123">
        <v>7956</v>
      </c>
      <c r="BP123">
        <v>290.00000000000011</v>
      </c>
      <c r="BQ123">
        <v>1014.44</v>
      </c>
      <c r="BR123">
        <v>205</v>
      </c>
      <c r="BS123">
        <v>10460.299999999999</v>
      </c>
      <c r="BT123">
        <v>1010.2</v>
      </c>
      <c r="BU123">
        <v>4.24</v>
      </c>
      <c r="BV123">
        <v>300.00000000000011</v>
      </c>
      <c r="BW123">
        <v>38.200000000000003</v>
      </c>
      <c r="BX123">
        <v>1113.619377254859</v>
      </c>
      <c r="BY123">
        <v>1.433864911731243</v>
      </c>
      <c r="BZ123">
        <v>-108.1749071710078</v>
      </c>
      <c r="CA123">
        <v>1.22835503847826</v>
      </c>
      <c r="CB123">
        <v>0.99640260896423605</v>
      </c>
      <c r="CC123">
        <v>-1.136388809788655E-2</v>
      </c>
      <c r="CD123">
        <v>289.99999999999989</v>
      </c>
      <c r="CE123">
        <v>996.05</v>
      </c>
      <c r="CF123">
        <v>645</v>
      </c>
      <c r="CG123">
        <v>10444.1</v>
      </c>
      <c r="CH123">
        <v>1010.04</v>
      </c>
      <c r="CI123">
        <v>-13.99</v>
      </c>
      <c r="CW123">
        <f t="shared" si="180"/>
        <v>1799.97</v>
      </c>
      <c r="CX123">
        <f t="shared" si="181"/>
        <v>1513.1594993220774</v>
      </c>
      <c r="CY123">
        <f t="shared" si="182"/>
        <v>0.84065817725966396</v>
      </c>
      <c r="CZ123">
        <f t="shared" si="183"/>
        <v>0.19131635451932802</v>
      </c>
      <c r="DA123">
        <v>6</v>
      </c>
      <c r="DB123">
        <v>0.5</v>
      </c>
      <c r="DC123" t="s">
        <v>420</v>
      </c>
      <c r="DD123">
        <v>2</v>
      </c>
      <c r="DE123">
        <v>1693520532.0999999</v>
      </c>
      <c r="DF123">
        <v>343.44</v>
      </c>
      <c r="DG123">
        <v>399.995</v>
      </c>
      <c r="DH123">
        <v>29.164000000000001</v>
      </c>
      <c r="DI123">
        <v>23.048300000000001</v>
      </c>
      <c r="DJ123">
        <v>345.47899999999998</v>
      </c>
      <c r="DK123">
        <v>28.956299999999999</v>
      </c>
      <c r="DL123">
        <v>500.334</v>
      </c>
      <c r="DM123">
        <v>99.480099999999993</v>
      </c>
      <c r="DN123">
        <v>0.100038</v>
      </c>
      <c r="DO123">
        <v>30.7332</v>
      </c>
      <c r="DP123">
        <v>29.9649</v>
      </c>
      <c r="DQ123">
        <v>999.9</v>
      </c>
      <c r="DR123">
        <v>0</v>
      </c>
      <c r="DS123">
        <v>0</v>
      </c>
      <c r="DT123">
        <v>10025</v>
      </c>
      <c r="DU123">
        <v>0</v>
      </c>
      <c r="DV123">
        <v>323.61399999999998</v>
      </c>
      <c r="DW123">
        <v>-56.555199999999999</v>
      </c>
      <c r="DX123">
        <v>353.75700000000001</v>
      </c>
      <c r="DY123">
        <v>409.43200000000002</v>
      </c>
      <c r="DZ123">
        <v>6.1156600000000001</v>
      </c>
      <c r="EA123">
        <v>399.995</v>
      </c>
      <c r="EB123">
        <v>23.048300000000001</v>
      </c>
      <c r="EC123">
        <v>2.90123</v>
      </c>
      <c r="ED123">
        <v>2.2928500000000001</v>
      </c>
      <c r="EE123">
        <v>23.471699999999998</v>
      </c>
      <c r="EF123">
        <v>19.626200000000001</v>
      </c>
      <c r="EG123">
        <v>1799.97</v>
      </c>
      <c r="EH123">
        <v>0.97799999999999998</v>
      </c>
      <c r="EI123">
        <v>2.2000200000000001E-2</v>
      </c>
      <c r="EJ123">
        <v>0</v>
      </c>
      <c r="EK123">
        <v>777.74300000000005</v>
      </c>
      <c r="EL123">
        <v>5.0010300000000001</v>
      </c>
      <c r="EM123">
        <v>14148</v>
      </c>
      <c r="EN123">
        <v>14700.8</v>
      </c>
      <c r="EO123">
        <v>46.936999999999998</v>
      </c>
      <c r="EP123">
        <v>47.5</v>
      </c>
      <c r="EQ123">
        <v>48</v>
      </c>
      <c r="ER123">
        <v>47</v>
      </c>
      <c r="ES123">
        <v>48.375</v>
      </c>
      <c r="ET123">
        <v>1755.48</v>
      </c>
      <c r="EU123">
        <v>39.49</v>
      </c>
      <c r="EV123">
        <v>0</v>
      </c>
      <c r="EW123">
        <v>184.80000019073489</v>
      </c>
      <c r="EX123">
        <v>0</v>
      </c>
      <c r="EY123">
        <v>776.71031999999991</v>
      </c>
      <c r="EZ123">
        <v>8.7309230657589918</v>
      </c>
      <c r="FA123">
        <v>151.02307676166839</v>
      </c>
      <c r="FB123">
        <v>14133.828</v>
      </c>
      <c r="FC123">
        <v>15</v>
      </c>
      <c r="FD123">
        <v>1693520417.5999999</v>
      </c>
      <c r="FE123" t="s">
        <v>962</v>
      </c>
      <c r="FF123">
        <v>1693520413.5999999</v>
      </c>
      <c r="FG123">
        <v>1693520417.5999999</v>
      </c>
      <c r="FH123">
        <v>117</v>
      </c>
      <c r="FI123">
        <v>-5.6000000000000001E-2</v>
      </c>
      <c r="FJ123">
        <v>2E-3</v>
      </c>
      <c r="FK123">
        <v>-1.992</v>
      </c>
      <c r="FL123">
        <v>5.8000000000000003E-2</v>
      </c>
      <c r="FM123">
        <v>400</v>
      </c>
      <c r="FN123">
        <v>23</v>
      </c>
      <c r="FO123">
        <v>0.11</v>
      </c>
      <c r="FP123">
        <v>0.04</v>
      </c>
      <c r="FQ123">
        <v>45.282341622369628</v>
      </c>
      <c r="FR123">
        <v>0.56280526788313578</v>
      </c>
      <c r="FS123">
        <v>8.4775352307954382E-2</v>
      </c>
      <c r="FT123">
        <v>1</v>
      </c>
      <c r="FU123">
        <v>0.39576711010539217</v>
      </c>
      <c r="FV123">
        <v>3.6177552624441237E-2</v>
      </c>
      <c r="FW123">
        <v>2.829881175387208E-3</v>
      </c>
      <c r="FX123">
        <v>1</v>
      </c>
      <c r="FY123">
        <v>2</v>
      </c>
      <c r="FZ123">
        <v>2</v>
      </c>
      <c r="GA123" t="s">
        <v>422</v>
      </c>
      <c r="GB123">
        <v>2.9011100000000001</v>
      </c>
      <c r="GC123">
        <v>2.81826</v>
      </c>
      <c r="GD123">
        <v>8.09835E-2</v>
      </c>
      <c r="GE123">
        <v>9.0780700000000006E-2</v>
      </c>
      <c r="GF123">
        <v>0.13657900000000001</v>
      </c>
      <c r="GG123">
        <v>0.115879</v>
      </c>
      <c r="GH123">
        <v>25481.1</v>
      </c>
      <c r="GI123">
        <v>25335.200000000001</v>
      </c>
      <c r="GJ123">
        <v>24600.1</v>
      </c>
      <c r="GK123">
        <v>24884.799999999999</v>
      </c>
      <c r="GL123">
        <v>28200.9</v>
      </c>
      <c r="GM123">
        <v>28711.1</v>
      </c>
      <c r="GN123">
        <v>33253.199999999997</v>
      </c>
      <c r="GO123">
        <v>33169.300000000003</v>
      </c>
      <c r="GP123">
        <v>1.9657</v>
      </c>
      <c r="GQ123">
        <v>1.8685</v>
      </c>
      <c r="GR123">
        <v>0.11454499999999999</v>
      </c>
      <c r="GS123">
        <v>0</v>
      </c>
      <c r="GT123">
        <v>28.097899999999999</v>
      </c>
      <c r="GU123">
        <v>999.9</v>
      </c>
      <c r="GV123">
        <v>51.7</v>
      </c>
      <c r="GW123">
        <v>34.200000000000003</v>
      </c>
      <c r="GX123">
        <v>28.078600000000002</v>
      </c>
      <c r="GY123">
        <v>62.820599999999999</v>
      </c>
      <c r="GZ123">
        <v>24.911899999999999</v>
      </c>
      <c r="HA123">
        <v>1</v>
      </c>
      <c r="HB123">
        <v>0.46728700000000001</v>
      </c>
      <c r="HC123">
        <v>-0.115686</v>
      </c>
      <c r="HD123">
        <v>20.217199999999998</v>
      </c>
      <c r="HE123">
        <v>5.2316700000000003</v>
      </c>
      <c r="HF123">
        <v>11.9201</v>
      </c>
      <c r="HG123">
        <v>4.9611999999999998</v>
      </c>
      <c r="HH123">
        <v>3.2890000000000001</v>
      </c>
      <c r="HI123">
        <v>9999</v>
      </c>
      <c r="HJ123">
        <v>9999</v>
      </c>
      <c r="HK123">
        <v>9999</v>
      </c>
      <c r="HL123">
        <v>898.4</v>
      </c>
      <c r="HM123">
        <v>1.88049</v>
      </c>
      <c r="HN123">
        <v>1.8775900000000001</v>
      </c>
      <c r="HO123">
        <v>1.8855299999999999</v>
      </c>
      <c r="HP123">
        <v>1.88337</v>
      </c>
      <c r="HQ123">
        <v>1.8808</v>
      </c>
      <c r="HR123">
        <v>1.87991</v>
      </c>
      <c r="HS123">
        <v>1.8811</v>
      </c>
      <c r="HT123">
        <v>1.88049</v>
      </c>
      <c r="HU123">
        <v>5</v>
      </c>
      <c r="HV123">
        <v>0</v>
      </c>
      <c r="HW123">
        <v>0</v>
      </c>
      <c r="HX123">
        <v>0</v>
      </c>
      <c r="HY123" t="s">
        <v>423</v>
      </c>
      <c r="HZ123" t="s">
        <v>424</v>
      </c>
      <c r="IA123" t="s">
        <v>425</v>
      </c>
      <c r="IB123" t="s">
        <v>425</v>
      </c>
      <c r="IC123" t="s">
        <v>425</v>
      </c>
      <c r="ID123" t="s">
        <v>425</v>
      </c>
      <c r="IE123">
        <v>0</v>
      </c>
      <c r="IF123">
        <v>100</v>
      </c>
      <c r="IG123">
        <v>100</v>
      </c>
      <c r="IH123">
        <v>-2.0390000000000001</v>
      </c>
      <c r="II123">
        <v>0.2077</v>
      </c>
      <c r="IJ123">
        <v>-2.5619558412184569</v>
      </c>
      <c r="IK123">
        <v>2.2153513873161218E-3</v>
      </c>
      <c r="IL123">
        <v>-2.2967369670569612E-6</v>
      </c>
      <c r="IM123">
        <v>7.7859689150384122E-10</v>
      </c>
      <c r="IN123">
        <v>-0.1954659423273912</v>
      </c>
      <c r="IO123">
        <v>-4.1434251034592161E-3</v>
      </c>
      <c r="IP123">
        <v>8.3987709687394815E-4</v>
      </c>
      <c r="IQ123">
        <v>-7.4586254598011197E-6</v>
      </c>
      <c r="IR123">
        <v>2</v>
      </c>
      <c r="IS123">
        <v>1930</v>
      </c>
      <c r="IT123">
        <v>2</v>
      </c>
      <c r="IU123">
        <v>41</v>
      </c>
      <c r="IV123">
        <v>2</v>
      </c>
      <c r="IW123">
        <v>1.9</v>
      </c>
      <c r="IX123">
        <v>1.00342</v>
      </c>
      <c r="IY123">
        <v>2.5158700000000001</v>
      </c>
      <c r="IZ123">
        <v>1.24512</v>
      </c>
      <c r="JA123">
        <v>2.2607400000000002</v>
      </c>
      <c r="JB123">
        <v>1.4501999999999999</v>
      </c>
      <c r="JC123">
        <v>2.4536099999999998</v>
      </c>
      <c r="JD123">
        <v>37.194099999999999</v>
      </c>
      <c r="JE123">
        <v>15.8657</v>
      </c>
      <c r="JF123">
        <v>18</v>
      </c>
      <c r="JG123">
        <v>501.529</v>
      </c>
      <c r="JH123">
        <v>485.84899999999999</v>
      </c>
      <c r="JI123">
        <v>29.3324</v>
      </c>
      <c r="JJ123">
        <v>33.027099999999997</v>
      </c>
      <c r="JK123">
        <v>30.0001</v>
      </c>
      <c r="JL123">
        <v>33.018500000000003</v>
      </c>
      <c r="JM123">
        <v>32.9621</v>
      </c>
      <c r="JN123">
        <v>20.184000000000001</v>
      </c>
      <c r="JO123">
        <v>24.110800000000001</v>
      </c>
      <c r="JP123">
        <v>80.667400000000001</v>
      </c>
      <c r="JQ123">
        <v>29.332799999999999</v>
      </c>
      <c r="JR123">
        <v>400</v>
      </c>
      <c r="JS123">
        <v>23.0152</v>
      </c>
      <c r="JT123">
        <v>99.266199999999998</v>
      </c>
      <c r="JU123">
        <v>99.081699999999998</v>
      </c>
    </row>
    <row r="124" spans="1:281" x14ac:dyDescent="0.25">
      <c r="A124">
        <v>108</v>
      </c>
      <c r="B124">
        <v>1693520631.5999999</v>
      </c>
      <c r="C124">
        <v>24982</v>
      </c>
      <c r="D124" t="s">
        <v>963</v>
      </c>
      <c r="E124" t="s">
        <v>964</v>
      </c>
      <c r="F124" t="s">
        <v>413</v>
      </c>
      <c r="G124" t="s">
        <v>778</v>
      </c>
      <c r="H124" t="s">
        <v>416</v>
      </c>
      <c r="I124" t="s">
        <v>415</v>
      </c>
      <c r="J124">
        <v>1693520631.5999999</v>
      </c>
      <c r="K124">
        <f t="shared" si="138"/>
        <v>5.2261586055800642E-3</v>
      </c>
      <c r="L124">
        <f t="shared" si="139"/>
        <v>5.2261586055800642</v>
      </c>
      <c r="M124">
        <f t="shared" si="140"/>
        <v>48.526549485706731</v>
      </c>
      <c r="N124">
        <f t="shared" si="141"/>
        <v>439.00700000000001</v>
      </c>
      <c r="O124">
        <f t="shared" si="142"/>
        <v>219.81782887960063</v>
      </c>
      <c r="P124">
        <f t="shared" si="143"/>
        <v>21.889304428261273</v>
      </c>
      <c r="Q124">
        <f t="shared" si="144"/>
        <v>43.716007560065002</v>
      </c>
      <c r="R124">
        <f t="shared" si="145"/>
        <v>0.390009091841102</v>
      </c>
      <c r="S124">
        <f t="shared" si="146"/>
        <v>2.9168890257205367</v>
      </c>
      <c r="T124">
        <f t="shared" si="147"/>
        <v>0.36318256764949242</v>
      </c>
      <c r="U124">
        <f t="shared" si="148"/>
        <v>0.22924540821688311</v>
      </c>
      <c r="V124">
        <f t="shared" si="149"/>
        <v>344.36939864417741</v>
      </c>
      <c r="W124">
        <f t="shared" si="150"/>
        <v>31.525869579405576</v>
      </c>
      <c r="X124">
        <f t="shared" si="151"/>
        <v>30.0945</v>
      </c>
      <c r="Y124">
        <f t="shared" si="152"/>
        <v>4.2836302755377593</v>
      </c>
      <c r="Z124">
        <f t="shared" si="153"/>
        <v>64.875737432083085</v>
      </c>
      <c r="AA124">
        <f t="shared" si="154"/>
        <v>2.9023978796470002</v>
      </c>
      <c r="AB124">
        <f t="shared" si="155"/>
        <v>4.4737801750391721</v>
      </c>
      <c r="AC124">
        <f t="shared" si="156"/>
        <v>1.3812323958907591</v>
      </c>
      <c r="AD124">
        <f t="shared" si="157"/>
        <v>-230.47359450608084</v>
      </c>
      <c r="AE124">
        <f t="shared" si="158"/>
        <v>119.32533769214518</v>
      </c>
      <c r="AF124">
        <f t="shared" si="159"/>
        <v>9.1387898340337426</v>
      </c>
      <c r="AG124">
        <f t="shared" si="160"/>
        <v>242.35993166427548</v>
      </c>
      <c r="AH124">
        <v>0</v>
      </c>
      <c r="AI124">
        <v>0</v>
      </c>
      <c r="AJ124">
        <f t="shared" si="161"/>
        <v>1</v>
      </c>
      <c r="AK124">
        <f t="shared" si="162"/>
        <v>0</v>
      </c>
      <c r="AL124">
        <f t="shared" si="163"/>
        <v>51834.962922692233</v>
      </c>
      <c r="AM124" t="s">
        <v>417</v>
      </c>
      <c r="AN124">
        <v>10366.9</v>
      </c>
      <c r="AO124">
        <v>993.59653846153856</v>
      </c>
      <c r="AP124">
        <v>3431.87</v>
      </c>
      <c r="AQ124">
        <f t="shared" si="164"/>
        <v>0.71047955241266758</v>
      </c>
      <c r="AR124">
        <v>-3.9894345373445681</v>
      </c>
      <c r="AS124" t="s">
        <v>965</v>
      </c>
      <c r="AT124">
        <v>10471.200000000001</v>
      </c>
      <c r="AU124">
        <v>796.24704000000008</v>
      </c>
      <c r="AV124">
        <v>1171.408758007</v>
      </c>
      <c r="AW124">
        <f t="shared" si="165"/>
        <v>0.32026542011286385</v>
      </c>
      <c r="AX124">
        <v>0.5</v>
      </c>
      <c r="AY124">
        <f t="shared" si="166"/>
        <v>1513.1846993220888</v>
      </c>
      <c r="AZ124">
        <f t="shared" si="167"/>
        <v>48.526549485706731</v>
      </c>
      <c r="BA124">
        <f t="shared" si="168"/>
        <v>242.31036671837316</v>
      </c>
      <c r="BB124">
        <f t="shared" si="169"/>
        <v>3.4705600741653429E-2</v>
      </c>
      <c r="BC124">
        <f t="shared" si="170"/>
        <v>1.9296946745036134</v>
      </c>
      <c r="BD124">
        <f t="shared" si="171"/>
        <v>637.45776665262895</v>
      </c>
      <c r="BE124" t="s">
        <v>966</v>
      </c>
      <c r="BF124">
        <v>625.80999999999995</v>
      </c>
      <c r="BG124">
        <f t="shared" si="172"/>
        <v>625.80999999999995</v>
      </c>
      <c r="BH124">
        <f t="shared" si="173"/>
        <v>0.46576291518877277</v>
      </c>
      <c r="BI124">
        <f t="shared" si="174"/>
        <v>0.68761468478670285</v>
      </c>
      <c r="BJ124">
        <f t="shared" si="175"/>
        <v>0.8055641155189126</v>
      </c>
      <c r="BK124">
        <f t="shared" si="176"/>
        <v>2.1098759071003101</v>
      </c>
      <c r="BL124">
        <f t="shared" si="177"/>
        <v>0.92707453763891245</v>
      </c>
      <c r="BM124">
        <f t="shared" si="178"/>
        <v>0.54043044968351339</v>
      </c>
      <c r="BN124">
        <f t="shared" si="179"/>
        <v>0.45956955031648661</v>
      </c>
      <c r="BO124">
        <v>7958</v>
      </c>
      <c r="BP124">
        <v>290.00000000000011</v>
      </c>
      <c r="BQ124">
        <v>1061.75</v>
      </c>
      <c r="BR124">
        <v>135</v>
      </c>
      <c r="BS124">
        <v>10471.200000000001</v>
      </c>
      <c r="BT124">
        <v>1057.97</v>
      </c>
      <c r="BU124">
        <v>3.78</v>
      </c>
      <c r="BV124">
        <v>300.00000000000011</v>
      </c>
      <c r="BW124">
        <v>38.200000000000003</v>
      </c>
      <c r="BX124">
        <v>1171.408758007</v>
      </c>
      <c r="BY124">
        <v>1.247699773195873</v>
      </c>
      <c r="BZ124">
        <v>-118.7796843466465</v>
      </c>
      <c r="CA124">
        <v>1.0689094865064721</v>
      </c>
      <c r="CB124">
        <v>0.99773758696720594</v>
      </c>
      <c r="CC124">
        <v>-1.136423559510568E-2</v>
      </c>
      <c r="CD124">
        <v>289.99999999999989</v>
      </c>
      <c r="CE124">
        <v>1043.04</v>
      </c>
      <c r="CF124">
        <v>645</v>
      </c>
      <c r="CG124">
        <v>10444.4</v>
      </c>
      <c r="CH124">
        <v>1057.68</v>
      </c>
      <c r="CI124">
        <v>-14.64</v>
      </c>
      <c r="CW124">
        <f t="shared" si="180"/>
        <v>1800</v>
      </c>
      <c r="CX124">
        <f t="shared" si="181"/>
        <v>1513.1846993220888</v>
      </c>
      <c r="CY124">
        <f t="shared" si="182"/>
        <v>0.8406581662900493</v>
      </c>
      <c r="CZ124">
        <f t="shared" si="183"/>
        <v>0.19131633258009856</v>
      </c>
      <c r="DA124">
        <v>6</v>
      </c>
      <c r="DB124">
        <v>0.5</v>
      </c>
      <c r="DC124" t="s">
        <v>420</v>
      </c>
      <c r="DD124">
        <v>2</v>
      </c>
      <c r="DE124">
        <v>1693520631.5999999</v>
      </c>
      <c r="DF124">
        <v>439.00700000000001</v>
      </c>
      <c r="DG124">
        <v>499.96899999999999</v>
      </c>
      <c r="DH124">
        <v>29.146599999999999</v>
      </c>
      <c r="DI124">
        <v>23.060300000000002</v>
      </c>
      <c r="DJ124">
        <v>441.18</v>
      </c>
      <c r="DK124">
        <v>28.9391</v>
      </c>
      <c r="DL124">
        <v>500.18900000000002</v>
      </c>
      <c r="DM124">
        <v>99.478999999999999</v>
      </c>
      <c r="DN124">
        <v>0.100295</v>
      </c>
      <c r="DO124">
        <v>30.853300000000001</v>
      </c>
      <c r="DP124">
        <v>30.0945</v>
      </c>
      <c r="DQ124">
        <v>999.9</v>
      </c>
      <c r="DR124">
        <v>0</v>
      </c>
      <c r="DS124">
        <v>0</v>
      </c>
      <c r="DT124">
        <v>9980</v>
      </c>
      <c r="DU124">
        <v>0</v>
      </c>
      <c r="DV124">
        <v>321.25200000000001</v>
      </c>
      <c r="DW124">
        <v>-60.962699999999998</v>
      </c>
      <c r="DX124">
        <v>452.18599999999998</v>
      </c>
      <c r="DY124">
        <v>511.77100000000002</v>
      </c>
      <c r="DZ124">
        <v>6.0862699999999998</v>
      </c>
      <c r="EA124">
        <v>499.96899999999999</v>
      </c>
      <c r="EB124">
        <v>23.060300000000002</v>
      </c>
      <c r="EC124">
        <v>2.89947</v>
      </c>
      <c r="ED124">
        <v>2.2940200000000002</v>
      </c>
      <c r="EE124">
        <v>23.461600000000001</v>
      </c>
      <c r="EF124">
        <v>19.634399999999999</v>
      </c>
      <c r="EG124">
        <v>1800</v>
      </c>
      <c r="EH124">
        <v>0.97799999999999998</v>
      </c>
      <c r="EI124">
        <v>2.2000200000000001E-2</v>
      </c>
      <c r="EJ124">
        <v>0</v>
      </c>
      <c r="EK124">
        <v>796.20399999999995</v>
      </c>
      <c r="EL124">
        <v>5.0010300000000001</v>
      </c>
      <c r="EM124">
        <v>14476.8</v>
      </c>
      <c r="EN124">
        <v>14701.1</v>
      </c>
      <c r="EO124">
        <v>46.75</v>
      </c>
      <c r="EP124">
        <v>47.436999999999998</v>
      </c>
      <c r="EQ124">
        <v>48</v>
      </c>
      <c r="ER124">
        <v>47.061999999999998</v>
      </c>
      <c r="ES124">
        <v>48.311999999999998</v>
      </c>
      <c r="ET124">
        <v>1755.51</v>
      </c>
      <c r="EU124">
        <v>39.49</v>
      </c>
      <c r="EV124">
        <v>0</v>
      </c>
      <c r="EW124">
        <v>97.800000190734863</v>
      </c>
      <c r="EX124">
        <v>0</v>
      </c>
      <c r="EY124">
        <v>796.24704000000008</v>
      </c>
      <c r="EZ124">
        <v>1.1038461551265959</v>
      </c>
      <c r="FA124">
        <v>13.16153846288813</v>
      </c>
      <c r="FB124">
        <v>14475.36</v>
      </c>
      <c r="FC124">
        <v>15</v>
      </c>
      <c r="FD124">
        <v>1693520602.0999999</v>
      </c>
      <c r="FE124" t="s">
        <v>967</v>
      </c>
      <c r="FF124">
        <v>1693520599.5999999</v>
      </c>
      <c r="FG124">
        <v>1693520602.0999999</v>
      </c>
      <c r="FH124">
        <v>118</v>
      </c>
      <c r="FI124">
        <v>-0.20799999999999999</v>
      </c>
      <c r="FJ124">
        <v>0</v>
      </c>
      <c r="FK124">
        <v>-2.1379999999999999</v>
      </c>
      <c r="FL124">
        <v>5.8999999999999997E-2</v>
      </c>
      <c r="FM124">
        <v>500</v>
      </c>
      <c r="FN124">
        <v>23</v>
      </c>
      <c r="FO124">
        <v>0.16</v>
      </c>
      <c r="FP124">
        <v>0.04</v>
      </c>
      <c r="FQ124">
        <v>48.503136333390799</v>
      </c>
      <c r="FR124">
        <v>-0.51418120636774467</v>
      </c>
      <c r="FS124">
        <v>8.5581595199255303E-2</v>
      </c>
      <c r="FT124">
        <v>1</v>
      </c>
      <c r="FU124">
        <v>0.39705802315151473</v>
      </c>
      <c r="FV124">
        <v>-1.126345856929579E-2</v>
      </c>
      <c r="FW124">
        <v>2.6664227041254878E-3</v>
      </c>
      <c r="FX124">
        <v>1</v>
      </c>
      <c r="FY124">
        <v>2</v>
      </c>
      <c r="FZ124">
        <v>2</v>
      </c>
      <c r="GA124" t="s">
        <v>422</v>
      </c>
      <c r="GB124">
        <v>2.90082</v>
      </c>
      <c r="GC124">
        <v>2.81813</v>
      </c>
      <c r="GD124">
        <v>9.7810300000000003E-2</v>
      </c>
      <c r="GE124">
        <v>0.10728600000000001</v>
      </c>
      <c r="GF124">
        <v>0.13653699999999999</v>
      </c>
      <c r="GG124">
        <v>0.11593299999999999</v>
      </c>
      <c r="GH124">
        <v>25018</v>
      </c>
      <c r="GI124">
        <v>24877.599999999999</v>
      </c>
      <c r="GJ124">
        <v>24603.200000000001</v>
      </c>
      <c r="GK124">
        <v>24886.799999999999</v>
      </c>
      <c r="GL124">
        <v>28205.8</v>
      </c>
      <c r="GM124">
        <v>28710.799999999999</v>
      </c>
      <c r="GN124">
        <v>33257.699999999997</v>
      </c>
      <c r="GO124">
        <v>33171.199999999997</v>
      </c>
      <c r="GP124">
        <v>1.9650000000000001</v>
      </c>
      <c r="GQ124">
        <v>1.8702000000000001</v>
      </c>
      <c r="GR124">
        <v>0.126362</v>
      </c>
      <c r="GS124">
        <v>0</v>
      </c>
      <c r="GT124">
        <v>28.035</v>
      </c>
      <c r="GU124">
        <v>999.9</v>
      </c>
      <c r="GV124">
        <v>51.6</v>
      </c>
      <c r="GW124">
        <v>34.1</v>
      </c>
      <c r="GX124">
        <v>27.8689</v>
      </c>
      <c r="GY124">
        <v>62.880600000000001</v>
      </c>
      <c r="GZ124">
        <v>24.423100000000002</v>
      </c>
      <c r="HA124">
        <v>1</v>
      </c>
      <c r="HB124">
        <v>0.46390199999999998</v>
      </c>
      <c r="HC124">
        <v>0.243312</v>
      </c>
      <c r="HD124">
        <v>20.215699999999998</v>
      </c>
      <c r="HE124">
        <v>5.2262700000000004</v>
      </c>
      <c r="HF124">
        <v>11.9201</v>
      </c>
      <c r="HG124">
        <v>4.9585999999999997</v>
      </c>
      <c r="HH124">
        <v>3.2877999999999998</v>
      </c>
      <c r="HI124">
        <v>9999</v>
      </c>
      <c r="HJ124">
        <v>9999</v>
      </c>
      <c r="HK124">
        <v>9999</v>
      </c>
      <c r="HL124">
        <v>898.4</v>
      </c>
      <c r="HM124">
        <v>1.88049</v>
      </c>
      <c r="HN124">
        <v>1.8775900000000001</v>
      </c>
      <c r="HO124">
        <v>1.8855299999999999</v>
      </c>
      <c r="HP124">
        <v>1.8833899999999999</v>
      </c>
      <c r="HQ124">
        <v>1.8808</v>
      </c>
      <c r="HR124">
        <v>1.8798999999999999</v>
      </c>
      <c r="HS124">
        <v>1.88107</v>
      </c>
      <c r="HT124">
        <v>1.8804700000000001</v>
      </c>
      <c r="HU124">
        <v>5</v>
      </c>
      <c r="HV124">
        <v>0</v>
      </c>
      <c r="HW124">
        <v>0</v>
      </c>
      <c r="HX124">
        <v>0</v>
      </c>
      <c r="HY124" t="s">
        <v>423</v>
      </c>
      <c r="HZ124" t="s">
        <v>424</v>
      </c>
      <c r="IA124" t="s">
        <v>425</v>
      </c>
      <c r="IB124" t="s">
        <v>425</v>
      </c>
      <c r="IC124" t="s">
        <v>425</v>
      </c>
      <c r="ID124" t="s">
        <v>425</v>
      </c>
      <c r="IE124">
        <v>0</v>
      </c>
      <c r="IF124">
        <v>100</v>
      </c>
      <c r="IG124">
        <v>100</v>
      </c>
      <c r="IH124">
        <v>-2.173</v>
      </c>
      <c r="II124">
        <v>0.20749999999999999</v>
      </c>
      <c r="IJ124">
        <v>-2.7700579398896732</v>
      </c>
      <c r="IK124">
        <v>2.2153513873161218E-3</v>
      </c>
      <c r="IL124">
        <v>-2.2967369670569612E-6</v>
      </c>
      <c r="IM124">
        <v>7.7859689150384122E-10</v>
      </c>
      <c r="IN124">
        <v>-0.19520638510028329</v>
      </c>
      <c r="IO124">
        <v>-4.1434251034592161E-3</v>
      </c>
      <c r="IP124">
        <v>8.3987709687394815E-4</v>
      </c>
      <c r="IQ124">
        <v>-7.4586254598011197E-6</v>
      </c>
      <c r="IR124">
        <v>2</v>
      </c>
      <c r="IS124">
        <v>1930</v>
      </c>
      <c r="IT124">
        <v>2</v>
      </c>
      <c r="IU124">
        <v>41</v>
      </c>
      <c r="IV124">
        <v>0.5</v>
      </c>
      <c r="IW124">
        <v>0.5</v>
      </c>
      <c r="IX124">
        <v>1.1975100000000001</v>
      </c>
      <c r="IY124">
        <v>2.50732</v>
      </c>
      <c r="IZ124">
        <v>1.24512</v>
      </c>
      <c r="JA124">
        <v>2.2607400000000002</v>
      </c>
      <c r="JB124">
        <v>1.4501999999999999</v>
      </c>
      <c r="JC124">
        <v>2.36328</v>
      </c>
      <c r="JD124">
        <v>37.098599999999998</v>
      </c>
      <c r="JE124">
        <v>15.8482</v>
      </c>
      <c r="JF124">
        <v>18</v>
      </c>
      <c r="JG124">
        <v>500.63099999999997</v>
      </c>
      <c r="JH124">
        <v>486.59399999999999</v>
      </c>
      <c r="JI124">
        <v>29.468399999999999</v>
      </c>
      <c r="JJ124">
        <v>32.9771</v>
      </c>
      <c r="JK124">
        <v>30.000299999999999</v>
      </c>
      <c r="JL124">
        <v>32.968200000000003</v>
      </c>
      <c r="JM124">
        <v>32.906100000000002</v>
      </c>
      <c r="JN124">
        <v>24.081600000000002</v>
      </c>
      <c r="JO124">
        <v>23.527100000000001</v>
      </c>
      <c r="JP124">
        <v>80.529300000000006</v>
      </c>
      <c r="JQ124">
        <v>29.429300000000001</v>
      </c>
      <c r="JR124">
        <v>500</v>
      </c>
      <c r="JS124">
        <v>23.1616</v>
      </c>
      <c r="JT124">
        <v>99.2791</v>
      </c>
      <c r="JU124">
        <v>99.088200000000001</v>
      </c>
    </row>
    <row r="125" spans="1:281" x14ac:dyDescent="0.25">
      <c r="A125">
        <v>109</v>
      </c>
      <c r="B125">
        <v>1693520734.5999999</v>
      </c>
      <c r="C125">
        <v>25085</v>
      </c>
      <c r="D125" t="s">
        <v>968</v>
      </c>
      <c r="E125" t="s">
        <v>969</v>
      </c>
      <c r="F125" t="s">
        <v>413</v>
      </c>
      <c r="G125" t="s">
        <v>778</v>
      </c>
      <c r="H125" t="s">
        <v>416</v>
      </c>
      <c r="I125" t="s">
        <v>415</v>
      </c>
      <c r="J125">
        <v>1693520734.5999999</v>
      </c>
      <c r="K125">
        <f t="shared" si="138"/>
        <v>4.9091332443171667E-3</v>
      </c>
      <c r="L125">
        <f t="shared" si="139"/>
        <v>4.9091332443171671</v>
      </c>
      <c r="M125">
        <f t="shared" si="140"/>
        <v>49.632944634539705</v>
      </c>
      <c r="N125">
        <f t="shared" si="141"/>
        <v>636.66099999999994</v>
      </c>
      <c r="O125">
        <f t="shared" si="142"/>
        <v>398.93653073773999</v>
      </c>
      <c r="P125">
        <f t="shared" si="143"/>
        <v>39.727023667869339</v>
      </c>
      <c r="Q125">
        <f t="shared" si="144"/>
        <v>63.400176886875997</v>
      </c>
      <c r="R125">
        <f t="shared" si="145"/>
        <v>0.37237222442896989</v>
      </c>
      <c r="S125">
        <f t="shared" si="146"/>
        <v>2.9191347222479402</v>
      </c>
      <c r="T125">
        <f t="shared" si="147"/>
        <v>0.3478528269435775</v>
      </c>
      <c r="U125">
        <f t="shared" si="148"/>
        <v>0.21947630350966768</v>
      </c>
      <c r="V125">
        <f t="shared" si="149"/>
        <v>344.35419864411722</v>
      </c>
      <c r="W125">
        <f t="shared" si="150"/>
        <v>31.449283206674664</v>
      </c>
      <c r="X125">
        <f t="shared" si="151"/>
        <v>29.994700000000002</v>
      </c>
      <c r="Y125">
        <f t="shared" si="152"/>
        <v>4.2591529457230788</v>
      </c>
      <c r="Z125">
        <f t="shared" si="153"/>
        <v>65.509593703824137</v>
      </c>
      <c r="AA125">
        <f t="shared" si="154"/>
        <v>2.9043282043716001</v>
      </c>
      <c r="AB125">
        <f t="shared" si="155"/>
        <v>4.4334395012467613</v>
      </c>
      <c r="AC125">
        <f t="shared" si="156"/>
        <v>1.3548247413514787</v>
      </c>
      <c r="AD125">
        <f t="shared" si="157"/>
        <v>-216.49277607438705</v>
      </c>
      <c r="AE125">
        <f t="shared" si="158"/>
        <v>110.16347380208157</v>
      </c>
      <c r="AF125">
        <f t="shared" si="159"/>
        <v>8.4198528883201842</v>
      </c>
      <c r="AG125">
        <f t="shared" si="160"/>
        <v>246.44474926013191</v>
      </c>
      <c r="AH125">
        <v>0</v>
      </c>
      <c r="AI125">
        <v>0</v>
      </c>
      <c r="AJ125">
        <f t="shared" si="161"/>
        <v>1</v>
      </c>
      <c r="AK125">
        <f t="shared" si="162"/>
        <v>0</v>
      </c>
      <c r="AL125">
        <f t="shared" si="163"/>
        <v>51925.97345295889</v>
      </c>
      <c r="AM125" t="s">
        <v>417</v>
      </c>
      <c r="AN125">
        <v>10366.9</v>
      </c>
      <c r="AO125">
        <v>993.59653846153856</v>
      </c>
      <c r="AP125">
        <v>3431.87</v>
      </c>
      <c r="AQ125">
        <f t="shared" si="164"/>
        <v>0.71047955241266758</v>
      </c>
      <c r="AR125">
        <v>-3.9894345373445681</v>
      </c>
      <c r="AS125" t="s">
        <v>970</v>
      </c>
      <c r="AT125">
        <v>10460.4</v>
      </c>
      <c r="AU125">
        <v>799.83434615384613</v>
      </c>
      <c r="AV125">
        <v>1186.571793028721</v>
      </c>
      <c r="AW125">
        <f t="shared" si="165"/>
        <v>0.325928400748284</v>
      </c>
      <c r="AX125">
        <v>0.5</v>
      </c>
      <c r="AY125">
        <f t="shared" si="166"/>
        <v>1513.1174993220586</v>
      </c>
      <c r="AZ125">
        <f t="shared" si="167"/>
        <v>49.632944634539705</v>
      </c>
      <c r="BA125">
        <f t="shared" si="168"/>
        <v>246.58398334914062</v>
      </c>
      <c r="BB125">
        <f t="shared" si="169"/>
        <v>3.5438344474840448E-2</v>
      </c>
      <c r="BC125">
        <f t="shared" si="170"/>
        <v>1.8922565159248914</v>
      </c>
      <c r="BD125">
        <f t="shared" si="171"/>
        <v>641.92169403630589</v>
      </c>
      <c r="BE125" t="s">
        <v>971</v>
      </c>
      <c r="BF125">
        <v>624.23</v>
      </c>
      <c r="BG125">
        <f t="shared" si="172"/>
        <v>624.23</v>
      </c>
      <c r="BH125">
        <f t="shared" si="173"/>
        <v>0.47392142332436982</v>
      </c>
      <c r="BI125">
        <f t="shared" si="174"/>
        <v>0.68772666671623794</v>
      </c>
      <c r="BJ125">
        <f t="shared" si="175"/>
        <v>0.79971015050764305</v>
      </c>
      <c r="BK125">
        <f t="shared" si="176"/>
        <v>2.0040779204684815</v>
      </c>
      <c r="BL125">
        <f t="shared" si="177"/>
        <v>0.92085577864370372</v>
      </c>
      <c r="BM125">
        <f t="shared" si="178"/>
        <v>0.53673566186379107</v>
      </c>
      <c r="BN125">
        <f t="shared" si="179"/>
        <v>0.46326433813620893</v>
      </c>
      <c r="BO125">
        <v>7960</v>
      </c>
      <c r="BP125">
        <v>290.00000000000011</v>
      </c>
      <c r="BQ125">
        <v>1075.8900000000001</v>
      </c>
      <c r="BR125">
        <v>205</v>
      </c>
      <c r="BS125">
        <v>10460.4</v>
      </c>
      <c r="BT125">
        <v>1071.77</v>
      </c>
      <c r="BU125">
        <v>4.12</v>
      </c>
      <c r="BV125">
        <v>300.00000000000011</v>
      </c>
      <c r="BW125">
        <v>38.200000000000003</v>
      </c>
      <c r="BX125">
        <v>1186.571793028721</v>
      </c>
      <c r="BY125">
        <v>1.575011718056665</v>
      </c>
      <c r="BZ125">
        <v>-120.0888375274605</v>
      </c>
      <c r="CA125">
        <v>1.349276116716964</v>
      </c>
      <c r="CB125">
        <v>0.99647773509770965</v>
      </c>
      <c r="CC125">
        <v>-1.1363944827586221E-2</v>
      </c>
      <c r="CD125">
        <v>289.99999999999989</v>
      </c>
      <c r="CE125">
        <v>1057.08</v>
      </c>
      <c r="CF125">
        <v>635</v>
      </c>
      <c r="CG125">
        <v>10445</v>
      </c>
      <c r="CH125">
        <v>1071.5999999999999</v>
      </c>
      <c r="CI125">
        <v>-14.52</v>
      </c>
      <c r="CW125">
        <f t="shared" si="180"/>
        <v>1799.92</v>
      </c>
      <c r="CX125">
        <f t="shared" si="181"/>
        <v>1513.1174993220586</v>
      </c>
      <c r="CY125">
        <f t="shared" si="182"/>
        <v>0.84065819554316779</v>
      </c>
      <c r="CZ125">
        <f t="shared" si="183"/>
        <v>0.19131639108633561</v>
      </c>
      <c r="DA125">
        <v>6</v>
      </c>
      <c r="DB125">
        <v>0.5</v>
      </c>
      <c r="DC125" t="s">
        <v>420</v>
      </c>
      <c r="DD125">
        <v>2</v>
      </c>
      <c r="DE125">
        <v>1693520734.5999999</v>
      </c>
      <c r="DF125">
        <v>636.66099999999994</v>
      </c>
      <c r="DG125">
        <v>699.93399999999997</v>
      </c>
      <c r="DH125">
        <v>29.165099999999999</v>
      </c>
      <c r="DI125">
        <v>23.449300000000001</v>
      </c>
      <c r="DJ125">
        <v>639.24099999999999</v>
      </c>
      <c r="DK125">
        <v>28.9513</v>
      </c>
      <c r="DL125">
        <v>500.29300000000001</v>
      </c>
      <c r="DM125">
        <v>99.482100000000003</v>
      </c>
      <c r="DN125">
        <v>0.100216</v>
      </c>
      <c r="DO125">
        <v>30.694700000000001</v>
      </c>
      <c r="DP125">
        <v>29.994700000000002</v>
      </c>
      <c r="DQ125">
        <v>999.9</v>
      </c>
      <c r="DR125">
        <v>0</v>
      </c>
      <c r="DS125">
        <v>0</v>
      </c>
      <c r="DT125">
        <v>9992.5</v>
      </c>
      <c r="DU125">
        <v>0</v>
      </c>
      <c r="DV125">
        <v>320.71800000000002</v>
      </c>
      <c r="DW125">
        <v>-63.272599999999997</v>
      </c>
      <c r="DX125">
        <v>655.78700000000003</v>
      </c>
      <c r="DY125">
        <v>716.74099999999999</v>
      </c>
      <c r="DZ125">
        <v>5.7158100000000003</v>
      </c>
      <c r="EA125">
        <v>699.93399999999997</v>
      </c>
      <c r="EB125">
        <v>23.449300000000001</v>
      </c>
      <c r="EC125">
        <v>2.9014099999999998</v>
      </c>
      <c r="ED125">
        <v>2.3327900000000001</v>
      </c>
      <c r="EE125">
        <v>23.4727</v>
      </c>
      <c r="EF125">
        <v>19.904599999999999</v>
      </c>
      <c r="EG125">
        <v>1799.92</v>
      </c>
      <c r="EH125">
        <v>0.97799999999999998</v>
      </c>
      <c r="EI125">
        <v>2.2000200000000001E-2</v>
      </c>
      <c r="EJ125">
        <v>0</v>
      </c>
      <c r="EK125">
        <v>799.404</v>
      </c>
      <c r="EL125">
        <v>5.0010300000000001</v>
      </c>
      <c r="EM125">
        <v>14521.5</v>
      </c>
      <c r="EN125">
        <v>14700.4</v>
      </c>
      <c r="EO125">
        <v>46.75</v>
      </c>
      <c r="EP125">
        <v>47.561999999999998</v>
      </c>
      <c r="EQ125">
        <v>48.061999999999998</v>
      </c>
      <c r="ER125">
        <v>47.125</v>
      </c>
      <c r="ES125">
        <v>48.436999999999998</v>
      </c>
      <c r="ET125">
        <v>1755.43</v>
      </c>
      <c r="EU125">
        <v>39.49</v>
      </c>
      <c r="EV125">
        <v>0</v>
      </c>
      <c r="EW125">
        <v>100.80000019073491</v>
      </c>
      <c r="EX125">
        <v>0</v>
      </c>
      <c r="EY125">
        <v>799.83434615384613</v>
      </c>
      <c r="EZ125">
        <v>-1.4630769099948779</v>
      </c>
      <c r="FA125">
        <v>-56.70769233772387</v>
      </c>
      <c r="FB125">
        <v>14531.76538461539</v>
      </c>
      <c r="FC125">
        <v>15</v>
      </c>
      <c r="FD125">
        <v>1693520707.5999999</v>
      </c>
      <c r="FE125" t="s">
        <v>972</v>
      </c>
      <c r="FF125">
        <v>1693520699.0999999</v>
      </c>
      <c r="FG125">
        <v>1693520707.5999999</v>
      </c>
      <c r="FH125">
        <v>119</v>
      </c>
      <c r="FI125">
        <v>-0.49</v>
      </c>
      <c r="FJ125">
        <v>6.0000000000000001E-3</v>
      </c>
      <c r="FK125">
        <v>-2.5680000000000001</v>
      </c>
      <c r="FL125">
        <v>7.2999999999999995E-2</v>
      </c>
      <c r="FM125">
        <v>700</v>
      </c>
      <c r="FN125">
        <v>23</v>
      </c>
      <c r="FO125">
        <v>0.12</v>
      </c>
      <c r="FP125">
        <v>0.04</v>
      </c>
      <c r="FQ125">
        <v>49.772542194504709</v>
      </c>
      <c r="FR125">
        <v>-0.2546877044969017</v>
      </c>
      <c r="FS125">
        <v>0.12651632520471989</v>
      </c>
      <c r="FT125">
        <v>1</v>
      </c>
      <c r="FU125">
        <v>0.37858352610171542</v>
      </c>
      <c r="FV125">
        <v>8.0586956165982614E-3</v>
      </c>
      <c r="FW125">
        <v>3.777864280488645E-3</v>
      </c>
      <c r="FX125">
        <v>1</v>
      </c>
      <c r="FY125">
        <v>2</v>
      </c>
      <c r="FZ125">
        <v>2</v>
      </c>
      <c r="GA125" t="s">
        <v>422</v>
      </c>
      <c r="GB125">
        <v>2.9011300000000002</v>
      </c>
      <c r="GC125">
        <v>2.8181600000000002</v>
      </c>
      <c r="GD125">
        <v>0.12781500000000001</v>
      </c>
      <c r="GE125">
        <v>0.13600400000000001</v>
      </c>
      <c r="GF125">
        <v>0.13659099999999999</v>
      </c>
      <c r="GG125">
        <v>0.11729100000000001</v>
      </c>
      <c r="GH125">
        <v>24186.400000000001</v>
      </c>
      <c r="GI125">
        <v>24076.799999999999</v>
      </c>
      <c r="GJ125">
        <v>24603.7</v>
      </c>
      <c r="GK125">
        <v>24886.3</v>
      </c>
      <c r="GL125">
        <v>28203.8</v>
      </c>
      <c r="GM125">
        <v>28666</v>
      </c>
      <c r="GN125">
        <v>33257.5</v>
      </c>
      <c r="GO125">
        <v>33170.800000000003</v>
      </c>
      <c r="GP125">
        <v>1.9658</v>
      </c>
      <c r="GQ125">
        <v>1.8720000000000001</v>
      </c>
      <c r="GR125">
        <v>0.112981</v>
      </c>
      <c r="GS125">
        <v>0</v>
      </c>
      <c r="GT125">
        <v>28.153300000000002</v>
      </c>
      <c r="GU125">
        <v>999.9</v>
      </c>
      <c r="GV125">
        <v>51.7</v>
      </c>
      <c r="GW125">
        <v>34.1</v>
      </c>
      <c r="GX125">
        <v>27.920200000000001</v>
      </c>
      <c r="GY125">
        <v>62.720599999999997</v>
      </c>
      <c r="GZ125">
        <v>24.811699999999998</v>
      </c>
      <c r="HA125">
        <v>1</v>
      </c>
      <c r="HB125">
        <v>0.46280500000000002</v>
      </c>
      <c r="HC125">
        <v>-0.74304999999999999</v>
      </c>
      <c r="HD125">
        <v>20.2073</v>
      </c>
      <c r="HE125">
        <v>5.2340600000000004</v>
      </c>
      <c r="HF125">
        <v>11.9201</v>
      </c>
      <c r="HG125">
        <v>4.9607999999999999</v>
      </c>
      <c r="HH125">
        <v>3.2890000000000001</v>
      </c>
      <c r="HI125">
        <v>9999</v>
      </c>
      <c r="HJ125">
        <v>9999</v>
      </c>
      <c r="HK125">
        <v>9999</v>
      </c>
      <c r="HL125">
        <v>898.4</v>
      </c>
      <c r="HM125">
        <v>1.88049</v>
      </c>
      <c r="HN125">
        <v>1.8775900000000001</v>
      </c>
      <c r="HO125">
        <v>1.8855299999999999</v>
      </c>
      <c r="HP125">
        <v>1.8833500000000001</v>
      </c>
      <c r="HQ125">
        <v>1.8808</v>
      </c>
      <c r="HR125">
        <v>1.8799300000000001</v>
      </c>
      <c r="HS125">
        <v>1.8810199999999999</v>
      </c>
      <c r="HT125">
        <v>1.8804399999999999</v>
      </c>
      <c r="HU125">
        <v>5</v>
      </c>
      <c r="HV125">
        <v>0</v>
      </c>
      <c r="HW125">
        <v>0</v>
      </c>
      <c r="HX125">
        <v>0</v>
      </c>
      <c r="HY125" t="s">
        <v>423</v>
      </c>
      <c r="HZ125" t="s">
        <v>424</v>
      </c>
      <c r="IA125" t="s">
        <v>425</v>
      </c>
      <c r="IB125" t="s">
        <v>425</v>
      </c>
      <c r="IC125" t="s">
        <v>425</v>
      </c>
      <c r="ID125" t="s">
        <v>425</v>
      </c>
      <c r="IE125">
        <v>0</v>
      </c>
      <c r="IF125">
        <v>100</v>
      </c>
      <c r="IG125">
        <v>100</v>
      </c>
      <c r="IH125">
        <v>-2.58</v>
      </c>
      <c r="II125">
        <v>0.21379999999999999</v>
      </c>
      <c r="IJ125">
        <v>-3.2604443109166219</v>
      </c>
      <c r="IK125">
        <v>2.2153513873161218E-3</v>
      </c>
      <c r="IL125">
        <v>-2.2967369670569612E-6</v>
      </c>
      <c r="IM125">
        <v>7.7859689150384122E-10</v>
      </c>
      <c r="IN125">
        <v>-0.18919964053031771</v>
      </c>
      <c r="IO125">
        <v>-4.1434251034592161E-3</v>
      </c>
      <c r="IP125">
        <v>8.3987709687394815E-4</v>
      </c>
      <c r="IQ125">
        <v>-7.4586254598011197E-6</v>
      </c>
      <c r="IR125">
        <v>2</v>
      </c>
      <c r="IS125">
        <v>1930</v>
      </c>
      <c r="IT125">
        <v>2</v>
      </c>
      <c r="IU125">
        <v>41</v>
      </c>
      <c r="IV125">
        <v>0.6</v>
      </c>
      <c r="IW125">
        <v>0.5</v>
      </c>
      <c r="IX125">
        <v>1.56982</v>
      </c>
      <c r="IY125">
        <v>2.50122</v>
      </c>
      <c r="IZ125">
        <v>1.24512</v>
      </c>
      <c r="JA125">
        <v>2.2607400000000002</v>
      </c>
      <c r="JB125">
        <v>1.4501999999999999</v>
      </c>
      <c r="JC125">
        <v>2.4291999999999998</v>
      </c>
      <c r="JD125">
        <v>37.0032</v>
      </c>
      <c r="JE125">
        <v>15.821899999999999</v>
      </c>
      <c r="JF125">
        <v>18</v>
      </c>
      <c r="JG125">
        <v>500.91</v>
      </c>
      <c r="JH125">
        <v>487.56200000000001</v>
      </c>
      <c r="JI125">
        <v>28.305099999999999</v>
      </c>
      <c r="JJ125">
        <v>32.959499999999998</v>
      </c>
      <c r="JK125">
        <v>29.9999</v>
      </c>
      <c r="JL125">
        <v>32.935699999999997</v>
      </c>
      <c r="JM125">
        <v>32.867899999999999</v>
      </c>
      <c r="JN125">
        <v>31.533899999999999</v>
      </c>
      <c r="JO125">
        <v>22.487100000000002</v>
      </c>
      <c r="JP125">
        <v>81.244299999999996</v>
      </c>
      <c r="JQ125">
        <v>28.917100000000001</v>
      </c>
      <c r="JR125">
        <v>700</v>
      </c>
      <c r="JS125">
        <v>23.418299999999999</v>
      </c>
      <c r="JT125">
        <v>99.279700000000005</v>
      </c>
      <c r="JU125">
        <v>99.086699999999993</v>
      </c>
    </row>
    <row r="126" spans="1:281" x14ac:dyDescent="0.25">
      <c r="A126">
        <v>110</v>
      </c>
      <c r="B126">
        <v>1693520834.0999999</v>
      </c>
      <c r="C126">
        <v>25184.5</v>
      </c>
      <c r="D126" t="s">
        <v>973</v>
      </c>
      <c r="E126" t="s">
        <v>974</v>
      </c>
      <c r="F126" t="s">
        <v>413</v>
      </c>
      <c r="G126" t="s">
        <v>778</v>
      </c>
      <c r="H126" t="s">
        <v>416</v>
      </c>
      <c r="I126" t="s">
        <v>415</v>
      </c>
      <c r="J126">
        <v>1693520834.0999999</v>
      </c>
      <c r="K126">
        <f t="shared" si="138"/>
        <v>4.6339938807225213E-3</v>
      </c>
      <c r="L126">
        <f t="shared" si="139"/>
        <v>4.6339938807225209</v>
      </c>
      <c r="M126">
        <f t="shared" si="140"/>
        <v>49.544278425190463</v>
      </c>
      <c r="N126">
        <f t="shared" si="141"/>
        <v>836.13199999999995</v>
      </c>
      <c r="O126">
        <f t="shared" si="142"/>
        <v>575.73331360040015</v>
      </c>
      <c r="P126">
        <f t="shared" si="143"/>
        <v>57.331675361922635</v>
      </c>
      <c r="Q126">
        <f t="shared" si="144"/>
        <v>83.262245298847986</v>
      </c>
      <c r="R126">
        <f t="shared" si="145"/>
        <v>0.34256249797666705</v>
      </c>
      <c r="S126">
        <f t="shared" si="146"/>
        <v>2.9186596813024384</v>
      </c>
      <c r="T126">
        <f t="shared" si="147"/>
        <v>0.32169051994064379</v>
      </c>
      <c r="U126">
        <f t="shared" si="148"/>
        <v>0.20282577753082681</v>
      </c>
      <c r="V126">
        <f t="shared" si="149"/>
        <v>344.3940986442754</v>
      </c>
      <c r="W126">
        <f t="shared" si="150"/>
        <v>31.442497001426471</v>
      </c>
      <c r="X126">
        <f t="shared" si="151"/>
        <v>29.973299999999998</v>
      </c>
      <c r="Y126">
        <f t="shared" si="152"/>
        <v>4.2539202002300911</v>
      </c>
      <c r="Z126">
        <f t="shared" si="153"/>
        <v>65.04497924176421</v>
      </c>
      <c r="AA126">
        <f t="shared" si="154"/>
        <v>2.8707695567767999</v>
      </c>
      <c r="AB126">
        <f t="shared" si="155"/>
        <v>4.4135144483734887</v>
      </c>
      <c r="AC126">
        <f t="shared" si="156"/>
        <v>1.3831506434532912</v>
      </c>
      <c r="AD126">
        <f t="shared" si="157"/>
        <v>-204.3591301398632</v>
      </c>
      <c r="AE126">
        <f t="shared" si="158"/>
        <v>101.11361170248136</v>
      </c>
      <c r="AF126">
        <f t="shared" si="159"/>
        <v>7.7255942251905747</v>
      </c>
      <c r="AG126">
        <f t="shared" si="160"/>
        <v>248.87417443208412</v>
      </c>
      <c r="AH126">
        <v>0</v>
      </c>
      <c r="AI126">
        <v>0</v>
      </c>
      <c r="AJ126">
        <f t="shared" si="161"/>
        <v>1</v>
      </c>
      <c r="AK126">
        <f t="shared" si="162"/>
        <v>0</v>
      </c>
      <c r="AL126">
        <f t="shared" si="163"/>
        <v>51925.887809855565</v>
      </c>
      <c r="AM126" t="s">
        <v>417</v>
      </c>
      <c r="AN126">
        <v>10366.9</v>
      </c>
      <c r="AO126">
        <v>993.59653846153856</v>
      </c>
      <c r="AP126">
        <v>3431.87</v>
      </c>
      <c r="AQ126">
        <f t="shared" si="164"/>
        <v>0.71047955241266758</v>
      </c>
      <c r="AR126">
        <v>-3.9894345373445681</v>
      </c>
      <c r="AS126" t="s">
        <v>975</v>
      </c>
      <c r="AT126">
        <v>10463.9</v>
      </c>
      <c r="AU126">
        <v>794.5276153846155</v>
      </c>
      <c r="AV126">
        <v>1181.251654910199</v>
      </c>
      <c r="AW126">
        <f t="shared" si="165"/>
        <v>0.32738497162569735</v>
      </c>
      <c r="AX126">
        <v>0.5</v>
      </c>
      <c r="AY126">
        <f t="shared" si="166"/>
        <v>1513.2938993221378</v>
      </c>
      <c r="AZ126">
        <f t="shared" si="167"/>
        <v>49.544278425190463</v>
      </c>
      <c r="BA126">
        <f t="shared" si="168"/>
        <v>247.7148401454595</v>
      </c>
      <c r="BB126">
        <f t="shared" si="169"/>
        <v>3.5375622003442179E-2</v>
      </c>
      <c r="BC126">
        <f t="shared" si="170"/>
        <v>1.9052827022374812</v>
      </c>
      <c r="BD126">
        <f t="shared" si="171"/>
        <v>640.36144584829105</v>
      </c>
      <c r="BE126" t="s">
        <v>976</v>
      </c>
      <c r="BF126">
        <v>622.27</v>
      </c>
      <c r="BG126">
        <f t="shared" si="172"/>
        <v>622.27</v>
      </c>
      <c r="BH126">
        <f t="shared" si="173"/>
        <v>0.47321132003213484</v>
      </c>
      <c r="BI126">
        <f t="shared" si="174"/>
        <v>0.69183672868067758</v>
      </c>
      <c r="BJ126">
        <f t="shared" si="175"/>
        <v>0.80104582328082319</v>
      </c>
      <c r="BK126">
        <f t="shared" si="176"/>
        <v>2.0608233169671406</v>
      </c>
      <c r="BL126">
        <f t="shared" si="177"/>
        <v>0.92303770704609256</v>
      </c>
      <c r="BM126">
        <f t="shared" si="178"/>
        <v>0.5418430181910342</v>
      </c>
      <c r="BN126">
        <f t="shared" si="179"/>
        <v>0.4581569818089658</v>
      </c>
      <c r="BO126">
        <v>7962</v>
      </c>
      <c r="BP126">
        <v>290.00000000000011</v>
      </c>
      <c r="BQ126">
        <v>1071.97</v>
      </c>
      <c r="BR126">
        <v>175</v>
      </c>
      <c r="BS126">
        <v>10463.9</v>
      </c>
      <c r="BT126">
        <v>1067.8399999999999</v>
      </c>
      <c r="BU126">
        <v>4.13</v>
      </c>
      <c r="BV126">
        <v>300.00000000000011</v>
      </c>
      <c r="BW126">
        <v>38.200000000000003</v>
      </c>
      <c r="BX126">
        <v>1181.251654910199</v>
      </c>
      <c r="BY126">
        <v>1.433394229335935</v>
      </c>
      <c r="BZ126">
        <v>-118.6716349077317</v>
      </c>
      <c r="CA126">
        <v>1.227882611562966</v>
      </c>
      <c r="CB126">
        <v>0.99701132994430097</v>
      </c>
      <c r="CC126">
        <v>-1.136337463848722E-2</v>
      </c>
      <c r="CD126">
        <v>289.99999999999989</v>
      </c>
      <c r="CE126">
        <v>1054.1300000000001</v>
      </c>
      <c r="CF126">
        <v>635</v>
      </c>
      <c r="CG126">
        <v>10444.299999999999</v>
      </c>
      <c r="CH126">
        <v>1067.6300000000001</v>
      </c>
      <c r="CI126">
        <v>-13.5</v>
      </c>
      <c r="CW126">
        <f t="shared" si="180"/>
        <v>1800.13</v>
      </c>
      <c r="CX126">
        <f t="shared" si="181"/>
        <v>1513.2938993221378</v>
      </c>
      <c r="CY126">
        <f t="shared" si="182"/>
        <v>0.84065811875927721</v>
      </c>
      <c r="CZ126">
        <f t="shared" si="183"/>
        <v>0.19131623751855442</v>
      </c>
      <c r="DA126">
        <v>6</v>
      </c>
      <c r="DB126">
        <v>0.5</v>
      </c>
      <c r="DC126" t="s">
        <v>420</v>
      </c>
      <c r="DD126">
        <v>2</v>
      </c>
      <c r="DE126">
        <v>1693520834.0999999</v>
      </c>
      <c r="DF126">
        <v>836.13199999999995</v>
      </c>
      <c r="DG126">
        <v>900.15300000000002</v>
      </c>
      <c r="DH126">
        <v>28.828700000000001</v>
      </c>
      <c r="DI126">
        <v>23.435099999999998</v>
      </c>
      <c r="DJ126">
        <v>838.97199999999998</v>
      </c>
      <c r="DK126">
        <v>28.6264</v>
      </c>
      <c r="DL126">
        <v>500.63799999999998</v>
      </c>
      <c r="DM126">
        <v>99.48</v>
      </c>
      <c r="DN126">
        <v>0.10026400000000001</v>
      </c>
      <c r="DO126">
        <v>30.6159</v>
      </c>
      <c r="DP126">
        <v>29.973299999999998</v>
      </c>
      <c r="DQ126">
        <v>999.9</v>
      </c>
      <c r="DR126">
        <v>0</v>
      </c>
      <c r="DS126">
        <v>0</v>
      </c>
      <c r="DT126">
        <v>9990</v>
      </c>
      <c r="DU126">
        <v>0</v>
      </c>
      <c r="DV126">
        <v>317.71899999999999</v>
      </c>
      <c r="DW126">
        <v>-64.021199999999993</v>
      </c>
      <c r="DX126">
        <v>860.952</v>
      </c>
      <c r="DY126">
        <v>921.755</v>
      </c>
      <c r="DZ126">
        <v>5.3936599999999997</v>
      </c>
      <c r="EA126">
        <v>900.15300000000002</v>
      </c>
      <c r="EB126">
        <v>23.435099999999998</v>
      </c>
      <c r="EC126">
        <v>2.8678900000000001</v>
      </c>
      <c r="ED126">
        <v>2.3313199999999998</v>
      </c>
      <c r="EE126">
        <v>23.280100000000001</v>
      </c>
      <c r="EF126">
        <v>19.894500000000001</v>
      </c>
      <c r="EG126">
        <v>1800.13</v>
      </c>
      <c r="EH126">
        <v>0.97800299999999996</v>
      </c>
      <c r="EI126">
        <v>2.1996499999999999E-2</v>
      </c>
      <c r="EJ126">
        <v>0</v>
      </c>
      <c r="EK126">
        <v>793.846</v>
      </c>
      <c r="EL126">
        <v>5.0010300000000001</v>
      </c>
      <c r="EM126">
        <v>14419.4</v>
      </c>
      <c r="EN126">
        <v>14702.2</v>
      </c>
      <c r="EO126">
        <v>46.811999999999998</v>
      </c>
      <c r="EP126">
        <v>47.561999999999998</v>
      </c>
      <c r="EQ126">
        <v>48</v>
      </c>
      <c r="ER126">
        <v>47.186999999999998</v>
      </c>
      <c r="ES126">
        <v>48.375</v>
      </c>
      <c r="ET126">
        <v>1755.64</v>
      </c>
      <c r="EU126">
        <v>39.49</v>
      </c>
      <c r="EV126">
        <v>0</v>
      </c>
      <c r="EW126">
        <v>97.800000190734863</v>
      </c>
      <c r="EX126">
        <v>0</v>
      </c>
      <c r="EY126">
        <v>794.5276153846155</v>
      </c>
      <c r="EZ126">
        <v>-4.8384273640927384</v>
      </c>
      <c r="FA126">
        <v>-72.704273496188307</v>
      </c>
      <c r="FB126">
        <v>14430.707692307689</v>
      </c>
      <c r="FC126">
        <v>15</v>
      </c>
      <c r="FD126">
        <v>1693520798.0999999</v>
      </c>
      <c r="FE126" t="s">
        <v>977</v>
      </c>
      <c r="FF126">
        <v>1693520796.0999999</v>
      </c>
      <c r="FG126">
        <v>1693520798.0999999</v>
      </c>
      <c r="FH126">
        <v>120</v>
      </c>
      <c r="FI126">
        <v>-0.28100000000000003</v>
      </c>
      <c r="FJ126">
        <v>-3.0000000000000001E-3</v>
      </c>
      <c r="FK126">
        <v>-2.8410000000000002</v>
      </c>
      <c r="FL126">
        <v>7.0999999999999994E-2</v>
      </c>
      <c r="FM126">
        <v>900</v>
      </c>
      <c r="FN126">
        <v>23</v>
      </c>
      <c r="FO126">
        <v>0.14000000000000001</v>
      </c>
      <c r="FP126">
        <v>0.04</v>
      </c>
      <c r="FQ126">
        <v>49.507196667585603</v>
      </c>
      <c r="FR126">
        <v>-0.1056387253252187</v>
      </c>
      <c r="FS126">
        <v>0.1481842769252063</v>
      </c>
      <c r="FT126">
        <v>1</v>
      </c>
      <c r="FU126">
        <v>0.35003139953806689</v>
      </c>
      <c r="FV126">
        <v>-4.6080954376014262E-2</v>
      </c>
      <c r="FW126">
        <v>3.6237127660695531E-3</v>
      </c>
      <c r="FX126">
        <v>1</v>
      </c>
      <c r="FY126">
        <v>2</v>
      </c>
      <c r="FZ126">
        <v>2</v>
      </c>
      <c r="GA126" t="s">
        <v>422</v>
      </c>
      <c r="GB126">
        <v>2.9020800000000002</v>
      </c>
      <c r="GC126">
        <v>2.8181799999999999</v>
      </c>
      <c r="GD126">
        <v>0.15356</v>
      </c>
      <c r="GE126">
        <v>0.160746</v>
      </c>
      <c r="GF126">
        <v>0.135548</v>
      </c>
      <c r="GG126">
        <v>0.117247</v>
      </c>
      <c r="GH126">
        <v>23472.400000000001</v>
      </c>
      <c r="GI126">
        <v>23387.7</v>
      </c>
      <c r="GJ126">
        <v>24604</v>
      </c>
      <c r="GK126">
        <v>24887.1</v>
      </c>
      <c r="GL126">
        <v>28238.3</v>
      </c>
      <c r="GM126">
        <v>28668</v>
      </c>
      <c r="GN126">
        <v>33257.800000000003</v>
      </c>
      <c r="GO126">
        <v>33171.4</v>
      </c>
      <c r="GP126">
        <v>1.9661</v>
      </c>
      <c r="GQ126">
        <v>1.8734999999999999</v>
      </c>
      <c r="GR126">
        <v>0.11856899999999999</v>
      </c>
      <c r="GS126">
        <v>0</v>
      </c>
      <c r="GT126">
        <v>28.040600000000001</v>
      </c>
      <c r="GU126">
        <v>999.9</v>
      </c>
      <c r="GV126">
        <v>51.7</v>
      </c>
      <c r="GW126">
        <v>34</v>
      </c>
      <c r="GX126">
        <v>27.7684</v>
      </c>
      <c r="GY126">
        <v>62.980600000000003</v>
      </c>
      <c r="GZ126">
        <v>23.413499999999999</v>
      </c>
      <c r="HA126">
        <v>1</v>
      </c>
      <c r="HB126">
        <v>0.46154499999999998</v>
      </c>
      <c r="HC126">
        <v>0.19350800000000001</v>
      </c>
      <c r="HD126">
        <v>20.216999999999999</v>
      </c>
      <c r="HE126">
        <v>5.2346599999999999</v>
      </c>
      <c r="HF126">
        <v>11.9201</v>
      </c>
      <c r="HG126">
        <v>4.9598000000000004</v>
      </c>
      <c r="HH126">
        <v>3.2890000000000001</v>
      </c>
      <c r="HI126">
        <v>9999</v>
      </c>
      <c r="HJ126">
        <v>9999</v>
      </c>
      <c r="HK126">
        <v>9999</v>
      </c>
      <c r="HL126">
        <v>898.4</v>
      </c>
      <c r="HM126">
        <v>1.88049</v>
      </c>
      <c r="HN126">
        <v>1.8775900000000001</v>
      </c>
      <c r="HO126">
        <v>1.8855299999999999</v>
      </c>
      <c r="HP126">
        <v>1.88337</v>
      </c>
      <c r="HQ126">
        <v>1.8808100000000001</v>
      </c>
      <c r="HR126">
        <v>1.8799399999999999</v>
      </c>
      <c r="HS126">
        <v>1.88107</v>
      </c>
      <c r="HT126">
        <v>1.88049</v>
      </c>
      <c r="HU126">
        <v>5</v>
      </c>
      <c r="HV126">
        <v>0</v>
      </c>
      <c r="HW126">
        <v>0</v>
      </c>
      <c r="HX126">
        <v>0</v>
      </c>
      <c r="HY126" t="s">
        <v>423</v>
      </c>
      <c r="HZ126" t="s">
        <v>424</v>
      </c>
      <c r="IA126" t="s">
        <v>425</v>
      </c>
      <c r="IB126" t="s">
        <v>425</v>
      </c>
      <c r="IC126" t="s">
        <v>425</v>
      </c>
      <c r="ID126" t="s">
        <v>425</v>
      </c>
      <c r="IE126">
        <v>0</v>
      </c>
      <c r="IF126">
        <v>100</v>
      </c>
      <c r="IG126">
        <v>100</v>
      </c>
      <c r="IH126">
        <v>-2.84</v>
      </c>
      <c r="II126">
        <v>0.20230000000000001</v>
      </c>
      <c r="IJ126">
        <v>-3.5415216512844032</v>
      </c>
      <c r="IK126">
        <v>2.2153513873161218E-3</v>
      </c>
      <c r="IL126">
        <v>-2.2967369670569612E-6</v>
      </c>
      <c r="IM126">
        <v>7.7859689150384122E-10</v>
      </c>
      <c r="IN126">
        <v>-0.19236236350069491</v>
      </c>
      <c r="IO126">
        <v>-4.1434251034592161E-3</v>
      </c>
      <c r="IP126">
        <v>8.3987709687394815E-4</v>
      </c>
      <c r="IQ126">
        <v>-7.4586254598011197E-6</v>
      </c>
      <c r="IR126">
        <v>2</v>
      </c>
      <c r="IS126">
        <v>1930</v>
      </c>
      <c r="IT126">
        <v>2</v>
      </c>
      <c r="IU126">
        <v>41</v>
      </c>
      <c r="IV126">
        <v>0.6</v>
      </c>
      <c r="IW126">
        <v>0.6</v>
      </c>
      <c r="IX126">
        <v>1.9238299999999999</v>
      </c>
      <c r="IY126">
        <v>2.49878</v>
      </c>
      <c r="IZ126">
        <v>1.24512</v>
      </c>
      <c r="JA126">
        <v>2.2607400000000002</v>
      </c>
      <c r="JB126">
        <v>1.4501999999999999</v>
      </c>
      <c r="JC126">
        <v>2.2448700000000001</v>
      </c>
      <c r="JD126">
        <v>36.908000000000001</v>
      </c>
      <c r="JE126">
        <v>15.804399999999999</v>
      </c>
      <c r="JF126">
        <v>18</v>
      </c>
      <c r="JG126">
        <v>500.89400000000001</v>
      </c>
      <c r="JH126">
        <v>488.416</v>
      </c>
      <c r="JI126">
        <v>28.692299999999999</v>
      </c>
      <c r="JJ126">
        <v>32.947800000000001</v>
      </c>
      <c r="JK126">
        <v>29.9999</v>
      </c>
      <c r="JL126">
        <v>32.909100000000002</v>
      </c>
      <c r="JM126">
        <v>32.841500000000003</v>
      </c>
      <c r="JN126">
        <v>38.602499999999999</v>
      </c>
      <c r="JO126">
        <v>22.1571</v>
      </c>
      <c r="JP126">
        <v>81.637100000000004</v>
      </c>
      <c r="JQ126">
        <v>28.729399999999998</v>
      </c>
      <c r="JR126">
        <v>900</v>
      </c>
      <c r="JS126">
        <v>23.526199999999999</v>
      </c>
      <c r="JT126">
        <v>99.280699999999996</v>
      </c>
      <c r="JU126">
        <v>99.089200000000005</v>
      </c>
    </row>
    <row r="127" spans="1:281" x14ac:dyDescent="0.25">
      <c r="A127">
        <v>111</v>
      </c>
      <c r="B127">
        <v>1693520933.5999999</v>
      </c>
      <c r="C127">
        <v>25284</v>
      </c>
      <c r="D127" t="s">
        <v>978</v>
      </c>
      <c r="E127" t="s">
        <v>979</v>
      </c>
      <c r="F127" t="s">
        <v>413</v>
      </c>
      <c r="G127" t="s">
        <v>778</v>
      </c>
      <c r="H127" t="s">
        <v>416</v>
      </c>
      <c r="I127" t="s">
        <v>415</v>
      </c>
      <c r="J127">
        <v>1693520933.5999999</v>
      </c>
      <c r="K127">
        <f t="shared" si="138"/>
        <v>4.3353120197611927E-3</v>
      </c>
      <c r="L127">
        <f t="shared" si="139"/>
        <v>4.3353120197611927</v>
      </c>
      <c r="M127">
        <f t="shared" si="140"/>
        <v>49.065673142200488</v>
      </c>
      <c r="N127">
        <f t="shared" si="141"/>
        <v>1135.53</v>
      </c>
      <c r="O127">
        <f t="shared" si="142"/>
        <v>851.57626924450892</v>
      </c>
      <c r="P127">
        <f t="shared" si="143"/>
        <v>84.801066831060595</v>
      </c>
      <c r="Q127">
        <f t="shared" si="144"/>
        <v>113.07754677582</v>
      </c>
      <c r="R127">
        <f t="shared" si="145"/>
        <v>0.31617852975371991</v>
      </c>
      <c r="S127">
        <f t="shared" si="146"/>
        <v>2.9186807996602799</v>
      </c>
      <c r="T127">
        <f t="shared" si="147"/>
        <v>0.29830795239443675</v>
      </c>
      <c r="U127">
        <f t="shared" si="148"/>
        <v>0.18796384836006466</v>
      </c>
      <c r="V127">
        <f t="shared" si="149"/>
        <v>344.3688118045788</v>
      </c>
      <c r="W127">
        <f t="shared" si="150"/>
        <v>31.505201920412841</v>
      </c>
      <c r="X127">
        <f t="shared" si="151"/>
        <v>30.013200000000001</v>
      </c>
      <c r="Y127">
        <f t="shared" si="152"/>
        <v>4.2636811008583395</v>
      </c>
      <c r="Z127">
        <f t="shared" si="153"/>
        <v>65.04418864866885</v>
      </c>
      <c r="AA127">
        <f t="shared" si="154"/>
        <v>2.8682898017289999</v>
      </c>
      <c r="AB127">
        <f t="shared" si="155"/>
        <v>4.4097556773624245</v>
      </c>
      <c r="AC127">
        <f t="shared" si="156"/>
        <v>1.3953912991293396</v>
      </c>
      <c r="AD127">
        <f t="shared" si="157"/>
        <v>-191.18726007146859</v>
      </c>
      <c r="AE127">
        <f t="shared" si="158"/>
        <v>92.491458147661007</v>
      </c>
      <c r="AF127">
        <f t="shared" si="159"/>
        <v>7.0676391971056969</v>
      </c>
      <c r="AG127">
        <f t="shared" si="160"/>
        <v>252.7406490778769</v>
      </c>
      <c r="AH127">
        <v>0</v>
      </c>
      <c r="AI127">
        <v>0</v>
      </c>
      <c r="AJ127">
        <f t="shared" si="161"/>
        <v>1</v>
      </c>
      <c r="AK127">
        <f t="shared" si="162"/>
        <v>0</v>
      </c>
      <c r="AL127">
        <f t="shared" si="163"/>
        <v>51929.062604870742</v>
      </c>
      <c r="AM127" t="s">
        <v>417</v>
      </c>
      <c r="AN127">
        <v>10366.9</v>
      </c>
      <c r="AO127">
        <v>993.59653846153856</v>
      </c>
      <c r="AP127">
        <v>3431.87</v>
      </c>
      <c r="AQ127">
        <f t="shared" si="164"/>
        <v>0.71047955241266758</v>
      </c>
      <c r="AR127">
        <v>-3.9894345373445681</v>
      </c>
      <c r="AS127" t="s">
        <v>980</v>
      </c>
      <c r="AT127">
        <v>10466.299999999999</v>
      </c>
      <c r="AU127">
        <v>788.19727999999998</v>
      </c>
      <c r="AV127">
        <v>1176.2647685078</v>
      </c>
      <c r="AW127">
        <f t="shared" si="165"/>
        <v>0.32991508280920401</v>
      </c>
      <c r="AX127">
        <v>0.5</v>
      </c>
      <c r="AY127">
        <f t="shared" si="166"/>
        <v>1513.1844059022892</v>
      </c>
      <c r="AZ127">
        <f t="shared" si="167"/>
        <v>49.065673142200488</v>
      </c>
      <c r="BA127">
        <f t="shared" si="168"/>
        <v>249.61117928942497</v>
      </c>
      <c r="BB127">
        <f t="shared" si="169"/>
        <v>3.5061891645591661E-2</v>
      </c>
      <c r="BC127">
        <f t="shared" si="170"/>
        <v>1.9175999246782189</v>
      </c>
      <c r="BD127">
        <f t="shared" si="171"/>
        <v>638.8930764850644</v>
      </c>
      <c r="BE127" t="s">
        <v>981</v>
      </c>
      <c r="BF127">
        <v>619.1</v>
      </c>
      <c r="BG127">
        <f t="shared" si="172"/>
        <v>619.1</v>
      </c>
      <c r="BH127">
        <f t="shared" si="173"/>
        <v>0.47367292077838452</v>
      </c>
      <c r="BI127">
        <f t="shared" si="174"/>
        <v>0.69650399745684444</v>
      </c>
      <c r="BJ127">
        <f t="shared" si="175"/>
        <v>0.80191598726244939</v>
      </c>
      <c r="BK127">
        <f t="shared" si="176"/>
        <v>2.1244388715515576</v>
      </c>
      <c r="BL127">
        <f t="shared" si="177"/>
        <v>0.92508296016517988</v>
      </c>
      <c r="BM127">
        <f t="shared" si="178"/>
        <v>0.5470782959635847</v>
      </c>
      <c r="BN127">
        <f t="shared" si="179"/>
        <v>0.4529217040364153</v>
      </c>
      <c r="BO127">
        <v>7964</v>
      </c>
      <c r="BP127">
        <v>290.00000000000011</v>
      </c>
      <c r="BQ127">
        <v>1066.1099999999999</v>
      </c>
      <c r="BR127">
        <v>155</v>
      </c>
      <c r="BS127">
        <v>10466.299999999999</v>
      </c>
      <c r="BT127">
        <v>1062.6099999999999</v>
      </c>
      <c r="BU127">
        <v>3.5</v>
      </c>
      <c r="BV127">
        <v>300.00000000000011</v>
      </c>
      <c r="BW127">
        <v>38.200000000000003</v>
      </c>
      <c r="BX127">
        <v>1176.2647685078</v>
      </c>
      <c r="BY127">
        <v>1.724309190793577</v>
      </c>
      <c r="BZ127">
        <v>-118.9550813303446</v>
      </c>
      <c r="CA127">
        <v>1.4769912756437511</v>
      </c>
      <c r="CB127">
        <v>0.99570189295337086</v>
      </c>
      <c r="CC127">
        <v>-1.136263937708566E-2</v>
      </c>
      <c r="CD127">
        <v>289.99999999999989</v>
      </c>
      <c r="CE127">
        <v>1049.56</v>
      </c>
      <c r="CF127">
        <v>675</v>
      </c>
      <c r="CG127">
        <v>10440.4</v>
      </c>
      <c r="CH127">
        <v>1062.33</v>
      </c>
      <c r="CI127">
        <v>-12.77</v>
      </c>
      <c r="CW127">
        <f t="shared" si="180"/>
        <v>1800</v>
      </c>
      <c r="CX127">
        <f t="shared" si="181"/>
        <v>1513.1844059022892</v>
      </c>
      <c r="CY127">
        <f t="shared" si="182"/>
        <v>0.8406580032790496</v>
      </c>
      <c r="CZ127">
        <f t="shared" si="183"/>
        <v>0.19131600655809933</v>
      </c>
      <c r="DA127">
        <v>6</v>
      </c>
      <c r="DB127">
        <v>0.5</v>
      </c>
      <c r="DC127" t="s">
        <v>420</v>
      </c>
      <c r="DD127">
        <v>2</v>
      </c>
      <c r="DE127">
        <v>1693520933.5999999</v>
      </c>
      <c r="DF127">
        <v>1135.53</v>
      </c>
      <c r="DG127">
        <v>1200.28</v>
      </c>
      <c r="DH127">
        <v>28.8035</v>
      </c>
      <c r="DI127">
        <v>23.753799999999998</v>
      </c>
      <c r="DJ127">
        <v>1138.71</v>
      </c>
      <c r="DK127">
        <v>28.5976</v>
      </c>
      <c r="DL127">
        <v>500.28</v>
      </c>
      <c r="DM127">
        <v>99.481200000000001</v>
      </c>
      <c r="DN127">
        <v>0.100094</v>
      </c>
      <c r="DO127">
        <v>30.600999999999999</v>
      </c>
      <c r="DP127">
        <v>30.013200000000001</v>
      </c>
      <c r="DQ127">
        <v>999.9</v>
      </c>
      <c r="DR127">
        <v>0</v>
      </c>
      <c r="DS127">
        <v>0</v>
      </c>
      <c r="DT127">
        <v>9990</v>
      </c>
      <c r="DU127">
        <v>0</v>
      </c>
      <c r="DV127">
        <v>316.23099999999999</v>
      </c>
      <c r="DW127">
        <v>-64.754199999999997</v>
      </c>
      <c r="DX127">
        <v>1169.21</v>
      </c>
      <c r="DY127">
        <v>1229.49</v>
      </c>
      <c r="DZ127">
        <v>5.0496499999999997</v>
      </c>
      <c r="EA127">
        <v>1200.28</v>
      </c>
      <c r="EB127">
        <v>23.753799999999998</v>
      </c>
      <c r="EC127">
        <v>2.8654099999999998</v>
      </c>
      <c r="ED127">
        <v>2.3630599999999999</v>
      </c>
      <c r="EE127">
        <v>23.265799999999999</v>
      </c>
      <c r="EF127">
        <v>20.1128</v>
      </c>
      <c r="EG127">
        <v>1800</v>
      </c>
      <c r="EH127">
        <v>0.97800299999999996</v>
      </c>
      <c r="EI127">
        <v>2.1996499999999999E-2</v>
      </c>
      <c r="EJ127">
        <v>0</v>
      </c>
      <c r="EK127">
        <v>787.86199999999997</v>
      </c>
      <c r="EL127">
        <v>5.0010300000000001</v>
      </c>
      <c r="EM127">
        <v>14303.2</v>
      </c>
      <c r="EN127">
        <v>14701.1</v>
      </c>
      <c r="EO127">
        <v>46.686999999999998</v>
      </c>
      <c r="EP127">
        <v>47.625</v>
      </c>
      <c r="EQ127">
        <v>47.875</v>
      </c>
      <c r="ER127">
        <v>47.061999999999998</v>
      </c>
      <c r="ES127">
        <v>48.25</v>
      </c>
      <c r="ET127">
        <v>1755.51</v>
      </c>
      <c r="EU127">
        <v>39.479999999999997</v>
      </c>
      <c r="EV127">
        <v>0</v>
      </c>
      <c r="EW127">
        <v>97.800000190734863</v>
      </c>
      <c r="EX127">
        <v>0</v>
      </c>
      <c r="EY127">
        <v>788.19727999999998</v>
      </c>
      <c r="EZ127">
        <v>-2.6483076907954919</v>
      </c>
      <c r="FA127">
        <v>-90.576922992618918</v>
      </c>
      <c r="FB127">
        <v>14312.58</v>
      </c>
      <c r="FC127">
        <v>15</v>
      </c>
      <c r="FD127">
        <v>1693520902.5999999</v>
      </c>
      <c r="FE127" t="s">
        <v>982</v>
      </c>
      <c r="FF127">
        <v>1693520901.0999999</v>
      </c>
      <c r="FG127">
        <v>1693520902.5999999</v>
      </c>
      <c r="FH127">
        <v>121</v>
      </c>
      <c r="FI127">
        <v>-0.33800000000000002</v>
      </c>
      <c r="FJ127">
        <v>4.0000000000000001E-3</v>
      </c>
      <c r="FK127">
        <v>-3.1829999999999998</v>
      </c>
      <c r="FL127">
        <v>0.08</v>
      </c>
      <c r="FM127">
        <v>1200</v>
      </c>
      <c r="FN127">
        <v>24</v>
      </c>
      <c r="FO127">
        <v>0.16</v>
      </c>
      <c r="FP127">
        <v>0.05</v>
      </c>
      <c r="FQ127">
        <v>48.840098694026103</v>
      </c>
      <c r="FR127">
        <v>-0.58568018896292506</v>
      </c>
      <c r="FS127">
        <v>0.15618828047033151</v>
      </c>
      <c r="FT127">
        <v>1</v>
      </c>
      <c r="FU127">
        <v>0.31909253261744958</v>
      </c>
      <c r="FV127">
        <v>7.7038409100549723E-3</v>
      </c>
      <c r="FW127">
        <v>1.467523009451654E-3</v>
      </c>
      <c r="FX127">
        <v>1</v>
      </c>
      <c r="FY127">
        <v>2</v>
      </c>
      <c r="FZ127">
        <v>2</v>
      </c>
      <c r="GA127" t="s">
        <v>422</v>
      </c>
      <c r="GB127">
        <v>2.90116</v>
      </c>
      <c r="GC127">
        <v>2.8180100000000001</v>
      </c>
      <c r="GD127">
        <v>0.18672</v>
      </c>
      <c r="GE127">
        <v>0.19284999999999999</v>
      </c>
      <c r="GF127">
        <v>0.135463</v>
      </c>
      <c r="GG127">
        <v>0.118349</v>
      </c>
      <c r="GH127">
        <v>22552.6</v>
      </c>
      <c r="GI127">
        <v>22491.7</v>
      </c>
      <c r="GJ127">
        <v>24605</v>
      </c>
      <c r="GK127">
        <v>24886.7</v>
      </c>
      <c r="GL127">
        <v>28242.5</v>
      </c>
      <c r="GM127">
        <v>28631.8</v>
      </c>
      <c r="GN127">
        <v>33259.4</v>
      </c>
      <c r="GO127">
        <v>33171.199999999997</v>
      </c>
      <c r="GP127">
        <v>1.9656</v>
      </c>
      <c r="GQ127">
        <v>1.8755999999999999</v>
      </c>
      <c r="GR127">
        <v>0.122041</v>
      </c>
      <c r="GS127">
        <v>0</v>
      </c>
      <c r="GT127">
        <v>28.023900000000001</v>
      </c>
      <c r="GU127">
        <v>999.9</v>
      </c>
      <c r="GV127">
        <v>51.9</v>
      </c>
      <c r="GW127">
        <v>34</v>
      </c>
      <c r="GX127">
        <v>27.8749</v>
      </c>
      <c r="GY127">
        <v>62.860599999999998</v>
      </c>
      <c r="GZ127">
        <v>23.8782</v>
      </c>
      <c r="HA127">
        <v>1</v>
      </c>
      <c r="HB127">
        <v>0.45981699999999998</v>
      </c>
      <c r="HC127">
        <v>0.50861699999999999</v>
      </c>
      <c r="HD127">
        <v>20.215599999999998</v>
      </c>
      <c r="HE127">
        <v>5.2352600000000002</v>
      </c>
      <c r="HF127">
        <v>11.9201</v>
      </c>
      <c r="HG127">
        <v>4.9610000000000003</v>
      </c>
      <c r="HH127">
        <v>3.2890000000000001</v>
      </c>
      <c r="HI127">
        <v>9999</v>
      </c>
      <c r="HJ127">
        <v>9999</v>
      </c>
      <c r="HK127">
        <v>9999</v>
      </c>
      <c r="HL127">
        <v>898.5</v>
      </c>
      <c r="HM127">
        <v>1.88049</v>
      </c>
      <c r="HN127">
        <v>1.8775900000000001</v>
      </c>
      <c r="HO127">
        <v>1.8855299999999999</v>
      </c>
      <c r="HP127">
        <v>1.88337</v>
      </c>
      <c r="HQ127">
        <v>1.8808</v>
      </c>
      <c r="HR127">
        <v>1.87991</v>
      </c>
      <c r="HS127">
        <v>1.881</v>
      </c>
      <c r="HT127">
        <v>1.88049</v>
      </c>
      <c r="HU127">
        <v>5</v>
      </c>
      <c r="HV127">
        <v>0</v>
      </c>
      <c r="HW127">
        <v>0</v>
      </c>
      <c r="HX127">
        <v>0</v>
      </c>
      <c r="HY127" t="s">
        <v>423</v>
      </c>
      <c r="HZ127" t="s">
        <v>424</v>
      </c>
      <c r="IA127" t="s">
        <v>425</v>
      </c>
      <c r="IB127" t="s">
        <v>425</v>
      </c>
      <c r="IC127" t="s">
        <v>425</v>
      </c>
      <c r="ID127" t="s">
        <v>425</v>
      </c>
      <c r="IE127">
        <v>0</v>
      </c>
      <c r="IF127">
        <v>100</v>
      </c>
      <c r="IG127">
        <v>100</v>
      </c>
      <c r="IH127">
        <v>-3.18</v>
      </c>
      <c r="II127">
        <v>0.2059</v>
      </c>
      <c r="IJ127">
        <v>-3.8801140099638989</v>
      </c>
      <c r="IK127">
        <v>2.2153513873161218E-3</v>
      </c>
      <c r="IL127">
        <v>-2.2967369670569612E-6</v>
      </c>
      <c r="IM127">
        <v>7.7859689150384122E-10</v>
      </c>
      <c r="IN127">
        <v>-0.18810069788625239</v>
      </c>
      <c r="IO127">
        <v>-4.1434251034592161E-3</v>
      </c>
      <c r="IP127">
        <v>8.3987709687394815E-4</v>
      </c>
      <c r="IQ127">
        <v>-7.4586254598011197E-6</v>
      </c>
      <c r="IR127">
        <v>2</v>
      </c>
      <c r="IS127">
        <v>1930</v>
      </c>
      <c r="IT127">
        <v>2</v>
      </c>
      <c r="IU127">
        <v>41</v>
      </c>
      <c r="IV127">
        <v>0.5</v>
      </c>
      <c r="IW127">
        <v>0.5</v>
      </c>
      <c r="IX127">
        <v>2.4267599999999998</v>
      </c>
      <c r="IY127">
        <v>2.49146</v>
      </c>
      <c r="IZ127">
        <v>1.24512</v>
      </c>
      <c r="JA127">
        <v>2.2607400000000002</v>
      </c>
      <c r="JB127">
        <v>1.4501999999999999</v>
      </c>
      <c r="JC127">
        <v>2.2229000000000001</v>
      </c>
      <c r="JD127">
        <v>36.812899999999999</v>
      </c>
      <c r="JE127">
        <v>15.7781</v>
      </c>
      <c r="JF127">
        <v>18</v>
      </c>
      <c r="JG127">
        <v>500.38099999999997</v>
      </c>
      <c r="JH127">
        <v>489.72899999999998</v>
      </c>
      <c r="JI127">
        <v>28.5337</v>
      </c>
      <c r="JJ127">
        <v>32.933100000000003</v>
      </c>
      <c r="JK127">
        <v>30</v>
      </c>
      <c r="JL127">
        <v>32.888500000000001</v>
      </c>
      <c r="JM127">
        <v>32.817999999999998</v>
      </c>
      <c r="JN127">
        <v>48.690800000000003</v>
      </c>
      <c r="JO127">
        <v>21.238099999999999</v>
      </c>
      <c r="JP127">
        <v>83.296599999999998</v>
      </c>
      <c r="JQ127">
        <v>28.5322</v>
      </c>
      <c r="JR127">
        <v>1200</v>
      </c>
      <c r="JS127">
        <v>23.827200000000001</v>
      </c>
      <c r="JT127">
        <v>99.285200000000003</v>
      </c>
      <c r="JU127">
        <v>99.088200000000001</v>
      </c>
    </row>
    <row r="128" spans="1:281" x14ac:dyDescent="0.25">
      <c r="A128">
        <v>112</v>
      </c>
      <c r="B128">
        <v>1693521033.0999999</v>
      </c>
      <c r="C128">
        <v>25383.5</v>
      </c>
      <c r="D128" t="s">
        <v>983</v>
      </c>
      <c r="E128" t="s">
        <v>984</v>
      </c>
      <c r="F128" t="s">
        <v>413</v>
      </c>
      <c r="G128" t="s">
        <v>778</v>
      </c>
      <c r="H128" t="s">
        <v>416</v>
      </c>
      <c r="I128" t="s">
        <v>415</v>
      </c>
      <c r="J128">
        <v>1693521033.0999999</v>
      </c>
      <c r="K128">
        <f t="shared" si="138"/>
        <v>3.7993576317777761E-3</v>
      </c>
      <c r="L128">
        <f t="shared" si="139"/>
        <v>3.799357631777776</v>
      </c>
      <c r="M128">
        <f t="shared" si="140"/>
        <v>48.656619179703775</v>
      </c>
      <c r="N128">
        <f t="shared" si="141"/>
        <v>1435.3989999999999</v>
      </c>
      <c r="O128">
        <f t="shared" si="142"/>
        <v>1102.8676214264965</v>
      </c>
      <c r="P128">
        <f t="shared" si="143"/>
        <v>109.82425034251678</v>
      </c>
      <c r="Q128">
        <f t="shared" si="144"/>
        <v>142.93793385057199</v>
      </c>
      <c r="R128">
        <f t="shared" si="145"/>
        <v>0.26851893626567347</v>
      </c>
      <c r="S128">
        <f t="shared" si="146"/>
        <v>2.9239205834587398</v>
      </c>
      <c r="T128">
        <f t="shared" si="147"/>
        <v>0.25553288247947969</v>
      </c>
      <c r="U128">
        <f t="shared" si="148"/>
        <v>0.16082244851273361</v>
      </c>
      <c r="V128">
        <f t="shared" si="149"/>
        <v>344.416298644709</v>
      </c>
      <c r="W128">
        <f t="shared" si="150"/>
        <v>31.618279022862453</v>
      </c>
      <c r="X128">
        <f t="shared" si="151"/>
        <v>30.047899999999998</v>
      </c>
      <c r="Y128">
        <f t="shared" si="152"/>
        <v>4.2721857672548422</v>
      </c>
      <c r="Z128">
        <f t="shared" si="153"/>
        <v>64.596790110133028</v>
      </c>
      <c r="AA128">
        <f t="shared" si="154"/>
        <v>2.8444907646316002</v>
      </c>
      <c r="AB128">
        <f t="shared" si="155"/>
        <v>4.4034552797158213</v>
      </c>
      <c r="AC128">
        <f t="shared" si="156"/>
        <v>1.427695002623242</v>
      </c>
      <c r="AD128">
        <f t="shared" si="157"/>
        <v>-167.55167156139993</v>
      </c>
      <c r="AE128">
        <f t="shared" si="158"/>
        <v>83.246730070235628</v>
      </c>
      <c r="AF128">
        <f t="shared" si="159"/>
        <v>6.3501167669709977</v>
      </c>
      <c r="AG128">
        <f t="shared" si="160"/>
        <v>266.46147392051569</v>
      </c>
      <c r="AH128">
        <v>0</v>
      </c>
      <c r="AI128">
        <v>0</v>
      </c>
      <c r="AJ128">
        <f t="shared" si="161"/>
        <v>1</v>
      </c>
      <c r="AK128">
        <f t="shared" si="162"/>
        <v>0</v>
      </c>
      <c r="AL128">
        <f t="shared" si="163"/>
        <v>52082.526277862802</v>
      </c>
      <c r="AM128" t="s">
        <v>417</v>
      </c>
      <c r="AN128">
        <v>10366.9</v>
      </c>
      <c r="AO128">
        <v>993.59653846153856</v>
      </c>
      <c r="AP128">
        <v>3431.87</v>
      </c>
      <c r="AQ128">
        <f t="shared" si="164"/>
        <v>0.71047955241266758</v>
      </c>
      <c r="AR128">
        <v>-3.9894345373445681</v>
      </c>
      <c r="AS128" t="s">
        <v>985</v>
      </c>
      <c r="AT128">
        <v>10465.9</v>
      </c>
      <c r="AU128">
        <v>782.58572000000004</v>
      </c>
      <c r="AV128">
        <v>1167.617778120991</v>
      </c>
      <c r="AW128">
        <f t="shared" si="165"/>
        <v>0.32975864648156561</v>
      </c>
      <c r="AX128">
        <v>0.5</v>
      </c>
      <c r="AY128">
        <f t="shared" si="166"/>
        <v>1513.3943993223543</v>
      </c>
      <c r="AZ128">
        <f t="shared" si="167"/>
        <v>48.656619179703775</v>
      </c>
      <c r="BA128">
        <f t="shared" si="168"/>
        <v>249.52744435666077</v>
      </c>
      <c r="BB128">
        <f t="shared" si="169"/>
        <v>3.4786737509152559E-2</v>
      </c>
      <c r="BC128">
        <f t="shared" si="170"/>
        <v>1.9392067030041251</v>
      </c>
      <c r="BD128">
        <f t="shared" si="171"/>
        <v>636.33347625197416</v>
      </c>
      <c r="BE128" t="s">
        <v>986</v>
      </c>
      <c r="BF128">
        <v>617.07000000000005</v>
      </c>
      <c r="BG128">
        <f t="shared" si="172"/>
        <v>617.07000000000005</v>
      </c>
      <c r="BH128">
        <f t="shared" si="173"/>
        <v>0.47151369946333765</v>
      </c>
      <c r="BI128">
        <f t="shared" si="174"/>
        <v>0.69936175100932751</v>
      </c>
      <c r="BJ128">
        <f t="shared" si="175"/>
        <v>0.80440962834979723</v>
      </c>
      <c r="BK128">
        <f t="shared" si="176"/>
        <v>2.2125578399192656</v>
      </c>
      <c r="BL128">
        <f t="shared" si="177"/>
        <v>0.92862931807917415</v>
      </c>
      <c r="BM128">
        <f t="shared" si="178"/>
        <v>0.55144777711421278</v>
      </c>
      <c r="BN128">
        <f t="shared" si="179"/>
        <v>0.44855222288578722</v>
      </c>
      <c r="BO128">
        <v>7966</v>
      </c>
      <c r="BP128">
        <v>290.00000000000011</v>
      </c>
      <c r="BQ128">
        <v>1058.3</v>
      </c>
      <c r="BR128">
        <v>155</v>
      </c>
      <c r="BS128">
        <v>10465.9</v>
      </c>
      <c r="BT128">
        <v>1055.77</v>
      </c>
      <c r="BU128">
        <v>2.5299999999999998</v>
      </c>
      <c r="BV128">
        <v>300.00000000000011</v>
      </c>
      <c r="BW128">
        <v>38.200000000000003</v>
      </c>
      <c r="BX128">
        <v>1167.617778120991</v>
      </c>
      <c r="BY128">
        <v>1.4053604128878789</v>
      </c>
      <c r="BZ128">
        <v>-117.0536326811459</v>
      </c>
      <c r="CA128">
        <v>1.2037460516111891</v>
      </c>
      <c r="CB128">
        <v>0.99704760890782707</v>
      </c>
      <c r="CC128">
        <v>-1.1362219799777541E-2</v>
      </c>
      <c r="CD128">
        <v>289.99999999999989</v>
      </c>
      <c r="CE128">
        <v>1043.58</v>
      </c>
      <c r="CF128">
        <v>645</v>
      </c>
      <c r="CG128">
        <v>10442.4</v>
      </c>
      <c r="CH128">
        <v>1055.52</v>
      </c>
      <c r="CI128">
        <v>-11.94</v>
      </c>
      <c r="CW128">
        <f t="shared" si="180"/>
        <v>1800.25</v>
      </c>
      <c r="CX128">
        <f t="shared" si="181"/>
        <v>1513.3943993223543</v>
      </c>
      <c r="CY128">
        <f t="shared" si="182"/>
        <v>0.84065790824738473</v>
      </c>
      <c r="CZ128">
        <f t="shared" si="183"/>
        <v>0.19131581649476961</v>
      </c>
      <c r="DA128">
        <v>6</v>
      </c>
      <c r="DB128">
        <v>0.5</v>
      </c>
      <c r="DC128" t="s">
        <v>420</v>
      </c>
      <c r="DD128">
        <v>2</v>
      </c>
      <c r="DE128">
        <v>1693521033.0999999</v>
      </c>
      <c r="DF128">
        <v>1435.3989999999999</v>
      </c>
      <c r="DG128">
        <v>1500.28</v>
      </c>
      <c r="DH128">
        <v>28.564699999999998</v>
      </c>
      <c r="DI128">
        <v>24.139199999999999</v>
      </c>
      <c r="DJ128">
        <v>1438.99</v>
      </c>
      <c r="DK128">
        <v>28.4727</v>
      </c>
      <c r="DL128">
        <v>500.39499999999998</v>
      </c>
      <c r="DM128">
        <v>99.480500000000006</v>
      </c>
      <c r="DN128">
        <v>0.10012799999999999</v>
      </c>
      <c r="DO128">
        <v>30.576000000000001</v>
      </c>
      <c r="DP128">
        <v>30.047899999999998</v>
      </c>
      <c r="DQ128">
        <v>999.9</v>
      </c>
      <c r="DR128">
        <v>0</v>
      </c>
      <c r="DS128">
        <v>0</v>
      </c>
      <c r="DT128">
        <v>10020</v>
      </c>
      <c r="DU128">
        <v>0</v>
      </c>
      <c r="DV128">
        <v>312.13099999999997</v>
      </c>
      <c r="DW128">
        <v>-64.4208</v>
      </c>
      <c r="DX128">
        <v>1478.25</v>
      </c>
      <c r="DY128">
        <v>1537.39</v>
      </c>
      <c r="DZ128">
        <v>4.5361900000000004</v>
      </c>
      <c r="EA128">
        <v>1500.28</v>
      </c>
      <c r="EB128">
        <v>24.139199999999999</v>
      </c>
      <c r="EC128">
        <v>2.8526400000000001</v>
      </c>
      <c r="ED128">
        <v>2.40137</v>
      </c>
      <c r="EE128">
        <v>23.1919</v>
      </c>
      <c r="EF128">
        <v>20.373000000000001</v>
      </c>
      <c r="EG128">
        <v>1800.25</v>
      </c>
      <c r="EH128">
        <v>0.97800699999999996</v>
      </c>
      <c r="EI128">
        <v>2.1992899999999999E-2</v>
      </c>
      <c r="EJ128">
        <v>0</v>
      </c>
      <c r="EK128">
        <v>782.39200000000005</v>
      </c>
      <c r="EL128">
        <v>5.0010300000000001</v>
      </c>
      <c r="EM128">
        <v>14214.5</v>
      </c>
      <c r="EN128">
        <v>14703.2</v>
      </c>
      <c r="EO128">
        <v>46.811999999999998</v>
      </c>
      <c r="EP128">
        <v>47.625</v>
      </c>
      <c r="EQ128">
        <v>48.125</v>
      </c>
      <c r="ER128">
        <v>47.125</v>
      </c>
      <c r="ES128">
        <v>48.311999999999998</v>
      </c>
      <c r="ET128">
        <v>1755.77</v>
      </c>
      <c r="EU128">
        <v>39.479999999999997</v>
      </c>
      <c r="EV128">
        <v>0</v>
      </c>
      <c r="EW128">
        <v>97.800000190734863</v>
      </c>
      <c r="EX128">
        <v>0</v>
      </c>
      <c r="EY128">
        <v>782.58572000000004</v>
      </c>
      <c r="EZ128">
        <v>-2.567230753918242</v>
      </c>
      <c r="FA128">
        <v>-93.930768732677976</v>
      </c>
      <c r="FB128">
        <v>14208.152</v>
      </c>
      <c r="FC128">
        <v>15</v>
      </c>
      <c r="FD128">
        <v>1693521065.0999999</v>
      </c>
      <c r="FE128" t="s">
        <v>987</v>
      </c>
      <c r="FF128">
        <v>1693521065.0999999</v>
      </c>
      <c r="FG128">
        <v>1693521055.0999999</v>
      </c>
      <c r="FH128">
        <v>122</v>
      </c>
      <c r="FI128">
        <v>-0.497</v>
      </c>
      <c r="FJ128">
        <v>-2E-3</v>
      </c>
      <c r="FK128">
        <v>-3.5910000000000002</v>
      </c>
      <c r="FL128">
        <v>9.1999999999999998E-2</v>
      </c>
      <c r="FM128">
        <v>1500</v>
      </c>
      <c r="FN128">
        <v>24</v>
      </c>
      <c r="FO128">
        <v>0.16</v>
      </c>
      <c r="FP128">
        <v>0.06</v>
      </c>
      <c r="FQ128">
        <v>48.010171622087249</v>
      </c>
      <c r="FR128">
        <v>0.40009504718028788</v>
      </c>
      <c r="FS128">
        <v>0.1984395822790754</v>
      </c>
      <c r="FT128">
        <v>1</v>
      </c>
      <c r="FU128">
        <v>0.28105346005228332</v>
      </c>
      <c r="FV128">
        <v>-1.9073048827363829E-2</v>
      </c>
      <c r="FW128">
        <v>1.6977143225080831E-3</v>
      </c>
      <c r="FX128">
        <v>1</v>
      </c>
      <c r="FY128">
        <v>2</v>
      </c>
      <c r="FZ128">
        <v>2</v>
      </c>
      <c r="GA128" t="s">
        <v>422</v>
      </c>
      <c r="GB128">
        <v>2.9015</v>
      </c>
      <c r="GC128">
        <v>2.8183199999999999</v>
      </c>
      <c r="GD128">
        <v>0.215389</v>
      </c>
      <c r="GE128">
        <v>0.22070500000000001</v>
      </c>
      <c r="GF128">
        <v>0.13506399999999999</v>
      </c>
      <c r="GG128">
        <v>0.119669</v>
      </c>
      <c r="GH128">
        <v>21757.8</v>
      </c>
      <c r="GI128">
        <v>21713.4</v>
      </c>
      <c r="GJ128">
        <v>24606.7</v>
      </c>
      <c r="GK128">
        <v>24885.8</v>
      </c>
      <c r="GL128">
        <v>28257.1</v>
      </c>
      <c r="GM128">
        <v>28587.200000000001</v>
      </c>
      <c r="GN128">
        <v>33261.300000000003</v>
      </c>
      <c r="GO128">
        <v>33169.699999999997</v>
      </c>
      <c r="GP128">
        <v>1.9657</v>
      </c>
      <c r="GQ128">
        <v>1.8787</v>
      </c>
      <c r="GR128">
        <v>0.12884999999999999</v>
      </c>
      <c r="GS128">
        <v>0</v>
      </c>
      <c r="GT128">
        <v>27.947600000000001</v>
      </c>
      <c r="GU128">
        <v>999.9</v>
      </c>
      <c r="GV128">
        <v>52.3</v>
      </c>
      <c r="GW128">
        <v>33.9</v>
      </c>
      <c r="GX128">
        <v>27.934999999999999</v>
      </c>
      <c r="GY128">
        <v>62.610599999999998</v>
      </c>
      <c r="GZ128">
        <v>23.281199999999998</v>
      </c>
      <c r="HA128">
        <v>1</v>
      </c>
      <c r="HB128">
        <v>0.458069</v>
      </c>
      <c r="HC128">
        <v>0.47899799999999998</v>
      </c>
      <c r="HD128">
        <v>20.216100000000001</v>
      </c>
      <c r="HE128">
        <v>5.2352600000000002</v>
      </c>
      <c r="HF128">
        <v>11.9201</v>
      </c>
      <c r="HG128">
        <v>4.9598000000000004</v>
      </c>
      <c r="HH128">
        <v>3.2890000000000001</v>
      </c>
      <c r="HI128">
        <v>9999</v>
      </c>
      <c r="HJ128">
        <v>9999</v>
      </c>
      <c r="HK128">
        <v>9999</v>
      </c>
      <c r="HL128">
        <v>898.5</v>
      </c>
      <c r="HM128">
        <v>1.88049</v>
      </c>
      <c r="HN128">
        <v>1.8775900000000001</v>
      </c>
      <c r="HO128">
        <v>1.8855299999999999</v>
      </c>
      <c r="HP128">
        <v>1.8833899999999999</v>
      </c>
      <c r="HQ128">
        <v>1.8808</v>
      </c>
      <c r="HR128">
        <v>1.87988</v>
      </c>
      <c r="HS128">
        <v>1.8809499999999999</v>
      </c>
      <c r="HT128">
        <v>1.88049</v>
      </c>
      <c r="HU128">
        <v>5</v>
      </c>
      <c r="HV128">
        <v>0</v>
      </c>
      <c r="HW128">
        <v>0</v>
      </c>
      <c r="HX128">
        <v>0</v>
      </c>
      <c r="HY128" t="s">
        <v>423</v>
      </c>
      <c r="HZ128" t="s">
        <v>424</v>
      </c>
      <c r="IA128" t="s">
        <v>425</v>
      </c>
      <c r="IB128" t="s">
        <v>425</v>
      </c>
      <c r="IC128" t="s">
        <v>425</v>
      </c>
      <c r="ID128" t="s">
        <v>425</v>
      </c>
      <c r="IE128">
        <v>0</v>
      </c>
      <c r="IF128">
        <v>100</v>
      </c>
      <c r="IG128">
        <v>100</v>
      </c>
      <c r="IH128">
        <v>-3.5910000000000002</v>
      </c>
      <c r="II128">
        <v>9.1999999999999998E-2</v>
      </c>
      <c r="IJ128">
        <v>-3.8801140099638989</v>
      </c>
      <c r="IK128">
        <v>2.2153513873161218E-3</v>
      </c>
      <c r="IL128">
        <v>-2.2967369670569612E-6</v>
      </c>
      <c r="IM128">
        <v>7.7859689150384122E-10</v>
      </c>
      <c r="IN128">
        <v>-0.18810069788625239</v>
      </c>
      <c r="IO128">
        <v>-4.1434251034592161E-3</v>
      </c>
      <c r="IP128">
        <v>8.3987709687394815E-4</v>
      </c>
      <c r="IQ128">
        <v>-7.4586254598011197E-6</v>
      </c>
      <c r="IR128">
        <v>2</v>
      </c>
      <c r="IS128">
        <v>1930</v>
      </c>
      <c r="IT128">
        <v>2</v>
      </c>
      <c r="IU128">
        <v>41</v>
      </c>
      <c r="IV128">
        <v>2.2000000000000002</v>
      </c>
      <c r="IW128">
        <v>2.2000000000000002</v>
      </c>
      <c r="IX128">
        <v>2.9016099999999998</v>
      </c>
      <c r="IY128">
        <v>2.4877899999999999</v>
      </c>
      <c r="IZ128">
        <v>1.24512</v>
      </c>
      <c r="JA128">
        <v>2.2619600000000002</v>
      </c>
      <c r="JB128">
        <v>1.4501999999999999</v>
      </c>
      <c r="JC128">
        <v>2.33765</v>
      </c>
      <c r="JD128">
        <v>36.718000000000004</v>
      </c>
      <c r="JE128">
        <v>15.769399999999999</v>
      </c>
      <c r="JF128">
        <v>18</v>
      </c>
      <c r="JG128">
        <v>500.255</v>
      </c>
      <c r="JH128">
        <v>491.79399999999998</v>
      </c>
      <c r="JI128">
        <v>28.639500000000002</v>
      </c>
      <c r="JJ128">
        <v>32.909599999999998</v>
      </c>
      <c r="JK128">
        <v>30.0001</v>
      </c>
      <c r="JL128">
        <v>32.865000000000002</v>
      </c>
      <c r="JM128">
        <v>32.797499999999999</v>
      </c>
      <c r="JN128">
        <v>58.195300000000003</v>
      </c>
      <c r="JO128">
        <v>20.391300000000001</v>
      </c>
      <c r="JP128">
        <v>86.349800000000002</v>
      </c>
      <c r="JQ128">
        <v>28.620799999999999</v>
      </c>
      <c r="JR128">
        <v>1500</v>
      </c>
      <c r="JS128">
        <v>24.1797</v>
      </c>
      <c r="JT128">
        <v>99.291399999999996</v>
      </c>
      <c r="JU128">
        <v>99.084000000000003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2023-08-31T22:31:19Z</dcterms:created>
  <dcterms:modified xsi:type="dcterms:W3CDTF">2023-09-06T16:24:24Z</dcterms:modified>
</cp:coreProperties>
</file>